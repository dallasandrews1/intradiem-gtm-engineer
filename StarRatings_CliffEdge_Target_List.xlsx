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tion Brief" sheetId="1" state="visible" r:id="rId3"/>
    <sheet name="Measure Reconciliation" sheetId="2" state="visible" r:id="rId4"/>
    <sheet name="Scored Targets (93)" sheetId="3" state="visible" r:id="rId5"/>
    <sheet name="All 171 Cliff-Edge" sheetId="4" state="visible" r:id="rId6"/>
  </sheets>
  <definedNames>
    <definedName function="false" hidden="true" localSheetId="3" name="_xlnm._FilterDatabase" vbProcedure="false">'All 171 Cliff-Edge'!$A$1:$O$173</definedName>
    <definedName function="false" hidden="true" localSheetId="2" name="_xlnm._FilterDatabase" vbProcedure="false">'Scored Targets (93)'!$A$1:$P$94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<sst xmlns="http://schemas.openxmlformats.org/spreadsheetml/2006/main" count="2797" uniqueCount="742">
  <si>
    <t xml:space="preserve">Star Ratings Cliff-Edge Motion — Target Brief</t>
  </si>
  <si>
    <t xml:space="preserve">Built from Naveen's Star_Rating_Analysis workbook (Apr 2026). Dallas Andrews · GTM Engineer · Jun 30 2026. Internal working file.</t>
  </si>
  <si>
    <t xml:space="preserve">The addressability cut, quantified</t>
  </si>
  <si>
    <t xml:space="preserve">519 rated MA contracts in the 2025 cycle. 308 (59%) sit below 4.0 stars.</t>
  </si>
  <si>
    <t xml:space="preserve">171 of those are at exactly 3.5 stars — the cliff-edge population, half a star from the 4.0 bonus threshold. Total forgone QBP across the 171: ~$3.0B.</t>
  </si>
  <si>
    <t xml:space="preserve">93 of the 171 are Intradiem-addressable (customer-service or mixed measure gaps), worth ~$2.29B. The other 78 (~$0.7B) are clinical-driven and out of lane.</t>
  </si>
  <si>
    <t xml:space="preserve">This is the evidence version of the addressability POV: not every sub-4.0 plan is movable; the winnable set is the CS-measure gaps Intradiem's products touch.</t>
  </si>
  <si>
    <t xml:space="preserve">By the numbers (live from the Scored Targets tab)</t>
  </si>
  <si>
    <t xml:space="preserve">Addressable cliff-edge contracts</t>
  </si>
  <si>
    <t xml:space="preserve">Addressable forgone QBP ($M, ceiling)</t>
  </si>
  <si>
    <t xml:space="preserve">QO-led — sellable now</t>
  </si>
  <si>
    <t xml:space="preserve">QO-led forgone QBP ($M)</t>
  </si>
  <si>
    <t xml:space="preserve">BOO-led — queued for Sept GA</t>
  </si>
  <si>
    <t xml:space="preserve">BOO-led forgone QBP ($M)</t>
  </si>
  <si>
    <t xml:space="preserve">How to run it (the sequencing read)</t>
  </si>
  <si>
    <t xml:space="preserve">Lead with the 32 QO-led contracts. Queue Optimizer is sellable today; these are the immediate motion.</t>
  </si>
  <si>
    <t xml:space="preserve">Queue the 61 BOO-led contracts for Back Office Optimizer GA (Sept 2026, Busbee). A product slip changes the timing of what you source, not the number.</t>
  </si>
  <si>
    <t xml:space="preserve">Anchor whales: Humana H5216 (2.47M-member D-SNP) = $820M forgone alone; Humana holds 14 cliff-edge contracts / ~$1.33B; UnitedHealth 20 / ~$540M.</t>
  </si>
  <si>
    <t xml:space="preserve">Ceiling caveat: forgone-QBP figures are theoretical ceilings. The workbook's own methodology puts realistic recapture at 30–50%. Lead with the ceiling to size, qualify with the range. Never quote the ceiling as recoverable.</t>
  </si>
  <si>
    <t xml:space="preserve">Rule status — VERIFIED Jun 30 2026 (corrects the talk track)</t>
  </si>
  <si>
    <t xml:space="preserve">The CY2027 MA/Part D final rule (CMS-4208-F) was finalized April 2026. It removes 11 Star measures (the proposed 12th, diabetes eye exam, was kept) and does not implement the Excellent Health Outcomes for All reward.</t>
  </si>
  <si>
    <t xml:space="preserve">Most removals take effect with the 2027 measurement year / 2029 Star Ratings. Your near-term cliff-edge motion (2026 and 2027 QBP) is UNAFFECTED.</t>
  </si>
  <si>
    <t xml:space="preserve">The Call Center Foreign Language Interpreter and TTY measures (C32, D01 — the Elevance $375M story) are removed starting with 2028 Star Ratings. Use that story now while it is live, then pivot to appeals-timeliness (BOO, C30/D02) and the 5x Improvement measures (C29/D06) as the durable backbone.</t>
  </si>
  <si>
    <t xml:space="preserve">Before finalizing any deck, reconcile the surviving-measure list against the CMS '2027 Star Ratings Measures and Weights' file. Sources listed on this tab.</t>
  </si>
  <si>
    <t xml:space="preserve">How this feeds the Golden List</t>
  </si>
  <si>
    <t xml:space="preserve">The 93 addressable contracts are the seed universe for account scoring. New scoring fields: forgone QBP (deal size), lead product (QO-now vs BOO-later gating), SNP flag, CS-vs-clinical gap, and measurement-cycle timing.</t>
  </si>
  <si>
    <t xml:space="preserve">Per-contract measure gaps and per-parent positioning notes (this workbook) are ready-made personalization for the Strike Room and sequences.</t>
  </si>
  <si>
    <t xml:space="preserve">Priority score used here = forgone QBP x sellable-now factor (QO 1.0, BOO 0.7). Simple and defensible; adjust the factor once BOO GA timing firms up.</t>
  </si>
  <si>
    <t xml:space="preserve">Sources</t>
  </si>
  <si>
    <t xml:space="preserve">CMS CY2027 MA &amp; Part D Final Rule fact sheet — cms.gov/newsroom/fact-sheets/contract-year-2027-medicare-advantage-part-d-final-rule</t>
  </si>
  <si>
    <t xml:space="preserve">CMS '2027 Star Ratings Measures and Weights' — cms.gov/files/document/2027-star-ratings-measures.pdf</t>
  </si>
  <si>
    <t xml:space="preserve">Medicare Rights Center, 'Final 2027 MA and Part D Rule', Apr 16 2026</t>
  </si>
  <si>
    <t xml:space="preserve">Underlying data: Naveen Thilagan, Star_Rating_Analysis workbook (Intradiem Product Strategy, Apr 2026)</t>
  </si>
  <si>
    <t xml:space="preserve">Measure Reconciliation — Intradiem's 19 addressable measures vs. CY2027 Final Rule (CMS-4208-F, Apr 2 2026)</t>
  </si>
  <si>
    <t xml:space="preserve">VERIFIED Jun 30 2026 vs CMS fact sheet, CMS '2027 Star Ratings Measures &amp; Weights', and Holland &amp; Knight alert. Removals phase in at 2028 and 2029 Star Ratings, so the near-term cliff motion (through 2028 QBP) is unaffected. Confidence flags note where the 2029 batch membership should be confirmed against the Federal Register final rule (2026-06600) before any long-horizon payer deck.</t>
  </si>
  <si>
    <t xml:space="preserve">Measure ID</t>
  </si>
  <si>
    <t xml:space="preserve">Measure Name</t>
  </si>
  <si>
    <t xml:space="preserve">Domain</t>
  </si>
  <si>
    <t xml:space="preserve">Influence</t>
  </si>
  <si>
    <t xml:space="preserve">Weight</t>
  </si>
  <si>
    <t xml:space="preserve">Intradiem lever</t>
  </si>
  <si>
    <t xml:space="preserve">Status</t>
  </si>
  <si>
    <t xml:space="preserve">Effective</t>
  </si>
  <si>
    <t xml:space="preserve">Confidence</t>
  </si>
  <si>
    <t xml:space="preserve">Note</t>
  </si>
  <si>
    <t xml:space="preserve">C32</t>
  </si>
  <si>
    <t xml:space="preserve">Call Center Interpreter/TTY Availability</t>
  </si>
  <si>
    <t xml:space="preserve">Customer Service</t>
  </si>
  <si>
    <t xml:space="preserve">HIGH</t>
  </si>
  <si>
    <t xml:space="preserve">QO, Coaching</t>
  </si>
  <si>
    <t xml:space="preserve">REMOVED</t>
  </si>
  <si>
    <t xml:space="preserve">2028 Star Ratings</t>
  </si>
  <si>
    <t xml:space="preserve">High</t>
  </si>
  <si>
    <t xml:space="preserve">One of the 11. Confirmed removed 2028. Retire the secret-shopper opener after this cycle.</t>
  </si>
  <si>
    <t xml:space="preserve">D01</t>
  </si>
  <si>
    <t xml:space="preserve">Call Center Interpreter/TTY (Part D)</t>
  </si>
  <si>
    <t xml:space="preserve">The Elevance $375M measure. Confirmed removed 2028. Use it now while live, then drop it.</t>
  </si>
  <si>
    <t xml:space="preserve">C30</t>
  </si>
  <si>
    <t xml:space="preserve">Plan Makes Timely Decisions about Appeals</t>
  </si>
  <si>
    <t xml:space="preserve">BOO, Coaching</t>
  </si>
  <si>
    <t xml:space="preserve">2029 Star Ratings</t>
  </si>
  <si>
    <t xml:space="preserve">Medium</t>
  </si>
  <si>
    <t xml:space="preserve">CORRECTS workbook (it called this the strongest surviving lever). Final rule appears to remove it. Verify vs Federal Register before long-horizon BOO decks.</t>
  </si>
  <si>
    <t xml:space="preserve">C31</t>
  </si>
  <si>
    <t xml:space="preserve">Reviewing Appeals Decisions</t>
  </si>
  <si>
    <t xml:space="preserve">Coaching, BOO</t>
  </si>
  <si>
    <t xml:space="preserve">Med-High</t>
  </si>
  <si>
    <t xml:space="preserve">Administrative/process measure in the removal batch.</t>
  </si>
  <si>
    <t xml:space="preserve">C27</t>
  </si>
  <si>
    <t xml:space="preserve">Complaints about the Health Plan</t>
  </si>
  <si>
    <t xml:space="preserve">QO, BOO, Burnout, Coaching</t>
  </si>
  <si>
    <t xml:space="preserve">Downstream service-quality signal removed from QBP math in 2029.</t>
  </si>
  <si>
    <t xml:space="preserve">D04</t>
  </si>
  <si>
    <t xml:space="preserve">Complaints about the Drug Plan</t>
  </si>
  <si>
    <t xml:space="preserve">Part D counterpart of C27.</t>
  </si>
  <si>
    <t xml:space="preserve">C28</t>
  </si>
  <si>
    <t xml:space="preserve">Members Choosing to Leave the Plan</t>
  </si>
  <si>
    <t xml:space="preserve">Member Experience</t>
  </si>
  <si>
    <t xml:space="preserve">MED</t>
  </si>
  <si>
    <t xml:space="preserve">All four</t>
  </si>
  <si>
    <t xml:space="preserve">Disenrollment measure in the removal batch.</t>
  </si>
  <si>
    <t xml:space="preserve">D05</t>
  </si>
  <si>
    <t xml:space="preserve">Members Choosing to Leave (Part D)</t>
  </si>
  <si>
    <t xml:space="preserve">Part D counterpart of C28.</t>
  </si>
  <si>
    <t xml:space="preserve">D02</t>
  </si>
  <si>
    <t xml:space="preserve">Appeals Auto-Forward (Part D)</t>
  </si>
  <si>
    <t xml:space="preserve">BOO</t>
  </si>
  <si>
    <t xml:space="preserve">VERIFY</t>
  </si>
  <si>
    <t xml:space="preserve">TBD</t>
  </si>
  <si>
    <t xml:space="preserve">Low</t>
  </si>
  <si>
    <t xml:space="preserve">Not shown in the CMS 2027 measures table pulled; status unclear. Confirm vs Federal Register before relying on it for BOO.</t>
  </si>
  <si>
    <t xml:space="preserve">D03</t>
  </si>
  <si>
    <t xml:space="preserve">Appeals Upheld (Part D)</t>
  </si>
  <si>
    <t xml:space="preserve">Same as D02: not visible in the 2027 measures table; verify.</t>
  </si>
  <si>
    <t xml:space="preserve">C29</t>
  </si>
  <si>
    <t xml:space="preserve">Health Plan Quality Improvement</t>
  </si>
  <si>
    <t xml:space="preserve">Improvement</t>
  </si>
  <si>
    <t xml:space="preserve">SURVIVES</t>
  </si>
  <si>
    <t xml:space="preserve">—</t>
  </si>
  <si>
    <t xml:space="preserve">5x weight, highest in the system. Confirmed survives. THE durable backbone.</t>
  </si>
  <si>
    <t xml:space="preserve">D06</t>
  </si>
  <si>
    <t xml:space="preserve">Drug Plan Quality Improvement</t>
  </si>
  <si>
    <t xml:space="preserve">5x weight. Confirmed survives. Durable backbone (Part D).</t>
  </si>
  <si>
    <t xml:space="preserve">C24</t>
  </si>
  <si>
    <t xml:space="preserve">Customer Service (CAHPS)</t>
  </si>
  <si>
    <t xml:space="preserve">QO, Burnout, Coaching</t>
  </si>
  <si>
    <t xml:space="preserve">Present in the 2027 measures table; not in the enumerated 11. Likely survives; confirm it is not in the 2029 batch.</t>
  </si>
  <si>
    <t xml:space="preserve">C21</t>
  </si>
  <si>
    <t xml:space="preserve">Getting Needed Care (CAHPS)</t>
  </si>
  <si>
    <t xml:space="preserve">BOO, QO</t>
  </si>
  <si>
    <t xml:space="preserve">CAHPS experience measure; CMS is refocusing toward experience. Durable.</t>
  </si>
  <si>
    <t xml:space="preserve">C22</t>
  </si>
  <si>
    <t xml:space="preserve">Getting Appointments and Care Quickly</t>
  </si>
  <si>
    <t xml:space="preserve">Durable CAHPS experience measure.</t>
  </si>
  <si>
    <t xml:space="preserve">C26</t>
  </si>
  <si>
    <t xml:space="preserve">Care Coordination (CAHPS)</t>
  </si>
  <si>
    <t xml:space="preserve">Durable.</t>
  </si>
  <si>
    <t xml:space="preserve">C25</t>
  </si>
  <si>
    <t xml:space="preserve">Rating of Health Plan (CAHPS)</t>
  </si>
  <si>
    <t xml:space="preserve">Composite experience signal; durable.</t>
  </si>
  <si>
    <t xml:space="preserve">D07</t>
  </si>
  <si>
    <t xml:space="preserve">Rating of Drug Plan (CAHPS)</t>
  </si>
  <si>
    <t xml:space="preserve">D08</t>
  </si>
  <si>
    <t xml:space="preserve">Getting Needed Prescription Drugs</t>
  </si>
  <si>
    <t xml:space="preserve">Tally:</t>
  </si>
  <si>
    <t xml:space="preserve">2 removed at 2028 Stars (TTY pair) · 6 removed at 2029 Stars · 2 to verify (Part D appeals) · 9 survive, anchored by the two 5x Improvement measures (C29/D06) + the CAHPS experience cluster.</t>
  </si>
  <si>
    <t xml:space="preserve">Rank</t>
  </si>
  <si>
    <t xml:space="preserve">Tier</t>
  </si>
  <si>
    <t xml:space="preserve">Sell Window</t>
  </si>
  <si>
    <t xml:space="preserve">Parent</t>
  </si>
  <si>
    <t xml:space="preserve">Contract</t>
  </si>
  <si>
    <t xml:space="preserve">Marketing Name</t>
  </si>
  <si>
    <t xml:space="preserve">Org Type</t>
  </si>
  <si>
    <t xml:space="preserve">SNP</t>
  </si>
  <si>
    <t xml:space="preserve">Members</t>
  </si>
  <si>
    <t xml:space="preserve">Per-Enrollee QBP ($)</t>
  </si>
  <si>
    <t xml:space="preserve">Forgone QBP ($M)</t>
  </si>
  <si>
    <t xml:space="preserve">Lead Product</t>
  </si>
  <si>
    <t xml:space="preserve">Priority Score</t>
  </si>
  <si>
    <t xml:space="preserve">Measure Profile</t>
  </si>
  <si>
    <t xml:space="preserve">Addressable Measure Gaps</t>
  </si>
  <si>
    <t xml:space="preserve">Rationale</t>
  </si>
  <si>
    <t xml:space="preserve">Humana</t>
  </si>
  <si>
    <t xml:space="preserve">H5216</t>
  </si>
  <si>
    <t xml:space="preserve">Local CCP</t>
  </si>
  <si>
    <t xml:space="preserve">Yes</t>
  </si>
  <si>
    <t xml:space="preserve">CS 3.7 / Clin 3.3</t>
  </si>
  <si>
    <t xml:space="preserve">D04 D Quality Imp (2★), C21 Cust Service (3★), C22 Care Quality (3★), C23 Health Plan (3★), C24 Care Coord (3★) +1 more</t>
  </si>
  <si>
    <t xml:space="preserve">SNP contract: complex back office (LTSS coordination, dual-eligible workflows, redetermination cycles). BOO drives C26 Care Coordination CAHPS and C30/D02 Appeals Timeliness simultaneously. Add Coaching for SNP-specific protocols.</t>
  </si>
  <si>
    <t xml:space="preserve">H5619</t>
  </si>
  <si>
    <t xml:space="preserve">CS 3.6 / Clin 3.1</t>
  </si>
  <si>
    <t xml:space="preserve">C21 Cust Service (3★), C29 Appeals Upheld (3★), C19 Getting Care (3★), C23 Health Plan (3★), C24 Care Coord (3★) +2 more</t>
  </si>
  <si>
    <t xml:space="preserve">UnitedHealth</t>
  </si>
  <si>
    <t xml:space="preserve">H8768</t>
  </si>
  <si>
    <t xml:space="preserve">UnitedHealthcare</t>
  </si>
  <si>
    <t xml:space="preserve">No</t>
  </si>
  <si>
    <t xml:space="preserve">QO</t>
  </si>
  <si>
    <t xml:space="preserve">CS 3.4 / Clin 3.1</t>
  </si>
  <si>
    <t xml:space="preserve">C21 Cust Service (1★), C20 Appts Quickly (2★), C23 Health Plan (2★), D05 Drug Plan (2★), C19 Getting Care (3★) +3 more</t>
  </si>
  <si>
    <t xml:space="preserve">Lead with QO for C32/D01 secret-shopper measures (binary pass-fail; one half-star to full QBP). Pair with Coaching for accuracy half of the same measure. BOO as second product.</t>
  </si>
  <si>
    <t xml:space="preserve">H0028</t>
  </si>
  <si>
    <t xml:space="preserve">CS 3.6 / Clin 3.4</t>
  </si>
  <si>
    <t xml:space="preserve">D04 D Quality Imp (2★), C19 Getting Care (3★), C22 Care Quality (3★), C24 Care Coord (3★), C26 Disenroll (3★) +2 more</t>
  </si>
  <si>
    <t xml:space="preserve">H6622</t>
  </si>
  <si>
    <t xml:space="preserve">D04 D Quality Imp (2★), C21 Cust Service (3★), C19 Getting Care (3★), C23 Health Plan (3★), C26 Disenroll (3★) +2 more</t>
  </si>
  <si>
    <t xml:space="preserve">H0543</t>
  </si>
  <si>
    <t xml:space="preserve">CS 3.2 / Clin 3.6</t>
  </si>
  <si>
    <t xml:space="preserve">C19 Getting Care (1★), C20 Appts Quickly (1★), C24 Care Coord (1★), C27 Quality Imp (2★), D06 Getting Rx (2★) +4 more</t>
  </si>
  <si>
    <t xml:space="preserve">H3387</t>
  </si>
  <si>
    <t xml:space="preserve">CS 3.5 / Clin 3.7</t>
  </si>
  <si>
    <t xml:space="preserve">C20 Appts Quickly (2★), C22 Care Quality (2★), C21 Cust Service (3★), C19 Getting Care (3★), C23 Health Plan (3★) +4 more</t>
  </si>
  <si>
    <t xml:space="preserve">H4514</t>
  </si>
  <si>
    <t xml:space="preserve">CS 3.7 / Clin 3.2</t>
  </si>
  <si>
    <t xml:space="preserve">C21 Cust Service (2★), D04 D Quality Imp (2★), C24 Care Coord (3★), C26 Disenroll (3★), C27 Quality Imp (3★) +2 more</t>
  </si>
  <si>
    <t xml:space="preserve">H4604</t>
  </si>
  <si>
    <t xml:space="preserve">CS 3.8 / Clin 3.5</t>
  </si>
  <si>
    <t xml:space="preserve">C21 Cust Service (2★), C20 Appts Quickly (2★), C19 Getting Care (3★), C22 Care Quality (3★), C23 Health Plan (3★) +1 more</t>
  </si>
  <si>
    <t xml:space="preserve">R7444</t>
  </si>
  <si>
    <t xml:space="preserve">Regional CCP</t>
  </si>
  <si>
    <t xml:space="preserve">CS 3.6 / Clin 3.2</t>
  </si>
  <si>
    <t xml:space="preserve">C23 Health Plan (1★), D05 Drug Plan (1★), C19 Getting Care (2★), C20 Appts Quickly (3★), C22 Care Quality (3★) +1 more</t>
  </si>
  <si>
    <t xml:space="preserve">Medica Holding Company</t>
  </si>
  <si>
    <t xml:space="preserve">H8889</t>
  </si>
  <si>
    <t xml:space="preserve">Medica</t>
  </si>
  <si>
    <t xml:space="preserve">CS 3.8 / Clin 3.4</t>
  </si>
  <si>
    <t xml:space="preserve">D05 Drug Plan (2★), C29 Appeals Upheld (3★), C30 FL/TTY (3★), C19 Getting Care (3★), C20 Appts Quickly (3★) +2 more</t>
  </si>
  <si>
    <t xml:space="preserve">H3379</t>
  </si>
  <si>
    <t xml:space="preserve">CS 3.6 / Clin 3.5</t>
  </si>
  <si>
    <t xml:space="preserve">C23 Health Plan (2★), D05 Drug Plan (2★), C21 Cust Service (3★), C19 Getting Care (3★), C22 Care Quality (3★) +5 more</t>
  </si>
  <si>
    <t xml:space="preserve">H5970</t>
  </si>
  <si>
    <t xml:space="preserve">D04 D Quality Imp (1★), C23 Health Plan (2★), D05 Drug Plan (2★), C29 Appeals Upheld (3★), C22 Care Quality (3★) +1 more</t>
  </si>
  <si>
    <t xml:space="preserve">California Physicians' Service</t>
  </si>
  <si>
    <t xml:space="preserve">H0504</t>
  </si>
  <si>
    <t xml:space="preserve">Blue Shield of California</t>
  </si>
  <si>
    <t xml:space="preserve">CS 3.4 / Clin 3.6</t>
  </si>
  <si>
    <t xml:space="preserve">C20 Appts Quickly (1★), C24 Care Coord (1★), C19 Getting Care (2★), C21 Cust Service (3★), C22 Care Quality (3★) +2 more</t>
  </si>
  <si>
    <t xml:space="preserve">H3113</t>
  </si>
  <si>
    <t xml:space="preserve">CS 3.4 / Clin 3.3</t>
  </si>
  <si>
    <t xml:space="preserve">C19 Getting Care (1★), D04 D Quality Imp (1★), C21 Cust Service (2★), C20 Appts Quickly (3★), C26 Disenroll (3★) +2 more</t>
  </si>
  <si>
    <t xml:space="preserve">Cambia Health Solutions, Inc.</t>
  </si>
  <si>
    <t xml:space="preserve">H3817</t>
  </si>
  <si>
    <t xml:space="preserve">Regence BlueCross BlueShield of Oregon</t>
  </si>
  <si>
    <t xml:space="preserve">CS 3.5 / Clin 3.3</t>
  </si>
  <si>
    <t xml:space="preserve">C20 Appts Quickly (1★), C19 Getting Care (2★), C23 Health Plan (2★), C24 Care Coord (2★), D05 Drug Plan (2★) +3 more</t>
  </si>
  <si>
    <t xml:space="preserve">Horizon Mutual Holdings, Inc</t>
  </si>
  <si>
    <t xml:space="preserve">H0885</t>
  </si>
  <si>
    <t xml:space="preserve">Braven Health</t>
  </si>
  <si>
    <t xml:space="preserve">D05 Drug Plan (2★), C21 Cust Service (3★), C19 Getting Care (3★), C24 Care Coord (3★), D04 D Quality Imp (3★) +1 more</t>
  </si>
  <si>
    <t xml:space="preserve">EmblemHealth, Inc.</t>
  </si>
  <si>
    <t xml:space="preserve">H3528</t>
  </si>
  <si>
    <t xml:space="preserve">ConnectiCare</t>
  </si>
  <si>
    <t xml:space="preserve">CS 3.5 / Clin 3.4</t>
  </si>
  <si>
    <t xml:space="preserve">C23 Health Plan (2★), D05 Drug Plan (2★), C21 Cust Service (3★), C19 Getting Care (3★), C20 Appts Quickly (3★) +4 more</t>
  </si>
  <si>
    <t xml:space="preserve">CVS / Aetna</t>
  </si>
  <si>
    <t xml:space="preserve">H3931</t>
  </si>
  <si>
    <t xml:space="preserve">Aetna Medicare</t>
  </si>
  <si>
    <t xml:space="preserve">C21 Cust Service (3★), C28 Appeals Timely (3★), C19 Getting Care (3★), C20 Appts Quickly (3★), C22 Care Quality (3★) +1 more</t>
  </si>
  <si>
    <t xml:space="preserve">Blue Cross and Blue Shield of Massachusetts, Inc.</t>
  </si>
  <si>
    <t xml:space="preserve">H2230</t>
  </si>
  <si>
    <t xml:space="preserve">Blue Cross Blue Shield of Massachusetts</t>
  </si>
  <si>
    <t xml:space="preserve">CS 3.6 / Clin 3.8</t>
  </si>
  <si>
    <t xml:space="preserve">C19 Getting Care (2★), C20 Appts Quickly (2★), C22 Care Quality (2★), C24 Care Coord (2★), D05 Drug Plan (2★) +2 more</t>
  </si>
  <si>
    <t xml:space="preserve">Blue Cross Blue Shield of Michigan Mutual Ins. Co.</t>
  </si>
  <si>
    <t xml:space="preserve">H6898</t>
  </si>
  <si>
    <t xml:space="preserve">Vermont Blue Advantage</t>
  </si>
  <si>
    <t xml:space="preserve">CS 3.8 / Clin 3.3</t>
  </si>
  <si>
    <t xml:space="preserve">C29 Appeals Upheld (2★), C23 Health Plan (2★), C28 Appeals Timely (3★), C19 Getting Care (3★), C20 Appts Quickly (3★) +2 more</t>
  </si>
  <si>
    <t xml:space="preserve">Intermountain Health Care, Inc.</t>
  </si>
  <si>
    <t xml:space="preserve">H2246</t>
  </si>
  <si>
    <t xml:space="preserve">Select Health</t>
  </si>
  <si>
    <t xml:space="preserve">CS 3.6 / Clin 3.3</t>
  </si>
  <si>
    <t xml:space="preserve">D05 Drug Plan (1★), D06 Getting Rx (2★), C30 FL/TTY (3★), C26 Disenroll (3★), D03 D Disenroll (3★)</t>
  </si>
  <si>
    <t xml:space="preserve">UCare Minnesota</t>
  </si>
  <si>
    <t xml:space="preserve">H8070</t>
  </si>
  <si>
    <t xml:space="preserve">UCare</t>
  </si>
  <si>
    <t xml:space="preserve">CS 3.8 / Clin 3.8</t>
  </si>
  <si>
    <t xml:space="preserve">C20 Appts Quickly (2★), D05 Drug Plan (2★), D06 Getting Rx (2★), C19 Getting Care (3★)</t>
  </si>
  <si>
    <t xml:space="preserve">Blue Cross Blue Shield of Arizona</t>
  </si>
  <si>
    <t xml:space="preserve">H0302</t>
  </si>
  <si>
    <t xml:space="preserve">Blue Cross Blue Shield of Arizona (AZ Blue)</t>
  </si>
  <si>
    <t xml:space="preserve">CS 3.1 / Clin 4.0</t>
  </si>
  <si>
    <t xml:space="preserve">C30 FL/TTY (1★), D01 D FL/TTY (2★), C19 Getting Care (2★), C20 Appts Quickly (2★), C24 Care Coord (2★) +5 more</t>
  </si>
  <si>
    <t xml:space="preserve">H2261</t>
  </si>
  <si>
    <t xml:space="preserve">CS 3.9 / Clin 3.5</t>
  </si>
  <si>
    <t xml:space="preserve">C22 Care Quality (2★), C23 Health Plan (2★), D05 Drug Plan (2★), D06 Getting Rx (2★), C19 Getting Care (3★) +2 more</t>
  </si>
  <si>
    <t xml:space="preserve">Visiting Nurse Service of New York</t>
  </si>
  <si>
    <t xml:space="preserve">H5549</t>
  </si>
  <si>
    <t xml:space="preserve">VNS Health Medicare</t>
  </si>
  <si>
    <t xml:space="preserve">CS 2.8 / Clin 4.4</t>
  </si>
  <si>
    <t xml:space="preserve">C21 Cust Service (1★), C24 Care Coord (1★), C19 Getting Care (2★), C22 Care Quality (2★), C23 Health Plan (2★) +10 more</t>
  </si>
  <si>
    <t xml:space="preserve">Centene</t>
  </si>
  <si>
    <t xml:space="preserve">H0174</t>
  </si>
  <si>
    <t xml:space="preserve">Wellcare</t>
  </si>
  <si>
    <t xml:space="preserve">CS 3.4 / Clin 3.0</t>
  </si>
  <si>
    <t xml:space="preserve">C26 Disenroll (2★), D03 D Disenroll (2★), C25 Complaints (3★), C28 Appeals Timely (3★), C29 Appeals Upheld (3★) +6 more</t>
  </si>
  <si>
    <t xml:space="preserve">H3330</t>
  </si>
  <si>
    <t xml:space="preserve">EmblemHealth</t>
  </si>
  <si>
    <t xml:space="preserve">CS 3.5 / Clin 3.1</t>
  </si>
  <si>
    <t xml:space="preserve">C20 Appts Quickly (1★), C22 Care Quality (2★), C23 Health Plan (2★), C24 Care Coord (2★), D06 Getting Rx (2★) +3 more</t>
  </si>
  <si>
    <t xml:space="preserve">PacificSource</t>
  </si>
  <si>
    <t xml:space="preserve">H3864</t>
  </si>
  <si>
    <t xml:space="preserve">PacificSource Medicare</t>
  </si>
  <si>
    <t xml:space="preserve">C19 Getting Care (2★), C20 Appts Quickly (2★), C22 Care Quality (2★), D05 Drug Plan (2★), C28 Appeals Timely (3★) +4 more</t>
  </si>
  <si>
    <t xml:space="preserve">H1032</t>
  </si>
  <si>
    <t xml:space="preserve">C23 Health Plan (2★), C26 Disenroll (2★), D03 D Disenroll (2★), C28 Appeals Timely (3★), C29 Appeals Upheld (3★)</t>
  </si>
  <si>
    <t xml:space="preserve">Imperial Health Plan of California</t>
  </si>
  <si>
    <t xml:space="preserve">H5496</t>
  </si>
  <si>
    <t xml:space="preserve">Imperial Health Plan of California, Inc.</t>
  </si>
  <si>
    <t xml:space="preserve">CS 2.7 / Clin 4.3</t>
  </si>
  <si>
    <t xml:space="preserve">C19 Getting Care (1★), C23 Health Plan (1★), C21 Cust Service (2★), C25 Complaints (2★), D02 D Complaints (2★) +4 more</t>
  </si>
  <si>
    <t xml:space="preserve">H4506</t>
  </si>
  <si>
    <t xml:space="preserve">CS 3.6 / Clin 3.6</t>
  </si>
  <si>
    <t xml:space="preserve">C28 Appeals Timely (2★), C23 Health Plan (2★), C21 Cust Service (3★), C22 Care Quality (3★), C24 Care Coord (3★) +3 more</t>
  </si>
  <si>
    <t xml:space="preserve">H4868</t>
  </si>
  <si>
    <t xml:space="preserve">CS 3.3 / Clin 3.2</t>
  </si>
  <si>
    <t xml:space="preserve">C23 Health Plan (1★), C19 Getting Care (2★), C26 Disenroll (2★), D03 D Disenroll (2★), D05 Drug Plan (2★) +1 more</t>
  </si>
  <si>
    <t xml:space="preserve">H2247</t>
  </si>
  <si>
    <t xml:space="preserve">CS 3.3 / Clin 2.8</t>
  </si>
  <si>
    <t xml:space="preserve">D04 D Quality Imp (1★), C20 Appts Quickly (2★), C21 Cust Service (3★), C25 Complaints (3★), D02 D Complaints (3★) +7 more</t>
  </si>
  <si>
    <t xml:space="preserve">The Cigna Group</t>
  </si>
  <si>
    <t xml:space="preserve">H3949</t>
  </si>
  <si>
    <t xml:space="preserve">Cigna Healthcare</t>
  </si>
  <si>
    <t xml:space="preserve">CS 3.5 / Clin 3.6</t>
  </si>
  <si>
    <t xml:space="preserve">C23 Health Plan (2★), C21 Cust Service (3★), C19 Getting Care (3★), C20 Appts Quickly (3★), C26 Disenroll (3★) +5 more</t>
  </si>
  <si>
    <t xml:space="preserve">Louisiana Health Service &amp; Indemnity Company</t>
  </si>
  <si>
    <t xml:space="preserve">H6453</t>
  </si>
  <si>
    <t xml:space="preserve">Blue Cross and Blue Shield of Louisiana</t>
  </si>
  <si>
    <t xml:space="preserve">C23 Health Plan (2★), D05 Drug Plan (2★), C21 Cust Service (3★), C24 Care Coord (3★), C27 Quality Imp (3★) +1 more</t>
  </si>
  <si>
    <t xml:space="preserve">Elevance</t>
  </si>
  <si>
    <t xml:space="preserve">H5854</t>
  </si>
  <si>
    <t xml:space="preserve">Anthem Blue Cross and Blue Shield</t>
  </si>
  <si>
    <t xml:space="preserve">C20 Appts Quickly (2★), D06 Getting Rx (2★), C21 Cust Service (3★), C19 Getting Care (3★), C23 Health Plan (3★) +5 more</t>
  </si>
  <si>
    <t xml:space="preserve">Hawaii Medical Service Association</t>
  </si>
  <si>
    <t xml:space="preserve">H3832</t>
  </si>
  <si>
    <t xml:space="preserve">HMSA Akamai Advantage</t>
  </si>
  <si>
    <t xml:space="preserve">C21 Cust Service (2★), D05 Drug Plan (2★), C28 Appeals Timely (3★), C19 Getting Care (3★), C20 Appts Quickly (3★) +6 more</t>
  </si>
  <si>
    <t xml:space="preserve">Zing Health Consolidator, Inc</t>
  </si>
  <si>
    <t xml:space="preserve">H4624</t>
  </si>
  <si>
    <t xml:space="preserve">Zing Health</t>
  </si>
  <si>
    <t xml:space="preserve">CS 3.1 / Clin 3.2</t>
  </si>
  <si>
    <t xml:space="preserve">C29 Appeals Upheld (1★), C25 Complaints (2★), D02 D Complaints (2★), C20 Appts Quickly (2★), C22 Care Quality (2★) +6 more</t>
  </si>
  <si>
    <t xml:space="preserve">H0624</t>
  </si>
  <si>
    <t xml:space="preserve">CS 3.0 / Clin 3.5</t>
  </si>
  <si>
    <t xml:space="preserve">C20 Appts Quickly (1★), C27 Quality Imp (1★), D04 D Quality Imp (1★), C19 Getting Care (2★), C23 Health Plan (2★) +3 more</t>
  </si>
  <si>
    <t xml:space="preserve">CareSource</t>
  </si>
  <si>
    <t xml:space="preserve">H6396</t>
  </si>
  <si>
    <t xml:space="preserve">CS 3.4 / Clin 3.5</t>
  </si>
  <si>
    <t xml:space="preserve">C23 Health Plan (2★), C27 Quality Imp (2★), D05 Drug Plan (2★), C21 Cust Service (3★), C20 Appts Quickly (3★) +5 more</t>
  </si>
  <si>
    <t xml:space="preserve">HCSC</t>
  </si>
  <si>
    <t xml:space="preserve">H8634</t>
  </si>
  <si>
    <t xml:space="preserve">Blue Cross and Blue Shield of IL, NM</t>
  </si>
  <si>
    <t xml:space="preserve">C23 Health Plan (2★), D05 Drug Plan (2★), D06 Getting Rx (2★), C21 Cust Service (3★), C29 Appeals Upheld (3★) +4 more</t>
  </si>
  <si>
    <t xml:space="preserve">H3192</t>
  </si>
  <si>
    <t xml:space="preserve">C26 Disenroll (2★), D03 D Disenroll (2★), C28 Appeals Timely (3★), C22 Care Quality (3★), D06 Getting Rx (3★)</t>
  </si>
  <si>
    <t xml:space="preserve">H8298</t>
  </si>
  <si>
    <t xml:space="preserve">Horizon Blue Cross Blue Shield of New Jersey</t>
  </si>
  <si>
    <t xml:space="preserve">CS 3.5 / Clin 3.5</t>
  </si>
  <si>
    <t xml:space="preserve">D04 D Quality Imp (1★), C19 Getting Care (2★), C21 Cust Service (3★), C20 Appts Quickly (3★), C22 Care Quality (3★) +2 more</t>
  </si>
  <si>
    <t xml:space="preserve">H5590</t>
  </si>
  <si>
    <t xml:space="preserve">Wellcare by Allwell</t>
  </si>
  <si>
    <t xml:space="preserve">CS 3.4 / Clin 2.9</t>
  </si>
  <si>
    <t xml:space="preserve">C21 Cust Service (1★), D06 Getting Rx (1★), C19 Getting Care (2★), C20 Appts Quickly (2★), C22 Care Quality (3★) +3 more</t>
  </si>
  <si>
    <t xml:space="preserve">Mass General Brigham Incorporated</t>
  </si>
  <si>
    <t xml:space="preserve">H9485</t>
  </si>
  <si>
    <t xml:space="preserve">Mass General Brigham Health Plan</t>
  </si>
  <si>
    <t xml:space="preserve">CS 3.8 / Clin 3.7</t>
  </si>
  <si>
    <t xml:space="preserve">C21 Cust Service (2★), D05 Drug Plan (2★), C30 FL/TTY (3★), C19 Getting Care (3★), D06 Getting Rx (3★)</t>
  </si>
  <si>
    <t xml:space="preserve">Thomas Jefferson University</t>
  </si>
  <si>
    <t xml:space="preserve">H9207</t>
  </si>
  <si>
    <t xml:space="preserve">Jefferson Health Plans</t>
  </si>
  <si>
    <t xml:space="preserve">C20 Appts Quickly (2★), C29 Appeals Upheld (3★), C30 FL/TTY (3★), C19 Getting Care (3★), C27 Quality Imp (3★) +1 more</t>
  </si>
  <si>
    <t xml:space="preserve">H2226</t>
  </si>
  <si>
    <t xml:space="preserve">CS 3.4 / Clin 4.0</t>
  </si>
  <si>
    <t xml:space="preserve">C20 Appts Quickly (1★), D04 D Quality Imp (1★), C21 Cust Service (2★), C19 Getting Care (2★), D06 Getting Rx (2★) +3 more</t>
  </si>
  <si>
    <t xml:space="preserve">Commonwealth Care Alliance, Inc.</t>
  </si>
  <si>
    <t xml:space="preserve">H2225</t>
  </si>
  <si>
    <t xml:space="preserve">Commonwealth Care Alliance Massachusetts</t>
  </si>
  <si>
    <t xml:space="preserve">CS 3.7 / Clin 4.0</t>
  </si>
  <si>
    <t xml:space="preserve">C24 Care Coord (2★), D06 Getting Rx (2★), C29 Appeals Upheld (3★), C30 FL/TTY (3★), D01 D FL/TTY (3★) +3 more</t>
  </si>
  <si>
    <t xml:space="preserve">Indiana University Health</t>
  </si>
  <si>
    <t xml:space="preserve">H7220</t>
  </si>
  <si>
    <t xml:space="preserve">Indiana University Health Plans</t>
  </si>
  <si>
    <t xml:space="preserve">CS 3.4 / Clin 3.4</t>
  </si>
  <si>
    <t xml:space="preserve">D04 D Quality Imp (1★), C27 Quality Imp (2★), D05 Drug Plan (2★), D06 Getting Rx (2★), C30 FL/TTY (3★) +3 more</t>
  </si>
  <si>
    <t xml:space="preserve">H4623</t>
  </si>
  <si>
    <t xml:space="preserve">D04 D Quality Imp (1★), C23 Health Plan (2★), C26 Disenroll (2★), C27 Quality Imp (2★), D03 D Disenroll (2★) +2 more</t>
  </si>
  <si>
    <t xml:space="preserve">Point32Health, Inc.</t>
  </si>
  <si>
    <t xml:space="preserve">H5273</t>
  </si>
  <si>
    <t xml:space="preserve">CarePartners of Connecticut</t>
  </si>
  <si>
    <t xml:space="preserve">CS 3.7 / Clin 3.5</t>
  </si>
  <si>
    <t xml:space="preserve">C21 Cust Service (3★), C19 Getting Care (3★), C20 Appts Quickly (3★), C24 Care Coord (3★), C27 Quality Imp (3★) +2 more</t>
  </si>
  <si>
    <t xml:space="preserve">H8597</t>
  </si>
  <si>
    <t xml:space="preserve">CS 3.3 / Clin 3.4</t>
  </si>
  <si>
    <t xml:space="preserve">C26 Disenroll (2★), D03 D Disenroll (2★), C21 Cust Service (3★), C25 Complaints (3★), C28 Appeals Timely (3★) +6 more</t>
  </si>
  <si>
    <t xml:space="preserve">Baystate Health, Inc.</t>
  </si>
  <si>
    <t xml:space="preserve">H8578</t>
  </si>
  <si>
    <t xml:space="preserve">Health New England Medicare Advantage Plans</t>
  </si>
  <si>
    <t xml:space="preserve">C29 Appeals Upheld (2★), C19 Getting Care (2★), C20 Appts Quickly (2★), C22 Care Quality (2★), D05 Drug Plan (2★) +6 more</t>
  </si>
  <si>
    <t xml:space="preserve">Devoted Health, Inc.</t>
  </si>
  <si>
    <t xml:space="preserve">H2686</t>
  </si>
  <si>
    <t xml:space="preserve">Devoted Health</t>
  </si>
  <si>
    <t xml:space="preserve">CS 3.4 / Clin 4.2</t>
  </si>
  <si>
    <t xml:space="preserve">C20 Appts Quickly (1★), C19 Getting Care (2★), C21 Cust Service (3★), C22 Care Quality (3★), C24 Care Coord (3★) +1 more</t>
  </si>
  <si>
    <t xml:space="preserve">CareOregon, Inc.</t>
  </si>
  <si>
    <t xml:space="preserve">H5859</t>
  </si>
  <si>
    <t xml:space="preserve">CareOregon Advantage</t>
  </si>
  <si>
    <t xml:space="preserve">CS 3.3 / Clin 3.3</t>
  </si>
  <si>
    <t xml:space="preserve">C21 Cust Service (1★), C19 Getting Care (1★), C20 Appts Quickly (1★), C22 Care Quality (2★), C27 Quality Imp (2★) +2 more</t>
  </si>
  <si>
    <t xml:space="preserve">LifeBridge Health, Inc.</t>
  </si>
  <si>
    <t xml:space="preserve">H9306</t>
  </si>
  <si>
    <t xml:space="preserve">Alterwood Advantage</t>
  </si>
  <si>
    <t xml:space="preserve">D05 Drug Plan (2★), C25 Complaints (3★), D02 D Complaints (3★), C20 Appts Quickly (3★), C22 Care Quality (3★) +4 more</t>
  </si>
  <si>
    <t xml:space="preserve">H1607</t>
  </si>
  <si>
    <t xml:space="preserve">CS 3.5 / Clin 3.2</t>
  </si>
  <si>
    <t xml:space="preserve">C23 Health Plan (2★), D05 Drug Plan (2★), D06 Getting Rx (2★), C21 Cust Service (3★), C19 Getting Care (3★) +5 more</t>
  </si>
  <si>
    <t xml:space="preserve">H5928</t>
  </si>
  <si>
    <t xml:space="preserve">C19 Getting Care (1★), C21 Cust Service (2★), C23 Health Plan (2★), C27 Quality Imp (2★), D04 D Quality Imp (3★) +1 more</t>
  </si>
  <si>
    <t xml:space="preserve">H1914</t>
  </si>
  <si>
    <t xml:space="preserve">CS 3.2 / Clin 3.0</t>
  </si>
  <si>
    <t xml:space="preserve">C21 Cust Service (1★), C23 Health Plan (1★), D05 Drug Plan (1★), C26 Disenroll (2★), D03 D Disenroll (2★) +3 more</t>
  </si>
  <si>
    <t xml:space="preserve">BMC Health System, Inc.</t>
  </si>
  <si>
    <t xml:space="preserve">H9585</t>
  </si>
  <si>
    <t xml:space="preserve">WellSense Health Plan</t>
  </si>
  <si>
    <t xml:space="preserve">CS 3.3 / Clin 3.9</t>
  </si>
  <si>
    <t xml:space="preserve">C19 Getting Care (2★), C20 Appts Quickly (2★), D06 Getting Rx (2★), C21 Cust Service (3★), C30 FL/TTY (3★) +5 more</t>
  </si>
  <si>
    <t xml:space="preserve">Ochsner Clinic Foundation</t>
  </si>
  <si>
    <t xml:space="preserve">H9763</t>
  </si>
  <si>
    <t xml:space="preserve">Ochsner Health Plan</t>
  </si>
  <si>
    <t xml:space="preserve">D04 D Quality Imp (1★), C20 Appts Quickly (2★), C30 FL/TTY (3★), D01 D FL/TTY (3★), C19 Getting Care (3★) +2 more</t>
  </si>
  <si>
    <t xml:space="preserve">Aware Integrated, Inc.</t>
  </si>
  <si>
    <t xml:space="preserve">H2425</t>
  </si>
  <si>
    <t xml:space="preserve">Blue Plus</t>
  </si>
  <si>
    <t xml:space="preserve">D04 D Quality Imp (2★), D06 Getting Rx (2★), C21 Cust Service (3★), C19 Getting Care (3★), C20 Appts Quickly (3★) +2 more</t>
  </si>
  <si>
    <t xml:space="preserve">H2056</t>
  </si>
  <si>
    <t xml:space="preserve">CS 3.3 / Clin 3.0</t>
  </si>
  <si>
    <t xml:space="preserve">C20 Appts Quickly (1★), C21 Cust Service (2★), C19 Getting Care (2★), D05 Drug Plan (2★), C22 Care Quality (3★) +5 more</t>
  </si>
  <si>
    <t xml:space="preserve">Banner Health</t>
  </si>
  <si>
    <t xml:space="preserve">H4931</t>
  </si>
  <si>
    <t xml:space="preserve">Banner Medicare Advantage</t>
  </si>
  <si>
    <t xml:space="preserve">C21 Cust Service (1★), C24 Care Coord (2★), C29 Appeals Upheld (3★), C19 Getting Care (3★), C20 Appts Quickly (3★) +3 more</t>
  </si>
  <si>
    <t xml:space="preserve">Molina</t>
  </si>
  <si>
    <t xml:space="preserve">H2224</t>
  </si>
  <si>
    <t xml:space="preserve">Senior Whole Health</t>
  </si>
  <si>
    <t xml:space="preserve">CS 3.7 / Clin 3.7</t>
  </si>
  <si>
    <t xml:space="preserve">C21 Cust Service (1★), C19 Getting Care (2★), C22 Care Quality (2★), D06 Getting Rx (2★), C20 Appts Quickly (3★) +3 more</t>
  </si>
  <si>
    <t xml:space="preserve">H5843</t>
  </si>
  <si>
    <t xml:space="preserve">C24 Care Coord (1★), C19 Getting Care (2★), C21 Cust Service (3★), C29 Appeals Upheld (3★), C20 Appts Quickly (3★) +1 more</t>
  </si>
  <si>
    <t xml:space="preserve">Guidewell Mutual Holding Corporation</t>
  </si>
  <si>
    <t xml:space="preserve">H4005</t>
  </si>
  <si>
    <t xml:space="preserve">Triple-S Advantage</t>
  </si>
  <si>
    <t xml:space="preserve">C19 Getting Care (1★), C21 Cust Service (2★), D04 D Quality Imp (2★), C20 Appts Quickly (3★), C24 Care Coord (3★) +1 more</t>
  </si>
  <si>
    <t xml:space="preserve">Fallon Community Health Plan, Inc.</t>
  </si>
  <si>
    <t xml:space="preserve">H8928</t>
  </si>
  <si>
    <t xml:space="preserve">Fallon Health</t>
  </si>
  <si>
    <t xml:space="preserve">CS 3.7 / Clin 3.9</t>
  </si>
  <si>
    <t xml:space="preserve">C24 Care Coord (1★), C21 Cust Service (3★), C29 Appeals Upheld (3★), C30 FL/TTY (3★), C19 Getting Care (3★) +5 more</t>
  </si>
  <si>
    <t xml:space="preserve">H3080</t>
  </si>
  <si>
    <t xml:space="preserve">CS 3.1 / Clin 3.7</t>
  </si>
  <si>
    <t xml:space="preserve">C24 Care Coord (1★), C20 Appts Quickly (2★), C26 Disenroll (2★), D03 D Disenroll (2★), C25 Complaints (3★) +3 more</t>
  </si>
  <si>
    <t xml:space="preserve">SCAN Group</t>
  </si>
  <si>
    <t xml:space="preserve">H1822</t>
  </si>
  <si>
    <t xml:space="preserve">SCAN Health Plan</t>
  </si>
  <si>
    <t xml:space="preserve">C19 Getting Care (1★), C23 Health Plan (1★), C21 Cust Service (2★), C26 Disenroll (2★), D03 D Disenroll (2★) +3 more</t>
  </si>
  <si>
    <t xml:space="preserve">Alignment Healthcare USA, LLC</t>
  </si>
  <si>
    <t xml:space="preserve">H3443</t>
  </si>
  <si>
    <t xml:space="preserve">Alignment Health Plan</t>
  </si>
  <si>
    <t xml:space="preserve">CS 3.1 / Clin 4.5</t>
  </si>
  <si>
    <t xml:space="preserve">C19 Getting Care (1★), C24 Care Coord (1★), C20 Appts Quickly (2★), D06 Getting Rx (2★), C21 Cust Service (3★) +8 more</t>
  </si>
  <si>
    <t xml:space="preserve">H4711</t>
  </si>
  <si>
    <t xml:space="preserve">C19 Getting Care (1★), C26 Disenroll (2★), D03 D Disenroll (2★), C21 Cust Service (3★), C28 Appeals Timely (3★) +4 more</t>
  </si>
  <si>
    <t xml:space="preserve">H0712</t>
  </si>
  <si>
    <t xml:space="preserve">C23 Health Plan (2★), C26 Disenroll (2★), D03 D Disenroll (2★), C21 Cust Service (3★), C28 Appeals Timely (3★) +4 more</t>
  </si>
  <si>
    <t xml:space="preserve">H2737</t>
  </si>
  <si>
    <t xml:space="preserve">C20 Appts Quickly (1★), C19 Getting Care (2★), C22 Care Quality (2★), D05 Drug Plan (2★), D01 D FL/TTY (3★) +3 more</t>
  </si>
  <si>
    <t xml:space="preserve">H2486</t>
  </si>
  <si>
    <t xml:space="preserve">CS 3.4 / Clin 3.2</t>
  </si>
  <si>
    <t xml:space="preserve">C19 Getting Care (2★), C21 Cust Service (3★), C29 Appeals Upheld (3★), C22 Care Quality (3★), C23 Health Plan (3★) +4 more</t>
  </si>
  <si>
    <t xml:space="preserve">Clover Health Holdings, Inc.</t>
  </si>
  <si>
    <t xml:space="preserve">H8010</t>
  </si>
  <si>
    <t xml:space="preserve">Clover Health</t>
  </si>
  <si>
    <t xml:space="preserve">CS 3.1 / Clin 3.8</t>
  </si>
  <si>
    <t xml:space="preserve">C21 Cust Service (1★), C19 Getting Care (2★), C22 Care Quality (2★), D05 Drug Plan (2★), D06 Getting Rx (2★) +5 more</t>
  </si>
  <si>
    <t xml:space="preserve">Centers Plan for Healthy Living, LLC</t>
  </si>
  <si>
    <t xml:space="preserve">H6988</t>
  </si>
  <si>
    <t xml:space="preserve">Centers Plan for Healthy Living</t>
  </si>
  <si>
    <t xml:space="preserve">CS 3.0 / Clin 4.4</t>
  </si>
  <si>
    <t xml:space="preserve">C26 Disenroll (2★), D03 D Disenroll (2★), D04 D Quality Imp (2★), D05 Drug Plan (2★), D06 Getting Rx (2★) +8 more</t>
  </si>
  <si>
    <t xml:space="preserve">H9884</t>
  </si>
  <si>
    <t xml:space="preserve">CS 3.1 / Clin 3.9</t>
  </si>
  <si>
    <t xml:space="preserve">C19 Getting Care (2★), C22 Care Quality (2★), C24 Care Coord (2★), C26 Disenroll (2★), D03 D Disenroll (2★) +3 more</t>
  </si>
  <si>
    <t xml:space="preserve">H0978</t>
  </si>
  <si>
    <t xml:space="preserve">C19 Getting Care (1★), C20 Appts Quickly (1★), C22 Care Quality (1★), C24 Care Coord (1★), C21 Cust Service (2★) +5 more</t>
  </si>
  <si>
    <t xml:space="preserve">Denver Health and Hospital Authority</t>
  </si>
  <si>
    <t xml:space="preserve">H5608</t>
  </si>
  <si>
    <t xml:space="preserve">Elevate Medicare Advantage</t>
  </si>
  <si>
    <t xml:space="preserve">CS 3.4 / Clin 3.7</t>
  </si>
  <si>
    <t xml:space="preserve">C20 Appts Quickly (1★), C23 Health Plan (2★), C21 Cust Service (3★), C30 FL/TTY (3★), D01 D FL/TTY (3★) +3 more</t>
  </si>
  <si>
    <t xml:space="preserve">H6545</t>
  </si>
  <si>
    <t xml:space="preserve">CS 3.1 / Clin 4.4</t>
  </si>
  <si>
    <t xml:space="preserve">C19 Getting Care (2★), C24 Care Coord (2★), C26 Disenroll (2★), D03 D Disenroll (2★), D06 Getting Rx (2★) +3 more</t>
  </si>
  <si>
    <t xml:space="preserve">H9907</t>
  </si>
  <si>
    <t xml:space="preserve">Tufts Health Plan</t>
  </si>
  <si>
    <t xml:space="preserve">D05 Drug Plan (2★), C21 Cust Service (3★), C29 Appeals Upheld (3★), C19 Getting Care (3★), C20 Appts Quickly (3★) +4 more</t>
  </si>
  <si>
    <t xml:space="preserve">H1360</t>
  </si>
  <si>
    <t xml:space="preserve">C21 Cust Service (1★), C19 Getting Care (2★), D04 D Quality Imp (2★), C25 Complaints (3★), D02 D Complaints (3★) +5 more</t>
  </si>
  <si>
    <t xml:space="preserve">H5209</t>
  </si>
  <si>
    <t xml:space="preserve">My Choice Wisconsin</t>
  </si>
  <si>
    <t xml:space="preserve">CS 3.1 / Clin 3.3</t>
  </si>
  <si>
    <t xml:space="preserve">C23 Health Plan (1★), C19 Getting Care (2★), C22 Care Quality (2★), D05 Drug Plan (2★), D06 Getting Rx (2★) +6 more</t>
  </si>
  <si>
    <t xml:space="preserve">H8547</t>
  </si>
  <si>
    <t xml:space="preserve">Blue Cross and Blue Shield of Illinois</t>
  </si>
  <si>
    <t xml:space="preserve">D05 Drug Plan (2★), C21 Cust Service (3★), C19 Getting Care (3★), C23 Health Plan (3★), C26 Disenroll (3★) +2 more</t>
  </si>
  <si>
    <t xml:space="preserve">H5991</t>
  </si>
  <si>
    <t xml:space="preserve">C26 Disenroll (1★), D03 D Disenroll (1★), C25 Complaints (3★), D02 D Complaints (3★)</t>
  </si>
  <si>
    <t xml:space="preserve">Rifkin Managed Care Holding, LLC</t>
  </si>
  <si>
    <t xml:space="preserve">H9191</t>
  </si>
  <si>
    <t xml:space="preserve">Provider Partners Health Plans</t>
  </si>
  <si>
    <t xml:space="preserve">C28 Appeals Timely (1★), C29 Appeals Upheld (1★), C30 FL/TTY (3★), D01 D FL/TTY (3★), C27 Quality Imp (3★) +1 more</t>
  </si>
  <si>
    <t xml:space="preserve">H8649</t>
  </si>
  <si>
    <t xml:space="preserve">D05 Drug Plan (2★), C21 Cust Service (3★), C20 Appts Quickly (3★), C22 Care Quality (3★), C23 Health Plan (3★) +5 more</t>
  </si>
  <si>
    <t xml:space="preserve">H3800</t>
  </si>
  <si>
    <t xml:space="preserve">C29 Appeals Upheld (1★), C28 Appeals Timely (2★), C30 FL/TTY (3★), D01 D FL/TTY (3★)</t>
  </si>
  <si>
    <t xml:space="preserve">H2237</t>
  </si>
  <si>
    <t xml:space="preserve">iCare</t>
  </si>
  <si>
    <t xml:space="preserve">D06 Getting Rx (2★), C21 Cust Service (3★), C29 Appeals Upheld (3★), C19 Getting Care (3★), C20 Appts Quickly (3★) +4 more</t>
  </si>
  <si>
    <t xml:space="preserve">Longevity Health Founders, LLC</t>
  </si>
  <si>
    <t xml:space="preserve">H1644</t>
  </si>
  <si>
    <t xml:space="preserve">Longevity Health Plan</t>
  </si>
  <si>
    <t xml:space="preserve">C28 Appeals Timely (1★), C29 Appeals Upheld (3★), C30 FL/TTY (3★)</t>
  </si>
  <si>
    <t xml:space="preserve">AIDS Healthcare Foundation</t>
  </si>
  <si>
    <t xml:space="preserve">H5852</t>
  </si>
  <si>
    <t xml:space="preserve">AHF</t>
  </si>
  <si>
    <t xml:space="preserve">C21 Cust Service (2★), D04 D Quality Imp (2★), C30 FL/TTY (3★), C19 Getting Care (3★), C20 Appts Quickly (3★) +2 more</t>
  </si>
  <si>
    <t xml:space="preserve">Part C</t>
  </si>
  <si>
    <t xml:space="preserve">Part D</t>
  </si>
  <si>
    <t xml:space="preserve">Intradiem Fit</t>
  </si>
  <si>
    <t xml:space="preserve">H5525</t>
  </si>
  <si>
    <t xml:space="preserve">CS 3.6 / Clin 3.0</t>
  </si>
  <si>
    <t xml:space="preserve">C23 Health Plan (2★), D04 D Quality Imp (2★), C21 Cust Service (3★), C26 Disenroll (3★), C27 Quality Imp (3★) +1 more</t>
  </si>
  <si>
    <t xml:space="preserve">H3447</t>
  </si>
  <si>
    <t xml:space="preserve">Anthem HealthKeepers</t>
  </si>
  <si>
    <t xml:space="preserve">C23 Health Plan (2★), D05 Drug Plan (2★), D06 Getting Rx (2★), C21 Cust Service (3★), C22 Care Quality (3★) +3 more</t>
  </si>
  <si>
    <t xml:space="preserve">H3655</t>
  </si>
  <si>
    <t xml:space="preserve">CS 4.1 / Clin 3.1</t>
  </si>
  <si>
    <t xml:space="preserve">D05 Drug Plan (2★), C21 Cust Service (3★), D06 Getting Rx (3★)</t>
  </si>
  <si>
    <t xml:space="preserve">H0107</t>
  </si>
  <si>
    <t xml:space="preserve">Blue Cross and Blue Shield of Montana</t>
  </si>
  <si>
    <t xml:space="preserve">CS 3.8 / Clin 3.1</t>
  </si>
  <si>
    <t xml:space="preserve">D05 Drug Plan (1★), C21 Cust Service (3★), C19 Getting Care (3★), C20 Appts Quickly (3★), C22 Care Quality (3★) +3 more</t>
  </si>
  <si>
    <t xml:space="preserve">H3312</t>
  </si>
  <si>
    <t xml:space="preserve">C21 Cust Service (3★), C28 Appeals Timely (3★), C19 Getting Care (3★), D04 D Quality Imp (3★), D06 Getting Rx (3★)</t>
  </si>
  <si>
    <t xml:space="preserve">H9525</t>
  </si>
  <si>
    <t xml:space="preserve">CS 3.8 / Clin 2.9</t>
  </si>
  <si>
    <t xml:space="preserve">C23 Health Plan (2★), D05 Drug Plan (2★), D06 Getting Rx (2★), C21 Cust Service (3★), C22 Care Quality (3★) +1 more</t>
  </si>
  <si>
    <t xml:space="preserve">R4487</t>
  </si>
  <si>
    <t xml:space="preserve">CS 4.1 / Clin 2.7</t>
  </si>
  <si>
    <t xml:space="preserve">C23 Health Plan (2★), D05 Drug Plan (2★), D06 Getting Rx (2★), C21 Cust Service (3★), D04 D Quality Imp (3★)</t>
  </si>
  <si>
    <t xml:space="preserve">H0321</t>
  </si>
  <si>
    <t xml:space="preserve">D04 D Quality Imp (1★), C21 Cust Service (3★), C19 Getting Care (3★), C27 Quality Imp (3★)</t>
  </si>
  <si>
    <t xml:space="preserve">H3288</t>
  </si>
  <si>
    <t xml:space="preserve">D05 Drug Plan (2★), C28 Appeals Timely (3★), C29 Appeals Upheld (3★), C23 Health Plan (3★), C26 Disenroll (3★) +2 more</t>
  </si>
  <si>
    <t xml:space="preserve">H5599</t>
  </si>
  <si>
    <t xml:space="preserve">Wellcare by Fidelis Care</t>
  </si>
  <si>
    <t xml:space="preserve">CS 3.4 / Clin 2.6</t>
  </si>
  <si>
    <t xml:space="preserve">C21 Cust Service (1★), C29 Appeals Upheld (2★), C23 Health Plan (2★), C22 Care Quality (3★), C26 Disenroll (3★) +2 more</t>
  </si>
  <si>
    <t xml:space="preserve">H5434</t>
  </si>
  <si>
    <t xml:space="preserve">Florida Blue</t>
  </si>
  <si>
    <t xml:space="preserve">CS 3.7 / Clin 2.9</t>
  </si>
  <si>
    <t xml:space="preserve">D05 Drug Plan (2★), C21 Cust Service (3★), C23 Health Plan (3★), C27 Quality Imp (3★), D06 Getting Rx (3★)</t>
  </si>
  <si>
    <t xml:space="preserve">H1416</t>
  </si>
  <si>
    <t xml:space="preserve">CS 3.8 / Clin 2.3</t>
  </si>
  <si>
    <t xml:space="preserve">C23 Health Plan (2★), C26 Disenroll (2★), D03 D Disenroll (2★), C28 Appeals Timely (3★), C29 Appeals Upheld (3★) +1 more</t>
  </si>
  <si>
    <t xml:space="preserve">H0432</t>
  </si>
  <si>
    <t xml:space="preserve">CS 3.8 / Clin 2.8</t>
  </si>
  <si>
    <t xml:space="preserve">D04 D Quality Imp (1★), C26 Disenroll (2★), C27 Quality Imp (2★), D03 D Disenroll (2★), C24 Care Coord (3★)</t>
  </si>
  <si>
    <t xml:space="preserve">H8849</t>
  </si>
  <si>
    <t xml:space="preserve">Wellpoint</t>
  </si>
  <si>
    <t xml:space="preserve">CS 3.7 / Clin 3.0</t>
  </si>
  <si>
    <t xml:space="preserve">C23 Health Plan (1★), C26 Disenroll (3★), C27 Quality Imp (3★), D03 D Disenroll (3★), D05 Drug Plan (3★)</t>
  </si>
  <si>
    <t xml:space="preserve">H1035</t>
  </si>
  <si>
    <t xml:space="preserve">Florida Blue HMO</t>
  </si>
  <si>
    <t xml:space="preserve">C21 Cust Service (3★), C29 Appeals Upheld (3★), C19 Getting Care (3★), C24 Care Coord (3★), D04 D Quality Imp (3★)</t>
  </si>
  <si>
    <t xml:space="preserve">H1774</t>
  </si>
  <si>
    <t xml:space="preserve">CS 3.9 / Clin 2.9</t>
  </si>
  <si>
    <t xml:space="preserve">C26 Disenroll (3★), D03 D Disenroll (3★)</t>
  </si>
  <si>
    <t xml:space="preserve">H7925</t>
  </si>
  <si>
    <t xml:space="preserve">The Carle Foundation</t>
  </si>
  <si>
    <t xml:space="preserve">H1463</t>
  </si>
  <si>
    <t xml:space="preserve">Health Alliance Medicare</t>
  </si>
  <si>
    <t xml:space="preserve">C29 Appeals Upheld (2★), C27 Quality Imp (2★), D04 D Quality Imp (2★), D05 Drug Plan (2★), D06 Getting Rx (2★) +3 more</t>
  </si>
  <si>
    <t xml:space="preserve">CareFirst, Inc.</t>
  </si>
  <si>
    <t xml:space="preserve">H7379</t>
  </si>
  <si>
    <t xml:space="preserve">CareFirst BlueCross BlueShield Medicare Advantage</t>
  </si>
  <si>
    <t xml:space="preserve">CS 3.8 / Clin 3.2</t>
  </si>
  <si>
    <t xml:space="preserve">D05 Drug Plan (2★), C21 Cust Service (3★), C23 Health Plan (3★), D04 D Quality Imp (3★), D06 Getting Rx (3★)</t>
  </si>
  <si>
    <t xml:space="preserve">R0110</t>
  </si>
  <si>
    <t xml:space="preserve">CS 4.0 / Clin 2.7</t>
  </si>
  <si>
    <t xml:space="preserve">C23 Health Plan (2★), C29 Appeals Upheld (3★), C26 Disenroll (3★), D03 D Disenroll (3★)</t>
  </si>
  <si>
    <t xml:space="preserve">R6801</t>
  </si>
  <si>
    <t xml:space="preserve">CS 3.5 / Clin 2.7</t>
  </si>
  <si>
    <t xml:space="preserve">D04 D Quality Imp (1★), C23 Health Plan (2★), C26 Disenroll (2★), D03 D Disenroll (2★), D06 Getting Rx (2★) +1 more</t>
  </si>
  <si>
    <t xml:space="preserve">H9730</t>
  </si>
  <si>
    <t xml:space="preserve">CS 3.8 / Clin 2.5</t>
  </si>
  <si>
    <t xml:space="preserve">Gemstone Holdings, Inc.</t>
  </si>
  <si>
    <t xml:space="preserve">H1350</t>
  </si>
  <si>
    <t xml:space="preserve">Blue Cross of Idaho</t>
  </si>
  <si>
    <t xml:space="preserve">CS 3.7 / Clin 3.1</t>
  </si>
  <si>
    <t xml:space="preserve">C20 Appts Quickly (2★), C27 Quality Imp (2★), C21 Cust Service (3★), C30 FL/TTY (3★), C19 Getting Care (3★) +3 more</t>
  </si>
  <si>
    <t xml:space="preserve">MVP Health Care, Inc.</t>
  </si>
  <si>
    <t xml:space="preserve">H9615</t>
  </si>
  <si>
    <t xml:space="preserve">MVP HEALTH CARE</t>
  </si>
  <si>
    <t xml:space="preserve">CS 3.9 / Clin 3.2</t>
  </si>
  <si>
    <t xml:space="preserve">D05 Drug Plan (2★), C29 Appeals Upheld (3★), C19 Getting Care (3★), C22 Care Quality (3★), C23 Health Plan (3★) +2 more</t>
  </si>
  <si>
    <t xml:space="preserve">Elderplan, Inc.</t>
  </si>
  <si>
    <t xml:space="preserve">H3347</t>
  </si>
  <si>
    <t xml:space="preserve">Elderplan</t>
  </si>
  <si>
    <t xml:space="preserve">CS 3.9 / Clin 3.4</t>
  </si>
  <si>
    <t xml:space="preserve">C21 Cust Service (3★), C30 FL/TTY (3★), D01 D FL/TTY (3★), C20 Appts Quickly (3★), C26 Disenroll (3★) +1 more</t>
  </si>
  <si>
    <t xml:space="preserve">Independence Health Group, Inc.</t>
  </si>
  <si>
    <t xml:space="preserve">H4227</t>
  </si>
  <si>
    <t xml:space="preserve">VISTA Health Plan Inc.</t>
  </si>
  <si>
    <t xml:space="preserve">CS 4.0 / Clin 3.1</t>
  </si>
  <si>
    <t xml:space="preserve">C29 Appeals Upheld (3★), C26 Disenroll (3★), D03 D Disenroll (3★)</t>
  </si>
  <si>
    <t xml:space="preserve">H9630</t>
  </si>
  <si>
    <t xml:space="preserve">CS 3.8 / Clin 2.6</t>
  </si>
  <si>
    <t xml:space="preserve">C26 Disenroll (2★), D03 D Disenroll (2★), C21 Cust Service (3★), C29 Appeals Upheld (3★), C23 Health Plan (3★)</t>
  </si>
  <si>
    <t xml:space="preserve">H8211</t>
  </si>
  <si>
    <t xml:space="preserve">CS 3.7 / Clin 2.6</t>
  </si>
  <si>
    <t xml:space="preserve">C23 Health Plan (2★), D05 Drug Plan (2★), C21 Cust Service (3★), C29 Appeals Upheld (3★), C22 Care Quality (3★) +3 more</t>
  </si>
  <si>
    <t xml:space="preserve">H5294</t>
  </si>
  <si>
    <t xml:space="preserve">CS 3.6 / Clin 2.8</t>
  </si>
  <si>
    <t xml:space="preserve">C21 Cust Service (2★), C26 Disenroll (2★), D03 D Disenroll (2★), C25 Complaints (3★), D02 D Complaints (3★) +2 more</t>
  </si>
  <si>
    <t xml:space="preserve">H7464</t>
  </si>
  <si>
    <t xml:space="preserve">D04 D Quality Imp (1★), C25 Complaints (3★), D02 D Complaints (3★), C19 Getting Care (3★), C27 Quality Imp (3★) +1 more</t>
  </si>
  <si>
    <t xml:space="preserve">H5422</t>
  </si>
  <si>
    <t xml:space="preserve">CS 3.6 / Clin 2.5</t>
  </si>
  <si>
    <t xml:space="preserve">C26 Disenroll (2★), D03 D Disenroll (2★), C21 Cust Service (3★), C25 Complaints (3★), D02 D Complaints (3★) +3 more</t>
  </si>
  <si>
    <t xml:space="preserve">H2915</t>
  </si>
  <si>
    <t xml:space="preserve">C23 Health Plan (2★), C26 Disenroll (2★), D03 D Disenroll (2★), C21 Cust Service (3★), C25 Complaints (3★) +3 more</t>
  </si>
  <si>
    <t xml:space="preserve">R5941</t>
  </si>
  <si>
    <t xml:space="preserve">CS 3.9 / Clin 2.8</t>
  </si>
  <si>
    <t xml:space="preserve">D05 Drug Plan (2★), C21 Cust Service (3★), C23 Health Plan (3★), C27 Quality Imp (3★), D04 D Quality Imp (3★) +1 more</t>
  </si>
  <si>
    <t xml:space="preserve">Memorial Hermann Health System</t>
  </si>
  <si>
    <t xml:space="preserve">H7115</t>
  </si>
  <si>
    <t xml:space="preserve">Memorial Hermann Health Plan</t>
  </si>
  <si>
    <t xml:space="preserve">C28 Appeals Timely (2★), C29 Appeals Upheld (2★), D04 D Quality Imp (2★), C21 Cust Service (3★), C25 Complaints (3★) +1 more</t>
  </si>
  <si>
    <t xml:space="preserve">H3240</t>
  </si>
  <si>
    <t xml:space="preserve">C21 Cust Service (1★), C26 Disenroll (2★), D03 D Disenroll (2★), C20 Appts Quickly (3★), C22 Care Quality (3★) +2 more</t>
  </si>
  <si>
    <t xml:space="preserve">H7326</t>
  </si>
  <si>
    <t xml:space="preserve">CS 3.7 / Clin 2.7</t>
  </si>
  <si>
    <t xml:space="preserve">C23 Health Plan (2★), C26 Disenroll (2★), D03 D Disenroll (2★), C21 Cust Service (3★), C28 Appeals Timely (3★) +2 more</t>
  </si>
  <si>
    <t xml:space="preserve">R4182</t>
  </si>
  <si>
    <t xml:space="preserve">CS 4.0 / Clin 2.5</t>
  </si>
  <si>
    <t xml:space="preserve">C23 Health Plan (2★), C21 Cust Service (3★), C26 Disenroll (3★), D03 D Disenroll (3★), D04 D Quality Imp (3★) +1 more</t>
  </si>
  <si>
    <t xml:space="preserve">H7175</t>
  </si>
  <si>
    <t xml:space="preserve">CS 3.4 / Clin 2.7</t>
  </si>
  <si>
    <t xml:space="preserve">C26 Disenroll (1★), D03 D Disenroll (1★), C25 Complaints (3★), D02 D Complaints (3★), C23 Health Plan (3★)</t>
  </si>
  <si>
    <t xml:space="preserve">H2456</t>
  </si>
  <si>
    <t xml:space="preserve">UCare's MSHO</t>
  </si>
  <si>
    <t xml:space="preserve">C19 Getting Care (2★), D04 D Quality Imp (2★), D06 Getting Rx (2★), C21 Cust Service (3★), C20 Appts Quickly (3★) +1 more</t>
  </si>
  <si>
    <t xml:space="preserve">H2593</t>
  </si>
  <si>
    <t xml:space="preserve">CS 3.9 / Clin 2.4</t>
  </si>
  <si>
    <t xml:space="preserve">C23 Health Plan (2★), C26 Disenroll (3★), D03 D Disenroll (3★)</t>
  </si>
  <si>
    <t xml:space="preserve">H7093</t>
  </si>
  <si>
    <t xml:space="preserve">C26 Disenroll (2★), D03 D Disenroll (2★), C19 Getting Care (3★), C22 Care Quality (3★), C23 Health Plan (3★) +2 more</t>
  </si>
  <si>
    <t xml:space="preserve">Blue Cross Blue Shield of Kansas</t>
  </si>
  <si>
    <t xml:space="preserve">H7063</t>
  </si>
  <si>
    <t xml:space="preserve">Blue Cross and Blue Shield of Kansas</t>
  </si>
  <si>
    <t xml:space="preserve">C29 Appeals Upheld (2★), C23 Health Plan (2★), D05 Drug Plan (2★), C28 Appeals Timely (3★), C24 Care Coord (3★) +2 more</t>
  </si>
  <si>
    <t xml:space="preserve">H0908</t>
  </si>
  <si>
    <t xml:space="preserve">C26 Disenroll (1★), D03 D Disenroll (1★), C23 Health Plan (2★), C21 Cust Service (3★), C25 Complaints (3★) +2 more</t>
  </si>
  <si>
    <t xml:space="preserve">CHRISTUS Health</t>
  </si>
  <si>
    <t xml:space="preserve">H1189</t>
  </si>
  <si>
    <t xml:space="preserve">CHRISTUS Health Advantage</t>
  </si>
  <si>
    <t xml:space="preserve">C29 Appeals Upheld (2★), C30 FL/TTY (3★), D01 D FL/TTY (3★), D04 D Quality Imp (3★)</t>
  </si>
  <si>
    <t xml:space="preserve">Baylor Scott &amp; White Holdings</t>
  </si>
  <si>
    <t xml:space="preserve">H2032</t>
  </si>
  <si>
    <t xml:space="preserve">Baylor Scott &amp; White Health Plan</t>
  </si>
  <si>
    <t xml:space="preserve">CS 3.9 / Clin 3.1</t>
  </si>
  <si>
    <t xml:space="preserve">C29 Appeals Upheld (1★), C30 FL/TTY (3★), D01 D FL/TTY (3★), C27 Quality Imp (3★), D04 D Quality Imp (3★)</t>
  </si>
  <si>
    <t xml:space="preserve">H4544</t>
  </si>
  <si>
    <t xml:space="preserve">Peoples Health</t>
  </si>
  <si>
    <t xml:space="preserve">CS 3.5 / Clin 2.8</t>
  </si>
  <si>
    <t xml:space="preserve">C23 Health Plan (2★), C26 Disenroll (2★), D03 D Disenroll (2★), C21 Cust Service (3★), C22 Care Quality (3★) +1 more</t>
  </si>
  <si>
    <t xml:space="preserve">USAble Mutual Insurance Company</t>
  </si>
  <si>
    <t xml:space="preserve">H9699</t>
  </si>
  <si>
    <t xml:space="preserve">Arkansas Blue Medicare</t>
  </si>
  <si>
    <t xml:space="preserve">C29 Appeals Upheld (2★), C23 Health Plan (2★), D04 D Quality Imp (2★), D05 Drug Plan (2★), C21 Cust Service (3★) +1 more</t>
  </si>
  <si>
    <t xml:space="preserve">H6348</t>
  </si>
  <si>
    <t xml:space="preserve">CS 3.2 / Clin 2.5</t>
  </si>
  <si>
    <t xml:space="preserve">C23 Health Plan (1★), C26 Disenroll (1★), D03 D Disenroll (1★), C25 Complaints (2★), D02 D Complaints (2★) +4 more</t>
  </si>
  <si>
    <t xml:space="preserve">Blue Cross Blue Shield of Nebraska</t>
  </si>
  <si>
    <t xml:space="preserve">H3170</t>
  </si>
  <si>
    <t xml:space="preserve">Blue Cross and Blue Shield of Nebraska</t>
  </si>
  <si>
    <t xml:space="preserve">C23 Health Plan (2★), D05 Drug Plan (2★), D04 D Quality Imp (3★), D06 Getting Rx (3★)</t>
  </si>
  <si>
    <t xml:space="preserve">H4847</t>
  </si>
  <si>
    <t xml:space="preserve">CS 3.4 / Clin 2.8</t>
  </si>
  <si>
    <t xml:space="preserve">C26 Disenroll (1★), D03 D Disenroll (1★), C23 Health Plan (2★), C21 Cust Service (3★), C22 Care Quality (3★) +1 more</t>
  </si>
  <si>
    <t xml:space="preserve">H4073</t>
  </si>
  <si>
    <t xml:space="preserve">CS 3.5 / Clin 2.9</t>
  </si>
  <si>
    <t xml:space="preserve">C26 Disenroll (1★), D03 D Disenroll (1★), C25 Complaints (3★), D02 D Complaints (3★), C19 Getting Care (3★) +3 more</t>
  </si>
  <si>
    <t xml:space="preserve">R5361</t>
  </si>
  <si>
    <t xml:space="preserve">C23 Health Plan (2★), C29 Appeals Upheld (3★), C26 Disenroll (3★), C27 Quality Imp (3★), D03 D Disenroll (3★) +1 more</t>
  </si>
  <si>
    <t xml:space="preserve">R2604</t>
  </si>
  <si>
    <t xml:space="preserve">C26 Disenroll (1★), D03 D Disenroll (1★), C27 Quality Imp (2★), C21 Cust Service (3★), C23 Health Plan (3★)</t>
  </si>
  <si>
    <t xml:space="preserve">H6158</t>
  </si>
  <si>
    <t xml:space="preserve">C29 Appeals Upheld (2★), C23 Health Plan (2★), D04 D Quality Imp (2★), D05 Drug Plan (2★), C24 Care Coord (3★)</t>
  </si>
  <si>
    <t xml:space="preserve">H0907</t>
  </si>
  <si>
    <t xml:space="preserve">CS 3.8 / Clin 3.0</t>
  </si>
  <si>
    <t xml:space="preserve">C26 Disenroll (2★), D03 D Disenroll (2★), C21 Cust Service (3★), C25 Complaints (3★), D02 D Complaints (3★) +2 more</t>
  </si>
  <si>
    <t xml:space="preserve">H3975</t>
  </si>
  <si>
    <t xml:space="preserve">C26 Disenroll (1★), D03 D Disenroll (1★), C21 Cust Service (2★), C23 Health Plan (2★), D05 Drug Plan (2★) +2 more</t>
  </si>
  <si>
    <t xml:space="preserve">R1532</t>
  </si>
  <si>
    <t xml:space="preserve">CS 3.9 / Clin 2.5</t>
  </si>
  <si>
    <t xml:space="preserve">C23 Health Plan (2★), C29 Appeals Upheld (3★), C26 Disenroll (3★), D03 D Disenroll (3★), D05 Drug Plan (3★)</t>
  </si>
  <si>
    <t xml:space="preserve">H3499</t>
  </si>
  <si>
    <t xml:space="preserve">CS 3.6 / Clin 2.2</t>
  </si>
  <si>
    <t xml:space="preserve">C26 Disenroll (1★), D03 D Disenroll (1★), C21 Cust Service (3★), C25 Complaints (3★), D02 D Complaints (3★)</t>
  </si>
  <si>
    <t xml:space="preserve">H7518</t>
  </si>
  <si>
    <t xml:space="preserve">C26 Disenroll (1★), D03 D Disenroll (1★), C25 Complaints (2★), D02 D Complaints (2★), C19 Getting Care (3★) +3 more</t>
  </si>
  <si>
    <t xml:space="preserve">H1215</t>
  </si>
  <si>
    <t xml:space="preserve">C25 Complaints (2★), D02 D Complaints (2★), C23 Health Plan (2★), C26 Disenroll (2★), D03 D Disenroll (2★) +2 more</t>
  </si>
  <si>
    <t xml:space="preserve">R7220</t>
  </si>
  <si>
    <t xml:space="preserve">C23 Health Plan (1★), C20 Appts Quickly (2★), D05 Drug Plan (2★), C19 Getting Care (3★), D06 Getting Rx (3★)</t>
  </si>
  <si>
    <t xml:space="preserve">H1947</t>
  </si>
  <si>
    <t xml:space="preserve">Healthy Blue</t>
  </si>
  <si>
    <t xml:space="preserve">C26 Disenroll (1★), D03 D Disenroll (1★), C21 Cust Service (3★), C25 Complaints (3★), D02 D Complaints (3★) +2 more</t>
  </si>
  <si>
    <t xml:space="preserve">H8133</t>
  </si>
  <si>
    <t xml:space="preserve">Blue Cross and Blue Shield of Texas</t>
  </si>
  <si>
    <t xml:space="preserve">CS 3.7 / Clin 2.8</t>
  </si>
  <si>
    <t xml:space="preserve">C21 Cust Service (3★), C29 Appeals Upheld (3★), C19 Getting Care (3★), C22 Care Quality (3★), C23 Health Plan (3★) +3 more</t>
  </si>
  <si>
    <t xml:space="preserve">Central Mass Health Holding LLC</t>
  </si>
  <si>
    <t xml:space="preserve">H7670</t>
  </si>
  <si>
    <t xml:space="preserve">Mass Advantage</t>
  </si>
  <si>
    <t xml:space="preserve">D06 Getting Rx (2★), C19 Getting Care (3★), C23 Health Plan (3★), C24 Care Coord (3★)</t>
  </si>
  <si>
    <t xml:space="preserve">Blue Cross and Blue Shield of North Carolina</t>
  </si>
  <si>
    <t xml:space="preserve">H9147</t>
  </si>
  <si>
    <t xml:space="preserve">CS 3.3 / Clin 2.6</t>
  </si>
  <si>
    <t xml:space="preserve">C26 Disenroll (1★), D03 D Disenroll (1★), C21 Cust Service (3★), C25 Complaints (3★), D02 D Complaints (3★) +3 more</t>
  </si>
  <si>
    <t xml:space="preserve">H4754</t>
  </si>
  <si>
    <t xml:space="preserve">C29 Appeals Upheld (2★), C28 Appeals Timely (3★), D01 D FL/TTY (3★), C24 Care Coord (3★), D04 D Quality Imp (3★) +1 more</t>
  </si>
  <si>
    <t xml:space="preserve">H1659</t>
  </si>
  <si>
    <t xml:space="preserve">C27 Quality Imp (2★), C22 Care Quality (3★), D04 D Quality Imp (3★)</t>
  </si>
  <si>
    <t xml:space="preserve">H4213</t>
  </si>
  <si>
    <t xml:space="preserve">PFFS</t>
  </si>
  <si>
    <t xml:space="preserve">D05 Drug Plan (1★), C23 Health Plan (2★), D04 D Quality Imp (3★), D06 Getting Rx (3★)</t>
  </si>
  <si>
    <t xml:space="preserve">H2816</t>
  </si>
  <si>
    <t xml:space="preserve">C23 Health Plan (2★), C24 Care Coord (3★), C26 Disenroll (3★), D03 D Disenroll (3★)</t>
  </si>
  <si>
    <t xml:space="preserve">Troy Holdings, Inc.</t>
  </si>
  <si>
    <t xml:space="preserve">H4676</t>
  </si>
  <si>
    <t xml:space="preserve">Troy Medicare</t>
  </si>
  <si>
    <t xml:space="preserve">CS 3.9 / Clin 2.1</t>
  </si>
  <si>
    <t xml:space="preserve">C26 Disenroll (2★), D03 D Disenroll (2★), C30 FL/TTY (3★), D01 D FL/TTY (3★), C22 Care Quality (3★)</t>
  </si>
  <si>
    <t xml:space="preserve">H1799</t>
  </si>
  <si>
    <t xml:space="preserve">Passport Advantage</t>
  </si>
  <si>
    <t xml:space="preserve">CS 3.7 / Clin 2.2</t>
  </si>
  <si>
    <t xml:space="preserve">C26 Disenroll (2★), D03 D Disenroll (2★), D06 Getting Rx (2★), C27 Quality Imp (3★), D04 D Quality Imp (3★)</t>
  </si>
  <si>
    <t xml:space="preserve">UPMC Health System</t>
  </si>
  <si>
    <t xml:space="preserve">H7123</t>
  </si>
  <si>
    <t xml:space="preserve">UPMC for Life Complete Care</t>
  </si>
  <si>
    <t xml:space="preserve">D04 D Quality Imp (2★), C28 Appeals Timely (3★), C29 Appeals Upheld (3★), C30 FL/TTY (3★), D01 D FL/TTY (3★) +2 more</t>
  </si>
  <si>
    <t xml:space="preserve">H5810</t>
  </si>
  <si>
    <t xml:space="preserve">Molina Healthcare of California</t>
  </si>
  <si>
    <t xml:space="preserve">C29 Appeals Upheld (2★), C25 Complaints (3★), C28 Appeals Timely (3★), D02 D Complaints (3★)</t>
  </si>
  <si>
    <t xml:space="preserve">SA Plan, LLC</t>
  </si>
  <si>
    <t xml:space="preserve">H2400</t>
  </si>
  <si>
    <t xml:space="preserve">Signature Advantage (HMO SNP)</t>
  </si>
  <si>
    <t xml:space="preserve">CS 4.1 / Clin 3.5</t>
  </si>
  <si>
    <t xml:space="preserve">C28 Appeals Timely (1★), C30 FL/TTY (3★)</t>
  </si>
  <si>
    <t xml:space="preserve">H1304</t>
  </si>
  <si>
    <t xml:space="preserve">Regence BlueShield of Idaho</t>
  </si>
  <si>
    <t xml:space="preserve">C23 Health Plan (2★), D05 Drug Plan (2★), C22 Care Quality (3★), C24 Care Coord (3★), C27 Quality Imp (3★) +1 more</t>
  </si>
  <si>
    <t xml:space="preserve">H8554</t>
  </si>
  <si>
    <t xml:space="preserve">Blue Cross and Blue Shield of OK, TX</t>
  </si>
  <si>
    <t xml:space="preserve">CS 3.6 / Clin 2.7</t>
  </si>
  <si>
    <t xml:space="preserve">C26 Disenroll (2★), D03 D Disenroll (2★), C29 Appeals Upheld (3★), C19 Getting Care (3★), C23 Health Plan (3★) +2 more</t>
  </si>
  <si>
    <t xml:space="preserve">H0270</t>
  </si>
  <si>
    <t xml:space="preserve">CS 3.8 / Clin 2.4</t>
  </si>
  <si>
    <t xml:space="preserve">C26 Disenroll (1★), D03 D Disenroll (1★), C23 Health Plan (3★)</t>
  </si>
  <si>
    <t xml:space="preserve">H3276</t>
  </si>
  <si>
    <t xml:space="preserve">C19 Getting Care (3★), C23 Health Plan (3★), D05 Drug Plan (3★)</t>
  </si>
  <si>
    <t xml:space="preserve">SNP cliff-edge contracts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</si>
</sst>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"/>
    <numFmt numFmtId="167" formatCode="#,##0"/>
    <numFmt numFmtId="168" formatCode="\$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432C"/>
      <name val="Arial"/>
      <family val="0"/>
      <charset val="1"/>
    </font>
    <font>
      <i val="true"/>
      <sz val="10"/>
      <color rgb="FF5A6B5F"/>
      <name val="Arial"/>
      <family val="0"/>
      <charset val="1"/>
    </font>
    <font>
      <b val="true"/>
      <sz val="12"/>
      <color rgb="FF16432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6432C"/>
      <name val="Arial"/>
      <family val="0"/>
      <charset val="1"/>
    </font>
    <font>
      <i val="true"/>
      <sz val="9"/>
      <color rgb="FF5A6B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432C"/>
        <bgColor rgb="FF003300"/>
      </patternFill>
    </fill>
    <fill>
      <patternFill patternType="solid">
        <fgColor rgb="FFF6D9D5"/>
        <bgColor rgb="FFFBEFD3"/>
      </patternFill>
    </fill>
    <fill>
      <patternFill patternType="solid">
        <fgColor rgb="FFFBEFD3"/>
        <bgColor rgb="FFE4F0E4"/>
      </patternFill>
    </fill>
    <fill>
      <patternFill patternType="solid">
        <fgColor rgb="FFE4F0E4"/>
        <bgColor rgb="FFFBEF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CCE"/>
      </left>
      <right style="thin">
        <color rgb="FFD4DCCE"/>
      </right>
      <top style="thin">
        <color rgb="FFD4DCCE"/>
      </top>
      <bottom style="thin">
        <color rgb="FFD4DC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43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FD3"/>
      <rgbColor rgb="FFCCFFFF"/>
      <rgbColor rgb="FF660066"/>
      <rgbColor rgb="FFFF8080"/>
      <rgbColor rgb="FF0066CC"/>
      <rgbColor rgb="FFD4DC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0E4"/>
      <rgbColor rgb="FFFFFF99"/>
      <rgbColor rgb="FF99CCFF"/>
      <rgbColor rgb="FFFF99CC"/>
      <rgbColor rgb="FFCC99FF"/>
      <rgbColor rgb="FFF6D9D5"/>
      <rgbColor rgb="FF3366FF"/>
      <rgbColor rgb="FF33CCCC"/>
      <rgbColor rgb="FF99CC00"/>
      <rgbColor rgb="FFFFCC00"/>
      <rgbColor rgb="FFFF9900"/>
      <rgbColor rgb="FFFF6600"/>
      <rgbColor rgb="FF5A6B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43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2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5"/>
      <c r="D6" s="5"/>
      <c r="E6" s="5"/>
      <c r="F6" s="5"/>
    </row>
    <row r="7" customFormat="false" ht="23.25" hidden="false" customHeight="true" outlineLevel="0" collapsed="false">
      <c r="B7" s="5" t="s">
        <v>4</v>
      </c>
      <c r="C7" s="5"/>
      <c r="D7" s="5"/>
      <c r="E7" s="5"/>
      <c r="F7" s="5"/>
    </row>
    <row r="8" customFormat="false" ht="23.25" hidden="false" customHeight="true" outlineLevel="0" collapsed="false">
      <c r="B8" s="5" t="s">
        <v>5</v>
      </c>
      <c r="C8" s="5"/>
      <c r="D8" s="5"/>
      <c r="E8" s="5"/>
      <c r="F8" s="5"/>
    </row>
    <row r="9" customFormat="false" ht="23.25" hidden="false" customHeight="true" outlineLevel="0" collapsed="false">
      <c r="B9" s="5" t="s">
        <v>6</v>
      </c>
      <c r="C9" s="5"/>
      <c r="D9" s="5"/>
      <c r="E9" s="5"/>
      <c r="F9" s="5"/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6" t="s">
        <v>8</v>
      </c>
      <c r="D12" s="7" t="n">
        <f aca="false">COUNTA('Scored Targets (93)'!E2:E94)</f>
        <v>93</v>
      </c>
    </row>
    <row r="13" customFormat="false" ht="15" hidden="false" customHeight="true" outlineLevel="0" collapsed="false">
      <c r="B13" s="6" t="s">
        <v>9</v>
      </c>
      <c r="D13" s="8" t="n">
        <f aca="false">SUM('Scored Targets (93)'!K2:K94)</f>
        <v>2287.22</v>
      </c>
    </row>
    <row r="14" customFormat="false" ht="15" hidden="false" customHeight="true" outlineLevel="0" collapsed="false">
      <c r="B14" s="6" t="s">
        <v>10</v>
      </c>
      <c r="D14" s="7" t="n">
        <f aca="false">SUMPRODUCT((LEFT('Scored Targets (93)'!L2:L94,2)="QO")*1)</f>
        <v>32</v>
      </c>
    </row>
    <row r="15" customFormat="false" ht="15" hidden="false" customHeight="true" outlineLevel="0" collapsed="false">
      <c r="B15" s="6" t="s">
        <v>11</v>
      </c>
      <c r="D15" s="8" t="n">
        <f aca="false">SUMPRODUCT((LEFT('Scored Targets (93)'!L2:L94,2)="QO")*'Scored Targets (93)'!K2:K94)</f>
        <v>373.62</v>
      </c>
    </row>
    <row r="16" customFormat="false" ht="15" hidden="false" customHeight="true" outlineLevel="0" collapsed="false">
      <c r="B16" s="6" t="s">
        <v>12</v>
      </c>
      <c r="D16" s="7" t="n">
        <f aca="false">SUMPRODUCT((LEFT('Scored Targets (93)'!L2:L94,3)="BOO")*1)</f>
        <v>61</v>
      </c>
    </row>
    <row r="17" customFormat="false" ht="15" hidden="false" customHeight="true" outlineLevel="0" collapsed="false">
      <c r="B17" s="6" t="s">
        <v>13</v>
      </c>
      <c r="D17" s="8" t="n">
        <f aca="false">SUMPRODUCT((LEFT('Scored Targets (93)'!L2:L94,3)="BOO")*'Scored Targets (93)'!K2:K94)</f>
        <v>1913.6</v>
      </c>
    </row>
    <row r="19" customFormat="false" ht="15" hidden="false" customHeight="true" outlineLevel="0" collapsed="false">
      <c r="B19" s="4" t="s">
        <v>14</v>
      </c>
    </row>
    <row r="20" customFormat="false" ht="15" hidden="false" customHeight="true" outlineLevel="0" collapsed="false">
      <c r="B20" s="5" t="s">
        <v>15</v>
      </c>
      <c r="C20" s="5"/>
      <c r="D20" s="5"/>
      <c r="E20" s="5"/>
      <c r="F20" s="5"/>
    </row>
    <row r="21" customFormat="false" ht="23.25" hidden="false" customHeight="true" outlineLevel="0" collapsed="false">
      <c r="B21" s="5" t="s">
        <v>16</v>
      </c>
      <c r="C21" s="5"/>
      <c r="D21" s="5"/>
      <c r="E21" s="5"/>
      <c r="F21" s="5"/>
    </row>
    <row r="22" customFormat="false" ht="23.25" hidden="false" customHeight="true" outlineLevel="0" collapsed="false">
      <c r="B22" s="5" t="s">
        <v>17</v>
      </c>
      <c r="C22" s="5"/>
      <c r="D22" s="5"/>
      <c r="E22" s="5"/>
      <c r="F22" s="5"/>
    </row>
    <row r="23" customFormat="false" ht="23.25" hidden="false" customHeight="true" outlineLevel="0" collapsed="false">
      <c r="B23" s="5" t="s">
        <v>18</v>
      </c>
      <c r="C23" s="5"/>
      <c r="D23" s="5"/>
      <c r="E23" s="5"/>
      <c r="F23" s="5"/>
    </row>
    <row r="25" customFormat="false" ht="15" hidden="false" customHeight="true" outlineLevel="0" collapsed="false">
      <c r="B25" s="4" t="s">
        <v>19</v>
      </c>
    </row>
    <row r="26" customFormat="false" ht="23.25" hidden="false" customHeight="true" outlineLevel="0" collapsed="false">
      <c r="B26" s="5" t="s">
        <v>20</v>
      </c>
      <c r="C26" s="5"/>
      <c r="D26" s="5"/>
      <c r="E26" s="5"/>
      <c r="F26" s="5"/>
    </row>
    <row r="27" customFormat="false" ht="23.25" hidden="false" customHeight="true" outlineLevel="0" collapsed="false">
      <c r="B27" s="5" t="s">
        <v>21</v>
      </c>
      <c r="C27" s="5"/>
      <c r="D27" s="5"/>
      <c r="E27" s="5"/>
      <c r="F27" s="5"/>
    </row>
    <row r="28" customFormat="false" ht="34.5" hidden="false" customHeight="true" outlineLevel="0" collapsed="false">
      <c r="B28" s="5" t="s">
        <v>22</v>
      </c>
      <c r="C28" s="5"/>
      <c r="D28" s="5"/>
      <c r="E28" s="5"/>
      <c r="F28" s="5"/>
    </row>
    <row r="29" customFormat="false" ht="23.25" hidden="false" customHeight="true" outlineLevel="0" collapsed="false">
      <c r="B29" s="5" t="s">
        <v>23</v>
      </c>
      <c r="C29" s="5"/>
      <c r="D29" s="5"/>
      <c r="E29" s="5"/>
      <c r="F29" s="5"/>
    </row>
    <row r="31" customFormat="false" ht="15" hidden="false" customHeight="true" outlineLevel="0" collapsed="false">
      <c r="B31" s="4" t="s">
        <v>24</v>
      </c>
    </row>
    <row r="32" customFormat="false" ht="23.25" hidden="false" customHeight="true" outlineLevel="0" collapsed="false">
      <c r="B32" s="5" t="s">
        <v>25</v>
      </c>
      <c r="C32" s="5"/>
      <c r="D32" s="5"/>
      <c r="E32" s="5"/>
      <c r="F32" s="5"/>
    </row>
    <row r="33" customFormat="false" ht="23.25" hidden="false" customHeight="true" outlineLevel="0" collapsed="false">
      <c r="B33" s="5" t="s">
        <v>26</v>
      </c>
      <c r="C33" s="5"/>
      <c r="D33" s="5"/>
      <c r="E33" s="5"/>
      <c r="F33" s="5"/>
    </row>
    <row r="34" customFormat="false" ht="23.25" hidden="false" customHeight="true" outlineLevel="0" collapsed="false">
      <c r="B34" s="5" t="s">
        <v>27</v>
      </c>
      <c r="C34" s="5"/>
      <c r="D34" s="5"/>
      <c r="E34" s="5"/>
      <c r="F34" s="5"/>
    </row>
    <row r="36" customFormat="false" ht="15" hidden="false" customHeight="true" outlineLevel="0" collapsed="false">
      <c r="B36" s="4" t="s">
        <v>28</v>
      </c>
    </row>
    <row r="37" customFormat="false" ht="23.25" hidden="false" customHeight="true" outlineLevel="0" collapsed="false">
      <c r="B37" s="5" t="s">
        <v>29</v>
      </c>
      <c r="C37" s="5"/>
      <c r="D37" s="5"/>
      <c r="E37" s="5"/>
      <c r="F37" s="5"/>
    </row>
    <row r="38" customFormat="false" ht="15" hidden="false" customHeight="true" outlineLevel="0" collapsed="false">
      <c r="B38" s="5" t="s">
        <v>30</v>
      </c>
      <c r="C38" s="5"/>
      <c r="D38" s="5"/>
      <c r="E38" s="5"/>
      <c r="F38" s="5"/>
    </row>
    <row r="39" customFormat="false" ht="15" hidden="false" customHeight="true" outlineLevel="0" collapsed="false">
      <c r="B39" s="5" t="s">
        <v>31</v>
      </c>
      <c r="C39" s="5"/>
      <c r="D39" s="5"/>
      <c r="E39" s="5"/>
      <c r="F39" s="5"/>
    </row>
    <row r="40" customFormat="false" ht="15" hidden="false" customHeight="true" outlineLevel="0" collapsed="false">
      <c r="B40" s="5" t="s">
        <v>32</v>
      </c>
      <c r="C40" s="5"/>
      <c r="D40" s="5"/>
      <c r="E40" s="5"/>
      <c r="F40" s="5"/>
    </row>
  </sheetData>
  <mergeCells count="19">
    <mergeCell ref="B6:F6"/>
    <mergeCell ref="B7:F7"/>
    <mergeCell ref="B8:F8"/>
    <mergeCell ref="B9:F9"/>
    <mergeCell ref="B20:F20"/>
    <mergeCell ref="B21:F21"/>
    <mergeCell ref="B22:F22"/>
    <mergeCell ref="B23:F23"/>
    <mergeCell ref="B26:F26"/>
    <mergeCell ref="B27:F27"/>
    <mergeCell ref="B28:F28"/>
    <mergeCell ref="B29:F29"/>
    <mergeCell ref="B32:F32"/>
    <mergeCell ref="B33:F33"/>
    <mergeCell ref="B34:F34"/>
    <mergeCell ref="B37:F37"/>
    <mergeCell ref="B38:F38"/>
    <mergeCell ref="B39:F39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9" t="s">
        <v>33</v>
      </c>
    </row>
    <row r="2" customFormat="false" ht="42" hidden="false" customHeight="true" outlineLevel="0" collapsed="false">
      <c r="A2" s="10" t="s">
        <v>34</v>
      </c>
      <c r="B2" s="10"/>
      <c r="C2" s="10"/>
      <c r="D2" s="10"/>
      <c r="E2" s="10"/>
      <c r="F2" s="10"/>
      <c r="G2" s="10"/>
      <c r="H2" s="10"/>
      <c r="I2" s="10"/>
      <c r="J2" s="10"/>
    </row>
    <row r="4" customFormat="false" ht="23.85" hidden="false" customHeight="false" outlineLevel="0" collapsed="false">
      <c r="A4" s="11" t="s">
        <v>35</v>
      </c>
      <c r="B4" s="11" t="s">
        <v>36</v>
      </c>
      <c r="C4" s="11" t="s">
        <v>37</v>
      </c>
      <c r="D4" s="11" t="s">
        <v>38</v>
      </c>
      <c r="E4" s="11" t="s">
        <v>39</v>
      </c>
      <c r="F4" s="11" t="s">
        <v>40</v>
      </c>
      <c r="G4" s="11" t="s">
        <v>41</v>
      </c>
      <c r="H4" s="11" t="s">
        <v>42</v>
      </c>
      <c r="I4" s="11" t="s">
        <v>43</v>
      </c>
      <c r="J4" s="11" t="s">
        <v>44</v>
      </c>
    </row>
    <row r="5" customFormat="false" ht="23.85" hidden="false" customHeight="false" outlineLevel="0" collapsed="false">
      <c r="A5" s="12" t="s">
        <v>45</v>
      </c>
      <c r="B5" s="13" t="s">
        <v>46</v>
      </c>
      <c r="C5" s="12" t="s">
        <v>47</v>
      </c>
      <c r="D5" s="12" t="s">
        <v>48</v>
      </c>
      <c r="E5" s="12" t="n">
        <v>2</v>
      </c>
      <c r="F5" s="12" t="s">
        <v>49</v>
      </c>
      <c r="G5" s="14" t="s">
        <v>50</v>
      </c>
      <c r="H5" s="12" t="s">
        <v>51</v>
      </c>
      <c r="I5" s="12" t="s">
        <v>52</v>
      </c>
      <c r="J5" s="13" t="s">
        <v>53</v>
      </c>
    </row>
    <row r="6" customFormat="false" ht="23.85" hidden="false" customHeight="false" outlineLevel="0" collapsed="false">
      <c r="A6" s="12" t="s">
        <v>54</v>
      </c>
      <c r="B6" s="13" t="s">
        <v>55</v>
      </c>
      <c r="C6" s="12" t="s">
        <v>47</v>
      </c>
      <c r="D6" s="12" t="s">
        <v>48</v>
      </c>
      <c r="E6" s="12" t="n">
        <v>2</v>
      </c>
      <c r="F6" s="12" t="s">
        <v>49</v>
      </c>
      <c r="G6" s="14" t="s">
        <v>50</v>
      </c>
      <c r="H6" s="12" t="s">
        <v>51</v>
      </c>
      <c r="I6" s="12" t="s">
        <v>52</v>
      </c>
      <c r="J6" s="13" t="s">
        <v>56</v>
      </c>
    </row>
    <row r="7" customFormat="false" ht="35.05" hidden="false" customHeight="false" outlineLevel="0" collapsed="false">
      <c r="A7" s="12" t="s">
        <v>57</v>
      </c>
      <c r="B7" s="13" t="s">
        <v>58</v>
      </c>
      <c r="C7" s="12" t="s">
        <v>47</v>
      </c>
      <c r="D7" s="12" t="s">
        <v>48</v>
      </c>
      <c r="E7" s="12" t="n">
        <v>2</v>
      </c>
      <c r="F7" s="12" t="s">
        <v>59</v>
      </c>
      <c r="G7" s="14" t="s">
        <v>50</v>
      </c>
      <c r="H7" s="12" t="s">
        <v>60</v>
      </c>
      <c r="I7" s="12" t="s">
        <v>61</v>
      </c>
      <c r="J7" s="13" t="s">
        <v>62</v>
      </c>
    </row>
    <row r="8" customFormat="false" ht="15" hidden="false" customHeight="false" outlineLevel="0" collapsed="false">
      <c r="A8" s="12" t="s">
        <v>63</v>
      </c>
      <c r="B8" s="13" t="s">
        <v>64</v>
      </c>
      <c r="C8" s="12" t="s">
        <v>47</v>
      </c>
      <c r="D8" s="12" t="s">
        <v>48</v>
      </c>
      <c r="E8" s="12" t="n">
        <v>2</v>
      </c>
      <c r="F8" s="12" t="s">
        <v>65</v>
      </c>
      <c r="G8" s="14" t="s">
        <v>50</v>
      </c>
      <c r="H8" s="12" t="s">
        <v>60</v>
      </c>
      <c r="I8" s="12" t="s">
        <v>66</v>
      </c>
      <c r="J8" s="13" t="s">
        <v>67</v>
      </c>
    </row>
    <row r="9" customFormat="false" ht="23.85" hidden="false" customHeight="false" outlineLevel="0" collapsed="false">
      <c r="A9" s="12" t="s">
        <v>68</v>
      </c>
      <c r="B9" s="13" t="s">
        <v>69</v>
      </c>
      <c r="C9" s="12" t="s">
        <v>47</v>
      </c>
      <c r="D9" s="12" t="s">
        <v>48</v>
      </c>
      <c r="E9" s="12" t="n">
        <v>2</v>
      </c>
      <c r="F9" s="12" t="s">
        <v>70</v>
      </c>
      <c r="G9" s="14" t="s">
        <v>50</v>
      </c>
      <c r="H9" s="12" t="s">
        <v>60</v>
      </c>
      <c r="I9" s="12" t="s">
        <v>66</v>
      </c>
      <c r="J9" s="13" t="s">
        <v>71</v>
      </c>
    </row>
    <row r="10" customFormat="false" ht="15" hidden="false" customHeight="false" outlineLevel="0" collapsed="false">
      <c r="A10" s="12" t="s">
        <v>72</v>
      </c>
      <c r="B10" s="13" t="s">
        <v>73</v>
      </c>
      <c r="C10" s="12" t="s">
        <v>47</v>
      </c>
      <c r="D10" s="12" t="s">
        <v>48</v>
      </c>
      <c r="E10" s="12" t="n">
        <v>2</v>
      </c>
      <c r="F10" s="12" t="s">
        <v>70</v>
      </c>
      <c r="G10" s="14" t="s">
        <v>50</v>
      </c>
      <c r="H10" s="12" t="s">
        <v>60</v>
      </c>
      <c r="I10" s="12" t="s">
        <v>66</v>
      </c>
      <c r="J10" s="13" t="s">
        <v>74</v>
      </c>
    </row>
    <row r="11" customFormat="false" ht="15" hidden="false" customHeight="false" outlineLevel="0" collapsed="false">
      <c r="A11" s="12" t="s">
        <v>75</v>
      </c>
      <c r="B11" s="13" t="s">
        <v>76</v>
      </c>
      <c r="C11" s="12" t="s">
        <v>77</v>
      </c>
      <c r="D11" s="12" t="s">
        <v>78</v>
      </c>
      <c r="E11" s="12" t="n">
        <v>2</v>
      </c>
      <c r="F11" s="12" t="s">
        <v>79</v>
      </c>
      <c r="G11" s="14" t="s">
        <v>50</v>
      </c>
      <c r="H11" s="12" t="s">
        <v>60</v>
      </c>
      <c r="I11" s="12" t="s">
        <v>66</v>
      </c>
      <c r="J11" s="13" t="s">
        <v>80</v>
      </c>
    </row>
    <row r="12" customFormat="false" ht="15" hidden="false" customHeight="false" outlineLevel="0" collapsed="false">
      <c r="A12" s="12" t="s">
        <v>81</v>
      </c>
      <c r="B12" s="13" t="s">
        <v>82</v>
      </c>
      <c r="C12" s="12" t="s">
        <v>77</v>
      </c>
      <c r="D12" s="12" t="s">
        <v>78</v>
      </c>
      <c r="E12" s="12" t="n">
        <v>2</v>
      </c>
      <c r="F12" s="12" t="s">
        <v>79</v>
      </c>
      <c r="G12" s="14" t="s">
        <v>50</v>
      </c>
      <c r="H12" s="12" t="s">
        <v>60</v>
      </c>
      <c r="I12" s="12" t="s">
        <v>66</v>
      </c>
      <c r="J12" s="13" t="s">
        <v>83</v>
      </c>
    </row>
    <row r="13" customFormat="false" ht="35.05" hidden="false" customHeight="false" outlineLevel="0" collapsed="false">
      <c r="A13" s="12" t="s">
        <v>84</v>
      </c>
      <c r="B13" s="13" t="s">
        <v>85</v>
      </c>
      <c r="C13" s="12" t="s">
        <v>47</v>
      </c>
      <c r="D13" s="12" t="s">
        <v>48</v>
      </c>
      <c r="E13" s="12" t="n">
        <v>2</v>
      </c>
      <c r="F13" s="12" t="s">
        <v>86</v>
      </c>
      <c r="G13" s="15" t="s">
        <v>87</v>
      </c>
      <c r="H13" s="12" t="s">
        <v>88</v>
      </c>
      <c r="I13" s="12" t="s">
        <v>89</v>
      </c>
      <c r="J13" s="13" t="s">
        <v>90</v>
      </c>
    </row>
    <row r="14" customFormat="false" ht="23.85" hidden="false" customHeight="false" outlineLevel="0" collapsed="false">
      <c r="A14" s="12" t="s">
        <v>91</v>
      </c>
      <c r="B14" s="13" t="s">
        <v>92</v>
      </c>
      <c r="C14" s="12" t="s">
        <v>47</v>
      </c>
      <c r="D14" s="12" t="s">
        <v>48</v>
      </c>
      <c r="E14" s="12" t="n">
        <v>2</v>
      </c>
      <c r="F14" s="12" t="s">
        <v>65</v>
      </c>
      <c r="G14" s="15" t="s">
        <v>87</v>
      </c>
      <c r="H14" s="12" t="s">
        <v>88</v>
      </c>
      <c r="I14" s="12" t="s">
        <v>89</v>
      </c>
      <c r="J14" s="13" t="s">
        <v>93</v>
      </c>
    </row>
    <row r="15" customFormat="false" ht="23.85" hidden="false" customHeight="false" outlineLevel="0" collapsed="false">
      <c r="A15" s="12" t="s">
        <v>94</v>
      </c>
      <c r="B15" s="13" t="s">
        <v>95</v>
      </c>
      <c r="C15" s="12" t="s">
        <v>96</v>
      </c>
      <c r="D15" s="12" t="s">
        <v>78</v>
      </c>
      <c r="E15" s="12" t="n">
        <v>5</v>
      </c>
      <c r="F15" s="12" t="s">
        <v>79</v>
      </c>
      <c r="G15" s="16" t="s">
        <v>97</v>
      </c>
      <c r="H15" s="12" t="s">
        <v>98</v>
      </c>
      <c r="I15" s="12" t="s">
        <v>52</v>
      </c>
      <c r="J15" s="13" t="s">
        <v>99</v>
      </c>
    </row>
    <row r="16" customFormat="false" ht="23.85" hidden="false" customHeight="false" outlineLevel="0" collapsed="false">
      <c r="A16" s="12" t="s">
        <v>100</v>
      </c>
      <c r="B16" s="13" t="s">
        <v>101</v>
      </c>
      <c r="C16" s="12" t="s">
        <v>96</v>
      </c>
      <c r="D16" s="12" t="s">
        <v>78</v>
      </c>
      <c r="E16" s="12" t="n">
        <v>5</v>
      </c>
      <c r="F16" s="12" t="s">
        <v>79</v>
      </c>
      <c r="G16" s="16" t="s">
        <v>97</v>
      </c>
      <c r="H16" s="12" t="s">
        <v>98</v>
      </c>
      <c r="I16" s="12" t="s">
        <v>52</v>
      </c>
      <c r="J16" s="13" t="s">
        <v>102</v>
      </c>
    </row>
    <row r="17" customFormat="false" ht="35.05" hidden="false" customHeight="false" outlineLevel="0" collapsed="false">
      <c r="A17" s="12" t="s">
        <v>103</v>
      </c>
      <c r="B17" s="13" t="s">
        <v>104</v>
      </c>
      <c r="C17" s="12" t="s">
        <v>77</v>
      </c>
      <c r="D17" s="12" t="s">
        <v>48</v>
      </c>
      <c r="E17" s="12" t="n">
        <v>2</v>
      </c>
      <c r="F17" s="12" t="s">
        <v>105</v>
      </c>
      <c r="G17" s="16" t="s">
        <v>97</v>
      </c>
      <c r="H17" s="12" t="s">
        <v>98</v>
      </c>
      <c r="I17" s="12" t="s">
        <v>66</v>
      </c>
      <c r="J17" s="13" t="s">
        <v>106</v>
      </c>
    </row>
    <row r="18" customFormat="false" ht="23.85" hidden="false" customHeight="false" outlineLevel="0" collapsed="false">
      <c r="A18" s="12" t="s">
        <v>107</v>
      </c>
      <c r="B18" s="13" t="s">
        <v>108</v>
      </c>
      <c r="C18" s="12" t="s">
        <v>77</v>
      </c>
      <c r="D18" s="12" t="s">
        <v>78</v>
      </c>
      <c r="E18" s="12" t="n">
        <v>2</v>
      </c>
      <c r="F18" s="12" t="s">
        <v>109</v>
      </c>
      <c r="G18" s="16" t="s">
        <v>97</v>
      </c>
      <c r="H18" s="12" t="s">
        <v>98</v>
      </c>
      <c r="I18" s="12" t="s">
        <v>52</v>
      </c>
      <c r="J18" s="13" t="s">
        <v>110</v>
      </c>
    </row>
    <row r="19" customFormat="false" ht="15" hidden="false" customHeight="false" outlineLevel="0" collapsed="false">
      <c r="A19" s="12" t="s">
        <v>111</v>
      </c>
      <c r="B19" s="13" t="s">
        <v>112</v>
      </c>
      <c r="C19" s="12" t="s">
        <v>77</v>
      </c>
      <c r="D19" s="12" t="s">
        <v>78</v>
      </c>
      <c r="E19" s="12" t="n">
        <v>2</v>
      </c>
      <c r="F19" s="12" t="s">
        <v>109</v>
      </c>
      <c r="G19" s="16" t="s">
        <v>97</v>
      </c>
      <c r="H19" s="12" t="s">
        <v>98</v>
      </c>
      <c r="I19" s="12" t="s">
        <v>52</v>
      </c>
      <c r="J19" s="13" t="s">
        <v>113</v>
      </c>
    </row>
    <row r="20" customFormat="false" ht="15" hidden="false" customHeight="false" outlineLevel="0" collapsed="false">
      <c r="A20" s="12" t="s">
        <v>114</v>
      </c>
      <c r="B20" s="13" t="s">
        <v>115</v>
      </c>
      <c r="C20" s="12" t="s">
        <v>77</v>
      </c>
      <c r="D20" s="12" t="s">
        <v>78</v>
      </c>
      <c r="E20" s="12" t="n">
        <v>2</v>
      </c>
      <c r="F20" s="12" t="s">
        <v>59</v>
      </c>
      <c r="G20" s="16" t="s">
        <v>97</v>
      </c>
      <c r="H20" s="12" t="s">
        <v>98</v>
      </c>
      <c r="I20" s="12" t="s">
        <v>52</v>
      </c>
      <c r="J20" s="13" t="s">
        <v>116</v>
      </c>
    </row>
    <row r="21" customFormat="false" ht="15" hidden="false" customHeight="false" outlineLevel="0" collapsed="false">
      <c r="A21" s="12" t="s">
        <v>117</v>
      </c>
      <c r="B21" s="13" t="s">
        <v>118</v>
      </c>
      <c r="C21" s="12" t="s">
        <v>77</v>
      </c>
      <c r="D21" s="12" t="s">
        <v>78</v>
      </c>
      <c r="E21" s="12" t="n">
        <v>2</v>
      </c>
      <c r="F21" s="12" t="s">
        <v>79</v>
      </c>
      <c r="G21" s="16" t="s">
        <v>97</v>
      </c>
      <c r="H21" s="12" t="s">
        <v>98</v>
      </c>
      <c r="I21" s="12" t="s">
        <v>52</v>
      </c>
      <c r="J21" s="13" t="s">
        <v>119</v>
      </c>
    </row>
    <row r="22" customFormat="false" ht="15" hidden="false" customHeight="false" outlineLevel="0" collapsed="false">
      <c r="A22" s="12" t="s">
        <v>120</v>
      </c>
      <c r="B22" s="13" t="s">
        <v>121</v>
      </c>
      <c r="C22" s="12" t="s">
        <v>77</v>
      </c>
      <c r="D22" s="12" t="s">
        <v>78</v>
      </c>
      <c r="E22" s="12" t="n">
        <v>2</v>
      </c>
      <c r="F22" s="12" t="s">
        <v>79</v>
      </c>
      <c r="G22" s="16" t="s">
        <v>97</v>
      </c>
      <c r="H22" s="12" t="s">
        <v>98</v>
      </c>
      <c r="I22" s="12" t="s">
        <v>52</v>
      </c>
      <c r="J22" s="13" t="s">
        <v>116</v>
      </c>
    </row>
    <row r="23" customFormat="false" ht="15" hidden="false" customHeight="false" outlineLevel="0" collapsed="false">
      <c r="A23" s="12" t="s">
        <v>122</v>
      </c>
      <c r="B23" s="13" t="s">
        <v>123</v>
      </c>
      <c r="C23" s="12" t="s">
        <v>77</v>
      </c>
      <c r="D23" s="12" t="s">
        <v>78</v>
      </c>
      <c r="E23" s="12" t="n">
        <v>2</v>
      </c>
      <c r="F23" s="12" t="s">
        <v>109</v>
      </c>
      <c r="G23" s="16" t="s">
        <v>97</v>
      </c>
      <c r="H23" s="12" t="s">
        <v>98</v>
      </c>
      <c r="I23" s="12" t="s">
        <v>52</v>
      </c>
      <c r="J23" s="13" t="s">
        <v>116</v>
      </c>
    </row>
    <row r="25" customFormat="false" ht="15" hidden="false" customHeight="true" outlineLevel="0" collapsed="false">
      <c r="A25" s="17" t="s">
        <v>124</v>
      </c>
      <c r="B25" s="5" t="s">
        <v>125</v>
      </c>
      <c r="C25" s="5"/>
      <c r="D25" s="5"/>
      <c r="E25" s="5"/>
      <c r="F25" s="5"/>
      <c r="G25" s="5"/>
      <c r="H25" s="5"/>
      <c r="I25" s="5"/>
      <c r="J25" s="5"/>
    </row>
  </sheetData>
  <mergeCells count="2">
    <mergeCell ref="A2:J2"/>
    <mergeCell ref="B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24"/>
    <col collapsed="false" customWidth="true" hidden="false" outlineLevel="0" max="7" min="7" style="1" width="12"/>
    <col collapsed="false" customWidth="true" hidden="false" outlineLevel="0" max="8" min="8" style="1" width="6"/>
    <col collapsed="false" customWidth="true" hidden="false" outlineLevel="0" max="9" min="9" style="1" width="11"/>
    <col collapsed="false" customWidth="true" hidden="false" outlineLevel="0" max="11" min="10" style="1" width="15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5"/>
    <col collapsed="false" customWidth="true" hidden="false" outlineLevel="0" max="15" min="15" style="1" width="40"/>
    <col collapsed="false" customWidth="true" hidden="false" outlineLevel="0" max="16" min="16" style="1" width="50"/>
  </cols>
  <sheetData>
    <row r="1" customFormat="false" ht="23.25" hidden="false" customHeight="true" outlineLevel="0" collapsed="false">
      <c r="A1" s="11" t="s">
        <v>126</v>
      </c>
      <c r="B1" s="11" t="s">
        <v>127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132</v>
      </c>
      <c r="H1" s="11" t="s">
        <v>133</v>
      </c>
      <c r="I1" s="11" t="s">
        <v>134</v>
      </c>
      <c r="J1" s="11" t="s">
        <v>135</v>
      </c>
      <c r="K1" s="11" t="s">
        <v>136</v>
      </c>
      <c r="L1" s="11" t="s">
        <v>137</v>
      </c>
      <c r="M1" s="11" t="s">
        <v>138</v>
      </c>
      <c r="N1" s="11" t="s">
        <v>139</v>
      </c>
      <c r="O1" s="11" t="s">
        <v>140</v>
      </c>
      <c r="P1" s="11" t="s">
        <v>141</v>
      </c>
    </row>
    <row r="2" customFormat="false" ht="45.75" hidden="false" customHeight="true" outlineLevel="0" collapsed="false">
      <c r="A2" s="18" t="n">
        <f aca="false">RANK(M2,$M$2:$M$94)</f>
        <v>1</v>
      </c>
      <c r="B2" s="18" t="str">
        <f aca="false">IF(LEFT(L2,2)="QO","A · QO now",IF(K2&gt;=20,"B · BOO large","C · BOO"))</f>
        <v>B · BOO large</v>
      </c>
      <c r="C2" s="18" t="str">
        <f aca="false">IF(LEFT(L2,2)="QO","Now — QO","At GA — BOO")</f>
        <v>At GA — BOO</v>
      </c>
      <c r="D2" s="18" t="s">
        <v>142</v>
      </c>
      <c r="E2" s="18" t="s">
        <v>143</v>
      </c>
      <c r="F2" s="18" t="s">
        <v>142</v>
      </c>
      <c r="G2" s="18" t="s">
        <v>144</v>
      </c>
      <c r="H2" s="18" t="s">
        <v>145</v>
      </c>
      <c r="I2" s="19" t="n">
        <v>2470763</v>
      </c>
      <c r="J2" s="20" t="n">
        <v>332</v>
      </c>
      <c r="K2" s="21" t="n">
        <v>820.29</v>
      </c>
      <c r="L2" s="18" t="s">
        <v>86</v>
      </c>
      <c r="M2" s="21" t="n">
        <f aca="false">K2*IF(LEFT(L2,2)="QO",1,0.7)</f>
        <v>574.203</v>
      </c>
      <c r="N2" s="18" t="s">
        <v>146</v>
      </c>
      <c r="O2" s="13" t="s">
        <v>147</v>
      </c>
      <c r="P2" s="13" t="s">
        <v>148</v>
      </c>
    </row>
    <row r="3" customFormat="false" ht="45.75" hidden="false" customHeight="true" outlineLevel="0" collapsed="false">
      <c r="A3" s="18" t="n">
        <f aca="false">RANK(M3,$M$2:$M$94)</f>
        <v>2</v>
      </c>
      <c r="B3" s="18" t="str">
        <f aca="false">IF(LEFT(L3,2)="QO","A · QO now",IF(K3&gt;=20,"B · BOO large","C · BOO"))</f>
        <v>B · BOO large</v>
      </c>
      <c r="C3" s="18" t="str">
        <f aca="false">IF(LEFT(L3,2)="QO","Now — QO","At GA — BOO")</f>
        <v>At GA — BOO</v>
      </c>
      <c r="D3" s="18" t="s">
        <v>142</v>
      </c>
      <c r="E3" s="18" t="s">
        <v>149</v>
      </c>
      <c r="F3" s="18" t="s">
        <v>142</v>
      </c>
      <c r="G3" s="18" t="s">
        <v>144</v>
      </c>
      <c r="H3" s="18" t="s">
        <v>145</v>
      </c>
      <c r="I3" s="19" t="n">
        <v>490987</v>
      </c>
      <c r="J3" s="20" t="n">
        <v>332</v>
      </c>
      <c r="K3" s="21" t="n">
        <v>163.01</v>
      </c>
      <c r="L3" s="18" t="s">
        <v>86</v>
      </c>
      <c r="M3" s="21" t="n">
        <f aca="false">K3*IF(LEFT(L3,2)="QO",1,0.7)</f>
        <v>114.107</v>
      </c>
      <c r="N3" s="18" t="s">
        <v>150</v>
      </c>
      <c r="O3" s="13" t="s">
        <v>151</v>
      </c>
      <c r="P3" s="13" t="s">
        <v>148</v>
      </c>
    </row>
    <row r="4" customFormat="false" ht="34.5" hidden="false" customHeight="true" outlineLevel="0" collapsed="false">
      <c r="A4" s="18" t="n">
        <f aca="false">RANK(M4,$M$2:$M$94)</f>
        <v>3</v>
      </c>
      <c r="B4" s="18" t="str">
        <f aca="false">IF(LEFT(L4,2)="QO","A · QO now",IF(K4&gt;=20,"B · BOO large","C · BOO"))</f>
        <v>A · QO now</v>
      </c>
      <c r="C4" s="18" t="str">
        <f aca="false">IF(LEFT(L4,2)="QO","Now — QO","At GA — BOO")</f>
        <v>Now — QO</v>
      </c>
      <c r="D4" s="18" t="s">
        <v>152</v>
      </c>
      <c r="E4" s="18" t="s">
        <v>153</v>
      </c>
      <c r="F4" s="18" t="s">
        <v>154</v>
      </c>
      <c r="G4" s="18" t="s">
        <v>144</v>
      </c>
      <c r="H4" s="18" t="s">
        <v>155</v>
      </c>
      <c r="I4" s="19" t="n">
        <v>317637</v>
      </c>
      <c r="J4" s="20" t="n">
        <v>351</v>
      </c>
      <c r="K4" s="21" t="n">
        <v>111.49</v>
      </c>
      <c r="L4" s="18" t="s">
        <v>156</v>
      </c>
      <c r="M4" s="21" t="n">
        <f aca="false">K4*IF(LEFT(L4,2)="QO",1,0.7)</f>
        <v>111.49</v>
      </c>
      <c r="N4" s="18" t="s">
        <v>157</v>
      </c>
      <c r="O4" s="13" t="s">
        <v>158</v>
      </c>
      <c r="P4" s="13" t="s">
        <v>159</v>
      </c>
    </row>
    <row r="5" customFormat="false" ht="45.75" hidden="false" customHeight="true" outlineLevel="0" collapsed="false">
      <c r="A5" s="18" t="n">
        <f aca="false">RANK(M5,$M$2:$M$94)</f>
        <v>4</v>
      </c>
      <c r="B5" s="18" t="str">
        <f aca="false">IF(LEFT(L5,2)="QO","A · QO now",IF(K5&gt;=20,"B · BOO large","C · BOO"))</f>
        <v>B · BOO large</v>
      </c>
      <c r="C5" s="18" t="str">
        <f aca="false">IF(LEFT(L5,2)="QO","Now — QO","At GA — BOO")</f>
        <v>At GA — BOO</v>
      </c>
      <c r="D5" s="18" t="s">
        <v>142</v>
      </c>
      <c r="E5" s="18" t="s">
        <v>160</v>
      </c>
      <c r="F5" s="18" t="s">
        <v>142</v>
      </c>
      <c r="G5" s="18" t="s">
        <v>144</v>
      </c>
      <c r="H5" s="18" t="s">
        <v>145</v>
      </c>
      <c r="I5" s="19" t="n">
        <v>342600</v>
      </c>
      <c r="J5" s="20" t="n">
        <v>332</v>
      </c>
      <c r="K5" s="21" t="n">
        <v>113.74</v>
      </c>
      <c r="L5" s="18" t="s">
        <v>86</v>
      </c>
      <c r="M5" s="21" t="n">
        <f aca="false">K5*IF(LEFT(L5,2)="QO",1,0.7)</f>
        <v>79.618</v>
      </c>
      <c r="N5" s="18" t="s">
        <v>161</v>
      </c>
      <c r="O5" s="13" t="s">
        <v>162</v>
      </c>
      <c r="P5" s="13" t="s">
        <v>148</v>
      </c>
    </row>
    <row r="6" customFormat="false" ht="45.75" hidden="false" customHeight="true" outlineLevel="0" collapsed="false">
      <c r="A6" s="18" t="n">
        <f aca="false">RANK(M6,$M$2:$M$94)</f>
        <v>5</v>
      </c>
      <c r="B6" s="18" t="str">
        <f aca="false">IF(LEFT(L6,2)="QO","A · QO now",IF(K6&gt;=20,"B · BOO large","C · BOO"))</f>
        <v>B · BOO large</v>
      </c>
      <c r="C6" s="18" t="str">
        <f aca="false">IF(LEFT(L6,2)="QO","Now — QO","At GA — BOO")</f>
        <v>At GA — BOO</v>
      </c>
      <c r="D6" s="18" t="s">
        <v>142</v>
      </c>
      <c r="E6" s="18" t="s">
        <v>163</v>
      </c>
      <c r="F6" s="18" t="s">
        <v>142</v>
      </c>
      <c r="G6" s="18" t="s">
        <v>144</v>
      </c>
      <c r="H6" s="18" t="s">
        <v>145</v>
      </c>
      <c r="I6" s="19" t="n">
        <v>341511</v>
      </c>
      <c r="J6" s="20" t="n">
        <v>332</v>
      </c>
      <c r="K6" s="21" t="n">
        <v>113.38</v>
      </c>
      <c r="L6" s="18" t="s">
        <v>86</v>
      </c>
      <c r="M6" s="21" t="n">
        <f aca="false">K6*IF(LEFT(L6,2)="QO",1,0.7)</f>
        <v>79.366</v>
      </c>
      <c r="N6" s="18" t="s">
        <v>161</v>
      </c>
      <c r="O6" s="13" t="s">
        <v>164</v>
      </c>
      <c r="P6" s="13" t="s">
        <v>148</v>
      </c>
    </row>
    <row r="7" customFormat="false" ht="45.75" hidden="false" customHeight="true" outlineLevel="0" collapsed="false">
      <c r="A7" s="18" t="n">
        <f aca="false">RANK(M7,$M$2:$M$94)</f>
        <v>6</v>
      </c>
      <c r="B7" s="18" t="str">
        <f aca="false">IF(LEFT(L7,2)="QO","A · QO now",IF(K7&gt;=20,"B · BOO large","C · BOO"))</f>
        <v>B · BOO large</v>
      </c>
      <c r="C7" s="18" t="str">
        <f aca="false">IF(LEFT(L7,2)="QO","Now — QO","At GA — BOO")</f>
        <v>At GA — BOO</v>
      </c>
      <c r="D7" s="18" t="s">
        <v>152</v>
      </c>
      <c r="E7" s="18" t="s">
        <v>165</v>
      </c>
      <c r="F7" s="18" t="s">
        <v>154</v>
      </c>
      <c r="G7" s="18" t="s">
        <v>144</v>
      </c>
      <c r="H7" s="18" t="s">
        <v>145</v>
      </c>
      <c r="I7" s="19" t="n">
        <v>256685</v>
      </c>
      <c r="J7" s="20" t="n">
        <v>332</v>
      </c>
      <c r="K7" s="21" t="n">
        <v>85.22</v>
      </c>
      <c r="L7" s="18" t="s">
        <v>86</v>
      </c>
      <c r="M7" s="21" t="n">
        <f aca="false">K7*IF(LEFT(L7,2)="QO",1,0.7)</f>
        <v>59.654</v>
      </c>
      <c r="N7" s="18" t="s">
        <v>166</v>
      </c>
      <c r="O7" s="13" t="s">
        <v>167</v>
      </c>
      <c r="P7" s="13" t="s">
        <v>148</v>
      </c>
    </row>
    <row r="8" customFormat="false" ht="45.75" hidden="false" customHeight="true" outlineLevel="0" collapsed="false">
      <c r="A8" s="18" t="n">
        <f aca="false">RANK(M8,$M$2:$M$94)</f>
        <v>7</v>
      </c>
      <c r="B8" s="18" t="str">
        <f aca="false">IF(LEFT(L8,2)="QO","A · QO now",IF(K8&gt;=20,"B · BOO large","C · BOO"))</f>
        <v>B · BOO large</v>
      </c>
      <c r="C8" s="18" t="str">
        <f aca="false">IF(LEFT(L8,2)="QO","Now — QO","At GA — BOO")</f>
        <v>At GA — BOO</v>
      </c>
      <c r="D8" s="18" t="s">
        <v>152</v>
      </c>
      <c r="E8" s="18" t="s">
        <v>168</v>
      </c>
      <c r="F8" s="18" t="s">
        <v>154</v>
      </c>
      <c r="G8" s="18" t="s">
        <v>144</v>
      </c>
      <c r="H8" s="18" t="s">
        <v>145</v>
      </c>
      <c r="I8" s="19" t="n">
        <v>158177</v>
      </c>
      <c r="J8" s="20" t="n">
        <v>332</v>
      </c>
      <c r="K8" s="21" t="n">
        <v>52.51</v>
      </c>
      <c r="L8" s="18" t="s">
        <v>86</v>
      </c>
      <c r="M8" s="21" t="n">
        <f aca="false">K8*IF(LEFT(L8,2)="QO",1,0.7)</f>
        <v>36.757</v>
      </c>
      <c r="N8" s="18" t="s">
        <v>169</v>
      </c>
      <c r="O8" s="13" t="s">
        <v>170</v>
      </c>
      <c r="P8" s="13" t="s">
        <v>148</v>
      </c>
    </row>
    <row r="9" customFormat="false" ht="45.75" hidden="false" customHeight="true" outlineLevel="0" collapsed="false">
      <c r="A9" s="18" t="n">
        <f aca="false">RANK(M9,$M$2:$M$94)</f>
        <v>8</v>
      </c>
      <c r="B9" s="18" t="str">
        <f aca="false">IF(LEFT(L9,2)="QO","A · QO now",IF(K9&gt;=20,"B · BOO large","C · BOO"))</f>
        <v>B · BOO large</v>
      </c>
      <c r="C9" s="18" t="str">
        <f aca="false">IF(LEFT(L9,2)="QO","Now — QO","At GA — BOO")</f>
        <v>At GA — BOO</v>
      </c>
      <c r="D9" s="18" t="s">
        <v>152</v>
      </c>
      <c r="E9" s="18" t="s">
        <v>171</v>
      </c>
      <c r="F9" s="18" t="s">
        <v>154</v>
      </c>
      <c r="G9" s="18" t="s">
        <v>144</v>
      </c>
      <c r="H9" s="18" t="s">
        <v>145</v>
      </c>
      <c r="I9" s="19" t="n">
        <v>148399</v>
      </c>
      <c r="J9" s="20" t="n">
        <v>332</v>
      </c>
      <c r="K9" s="21" t="n">
        <v>49.27</v>
      </c>
      <c r="L9" s="18" t="s">
        <v>86</v>
      </c>
      <c r="M9" s="21" t="n">
        <f aca="false">K9*IF(LEFT(L9,2)="QO",1,0.7)</f>
        <v>34.489</v>
      </c>
      <c r="N9" s="18" t="s">
        <v>172</v>
      </c>
      <c r="O9" s="13" t="s">
        <v>173</v>
      </c>
      <c r="P9" s="13" t="s">
        <v>148</v>
      </c>
    </row>
    <row r="10" customFormat="false" ht="45.75" hidden="false" customHeight="true" outlineLevel="0" collapsed="false">
      <c r="A10" s="18" t="n">
        <f aca="false">RANK(M10,$M$2:$M$94)</f>
        <v>9</v>
      </c>
      <c r="B10" s="18" t="str">
        <f aca="false">IF(LEFT(L10,2)="QO","A · QO now",IF(K10&gt;=20,"B · BOO large","C · BOO"))</f>
        <v>B · BOO large</v>
      </c>
      <c r="C10" s="18" t="str">
        <f aca="false">IF(LEFT(L10,2)="QO","Now — QO","At GA — BOO")</f>
        <v>At GA — BOO</v>
      </c>
      <c r="D10" s="18" t="s">
        <v>152</v>
      </c>
      <c r="E10" s="18" t="s">
        <v>174</v>
      </c>
      <c r="F10" s="18" t="s">
        <v>154</v>
      </c>
      <c r="G10" s="18" t="s">
        <v>144</v>
      </c>
      <c r="H10" s="18" t="s">
        <v>145</v>
      </c>
      <c r="I10" s="19" t="n">
        <v>139923</v>
      </c>
      <c r="J10" s="20" t="n">
        <v>332</v>
      </c>
      <c r="K10" s="21" t="n">
        <v>46.45</v>
      </c>
      <c r="L10" s="18" t="s">
        <v>86</v>
      </c>
      <c r="M10" s="21" t="n">
        <f aca="false">K10*IF(LEFT(L10,2)="QO",1,0.7)</f>
        <v>32.515</v>
      </c>
      <c r="N10" s="18" t="s">
        <v>175</v>
      </c>
      <c r="O10" s="13" t="s">
        <v>176</v>
      </c>
      <c r="P10" s="13" t="s">
        <v>148</v>
      </c>
    </row>
    <row r="11" customFormat="false" ht="34.5" hidden="false" customHeight="true" outlineLevel="0" collapsed="false">
      <c r="A11" s="18" t="n">
        <f aca="false">RANK(M11,$M$2:$M$94)</f>
        <v>10</v>
      </c>
      <c r="B11" s="18" t="str">
        <f aca="false">IF(LEFT(L11,2)="QO","A · QO now",IF(K11&gt;=20,"B · BOO large","C · BOO"))</f>
        <v>A · QO now</v>
      </c>
      <c r="C11" s="18" t="str">
        <f aca="false">IF(LEFT(L11,2)="QO","Now — QO","At GA — BOO")</f>
        <v>Now — QO</v>
      </c>
      <c r="D11" s="18" t="s">
        <v>152</v>
      </c>
      <c r="E11" s="18" t="s">
        <v>177</v>
      </c>
      <c r="F11" s="18" t="s">
        <v>154</v>
      </c>
      <c r="G11" s="18" t="s">
        <v>178</v>
      </c>
      <c r="H11" s="18" t="s">
        <v>155</v>
      </c>
      <c r="I11" s="19" t="n">
        <v>80000</v>
      </c>
      <c r="J11" s="20" t="n">
        <v>351</v>
      </c>
      <c r="K11" s="21" t="n">
        <v>28.08</v>
      </c>
      <c r="L11" s="18" t="s">
        <v>156</v>
      </c>
      <c r="M11" s="21" t="n">
        <f aca="false">K11*IF(LEFT(L11,2)="QO",1,0.7)</f>
        <v>28.08</v>
      </c>
      <c r="N11" s="18" t="s">
        <v>179</v>
      </c>
      <c r="O11" s="13" t="s">
        <v>180</v>
      </c>
      <c r="P11" s="13" t="s">
        <v>159</v>
      </c>
    </row>
    <row r="12" customFormat="false" ht="45.75" hidden="false" customHeight="true" outlineLevel="0" collapsed="false">
      <c r="A12" s="18" t="n">
        <f aca="false">RANK(M12,$M$2:$M$94)</f>
        <v>11</v>
      </c>
      <c r="B12" s="18" t="str">
        <f aca="false">IF(LEFT(L12,2)="QO","A · QO now",IF(K12&gt;=20,"B · BOO large","C · BOO"))</f>
        <v>B · BOO large</v>
      </c>
      <c r="C12" s="18" t="str">
        <f aca="false">IF(LEFT(L12,2)="QO","Now — QO","At GA — BOO")</f>
        <v>At GA — BOO</v>
      </c>
      <c r="D12" s="18" t="s">
        <v>181</v>
      </c>
      <c r="E12" s="18" t="s">
        <v>182</v>
      </c>
      <c r="F12" s="18" t="s">
        <v>183</v>
      </c>
      <c r="G12" s="18" t="s">
        <v>144</v>
      </c>
      <c r="H12" s="18" t="s">
        <v>145</v>
      </c>
      <c r="I12" s="19" t="n">
        <v>111604</v>
      </c>
      <c r="J12" s="20" t="n">
        <v>332</v>
      </c>
      <c r="K12" s="21" t="n">
        <v>37.05</v>
      </c>
      <c r="L12" s="18" t="s">
        <v>86</v>
      </c>
      <c r="M12" s="21" t="n">
        <f aca="false">K12*IF(LEFT(L12,2)="QO",1,0.7)</f>
        <v>25.935</v>
      </c>
      <c r="N12" s="18" t="s">
        <v>184</v>
      </c>
      <c r="O12" s="13" t="s">
        <v>185</v>
      </c>
      <c r="P12" s="13" t="s">
        <v>148</v>
      </c>
    </row>
    <row r="13" customFormat="false" ht="45.75" hidden="false" customHeight="true" outlineLevel="0" collapsed="false">
      <c r="A13" s="18" t="n">
        <f aca="false">RANK(M13,$M$2:$M$94)</f>
        <v>12</v>
      </c>
      <c r="B13" s="18" t="str">
        <f aca="false">IF(LEFT(L13,2)="QO","A · QO now",IF(K13&gt;=20,"B · BOO large","C · BOO"))</f>
        <v>B · BOO large</v>
      </c>
      <c r="C13" s="18" t="str">
        <f aca="false">IF(LEFT(L13,2)="QO","Now — QO","At GA — BOO")</f>
        <v>At GA — BOO</v>
      </c>
      <c r="D13" s="18" t="s">
        <v>152</v>
      </c>
      <c r="E13" s="18" t="s">
        <v>186</v>
      </c>
      <c r="F13" s="18" t="s">
        <v>154</v>
      </c>
      <c r="G13" s="18" t="s">
        <v>144</v>
      </c>
      <c r="H13" s="18" t="s">
        <v>145</v>
      </c>
      <c r="I13" s="19" t="n">
        <v>99682</v>
      </c>
      <c r="J13" s="20" t="n">
        <v>332</v>
      </c>
      <c r="K13" s="21" t="n">
        <v>33.09</v>
      </c>
      <c r="L13" s="18" t="s">
        <v>86</v>
      </c>
      <c r="M13" s="21" t="n">
        <f aca="false">K13*IF(LEFT(L13,2)="QO",1,0.7)</f>
        <v>23.163</v>
      </c>
      <c r="N13" s="18" t="s">
        <v>187</v>
      </c>
      <c r="O13" s="13" t="s">
        <v>188</v>
      </c>
      <c r="P13" s="13" t="s">
        <v>148</v>
      </c>
    </row>
    <row r="14" customFormat="false" ht="45.75" hidden="false" customHeight="true" outlineLevel="0" collapsed="false">
      <c r="A14" s="18" t="n">
        <f aca="false">RANK(M14,$M$2:$M$94)</f>
        <v>13</v>
      </c>
      <c r="B14" s="18" t="str">
        <f aca="false">IF(LEFT(L14,2)="QO","A · QO now",IF(K14&gt;=20,"B · BOO large","C · BOO"))</f>
        <v>B · BOO large</v>
      </c>
      <c r="C14" s="18" t="str">
        <f aca="false">IF(LEFT(L14,2)="QO","Now — QO","At GA — BOO")</f>
        <v>At GA — BOO</v>
      </c>
      <c r="D14" s="18" t="s">
        <v>142</v>
      </c>
      <c r="E14" s="18" t="s">
        <v>189</v>
      </c>
      <c r="F14" s="18" t="s">
        <v>142</v>
      </c>
      <c r="G14" s="18" t="s">
        <v>144</v>
      </c>
      <c r="H14" s="18" t="s">
        <v>145</v>
      </c>
      <c r="I14" s="19" t="n">
        <v>87568</v>
      </c>
      <c r="J14" s="20" t="n">
        <v>332</v>
      </c>
      <c r="K14" s="21" t="n">
        <v>29.07</v>
      </c>
      <c r="L14" s="18" t="s">
        <v>86</v>
      </c>
      <c r="M14" s="21" t="n">
        <f aca="false">K14*IF(LEFT(L14,2)="QO",1,0.7)</f>
        <v>20.349</v>
      </c>
      <c r="N14" s="18" t="s">
        <v>157</v>
      </c>
      <c r="O14" s="13" t="s">
        <v>190</v>
      </c>
      <c r="P14" s="13" t="s">
        <v>148</v>
      </c>
    </row>
    <row r="15" customFormat="false" ht="34.5" hidden="false" customHeight="true" outlineLevel="0" collapsed="false">
      <c r="A15" s="18" t="n">
        <f aca="false">RANK(M15,$M$2:$M$94)</f>
        <v>14</v>
      </c>
      <c r="B15" s="18" t="str">
        <f aca="false">IF(LEFT(L15,2)="QO","A · QO now",IF(K15&gt;=20,"B · BOO large","C · BOO"))</f>
        <v>A · QO now</v>
      </c>
      <c r="C15" s="18" t="str">
        <f aca="false">IF(LEFT(L15,2)="QO","Now — QO","At GA — BOO")</f>
        <v>Now — QO</v>
      </c>
      <c r="D15" s="18" t="s">
        <v>191</v>
      </c>
      <c r="E15" s="18" t="s">
        <v>192</v>
      </c>
      <c r="F15" s="18" t="s">
        <v>193</v>
      </c>
      <c r="G15" s="18" t="s">
        <v>144</v>
      </c>
      <c r="H15" s="18" t="s">
        <v>155</v>
      </c>
      <c r="I15" s="19" t="n">
        <v>56505</v>
      </c>
      <c r="J15" s="20" t="n">
        <v>351</v>
      </c>
      <c r="K15" s="21" t="n">
        <v>19.83</v>
      </c>
      <c r="L15" s="18" t="s">
        <v>156</v>
      </c>
      <c r="M15" s="21" t="n">
        <f aca="false">K15*IF(LEFT(L15,2)="QO",1,0.7)</f>
        <v>19.83</v>
      </c>
      <c r="N15" s="18" t="s">
        <v>194</v>
      </c>
      <c r="O15" s="13" t="s">
        <v>195</v>
      </c>
      <c r="P15" s="13" t="s">
        <v>159</v>
      </c>
    </row>
    <row r="16" customFormat="false" ht="45.75" hidden="false" customHeight="true" outlineLevel="0" collapsed="false">
      <c r="A16" s="18" t="n">
        <f aca="false">RANK(M16,$M$2:$M$94)</f>
        <v>15</v>
      </c>
      <c r="B16" s="18" t="str">
        <f aca="false">IF(LEFT(L16,2)="QO","A · QO now",IF(K16&gt;=20,"B · BOO large","C · BOO"))</f>
        <v>B · BOO large</v>
      </c>
      <c r="C16" s="18" t="str">
        <f aca="false">IF(LEFT(L16,2)="QO","Now — QO","At GA — BOO")</f>
        <v>At GA — BOO</v>
      </c>
      <c r="D16" s="18" t="s">
        <v>152</v>
      </c>
      <c r="E16" s="18" t="s">
        <v>196</v>
      </c>
      <c r="F16" s="18" t="s">
        <v>154</v>
      </c>
      <c r="G16" s="18" t="s">
        <v>144</v>
      </c>
      <c r="H16" s="18" t="s">
        <v>145</v>
      </c>
      <c r="I16" s="19" t="n">
        <v>81332</v>
      </c>
      <c r="J16" s="20" t="n">
        <v>332</v>
      </c>
      <c r="K16" s="21" t="n">
        <v>27</v>
      </c>
      <c r="L16" s="18" t="s">
        <v>86</v>
      </c>
      <c r="M16" s="21" t="n">
        <f aca="false">K16*IF(LEFT(L16,2)="QO",1,0.7)</f>
        <v>18.9</v>
      </c>
      <c r="N16" s="18" t="s">
        <v>197</v>
      </c>
      <c r="O16" s="13" t="s">
        <v>198</v>
      </c>
      <c r="P16" s="13" t="s">
        <v>148</v>
      </c>
    </row>
    <row r="17" customFormat="false" ht="34.5" hidden="false" customHeight="true" outlineLevel="0" collapsed="false">
      <c r="A17" s="18" t="n">
        <f aca="false">RANK(M17,$M$2:$M$94)</f>
        <v>16</v>
      </c>
      <c r="B17" s="18" t="str">
        <f aca="false">IF(LEFT(L17,2)="QO","A · QO now",IF(K17&gt;=20,"B · BOO large","C · BOO"))</f>
        <v>A · QO now</v>
      </c>
      <c r="C17" s="18" t="str">
        <f aca="false">IF(LEFT(L17,2)="QO","Now — QO","At GA — BOO")</f>
        <v>Now — QO</v>
      </c>
      <c r="D17" s="18" t="s">
        <v>199</v>
      </c>
      <c r="E17" s="18" t="s">
        <v>200</v>
      </c>
      <c r="F17" s="18" t="s">
        <v>201</v>
      </c>
      <c r="G17" s="18" t="s">
        <v>144</v>
      </c>
      <c r="H17" s="18" t="s">
        <v>155</v>
      </c>
      <c r="I17" s="19" t="n">
        <v>52151</v>
      </c>
      <c r="J17" s="20" t="n">
        <v>351</v>
      </c>
      <c r="K17" s="21" t="n">
        <v>18.31</v>
      </c>
      <c r="L17" s="18" t="s">
        <v>156</v>
      </c>
      <c r="M17" s="21" t="n">
        <f aca="false">K17*IF(LEFT(L17,2)="QO",1,0.7)</f>
        <v>18.31</v>
      </c>
      <c r="N17" s="18" t="s">
        <v>202</v>
      </c>
      <c r="O17" s="13" t="s">
        <v>203</v>
      </c>
      <c r="P17" s="13" t="s">
        <v>159</v>
      </c>
    </row>
    <row r="18" customFormat="false" ht="34.5" hidden="false" customHeight="true" outlineLevel="0" collapsed="false">
      <c r="A18" s="18" t="n">
        <f aca="false">RANK(M18,$M$2:$M$94)</f>
        <v>17</v>
      </c>
      <c r="B18" s="18" t="str">
        <f aca="false">IF(LEFT(L18,2)="QO","A · QO now",IF(K18&gt;=20,"B · BOO large","C · BOO"))</f>
        <v>A · QO now</v>
      </c>
      <c r="C18" s="18" t="str">
        <f aca="false">IF(LEFT(L18,2)="QO","Now — QO","At GA — BOO")</f>
        <v>Now — QO</v>
      </c>
      <c r="D18" s="18" t="s">
        <v>204</v>
      </c>
      <c r="E18" s="18" t="s">
        <v>205</v>
      </c>
      <c r="F18" s="18" t="s">
        <v>206</v>
      </c>
      <c r="G18" s="18" t="s">
        <v>144</v>
      </c>
      <c r="H18" s="18" t="s">
        <v>155</v>
      </c>
      <c r="I18" s="19" t="n">
        <v>50096</v>
      </c>
      <c r="J18" s="20" t="n">
        <v>351</v>
      </c>
      <c r="K18" s="21" t="n">
        <v>17.58</v>
      </c>
      <c r="L18" s="18" t="s">
        <v>156</v>
      </c>
      <c r="M18" s="21" t="n">
        <f aca="false">K18*IF(LEFT(L18,2)="QO",1,0.7)</f>
        <v>17.58</v>
      </c>
      <c r="N18" s="18" t="s">
        <v>146</v>
      </c>
      <c r="O18" s="13" t="s">
        <v>207</v>
      </c>
      <c r="P18" s="13" t="s">
        <v>159</v>
      </c>
    </row>
    <row r="19" customFormat="false" ht="34.5" hidden="false" customHeight="true" outlineLevel="0" collapsed="false">
      <c r="A19" s="18" t="n">
        <f aca="false">RANK(M19,$M$2:$M$94)</f>
        <v>18</v>
      </c>
      <c r="B19" s="18" t="str">
        <f aca="false">IF(LEFT(L19,2)="QO","A · QO now",IF(K19&gt;=20,"B · BOO large","C · BOO"))</f>
        <v>A · QO now</v>
      </c>
      <c r="C19" s="18" t="str">
        <f aca="false">IF(LEFT(L19,2)="QO","Now — QO","At GA — BOO")</f>
        <v>Now — QO</v>
      </c>
      <c r="D19" s="18" t="s">
        <v>208</v>
      </c>
      <c r="E19" s="18" t="s">
        <v>209</v>
      </c>
      <c r="F19" s="18" t="s">
        <v>210</v>
      </c>
      <c r="G19" s="18" t="s">
        <v>144</v>
      </c>
      <c r="H19" s="18" t="s">
        <v>155</v>
      </c>
      <c r="I19" s="19" t="n">
        <v>48699</v>
      </c>
      <c r="J19" s="20" t="n">
        <v>351</v>
      </c>
      <c r="K19" s="21" t="n">
        <v>17.09</v>
      </c>
      <c r="L19" s="18" t="s">
        <v>156</v>
      </c>
      <c r="M19" s="21" t="n">
        <f aca="false">K19*IF(LEFT(L19,2)="QO",1,0.7)</f>
        <v>17.09</v>
      </c>
      <c r="N19" s="18" t="s">
        <v>211</v>
      </c>
      <c r="O19" s="13" t="s">
        <v>212</v>
      </c>
      <c r="P19" s="13" t="s">
        <v>159</v>
      </c>
    </row>
    <row r="20" customFormat="false" ht="45.75" hidden="false" customHeight="true" outlineLevel="0" collapsed="false">
      <c r="A20" s="18" t="n">
        <f aca="false">RANK(M20,$M$2:$M$94)</f>
        <v>19</v>
      </c>
      <c r="B20" s="18" t="str">
        <f aca="false">IF(LEFT(L20,2)="QO","A · QO now",IF(K20&gt;=20,"B · BOO large","C · BOO"))</f>
        <v>B · BOO large</v>
      </c>
      <c r="C20" s="18" t="str">
        <f aca="false">IF(LEFT(L20,2)="QO","Now — QO","At GA — BOO")</f>
        <v>At GA — BOO</v>
      </c>
      <c r="D20" s="18" t="s">
        <v>213</v>
      </c>
      <c r="E20" s="18" t="s">
        <v>214</v>
      </c>
      <c r="F20" s="18" t="s">
        <v>215</v>
      </c>
      <c r="G20" s="18" t="s">
        <v>144</v>
      </c>
      <c r="H20" s="18" t="s">
        <v>145</v>
      </c>
      <c r="I20" s="19" t="n">
        <v>71855</v>
      </c>
      <c r="J20" s="20" t="n">
        <v>332</v>
      </c>
      <c r="K20" s="21" t="n">
        <v>23.86</v>
      </c>
      <c r="L20" s="18" t="s">
        <v>86</v>
      </c>
      <c r="M20" s="21" t="n">
        <f aca="false">K20*IF(LEFT(L20,2)="QO",1,0.7)</f>
        <v>16.702</v>
      </c>
      <c r="N20" s="18" t="s">
        <v>172</v>
      </c>
      <c r="O20" s="13" t="s">
        <v>216</v>
      </c>
      <c r="P20" s="13" t="s">
        <v>148</v>
      </c>
    </row>
    <row r="21" customFormat="false" ht="34.5" hidden="false" customHeight="true" outlineLevel="0" collapsed="false">
      <c r="A21" s="18" t="n">
        <f aca="false">RANK(M21,$M$2:$M$94)</f>
        <v>20</v>
      </c>
      <c r="B21" s="18" t="str">
        <f aca="false">IF(LEFT(L21,2)="QO","A · QO now",IF(K21&gt;=20,"B · BOO large","C · BOO"))</f>
        <v>A · QO now</v>
      </c>
      <c r="C21" s="18" t="str">
        <f aca="false">IF(LEFT(L21,2)="QO","Now — QO","At GA — BOO")</f>
        <v>Now — QO</v>
      </c>
      <c r="D21" s="18" t="s">
        <v>217</v>
      </c>
      <c r="E21" s="18" t="s">
        <v>218</v>
      </c>
      <c r="F21" s="18" t="s">
        <v>219</v>
      </c>
      <c r="G21" s="18" t="s">
        <v>144</v>
      </c>
      <c r="H21" s="18" t="s">
        <v>155</v>
      </c>
      <c r="I21" s="19" t="n">
        <v>45119</v>
      </c>
      <c r="J21" s="20" t="n">
        <v>351</v>
      </c>
      <c r="K21" s="21" t="n">
        <v>15.84</v>
      </c>
      <c r="L21" s="18" t="s">
        <v>156</v>
      </c>
      <c r="M21" s="21" t="n">
        <f aca="false">K21*IF(LEFT(L21,2)="QO",1,0.7)</f>
        <v>15.84</v>
      </c>
      <c r="N21" s="18" t="s">
        <v>220</v>
      </c>
      <c r="O21" s="13" t="s">
        <v>221</v>
      </c>
      <c r="P21" s="13" t="s">
        <v>159</v>
      </c>
    </row>
    <row r="22" customFormat="false" ht="34.5" hidden="false" customHeight="true" outlineLevel="0" collapsed="false">
      <c r="A22" s="18" t="n">
        <f aca="false">RANK(M22,$M$2:$M$94)</f>
        <v>21</v>
      </c>
      <c r="B22" s="18" t="str">
        <f aca="false">IF(LEFT(L22,2)="QO","A · QO now",IF(K22&gt;=20,"B · BOO large","C · BOO"))</f>
        <v>A · QO now</v>
      </c>
      <c r="C22" s="18" t="str">
        <f aca="false">IF(LEFT(L22,2)="QO","Now — QO","At GA — BOO")</f>
        <v>Now — QO</v>
      </c>
      <c r="D22" s="18" t="s">
        <v>222</v>
      </c>
      <c r="E22" s="18" t="s">
        <v>223</v>
      </c>
      <c r="F22" s="18" t="s">
        <v>224</v>
      </c>
      <c r="G22" s="18" t="s">
        <v>144</v>
      </c>
      <c r="H22" s="18" t="s">
        <v>155</v>
      </c>
      <c r="I22" s="19" t="n">
        <v>45000</v>
      </c>
      <c r="J22" s="20" t="n">
        <v>351</v>
      </c>
      <c r="K22" s="21" t="n">
        <v>15.79</v>
      </c>
      <c r="L22" s="18" t="s">
        <v>156</v>
      </c>
      <c r="M22" s="21" t="n">
        <f aca="false">K22*IF(LEFT(L22,2)="QO",1,0.7)</f>
        <v>15.79</v>
      </c>
      <c r="N22" s="18" t="s">
        <v>225</v>
      </c>
      <c r="O22" s="13" t="s">
        <v>226</v>
      </c>
      <c r="P22" s="13" t="s">
        <v>159</v>
      </c>
    </row>
    <row r="23" customFormat="false" ht="34.5" hidden="false" customHeight="true" outlineLevel="0" collapsed="false">
      <c r="A23" s="18" t="n">
        <f aca="false">RANK(M23,$M$2:$M$94)</f>
        <v>21</v>
      </c>
      <c r="B23" s="18" t="str">
        <f aca="false">IF(LEFT(L23,2)="QO","A · QO now",IF(K23&gt;=20,"B · BOO large","C · BOO"))</f>
        <v>A · QO now</v>
      </c>
      <c r="C23" s="18" t="str">
        <f aca="false">IF(LEFT(L23,2)="QO","Now — QO","At GA — BOO")</f>
        <v>Now — QO</v>
      </c>
      <c r="D23" s="18" t="s">
        <v>227</v>
      </c>
      <c r="E23" s="18" t="s">
        <v>228</v>
      </c>
      <c r="F23" s="18" t="s">
        <v>229</v>
      </c>
      <c r="G23" s="18" t="s">
        <v>144</v>
      </c>
      <c r="H23" s="18" t="s">
        <v>155</v>
      </c>
      <c r="I23" s="19" t="n">
        <v>45000</v>
      </c>
      <c r="J23" s="20" t="n">
        <v>351</v>
      </c>
      <c r="K23" s="21" t="n">
        <v>15.79</v>
      </c>
      <c r="L23" s="18" t="s">
        <v>156</v>
      </c>
      <c r="M23" s="21" t="n">
        <f aca="false">K23*IF(LEFT(L23,2)="QO",1,0.7)</f>
        <v>15.79</v>
      </c>
      <c r="N23" s="18" t="s">
        <v>230</v>
      </c>
      <c r="O23" s="13" t="s">
        <v>231</v>
      </c>
      <c r="P23" s="13" t="s">
        <v>159</v>
      </c>
    </row>
    <row r="24" customFormat="false" ht="34.5" hidden="false" customHeight="true" outlineLevel="0" collapsed="false">
      <c r="A24" s="18" t="n">
        <f aca="false">RANK(M24,$M$2:$M$94)</f>
        <v>21</v>
      </c>
      <c r="B24" s="18" t="str">
        <f aca="false">IF(LEFT(L24,2)="QO","A · QO now",IF(K24&gt;=20,"B · BOO large","C · BOO"))</f>
        <v>A · QO now</v>
      </c>
      <c r="C24" s="18" t="str">
        <f aca="false">IF(LEFT(L24,2)="QO","Now — QO","At GA — BOO")</f>
        <v>Now — QO</v>
      </c>
      <c r="D24" s="18" t="s">
        <v>232</v>
      </c>
      <c r="E24" s="18" t="s">
        <v>233</v>
      </c>
      <c r="F24" s="18" t="s">
        <v>234</v>
      </c>
      <c r="G24" s="18" t="s">
        <v>144</v>
      </c>
      <c r="H24" s="18" t="s">
        <v>155</v>
      </c>
      <c r="I24" s="19" t="n">
        <v>45000</v>
      </c>
      <c r="J24" s="20" t="n">
        <v>351</v>
      </c>
      <c r="K24" s="21" t="n">
        <v>15.79</v>
      </c>
      <c r="L24" s="18" t="s">
        <v>156</v>
      </c>
      <c r="M24" s="21" t="n">
        <f aca="false">K24*IF(LEFT(L24,2)="QO",1,0.7)</f>
        <v>15.79</v>
      </c>
      <c r="N24" s="18" t="s">
        <v>235</v>
      </c>
      <c r="O24" s="13" t="s">
        <v>236</v>
      </c>
      <c r="P24" s="13" t="s">
        <v>159</v>
      </c>
    </row>
    <row r="25" customFormat="false" ht="34.5" hidden="false" customHeight="true" outlineLevel="0" collapsed="false">
      <c r="A25" s="18" t="n">
        <f aca="false">RANK(M25,$M$2:$M$94)</f>
        <v>24</v>
      </c>
      <c r="B25" s="18" t="str">
        <f aca="false">IF(LEFT(L25,2)="QO","A · QO now",IF(K25&gt;=20,"B · BOO large","C · BOO"))</f>
        <v>A · QO now</v>
      </c>
      <c r="C25" s="18" t="str">
        <f aca="false">IF(LEFT(L25,2)="QO","Now — QO","At GA — BOO")</f>
        <v>Now — QO</v>
      </c>
      <c r="D25" s="18" t="s">
        <v>237</v>
      </c>
      <c r="E25" s="18" t="s">
        <v>238</v>
      </c>
      <c r="F25" s="18" t="s">
        <v>239</v>
      </c>
      <c r="G25" s="18" t="s">
        <v>144</v>
      </c>
      <c r="H25" s="18" t="s">
        <v>155</v>
      </c>
      <c r="I25" s="19" t="n">
        <v>43003</v>
      </c>
      <c r="J25" s="20" t="n">
        <v>351</v>
      </c>
      <c r="K25" s="21" t="n">
        <v>15.09</v>
      </c>
      <c r="L25" s="18" t="s">
        <v>156</v>
      </c>
      <c r="M25" s="21" t="n">
        <f aca="false">K25*IF(LEFT(L25,2)="QO",1,0.7)</f>
        <v>15.09</v>
      </c>
      <c r="N25" s="18" t="s">
        <v>240</v>
      </c>
      <c r="O25" s="13" t="s">
        <v>241</v>
      </c>
      <c r="P25" s="13" t="s">
        <v>159</v>
      </c>
    </row>
    <row r="26" customFormat="false" ht="34.5" hidden="false" customHeight="true" outlineLevel="0" collapsed="false">
      <c r="A26" s="18" t="n">
        <f aca="false">RANK(M26,$M$2:$M$94)</f>
        <v>25</v>
      </c>
      <c r="B26" s="18" t="str">
        <f aca="false">IF(LEFT(L26,2)="QO","A · QO now",IF(K26&gt;=20,"B · BOO large","C · BOO"))</f>
        <v>A · QO now</v>
      </c>
      <c r="C26" s="18" t="str">
        <f aca="false">IF(LEFT(L26,2)="QO","Now — QO","At GA — BOO")</f>
        <v>Now — QO</v>
      </c>
      <c r="D26" s="18" t="s">
        <v>217</v>
      </c>
      <c r="E26" s="18" t="s">
        <v>242</v>
      </c>
      <c r="F26" s="18" t="s">
        <v>219</v>
      </c>
      <c r="G26" s="18" t="s">
        <v>144</v>
      </c>
      <c r="H26" s="18" t="s">
        <v>155</v>
      </c>
      <c r="I26" s="19" t="n">
        <v>41074</v>
      </c>
      <c r="J26" s="20" t="n">
        <v>351</v>
      </c>
      <c r="K26" s="21" t="n">
        <v>14.42</v>
      </c>
      <c r="L26" s="18" t="s">
        <v>156</v>
      </c>
      <c r="M26" s="21" t="n">
        <f aca="false">K26*IF(LEFT(L26,2)="QO",1,0.7)</f>
        <v>14.42</v>
      </c>
      <c r="N26" s="18" t="s">
        <v>243</v>
      </c>
      <c r="O26" s="13" t="s">
        <v>244</v>
      </c>
      <c r="P26" s="13" t="s">
        <v>159</v>
      </c>
    </row>
    <row r="27" customFormat="false" ht="45.75" hidden="false" customHeight="true" outlineLevel="0" collapsed="false">
      <c r="A27" s="18" t="n">
        <f aca="false">RANK(M27,$M$2:$M$94)</f>
        <v>26</v>
      </c>
      <c r="B27" s="18" t="str">
        <f aca="false">IF(LEFT(L27,2)="QO","A · QO now",IF(K27&gt;=20,"B · BOO large","C · BOO"))</f>
        <v>C · BOO</v>
      </c>
      <c r="C27" s="18" t="str">
        <f aca="false">IF(LEFT(L27,2)="QO","Now — QO","At GA — BOO")</f>
        <v>At GA — BOO</v>
      </c>
      <c r="D27" s="18" t="s">
        <v>245</v>
      </c>
      <c r="E27" s="18" t="s">
        <v>246</v>
      </c>
      <c r="F27" s="18" t="s">
        <v>247</v>
      </c>
      <c r="G27" s="18" t="s">
        <v>144</v>
      </c>
      <c r="H27" s="18" t="s">
        <v>145</v>
      </c>
      <c r="I27" s="19" t="n">
        <v>60060</v>
      </c>
      <c r="J27" s="20" t="n">
        <v>332</v>
      </c>
      <c r="K27" s="21" t="n">
        <v>19.94</v>
      </c>
      <c r="L27" s="18" t="s">
        <v>86</v>
      </c>
      <c r="M27" s="21" t="n">
        <f aca="false">K27*IF(LEFT(L27,2)="QO",1,0.7)</f>
        <v>13.958</v>
      </c>
      <c r="N27" s="18" t="s">
        <v>248</v>
      </c>
      <c r="O27" s="13" t="s">
        <v>249</v>
      </c>
      <c r="P27" s="13" t="s">
        <v>148</v>
      </c>
    </row>
    <row r="28" customFormat="false" ht="45.75" hidden="false" customHeight="true" outlineLevel="0" collapsed="false">
      <c r="A28" s="18" t="n">
        <f aca="false">RANK(M28,$M$2:$M$94)</f>
        <v>27</v>
      </c>
      <c r="B28" s="18" t="str">
        <f aca="false">IF(LEFT(L28,2)="QO","A · QO now",IF(K28&gt;=20,"B · BOO large","C · BOO"))</f>
        <v>C · BOO</v>
      </c>
      <c r="C28" s="18" t="str">
        <f aca="false">IF(LEFT(L28,2)="QO","Now — QO","At GA — BOO")</f>
        <v>At GA — BOO</v>
      </c>
      <c r="D28" s="18" t="s">
        <v>250</v>
      </c>
      <c r="E28" s="18" t="s">
        <v>251</v>
      </c>
      <c r="F28" s="18" t="s">
        <v>252</v>
      </c>
      <c r="G28" s="18" t="s">
        <v>144</v>
      </c>
      <c r="H28" s="18" t="s">
        <v>145</v>
      </c>
      <c r="I28" s="19" t="n">
        <v>57828</v>
      </c>
      <c r="J28" s="20" t="n">
        <v>332</v>
      </c>
      <c r="K28" s="21" t="n">
        <v>19.2</v>
      </c>
      <c r="L28" s="18" t="s">
        <v>86</v>
      </c>
      <c r="M28" s="21" t="n">
        <f aca="false">K28*IF(LEFT(L28,2)="QO",1,0.7)</f>
        <v>13.44</v>
      </c>
      <c r="N28" s="18" t="s">
        <v>253</v>
      </c>
      <c r="O28" s="13" t="s">
        <v>254</v>
      </c>
      <c r="P28" s="13" t="s">
        <v>148</v>
      </c>
    </row>
    <row r="29" customFormat="false" ht="34.5" hidden="false" customHeight="true" outlineLevel="0" collapsed="false">
      <c r="A29" s="18" t="n">
        <f aca="false">RANK(M29,$M$2:$M$94)</f>
        <v>28</v>
      </c>
      <c r="B29" s="18" t="str">
        <f aca="false">IF(LEFT(L29,2)="QO","A · QO now",IF(K29&gt;=20,"B · BOO large","C · BOO"))</f>
        <v>A · QO now</v>
      </c>
      <c r="C29" s="18" t="str">
        <f aca="false">IF(LEFT(L29,2)="QO","Now — QO","At GA — BOO")</f>
        <v>Now — QO</v>
      </c>
      <c r="D29" s="18" t="s">
        <v>208</v>
      </c>
      <c r="E29" s="18" t="s">
        <v>255</v>
      </c>
      <c r="F29" s="18" t="s">
        <v>256</v>
      </c>
      <c r="G29" s="18" t="s">
        <v>144</v>
      </c>
      <c r="H29" s="18" t="s">
        <v>155</v>
      </c>
      <c r="I29" s="19" t="n">
        <v>35500</v>
      </c>
      <c r="J29" s="20" t="n">
        <v>351</v>
      </c>
      <c r="K29" s="21" t="n">
        <v>12.46</v>
      </c>
      <c r="L29" s="18" t="s">
        <v>156</v>
      </c>
      <c r="M29" s="21" t="n">
        <f aca="false">K29*IF(LEFT(L29,2)="QO",1,0.7)</f>
        <v>12.46</v>
      </c>
      <c r="N29" s="18" t="s">
        <v>257</v>
      </c>
      <c r="O29" s="13" t="s">
        <v>258</v>
      </c>
      <c r="P29" s="13" t="s">
        <v>159</v>
      </c>
    </row>
    <row r="30" customFormat="false" ht="45.75" hidden="false" customHeight="true" outlineLevel="0" collapsed="false">
      <c r="A30" s="18" t="n">
        <f aca="false">RANK(M30,$M$2:$M$94)</f>
        <v>29</v>
      </c>
      <c r="B30" s="18" t="str">
        <f aca="false">IF(LEFT(L30,2)="QO","A · QO now",IF(K30&gt;=20,"B · BOO large","C · BOO"))</f>
        <v>C · BOO</v>
      </c>
      <c r="C30" s="18" t="str">
        <f aca="false">IF(LEFT(L30,2)="QO","Now — QO","At GA — BOO")</f>
        <v>At GA — BOO</v>
      </c>
      <c r="D30" s="18" t="s">
        <v>259</v>
      </c>
      <c r="E30" s="18" t="s">
        <v>260</v>
      </c>
      <c r="F30" s="18" t="s">
        <v>261</v>
      </c>
      <c r="G30" s="18" t="s">
        <v>144</v>
      </c>
      <c r="H30" s="18" t="s">
        <v>145</v>
      </c>
      <c r="I30" s="19" t="n">
        <v>53306</v>
      </c>
      <c r="J30" s="20" t="n">
        <v>332</v>
      </c>
      <c r="K30" s="21" t="n">
        <v>17.7</v>
      </c>
      <c r="L30" s="18" t="s">
        <v>86</v>
      </c>
      <c r="M30" s="21" t="n">
        <f aca="false">K30*IF(LEFT(L30,2)="QO",1,0.7)</f>
        <v>12.39</v>
      </c>
      <c r="N30" s="18" t="s">
        <v>150</v>
      </c>
      <c r="O30" s="13" t="s">
        <v>262</v>
      </c>
      <c r="P30" s="13" t="s">
        <v>148</v>
      </c>
    </row>
    <row r="31" customFormat="false" ht="45.75" hidden="false" customHeight="true" outlineLevel="0" collapsed="false">
      <c r="A31" s="18" t="n">
        <f aca="false">RANK(M31,$M$2:$M$94)</f>
        <v>30</v>
      </c>
      <c r="B31" s="18" t="str">
        <f aca="false">IF(LEFT(L31,2)="QO","A · QO now",IF(K31&gt;=20,"B · BOO large","C · BOO"))</f>
        <v>C · BOO</v>
      </c>
      <c r="C31" s="18" t="str">
        <f aca="false">IF(LEFT(L31,2)="QO","Now — QO","At GA — BOO")</f>
        <v>At GA — BOO</v>
      </c>
      <c r="D31" s="18" t="s">
        <v>250</v>
      </c>
      <c r="E31" s="18" t="s">
        <v>263</v>
      </c>
      <c r="F31" s="18" t="s">
        <v>252</v>
      </c>
      <c r="G31" s="18" t="s">
        <v>144</v>
      </c>
      <c r="H31" s="18" t="s">
        <v>145</v>
      </c>
      <c r="I31" s="19" t="n">
        <v>50482</v>
      </c>
      <c r="J31" s="20" t="n">
        <v>332</v>
      </c>
      <c r="K31" s="21" t="n">
        <v>16.76</v>
      </c>
      <c r="L31" s="18" t="s">
        <v>86</v>
      </c>
      <c r="M31" s="21" t="n">
        <f aca="false">K31*IF(LEFT(L31,2)="QO",1,0.7)</f>
        <v>11.732</v>
      </c>
      <c r="N31" s="18" t="s">
        <v>187</v>
      </c>
      <c r="O31" s="13" t="s">
        <v>264</v>
      </c>
      <c r="P31" s="13" t="s">
        <v>148</v>
      </c>
    </row>
    <row r="32" customFormat="false" ht="45.75" hidden="false" customHeight="true" outlineLevel="0" collapsed="false">
      <c r="A32" s="18" t="n">
        <f aca="false">RANK(M32,$M$2:$M$94)</f>
        <v>31</v>
      </c>
      <c r="B32" s="18" t="str">
        <f aca="false">IF(LEFT(L32,2)="QO","A · QO now",IF(K32&gt;=20,"B · BOO large","C · BOO"))</f>
        <v>C · BOO</v>
      </c>
      <c r="C32" s="18" t="str">
        <f aca="false">IF(LEFT(L32,2)="QO","Now — QO","At GA — BOO")</f>
        <v>At GA — BOO</v>
      </c>
      <c r="D32" s="18" t="s">
        <v>265</v>
      </c>
      <c r="E32" s="18" t="s">
        <v>266</v>
      </c>
      <c r="F32" s="18" t="s">
        <v>267</v>
      </c>
      <c r="G32" s="18" t="s">
        <v>144</v>
      </c>
      <c r="H32" s="18" t="s">
        <v>145</v>
      </c>
      <c r="I32" s="19" t="n">
        <v>49913</v>
      </c>
      <c r="J32" s="20" t="n">
        <v>332</v>
      </c>
      <c r="K32" s="21" t="n">
        <v>16.57</v>
      </c>
      <c r="L32" s="18" t="s">
        <v>86</v>
      </c>
      <c r="M32" s="21" t="n">
        <f aca="false">K32*IF(LEFT(L32,2)="QO",1,0.7)</f>
        <v>11.599</v>
      </c>
      <c r="N32" s="18" t="s">
        <v>268</v>
      </c>
      <c r="O32" s="13" t="s">
        <v>269</v>
      </c>
      <c r="P32" s="13" t="s">
        <v>148</v>
      </c>
    </row>
    <row r="33" customFormat="false" ht="34.5" hidden="false" customHeight="true" outlineLevel="0" collapsed="false">
      <c r="A33" s="18" t="n">
        <f aca="false">RANK(M33,$M$2:$M$94)</f>
        <v>32</v>
      </c>
      <c r="B33" s="18" t="str">
        <f aca="false">IF(LEFT(L33,2)="QO","A · QO now",IF(K33&gt;=20,"B · BOO large","C · BOO"))</f>
        <v>A · QO now</v>
      </c>
      <c r="C33" s="18" t="str">
        <f aca="false">IF(LEFT(L33,2)="QO","Now — QO","At GA — BOO")</f>
        <v>Now — QO</v>
      </c>
      <c r="D33" s="18" t="s">
        <v>250</v>
      </c>
      <c r="E33" s="18" t="s">
        <v>270</v>
      </c>
      <c r="F33" s="18" t="s">
        <v>252</v>
      </c>
      <c r="G33" s="18" t="s">
        <v>144</v>
      </c>
      <c r="H33" s="18" t="s">
        <v>155</v>
      </c>
      <c r="I33" s="19" t="n">
        <v>29470</v>
      </c>
      <c r="J33" s="20" t="n">
        <v>351</v>
      </c>
      <c r="K33" s="21" t="n">
        <v>10.34</v>
      </c>
      <c r="L33" s="18" t="s">
        <v>156</v>
      </c>
      <c r="M33" s="21" t="n">
        <f aca="false">K33*IF(LEFT(L33,2)="QO",1,0.7)</f>
        <v>10.34</v>
      </c>
      <c r="N33" s="18" t="s">
        <v>271</v>
      </c>
      <c r="O33" s="13" t="s">
        <v>272</v>
      </c>
      <c r="P33" s="13" t="s">
        <v>159</v>
      </c>
    </row>
    <row r="34" customFormat="false" ht="45.75" hidden="false" customHeight="true" outlineLevel="0" collapsed="false">
      <c r="A34" s="18" t="n">
        <f aca="false">RANK(M34,$M$2:$M$94)</f>
        <v>33</v>
      </c>
      <c r="B34" s="18" t="str">
        <f aca="false">IF(LEFT(L34,2)="QO","A · QO now",IF(K34&gt;=20,"B · BOO large","C · BOO"))</f>
        <v>C · BOO</v>
      </c>
      <c r="C34" s="18" t="str">
        <f aca="false">IF(LEFT(L34,2)="QO","Now — QO","At GA — BOO")</f>
        <v>At GA — BOO</v>
      </c>
      <c r="D34" s="18" t="s">
        <v>250</v>
      </c>
      <c r="E34" s="18" t="s">
        <v>273</v>
      </c>
      <c r="F34" s="18" t="s">
        <v>252</v>
      </c>
      <c r="G34" s="18" t="s">
        <v>144</v>
      </c>
      <c r="H34" s="18" t="s">
        <v>145</v>
      </c>
      <c r="I34" s="19" t="n">
        <v>42434</v>
      </c>
      <c r="J34" s="20" t="n">
        <v>332</v>
      </c>
      <c r="K34" s="21" t="n">
        <v>14.09</v>
      </c>
      <c r="L34" s="18" t="s">
        <v>86</v>
      </c>
      <c r="M34" s="21" t="n">
        <f aca="false">K34*IF(LEFT(L34,2)="QO",1,0.7)</f>
        <v>9.863</v>
      </c>
      <c r="N34" s="18" t="s">
        <v>274</v>
      </c>
      <c r="O34" s="13" t="s">
        <v>275</v>
      </c>
      <c r="P34" s="13" t="s">
        <v>148</v>
      </c>
    </row>
    <row r="35" customFormat="false" ht="45.75" hidden="false" customHeight="true" outlineLevel="0" collapsed="false">
      <c r="A35" s="18" t="n">
        <f aca="false">RANK(M35,$M$2:$M$94)</f>
        <v>34</v>
      </c>
      <c r="B35" s="18" t="str">
        <f aca="false">IF(LEFT(L35,2)="QO","A · QO now",IF(K35&gt;=20,"B · BOO large","C · BOO"))</f>
        <v>C · BOO</v>
      </c>
      <c r="C35" s="18" t="str">
        <f aca="false">IF(LEFT(L35,2)="QO","Now — QO","At GA — BOO")</f>
        <v>At GA — BOO</v>
      </c>
      <c r="D35" s="18" t="s">
        <v>152</v>
      </c>
      <c r="E35" s="18" t="s">
        <v>276</v>
      </c>
      <c r="F35" s="18" t="s">
        <v>154</v>
      </c>
      <c r="G35" s="18" t="s">
        <v>144</v>
      </c>
      <c r="H35" s="18" t="s">
        <v>145</v>
      </c>
      <c r="I35" s="19" t="n">
        <v>39257</v>
      </c>
      <c r="J35" s="20" t="n">
        <v>332</v>
      </c>
      <c r="K35" s="21" t="n">
        <v>13.03</v>
      </c>
      <c r="L35" s="18" t="s">
        <v>86</v>
      </c>
      <c r="M35" s="21" t="n">
        <f aca="false">K35*IF(LEFT(L35,2)="QO",1,0.7)</f>
        <v>9.121</v>
      </c>
      <c r="N35" s="18" t="s">
        <v>277</v>
      </c>
      <c r="O35" s="13" t="s">
        <v>278</v>
      </c>
      <c r="P35" s="13" t="s">
        <v>148</v>
      </c>
    </row>
    <row r="36" customFormat="false" ht="45.75" hidden="false" customHeight="true" outlineLevel="0" collapsed="false">
      <c r="A36" s="18" t="n">
        <f aca="false">RANK(M36,$M$2:$M$94)</f>
        <v>35</v>
      </c>
      <c r="B36" s="18" t="str">
        <f aca="false">IF(LEFT(L36,2)="QO","A · QO now",IF(K36&gt;=20,"B · BOO large","C · BOO"))</f>
        <v>C · BOO</v>
      </c>
      <c r="C36" s="18" t="str">
        <f aca="false">IF(LEFT(L36,2)="QO","Now — QO","At GA — BOO")</f>
        <v>At GA — BOO</v>
      </c>
      <c r="D36" s="18" t="s">
        <v>279</v>
      </c>
      <c r="E36" s="18" t="s">
        <v>280</v>
      </c>
      <c r="F36" s="18" t="s">
        <v>281</v>
      </c>
      <c r="G36" s="18" t="s">
        <v>144</v>
      </c>
      <c r="H36" s="18" t="s">
        <v>145</v>
      </c>
      <c r="I36" s="19" t="n">
        <v>37336</v>
      </c>
      <c r="J36" s="20" t="n">
        <v>332</v>
      </c>
      <c r="K36" s="21" t="n">
        <v>12.4</v>
      </c>
      <c r="L36" s="18" t="s">
        <v>86</v>
      </c>
      <c r="M36" s="21" t="n">
        <f aca="false">K36*IF(LEFT(L36,2)="QO",1,0.7)</f>
        <v>8.68</v>
      </c>
      <c r="N36" s="18" t="s">
        <v>282</v>
      </c>
      <c r="O36" s="13" t="s">
        <v>283</v>
      </c>
      <c r="P36" s="13" t="s">
        <v>148</v>
      </c>
    </row>
    <row r="37" customFormat="false" ht="45.75" hidden="false" customHeight="true" outlineLevel="0" collapsed="false">
      <c r="A37" s="18" t="n">
        <f aca="false">RANK(M37,$M$2:$M$94)</f>
        <v>36</v>
      </c>
      <c r="B37" s="18" t="str">
        <f aca="false">IF(LEFT(L37,2)="QO","A · QO now",IF(K37&gt;=20,"B · BOO large","C · BOO"))</f>
        <v>C · BOO</v>
      </c>
      <c r="C37" s="18" t="str">
        <f aca="false">IF(LEFT(L37,2)="QO","Now — QO","At GA — BOO")</f>
        <v>At GA — BOO</v>
      </c>
      <c r="D37" s="18" t="s">
        <v>284</v>
      </c>
      <c r="E37" s="18" t="s">
        <v>285</v>
      </c>
      <c r="F37" s="18" t="s">
        <v>286</v>
      </c>
      <c r="G37" s="18" t="s">
        <v>144</v>
      </c>
      <c r="H37" s="18" t="s">
        <v>145</v>
      </c>
      <c r="I37" s="19" t="n">
        <v>36665</v>
      </c>
      <c r="J37" s="20" t="n">
        <v>332</v>
      </c>
      <c r="K37" s="21" t="n">
        <v>12.17</v>
      </c>
      <c r="L37" s="18" t="s">
        <v>86</v>
      </c>
      <c r="M37" s="21" t="n">
        <f aca="false">K37*IF(LEFT(L37,2)="QO",1,0.7)</f>
        <v>8.519</v>
      </c>
      <c r="N37" s="18" t="s">
        <v>184</v>
      </c>
      <c r="O37" s="13" t="s">
        <v>287</v>
      </c>
      <c r="P37" s="13" t="s">
        <v>148</v>
      </c>
    </row>
    <row r="38" customFormat="false" ht="45.75" hidden="false" customHeight="true" outlineLevel="0" collapsed="false">
      <c r="A38" s="18" t="n">
        <f aca="false">RANK(M38,$M$2:$M$94)</f>
        <v>37</v>
      </c>
      <c r="B38" s="18" t="str">
        <f aca="false">IF(LEFT(L38,2)="QO","A · QO now",IF(K38&gt;=20,"B · BOO large","C · BOO"))</f>
        <v>C · BOO</v>
      </c>
      <c r="C38" s="18" t="str">
        <f aca="false">IF(LEFT(L38,2)="QO","Now — QO","At GA — BOO")</f>
        <v>At GA — BOO</v>
      </c>
      <c r="D38" s="18" t="s">
        <v>288</v>
      </c>
      <c r="E38" s="18" t="s">
        <v>289</v>
      </c>
      <c r="F38" s="18" t="s">
        <v>290</v>
      </c>
      <c r="G38" s="18" t="s">
        <v>144</v>
      </c>
      <c r="H38" s="18" t="s">
        <v>145</v>
      </c>
      <c r="I38" s="19" t="n">
        <v>35903</v>
      </c>
      <c r="J38" s="20" t="n">
        <v>332</v>
      </c>
      <c r="K38" s="21" t="n">
        <v>11.92</v>
      </c>
      <c r="L38" s="18" t="s">
        <v>86</v>
      </c>
      <c r="M38" s="21" t="n">
        <f aca="false">K38*IF(LEFT(L38,2)="QO",1,0.7)</f>
        <v>8.344</v>
      </c>
      <c r="N38" s="18" t="s">
        <v>202</v>
      </c>
      <c r="O38" s="13" t="s">
        <v>291</v>
      </c>
      <c r="P38" s="13" t="s">
        <v>148</v>
      </c>
    </row>
    <row r="39" customFormat="false" ht="45.75" hidden="false" customHeight="true" outlineLevel="0" collapsed="false">
      <c r="A39" s="18" t="n">
        <f aca="false">RANK(M39,$M$2:$M$94)</f>
        <v>38</v>
      </c>
      <c r="B39" s="18" t="str">
        <f aca="false">IF(LEFT(L39,2)="QO","A · QO now",IF(K39&gt;=20,"B · BOO large","C · BOO"))</f>
        <v>C · BOO</v>
      </c>
      <c r="C39" s="18" t="str">
        <f aca="false">IF(LEFT(L39,2)="QO","Now — QO","At GA — BOO")</f>
        <v>At GA — BOO</v>
      </c>
      <c r="D39" s="18" t="s">
        <v>292</v>
      </c>
      <c r="E39" s="18" t="s">
        <v>293</v>
      </c>
      <c r="F39" s="18" t="s">
        <v>294</v>
      </c>
      <c r="G39" s="18" t="s">
        <v>144</v>
      </c>
      <c r="H39" s="18" t="s">
        <v>145</v>
      </c>
      <c r="I39" s="19" t="n">
        <v>35723</v>
      </c>
      <c r="J39" s="20" t="n">
        <v>332</v>
      </c>
      <c r="K39" s="21" t="n">
        <v>11.86</v>
      </c>
      <c r="L39" s="18" t="s">
        <v>86</v>
      </c>
      <c r="M39" s="21" t="n">
        <f aca="false">K39*IF(LEFT(L39,2)="QO",1,0.7)</f>
        <v>8.302</v>
      </c>
      <c r="N39" s="18" t="s">
        <v>230</v>
      </c>
      <c r="O39" s="13" t="s">
        <v>295</v>
      </c>
      <c r="P39" s="13" t="s">
        <v>148</v>
      </c>
    </row>
    <row r="40" customFormat="false" ht="45.75" hidden="false" customHeight="true" outlineLevel="0" collapsed="false">
      <c r="A40" s="18" t="n">
        <f aca="false">RANK(M40,$M$2:$M$94)</f>
        <v>39</v>
      </c>
      <c r="B40" s="18" t="str">
        <f aca="false">IF(LEFT(L40,2)="QO","A · QO now",IF(K40&gt;=20,"B · BOO large","C · BOO"))</f>
        <v>C · BOO</v>
      </c>
      <c r="C40" s="18" t="str">
        <f aca="false">IF(LEFT(L40,2)="QO","Now — QO","At GA — BOO")</f>
        <v>At GA — BOO</v>
      </c>
      <c r="D40" s="18" t="s">
        <v>296</v>
      </c>
      <c r="E40" s="18" t="s">
        <v>297</v>
      </c>
      <c r="F40" s="18" t="s">
        <v>298</v>
      </c>
      <c r="G40" s="18" t="s">
        <v>144</v>
      </c>
      <c r="H40" s="18" t="s">
        <v>145</v>
      </c>
      <c r="I40" s="19" t="n">
        <v>32919</v>
      </c>
      <c r="J40" s="20" t="n">
        <v>332</v>
      </c>
      <c r="K40" s="21" t="n">
        <v>10.93</v>
      </c>
      <c r="L40" s="18" t="s">
        <v>86</v>
      </c>
      <c r="M40" s="21" t="n">
        <f aca="false">K40*IF(LEFT(L40,2)="QO",1,0.7)</f>
        <v>7.651</v>
      </c>
      <c r="N40" s="18" t="s">
        <v>299</v>
      </c>
      <c r="O40" s="13" t="s">
        <v>300</v>
      </c>
      <c r="P40" s="13" t="s">
        <v>148</v>
      </c>
    </row>
    <row r="41" customFormat="false" ht="45.75" hidden="false" customHeight="true" outlineLevel="0" collapsed="false">
      <c r="A41" s="18" t="n">
        <f aca="false">RANK(M41,$M$2:$M$94)</f>
        <v>40</v>
      </c>
      <c r="B41" s="18" t="str">
        <f aca="false">IF(LEFT(L41,2)="QO","A · QO now",IF(K41&gt;=20,"B · BOO large","C · BOO"))</f>
        <v>C · BOO</v>
      </c>
      <c r="C41" s="18" t="str">
        <f aca="false">IF(LEFT(L41,2)="QO","Now — QO","At GA — BOO")</f>
        <v>At GA — BOO</v>
      </c>
      <c r="D41" s="18" t="s">
        <v>152</v>
      </c>
      <c r="E41" s="18" t="s">
        <v>301</v>
      </c>
      <c r="F41" s="18" t="s">
        <v>154</v>
      </c>
      <c r="G41" s="18" t="s">
        <v>144</v>
      </c>
      <c r="H41" s="18" t="s">
        <v>145</v>
      </c>
      <c r="I41" s="19" t="n">
        <v>32447</v>
      </c>
      <c r="J41" s="20" t="n">
        <v>332</v>
      </c>
      <c r="K41" s="21" t="n">
        <v>10.77</v>
      </c>
      <c r="L41" s="18" t="s">
        <v>86</v>
      </c>
      <c r="M41" s="21" t="n">
        <f aca="false">K41*IF(LEFT(L41,2)="QO",1,0.7)</f>
        <v>7.539</v>
      </c>
      <c r="N41" s="18" t="s">
        <v>302</v>
      </c>
      <c r="O41" s="13" t="s">
        <v>303</v>
      </c>
      <c r="P41" s="13" t="s">
        <v>148</v>
      </c>
    </row>
    <row r="42" customFormat="false" ht="45.75" hidden="false" customHeight="true" outlineLevel="0" collapsed="false">
      <c r="A42" s="18" t="n">
        <f aca="false">RANK(M42,$M$2:$M$94)</f>
        <v>41</v>
      </c>
      <c r="B42" s="18" t="str">
        <f aca="false">IF(LEFT(L42,2)="QO","A · QO now",IF(K42&gt;=20,"B · BOO large","C · BOO"))</f>
        <v>C · BOO</v>
      </c>
      <c r="C42" s="18" t="str">
        <f aca="false">IF(LEFT(L42,2)="QO","Now — QO","At GA — BOO")</f>
        <v>At GA — BOO</v>
      </c>
      <c r="D42" s="18" t="s">
        <v>304</v>
      </c>
      <c r="E42" s="18" t="s">
        <v>305</v>
      </c>
      <c r="F42" s="18" t="s">
        <v>304</v>
      </c>
      <c r="G42" s="18" t="s">
        <v>144</v>
      </c>
      <c r="H42" s="18" t="s">
        <v>145</v>
      </c>
      <c r="I42" s="19" t="n">
        <v>29364</v>
      </c>
      <c r="J42" s="20" t="n">
        <v>332</v>
      </c>
      <c r="K42" s="21" t="n">
        <v>9.75</v>
      </c>
      <c r="L42" s="18" t="s">
        <v>86</v>
      </c>
      <c r="M42" s="21" t="n">
        <f aca="false">K42*IF(LEFT(L42,2)="QO",1,0.7)</f>
        <v>6.825</v>
      </c>
      <c r="N42" s="18" t="s">
        <v>306</v>
      </c>
      <c r="O42" s="13" t="s">
        <v>307</v>
      </c>
      <c r="P42" s="13" t="s">
        <v>148</v>
      </c>
    </row>
    <row r="43" customFormat="false" ht="45.75" hidden="false" customHeight="true" outlineLevel="0" collapsed="false">
      <c r="A43" s="18" t="n">
        <f aca="false">RANK(M43,$M$2:$M$94)</f>
        <v>42</v>
      </c>
      <c r="B43" s="18" t="str">
        <f aca="false">IF(LEFT(L43,2)="QO","A · QO now",IF(K43&gt;=20,"B · BOO large","C · BOO"))</f>
        <v>C · BOO</v>
      </c>
      <c r="C43" s="18" t="str">
        <f aca="false">IF(LEFT(L43,2)="QO","Now — QO","At GA — BOO")</f>
        <v>At GA — BOO</v>
      </c>
      <c r="D43" s="18" t="s">
        <v>308</v>
      </c>
      <c r="E43" s="18" t="s">
        <v>309</v>
      </c>
      <c r="F43" s="18" t="s">
        <v>310</v>
      </c>
      <c r="G43" s="18" t="s">
        <v>144</v>
      </c>
      <c r="H43" s="18" t="s">
        <v>145</v>
      </c>
      <c r="I43" s="19" t="n">
        <v>27389</v>
      </c>
      <c r="J43" s="20" t="n">
        <v>332</v>
      </c>
      <c r="K43" s="21" t="n">
        <v>9.09</v>
      </c>
      <c r="L43" s="18" t="s">
        <v>86</v>
      </c>
      <c r="M43" s="21" t="n">
        <f aca="false">K43*IF(LEFT(L43,2)="QO",1,0.7)</f>
        <v>6.363</v>
      </c>
      <c r="N43" s="18" t="s">
        <v>257</v>
      </c>
      <c r="O43" s="13" t="s">
        <v>311</v>
      </c>
      <c r="P43" s="13" t="s">
        <v>148</v>
      </c>
    </row>
    <row r="44" customFormat="false" ht="45.75" hidden="false" customHeight="true" outlineLevel="0" collapsed="false">
      <c r="A44" s="18" t="n">
        <f aca="false">RANK(M44,$M$2:$M$94)</f>
        <v>43</v>
      </c>
      <c r="B44" s="18" t="str">
        <f aca="false">IF(LEFT(L44,2)="QO","A · QO now",IF(K44&gt;=20,"B · BOO large","C · BOO"))</f>
        <v>C · BOO</v>
      </c>
      <c r="C44" s="18" t="str">
        <f aca="false">IF(LEFT(L44,2)="QO","Now — QO","At GA — BOO")</f>
        <v>At GA — BOO</v>
      </c>
      <c r="D44" s="18" t="s">
        <v>213</v>
      </c>
      <c r="E44" s="18" t="s">
        <v>312</v>
      </c>
      <c r="F44" s="18" t="s">
        <v>215</v>
      </c>
      <c r="G44" s="18" t="s">
        <v>144</v>
      </c>
      <c r="H44" s="18" t="s">
        <v>145</v>
      </c>
      <c r="I44" s="19" t="n">
        <v>26877</v>
      </c>
      <c r="J44" s="20" t="n">
        <v>332</v>
      </c>
      <c r="K44" s="21" t="n">
        <v>8.92</v>
      </c>
      <c r="L44" s="18" t="s">
        <v>86</v>
      </c>
      <c r="M44" s="21" t="n">
        <f aca="false">K44*IF(LEFT(L44,2)="QO",1,0.7)</f>
        <v>6.244</v>
      </c>
      <c r="N44" s="18" t="s">
        <v>146</v>
      </c>
      <c r="O44" s="13" t="s">
        <v>313</v>
      </c>
      <c r="P44" s="13" t="s">
        <v>148</v>
      </c>
    </row>
    <row r="45" customFormat="false" ht="45.75" hidden="false" customHeight="true" outlineLevel="0" collapsed="false">
      <c r="A45" s="18" t="n">
        <f aca="false">RANK(M45,$M$2:$M$94)</f>
        <v>44</v>
      </c>
      <c r="B45" s="18" t="str">
        <f aca="false">IF(LEFT(L45,2)="QO","A · QO now",IF(K45&gt;=20,"B · BOO large","C · BOO"))</f>
        <v>C · BOO</v>
      </c>
      <c r="C45" s="18" t="str">
        <f aca="false">IF(LEFT(L45,2)="QO","Now — QO","At GA — BOO")</f>
        <v>At GA — BOO</v>
      </c>
      <c r="D45" s="18" t="s">
        <v>204</v>
      </c>
      <c r="E45" s="18" t="s">
        <v>314</v>
      </c>
      <c r="F45" s="18" t="s">
        <v>315</v>
      </c>
      <c r="G45" s="18" t="s">
        <v>144</v>
      </c>
      <c r="H45" s="18" t="s">
        <v>145</v>
      </c>
      <c r="I45" s="19" t="n">
        <v>25926</v>
      </c>
      <c r="J45" s="20" t="n">
        <v>332</v>
      </c>
      <c r="K45" s="21" t="n">
        <v>8.61</v>
      </c>
      <c r="L45" s="18" t="s">
        <v>86</v>
      </c>
      <c r="M45" s="21" t="n">
        <f aca="false">K45*IF(LEFT(L45,2)="QO",1,0.7)</f>
        <v>6.027</v>
      </c>
      <c r="N45" s="18" t="s">
        <v>316</v>
      </c>
      <c r="O45" s="13" t="s">
        <v>317</v>
      </c>
      <c r="P45" s="13" t="s">
        <v>148</v>
      </c>
    </row>
    <row r="46" customFormat="false" ht="45.75" hidden="false" customHeight="true" outlineLevel="0" collapsed="false">
      <c r="A46" s="18" t="n">
        <f aca="false">RANK(M46,$M$2:$M$94)</f>
        <v>45</v>
      </c>
      <c r="B46" s="18" t="str">
        <f aca="false">IF(LEFT(L46,2)="QO","A · QO now",IF(K46&gt;=20,"B · BOO large","C · BOO"))</f>
        <v>C · BOO</v>
      </c>
      <c r="C46" s="18" t="str">
        <f aca="false">IF(LEFT(L46,2)="QO","Now — QO","At GA — BOO")</f>
        <v>At GA — BOO</v>
      </c>
      <c r="D46" s="18" t="s">
        <v>250</v>
      </c>
      <c r="E46" s="18" t="s">
        <v>318</v>
      </c>
      <c r="F46" s="18" t="s">
        <v>319</v>
      </c>
      <c r="G46" s="18" t="s">
        <v>144</v>
      </c>
      <c r="H46" s="18" t="s">
        <v>145</v>
      </c>
      <c r="I46" s="19" t="n">
        <v>25825</v>
      </c>
      <c r="J46" s="20" t="n">
        <v>332</v>
      </c>
      <c r="K46" s="21" t="n">
        <v>8.57</v>
      </c>
      <c r="L46" s="18" t="s">
        <v>86</v>
      </c>
      <c r="M46" s="21" t="n">
        <f aca="false">K46*IF(LEFT(L46,2)="QO",1,0.7)</f>
        <v>5.999</v>
      </c>
      <c r="N46" s="18" t="s">
        <v>320</v>
      </c>
      <c r="O46" s="13" t="s">
        <v>321</v>
      </c>
      <c r="P46" s="13" t="s">
        <v>148</v>
      </c>
    </row>
    <row r="47" customFormat="false" ht="34.5" hidden="false" customHeight="true" outlineLevel="0" collapsed="false">
      <c r="A47" s="18" t="n">
        <f aca="false">RANK(M47,$M$2:$M$94)</f>
        <v>46</v>
      </c>
      <c r="B47" s="18" t="str">
        <f aca="false">IF(LEFT(L47,2)="QO","A · QO now",IF(K47&gt;=20,"B · BOO large","C · BOO"))</f>
        <v>A · QO now</v>
      </c>
      <c r="C47" s="18" t="str">
        <f aca="false">IF(LEFT(L47,2)="QO","Now — QO","At GA — BOO")</f>
        <v>Now — QO</v>
      </c>
      <c r="D47" s="18" t="s">
        <v>322</v>
      </c>
      <c r="E47" s="18" t="s">
        <v>323</v>
      </c>
      <c r="F47" s="18" t="s">
        <v>324</v>
      </c>
      <c r="G47" s="18" t="s">
        <v>144</v>
      </c>
      <c r="H47" s="18" t="s">
        <v>155</v>
      </c>
      <c r="I47" s="19" t="n">
        <v>17040</v>
      </c>
      <c r="J47" s="20" t="n">
        <v>351</v>
      </c>
      <c r="K47" s="21" t="n">
        <v>5.98</v>
      </c>
      <c r="L47" s="18" t="s">
        <v>156</v>
      </c>
      <c r="M47" s="21" t="n">
        <f aca="false">K47*IF(LEFT(L47,2)="QO",1,0.7)</f>
        <v>5.98</v>
      </c>
      <c r="N47" s="18" t="s">
        <v>325</v>
      </c>
      <c r="O47" s="13" t="s">
        <v>326</v>
      </c>
      <c r="P47" s="13" t="s">
        <v>159</v>
      </c>
    </row>
    <row r="48" customFormat="false" ht="45.75" hidden="false" customHeight="true" outlineLevel="0" collapsed="false">
      <c r="A48" s="18" t="n">
        <f aca="false">RANK(M48,$M$2:$M$94)</f>
        <v>47</v>
      </c>
      <c r="B48" s="18" t="str">
        <f aca="false">IF(LEFT(L48,2)="QO","A · QO now",IF(K48&gt;=20,"B · BOO large","C · BOO"))</f>
        <v>C · BOO</v>
      </c>
      <c r="C48" s="18" t="str">
        <f aca="false">IF(LEFT(L48,2)="QO","Now — QO","At GA — BOO")</f>
        <v>At GA — BOO</v>
      </c>
      <c r="D48" s="18" t="s">
        <v>327</v>
      </c>
      <c r="E48" s="18" t="s">
        <v>328</v>
      </c>
      <c r="F48" s="18" t="s">
        <v>329</v>
      </c>
      <c r="G48" s="18" t="s">
        <v>144</v>
      </c>
      <c r="H48" s="18" t="s">
        <v>145</v>
      </c>
      <c r="I48" s="19" t="n">
        <v>25023</v>
      </c>
      <c r="J48" s="20" t="n">
        <v>332</v>
      </c>
      <c r="K48" s="21" t="n">
        <v>8.31</v>
      </c>
      <c r="L48" s="18" t="s">
        <v>86</v>
      </c>
      <c r="M48" s="21" t="n">
        <f aca="false">K48*IF(LEFT(L48,2)="QO",1,0.7)</f>
        <v>5.817</v>
      </c>
      <c r="N48" s="18" t="s">
        <v>175</v>
      </c>
      <c r="O48" s="13" t="s">
        <v>330</v>
      </c>
      <c r="P48" s="13" t="s">
        <v>148</v>
      </c>
    </row>
    <row r="49" customFormat="false" ht="45.75" hidden="false" customHeight="true" outlineLevel="0" collapsed="false">
      <c r="A49" s="18" t="n">
        <f aca="false">RANK(M49,$M$2:$M$94)</f>
        <v>48</v>
      </c>
      <c r="B49" s="18" t="str">
        <f aca="false">IF(LEFT(L49,2)="QO","A · QO now",IF(K49&gt;=20,"B · BOO large","C · BOO"))</f>
        <v>C · BOO</v>
      </c>
      <c r="C49" s="18" t="str">
        <f aca="false">IF(LEFT(L49,2)="QO","Now — QO","At GA — BOO")</f>
        <v>At GA — BOO</v>
      </c>
      <c r="D49" s="18" t="s">
        <v>152</v>
      </c>
      <c r="E49" s="18" t="s">
        <v>331</v>
      </c>
      <c r="F49" s="18" t="s">
        <v>154</v>
      </c>
      <c r="G49" s="18" t="s">
        <v>144</v>
      </c>
      <c r="H49" s="18" t="s">
        <v>145</v>
      </c>
      <c r="I49" s="19" t="n">
        <v>24604</v>
      </c>
      <c r="J49" s="20" t="n">
        <v>332</v>
      </c>
      <c r="K49" s="21" t="n">
        <v>8.17</v>
      </c>
      <c r="L49" s="18" t="s">
        <v>86</v>
      </c>
      <c r="M49" s="21" t="n">
        <f aca="false">K49*IF(LEFT(L49,2)="QO",1,0.7)</f>
        <v>5.719</v>
      </c>
      <c r="N49" s="18" t="s">
        <v>332</v>
      </c>
      <c r="O49" s="13" t="s">
        <v>333</v>
      </c>
      <c r="P49" s="13" t="s">
        <v>148</v>
      </c>
    </row>
    <row r="50" customFormat="false" ht="45.75" hidden="false" customHeight="true" outlineLevel="0" collapsed="false">
      <c r="A50" s="18" t="n">
        <f aca="false">RANK(M50,$M$2:$M$94)</f>
        <v>49</v>
      </c>
      <c r="B50" s="18" t="str">
        <f aca="false">IF(LEFT(L50,2)="QO","A · QO now",IF(K50&gt;=20,"B · BOO large","C · BOO"))</f>
        <v>C · BOO</v>
      </c>
      <c r="C50" s="18" t="str">
        <f aca="false">IF(LEFT(L50,2)="QO","Now — QO","At GA — BOO")</f>
        <v>At GA — BOO</v>
      </c>
      <c r="D50" s="18" t="s">
        <v>334</v>
      </c>
      <c r="E50" s="18" t="s">
        <v>335</v>
      </c>
      <c r="F50" s="18" t="s">
        <v>336</v>
      </c>
      <c r="G50" s="18" t="s">
        <v>144</v>
      </c>
      <c r="H50" s="18" t="s">
        <v>145</v>
      </c>
      <c r="I50" s="19" t="n">
        <v>18086</v>
      </c>
      <c r="J50" s="20" t="n">
        <v>332</v>
      </c>
      <c r="K50" s="21" t="n">
        <v>6</v>
      </c>
      <c r="L50" s="18" t="s">
        <v>86</v>
      </c>
      <c r="M50" s="21" t="n">
        <f aca="false">K50*IF(LEFT(L50,2)="QO",1,0.7)</f>
        <v>4.2</v>
      </c>
      <c r="N50" s="18" t="s">
        <v>337</v>
      </c>
      <c r="O50" s="13" t="s">
        <v>338</v>
      </c>
      <c r="P50" s="13" t="s">
        <v>148</v>
      </c>
    </row>
    <row r="51" customFormat="false" ht="34.5" hidden="false" customHeight="true" outlineLevel="0" collapsed="false">
      <c r="A51" s="18" t="n">
        <f aca="false">RANK(M51,$M$2:$M$94)</f>
        <v>50</v>
      </c>
      <c r="B51" s="18" t="str">
        <f aca="false">IF(LEFT(L51,2)="QO","A · QO now",IF(K51&gt;=20,"B · BOO large","C · BOO"))</f>
        <v>A · QO now</v>
      </c>
      <c r="C51" s="18" t="str">
        <f aca="false">IF(LEFT(L51,2)="QO","Now — QO","At GA — BOO")</f>
        <v>Now — QO</v>
      </c>
      <c r="D51" s="18" t="s">
        <v>339</v>
      </c>
      <c r="E51" s="18" t="s">
        <v>340</v>
      </c>
      <c r="F51" s="18" t="s">
        <v>341</v>
      </c>
      <c r="G51" s="18" t="s">
        <v>144</v>
      </c>
      <c r="H51" s="18" t="s">
        <v>155</v>
      </c>
      <c r="I51" s="19" t="n">
        <v>11476</v>
      </c>
      <c r="J51" s="20" t="n">
        <v>351</v>
      </c>
      <c r="K51" s="21" t="n">
        <v>4.03</v>
      </c>
      <c r="L51" s="18" t="s">
        <v>156</v>
      </c>
      <c r="M51" s="21" t="n">
        <f aca="false">K51*IF(LEFT(L51,2)="QO",1,0.7)</f>
        <v>4.03</v>
      </c>
      <c r="N51" s="18" t="s">
        <v>342</v>
      </c>
      <c r="O51" s="13" t="s">
        <v>343</v>
      </c>
      <c r="P51" s="13" t="s">
        <v>159</v>
      </c>
    </row>
    <row r="52" customFormat="false" ht="34.5" hidden="false" customHeight="true" outlineLevel="0" collapsed="false">
      <c r="A52" s="18" t="n">
        <f aca="false">RANK(M52,$M$2:$M$94)</f>
        <v>51</v>
      </c>
      <c r="B52" s="18" t="str">
        <f aca="false">IF(LEFT(L52,2)="QO","A · QO now",IF(K52&gt;=20,"B · BOO large","C · BOO"))</f>
        <v>A · QO now</v>
      </c>
      <c r="C52" s="18" t="str">
        <f aca="false">IF(LEFT(L52,2)="QO","Now — QO","At GA — BOO")</f>
        <v>Now — QO</v>
      </c>
      <c r="D52" s="18" t="s">
        <v>142</v>
      </c>
      <c r="E52" s="18" t="s">
        <v>344</v>
      </c>
      <c r="F52" s="18" t="s">
        <v>142</v>
      </c>
      <c r="G52" s="18" t="s">
        <v>144</v>
      </c>
      <c r="H52" s="18" t="s">
        <v>155</v>
      </c>
      <c r="I52" s="19" t="n">
        <v>11445</v>
      </c>
      <c r="J52" s="20" t="n">
        <v>351</v>
      </c>
      <c r="K52" s="21" t="n">
        <v>4.02</v>
      </c>
      <c r="L52" s="18" t="s">
        <v>156</v>
      </c>
      <c r="M52" s="21" t="n">
        <f aca="false">K52*IF(LEFT(L52,2)="QO",1,0.7)</f>
        <v>4.02</v>
      </c>
      <c r="N52" s="18" t="s">
        <v>179</v>
      </c>
      <c r="O52" s="13" t="s">
        <v>345</v>
      </c>
      <c r="P52" s="13" t="s">
        <v>159</v>
      </c>
    </row>
    <row r="53" customFormat="false" ht="34.5" hidden="false" customHeight="true" outlineLevel="0" collapsed="false">
      <c r="A53" s="18" t="n">
        <f aca="false">RANK(M53,$M$2:$M$94)</f>
        <v>52</v>
      </c>
      <c r="B53" s="18" t="str">
        <f aca="false">IF(LEFT(L53,2)="QO","A · QO now",IF(K53&gt;=20,"B · BOO large","C · BOO"))</f>
        <v>A · QO now</v>
      </c>
      <c r="C53" s="18" t="str">
        <f aca="false">IF(LEFT(L53,2)="QO","Now — QO","At GA — BOO")</f>
        <v>Now — QO</v>
      </c>
      <c r="D53" s="18" t="s">
        <v>346</v>
      </c>
      <c r="E53" s="18" t="s">
        <v>347</v>
      </c>
      <c r="F53" s="18" t="s">
        <v>348</v>
      </c>
      <c r="G53" s="18" t="s">
        <v>144</v>
      </c>
      <c r="H53" s="18" t="s">
        <v>155</v>
      </c>
      <c r="I53" s="19" t="n">
        <v>11033</v>
      </c>
      <c r="J53" s="20" t="n">
        <v>351</v>
      </c>
      <c r="K53" s="21" t="n">
        <v>3.87</v>
      </c>
      <c r="L53" s="18" t="s">
        <v>156</v>
      </c>
      <c r="M53" s="21" t="n">
        <f aca="false">K53*IF(LEFT(L53,2)="QO",1,0.7)</f>
        <v>3.87</v>
      </c>
      <c r="N53" s="18" t="s">
        <v>349</v>
      </c>
      <c r="O53" s="13" t="s">
        <v>350</v>
      </c>
      <c r="P53" s="13" t="s">
        <v>159</v>
      </c>
    </row>
    <row r="54" customFormat="false" ht="45.75" hidden="false" customHeight="true" outlineLevel="0" collapsed="false">
      <c r="A54" s="18" t="n">
        <f aca="false">RANK(M54,$M$2:$M$94)</f>
        <v>53</v>
      </c>
      <c r="B54" s="18" t="str">
        <f aca="false">IF(LEFT(L54,2)="QO","A · QO now",IF(K54&gt;=20,"B · BOO large","C · BOO"))</f>
        <v>C · BOO</v>
      </c>
      <c r="C54" s="18" t="str">
        <f aca="false">IF(LEFT(L54,2)="QO","Now — QO","At GA — BOO")</f>
        <v>At GA — BOO</v>
      </c>
      <c r="D54" s="18" t="s">
        <v>213</v>
      </c>
      <c r="E54" s="18" t="s">
        <v>351</v>
      </c>
      <c r="F54" s="18" t="s">
        <v>215</v>
      </c>
      <c r="G54" s="18" t="s">
        <v>144</v>
      </c>
      <c r="H54" s="18" t="s">
        <v>145</v>
      </c>
      <c r="I54" s="19" t="n">
        <v>15267</v>
      </c>
      <c r="J54" s="20" t="n">
        <v>332</v>
      </c>
      <c r="K54" s="21" t="n">
        <v>5.07</v>
      </c>
      <c r="L54" s="18" t="s">
        <v>86</v>
      </c>
      <c r="M54" s="21" t="n">
        <f aca="false">K54*IF(LEFT(L54,2)="QO",1,0.7)</f>
        <v>3.549</v>
      </c>
      <c r="N54" s="18" t="s">
        <v>352</v>
      </c>
      <c r="O54" s="13" t="s">
        <v>353</v>
      </c>
      <c r="P54" s="13" t="s">
        <v>148</v>
      </c>
    </row>
    <row r="55" customFormat="false" ht="34.5" hidden="false" customHeight="true" outlineLevel="0" collapsed="false">
      <c r="A55" s="18" t="n">
        <f aca="false">RANK(M55,$M$2:$M$94)</f>
        <v>54</v>
      </c>
      <c r="B55" s="18" t="str">
        <f aca="false">IF(LEFT(L55,2)="QO","A · QO now",IF(K55&gt;=20,"B · BOO large","C · BOO"))</f>
        <v>A · QO now</v>
      </c>
      <c r="C55" s="18" t="str">
        <f aca="false">IF(LEFT(L55,2)="QO","Now — QO","At GA — BOO")</f>
        <v>Now — QO</v>
      </c>
      <c r="D55" s="18" t="s">
        <v>354</v>
      </c>
      <c r="E55" s="18" t="s">
        <v>355</v>
      </c>
      <c r="F55" s="18" t="s">
        <v>356</v>
      </c>
      <c r="G55" s="18" t="s">
        <v>144</v>
      </c>
      <c r="H55" s="18" t="s">
        <v>155</v>
      </c>
      <c r="I55" s="19" t="n">
        <v>9748</v>
      </c>
      <c r="J55" s="20" t="n">
        <v>351</v>
      </c>
      <c r="K55" s="21" t="n">
        <v>3.42</v>
      </c>
      <c r="L55" s="18" t="s">
        <v>156</v>
      </c>
      <c r="M55" s="21" t="n">
        <f aca="false">K55*IF(LEFT(L55,2)="QO",1,0.7)</f>
        <v>3.42</v>
      </c>
      <c r="N55" s="18" t="s">
        <v>306</v>
      </c>
      <c r="O55" s="13" t="s">
        <v>357</v>
      </c>
      <c r="P55" s="13" t="s">
        <v>159</v>
      </c>
    </row>
    <row r="56" customFormat="false" ht="34.5" hidden="false" customHeight="true" outlineLevel="0" collapsed="false">
      <c r="A56" s="18" t="n">
        <f aca="false">RANK(M56,$M$2:$M$94)</f>
        <v>55</v>
      </c>
      <c r="B56" s="18" t="str">
        <f aca="false">IF(LEFT(L56,2)="QO","A · QO now",IF(K56&gt;=20,"B · BOO large","C · BOO"))</f>
        <v>A · QO now</v>
      </c>
      <c r="C56" s="18" t="str">
        <f aca="false">IF(LEFT(L56,2)="QO","Now — QO","At GA — BOO")</f>
        <v>Now — QO</v>
      </c>
      <c r="D56" s="18" t="s">
        <v>358</v>
      </c>
      <c r="E56" s="18" t="s">
        <v>359</v>
      </c>
      <c r="F56" s="18" t="s">
        <v>360</v>
      </c>
      <c r="G56" s="18" t="s">
        <v>144</v>
      </c>
      <c r="H56" s="18" t="s">
        <v>155</v>
      </c>
      <c r="I56" s="19" t="n">
        <v>9481</v>
      </c>
      <c r="J56" s="20" t="n">
        <v>351</v>
      </c>
      <c r="K56" s="21" t="n">
        <v>3.33</v>
      </c>
      <c r="L56" s="18" t="s">
        <v>156</v>
      </c>
      <c r="M56" s="21" t="n">
        <f aca="false">K56*IF(LEFT(L56,2)="QO",1,0.7)</f>
        <v>3.33</v>
      </c>
      <c r="N56" s="18" t="s">
        <v>361</v>
      </c>
      <c r="O56" s="13" t="s">
        <v>362</v>
      </c>
      <c r="P56" s="13" t="s">
        <v>159</v>
      </c>
    </row>
    <row r="57" customFormat="false" ht="45.75" hidden="false" customHeight="true" outlineLevel="0" collapsed="false">
      <c r="A57" s="18" t="n">
        <f aca="false">RANK(M57,$M$2:$M$94)</f>
        <v>56</v>
      </c>
      <c r="B57" s="18" t="str">
        <f aca="false">IF(LEFT(L57,2)="QO","A · QO now",IF(K57&gt;=20,"B · BOO large","C · BOO"))</f>
        <v>C · BOO</v>
      </c>
      <c r="C57" s="18" t="str">
        <f aca="false">IF(LEFT(L57,2)="QO","Now — QO","At GA — BOO")</f>
        <v>At GA — BOO</v>
      </c>
      <c r="D57" s="18" t="s">
        <v>363</v>
      </c>
      <c r="E57" s="18" t="s">
        <v>364</v>
      </c>
      <c r="F57" s="18" t="s">
        <v>365</v>
      </c>
      <c r="G57" s="18" t="s">
        <v>144</v>
      </c>
      <c r="H57" s="18" t="s">
        <v>145</v>
      </c>
      <c r="I57" s="19" t="n">
        <v>13962</v>
      </c>
      <c r="J57" s="20" t="n">
        <v>332</v>
      </c>
      <c r="K57" s="21" t="n">
        <v>4.64</v>
      </c>
      <c r="L57" s="18" t="s">
        <v>86</v>
      </c>
      <c r="M57" s="21" t="n">
        <f aca="false">K57*IF(LEFT(L57,2)="QO",1,0.7)</f>
        <v>3.248</v>
      </c>
      <c r="N57" s="18" t="s">
        <v>366</v>
      </c>
      <c r="O57" s="13" t="s">
        <v>367</v>
      </c>
      <c r="P57" s="13" t="s">
        <v>148</v>
      </c>
    </row>
    <row r="58" customFormat="false" ht="45.75" hidden="false" customHeight="true" outlineLevel="0" collapsed="false">
      <c r="A58" s="18" t="n">
        <f aca="false">RANK(M58,$M$2:$M$94)</f>
        <v>57</v>
      </c>
      <c r="B58" s="18" t="str">
        <f aca="false">IF(LEFT(L58,2)="QO","A · QO now",IF(K58&gt;=20,"B · BOO large","C · BOO"))</f>
        <v>C · BOO</v>
      </c>
      <c r="C58" s="18" t="str">
        <f aca="false">IF(LEFT(L58,2)="QO","Now — QO","At GA — BOO")</f>
        <v>At GA — BOO</v>
      </c>
      <c r="D58" s="18" t="s">
        <v>368</v>
      </c>
      <c r="E58" s="18" t="s">
        <v>369</v>
      </c>
      <c r="F58" s="18" t="s">
        <v>370</v>
      </c>
      <c r="G58" s="18" t="s">
        <v>144</v>
      </c>
      <c r="H58" s="18" t="s">
        <v>145</v>
      </c>
      <c r="I58" s="19" t="n">
        <v>13103</v>
      </c>
      <c r="J58" s="20" t="n">
        <v>332</v>
      </c>
      <c r="K58" s="21" t="n">
        <v>4.35</v>
      </c>
      <c r="L58" s="18" t="s">
        <v>86</v>
      </c>
      <c r="M58" s="21" t="n">
        <f aca="false">K58*IF(LEFT(L58,2)="QO",1,0.7)</f>
        <v>3.045</v>
      </c>
      <c r="N58" s="18" t="s">
        <v>253</v>
      </c>
      <c r="O58" s="13" t="s">
        <v>371</v>
      </c>
      <c r="P58" s="13" t="s">
        <v>148</v>
      </c>
    </row>
    <row r="59" customFormat="false" ht="34.5" hidden="false" customHeight="true" outlineLevel="0" collapsed="false">
      <c r="A59" s="18" t="n">
        <f aca="false">RANK(M59,$M$2:$M$94)</f>
        <v>58</v>
      </c>
      <c r="B59" s="18" t="str">
        <f aca="false">IF(LEFT(L59,2)="QO","A · QO now",IF(K59&gt;=20,"B · BOO large","C · BOO"))</f>
        <v>A · QO now</v>
      </c>
      <c r="C59" s="18" t="str">
        <f aca="false">IF(LEFT(L59,2)="QO","Now — QO","At GA — BOO")</f>
        <v>Now — QO</v>
      </c>
      <c r="D59" s="18" t="s">
        <v>288</v>
      </c>
      <c r="E59" s="18" t="s">
        <v>372</v>
      </c>
      <c r="F59" s="18" t="s">
        <v>290</v>
      </c>
      <c r="G59" s="18" t="s">
        <v>144</v>
      </c>
      <c r="H59" s="18" t="s">
        <v>155</v>
      </c>
      <c r="I59" s="19" t="n">
        <v>8508</v>
      </c>
      <c r="J59" s="20" t="n">
        <v>351</v>
      </c>
      <c r="K59" s="21" t="n">
        <v>2.99</v>
      </c>
      <c r="L59" s="18" t="s">
        <v>156</v>
      </c>
      <c r="M59" s="21" t="n">
        <f aca="false">K59*IF(LEFT(L59,2)="QO",1,0.7)</f>
        <v>2.99</v>
      </c>
      <c r="N59" s="18" t="s">
        <v>373</v>
      </c>
      <c r="O59" s="13" t="s">
        <v>374</v>
      </c>
      <c r="P59" s="13" t="s">
        <v>159</v>
      </c>
    </row>
    <row r="60" customFormat="false" ht="34.5" hidden="false" customHeight="true" outlineLevel="0" collapsed="false">
      <c r="A60" s="18" t="n">
        <f aca="false">RANK(M60,$M$2:$M$94)</f>
        <v>59</v>
      </c>
      <c r="B60" s="18" t="str">
        <f aca="false">IF(LEFT(L60,2)="QO","A · QO now",IF(K60&gt;=20,"B · BOO large","C · BOO"))</f>
        <v>A · QO now</v>
      </c>
      <c r="C60" s="18" t="str">
        <f aca="false">IF(LEFT(L60,2)="QO","Now — QO","At GA — BOO")</f>
        <v>Now — QO</v>
      </c>
      <c r="D60" s="18" t="s">
        <v>191</v>
      </c>
      <c r="E60" s="18" t="s">
        <v>375</v>
      </c>
      <c r="F60" s="18" t="s">
        <v>193</v>
      </c>
      <c r="G60" s="18" t="s">
        <v>144</v>
      </c>
      <c r="H60" s="18" t="s">
        <v>155</v>
      </c>
      <c r="I60" s="19" t="n">
        <v>8167</v>
      </c>
      <c r="J60" s="20" t="n">
        <v>351</v>
      </c>
      <c r="K60" s="21" t="n">
        <v>2.87</v>
      </c>
      <c r="L60" s="18" t="s">
        <v>156</v>
      </c>
      <c r="M60" s="21" t="n">
        <f aca="false">K60*IF(LEFT(L60,2)="QO",1,0.7)</f>
        <v>2.87</v>
      </c>
      <c r="N60" s="18" t="s">
        <v>342</v>
      </c>
      <c r="O60" s="13" t="s">
        <v>376</v>
      </c>
      <c r="P60" s="13" t="s">
        <v>159</v>
      </c>
    </row>
    <row r="61" customFormat="false" ht="45.75" hidden="false" customHeight="true" outlineLevel="0" collapsed="false">
      <c r="A61" s="18" t="n">
        <f aca="false">RANK(M61,$M$2:$M$94)</f>
        <v>60</v>
      </c>
      <c r="B61" s="18" t="str">
        <f aca="false">IF(LEFT(L61,2)="QO","A · QO now",IF(K61&gt;=20,"B · BOO large","C · BOO"))</f>
        <v>C · BOO</v>
      </c>
      <c r="C61" s="18" t="str">
        <f aca="false">IF(LEFT(L61,2)="QO","Now — QO","At GA — BOO")</f>
        <v>At GA — BOO</v>
      </c>
      <c r="D61" s="18" t="s">
        <v>250</v>
      </c>
      <c r="E61" s="18" t="s">
        <v>377</v>
      </c>
      <c r="F61" s="18" t="s">
        <v>252</v>
      </c>
      <c r="G61" s="18" t="s">
        <v>144</v>
      </c>
      <c r="H61" s="18" t="s">
        <v>145</v>
      </c>
      <c r="I61" s="19" t="n">
        <v>12143</v>
      </c>
      <c r="J61" s="20" t="n">
        <v>332</v>
      </c>
      <c r="K61" s="21" t="n">
        <v>4.03</v>
      </c>
      <c r="L61" s="18" t="s">
        <v>86</v>
      </c>
      <c r="M61" s="21" t="n">
        <f aca="false">K61*IF(LEFT(L61,2)="QO",1,0.7)</f>
        <v>2.821</v>
      </c>
      <c r="N61" s="18" t="s">
        <v>378</v>
      </c>
      <c r="O61" s="13" t="s">
        <v>379</v>
      </c>
      <c r="P61" s="13" t="s">
        <v>148</v>
      </c>
    </row>
    <row r="62" customFormat="false" ht="45.75" hidden="false" customHeight="true" outlineLevel="0" collapsed="false">
      <c r="A62" s="18" t="n">
        <f aca="false">RANK(M62,$M$2:$M$94)</f>
        <v>61</v>
      </c>
      <c r="B62" s="18" t="str">
        <f aca="false">IF(LEFT(L62,2)="QO","A · QO now",IF(K62&gt;=20,"B · BOO large","C · BOO"))</f>
        <v>C · BOO</v>
      </c>
      <c r="C62" s="18" t="str">
        <f aca="false">IF(LEFT(L62,2)="QO","Now — QO","At GA — BOO")</f>
        <v>At GA — BOO</v>
      </c>
      <c r="D62" s="18" t="s">
        <v>380</v>
      </c>
      <c r="E62" s="18" t="s">
        <v>381</v>
      </c>
      <c r="F62" s="18" t="s">
        <v>382</v>
      </c>
      <c r="G62" s="18" t="s">
        <v>144</v>
      </c>
      <c r="H62" s="18" t="s">
        <v>145</v>
      </c>
      <c r="I62" s="19" t="n">
        <v>12000</v>
      </c>
      <c r="J62" s="20" t="n">
        <v>332</v>
      </c>
      <c r="K62" s="21" t="n">
        <v>3.98</v>
      </c>
      <c r="L62" s="18" t="s">
        <v>86</v>
      </c>
      <c r="M62" s="21" t="n">
        <f aca="false">K62*IF(LEFT(L62,2)="QO",1,0.7)</f>
        <v>2.786</v>
      </c>
      <c r="N62" s="18" t="s">
        <v>383</v>
      </c>
      <c r="O62" s="13" t="s">
        <v>384</v>
      </c>
      <c r="P62" s="13" t="s">
        <v>148</v>
      </c>
    </row>
    <row r="63" customFormat="false" ht="45.75" hidden="false" customHeight="true" outlineLevel="0" collapsed="false">
      <c r="A63" s="18" t="n">
        <f aca="false">RANK(M63,$M$2:$M$94)</f>
        <v>61</v>
      </c>
      <c r="B63" s="18" t="str">
        <f aca="false">IF(LEFT(L63,2)="QO","A · QO now",IF(K63&gt;=20,"B · BOO large","C · BOO"))</f>
        <v>C · BOO</v>
      </c>
      <c r="C63" s="18" t="str">
        <f aca="false">IF(LEFT(L63,2)="QO","Now — QO","At GA — BOO")</f>
        <v>At GA — BOO</v>
      </c>
      <c r="D63" s="18" t="s">
        <v>385</v>
      </c>
      <c r="E63" s="18" t="s">
        <v>386</v>
      </c>
      <c r="F63" s="18" t="s">
        <v>387</v>
      </c>
      <c r="G63" s="18" t="s">
        <v>144</v>
      </c>
      <c r="H63" s="18" t="s">
        <v>145</v>
      </c>
      <c r="I63" s="19" t="n">
        <v>12000</v>
      </c>
      <c r="J63" s="20" t="n">
        <v>332</v>
      </c>
      <c r="K63" s="21" t="n">
        <v>3.98</v>
      </c>
      <c r="L63" s="18" t="s">
        <v>86</v>
      </c>
      <c r="M63" s="21" t="n">
        <f aca="false">K63*IF(LEFT(L63,2)="QO",1,0.7)</f>
        <v>2.786</v>
      </c>
      <c r="N63" s="18" t="s">
        <v>316</v>
      </c>
      <c r="O63" s="13" t="s">
        <v>388</v>
      </c>
      <c r="P63" s="13" t="s">
        <v>148</v>
      </c>
    </row>
    <row r="64" customFormat="false" ht="45.75" hidden="false" customHeight="true" outlineLevel="0" collapsed="false">
      <c r="A64" s="18" t="n">
        <f aca="false">RANK(M64,$M$2:$M$94)</f>
        <v>63</v>
      </c>
      <c r="B64" s="18" t="str">
        <f aca="false">IF(LEFT(L64,2)="QO","A · QO now",IF(K64&gt;=20,"B · BOO large","C · BOO"))</f>
        <v>C · BOO</v>
      </c>
      <c r="C64" s="18" t="str">
        <f aca="false">IF(LEFT(L64,2)="QO","Now — QO","At GA — BOO")</f>
        <v>At GA — BOO</v>
      </c>
      <c r="D64" s="18" t="s">
        <v>389</v>
      </c>
      <c r="E64" s="18" t="s">
        <v>390</v>
      </c>
      <c r="F64" s="18" t="s">
        <v>391</v>
      </c>
      <c r="G64" s="18" t="s">
        <v>144</v>
      </c>
      <c r="H64" s="18" t="s">
        <v>145</v>
      </c>
      <c r="I64" s="19" t="n">
        <v>11563</v>
      </c>
      <c r="J64" s="20" t="n">
        <v>332</v>
      </c>
      <c r="K64" s="21" t="n">
        <v>3.84</v>
      </c>
      <c r="L64" s="18" t="s">
        <v>86</v>
      </c>
      <c r="M64" s="21" t="n">
        <f aca="false">K64*IF(LEFT(L64,2)="QO",1,0.7)</f>
        <v>2.688</v>
      </c>
      <c r="N64" s="18" t="s">
        <v>349</v>
      </c>
      <c r="O64" s="13" t="s">
        <v>392</v>
      </c>
      <c r="P64" s="13" t="s">
        <v>148</v>
      </c>
    </row>
    <row r="65" customFormat="false" ht="34.5" hidden="false" customHeight="true" outlineLevel="0" collapsed="false">
      <c r="A65" s="18" t="n">
        <f aca="false">RANK(M65,$M$2:$M$94)</f>
        <v>64</v>
      </c>
      <c r="B65" s="18" t="str">
        <f aca="false">IF(LEFT(L65,2)="QO","A · QO now",IF(K65&gt;=20,"B · BOO large","C · BOO"))</f>
        <v>A · QO now</v>
      </c>
      <c r="C65" s="18" t="str">
        <f aca="false">IF(LEFT(L65,2)="QO","Now — QO","At GA — BOO")</f>
        <v>Now — QO</v>
      </c>
      <c r="D65" s="18" t="s">
        <v>213</v>
      </c>
      <c r="E65" s="18" t="s">
        <v>393</v>
      </c>
      <c r="F65" s="18" t="s">
        <v>215</v>
      </c>
      <c r="G65" s="18" t="s">
        <v>144</v>
      </c>
      <c r="H65" s="18" t="s">
        <v>155</v>
      </c>
      <c r="I65" s="19" t="n">
        <v>7272</v>
      </c>
      <c r="J65" s="20" t="n">
        <v>351</v>
      </c>
      <c r="K65" s="21" t="n">
        <v>2.55</v>
      </c>
      <c r="L65" s="18" t="s">
        <v>156</v>
      </c>
      <c r="M65" s="21" t="n">
        <f aca="false">K65*IF(LEFT(L65,2)="QO",1,0.7)</f>
        <v>2.55</v>
      </c>
      <c r="N65" s="18" t="s">
        <v>394</v>
      </c>
      <c r="O65" s="13" t="s">
        <v>395</v>
      </c>
      <c r="P65" s="13" t="s">
        <v>159</v>
      </c>
    </row>
    <row r="66" customFormat="false" ht="45.75" hidden="false" customHeight="true" outlineLevel="0" collapsed="false">
      <c r="A66" s="18" t="n">
        <f aca="false">RANK(M66,$M$2:$M$94)</f>
        <v>65</v>
      </c>
      <c r="B66" s="18" t="str">
        <f aca="false">IF(LEFT(L66,2)="QO","A · QO now",IF(K66&gt;=20,"B · BOO large","C · BOO"))</f>
        <v>C · BOO</v>
      </c>
      <c r="C66" s="18" t="str">
        <f aca="false">IF(LEFT(L66,2)="QO","Now — QO","At GA — BOO")</f>
        <v>At GA — BOO</v>
      </c>
      <c r="D66" s="18" t="s">
        <v>396</v>
      </c>
      <c r="E66" s="18" t="s">
        <v>397</v>
      </c>
      <c r="F66" s="18" t="s">
        <v>398</v>
      </c>
      <c r="G66" s="18" t="s">
        <v>144</v>
      </c>
      <c r="H66" s="18" t="s">
        <v>145</v>
      </c>
      <c r="I66" s="19" t="n">
        <v>10955</v>
      </c>
      <c r="J66" s="20" t="n">
        <v>332</v>
      </c>
      <c r="K66" s="21" t="n">
        <v>3.64</v>
      </c>
      <c r="L66" s="18" t="s">
        <v>86</v>
      </c>
      <c r="M66" s="21" t="n">
        <f aca="false">K66*IF(LEFT(L66,2)="QO",1,0.7)</f>
        <v>2.548</v>
      </c>
      <c r="N66" s="18" t="s">
        <v>253</v>
      </c>
      <c r="O66" s="13" t="s">
        <v>399</v>
      </c>
      <c r="P66" s="13" t="s">
        <v>148</v>
      </c>
    </row>
    <row r="67" customFormat="false" ht="45.75" hidden="false" customHeight="true" outlineLevel="0" collapsed="false">
      <c r="A67" s="18" t="n">
        <f aca="false">RANK(M67,$M$2:$M$94)</f>
        <v>66</v>
      </c>
      <c r="B67" s="18" t="str">
        <f aca="false">IF(LEFT(L67,2)="QO","A · QO now",IF(K67&gt;=20,"B · BOO large","C · BOO"))</f>
        <v>C · BOO</v>
      </c>
      <c r="C67" s="18" t="str">
        <f aca="false">IF(LEFT(L67,2)="QO","Now — QO","At GA — BOO")</f>
        <v>At GA — BOO</v>
      </c>
      <c r="D67" s="18" t="s">
        <v>400</v>
      </c>
      <c r="E67" s="18" t="s">
        <v>401</v>
      </c>
      <c r="F67" s="18" t="s">
        <v>402</v>
      </c>
      <c r="G67" s="18" t="s">
        <v>144</v>
      </c>
      <c r="H67" s="18" t="s">
        <v>145</v>
      </c>
      <c r="I67" s="19" t="n">
        <v>10836</v>
      </c>
      <c r="J67" s="20" t="n">
        <v>332</v>
      </c>
      <c r="K67" s="21" t="n">
        <v>3.6</v>
      </c>
      <c r="L67" s="18" t="s">
        <v>86</v>
      </c>
      <c r="M67" s="21" t="n">
        <f aca="false">K67*IF(LEFT(L67,2)="QO",1,0.7)</f>
        <v>2.52</v>
      </c>
      <c r="N67" s="18" t="s">
        <v>403</v>
      </c>
      <c r="O67" s="13" t="s">
        <v>404</v>
      </c>
      <c r="P67" s="13" t="s">
        <v>148</v>
      </c>
    </row>
    <row r="68" customFormat="false" ht="34.5" hidden="false" customHeight="true" outlineLevel="0" collapsed="false">
      <c r="A68" s="18" t="n">
        <f aca="false">RANK(M68,$M$2:$M$94)</f>
        <v>67</v>
      </c>
      <c r="B68" s="18" t="str">
        <f aca="false">IF(LEFT(L68,2)="QO","A · QO now",IF(K68&gt;=20,"B · BOO large","C · BOO"))</f>
        <v>A · QO now</v>
      </c>
      <c r="C68" s="18" t="str">
        <f aca="false">IF(LEFT(L68,2)="QO","Now — QO","At GA — BOO")</f>
        <v>Now — QO</v>
      </c>
      <c r="D68" s="18" t="s">
        <v>396</v>
      </c>
      <c r="E68" s="18" t="s">
        <v>405</v>
      </c>
      <c r="F68" s="18" t="s">
        <v>398</v>
      </c>
      <c r="G68" s="18" t="s">
        <v>144</v>
      </c>
      <c r="H68" s="18" t="s">
        <v>155</v>
      </c>
      <c r="I68" s="19" t="n">
        <v>6977</v>
      </c>
      <c r="J68" s="20" t="n">
        <v>351</v>
      </c>
      <c r="K68" s="21" t="n">
        <v>2.45</v>
      </c>
      <c r="L68" s="18" t="s">
        <v>156</v>
      </c>
      <c r="M68" s="21" t="n">
        <f aca="false">K68*IF(LEFT(L68,2)="QO",1,0.7)</f>
        <v>2.45</v>
      </c>
      <c r="N68" s="18" t="s">
        <v>150</v>
      </c>
      <c r="O68" s="13" t="s">
        <v>406</v>
      </c>
      <c r="P68" s="13" t="s">
        <v>159</v>
      </c>
    </row>
    <row r="69" customFormat="false" ht="34.5" hidden="false" customHeight="true" outlineLevel="0" collapsed="false">
      <c r="A69" s="18" t="n">
        <f aca="false">RANK(M69,$M$2:$M$94)</f>
        <v>68</v>
      </c>
      <c r="B69" s="18" t="str">
        <f aca="false">IF(LEFT(L69,2)="QO","A · QO now",IF(K69&gt;=20,"B · BOO large","C · BOO"))</f>
        <v>A · QO now</v>
      </c>
      <c r="C69" s="18" t="str">
        <f aca="false">IF(LEFT(L69,2)="QO","Now — QO","At GA — BOO")</f>
        <v>Now — QO</v>
      </c>
      <c r="D69" s="18" t="s">
        <v>407</v>
      </c>
      <c r="E69" s="18" t="s">
        <v>408</v>
      </c>
      <c r="F69" s="18" t="s">
        <v>409</v>
      </c>
      <c r="G69" s="18" t="s">
        <v>144</v>
      </c>
      <c r="H69" s="18" t="s">
        <v>155</v>
      </c>
      <c r="I69" s="19" t="n">
        <v>6676</v>
      </c>
      <c r="J69" s="20" t="n">
        <v>351</v>
      </c>
      <c r="K69" s="21" t="n">
        <v>2.34</v>
      </c>
      <c r="L69" s="18" t="s">
        <v>156</v>
      </c>
      <c r="M69" s="21" t="n">
        <f aca="false">K69*IF(LEFT(L69,2)="QO",1,0.7)</f>
        <v>2.34</v>
      </c>
      <c r="N69" s="18" t="s">
        <v>349</v>
      </c>
      <c r="O69" s="13" t="s">
        <v>410</v>
      </c>
      <c r="P69" s="13" t="s">
        <v>159</v>
      </c>
    </row>
    <row r="70" customFormat="false" ht="45.75" hidden="false" customHeight="true" outlineLevel="0" collapsed="false">
      <c r="A70" s="18" t="n">
        <f aca="false">RANK(M70,$M$2:$M$94)</f>
        <v>69</v>
      </c>
      <c r="B70" s="18" t="str">
        <f aca="false">IF(LEFT(L70,2)="QO","A · QO now",IF(K70&gt;=20,"B · BOO large","C · BOO"))</f>
        <v>C · BOO</v>
      </c>
      <c r="C70" s="18" t="str">
        <f aca="false">IF(LEFT(L70,2)="QO","Now — QO","At GA — BOO")</f>
        <v>At GA — BOO</v>
      </c>
      <c r="D70" s="18" t="s">
        <v>411</v>
      </c>
      <c r="E70" s="18" t="s">
        <v>412</v>
      </c>
      <c r="F70" s="18" t="s">
        <v>413</v>
      </c>
      <c r="G70" s="18" t="s">
        <v>144</v>
      </c>
      <c r="H70" s="18" t="s">
        <v>145</v>
      </c>
      <c r="I70" s="19" t="n">
        <v>9927</v>
      </c>
      <c r="J70" s="20" t="n">
        <v>332</v>
      </c>
      <c r="K70" s="21" t="n">
        <v>3.3</v>
      </c>
      <c r="L70" s="18" t="s">
        <v>86</v>
      </c>
      <c r="M70" s="21" t="n">
        <f aca="false">K70*IF(LEFT(L70,2)="QO",1,0.7)</f>
        <v>2.31</v>
      </c>
      <c r="N70" s="18" t="s">
        <v>414</v>
      </c>
      <c r="O70" s="13" t="s">
        <v>415</v>
      </c>
      <c r="P70" s="13" t="s">
        <v>148</v>
      </c>
    </row>
    <row r="71" customFormat="false" ht="45.75" hidden="false" customHeight="true" outlineLevel="0" collapsed="false">
      <c r="A71" s="18" t="n">
        <f aca="false">RANK(M71,$M$2:$M$94)</f>
        <v>70</v>
      </c>
      <c r="B71" s="18" t="str">
        <f aca="false">IF(LEFT(L71,2)="QO","A · QO now",IF(K71&gt;=20,"B · BOO large","C · BOO"))</f>
        <v>C · BOO</v>
      </c>
      <c r="C71" s="18" t="str">
        <f aca="false">IF(LEFT(L71,2)="QO","Now — QO","At GA — BOO")</f>
        <v>At GA — BOO</v>
      </c>
      <c r="D71" s="18" t="s">
        <v>358</v>
      </c>
      <c r="E71" s="18" t="s">
        <v>416</v>
      </c>
      <c r="F71" s="18" t="s">
        <v>360</v>
      </c>
      <c r="G71" s="18" t="s">
        <v>144</v>
      </c>
      <c r="H71" s="18" t="s">
        <v>145</v>
      </c>
      <c r="I71" s="19" t="n">
        <v>9657</v>
      </c>
      <c r="J71" s="20" t="n">
        <v>332</v>
      </c>
      <c r="K71" s="21" t="n">
        <v>3.21</v>
      </c>
      <c r="L71" s="18" t="s">
        <v>86</v>
      </c>
      <c r="M71" s="21" t="n">
        <f aca="false">K71*IF(LEFT(L71,2)="QO",1,0.7)</f>
        <v>2.247</v>
      </c>
      <c r="N71" s="18" t="s">
        <v>417</v>
      </c>
      <c r="O71" s="13" t="s">
        <v>418</v>
      </c>
      <c r="P71" s="13" t="s">
        <v>148</v>
      </c>
    </row>
    <row r="72" customFormat="false" ht="45.75" hidden="false" customHeight="true" outlineLevel="0" collapsed="false">
      <c r="A72" s="18" t="n">
        <f aca="false">RANK(M72,$M$2:$M$94)</f>
        <v>71</v>
      </c>
      <c r="B72" s="18" t="str">
        <f aca="false">IF(LEFT(L72,2)="QO","A · QO now",IF(K72&gt;=20,"B · BOO large","C · BOO"))</f>
        <v>C · BOO</v>
      </c>
      <c r="C72" s="18" t="str">
        <f aca="false">IF(LEFT(L72,2)="QO","Now — QO","At GA — BOO")</f>
        <v>At GA — BOO</v>
      </c>
      <c r="D72" s="18" t="s">
        <v>419</v>
      </c>
      <c r="E72" s="18" t="s">
        <v>420</v>
      </c>
      <c r="F72" s="18" t="s">
        <v>421</v>
      </c>
      <c r="G72" s="18" t="s">
        <v>144</v>
      </c>
      <c r="H72" s="18" t="s">
        <v>145</v>
      </c>
      <c r="I72" s="19" t="n">
        <v>9248</v>
      </c>
      <c r="J72" s="20" t="n">
        <v>332</v>
      </c>
      <c r="K72" s="21" t="n">
        <v>3.07</v>
      </c>
      <c r="L72" s="18" t="s">
        <v>86</v>
      </c>
      <c r="M72" s="21" t="n">
        <f aca="false">K72*IF(LEFT(L72,2)="QO",1,0.7)</f>
        <v>2.149</v>
      </c>
      <c r="N72" s="18" t="s">
        <v>417</v>
      </c>
      <c r="O72" s="13" t="s">
        <v>422</v>
      </c>
      <c r="P72" s="13" t="s">
        <v>148</v>
      </c>
    </row>
    <row r="73" customFormat="false" ht="45.75" hidden="false" customHeight="true" outlineLevel="0" collapsed="false">
      <c r="A73" s="18" t="n">
        <f aca="false">RANK(M73,$M$2:$M$94)</f>
        <v>72</v>
      </c>
      <c r="B73" s="18" t="str">
        <f aca="false">IF(LEFT(L73,2)="QO","A · QO now",IF(K73&gt;=20,"B · BOO large","C · BOO"))</f>
        <v>C · BOO</v>
      </c>
      <c r="C73" s="18" t="str">
        <f aca="false">IF(LEFT(L73,2)="QO","Now — QO","At GA — BOO")</f>
        <v>At GA — BOO</v>
      </c>
      <c r="D73" s="18" t="s">
        <v>423</v>
      </c>
      <c r="E73" s="18" t="s">
        <v>424</v>
      </c>
      <c r="F73" s="18" t="s">
        <v>425</v>
      </c>
      <c r="G73" s="18" t="s">
        <v>144</v>
      </c>
      <c r="H73" s="18" t="s">
        <v>145</v>
      </c>
      <c r="I73" s="19" t="n">
        <v>9056</v>
      </c>
      <c r="J73" s="20" t="n">
        <v>332</v>
      </c>
      <c r="K73" s="21" t="n">
        <v>3.01</v>
      </c>
      <c r="L73" s="18" t="s">
        <v>86</v>
      </c>
      <c r="M73" s="21" t="n">
        <f aca="false">K73*IF(LEFT(L73,2)="QO",1,0.7)</f>
        <v>2.107</v>
      </c>
      <c r="N73" s="18" t="s">
        <v>426</v>
      </c>
      <c r="O73" s="13" t="s">
        <v>427</v>
      </c>
      <c r="P73" s="13" t="s">
        <v>148</v>
      </c>
    </row>
    <row r="74" customFormat="false" ht="45.75" hidden="false" customHeight="true" outlineLevel="0" collapsed="false">
      <c r="A74" s="18" t="n">
        <f aca="false">RANK(M74,$M$2:$M$94)</f>
        <v>73</v>
      </c>
      <c r="B74" s="18" t="str">
        <f aca="false">IF(LEFT(L74,2)="QO","A · QO now",IF(K74&gt;=20,"B · BOO large","C · BOO"))</f>
        <v>C · BOO</v>
      </c>
      <c r="C74" s="18" t="str">
        <f aca="false">IF(LEFT(L74,2)="QO","Now — QO","At GA — BOO")</f>
        <v>At GA — BOO</v>
      </c>
      <c r="D74" s="18" t="s">
        <v>213</v>
      </c>
      <c r="E74" s="18" t="s">
        <v>428</v>
      </c>
      <c r="F74" s="18" t="s">
        <v>215</v>
      </c>
      <c r="G74" s="18" t="s">
        <v>144</v>
      </c>
      <c r="H74" s="18" t="s">
        <v>145</v>
      </c>
      <c r="I74" s="19" t="n">
        <v>8582</v>
      </c>
      <c r="J74" s="20" t="n">
        <v>332</v>
      </c>
      <c r="K74" s="21" t="n">
        <v>2.85</v>
      </c>
      <c r="L74" s="18" t="s">
        <v>86</v>
      </c>
      <c r="M74" s="21" t="n">
        <f aca="false">K74*IF(LEFT(L74,2)="QO",1,0.7)</f>
        <v>1.995</v>
      </c>
      <c r="N74" s="18" t="s">
        <v>394</v>
      </c>
      <c r="O74" s="13" t="s">
        <v>429</v>
      </c>
      <c r="P74" s="13" t="s">
        <v>148</v>
      </c>
    </row>
    <row r="75" customFormat="false" ht="45.75" hidden="false" customHeight="true" outlineLevel="0" collapsed="false">
      <c r="A75" s="18" t="n">
        <f aca="false">RANK(M75,$M$2:$M$94)</f>
        <v>74</v>
      </c>
      <c r="B75" s="18" t="str">
        <f aca="false">IF(LEFT(L75,2)="QO","A · QO now",IF(K75&gt;=20,"B · BOO large","C · BOO"))</f>
        <v>C · BOO</v>
      </c>
      <c r="C75" s="18" t="str">
        <f aca="false">IF(LEFT(L75,2)="QO","Now — QO","At GA — BOO")</f>
        <v>At GA — BOO</v>
      </c>
      <c r="D75" s="18" t="s">
        <v>250</v>
      </c>
      <c r="E75" s="18" t="s">
        <v>430</v>
      </c>
      <c r="F75" s="18" t="s">
        <v>252</v>
      </c>
      <c r="G75" s="18" t="s">
        <v>144</v>
      </c>
      <c r="H75" s="18" t="s">
        <v>145</v>
      </c>
      <c r="I75" s="19" t="n">
        <v>7571</v>
      </c>
      <c r="J75" s="20" t="n">
        <v>332</v>
      </c>
      <c r="K75" s="21" t="n">
        <v>2.51</v>
      </c>
      <c r="L75" s="18" t="s">
        <v>86</v>
      </c>
      <c r="M75" s="21" t="n">
        <f aca="false">K75*IF(LEFT(L75,2)="QO",1,0.7)</f>
        <v>1.757</v>
      </c>
      <c r="N75" s="18" t="s">
        <v>373</v>
      </c>
      <c r="O75" s="13" t="s">
        <v>431</v>
      </c>
      <c r="P75" s="13" t="s">
        <v>148</v>
      </c>
    </row>
    <row r="76" customFormat="false" ht="34.5" hidden="false" customHeight="true" outlineLevel="0" collapsed="false">
      <c r="A76" s="18" t="n">
        <f aca="false">RANK(M76,$M$2:$M$94)</f>
        <v>75</v>
      </c>
      <c r="B76" s="18" t="str">
        <f aca="false">IF(LEFT(L76,2)="QO","A · QO now",IF(K76&gt;=20,"B · BOO large","C · BOO"))</f>
        <v>A · QO now</v>
      </c>
      <c r="C76" s="18" t="str">
        <f aca="false">IF(LEFT(L76,2)="QO","Now — QO","At GA — BOO")</f>
        <v>Now — QO</v>
      </c>
      <c r="D76" s="18" t="s">
        <v>354</v>
      </c>
      <c r="E76" s="18" t="s">
        <v>432</v>
      </c>
      <c r="F76" s="18" t="s">
        <v>356</v>
      </c>
      <c r="G76" s="18" t="s">
        <v>144</v>
      </c>
      <c r="H76" s="18" t="s">
        <v>155</v>
      </c>
      <c r="I76" s="19" t="n">
        <v>4854</v>
      </c>
      <c r="J76" s="20" t="n">
        <v>351</v>
      </c>
      <c r="K76" s="21" t="n">
        <v>1.7</v>
      </c>
      <c r="L76" s="18" t="s">
        <v>156</v>
      </c>
      <c r="M76" s="21" t="n">
        <f aca="false">K76*IF(LEFT(L76,2)="QO",1,0.7)</f>
        <v>1.7</v>
      </c>
      <c r="N76" s="18" t="s">
        <v>271</v>
      </c>
      <c r="O76" s="13" t="s">
        <v>433</v>
      </c>
      <c r="P76" s="13" t="s">
        <v>159</v>
      </c>
    </row>
    <row r="77" customFormat="false" ht="34.5" hidden="false" customHeight="true" outlineLevel="0" collapsed="false">
      <c r="A77" s="18" t="n">
        <f aca="false">RANK(M77,$M$2:$M$94)</f>
        <v>76</v>
      </c>
      <c r="B77" s="18" t="str">
        <f aca="false">IF(LEFT(L77,2)="QO","A · QO now",IF(K77&gt;=20,"B · BOO large","C · BOO"))</f>
        <v>A · QO now</v>
      </c>
      <c r="C77" s="18" t="str">
        <f aca="false">IF(LEFT(L77,2)="QO","Now — QO","At GA — BOO")</f>
        <v>Now — QO</v>
      </c>
      <c r="D77" s="18" t="s">
        <v>142</v>
      </c>
      <c r="E77" s="18" t="s">
        <v>434</v>
      </c>
      <c r="F77" s="18" t="s">
        <v>142</v>
      </c>
      <c r="G77" s="18" t="s">
        <v>144</v>
      </c>
      <c r="H77" s="18" t="s">
        <v>155</v>
      </c>
      <c r="I77" s="19" t="n">
        <v>4301</v>
      </c>
      <c r="J77" s="20" t="n">
        <v>351</v>
      </c>
      <c r="K77" s="21" t="n">
        <v>1.51</v>
      </c>
      <c r="L77" s="18" t="s">
        <v>156</v>
      </c>
      <c r="M77" s="21" t="n">
        <f aca="false">K77*IF(LEFT(L77,2)="QO",1,0.7)</f>
        <v>1.51</v>
      </c>
      <c r="N77" s="18" t="s">
        <v>435</v>
      </c>
      <c r="O77" s="13" t="s">
        <v>436</v>
      </c>
      <c r="P77" s="13" t="s">
        <v>159</v>
      </c>
    </row>
    <row r="78" customFormat="false" ht="34.5" hidden="false" customHeight="true" outlineLevel="0" collapsed="false">
      <c r="A78" s="18" t="n">
        <f aca="false">RANK(M78,$M$2:$M$94)</f>
        <v>77</v>
      </c>
      <c r="B78" s="18" t="str">
        <f aca="false">IF(LEFT(L78,2)="QO","A · QO now",IF(K78&gt;=20,"B · BOO large","C · BOO"))</f>
        <v>A · QO now</v>
      </c>
      <c r="C78" s="18" t="str">
        <f aca="false">IF(LEFT(L78,2)="QO","Now — QO","At GA — BOO")</f>
        <v>Now — QO</v>
      </c>
      <c r="D78" s="18" t="s">
        <v>437</v>
      </c>
      <c r="E78" s="18" t="s">
        <v>438</v>
      </c>
      <c r="F78" s="18" t="s">
        <v>439</v>
      </c>
      <c r="G78" s="18" t="s">
        <v>144</v>
      </c>
      <c r="H78" s="18" t="s">
        <v>155</v>
      </c>
      <c r="I78" s="19" t="n">
        <v>3632</v>
      </c>
      <c r="J78" s="20" t="n">
        <v>351</v>
      </c>
      <c r="K78" s="21" t="n">
        <v>1.27</v>
      </c>
      <c r="L78" s="18" t="s">
        <v>156</v>
      </c>
      <c r="M78" s="21" t="n">
        <f aca="false">K78*IF(LEFT(L78,2)="QO",1,0.7)</f>
        <v>1.27</v>
      </c>
      <c r="N78" s="18" t="s">
        <v>440</v>
      </c>
      <c r="O78" s="13" t="s">
        <v>441</v>
      </c>
      <c r="P78" s="13" t="s">
        <v>159</v>
      </c>
    </row>
    <row r="79" customFormat="false" ht="45.75" hidden="false" customHeight="true" outlineLevel="0" collapsed="false">
      <c r="A79" s="18" t="n">
        <f aca="false">RANK(M79,$M$2:$M$94)</f>
        <v>78</v>
      </c>
      <c r="B79" s="18" t="str">
        <f aca="false">IF(LEFT(L79,2)="QO","A · QO now",IF(K79&gt;=20,"B · BOO large","C · BOO"))</f>
        <v>C · BOO</v>
      </c>
      <c r="C79" s="18" t="str">
        <f aca="false">IF(LEFT(L79,2)="QO","Now — QO","At GA — BOO")</f>
        <v>At GA — BOO</v>
      </c>
      <c r="D79" s="18" t="s">
        <v>442</v>
      </c>
      <c r="E79" s="18" t="s">
        <v>443</v>
      </c>
      <c r="F79" s="18" t="s">
        <v>444</v>
      </c>
      <c r="G79" s="18" t="s">
        <v>144</v>
      </c>
      <c r="H79" s="18" t="s">
        <v>145</v>
      </c>
      <c r="I79" s="19" t="n">
        <v>5464</v>
      </c>
      <c r="J79" s="20" t="n">
        <v>332</v>
      </c>
      <c r="K79" s="21" t="n">
        <v>1.81</v>
      </c>
      <c r="L79" s="18" t="s">
        <v>86</v>
      </c>
      <c r="M79" s="21" t="n">
        <f aca="false">K79*IF(LEFT(L79,2)="QO",1,0.7)</f>
        <v>1.267</v>
      </c>
      <c r="N79" s="18" t="s">
        <v>445</v>
      </c>
      <c r="O79" s="13" t="s">
        <v>446</v>
      </c>
      <c r="P79" s="13" t="s">
        <v>148</v>
      </c>
    </row>
    <row r="80" customFormat="false" ht="34.5" hidden="false" customHeight="true" outlineLevel="0" collapsed="false">
      <c r="A80" s="18" t="n">
        <f aca="false">RANK(M80,$M$2:$M$94)</f>
        <v>79</v>
      </c>
      <c r="B80" s="18" t="str">
        <f aca="false">IF(LEFT(L80,2)="QO","A · QO now",IF(K80&gt;=20,"B · BOO large","C · BOO"))</f>
        <v>A · QO now</v>
      </c>
      <c r="C80" s="18" t="str">
        <f aca="false">IF(LEFT(L80,2)="QO","Now — QO","At GA — BOO")</f>
        <v>Now — QO</v>
      </c>
      <c r="D80" s="18" t="s">
        <v>358</v>
      </c>
      <c r="E80" s="18" t="s">
        <v>447</v>
      </c>
      <c r="F80" s="18" t="s">
        <v>360</v>
      </c>
      <c r="G80" s="18" t="s">
        <v>144</v>
      </c>
      <c r="H80" s="18" t="s">
        <v>155</v>
      </c>
      <c r="I80" s="19" t="n">
        <v>3531</v>
      </c>
      <c r="J80" s="20" t="n">
        <v>351</v>
      </c>
      <c r="K80" s="21" t="n">
        <v>1.24</v>
      </c>
      <c r="L80" s="18" t="s">
        <v>156</v>
      </c>
      <c r="M80" s="21" t="n">
        <f aca="false">K80*IF(LEFT(L80,2)="QO",1,0.7)</f>
        <v>1.24</v>
      </c>
      <c r="N80" s="18" t="s">
        <v>448</v>
      </c>
      <c r="O80" s="13" t="s">
        <v>449</v>
      </c>
      <c r="P80" s="13" t="s">
        <v>159</v>
      </c>
    </row>
    <row r="81" customFormat="false" ht="45.75" hidden="false" customHeight="true" outlineLevel="0" collapsed="false">
      <c r="A81" s="18" t="n">
        <f aca="false">RANK(M81,$M$2:$M$94)</f>
        <v>80</v>
      </c>
      <c r="B81" s="18" t="str">
        <f aca="false">IF(LEFT(L81,2)="QO","A · QO now",IF(K81&gt;=20,"B · BOO large","C · BOO"))</f>
        <v>C · BOO</v>
      </c>
      <c r="C81" s="18" t="str">
        <f aca="false">IF(LEFT(L81,2)="QO","Now — QO","At GA — BOO")</f>
        <v>At GA — BOO</v>
      </c>
      <c r="D81" s="18" t="s">
        <v>419</v>
      </c>
      <c r="E81" s="18" t="s">
        <v>450</v>
      </c>
      <c r="F81" s="18" t="s">
        <v>421</v>
      </c>
      <c r="G81" s="18" t="s">
        <v>144</v>
      </c>
      <c r="H81" s="18" t="s">
        <v>145</v>
      </c>
      <c r="I81" s="19" t="n">
        <v>5207</v>
      </c>
      <c r="J81" s="20" t="n">
        <v>332</v>
      </c>
      <c r="K81" s="21" t="n">
        <v>1.73</v>
      </c>
      <c r="L81" s="18" t="s">
        <v>86</v>
      </c>
      <c r="M81" s="21" t="n">
        <f aca="false">K81*IF(LEFT(L81,2)="QO",1,0.7)</f>
        <v>1.211</v>
      </c>
      <c r="N81" s="18" t="s">
        <v>240</v>
      </c>
      <c r="O81" s="13" t="s">
        <v>451</v>
      </c>
      <c r="P81" s="13" t="s">
        <v>148</v>
      </c>
    </row>
    <row r="82" customFormat="false" ht="45.75" hidden="false" customHeight="true" outlineLevel="0" collapsed="false">
      <c r="A82" s="18" t="n">
        <f aca="false">RANK(M82,$M$2:$M$94)</f>
        <v>81</v>
      </c>
      <c r="B82" s="18" t="str">
        <f aca="false">IF(LEFT(L82,2)="QO","A · QO now",IF(K82&gt;=20,"B · BOO large","C · BOO"))</f>
        <v>C · BOO</v>
      </c>
      <c r="C82" s="18" t="str">
        <f aca="false">IF(LEFT(L82,2)="QO","Now — QO","At GA — BOO")</f>
        <v>At GA — BOO</v>
      </c>
      <c r="D82" s="18" t="s">
        <v>452</v>
      </c>
      <c r="E82" s="18" t="s">
        <v>453</v>
      </c>
      <c r="F82" s="18" t="s">
        <v>454</v>
      </c>
      <c r="G82" s="18" t="s">
        <v>144</v>
      </c>
      <c r="H82" s="18" t="s">
        <v>145</v>
      </c>
      <c r="I82" s="19" t="n">
        <v>5091</v>
      </c>
      <c r="J82" s="20" t="n">
        <v>332</v>
      </c>
      <c r="K82" s="21" t="n">
        <v>1.69</v>
      </c>
      <c r="L82" s="18" t="s">
        <v>86</v>
      </c>
      <c r="M82" s="21" t="n">
        <f aca="false">K82*IF(LEFT(L82,2)="QO",1,0.7)</f>
        <v>1.183</v>
      </c>
      <c r="N82" s="18" t="s">
        <v>455</v>
      </c>
      <c r="O82" s="13" t="s">
        <v>456</v>
      </c>
      <c r="P82" s="13" t="s">
        <v>148</v>
      </c>
    </row>
    <row r="83" customFormat="false" ht="34.5" hidden="false" customHeight="true" outlineLevel="0" collapsed="false">
      <c r="A83" s="18" t="n">
        <f aca="false">RANK(M83,$M$2:$M$94)</f>
        <v>82</v>
      </c>
      <c r="B83" s="18" t="str">
        <f aca="false">IF(LEFT(L83,2)="QO","A · QO now",IF(K83&gt;=20,"B · BOO large","C · BOO"))</f>
        <v>A · QO now</v>
      </c>
      <c r="C83" s="18" t="str">
        <f aca="false">IF(LEFT(L83,2)="QO","Now — QO","At GA — BOO")</f>
        <v>Now — QO</v>
      </c>
      <c r="D83" s="18" t="s">
        <v>358</v>
      </c>
      <c r="E83" s="18" t="s">
        <v>457</v>
      </c>
      <c r="F83" s="18" t="s">
        <v>360</v>
      </c>
      <c r="G83" s="18" t="s">
        <v>144</v>
      </c>
      <c r="H83" s="18" t="s">
        <v>155</v>
      </c>
      <c r="I83" s="19" t="n">
        <v>2593</v>
      </c>
      <c r="J83" s="20" t="n">
        <v>351</v>
      </c>
      <c r="K83" s="21" t="n">
        <v>0.91</v>
      </c>
      <c r="L83" s="18" t="s">
        <v>156</v>
      </c>
      <c r="M83" s="21" t="n">
        <f aca="false">K83*IF(LEFT(L83,2)="QO",1,0.7)</f>
        <v>0.91</v>
      </c>
      <c r="N83" s="18" t="s">
        <v>458</v>
      </c>
      <c r="O83" s="13" t="s">
        <v>459</v>
      </c>
      <c r="P83" s="13" t="s">
        <v>159</v>
      </c>
    </row>
    <row r="84" customFormat="false" ht="34.5" hidden="false" customHeight="true" outlineLevel="0" collapsed="false">
      <c r="A84" s="18" t="n">
        <f aca="false">RANK(M84,$M$2:$M$94)</f>
        <v>83</v>
      </c>
      <c r="B84" s="18" t="str">
        <f aca="false">IF(LEFT(L84,2)="QO","A · QO now",IF(K84&gt;=20,"B · BOO large","C · BOO"))</f>
        <v>A · QO now</v>
      </c>
      <c r="C84" s="18" t="str">
        <f aca="false">IF(LEFT(L84,2)="QO","Now — QO","At GA — BOO")</f>
        <v>Now — QO</v>
      </c>
      <c r="D84" s="18" t="s">
        <v>346</v>
      </c>
      <c r="E84" s="18" t="s">
        <v>460</v>
      </c>
      <c r="F84" s="18" t="s">
        <v>461</v>
      </c>
      <c r="G84" s="18" t="s">
        <v>144</v>
      </c>
      <c r="H84" s="18" t="s">
        <v>155</v>
      </c>
      <c r="I84" s="19" t="n">
        <v>1958</v>
      </c>
      <c r="J84" s="20" t="n">
        <v>351</v>
      </c>
      <c r="K84" s="21" t="n">
        <v>0.69</v>
      </c>
      <c r="L84" s="18" t="s">
        <v>156</v>
      </c>
      <c r="M84" s="21" t="n">
        <f aca="false">K84*IF(LEFT(L84,2)="QO",1,0.7)</f>
        <v>0.69</v>
      </c>
      <c r="N84" s="18" t="s">
        <v>306</v>
      </c>
      <c r="O84" s="13" t="s">
        <v>462</v>
      </c>
      <c r="P84" s="13" t="s">
        <v>159</v>
      </c>
    </row>
    <row r="85" customFormat="false" ht="45.75" hidden="false" customHeight="true" outlineLevel="0" collapsed="false">
      <c r="A85" s="18" t="n">
        <f aca="false">RANK(M85,$M$2:$M$94)</f>
        <v>84</v>
      </c>
      <c r="B85" s="18" t="str">
        <f aca="false">IF(LEFT(L85,2)="QO","A · QO now",IF(K85&gt;=20,"B · BOO large","C · BOO"))</f>
        <v>C · BOO</v>
      </c>
      <c r="C85" s="18" t="str">
        <f aca="false">IF(LEFT(L85,2)="QO","Now — QO","At GA — BOO")</f>
        <v>At GA — BOO</v>
      </c>
      <c r="D85" s="18" t="s">
        <v>152</v>
      </c>
      <c r="E85" s="18" t="s">
        <v>463</v>
      </c>
      <c r="F85" s="18" t="s">
        <v>154</v>
      </c>
      <c r="G85" s="18" t="s">
        <v>144</v>
      </c>
      <c r="H85" s="18" t="s">
        <v>145</v>
      </c>
      <c r="I85" s="19" t="n">
        <v>2653</v>
      </c>
      <c r="J85" s="20" t="n">
        <v>332</v>
      </c>
      <c r="K85" s="21" t="n">
        <v>0.88</v>
      </c>
      <c r="L85" s="18" t="s">
        <v>86</v>
      </c>
      <c r="M85" s="21" t="n">
        <f aca="false">K85*IF(LEFT(L85,2)="QO",1,0.7)</f>
        <v>0.616</v>
      </c>
      <c r="N85" s="18" t="s">
        <v>366</v>
      </c>
      <c r="O85" s="13" t="s">
        <v>464</v>
      </c>
      <c r="P85" s="13" t="s">
        <v>148</v>
      </c>
    </row>
    <row r="86" customFormat="false" ht="45.75" hidden="false" customHeight="true" outlineLevel="0" collapsed="false">
      <c r="A86" s="18" t="n">
        <f aca="false">RANK(M86,$M$2:$M$94)</f>
        <v>85</v>
      </c>
      <c r="B86" s="18" t="str">
        <f aca="false">IF(LEFT(L86,2)="QO","A · QO now",IF(K86&gt;=20,"B · BOO large","C · BOO"))</f>
        <v>C · BOO</v>
      </c>
      <c r="C86" s="18" t="str">
        <f aca="false">IF(LEFT(L86,2)="QO","Now — QO","At GA — BOO")</f>
        <v>At GA — BOO</v>
      </c>
      <c r="D86" s="18" t="s">
        <v>400</v>
      </c>
      <c r="E86" s="18" t="s">
        <v>465</v>
      </c>
      <c r="F86" s="18" t="s">
        <v>466</v>
      </c>
      <c r="G86" s="18" t="s">
        <v>144</v>
      </c>
      <c r="H86" s="18" t="s">
        <v>145</v>
      </c>
      <c r="I86" s="19" t="n">
        <v>2555</v>
      </c>
      <c r="J86" s="20" t="n">
        <v>332</v>
      </c>
      <c r="K86" s="21" t="n">
        <v>0.85</v>
      </c>
      <c r="L86" s="18" t="s">
        <v>86</v>
      </c>
      <c r="M86" s="21" t="n">
        <f aca="false">K86*IF(LEFT(L86,2)="QO",1,0.7)</f>
        <v>0.595</v>
      </c>
      <c r="N86" s="18" t="s">
        <v>467</v>
      </c>
      <c r="O86" s="13" t="s">
        <v>468</v>
      </c>
      <c r="P86" s="13" t="s">
        <v>148</v>
      </c>
    </row>
    <row r="87" customFormat="false" ht="34.5" hidden="false" customHeight="true" outlineLevel="0" collapsed="false">
      <c r="A87" s="18" t="n">
        <f aca="false">RANK(M87,$M$2:$M$94)</f>
        <v>86</v>
      </c>
      <c r="B87" s="18" t="str">
        <f aca="false">IF(LEFT(L87,2)="QO","A · QO now",IF(K87&gt;=20,"B · BOO large","C · BOO"))</f>
        <v>A · QO now</v>
      </c>
      <c r="C87" s="18" t="str">
        <f aca="false">IF(LEFT(L87,2)="QO","Now — QO","At GA — BOO")</f>
        <v>Now — QO</v>
      </c>
      <c r="D87" s="18" t="s">
        <v>308</v>
      </c>
      <c r="E87" s="18" t="s">
        <v>469</v>
      </c>
      <c r="F87" s="18" t="s">
        <v>470</v>
      </c>
      <c r="G87" s="18" t="s">
        <v>144</v>
      </c>
      <c r="H87" s="18" t="s">
        <v>155</v>
      </c>
      <c r="I87" s="19" t="n">
        <v>1577</v>
      </c>
      <c r="J87" s="20" t="n">
        <v>351</v>
      </c>
      <c r="K87" s="21" t="n">
        <v>0.55</v>
      </c>
      <c r="L87" s="18" t="s">
        <v>156</v>
      </c>
      <c r="M87" s="21" t="n">
        <f aca="false">K87*IF(LEFT(L87,2)="QO",1,0.7)</f>
        <v>0.55</v>
      </c>
      <c r="N87" s="18" t="s">
        <v>403</v>
      </c>
      <c r="O87" s="13" t="s">
        <v>471</v>
      </c>
      <c r="P87" s="13" t="s">
        <v>159</v>
      </c>
    </row>
    <row r="88" customFormat="false" ht="45.75" hidden="false" customHeight="true" outlineLevel="0" collapsed="false">
      <c r="A88" s="18" t="n">
        <f aca="false">RANK(M88,$M$2:$M$94)</f>
        <v>87</v>
      </c>
      <c r="B88" s="18" t="str">
        <f aca="false">IF(LEFT(L88,2)="QO","A · QO now",IF(K88&gt;=20,"B · BOO large","C · BOO"))</f>
        <v>C · BOO</v>
      </c>
      <c r="C88" s="18" t="str">
        <f aca="false">IF(LEFT(L88,2)="QO","Now — QO","At GA — BOO")</f>
        <v>At GA — BOO</v>
      </c>
      <c r="D88" s="18" t="s">
        <v>208</v>
      </c>
      <c r="E88" s="18" t="s">
        <v>472</v>
      </c>
      <c r="F88" s="18" t="s">
        <v>256</v>
      </c>
      <c r="G88" s="18" t="s">
        <v>144</v>
      </c>
      <c r="H88" s="18" t="s">
        <v>145</v>
      </c>
      <c r="I88" s="19" t="n">
        <v>2332</v>
      </c>
      <c r="J88" s="20" t="n">
        <v>332</v>
      </c>
      <c r="K88" s="21" t="n">
        <v>0.77</v>
      </c>
      <c r="L88" s="18" t="s">
        <v>86</v>
      </c>
      <c r="M88" s="21" t="n">
        <f aca="false">K88*IF(LEFT(L88,2)="QO",1,0.7)</f>
        <v>0.539</v>
      </c>
      <c r="N88" s="18" t="s">
        <v>378</v>
      </c>
      <c r="O88" s="13" t="s">
        <v>473</v>
      </c>
      <c r="P88" s="13" t="s">
        <v>148</v>
      </c>
    </row>
    <row r="89" customFormat="false" ht="45.75" hidden="false" customHeight="true" outlineLevel="0" collapsed="false">
      <c r="A89" s="18" t="n">
        <f aca="false">RANK(M89,$M$2:$M$94)</f>
        <v>88</v>
      </c>
      <c r="B89" s="18" t="str">
        <f aca="false">IF(LEFT(L89,2)="QO","A · QO now",IF(K89&gt;=20,"B · BOO large","C · BOO"))</f>
        <v>C · BOO</v>
      </c>
      <c r="C89" s="18" t="str">
        <f aca="false">IF(LEFT(L89,2)="QO","Now — QO","At GA — BOO")</f>
        <v>At GA — BOO</v>
      </c>
      <c r="D89" s="18" t="s">
        <v>474</v>
      </c>
      <c r="E89" s="18" t="s">
        <v>475</v>
      </c>
      <c r="F89" s="18" t="s">
        <v>476</v>
      </c>
      <c r="G89" s="18" t="s">
        <v>144</v>
      </c>
      <c r="H89" s="18" t="s">
        <v>145</v>
      </c>
      <c r="I89" s="19" t="n">
        <v>1359</v>
      </c>
      <c r="J89" s="20" t="n">
        <v>332</v>
      </c>
      <c r="K89" s="21" t="n">
        <v>0.45</v>
      </c>
      <c r="L89" s="18" t="s">
        <v>86</v>
      </c>
      <c r="M89" s="21" t="n">
        <f aca="false">K89*IF(LEFT(L89,2)="QO",1,0.7)</f>
        <v>0.315</v>
      </c>
      <c r="N89" s="18" t="s">
        <v>306</v>
      </c>
      <c r="O89" s="13" t="s">
        <v>477</v>
      </c>
      <c r="P89" s="13" t="s">
        <v>148</v>
      </c>
    </row>
    <row r="90" customFormat="false" ht="45.75" hidden="false" customHeight="true" outlineLevel="0" collapsed="false">
      <c r="A90" s="18" t="n">
        <f aca="false">RANK(M90,$M$2:$M$94)</f>
        <v>89</v>
      </c>
      <c r="B90" s="18" t="str">
        <f aca="false">IF(LEFT(L90,2)="QO","A · QO now",IF(K90&gt;=20,"B · BOO large","C · BOO"))</f>
        <v>C · BOO</v>
      </c>
      <c r="C90" s="18" t="str">
        <f aca="false">IF(LEFT(L90,2)="QO","Now — QO","At GA — BOO")</f>
        <v>At GA — BOO</v>
      </c>
      <c r="D90" s="18" t="s">
        <v>213</v>
      </c>
      <c r="E90" s="18" t="s">
        <v>478</v>
      </c>
      <c r="F90" s="18" t="s">
        <v>215</v>
      </c>
      <c r="G90" s="18" t="s">
        <v>144</v>
      </c>
      <c r="H90" s="18" t="s">
        <v>145</v>
      </c>
      <c r="I90" s="19" t="n">
        <v>1331</v>
      </c>
      <c r="J90" s="20" t="n">
        <v>332</v>
      </c>
      <c r="K90" s="21" t="n">
        <v>0.44</v>
      </c>
      <c r="L90" s="18" t="s">
        <v>86</v>
      </c>
      <c r="M90" s="21" t="n">
        <f aca="false">K90*IF(LEFT(L90,2)="QO",1,0.7)</f>
        <v>0.308</v>
      </c>
      <c r="N90" s="18" t="s">
        <v>179</v>
      </c>
      <c r="O90" s="13" t="s">
        <v>479</v>
      </c>
      <c r="P90" s="13" t="s">
        <v>148</v>
      </c>
    </row>
    <row r="91" customFormat="false" ht="45.75" hidden="false" customHeight="true" outlineLevel="0" collapsed="false">
      <c r="A91" s="18" t="n">
        <f aca="false">RANK(M91,$M$2:$M$94)</f>
        <v>90</v>
      </c>
      <c r="B91" s="18" t="str">
        <f aca="false">IF(LEFT(L91,2)="QO","A · QO now",IF(K91&gt;=20,"B · BOO large","C · BOO"))</f>
        <v>C · BOO</v>
      </c>
      <c r="C91" s="18" t="str">
        <f aca="false">IF(LEFT(L91,2)="QO","Now — QO","At GA — BOO")</f>
        <v>At GA — BOO</v>
      </c>
      <c r="D91" s="18" t="s">
        <v>474</v>
      </c>
      <c r="E91" s="18" t="s">
        <v>480</v>
      </c>
      <c r="F91" s="18" t="s">
        <v>476</v>
      </c>
      <c r="G91" s="18" t="s">
        <v>144</v>
      </c>
      <c r="H91" s="18" t="s">
        <v>145</v>
      </c>
      <c r="I91" s="19" t="n">
        <v>1207</v>
      </c>
      <c r="J91" s="20" t="n">
        <v>332</v>
      </c>
      <c r="K91" s="21" t="n">
        <v>0.4</v>
      </c>
      <c r="L91" s="18" t="s">
        <v>86</v>
      </c>
      <c r="M91" s="21" t="n">
        <f aca="false">K91*IF(LEFT(L91,2)="QO",1,0.7)</f>
        <v>0.28</v>
      </c>
      <c r="N91" s="18" t="s">
        <v>172</v>
      </c>
      <c r="O91" s="13" t="s">
        <v>481</v>
      </c>
      <c r="P91" s="13" t="s">
        <v>148</v>
      </c>
    </row>
    <row r="92" customFormat="false" ht="45.75" hidden="false" customHeight="true" outlineLevel="0" collapsed="false">
      <c r="A92" s="18" t="n">
        <f aca="false">RANK(M92,$M$2:$M$94)</f>
        <v>91</v>
      </c>
      <c r="B92" s="18" t="str">
        <f aca="false">IF(LEFT(L92,2)="QO","A · QO now",IF(K92&gt;=20,"B · BOO large","C · BOO"))</f>
        <v>C · BOO</v>
      </c>
      <c r="C92" s="18" t="str">
        <f aca="false">IF(LEFT(L92,2)="QO","Now — QO","At GA — BOO")</f>
        <v>At GA — BOO</v>
      </c>
      <c r="D92" s="18" t="s">
        <v>142</v>
      </c>
      <c r="E92" s="18" t="s">
        <v>482</v>
      </c>
      <c r="F92" s="18" t="s">
        <v>483</v>
      </c>
      <c r="G92" s="18" t="s">
        <v>144</v>
      </c>
      <c r="H92" s="18" t="s">
        <v>145</v>
      </c>
      <c r="I92" s="19" t="n">
        <v>898</v>
      </c>
      <c r="J92" s="20" t="n">
        <v>332</v>
      </c>
      <c r="K92" s="21" t="n">
        <v>0.3</v>
      </c>
      <c r="L92" s="18" t="s">
        <v>86</v>
      </c>
      <c r="M92" s="21" t="n">
        <f aca="false">K92*IF(LEFT(L92,2)="QO",1,0.7)</f>
        <v>0.21</v>
      </c>
      <c r="N92" s="18" t="s">
        <v>150</v>
      </c>
      <c r="O92" s="13" t="s">
        <v>484</v>
      </c>
      <c r="P92" s="13" t="s">
        <v>148</v>
      </c>
    </row>
    <row r="93" customFormat="false" ht="45.75" hidden="false" customHeight="true" outlineLevel="0" collapsed="false">
      <c r="A93" s="18" t="n">
        <f aca="false">RANK(M93,$M$2:$M$94)</f>
        <v>91</v>
      </c>
      <c r="B93" s="18" t="str">
        <f aca="false">IF(LEFT(L93,2)="QO","A · QO now",IF(K93&gt;=20,"B · BOO large","C · BOO"))</f>
        <v>C · BOO</v>
      </c>
      <c r="C93" s="18" t="str">
        <f aca="false">IF(LEFT(L93,2)="QO","Now — QO","At GA — BOO")</f>
        <v>At GA — BOO</v>
      </c>
      <c r="D93" s="18" t="s">
        <v>485</v>
      </c>
      <c r="E93" s="18" t="s">
        <v>486</v>
      </c>
      <c r="F93" s="18" t="s">
        <v>487</v>
      </c>
      <c r="G93" s="18" t="s">
        <v>144</v>
      </c>
      <c r="H93" s="18" t="s">
        <v>145</v>
      </c>
      <c r="I93" s="19" t="n">
        <v>898</v>
      </c>
      <c r="J93" s="20" t="n">
        <v>332</v>
      </c>
      <c r="K93" s="21" t="n">
        <v>0.3</v>
      </c>
      <c r="L93" s="18" t="s">
        <v>86</v>
      </c>
      <c r="M93" s="21" t="n">
        <f aca="false">K93*IF(LEFT(L93,2)="QO",1,0.7)</f>
        <v>0.21</v>
      </c>
      <c r="N93" s="18" t="s">
        <v>342</v>
      </c>
      <c r="O93" s="13" t="s">
        <v>488</v>
      </c>
      <c r="P93" s="13" t="s">
        <v>148</v>
      </c>
    </row>
    <row r="94" customFormat="false" ht="45.75" hidden="false" customHeight="true" outlineLevel="0" collapsed="false">
      <c r="A94" s="18" t="n">
        <f aca="false">RANK(M94,$M$2:$M$94)</f>
        <v>93</v>
      </c>
      <c r="B94" s="18" t="str">
        <f aca="false">IF(LEFT(L94,2)="QO","A · QO now",IF(K94&gt;=20,"B · BOO large","C · BOO"))</f>
        <v>C · BOO</v>
      </c>
      <c r="C94" s="18" t="str">
        <f aca="false">IF(LEFT(L94,2)="QO","Now — QO","At GA — BOO")</f>
        <v>At GA — BOO</v>
      </c>
      <c r="D94" s="18" t="s">
        <v>489</v>
      </c>
      <c r="E94" s="18" t="s">
        <v>490</v>
      </c>
      <c r="F94" s="18" t="s">
        <v>491</v>
      </c>
      <c r="G94" s="18" t="s">
        <v>144</v>
      </c>
      <c r="H94" s="18" t="s">
        <v>145</v>
      </c>
      <c r="I94" s="19" t="n">
        <v>607</v>
      </c>
      <c r="J94" s="20" t="n">
        <v>332</v>
      </c>
      <c r="K94" s="21" t="n">
        <v>0.2</v>
      </c>
      <c r="L94" s="18" t="s">
        <v>86</v>
      </c>
      <c r="M94" s="21" t="n">
        <f aca="false">K94*IF(LEFT(L94,2)="QO",1,0.7)</f>
        <v>0.14</v>
      </c>
      <c r="N94" s="18" t="s">
        <v>373</v>
      </c>
      <c r="O94" s="13" t="s">
        <v>492</v>
      </c>
      <c r="P94" s="13" t="s">
        <v>148</v>
      </c>
    </row>
  </sheetData>
  <autoFilter ref="A1:P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6"/>
    <col collapsed="false" customWidth="true" hidden="false" outlineLevel="0" max="7" min="6" style="1" width="7"/>
    <col collapsed="false" customWidth="true" hidden="false" outlineLevel="0" max="8" min="8" style="1" width="11"/>
    <col collapsed="false" customWidth="true" hidden="false" outlineLevel="0" max="10" min="9" style="1" width="15"/>
    <col collapsed="false" customWidth="true" hidden="false" outlineLevel="0" max="11" min="11" style="1" width="10"/>
    <col collapsed="false" customWidth="true" hidden="false" outlineLevel="0" max="12" min="12" style="1" width="15"/>
    <col collapsed="false" customWidth="true" hidden="false" outlineLevel="0" max="13" min="13" style="1" width="38"/>
    <col collapsed="false" customWidth="true" hidden="false" outlineLevel="0" max="14" min="14" style="1" width="11"/>
    <col collapsed="false" customWidth="true" hidden="false" outlineLevel="0" max="15" min="15" style="1" width="48"/>
  </cols>
  <sheetData>
    <row r="1" customFormat="false" ht="23.25" hidden="false" customHeight="true" outlineLevel="0" collapsed="false">
      <c r="A1" s="11" t="s">
        <v>129</v>
      </c>
      <c r="B1" s="11" t="s">
        <v>130</v>
      </c>
      <c r="C1" s="11" t="s">
        <v>131</v>
      </c>
      <c r="D1" s="11" t="s">
        <v>132</v>
      </c>
      <c r="E1" s="11" t="s">
        <v>133</v>
      </c>
      <c r="F1" s="11" t="s">
        <v>493</v>
      </c>
      <c r="G1" s="11" t="s">
        <v>494</v>
      </c>
      <c r="H1" s="11" t="s">
        <v>134</v>
      </c>
      <c r="I1" s="11" t="s">
        <v>135</v>
      </c>
      <c r="J1" s="11" t="s">
        <v>136</v>
      </c>
      <c r="K1" s="11" t="s">
        <v>495</v>
      </c>
      <c r="L1" s="11" t="s">
        <v>139</v>
      </c>
      <c r="M1" s="11" t="s">
        <v>140</v>
      </c>
      <c r="N1" s="11" t="s">
        <v>137</v>
      </c>
      <c r="O1" s="11" t="s">
        <v>141</v>
      </c>
    </row>
    <row r="2" customFormat="false" ht="57" hidden="false" customHeight="true" outlineLevel="0" collapsed="false">
      <c r="A2" s="18" t="s">
        <v>142</v>
      </c>
      <c r="B2" s="18" t="s">
        <v>143</v>
      </c>
      <c r="C2" s="18" t="s">
        <v>142</v>
      </c>
      <c r="D2" s="18" t="s">
        <v>144</v>
      </c>
      <c r="E2" s="18" t="s">
        <v>145</v>
      </c>
      <c r="F2" s="18" t="n">
        <v>3.5</v>
      </c>
      <c r="G2" s="18" t="n">
        <v>3.5</v>
      </c>
      <c r="H2" s="19" t="n">
        <v>2470763</v>
      </c>
      <c r="I2" s="20" t="n">
        <v>332</v>
      </c>
      <c r="J2" s="21" t="n">
        <v>820.29</v>
      </c>
      <c r="K2" s="18" t="s">
        <v>145</v>
      </c>
      <c r="L2" s="18" t="s">
        <v>146</v>
      </c>
      <c r="M2" s="13" t="s">
        <v>147</v>
      </c>
      <c r="N2" s="18" t="s">
        <v>86</v>
      </c>
      <c r="O2" s="13" t="s">
        <v>148</v>
      </c>
    </row>
    <row r="3" customFormat="false" ht="57" hidden="false" customHeight="true" outlineLevel="0" collapsed="false">
      <c r="A3" s="18" t="s">
        <v>142</v>
      </c>
      <c r="B3" s="18" t="s">
        <v>149</v>
      </c>
      <c r="C3" s="18" t="s">
        <v>142</v>
      </c>
      <c r="D3" s="18" t="s">
        <v>144</v>
      </c>
      <c r="E3" s="18" t="s">
        <v>145</v>
      </c>
      <c r="F3" s="18" t="n">
        <v>3.5</v>
      </c>
      <c r="G3" s="18" t="n">
        <v>3.5</v>
      </c>
      <c r="H3" s="19" t="n">
        <v>490987</v>
      </c>
      <c r="I3" s="20" t="n">
        <v>332</v>
      </c>
      <c r="J3" s="21" t="n">
        <v>163.01</v>
      </c>
      <c r="K3" s="18" t="s">
        <v>145</v>
      </c>
      <c r="L3" s="18" t="s">
        <v>150</v>
      </c>
      <c r="M3" s="13" t="s">
        <v>151</v>
      </c>
      <c r="N3" s="18" t="s">
        <v>86</v>
      </c>
      <c r="O3" s="13" t="s">
        <v>148</v>
      </c>
    </row>
    <row r="4" customFormat="false" ht="57" hidden="false" customHeight="true" outlineLevel="0" collapsed="false">
      <c r="A4" s="18" t="s">
        <v>142</v>
      </c>
      <c r="B4" s="18" t="s">
        <v>160</v>
      </c>
      <c r="C4" s="18" t="s">
        <v>142</v>
      </c>
      <c r="D4" s="18" t="s">
        <v>144</v>
      </c>
      <c r="E4" s="18" t="s">
        <v>145</v>
      </c>
      <c r="F4" s="18" t="n">
        <v>3.5</v>
      </c>
      <c r="G4" s="18" t="n">
        <v>3.5</v>
      </c>
      <c r="H4" s="19" t="n">
        <v>342600</v>
      </c>
      <c r="I4" s="20" t="n">
        <v>332</v>
      </c>
      <c r="J4" s="21" t="n">
        <v>113.74</v>
      </c>
      <c r="K4" s="18" t="s">
        <v>145</v>
      </c>
      <c r="L4" s="18" t="s">
        <v>161</v>
      </c>
      <c r="M4" s="13" t="s">
        <v>162</v>
      </c>
      <c r="N4" s="18" t="s">
        <v>86</v>
      </c>
      <c r="O4" s="13" t="s">
        <v>148</v>
      </c>
    </row>
    <row r="5" customFormat="false" ht="57" hidden="false" customHeight="true" outlineLevel="0" collapsed="false">
      <c r="A5" s="18" t="s">
        <v>142</v>
      </c>
      <c r="B5" s="18" t="s">
        <v>163</v>
      </c>
      <c r="C5" s="18" t="s">
        <v>142</v>
      </c>
      <c r="D5" s="18" t="s">
        <v>144</v>
      </c>
      <c r="E5" s="18" t="s">
        <v>145</v>
      </c>
      <c r="F5" s="18" t="n">
        <v>3.5</v>
      </c>
      <c r="G5" s="18" t="n">
        <v>3.5</v>
      </c>
      <c r="H5" s="19" t="n">
        <v>341511</v>
      </c>
      <c r="I5" s="20" t="n">
        <v>332</v>
      </c>
      <c r="J5" s="21" t="n">
        <v>113.38</v>
      </c>
      <c r="K5" s="18" t="s">
        <v>145</v>
      </c>
      <c r="L5" s="18" t="s">
        <v>161</v>
      </c>
      <c r="M5" s="13" t="s">
        <v>164</v>
      </c>
      <c r="N5" s="18" t="s">
        <v>86</v>
      </c>
      <c r="O5" s="13" t="s">
        <v>148</v>
      </c>
    </row>
    <row r="6" customFormat="false" ht="45.75" hidden="false" customHeight="true" outlineLevel="0" collapsed="false">
      <c r="A6" s="18" t="s">
        <v>152</v>
      </c>
      <c r="B6" s="18" t="s">
        <v>153</v>
      </c>
      <c r="C6" s="18" t="s">
        <v>154</v>
      </c>
      <c r="D6" s="18" t="s">
        <v>144</v>
      </c>
      <c r="E6" s="18" t="s">
        <v>155</v>
      </c>
      <c r="F6" s="18" t="n">
        <v>3</v>
      </c>
      <c r="G6" s="18" t="n">
        <v>3.5</v>
      </c>
      <c r="H6" s="19" t="n">
        <v>317637</v>
      </c>
      <c r="I6" s="20" t="n">
        <v>351</v>
      </c>
      <c r="J6" s="21" t="n">
        <v>111.49</v>
      </c>
      <c r="K6" s="18" t="s">
        <v>145</v>
      </c>
      <c r="L6" s="18" t="s">
        <v>157</v>
      </c>
      <c r="M6" s="13" t="s">
        <v>158</v>
      </c>
      <c r="N6" s="18" t="s">
        <v>156</v>
      </c>
      <c r="O6" s="13" t="s">
        <v>159</v>
      </c>
    </row>
    <row r="7" customFormat="false" ht="57" hidden="false" customHeight="true" outlineLevel="0" collapsed="false">
      <c r="A7" s="18" t="s">
        <v>152</v>
      </c>
      <c r="B7" s="18" t="s">
        <v>165</v>
      </c>
      <c r="C7" s="18" t="s">
        <v>154</v>
      </c>
      <c r="D7" s="18" t="s">
        <v>144</v>
      </c>
      <c r="E7" s="18" t="s">
        <v>145</v>
      </c>
      <c r="F7" s="18" t="n">
        <v>3</v>
      </c>
      <c r="G7" s="18" t="n">
        <v>4</v>
      </c>
      <c r="H7" s="19" t="n">
        <v>256685</v>
      </c>
      <c r="I7" s="20" t="n">
        <v>332</v>
      </c>
      <c r="J7" s="21" t="n">
        <v>85.22</v>
      </c>
      <c r="K7" s="18" t="s">
        <v>145</v>
      </c>
      <c r="L7" s="18" t="s">
        <v>166</v>
      </c>
      <c r="M7" s="13" t="s">
        <v>167</v>
      </c>
      <c r="N7" s="18" t="s">
        <v>86</v>
      </c>
      <c r="O7" s="13" t="s">
        <v>148</v>
      </c>
    </row>
    <row r="8" customFormat="false" ht="57" hidden="false" customHeight="true" outlineLevel="0" collapsed="false">
      <c r="A8" s="18" t="s">
        <v>142</v>
      </c>
      <c r="B8" s="18" t="s">
        <v>496</v>
      </c>
      <c r="C8" s="18" t="s">
        <v>142</v>
      </c>
      <c r="D8" s="18" t="s">
        <v>144</v>
      </c>
      <c r="E8" s="18" t="s">
        <v>145</v>
      </c>
      <c r="F8" s="18" t="n">
        <v>3.5</v>
      </c>
      <c r="G8" s="18" t="n">
        <v>3</v>
      </c>
      <c r="H8" s="19" t="n">
        <v>178162</v>
      </c>
      <c r="I8" s="20" t="n">
        <v>332</v>
      </c>
      <c r="J8" s="21" t="n">
        <v>59.15</v>
      </c>
      <c r="K8" s="18" t="s">
        <v>155</v>
      </c>
      <c r="L8" s="18" t="s">
        <v>497</v>
      </c>
      <c r="M8" s="13" t="s">
        <v>498</v>
      </c>
      <c r="N8" s="18" t="s">
        <v>86</v>
      </c>
      <c r="O8" s="13" t="s">
        <v>148</v>
      </c>
    </row>
    <row r="9" customFormat="false" ht="57" hidden="false" customHeight="true" outlineLevel="0" collapsed="false">
      <c r="A9" s="18" t="s">
        <v>152</v>
      </c>
      <c r="B9" s="18" t="s">
        <v>168</v>
      </c>
      <c r="C9" s="18" t="s">
        <v>154</v>
      </c>
      <c r="D9" s="18" t="s">
        <v>144</v>
      </c>
      <c r="E9" s="18" t="s">
        <v>145</v>
      </c>
      <c r="F9" s="18" t="n">
        <v>3.5</v>
      </c>
      <c r="G9" s="18" t="n">
        <v>4</v>
      </c>
      <c r="H9" s="19" t="n">
        <v>158177</v>
      </c>
      <c r="I9" s="20" t="n">
        <v>332</v>
      </c>
      <c r="J9" s="21" t="n">
        <v>52.51</v>
      </c>
      <c r="K9" s="18" t="s">
        <v>145</v>
      </c>
      <c r="L9" s="18" t="s">
        <v>169</v>
      </c>
      <c r="M9" s="13" t="s">
        <v>170</v>
      </c>
      <c r="N9" s="18" t="s">
        <v>86</v>
      </c>
      <c r="O9" s="13" t="s">
        <v>148</v>
      </c>
    </row>
    <row r="10" customFormat="false" ht="57" hidden="false" customHeight="true" outlineLevel="0" collapsed="false">
      <c r="A10" s="18" t="s">
        <v>288</v>
      </c>
      <c r="B10" s="18" t="s">
        <v>499</v>
      </c>
      <c r="C10" s="18" t="s">
        <v>500</v>
      </c>
      <c r="D10" s="18" t="s">
        <v>144</v>
      </c>
      <c r="E10" s="18" t="s">
        <v>145</v>
      </c>
      <c r="F10" s="18" t="n">
        <v>3.5</v>
      </c>
      <c r="G10" s="18" t="n">
        <v>3</v>
      </c>
      <c r="H10" s="19" t="n">
        <v>156176</v>
      </c>
      <c r="I10" s="20" t="n">
        <v>332</v>
      </c>
      <c r="J10" s="21" t="n">
        <v>51.85</v>
      </c>
      <c r="K10" s="18" t="s">
        <v>155</v>
      </c>
      <c r="L10" s="18" t="s">
        <v>497</v>
      </c>
      <c r="M10" s="13" t="s">
        <v>501</v>
      </c>
      <c r="N10" s="18" t="s">
        <v>86</v>
      </c>
      <c r="O10" s="13" t="s">
        <v>148</v>
      </c>
    </row>
    <row r="11" customFormat="false" ht="57" hidden="false" customHeight="true" outlineLevel="0" collapsed="false">
      <c r="A11" s="18" t="s">
        <v>288</v>
      </c>
      <c r="B11" s="18" t="s">
        <v>502</v>
      </c>
      <c r="C11" s="18" t="s">
        <v>290</v>
      </c>
      <c r="D11" s="18" t="s">
        <v>144</v>
      </c>
      <c r="E11" s="18" t="s">
        <v>145</v>
      </c>
      <c r="F11" s="18" t="n">
        <v>4</v>
      </c>
      <c r="G11" s="18" t="n">
        <v>3.5</v>
      </c>
      <c r="H11" s="19" t="n">
        <v>150512</v>
      </c>
      <c r="I11" s="20" t="n">
        <v>332</v>
      </c>
      <c r="J11" s="21" t="n">
        <v>49.97</v>
      </c>
      <c r="K11" s="18" t="s">
        <v>155</v>
      </c>
      <c r="L11" s="18" t="s">
        <v>503</v>
      </c>
      <c r="M11" s="13" t="s">
        <v>504</v>
      </c>
      <c r="N11" s="18" t="s">
        <v>86</v>
      </c>
      <c r="O11" s="13" t="s">
        <v>148</v>
      </c>
    </row>
    <row r="12" customFormat="false" ht="57" hidden="false" customHeight="true" outlineLevel="0" collapsed="false">
      <c r="A12" s="18" t="s">
        <v>152</v>
      </c>
      <c r="B12" s="18" t="s">
        <v>171</v>
      </c>
      <c r="C12" s="18" t="s">
        <v>154</v>
      </c>
      <c r="D12" s="18" t="s">
        <v>144</v>
      </c>
      <c r="E12" s="18" t="s">
        <v>145</v>
      </c>
      <c r="F12" s="18" t="n">
        <v>3.5</v>
      </c>
      <c r="G12" s="18" t="n">
        <v>3.5</v>
      </c>
      <c r="H12" s="19" t="n">
        <v>148399</v>
      </c>
      <c r="I12" s="20" t="n">
        <v>332</v>
      </c>
      <c r="J12" s="21" t="n">
        <v>49.27</v>
      </c>
      <c r="K12" s="18" t="s">
        <v>145</v>
      </c>
      <c r="L12" s="18" t="s">
        <v>172</v>
      </c>
      <c r="M12" s="13" t="s">
        <v>173</v>
      </c>
      <c r="N12" s="18" t="s">
        <v>86</v>
      </c>
      <c r="O12" s="13" t="s">
        <v>148</v>
      </c>
    </row>
    <row r="13" customFormat="false" ht="57" hidden="false" customHeight="true" outlineLevel="0" collapsed="false">
      <c r="A13" s="18" t="s">
        <v>152</v>
      </c>
      <c r="B13" s="18" t="s">
        <v>174</v>
      </c>
      <c r="C13" s="18" t="s">
        <v>154</v>
      </c>
      <c r="D13" s="18" t="s">
        <v>144</v>
      </c>
      <c r="E13" s="18" t="s">
        <v>145</v>
      </c>
      <c r="F13" s="18" t="n">
        <v>3.5</v>
      </c>
      <c r="G13" s="18" t="n">
        <v>4.5</v>
      </c>
      <c r="H13" s="19" t="n">
        <v>139923</v>
      </c>
      <c r="I13" s="20" t="n">
        <v>332</v>
      </c>
      <c r="J13" s="21" t="n">
        <v>46.45</v>
      </c>
      <c r="K13" s="18" t="s">
        <v>145</v>
      </c>
      <c r="L13" s="18" t="s">
        <v>175</v>
      </c>
      <c r="M13" s="13" t="s">
        <v>176</v>
      </c>
      <c r="N13" s="18" t="s">
        <v>86</v>
      </c>
      <c r="O13" s="13" t="s">
        <v>148</v>
      </c>
    </row>
    <row r="14" customFormat="false" ht="57" hidden="false" customHeight="true" outlineLevel="0" collapsed="false">
      <c r="A14" s="18" t="s">
        <v>181</v>
      </c>
      <c r="B14" s="18" t="s">
        <v>182</v>
      </c>
      <c r="C14" s="18" t="s">
        <v>183</v>
      </c>
      <c r="D14" s="18" t="s">
        <v>144</v>
      </c>
      <c r="E14" s="18" t="s">
        <v>145</v>
      </c>
      <c r="F14" s="18" t="n">
        <v>3.5</v>
      </c>
      <c r="G14" s="18" t="n">
        <v>4</v>
      </c>
      <c r="H14" s="19" t="n">
        <v>111604</v>
      </c>
      <c r="I14" s="20" t="n">
        <v>332</v>
      </c>
      <c r="J14" s="21" t="n">
        <v>37.05</v>
      </c>
      <c r="K14" s="18" t="s">
        <v>145</v>
      </c>
      <c r="L14" s="18" t="s">
        <v>184</v>
      </c>
      <c r="M14" s="13" t="s">
        <v>185</v>
      </c>
      <c r="N14" s="18" t="s">
        <v>86</v>
      </c>
      <c r="O14" s="13" t="s">
        <v>148</v>
      </c>
    </row>
    <row r="15" customFormat="false" ht="45.75" hidden="false" customHeight="true" outlineLevel="0" collapsed="false">
      <c r="A15" s="18" t="s">
        <v>308</v>
      </c>
      <c r="B15" s="18" t="s">
        <v>505</v>
      </c>
      <c r="C15" s="18" t="s">
        <v>506</v>
      </c>
      <c r="D15" s="18" t="s">
        <v>144</v>
      </c>
      <c r="E15" s="18" t="s">
        <v>155</v>
      </c>
      <c r="F15" s="18" t="n">
        <v>3.5</v>
      </c>
      <c r="G15" s="18" t="n">
        <v>3.5</v>
      </c>
      <c r="H15" s="19" t="n">
        <v>100591</v>
      </c>
      <c r="I15" s="20" t="n">
        <v>351</v>
      </c>
      <c r="J15" s="21" t="n">
        <v>35.31</v>
      </c>
      <c r="K15" s="18" t="s">
        <v>155</v>
      </c>
      <c r="L15" s="18" t="s">
        <v>507</v>
      </c>
      <c r="M15" s="13" t="s">
        <v>508</v>
      </c>
      <c r="N15" s="18" t="s">
        <v>156</v>
      </c>
      <c r="O15" s="13" t="s">
        <v>159</v>
      </c>
    </row>
    <row r="16" customFormat="false" ht="57" hidden="false" customHeight="true" outlineLevel="0" collapsed="false">
      <c r="A16" s="18" t="s">
        <v>213</v>
      </c>
      <c r="B16" s="18" t="s">
        <v>509</v>
      </c>
      <c r="C16" s="18" t="s">
        <v>215</v>
      </c>
      <c r="D16" s="18" t="s">
        <v>144</v>
      </c>
      <c r="E16" s="18" t="s">
        <v>145</v>
      </c>
      <c r="F16" s="18" t="n">
        <v>4</v>
      </c>
      <c r="G16" s="18" t="n">
        <v>3.5</v>
      </c>
      <c r="H16" s="19" t="n">
        <v>100002</v>
      </c>
      <c r="I16" s="20" t="n">
        <v>332</v>
      </c>
      <c r="J16" s="21" t="n">
        <v>33.2</v>
      </c>
      <c r="K16" s="18" t="s">
        <v>155</v>
      </c>
      <c r="L16" s="18" t="s">
        <v>225</v>
      </c>
      <c r="M16" s="13" t="s">
        <v>510</v>
      </c>
      <c r="N16" s="18" t="s">
        <v>86</v>
      </c>
      <c r="O16" s="13" t="s">
        <v>148</v>
      </c>
    </row>
    <row r="17" customFormat="false" ht="57" hidden="false" customHeight="true" outlineLevel="0" collapsed="false">
      <c r="A17" s="18" t="s">
        <v>152</v>
      </c>
      <c r="B17" s="18" t="s">
        <v>186</v>
      </c>
      <c r="C17" s="18" t="s">
        <v>154</v>
      </c>
      <c r="D17" s="18" t="s">
        <v>144</v>
      </c>
      <c r="E17" s="18" t="s">
        <v>145</v>
      </c>
      <c r="F17" s="18" t="n">
        <v>3.5</v>
      </c>
      <c r="G17" s="18" t="n">
        <v>3.5</v>
      </c>
      <c r="H17" s="19" t="n">
        <v>99682</v>
      </c>
      <c r="I17" s="20" t="n">
        <v>332</v>
      </c>
      <c r="J17" s="21" t="n">
        <v>33.09</v>
      </c>
      <c r="K17" s="18" t="s">
        <v>145</v>
      </c>
      <c r="L17" s="18" t="s">
        <v>187</v>
      </c>
      <c r="M17" s="13" t="s">
        <v>188</v>
      </c>
      <c r="N17" s="18" t="s">
        <v>86</v>
      </c>
      <c r="O17" s="13" t="s">
        <v>148</v>
      </c>
    </row>
    <row r="18" customFormat="false" ht="57" hidden="false" customHeight="true" outlineLevel="0" collapsed="false">
      <c r="A18" s="18" t="s">
        <v>288</v>
      </c>
      <c r="B18" s="18" t="s">
        <v>511</v>
      </c>
      <c r="C18" s="18" t="s">
        <v>290</v>
      </c>
      <c r="D18" s="18" t="s">
        <v>144</v>
      </c>
      <c r="E18" s="18" t="s">
        <v>145</v>
      </c>
      <c r="F18" s="18" t="n">
        <v>3.5</v>
      </c>
      <c r="G18" s="18" t="n">
        <v>3</v>
      </c>
      <c r="H18" s="19" t="n">
        <v>95445</v>
      </c>
      <c r="I18" s="20" t="n">
        <v>332</v>
      </c>
      <c r="J18" s="21" t="n">
        <v>31.69</v>
      </c>
      <c r="K18" s="18" t="s">
        <v>155</v>
      </c>
      <c r="L18" s="18" t="s">
        <v>512</v>
      </c>
      <c r="M18" s="13" t="s">
        <v>513</v>
      </c>
      <c r="N18" s="18" t="s">
        <v>86</v>
      </c>
      <c r="O18" s="13" t="s">
        <v>148</v>
      </c>
    </row>
    <row r="19" customFormat="false" ht="57" hidden="false" customHeight="true" outlineLevel="0" collapsed="false">
      <c r="A19" s="18" t="s">
        <v>142</v>
      </c>
      <c r="B19" s="18" t="s">
        <v>189</v>
      </c>
      <c r="C19" s="18" t="s">
        <v>142</v>
      </c>
      <c r="D19" s="18" t="s">
        <v>144</v>
      </c>
      <c r="E19" s="18" t="s">
        <v>145</v>
      </c>
      <c r="F19" s="18" t="n">
        <v>3.5</v>
      </c>
      <c r="G19" s="18" t="n">
        <v>3</v>
      </c>
      <c r="H19" s="19" t="n">
        <v>87568</v>
      </c>
      <c r="I19" s="20" t="n">
        <v>332</v>
      </c>
      <c r="J19" s="21" t="n">
        <v>29.07</v>
      </c>
      <c r="K19" s="18" t="s">
        <v>145</v>
      </c>
      <c r="L19" s="18" t="s">
        <v>157</v>
      </c>
      <c r="M19" s="13" t="s">
        <v>190</v>
      </c>
      <c r="N19" s="18" t="s">
        <v>86</v>
      </c>
      <c r="O19" s="13" t="s">
        <v>148</v>
      </c>
    </row>
    <row r="20" customFormat="false" ht="45.75" hidden="false" customHeight="true" outlineLevel="0" collapsed="false">
      <c r="A20" s="18" t="s">
        <v>288</v>
      </c>
      <c r="B20" s="18" t="s">
        <v>514</v>
      </c>
      <c r="C20" s="18" t="s">
        <v>290</v>
      </c>
      <c r="D20" s="18" t="s">
        <v>178</v>
      </c>
      <c r="E20" s="18" t="s">
        <v>155</v>
      </c>
      <c r="F20" s="18" t="n">
        <v>4</v>
      </c>
      <c r="G20" s="18" t="n">
        <v>3.5</v>
      </c>
      <c r="H20" s="19" t="n">
        <v>80000</v>
      </c>
      <c r="I20" s="20" t="n">
        <v>351</v>
      </c>
      <c r="J20" s="21" t="n">
        <v>28.08</v>
      </c>
      <c r="K20" s="18" t="s">
        <v>155</v>
      </c>
      <c r="L20" s="18" t="s">
        <v>515</v>
      </c>
      <c r="M20" s="13" t="s">
        <v>516</v>
      </c>
      <c r="N20" s="18" t="s">
        <v>156</v>
      </c>
      <c r="O20" s="13" t="s">
        <v>159</v>
      </c>
    </row>
    <row r="21" customFormat="false" ht="45.75" hidden="false" customHeight="true" outlineLevel="0" collapsed="false">
      <c r="A21" s="18" t="s">
        <v>152</v>
      </c>
      <c r="B21" s="18" t="s">
        <v>177</v>
      </c>
      <c r="C21" s="18" t="s">
        <v>154</v>
      </c>
      <c r="D21" s="18" t="s">
        <v>178</v>
      </c>
      <c r="E21" s="18" t="s">
        <v>155</v>
      </c>
      <c r="F21" s="18" t="n">
        <v>3.5</v>
      </c>
      <c r="G21" s="18" t="n">
        <v>3.5</v>
      </c>
      <c r="H21" s="19" t="n">
        <v>80000</v>
      </c>
      <c r="I21" s="20" t="n">
        <v>351</v>
      </c>
      <c r="J21" s="21" t="n">
        <v>28.08</v>
      </c>
      <c r="K21" s="18" t="s">
        <v>145</v>
      </c>
      <c r="L21" s="18" t="s">
        <v>179</v>
      </c>
      <c r="M21" s="13" t="s">
        <v>180</v>
      </c>
      <c r="N21" s="18" t="s">
        <v>156</v>
      </c>
      <c r="O21" s="13" t="s">
        <v>159</v>
      </c>
    </row>
    <row r="22" customFormat="false" ht="57" hidden="false" customHeight="true" outlineLevel="0" collapsed="false">
      <c r="A22" s="18" t="s">
        <v>152</v>
      </c>
      <c r="B22" s="18" t="s">
        <v>196</v>
      </c>
      <c r="C22" s="18" t="s">
        <v>154</v>
      </c>
      <c r="D22" s="18" t="s">
        <v>144</v>
      </c>
      <c r="E22" s="18" t="s">
        <v>145</v>
      </c>
      <c r="F22" s="18" t="n">
        <v>3.5</v>
      </c>
      <c r="G22" s="18" t="n">
        <v>3.5</v>
      </c>
      <c r="H22" s="19" t="n">
        <v>81332</v>
      </c>
      <c r="I22" s="20" t="n">
        <v>332</v>
      </c>
      <c r="J22" s="21" t="n">
        <v>27</v>
      </c>
      <c r="K22" s="18" t="s">
        <v>145</v>
      </c>
      <c r="L22" s="18" t="s">
        <v>197</v>
      </c>
      <c r="M22" s="13" t="s">
        <v>198</v>
      </c>
      <c r="N22" s="18" t="s">
        <v>86</v>
      </c>
      <c r="O22" s="13" t="s">
        <v>148</v>
      </c>
    </row>
    <row r="23" customFormat="false" ht="57" hidden="false" customHeight="true" outlineLevel="0" collapsed="false">
      <c r="A23" s="18" t="s">
        <v>213</v>
      </c>
      <c r="B23" s="18" t="s">
        <v>214</v>
      </c>
      <c r="C23" s="18" t="s">
        <v>215</v>
      </c>
      <c r="D23" s="18" t="s">
        <v>144</v>
      </c>
      <c r="E23" s="18" t="s">
        <v>145</v>
      </c>
      <c r="F23" s="18" t="n">
        <v>3.5</v>
      </c>
      <c r="G23" s="18" t="n">
        <v>4</v>
      </c>
      <c r="H23" s="19" t="n">
        <v>71855</v>
      </c>
      <c r="I23" s="20" t="n">
        <v>332</v>
      </c>
      <c r="J23" s="21" t="n">
        <v>23.86</v>
      </c>
      <c r="K23" s="18" t="s">
        <v>145</v>
      </c>
      <c r="L23" s="18" t="s">
        <v>172</v>
      </c>
      <c r="M23" s="13" t="s">
        <v>216</v>
      </c>
      <c r="N23" s="18" t="s">
        <v>86</v>
      </c>
      <c r="O23" s="13" t="s">
        <v>148</v>
      </c>
    </row>
    <row r="24" customFormat="false" ht="57" hidden="false" customHeight="true" outlineLevel="0" collapsed="false">
      <c r="A24" s="18" t="s">
        <v>152</v>
      </c>
      <c r="B24" s="18" t="s">
        <v>517</v>
      </c>
      <c r="C24" s="18" t="s">
        <v>154</v>
      </c>
      <c r="D24" s="18" t="s">
        <v>144</v>
      </c>
      <c r="E24" s="18" t="s">
        <v>145</v>
      </c>
      <c r="F24" s="18" t="n">
        <v>3.5</v>
      </c>
      <c r="G24" s="18" t="n">
        <v>3.5</v>
      </c>
      <c r="H24" s="19" t="n">
        <v>70870</v>
      </c>
      <c r="I24" s="20" t="n">
        <v>332</v>
      </c>
      <c r="J24" s="21" t="n">
        <v>23.53</v>
      </c>
      <c r="K24" s="18" t="s">
        <v>155</v>
      </c>
      <c r="L24" s="18" t="s">
        <v>150</v>
      </c>
      <c r="M24" s="13" t="s">
        <v>518</v>
      </c>
      <c r="N24" s="18" t="s">
        <v>86</v>
      </c>
      <c r="O24" s="13" t="s">
        <v>148</v>
      </c>
    </row>
    <row r="25" customFormat="false" ht="57" hidden="false" customHeight="true" outlineLevel="0" collapsed="false">
      <c r="A25" s="18" t="s">
        <v>213</v>
      </c>
      <c r="B25" s="18" t="s">
        <v>519</v>
      </c>
      <c r="C25" s="18" t="s">
        <v>215</v>
      </c>
      <c r="D25" s="18" t="s">
        <v>144</v>
      </c>
      <c r="E25" s="18" t="s">
        <v>145</v>
      </c>
      <c r="F25" s="18" t="n">
        <v>3.5</v>
      </c>
      <c r="G25" s="18" t="n">
        <v>3</v>
      </c>
      <c r="H25" s="19" t="n">
        <v>67123</v>
      </c>
      <c r="I25" s="20" t="n">
        <v>332</v>
      </c>
      <c r="J25" s="21" t="n">
        <v>22.28</v>
      </c>
      <c r="K25" s="18" t="s">
        <v>155</v>
      </c>
      <c r="L25" s="18" t="s">
        <v>497</v>
      </c>
      <c r="M25" s="13" t="s">
        <v>520</v>
      </c>
      <c r="N25" s="18" t="s">
        <v>86</v>
      </c>
      <c r="O25" s="13" t="s">
        <v>148</v>
      </c>
    </row>
    <row r="26" customFormat="false" ht="57" hidden="false" customHeight="true" outlineLevel="0" collapsed="false">
      <c r="A26" s="18" t="s">
        <v>250</v>
      </c>
      <c r="B26" s="18" t="s">
        <v>521</v>
      </c>
      <c r="C26" s="18" t="s">
        <v>522</v>
      </c>
      <c r="D26" s="18" t="s">
        <v>144</v>
      </c>
      <c r="E26" s="18" t="s">
        <v>145</v>
      </c>
      <c r="F26" s="18" t="n">
        <v>3</v>
      </c>
      <c r="G26" s="18" t="n">
        <v>3.5</v>
      </c>
      <c r="H26" s="19" t="n">
        <v>66523</v>
      </c>
      <c r="I26" s="20" t="n">
        <v>332</v>
      </c>
      <c r="J26" s="21" t="n">
        <v>22.09</v>
      </c>
      <c r="K26" s="18" t="s">
        <v>155</v>
      </c>
      <c r="L26" s="18" t="s">
        <v>523</v>
      </c>
      <c r="M26" s="13" t="s">
        <v>524</v>
      </c>
      <c r="N26" s="18" t="s">
        <v>86</v>
      </c>
      <c r="O26" s="13" t="s">
        <v>148</v>
      </c>
    </row>
    <row r="27" customFormat="false" ht="45.75" hidden="false" customHeight="true" outlineLevel="0" collapsed="false">
      <c r="A27" s="18" t="s">
        <v>407</v>
      </c>
      <c r="B27" s="18" t="s">
        <v>525</v>
      </c>
      <c r="C27" s="18" t="s">
        <v>526</v>
      </c>
      <c r="D27" s="18" t="s">
        <v>144</v>
      </c>
      <c r="E27" s="18" t="s">
        <v>155</v>
      </c>
      <c r="F27" s="18" t="n">
        <v>3.5</v>
      </c>
      <c r="G27" s="18" t="n">
        <v>3.5</v>
      </c>
      <c r="H27" s="19" t="n">
        <v>62698</v>
      </c>
      <c r="I27" s="20" t="n">
        <v>351</v>
      </c>
      <c r="J27" s="21" t="n">
        <v>22.01</v>
      </c>
      <c r="K27" s="18" t="s">
        <v>155</v>
      </c>
      <c r="L27" s="18" t="s">
        <v>527</v>
      </c>
      <c r="M27" s="13" t="s">
        <v>528</v>
      </c>
      <c r="N27" s="18" t="s">
        <v>156</v>
      </c>
      <c r="O27" s="13" t="s">
        <v>159</v>
      </c>
    </row>
    <row r="28" customFormat="false" ht="57" hidden="false" customHeight="true" outlineLevel="0" collapsed="false">
      <c r="A28" s="18" t="s">
        <v>245</v>
      </c>
      <c r="B28" s="18" t="s">
        <v>246</v>
      </c>
      <c r="C28" s="18" t="s">
        <v>247</v>
      </c>
      <c r="D28" s="18" t="s">
        <v>144</v>
      </c>
      <c r="E28" s="18" t="s">
        <v>145</v>
      </c>
      <c r="F28" s="18" t="n">
        <v>3</v>
      </c>
      <c r="G28" s="18" t="n">
        <v>3.5</v>
      </c>
      <c r="H28" s="19" t="n">
        <v>60060</v>
      </c>
      <c r="I28" s="20" t="n">
        <v>332</v>
      </c>
      <c r="J28" s="21" t="n">
        <v>19.94</v>
      </c>
      <c r="K28" s="18" t="s">
        <v>145</v>
      </c>
      <c r="L28" s="18" t="s">
        <v>248</v>
      </c>
      <c r="M28" s="13" t="s">
        <v>249</v>
      </c>
      <c r="N28" s="18" t="s">
        <v>86</v>
      </c>
      <c r="O28" s="13" t="s">
        <v>148</v>
      </c>
    </row>
    <row r="29" customFormat="false" ht="45.75" hidden="false" customHeight="true" outlineLevel="0" collapsed="false">
      <c r="A29" s="18" t="s">
        <v>191</v>
      </c>
      <c r="B29" s="18" t="s">
        <v>192</v>
      </c>
      <c r="C29" s="18" t="s">
        <v>193</v>
      </c>
      <c r="D29" s="18" t="s">
        <v>144</v>
      </c>
      <c r="E29" s="18" t="s">
        <v>155</v>
      </c>
      <c r="F29" s="18" t="n">
        <v>3</v>
      </c>
      <c r="G29" s="18" t="n">
        <v>4</v>
      </c>
      <c r="H29" s="19" t="n">
        <v>56505</v>
      </c>
      <c r="I29" s="20" t="n">
        <v>351</v>
      </c>
      <c r="J29" s="21" t="n">
        <v>19.83</v>
      </c>
      <c r="K29" s="18" t="s">
        <v>145</v>
      </c>
      <c r="L29" s="18" t="s">
        <v>194</v>
      </c>
      <c r="M29" s="13" t="s">
        <v>195</v>
      </c>
      <c r="N29" s="18" t="s">
        <v>156</v>
      </c>
      <c r="O29" s="13" t="s">
        <v>159</v>
      </c>
    </row>
    <row r="30" customFormat="false" ht="57" hidden="false" customHeight="true" outlineLevel="0" collapsed="false">
      <c r="A30" s="18" t="s">
        <v>250</v>
      </c>
      <c r="B30" s="18" t="s">
        <v>529</v>
      </c>
      <c r="C30" s="18" t="s">
        <v>252</v>
      </c>
      <c r="D30" s="18" t="s">
        <v>144</v>
      </c>
      <c r="E30" s="18" t="s">
        <v>145</v>
      </c>
      <c r="F30" s="18" t="n">
        <v>3.5</v>
      </c>
      <c r="G30" s="18" t="n">
        <v>3.5</v>
      </c>
      <c r="H30" s="19" t="n">
        <v>59133</v>
      </c>
      <c r="I30" s="20" t="n">
        <v>332</v>
      </c>
      <c r="J30" s="21" t="n">
        <v>19.63</v>
      </c>
      <c r="K30" s="18" t="s">
        <v>155</v>
      </c>
      <c r="L30" s="18" t="s">
        <v>530</v>
      </c>
      <c r="M30" s="13" t="s">
        <v>531</v>
      </c>
      <c r="N30" s="18" t="s">
        <v>86</v>
      </c>
      <c r="O30" s="13" t="s">
        <v>148</v>
      </c>
    </row>
    <row r="31" customFormat="false" ht="57" hidden="false" customHeight="true" outlineLevel="0" collapsed="false">
      <c r="A31" s="18" t="s">
        <v>250</v>
      </c>
      <c r="B31" s="18" t="s">
        <v>251</v>
      </c>
      <c r="C31" s="18" t="s">
        <v>252</v>
      </c>
      <c r="D31" s="18" t="s">
        <v>144</v>
      </c>
      <c r="E31" s="18" t="s">
        <v>145</v>
      </c>
      <c r="F31" s="18" t="n">
        <v>3.5</v>
      </c>
      <c r="G31" s="18" t="n">
        <v>3</v>
      </c>
      <c r="H31" s="19" t="n">
        <v>57828</v>
      </c>
      <c r="I31" s="20" t="n">
        <v>332</v>
      </c>
      <c r="J31" s="21" t="n">
        <v>19.2</v>
      </c>
      <c r="K31" s="18" t="s">
        <v>145</v>
      </c>
      <c r="L31" s="18" t="s">
        <v>253</v>
      </c>
      <c r="M31" s="13" t="s">
        <v>254</v>
      </c>
      <c r="N31" s="18" t="s">
        <v>86</v>
      </c>
      <c r="O31" s="13" t="s">
        <v>148</v>
      </c>
    </row>
    <row r="32" customFormat="false" ht="57" hidden="false" customHeight="true" outlineLevel="0" collapsed="false">
      <c r="A32" s="18" t="s">
        <v>152</v>
      </c>
      <c r="B32" s="18" t="s">
        <v>532</v>
      </c>
      <c r="C32" s="18" t="s">
        <v>154</v>
      </c>
      <c r="D32" s="18" t="s">
        <v>144</v>
      </c>
      <c r="E32" s="18" t="s">
        <v>145</v>
      </c>
      <c r="F32" s="18" t="n">
        <v>3.5</v>
      </c>
      <c r="G32" s="18" t="n">
        <v>3</v>
      </c>
      <c r="H32" s="19" t="n">
        <v>57630</v>
      </c>
      <c r="I32" s="20" t="n">
        <v>332</v>
      </c>
      <c r="J32" s="21" t="n">
        <v>19.13</v>
      </c>
      <c r="K32" s="18" t="s">
        <v>155</v>
      </c>
      <c r="L32" s="18" t="s">
        <v>533</v>
      </c>
      <c r="M32" s="13" t="s">
        <v>534</v>
      </c>
      <c r="N32" s="18" t="s">
        <v>86</v>
      </c>
      <c r="O32" s="13" t="s">
        <v>148</v>
      </c>
    </row>
    <row r="33" customFormat="false" ht="45.75" hidden="false" customHeight="true" outlineLevel="0" collapsed="false">
      <c r="A33" s="18" t="s">
        <v>199</v>
      </c>
      <c r="B33" s="18" t="s">
        <v>200</v>
      </c>
      <c r="C33" s="18" t="s">
        <v>201</v>
      </c>
      <c r="D33" s="18" t="s">
        <v>144</v>
      </c>
      <c r="E33" s="18" t="s">
        <v>155</v>
      </c>
      <c r="F33" s="18" t="n">
        <v>3.5</v>
      </c>
      <c r="G33" s="18" t="n">
        <v>3.5</v>
      </c>
      <c r="H33" s="19" t="n">
        <v>52151</v>
      </c>
      <c r="I33" s="20" t="n">
        <v>351</v>
      </c>
      <c r="J33" s="21" t="n">
        <v>18.31</v>
      </c>
      <c r="K33" s="18" t="s">
        <v>145</v>
      </c>
      <c r="L33" s="18" t="s">
        <v>202</v>
      </c>
      <c r="M33" s="13" t="s">
        <v>203</v>
      </c>
      <c r="N33" s="18" t="s">
        <v>156</v>
      </c>
      <c r="O33" s="13" t="s">
        <v>159</v>
      </c>
    </row>
    <row r="34" customFormat="false" ht="57" hidden="false" customHeight="true" outlineLevel="0" collapsed="false">
      <c r="A34" s="18" t="s">
        <v>259</v>
      </c>
      <c r="B34" s="18" t="s">
        <v>260</v>
      </c>
      <c r="C34" s="18" t="s">
        <v>261</v>
      </c>
      <c r="D34" s="18" t="s">
        <v>144</v>
      </c>
      <c r="E34" s="18" t="s">
        <v>145</v>
      </c>
      <c r="F34" s="18" t="n">
        <v>3.5</v>
      </c>
      <c r="G34" s="18" t="n">
        <v>3.5</v>
      </c>
      <c r="H34" s="19" t="n">
        <v>53306</v>
      </c>
      <c r="I34" s="20" t="n">
        <v>332</v>
      </c>
      <c r="J34" s="21" t="n">
        <v>17.7</v>
      </c>
      <c r="K34" s="18" t="s">
        <v>145</v>
      </c>
      <c r="L34" s="18" t="s">
        <v>150</v>
      </c>
      <c r="M34" s="13" t="s">
        <v>262</v>
      </c>
      <c r="N34" s="18" t="s">
        <v>86</v>
      </c>
      <c r="O34" s="13" t="s">
        <v>148</v>
      </c>
    </row>
    <row r="35" customFormat="false" ht="45.75" hidden="false" customHeight="true" outlineLevel="0" collapsed="false">
      <c r="A35" s="18" t="s">
        <v>204</v>
      </c>
      <c r="B35" s="18" t="s">
        <v>205</v>
      </c>
      <c r="C35" s="18" t="s">
        <v>206</v>
      </c>
      <c r="D35" s="18" t="s">
        <v>144</v>
      </c>
      <c r="E35" s="18" t="s">
        <v>155</v>
      </c>
      <c r="F35" s="18" t="n">
        <v>3.5</v>
      </c>
      <c r="G35" s="18" t="n">
        <v>3.5</v>
      </c>
      <c r="H35" s="19" t="n">
        <v>50096</v>
      </c>
      <c r="I35" s="20" t="n">
        <v>351</v>
      </c>
      <c r="J35" s="21" t="n">
        <v>17.58</v>
      </c>
      <c r="K35" s="18" t="s">
        <v>145</v>
      </c>
      <c r="L35" s="18" t="s">
        <v>146</v>
      </c>
      <c r="M35" s="13" t="s">
        <v>207</v>
      </c>
      <c r="N35" s="18" t="s">
        <v>156</v>
      </c>
      <c r="O35" s="13" t="s">
        <v>159</v>
      </c>
    </row>
    <row r="36" customFormat="false" ht="57" hidden="false" customHeight="true" outlineLevel="0" collapsed="false">
      <c r="A36" s="18" t="s">
        <v>288</v>
      </c>
      <c r="B36" s="18" t="s">
        <v>535</v>
      </c>
      <c r="C36" s="18" t="s">
        <v>536</v>
      </c>
      <c r="D36" s="18" t="s">
        <v>144</v>
      </c>
      <c r="E36" s="18" t="s">
        <v>145</v>
      </c>
      <c r="F36" s="18" t="n">
        <v>3.5</v>
      </c>
      <c r="G36" s="18" t="n">
        <v>3.5</v>
      </c>
      <c r="H36" s="19" t="n">
        <v>52939</v>
      </c>
      <c r="I36" s="20" t="n">
        <v>332</v>
      </c>
      <c r="J36" s="21" t="n">
        <v>17.58</v>
      </c>
      <c r="K36" s="18" t="s">
        <v>155</v>
      </c>
      <c r="L36" s="18" t="s">
        <v>537</v>
      </c>
      <c r="M36" s="13" t="s">
        <v>538</v>
      </c>
      <c r="N36" s="18" t="s">
        <v>86</v>
      </c>
      <c r="O36" s="13" t="s">
        <v>148</v>
      </c>
    </row>
    <row r="37" customFormat="false" ht="45.75" hidden="false" customHeight="true" outlineLevel="0" collapsed="false">
      <c r="A37" s="18" t="s">
        <v>208</v>
      </c>
      <c r="B37" s="18" t="s">
        <v>209</v>
      </c>
      <c r="C37" s="18" t="s">
        <v>210</v>
      </c>
      <c r="D37" s="18" t="s">
        <v>144</v>
      </c>
      <c r="E37" s="18" t="s">
        <v>155</v>
      </c>
      <c r="F37" s="18" t="n">
        <v>3.5</v>
      </c>
      <c r="G37" s="18" t="n">
        <v>4</v>
      </c>
      <c r="H37" s="19" t="n">
        <v>48699</v>
      </c>
      <c r="I37" s="20" t="n">
        <v>351</v>
      </c>
      <c r="J37" s="21" t="n">
        <v>17.09</v>
      </c>
      <c r="K37" s="18" t="s">
        <v>145</v>
      </c>
      <c r="L37" s="18" t="s">
        <v>211</v>
      </c>
      <c r="M37" s="13" t="s">
        <v>212</v>
      </c>
      <c r="N37" s="18" t="s">
        <v>156</v>
      </c>
      <c r="O37" s="13" t="s">
        <v>159</v>
      </c>
    </row>
    <row r="38" customFormat="false" ht="45.75" hidden="false" customHeight="true" outlineLevel="0" collapsed="false">
      <c r="A38" s="18" t="s">
        <v>407</v>
      </c>
      <c r="B38" s="18" t="s">
        <v>539</v>
      </c>
      <c r="C38" s="18" t="s">
        <v>540</v>
      </c>
      <c r="D38" s="18" t="s">
        <v>144</v>
      </c>
      <c r="E38" s="18" t="s">
        <v>155</v>
      </c>
      <c r="F38" s="18" t="n">
        <v>3.5</v>
      </c>
      <c r="G38" s="18" t="n">
        <v>3.5</v>
      </c>
      <c r="H38" s="19" t="n">
        <v>48672</v>
      </c>
      <c r="I38" s="20" t="n">
        <v>351</v>
      </c>
      <c r="J38" s="21" t="n">
        <v>17.08</v>
      </c>
      <c r="K38" s="18" t="s">
        <v>155</v>
      </c>
      <c r="L38" s="18" t="s">
        <v>537</v>
      </c>
      <c r="M38" s="13" t="s">
        <v>541</v>
      </c>
      <c r="N38" s="18" t="s">
        <v>156</v>
      </c>
      <c r="O38" s="13" t="s">
        <v>159</v>
      </c>
    </row>
    <row r="39" customFormat="false" ht="57" hidden="false" customHeight="true" outlineLevel="0" collapsed="false">
      <c r="A39" s="18" t="s">
        <v>250</v>
      </c>
      <c r="B39" s="18" t="s">
        <v>263</v>
      </c>
      <c r="C39" s="18" t="s">
        <v>252</v>
      </c>
      <c r="D39" s="18" t="s">
        <v>144</v>
      </c>
      <c r="E39" s="18" t="s">
        <v>145</v>
      </c>
      <c r="F39" s="18" t="n">
        <v>3.5</v>
      </c>
      <c r="G39" s="18" t="n">
        <v>4</v>
      </c>
      <c r="H39" s="19" t="n">
        <v>50482</v>
      </c>
      <c r="I39" s="20" t="n">
        <v>332</v>
      </c>
      <c r="J39" s="21" t="n">
        <v>16.76</v>
      </c>
      <c r="K39" s="18" t="s">
        <v>145</v>
      </c>
      <c r="L39" s="18" t="s">
        <v>187</v>
      </c>
      <c r="M39" s="13" t="s">
        <v>264</v>
      </c>
      <c r="N39" s="18" t="s">
        <v>86</v>
      </c>
      <c r="O39" s="13" t="s">
        <v>148</v>
      </c>
    </row>
    <row r="40" customFormat="false" ht="57" hidden="false" customHeight="true" outlineLevel="0" collapsed="false">
      <c r="A40" s="18" t="s">
        <v>265</v>
      </c>
      <c r="B40" s="18" t="s">
        <v>266</v>
      </c>
      <c r="C40" s="18" t="s">
        <v>267</v>
      </c>
      <c r="D40" s="18" t="s">
        <v>144</v>
      </c>
      <c r="E40" s="18" t="s">
        <v>145</v>
      </c>
      <c r="F40" s="18" t="n">
        <v>3.5</v>
      </c>
      <c r="G40" s="18" t="n">
        <v>3.5</v>
      </c>
      <c r="H40" s="19" t="n">
        <v>49913</v>
      </c>
      <c r="I40" s="20" t="n">
        <v>332</v>
      </c>
      <c r="J40" s="21" t="n">
        <v>16.57</v>
      </c>
      <c r="K40" s="18" t="s">
        <v>145</v>
      </c>
      <c r="L40" s="18" t="s">
        <v>268</v>
      </c>
      <c r="M40" s="13" t="s">
        <v>269</v>
      </c>
      <c r="N40" s="18" t="s">
        <v>86</v>
      </c>
      <c r="O40" s="13" t="s">
        <v>148</v>
      </c>
    </row>
    <row r="41" customFormat="false" ht="45.75" hidden="false" customHeight="true" outlineLevel="0" collapsed="false">
      <c r="A41" s="18" t="s">
        <v>217</v>
      </c>
      <c r="B41" s="18" t="s">
        <v>218</v>
      </c>
      <c r="C41" s="18" t="s">
        <v>219</v>
      </c>
      <c r="D41" s="18" t="s">
        <v>144</v>
      </c>
      <c r="E41" s="18" t="s">
        <v>155</v>
      </c>
      <c r="F41" s="18" t="n">
        <v>3.5</v>
      </c>
      <c r="G41" s="18" t="n">
        <v>3.5</v>
      </c>
      <c r="H41" s="19" t="n">
        <v>45119</v>
      </c>
      <c r="I41" s="20" t="n">
        <v>351</v>
      </c>
      <c r="J41" s="21" t="n">
        <v>15.84</v>
      </c>
      <c r="K41" s="18" t="s">
        <v>145</v>
      </c>
      <c r="L41" s="18" t="s">
        <v>220</v>
      </c>
      <c r="M41" s="13" t="s">
        <v>221</v>
      </c>
      <c r="N41" s="18" t="s">
        <v>156</v>
      </c>
      <c r="O41" s="13" t="s">
        <v>159</v>
      </c>
    </row>
    <row r="42" customFormat="false" ht="45.75" hidden="false" customHeight="true" outlineLevel="0" collapsed="false">
      <c r="A42" s="18" t="s">
        <v>250</v>
      </c>
      <c r="B42" s="18" t="s">
        <v>542</v>
      </c>
      <c r="C42" s="18" t="s">
        <v>319</v>
      </c>
      <c r="D42" s="18" t="s">
        <v>144</v>
      </c>
      <c r="E42" s="18" t="s">
        <v>155</v>
      </c>
      <c r="F42" s="18" t="n">
        <v>3.5</v>
      </c>
      <c r="G42" s="18" t="n">
        <v>3.5</v>
      </c>
      <c r="H42" s="19" t="n">
        <v>45000</v>
      </c>
      <c r="I42" s="20" t="n">
        <v>351</v>
      </c>
      <c r="J42" s="21" t="n">
        <v>15.79</v>
      </c>
      <c r="K42" s="18" t="s">
        <v>155</v>
      </c>
      <c r="L42" s="18" t="s">
        <v>543</v>
      </c>
      <c r="M42" s="13" t="s">
        <v>544</v>
      </c>
      <c r="N42" s="18" t="s">
        <v>156</v>
      </c>
      <c r="O42" s="13" t="s">
        <v>159</v>
      </c>
    </row>
    <row r="43" customFormat="false" ht="45.75" hidden="false" customHeight="true" outlineLevel="0" collapsed="false">
      <c r="A43" s="18" t="s">
        <v>250</v>
      </c>
      <c r="B43" s="18" t="s">
        <v>545</v>
      </c>
      <c r="C43" s="18" t="s">
        <v>319</v>
      </c>
      <c r="D43" s="18" t="s">
        <v>144</v>
      </c>
      <c r="E43" s="18" t="s">
        <v>155</v>
      </c>
      <c r="F43" s="18" t="n">
        <v>3.5</v>
      </c>
      <c r="G43" s="18" t="n">
        <v>3.5</v>
      </c>
      <c r="H43" s="19" t="n">
        <v>45000</v>
      </c>
      <c r="I43" s="20" t="n">
        <v>351</v>
      </c>
      <c r="J43" s="21" t="n">
        <v>15.79</v>
      </c>
      <c r="K43" s="18" t="s">
        <v>155</v>
      </c>
      <c r="L43" s="18" t="s">
        <v>503</v>
      </c>
      <c r="M43" s="13" t="s">
        <v>544</v>
      </c>
      <c r="N43" s="18" t="s">
        <v>156</v>
      </c>
      <c r="O43" s="13" t="s">
        <v>159</v>
      </c>
    </row>
    <row r="44" customFormat="false" ht="45.75" hidden="false" customHeight="true" outlineLevel="0" collapsed="false">
      <c r="A44" s="18" t="s">
        <v>222</v>
      </c>
      <c r="B44" s="18" t="s">
        <v>223</v>
      </c>
      <c r="C44" s="18" t="s">
        <v>224</v>
      </c>
      <c r="D44" s="18" t="s">
        <v>144</v>
      </c>
      <c r="E44" s="18" t="s">
        <v>155</v>
      </c>
      <c r="F44" s="18" t="n">
        <v>3.5</v>
      </c>
      <c r="G44" s="18" t="n">
        <v>5</v>
      </c>
      <c r="H44" s="19" t="n">
        <v>45000</v>
      </c>
      <c r="I44" s="20" t="n">
        <v>351</v>
      </c>
      <c r="J44" s="21" t="n">
        <v>15.79</v>
      </c>
      <c r="K44" s="18" t="s">
        <v>145</v>
      </c>
      <c r="L44" s="18" t="s">
        <v>225</v>
      </c>
      <c r="M44" s="13" t="s">
        <v>226</v>
      </c>
      <c r="N44" s="18" t="s">
        <v>156</v>
      </c>
      <c r="O44" s="13" t="s">
        <v>159</v>
      </c>
    </row>
    <row r="45" customFormat="false" ht="45.75" hidden="false" customHeight="true" outlineLevel="0" collapsed="false">
      <c r="A45" s="18" t="s">
        <v>227</v>
      </c>
      <c r="B45" s="18" t="s">
        <v>228</v>
      </c>
      <c r="C45" s="18" t="s">
        <v>229</v>
      </c>
      <c r="D45" s="18" t="s">
        <v>144</v>
      </c>
      <c r="E45" s="18" t="s">
        <v>155</v>
      </c>
      <c r="F45" s="18" t="n">
        <v>4</v>
      </c>
      <c r="G45" s="18" t="n">
        <v>3</v>
      </c>
      <c r="H45" s="19" t="n">
        <v>45000</v>
      </c>
      <c r="I45" s="20" t="n">
        <v>351</v>
      </c>
      <c r="J45" s="21" t="n">
        <v>15.79</v>
      </c>
      <c r="K45" s="18" t="s">
        <v>145</v>
      </c>
      <c r="L45" s="18" t="s">
        <v>230</v>
      </c>
      <c r="M45" s="13" t="s">
        <v>231</v>
      </c>
      <c r="N45" s="18" t="s">
        <v>156</v>
      </c>
      <c r="O45" s="13" t="s">
        <v>159</v>
      </c>
    </row>
    <row r="46" customFormat="false" ht="45.75" hidden="false" customHeight="true" outlineLevel="0" collapsed="false">
      <c r="A46" s="18" t="s">
        <v>546</v>
      </c>
      <c r="B46" s="18" t="s">
        <v>547</v>
      </c>
      <c r="C46" s="18" t="s">
        <v>548</v>
      </c>
      <c r="D46" s="18" t="s">
        <v>144</v>
      </c>
      <c r="E46" s="18" t="s">
        <v>155</v>
      </c>
      <c r="F46" s="18" t="n">
        <v>3.5</v>
      </c>
      <c r="G46" s="18" t="n">
        <v>3</v>
      </c>
      <c r="H46" s="19" t="n">
        <v>45000</v>
      </c>
      <c r="I46" s="20" t="n">
        <v>351</v>
      </c>
      <c r="J46" s="21" t="n">
        <v>15.79</v>
      </c>
      <c r="K46" s="18" t="s">
        <v>155</v>
      </c>
      <c r="L46" s="18" t="s">
        <v>497</v>
      </c>
      <c r="M46" s="13" t="s">
        <v>549</v>
      </c>
      <c r="N46" s="18" t="s">
        <v>156</v>
      </c>
      <c r="O46" s="13" t="s">
        <v>159</v>
      </c>
    </row>
    <row r="47" customFormat="false" ht="45.75" hidden="false" customHeight="true" outlineLevel="0" collapsed="false">
      <c r="A47" s="18" t="s">
        <v>232</v>
      </c>
      <c r="B47" s="18" t="s">
        <v>233</v>
      </c>
      <c r="C47" s="18" t="s">
        <v>234</v>
      </c>
      <c r="D47" s="18" t="s">
        <v>144</v>
      </c>
      <c r="E47" s="18" t="s">
        <v>155</v>
      </c>
      <c r="F47" s="18" t="n">
        <v>4</v>
      </c>
      <c r="G47" s="18" t="n">
        <v>3.5</v>
      </c>
      <c r="H47" s="19" t="n">
        <v>45000</v>
      </c>
      <c r="I47" s="20" t="n">
        <v>351</v>
      </c>
      <c r="J47" s="21" t="n">
        <v>15.79</v>
      </c>
      <c r="K47" s="18" t="s">
        <v>145</v>
      </c>
      <c r="L47" s="18" t="s">
        <v>235</v>
      </c>
      <c r="M47" s="13" t="s">
        <v>236</v>
      </c>
      <c r="N47" s="18" t="s">
        <v>156</v>
      </c>
      <c r="O47" s="13" t="s">
        <v>159</v>
      </c>
    </row>
    <row r="48" customFormat="false" ht="45.75" hidden="false" customHeight="true" outlineLevel="0" collapsed="false">
      <c r="A48" s="18" t="s">
        <v>550</v>
      </c>
      <c r="B48" s="18" t="s">
        <v>551</v>
      </c>
      <c r="C48" s="18" t="s">
        <v>552</v>
      </c>
      <c r="D48" s="18" t="s">
        <v>144</v>
      </c>
      <c r="E48" s="18" t="s">
        <v>155</v>
      </c>
      <c r="F48" s="18" t="n">
        <v>4</v>
      </c>
      <c r="G48" s="18" t="n">
        <v>3.5</v>
      </c>
      <c r="H48" s="19" t="n">
        <v>44606</v>
      </c>
      <c r="I48" s="20" t="n">
        <v>351</v>
      </c>
      <c r="J48" s="21" t="n">
        <v>15.66</v>
      </c>
      <c r="K48" s="18" t="s">
        <v>155</v>
      </c>
      <c r="L48" s="18" t="s">
        <v>553</v>
      </c>
      <c r="M48" s="13" t="s">
        <v>554</v>
      </c>
      <c r="N48" s="18" t="s">
        <v>156</v>
      </c>
      <c r="O48" s="13" t="s">
        <v>159</v>
      </c>
    </row>
    <row r="49" customFormat="false" ht="45.75" hidden="false" customHeight="true" outlineLevel="0" collapsed="false">
      <c r="A49" s="18" t="s">
        <v>237</v>
      </c>
      <c r="B49" s="18" t="s">
        <v>238</v>
      </c>
      <c r="C49" s="18" t="s">
        <v>239</v>
      </c>
      <c r="D49" s="18" t="s">
        <v>144</v>
      </c>
      <c r="E49" s="18" t="s">
        <v>155</v>
      </c>
      <c r="F49" s="18" t="n">
        <v>3.5</v>
      </c>
      <c r="G49" s="18" t="n">
        <v>3.5</v>
      </c>
      <c r="H49" s="19" t="n">
        <v>43003</v>
      </c>
      <c r="I49" s="20" t="n">
        <v>351</v>
      </c>
      <c r="J49" s="21" t="n">
        <v>15.09</v>
      </c>
      <c r="K49" s="18" t="s">
        <v>145</v>
      </c>
      <c r="L49" s="18" t="s">
        <v>240</v>
      </c>
      <c r="M49" s="13" t="s">
        <v>241</v>
      </c>
      <c r="N49" s="18" t="s">
        <v>156</v>
      </c>
      <c r="O49" s="13" t="s">
        <v>159</v>
      </c>
    </row>
    <row r="50" customFormat="false" ht="45.75" hidden="false" customHeight="true" outlineLevel="0" collapsed="false">
      <c r="A50" s="18" t="s">
        <v>217</v>
      </c>
      <c r="B50" s="18" t="s">
        <v>242</v>
      </c>
      <c r="C50" s="18" t="s">
        <v>219</v>
      </c>
      <c r="D50" s="18" t="s">
        <v>144</v>
      </c>
      <c r="E50" s="18" t="s">
        <v>155</v>
      </c>
      <c r="F50" s="18" t="n">
        <v>4</v>
      </c>
      <c r="G50" s="18" t="n">
        <v>3.5</v>
      </c>
      <c r="H50" s="19" t="n">
        <v>41074</v>
      </c>
      <c r="I50" s="20" t="n">
        <v>351</v>
      </c>
      <c r="J50" s="21" t="n">
        <v>14.42</v>
      </c>
      <c r="K50" s="18" t="s">
        <v>145</v>
      </c>
      <c r="L50" s="18" t="s">
        <v>243</v>
      </c>
      <c r="M50" s="13" t="s">
        <v>244</v>
      </c>
      <c r="N50" s="18" t="s">
        <v>156</v>
      </c>
      <c r="O50" s="13" t="s">
        <v>159</v>
      </c>
    </row>
    <row r="51" customFormat="false" ht="45.75" hidden="false" customHeight="true" outlineLevel="0" collapsed="false">
      <c r="A51" s="18" t="s">
        <v>142</v>
      </c>
      <c r="B51" s="18" t="s">
        <v>555</v>
      </c>
      <c r="C51" s="18" t="s">
        <v>142</v>
      </c>
      <c r="D51" s="18" t="s">
        <v>178</v>
      </c>
      <c r="E51" s="18" t="s">
        <v>155</v>
      </c>
      <c r="F51" s="18" t="n">
        <v>3.5</v>
      </c>
      <c r="G51" s="18" t="n">
        <v>3.5</v>
      </c>
      <c r="H51" s="19" t="n">
        <v>40962</v>
      </c>
      <c r="I51" s="20" t="n">
        <v>351</v>
      </c>
      <c r="J51" s="21" t="n">
        <v>14.38</v>
      </c>
      <c r="K51" s="18" t="s">
        <v>155</v>
      </c>
      <c r="L51" s="18" t="s">
        <v>556</v>
      </c>
      <c r="M51" s="13" t="s">
        <v>557</v>
      </c>
      <c r="N51" s="18" t="s">
        <v>156</v>
      </c>
      <c r="O51" s="13" t="s">
        <v>159</v>
      </c>
    </row>
    <row r="52" customFormat="false" ht="57" hidden="false" customHeight="true" outlineLevel="0" collapsed="false">
      <c r="A52" s="18" t="s">
        <v>250</v>
      </c>
      <c r="B52" s="18" t="s">
        <v>273</v>
      </c>
      <c r="C52" s="18" t="s">
        <v>252</v>
      </c>
      <c r="D52" s="18" t="s">
        <v>144</v>
      </c>
      <c r="E52" s="18" t="s">
        <v>145</v>
      </c>
      <c r="F52" s="18" t="n">
        <v>3</v>
      </c>
      <c r="G52" s="18" t="n">
        <v>3.5</v>
      </c>
      <c r="H52" s="19" t="n">
        <v>42434</v>
      </c>
      <c r="I52" s="20" t="n">
        <v>332</v>
      </c>
      <c r="J52" s="21" t="n">
        <v>14.09</v>
      </c>
      <c r="K52" s="18" t="s">
        <v>145</v>
      </c>
      <c r="L52" s="18" t="s">
        <v>274</v>
      </c>
      <c r="M52" s="13" t="s">
        <v>275</v>
      </c>
      <c r="N52" s="18" t="s">
        <v>86</v>
      </c>
      <c r="O52" s="13" t="s">
        <v>148</v>
      </c>
    </row>
    <row r="53" customFormat="false" ht="57" hidden="false" customHeight="true" outlineLevel="0" collapsed="false">
      <c r="A53" s="18" t="s">
        <v>152</v>
      </c>
      <c r="B53" s="18" t="s">
        <v>558</v>
      </c>
      <c r="C53" s="18" t="s">
        <v>154</v>
      </c>
      <c r="D53" s="18" t="s">
        <v>178</v>
      </c>
      <c r="E53" s="18" t="s">
        <v>145</v>
      </c>
      <c r="F53" s="18" t="n">
        <v>3.5</v>
      </c>
      <c r="G53" s="18" t="n">
        <v>3</v>
      </c>
      <c r="H53" s="19" t="n">
        <v>41943</v>
      </c>
      <c r="I53" s="20" t="n">
        <v>332</v>
      </c>
      <c r="J53" s="21" t="n">
        <v>13.93</v>
      </c>
      <c r="K53" s="18" t="s">
        <v>155</v>
      </c>
      <c r="L53" s="18" t="s">
        <v>559</v>
      </c>
      <c r="M53" s="13" t="s">
        <v>560</v>
      </c>
      <c r="N53" s="18" t="s">
        <v>86</v>
      </c>
      <c r="O53" s="13" t="s">
        <v>148</v>
      </c>
    </row>
    <row r="54" customFormat="false" ht="57" hidden="false" customHeight="true" outlineLevel="0" collapsed="false">
      <c r="A54" s="18" t="s">
        <v>152</v>
      </c>
      <c r="B54" s="18" t="s">
        <v>276</v>
      </c>
      <c r="C54" s="18" t="s">
        <v>154</v>
      </c>
      <c r="D54" s="18" t="s">
        <v>144</v>
      </c>
      <c r="E54" s="18" t="s">
        <v>145</v>
      </c>
      <c r="F54" s="18" t="n">
        <v>3.5</v>
      </c>
      <c r="G54" s="18" t="n">
        <v>3</v>
      </c>
      <c r="H54" s="19" t="n">
        <v>39257</v>
      </c>
      <c r="I54" s="20" t="n">
        <v>332</v>
      </c>
      <c r="J54" s="21" t="n">
        <v>13.03</v>
      </c>
      <c r="K54" s="18" t="s">
        <v>145</v>
      </c>
      <c r="L54" s="18" t="s">
        <v>277</v>
      </c>
      <c r="M54" s="13" t="s">
        <v>278</v>
      </c>
      <c r="N54" s="18" t="s">
        <v>86</v>
      </c>
      <c r="O54" s="13" t="s">
        <v>148</v>
      </c>
    </row>
    <row r="55" customFormat="false" ht="45.75" hidden="false" customHeight="true" outlineLevel="0" collapsed="false">
      <c r="A55" s="18" t="s">
        <v>208</v>
      </c>
      <c r="B55" s="18" t="s">
        <v>255</v>
      </c>
      <c r="C55" s="18" t="s">
        <v>256</v>
      </c>
      <c r="D55" s="18" t="s">
        <v>144</v>
      </c>
      <c r="E55" s="18" t="s">
        <v>155</v>
      </c>
      <c r="F55" s="18" t="n">
        <v>3</v>
      </c>
      <c r="G55" s="18" t="n">
        <v>4</v>
      </c>
      <c r="H55" s="19" t="n">
        <v>35500</v>
      </c>
      <c r="I55" s="20" t="n">
        <v>351</v>
      </c>
      <c r="J55" s="21" t="n">
        <v>12.46</v>
      </c>
      <c r="K55" s="18" t="s">
        <v>145</v>
      </c>
      <c r="L55" s="18" t="s">
        <v>257</v>
      </c>
      <c r="M55" s="13" t="s">
        <v>258</v>
      </c>
      <c r="N55" s="18" t="s">
        <v>156</v>
      </c>
      <c r="O55" s="13" t="s">
        <v>159</v>
      </c>
    </row>
    <row r="56" customFormat="false" ht="57" hidden="false" customHeight="true" outlineLevel="0" collapsed="false">
      <c r="A56" s="18" t="s">
        <v>279</v>
      </c>
      <c r="B56" s="18" t="s">
        <v>280</v>
      </c>
      <c r="C56" s="18" t="s">
        <v>281</v>
      </c>
      <c r="D56" s="18" t="s">
        <v>144</v>
      </c>
      <c r="E56" s="18" t="s">
        <v>145</v>
      </c>
      <c r="F56" s="18" t="n">
        <v>3.5</v>
      </c>
      <c r="G56" s="18" t="n">
        <v>3.5</v>
      </c>
      <c r="H56" s="19" t="n">
        <v>37336</v>
      </c>
      <c r="I56" s="20" t="n">
        <v>332</v>
      </c>
      <c r="J56" s="21" t="n">
        <v>12.4</v>
      </c>
      <c r="K56" s="18" t="s">
        <v>145</v>
      </c>
      <c r="L56" s="18" t="s">
        <v>282</v>
      </c>
      <c r="M56" s="13" t="s">
        <v>283</v>
      </c>
      <c r="N56" s="18" t="s">
        <v>86</v>
      </c>
      <c r="O56" s="13" t="s">
        <v>148</v>
      </c>
    </row>
    <row r="57" customFormat="false" ht="57" hidden="false" customHeight="true" outlineLevel="0" collapsed="false">
      <c r="A57" s="18" t="s">
        <v>250</v>
      </c>
      <c r="B57" s="18" t="s">
        <v>561</v>
      </c>
      <c r="C57" s="18" t="s">
        <v>252</v>
      </c>
      <c r="D57" s="18" t="s">
        <v>144</v>
      </c>
      <c r="E57" s="18" t="s">
        <v>145</v>
      </c>
      <c r="F57" s="18" t="n">
        <v>3.5</v>
      </c>
      <c r="G57" s="18" t="n">
        <v>3.5</v>
      </c>
      <c r="H57" s="19" t="n">
        <v>36974</v>
      </c>
      <c r="I57" s="20" t="n">
        <v>332</v>
      </c>
      <c r="J57" s="21" t="n">
        <v>12.28</v>
      </c>
      <c r="K57" s="18" t="s">
        <v>155</v>
      </c>
      <c r="L57" s="18" t="s">
        <v>562</v>
      </c>
      <c r="M57" s="13" t="s">
        <v>531</v>
      </c>
      <c r="N57" s="18" t="s">
        <v>86</v>
      </c>
      <c r="O57" s="13" t="s">
        <v>148</v>
      </c>
    </row>
    <row r="58" customFormat="false" ht="57" hidden="false" customHeight="true" outlineLevel="0" collapsed="false">
      <c r="A58" s="18" t="s">
        <v>284</v>
      </c>
      <c r="B58" s="18" t="s">
        <v>285</v>
      </c>
      <c r="C58" s="18" t="s">
        <v>286</v>
      </c>
      <c r="D58" s="18" t="s">
        <v>144</v>
      </c>
      <c r="E58" s="18" t="s">
        <v>145</v>
      </c>
      <c r="F58" s="18" t="n">
        <v>3.5</v>
      </c>
      <c r="G58" s="18" t="n">
        <v>4</v>
      </c>
      <c r="H58" s="19" t="n">
        <v>36665</v>
      </c>
      <c r="I58" s="20" t="n">
        <v>332</v>
      </c>
      <c r="J58" s="21" t="n">
        <v>12.17</v>
      </c>
      <c r="K58" s="18" t="s">
        <v>145</v>
      </c>
      <c r="L58" s="18" t="s">
        <v>184</v>
      </c>
      <c r="M58" s="13" t="s">
        <v>287</v>
      </c>
      <c r="N58" s="18" t="s">
        <v>86</v>
      </c>
      <c r="O58" s="13" t="s">
        <v>148</v>
      </c>
    </row>
    <row r="59" customFormat="false" ht="57" hidden="false" customHeight="true" outlineLevel="0" collapsed="false">
      <c r="A59" s="18" t="s">
        <v>288</v>
      </c>
      <c r="B59" s="18" t="s">
        <v>289</v>
      </c>
      <c r="C59" s="18" t="s">
        <v>290</v>
      </c>
      <c r="D59" s="18" t="s">
        <v>144</v>
      </c>
      <c r="E59" s="18" t="s">
        <v>145</v>
      </c>
      <c r="F59" s="18" t="n">
        <v>3.5</v>
      </c>
      <c r="G59" s="18" t="n">
        <v>3.5</v>
      </c>
      <c r="H59" s="19" t="n">
        <v>35903</v>
      </c>
      <c r="I59" s="20" t="n">
        <v>332</v>
      </c>
      <c r="J59" s="21" t="n">
        <v>11.92</v>
      </c>
      <c r="K59" s="18" t="s">
        <v>145</v>
      </c>
      <c r="L59" s="18" t="s">
        <v>202</v>
      </c>
      <c r="M59" s="13" t="s">
        <v>291</v>
      </c>
      <c r="N59" s="18" t="s">
        <v>86</v>
      </c>
      <c r="O59" s="13" t="s">
        <v>148</v>
      </c>
    </row>
    <row r="60" customFormat="false" ht="57" hidden="false" customHeight="true" outlineLevel="0" collapsed="false">
      <c r="A60" s="18" t="s">
        <v>292</v>
      </c>
      <c r="B60" s="18" t="s">
        <v>293</v>
      </c>
      <c r="C60" s="18" t="s">
        <v>294</v>
      </c>
      <c r="D60" s="18" t="s">
        <v>144</v>
      </c>
      <c r="E60" s="18" t="s">
        <v>145</v>
      </c>
      <c r="F60" s="18" t="n">
        <v>3.5</v>
      </c>
      <c r="G60" s="18" t="n">
        <v>3.5</v>
      </c>
      <c r="H60" s="19" t="n">
        <v>35723</v>
      </c>
      <c r="I60" s="20" t="n">
        <v>332</v>
      </c>
      <c r="J60" s="21" t="n">
        <v>11.86</v>
      </c>
      <c r="K60" s="18" t="s">
        <v>145</v>
      </c>
      <c r="L60" s="18" t="s">
        <v>230</v>
      </c>
      <c r="M60" s="13" t="s">
        <v>295</v>
      </c>
      <c r="N60" s="18" t="s">
        <v>86</v>
      </c>
      <c r="O60" s="13" t="s">
        <v>148</v>
      </c>
    </row>
    <row r="61" customFormat="false" ht="45.75" hidden="false" customHeight="true" outlineLevel="0" collapsed="false">
      <c r="A61" s="18" t="s">
        <v>563</v>
      </c>
      <c r="B61" s="18" t="s">
        <v>564</v>
      </c>
      <c r="C61" s="18" t="s">
        <v>565</v>
      </c>
      <c r="D61" s="18" t="s">
        <v>144</v>
      </c>
      <c r="E61" s="18" t="s">
        <v>155</v>
      </c>
      <c r="F61" s="18" t="n">
        <v>3.5</v>
      </c>
      <c r="G61" s="18" t="n">
        <v>4</v>
      </c>
      <c r="H61" s="19" t="n">
        <v>32435</v>
      </c>
      <c r="I61" s="20" t="n">
        <v>351</v>
      </c>
      <c r="J61" s="21" t="n">
        <v>11.38</v>
      </c>
      <c r="K61" s="18" t="s">
        <v>155</v>
      </c>
      <c r="L61" s="18" t="s">
        <v>566</v>
      </c>
      <c r="M61" s="13" t="s">
        <v>567</v>
      </c>
      <c r="N61" s="18" t="s">
        <v>156</v>
      </c>
      <c r="O61" s="13" t="s">
        <v>159</v>
      </c>
    </row>
    <row r="62" customFormat="false" ht="45.75" hidden="false" customHeight="true" outlineLevel="0" collapsed="false">
      <c r="A62" s="18" t="s">
        <v>568</v>
      </c>
      <c r="B62" s="18" t="s">
        <v>569</v>
      </c>
      <c r="C62" s="18" t="s">
        <v>570</v>
      </c>
      <c r="D62" s="18" t="s">
        <v>144</v>
      </c>
      <c r="E62" s="18" t="s">
        <v>155</v>
      </c>
      <c r="F62" s="18" t="n">
        <v>3.5</v>
      </c>
      <c r="G62" s="18" t="n">
        <v>4</v>
      </c>
      <c r="H62" s="19" t="n">
        <v>31709</v>
      </c>
      <c r="I62" s="20" t="n">
        <v>351</v>
      </c>
      <c r="J62" s="21" t="n">
        <v>11.13</v>
      </c>
      <c r="K62" s="18" t="s">
        <v>155</v>
      </c>
      <c r="L62" s="18" t="s">
        <v>571</v>
      </c>
      <c r="M62" s="13" t="s">
        <v>572</v>
      </c>
      <c r="N62" s="18" t="s">
        <v>156</v>
      </c>
      <c r="O62" s="13" t="s">
        <v>159</v>
      </c>
    </row>
    <row r="63" customFormat="false" ht="57" hidden="false" customHeight="true" outlineLevel="0" collapsed="false">
      <c r="A63" s="18" t="s">
        <v>296</v>
      </c>
      <c r="B63" s="18" t="s">
        <v>297</v>
      </c>
      <c r="C63" s="18" t="s">
        <v>298</v>
      </c>
      <c r="D63" s="18" t="s">
        <v>144</v>
      </c>
      <c r="E63" s="18" t="s">
        <v>145</v>
      </c>
      <c r="F63" s="18" t="n">
        <v>3</v>
      </c>
      <c r="G63" s="18" t="n">
        <v>3.5</v>
      </c>
      <c r="H63" s="19" t="n">
        <v>32919</v>
      </c>
      <c r="I63" s="20" t="n">
        <v>332</v>
      </c>
      <c r="J63" s="21" t="n">
        <v>10.93</v>
      </c>
      <c r="K63" s="18" t="s">
        <v>145</v>
      </c>
      <c r="L63" s="18" t="s">
        <v>299</v>
      </c>
      <c r="M63" s="13" t="s">
        <v>300</v>
      </c>
      <c r="N63" s="18" t="s">
        <v>86</v>
      </c>
      <c r="O63" s="13" t="s">
        <v>148</v>
      </c>
    </row>
    <row r="64" customFormat="false" ht="57" hidden="false" customHeight="true" outlineLevel="0" collapsed="false">
      <c r="A64" s="18" t="s">
        <v>152</v>
      </c>
      <c r="B64" s="18" t="s">
        <v>301</v>
      </c>
      <c r="C64" s="18" t="s">
        <v>154</v>
      </c>
      <c r="D64" s="18" t="s">
        <v>144</v>
      </c>
      <c r="E64" s="18" t="s">
        <v>145</v>
      </c>
      <c r="F64" s="18" t="n">
        <v>3</v>
      </c>
      <c r="G64" s="18" t="n">
        <v>3.5</v>
      </c>
      <c r="H64" s="19" t="n">
        <v>32447</v>
      </c>
      <c r="I64" s="20" t="n">
        <v>332</v>
      </c>
      <c r="J64" s="21" t="n">
        <v>10.77</v>
      </c>
      <c r="K64" s="18" t="s">
        <v>145</v>
      </c>
      <c r="L64" s="18" t="s">
        <v>302</v>
      </c>
      <c r="M64" s="13" t="s">
        <v>303</v>
      </c>
      <c r="N64" s="18" t="s">
        <v>86</v>
      </c>
      <c r="O64" s="13" t="s">
        <v>148</v>
      </c>
    </row>
    <row r="65" customFormat="false" ht="45.75" hidden="false" customHeight="true" outlineLevel="0" collapsed="false">
      <c r="A65" s="18" t="s">
        <v>250</v>
      </c>
      <c r="B65" s="18" t="s">
        <v>270</v>
      </c>
      <c r="C65" s="18" t="s">
        <v>252</v>
      </c>
      <c r="D65" s="18" t="s">
        <v>144</v>
      </c>
      <c r="E65" s="18" t="s">
        <v>155</v>
      </c>
      <c r="F65" s="18" t="n">
        <v>3.5</v>
      </c>
      <c r="G65" s="18" t="n">
        <v>4</v>
      </c>
      <c r="H65" s="19" t="n">
        <v>29470</v>
      </c>
      <c r="I65" s="20" t="n">
        <v>351</v>
      </c>
      <c r="J65" s="21" t="n">
        <v>10.34</v>
      </c>
      <c r="K65" s="18" t="s">
        <v>145</v>
      </c>
      <c r="L65" s="18" t="s">
        <v>271</v>
      </c>
      <c r="M65" s="13" t="s">
        <v>272</v>
      </c>
      <c r="N65" s="18" t="s">
        <v>156</v>
      </c>
      <c r="O65" s="13" t="s">
        <v>159</v>
      </c>
    </row>
    <row r="66" customFormat="false" ht="57" hidden="false" customHeight="true" outlineLevel="0" collapsed="false">
      <c r="A66" s="18" t="s">
        <v>304</v>
      </c>
      <c r="B66" s="18" t="s">
        <v>305</v>
      </c>
      <c r="C66" s="18" t="s">
        <v>304</v>
      </c>
      <c r="D66" s="18" t="s">
        <v>144</v>
      </c>
      <c r="E66" s="18" t="s">
        <v>145</v>
      </c>
      <c r="F66" s="18" t="n">
        <v>3.5</v>
      </c>
      <c r="G66" s="18" t="n">
        <v>3.5</v>
      </c>
      <c r="H66" s="19" t="n">
        <v>29364</v>
      </c>
      <c r="I66" s="20" t="n">
        <v>332</v>
      </c>
      <c r="J66" s="21" t="n">
        <v>9.75</v>
      </c>
      <c r="K66" s="18" t="s">
        <v>145</v>
      </c>
      <c r="L66" s="18" t="s">
        <v>306</v>
      </c>
      <c r="M66" s="13" t="s">
        <v>307</v>
      </c>
      <c r="N66" s="18" t="s">
        <v>86</v>
      </c>
      <c r="O66" s="13" t="s">
        <v>148</v>
      </c>
    </row>
    <row r="67" customFormat="false" ht="57" hidden="false" customHeight="true" outlineLevel="0" collapsed="false">
      <c r="A67" s="18" t="s">
        <v>308</v>
      </c>
      <c r="B67" s="18" t="s">
        <v>309</v>
      </c>
      <c r="C67" s="18" t="s">
        <v>310</v>
      </c>
      <c r="D67" s="18" t="s">
        <v>144</v>
      </c>
      <c r="E67" s="18" t="s">
        <v>145</v>
      </c>
      <c r="F67" s="18" t="n">
        <v>3.5</v>
      </c>
      <c r="G67" s="18" t="n">
        <v>3</v>
      </c>
      <c r="H67" s="19" t="n">
        <v>27389</v>
      </c>
      <c r="I67" s="20" t="n">
        <v>332</v>
      </c>
      <c r="J67" s="21" t="n">
        <v>9.09</v>
      </c>
      <c r="K67" s="18" t="s">
        <v>145</v>
      </c>
      <c r="L67" s="18" t="s">
        <v>257</v>
      </c>
      <c r="M67" s="13" t="s">
        <v>311</v>
      </c>
      <c r="N67" s="18" t="s">
        <v>86</v>
      </c>
      <c r="O67" s="13" t="s">
        <v>148</v>
      </c>
    </row>
    <row r="68" customFormat="false" ht="57" hidden="false" customHeight="true" outlineLevel="0" collapsed="false">
      <c r="A68" s="18" t="s">
        <v>213</v>
      </c>
      <c r="B68" s="18" t="s">
        <v>312</v>
      </c>
      <c r="C68" s="18" t="s">
        <v>215</v>
      </c>
      <c r="D68" s="18" t="s">
        <v>144</v>
      </c>
      <c r="E68" s="18" t="s">
        <v>145</v>
      </c>
      <c r="F68" s="18" t="n">
        <v>3.5</v>
      </c>
      <c r="G68" s="18" t="n">
        <v>3.5</v>
      </c>
      <c r="H68" s="19" t="n">
        <v>26877</v>
      </c>
      <c r="I68" s="20" t="n">
        <v>332</v>
      </c>
      <c r="J68" s="21" t="n">
        <v>8.92</v>
      </c>
      <c r="K68" s="18" t="s">
        <v>145</v>
      </c>
      <c r="L68" s="18" t="s">
        <v>146</v>
      </c>
      <c r="M68" s="13" t="s">
        <v>313</v>
      </c>
      <c r="N68" s="18" t="s">
        <v>86</v>
      </c>
      <c r="O68" s="13" t="s">
        <v>148</v>
      </c>
    </row>
    <row r="69" customFormat="false" ht="57" hidden="false" customHeight="true" outlineLevel="0" collapsed="false">
      <c r="A69" s="18" t="s">
        <v>204</v>
      </c>
      <c r="B69" s="18" t="s">
        <v>314</v>
      </c>
      <c r="C69" s="18" t="s">
        <v>315</v>
      </c>
      <c r="D69" s="18" t="s">
        <v>144</v>
      </c>
      <c r="E69" s="18" t="s">
        <v>145</v>
      </c>
      <c r="F69" s="18" t="n">
        <v>3.5</v>
      </c>
      <c r="G69" s="18" t="n">
        <v>3.5</v>
      </c>
      <c r="H69" s="19" t="n">
        <v>25926</v>
      </c>
      <c r="I69" s="20" t="n">
        <v>332</v>
      </c>
      <c r="J69" s="21" t="n">
        <v>8.61</v>
      </c>
      <c r="K69" s="18" t="s">
        <v>145</v>
      </c>
      <c r="L69" s="18" t="s">
        <v>316</v>
      </c>
      <c r="M69" s="13" t="s">
        <v>317</v>
      </c>
      <c r="N69" s="18" t="s">
        <v>86</v>
      </c>
      <c r="O69" s="13" t="s">
        <v>148</v>
      </c>
    </row>
    <row r="70" customFormat="false" ht="57" hidden="false" customHeight="true" outlineLevel="0" collapsed="false">
      <c r="A70" s="18" t="s">
        <v>250</v>
      </c>
      <c r="B70" s="18" t="s">
        <v>318</v>
      </c>
      <c r="C70" s="18" t="s">
        <v>319</v>
      </c>
      <c r="D70" s="18" t="s">
        <v>144</v>
      </c>
      <c r="E70" s="18" t="s">
        <v>145</v>
      </c>
      <c r="F70" s="18" t="n">
        <v>3</v>
      </c>
      <c r="G70" s="18" t="n">
        <v>3.5</v>
      </c>
      <c r="H70" s="19" t="n">
        <v>25825</v>
      </c>
      <c r="I70" s="20" t="n">
        <v>332</v>
      </c>
      <c r="J70" s="21" t="n">
        <v>8.57</v>
      </c>
      <c r="K70" s="18" t="s">
        <v>145</v>
      </c>
      <c r="L70" s="18" t="s">
        <v>320</v>
      </c>
      <c r="M70" s="13" t="s">
        <v>321</v>
      </c>
      <c r="N70" s="18" t="s">
        <v>86</v>
      </c>
      <c r="O70" s="13" t="s">
        <v>148</v>
      </c>
    </row>
    <row r="71" customFormat="false" ht="57" hidden="false" customHeight="true" outlineLevel="0" collapsed="false">
      <c r="A71" s="18" t="s">
        <v>573</v>
      </c>
      <c r="B71" s="18" t="s">
        <v>574</v>
      </c>
      <c r="C71" s="18" t="s">
        <v>575</v>
      </c>
      <c r="D71" s="18" t="s">
        <v>144</v>
      </c>
      <c r="E71" s="18" t="s">
        <v>145</v>
      </c>
      <c r="F71" s="18" t="n">
        <v>3.5</v>
      </c>
      <c r="G71" s="18" t="n">
        <v>3.5</v>
      </c>
      <c r="H71" s="19" t="n">
        <v>25771</v>
      </c>
      <c r="I71" s="20" t="n">
        <v>332</v>
      </c>
      <c r="J71" s="21" t="n">
        <v>8.56</v>
      </c>
      <c r="K71" s="18" t="s">
        <v>155</v>
      </c>
      <c r="L71" s="18" t="s">
        <v>576</v>
      </c>
      <c r="M71" s="13" t="s">
        <v>577</v>
      </c>
      <c r="N71" s="18" t="s">
        <v>86</v>
      </c>
      <c r="O71" s="13" t="s">
        <v>148</v>
      </c>
    </row>
    <row r="72" customFormat="false" ht="57" hidden="false" customHeight="true" outlineLevel="0" collapsed="false">
      <c r="A72" s="18" t="s">
        <v>327</v>
      </c>
      <c r="B72" s="18" t="s">
        <v>328</v>
      </c>
      <c r="C72" s="18" t="s">
        <v>329</v>
      </c>
      <c r="D72" s="18" t="s">
        <v>144</v>
      </c>
      <c r="E72" s="18" t="s">
        <v>145</v>
      </c>
      <c r="F72" s="18" t="n">
        <v>3.5</v>
      </c>
      <c r="G72" s="18" t="n">
        <v>4</v>
      </c>
      <c r="H72" s="19" t="n">
        <v>25023</v>
      </c>
      <c r="I72" s="20" t="n">
        <v>332</v>
      </c>
      <c r="J72" s="21" t="n">
        <v>8.31</v>
      </c>
      <c r="K72" s="18" t="s">
        <v>145</v>
      </c>
      <c r="L72" s="18" t="s">
        <v>175</v>
      </c>
      <c r="M72" s="13" t="s">
        <v>330</v>
      </c>
      <c r="N72" s="18" t="s">
        <v>86</v>
      </c>
      <c r="O72" s="13" t="s">
        <v>148</v>
      </c>
    </row>
    <row r="73" customFormat="false" ht="57" hidden="false" customHeight="true" outlineLevel="0" collapsed="false">
      <c r="A73" s="18" t="s">
        <v>152</v>
      </c>
      <c r="B73" s="18" t="s">
        <v>331</v>
      </c>
      <c r="C73" s="18" t="s">
        <v>154</v>
      </c>
      <c r="D73" s="18" t="s">
        <v>144</v>
      </c>
      <c r="E73" s="18" t="s">
        <v>145</v>
      </c>
      <c r="F73" s="18" t="n">
        <v>3.5</v>
      </c>
      <c r="G73" s="18" t="n">
        <v>3.5</v>
      </c>
      <c r="H73" s="19" t="n">
        <v>24604</v>
      </c>
      <c r="I73" s="20" t="n">
        <v>332</v>
      </c>
      <c r="J73" s="21" t="n">
        <v>8.17</v>
      </c>
      <c r="K73" s="18" t="s">
        <v>145</v>
      </c>
      <c r="L73" s="18" t="s">
        <v>332</v>
      </c>
      <c r="M73" s="13" t="s">
        <v>333</v>
      </c>
      <c r="N73" s="18" t="s">
        <v>86</v>
      </c>
      <c r="O73" s="13" t="s">
        <v>148</v>
      </c>
    </row>
    <row r="74" customFormat="false" ht="57" hidden="false" customHeight="true" outlineLevel="0" collapsed="false">
      <c r="A74" s="18" t="s">
        <v>578</v>
      </c>
      <c r="B74" s="18" t="s">
        <v>579</v>
      </c>
      <c r="C74" s="18" t="s">
        <v>580</v>
      </c>
      <c r="D74" s="18" t="s">
        <v>144</v>
      </c>
      <c r="E74" s="18" t="s">
        <v>145</v>
      </c>
      <c r="F74" s="18" t="n">
        <v>4</v>
      </c>
      <c r="G74" s="18" t="n">
        <v>3.5</v>
      </c>
      <c r="H74" s="19" t="n">
        <v>23116</v>
      </c>
      <c r="I74" s="20" t="n">
        <v>332</v>
      </c>
      <c r="J74" s="21" t="n">
        <v>7.67</v>
      </c>
      <c r="K74" s="18" t="s">
        <v>155</v>
      </c>
      <c r="L74" s="18" t="s">
        <v>581</v>
      </c>
      <c r="M74" s="13" t="s">
        <v>582</v>
      </c>
      <c r="N74" s="18" t="s">
        <v>86</v>
      </c>
      <c r="O74" s="13" t="s">
        <v>148</v>
      </c>
    </row>
    <row r="75" customFormat="false" ht="57" hidden="false" customHeight="true" outlineLevel="0" collapsed="false">
      <c r="A75" s="18" t="s">
        <v>250</v>
      </c>
      <c r="B75" s="18" t="s">
        <v>583</v>
      </c>
      <c r="C75" s="18" t="s">
        <v>319</v>
      </c>
      <c r="D75" s="18" t="s">
        <v>144</v>
      </c>
      <c r="E75" s="18" t="s">
        <v>145</v>
      </c>
      <c r="F75" s="18" t="n">
        <v>3.5</v>
      </c>
      <c r="G75" s="18" t="n">
        <v>3.5</v>
      </c>
      <c r="H75" s="19" t="n">
        <v>22393</v>
      </c>
      <c r="I75" s="20" t="n">
        <v>332</v>
      </c>
      <c r="J75" s="21" t="n">
        <v>7.43</v>
      </c>
      <c r="K75" s="18" t="s">
        <v>155</v>
      </c>
      <c r="L75" s="18" t="s">
        <v>584</v>
      </c>
      <c r="M75" s="13" t="s">
        <v>585</v>
      </c>
      <c r="N75" s="18" t="s">
        <v>86</v>
      </c>
      <c r="O75" s="13" t="s">
        <v>148</v>
      </c>
    </row>
    <row r="76" customFormat="false" ht="45.75" hidden="false" customHeight="true" outlineLevel="0" collapsed="false">
      <c r="A76" s="18" t="s">
        <v>152</v>
      </c>
      <c r="B76" s="18" t="s">
        <v>586</v>
      </c>
      <c r="C76" s="18" t="s">
        <v>154</v>
      </c>
      <c r="D76" s="18" t="s">
        <v>144</v>
      </c>
      <c r="E76" s="18" t="s">
        <v>155</v>
      </c>
      <c r="F76" s="18" t="n">
        <v>3.5</v>
      </c>
      <c r="G76" s="18" t="n">
        <v>3.5</v>
      </c>
      <c r="H76" s="19" t="n">
        <v>17300</v>
      </c>
      <c r="I76" s="20" t="n">
        <v>351</v>
      </c>
      <c r="J76" s="21" t="n">
        <v>6.07</v>
      </c>
      <c r="K76" s="18" t="s">
        <v>155</v>
      </c>
      <c r="L76" s="18" t="s">
        <v>587</v>
      </c>
      <c r="M76" s="13" t="s">
        <v>588</v>
      </c>
      <c r="N76" s="18" t="s">
        <v>156</v>
      </c>
      <c r="O76" s="13" t="s">
        <v>159</v>
      </c>
    </row>
    <row r="77" customFormat="false" ht="57" hidden="false" customHeight="true" outlineLevel="0" collapsed="false">
      <c r="A77" s="18" t="s">
        <v>334</v>
      </c>
      <c r="B77" s="18" t="s">
        <v>335</v>
      </c>
      <c r="C77" s="18" t="s">
        <v>336</v>
      </c>
      <c r="D77" s="18" t="s">
        <v>144</v>
      </c>
      <c r="E77" s="18" t="s">
        <v>145</v>
      </c>
      <c r="F77" s="18" t="n">
        <v>4</v>
      </c>
      <c r="G77" s="18" t="n">
        <v>3.5</v>
      </c>
      <c r="H77" s="19" t="n">
        <v>18086</v>
      </c>
      <c r="I77" s="20" t="n">
        <v>332</v>
      </c>
      <c r="J77" s="21" t="n">
        <v>6</v>
      </c>
      <c r="K77" s="18" t="s">
        <v>145</v>
      </c>
      <c r="L77" s="18" t="s">
        <v>337</v>
      </c>
      <c r="M77" s="13" t="s">
        <v>338</v>
      </c>
      <c r="N77" s="18" t="s">
        <v>86</v>
      </c>
      <c r="O77" s="13" t="s">
        <v>148</v>
      </c>
    </row>
    <row r="78" customFormat="false" ht="45.75" hidden="false" customHeight="true" outlineLevel="0" collapsed="false">
      <c r="A78" s="18" t="s">
        <v>322</v>
      </c>
      <c r="B78" s="18" t="s">
        <v>323</v>
      </c>
      <c r="C78" s="18" t="s">
        <v>324</v>
      </c>
      <c r="D78" s="18" t="s">
        <v>144</v>
      </c>
      <c r="E78" s="18" t="s">
        <v>155</v>
      </c>
      <c r="F78" s="18" t="n">
        <v>4</v>
      </c>
      <c r="G78" s="18" t="n">
        <v>3</v>
      </c>
      <c r="H78" s="19" t="n">
        <v>17040</v>
      </c>
      <c r="I78" s="20" t="n">
        <v>351</v>
      </c>
      <c r="J78" s="21" t="n">
        <v>5.98</v>
      </c>
      <c r="K78" s="18" t="s">
        <v>145</v>
      </c>
      <c r="L78" s="18" t="s">
        <v>325</v>
      </c>
      <c r="M78" s="13" t="s">
        <v>326</v>
      </c>
      <c r="N78" s="18" t="s">
        <v>156</v>
      </c>
      <c r="O78" s="13" t="s">
        <v>159</v>
      </c>
    </row>
    <row r="79" customFormat="false" ht="57" hidden="false" customHeight="true" outlineLevel="0" collapsed="false">
      <c r="A79" s="18" t="s">
        <v>250</v>
      </c>
      <c r="B79" s="18" t="s">
        <v>589</v>
      </c>
      <c r="C79" s="18" t="s">
        <v>319</v>
      </c>
      <c r="D79" s="18" t="s">
        <v>144</v>
      </c>
      <c r="E79" s="18" t="s">
        <v>145</v>
      </c>
      <c r="F79" s="18" t="n">
        <v>3</v>
      </c>
      <c r="G79" s="18" t="n">
        <v>3.5</v>
      </c>
      <c r="H79" s="19" t="n">
        <v>17528</v>
      </c>
      <c r="I79" s="20" t="n">
        <v>332</v>
      </c>
      <c r="J79" s="21" t="n">
        <v>5.82</v>
      </c>
      <c r="K79" s="18" t="s">
        <v>155</v>
      </c>
      <c r="L79" s="18" t="s">
        <v>590</v>
      </c>
      <c r="M79" s="13" t="s">
        <v>591</v>
      </c>
      <c r="N79" s="18" t="s">
        <v>86</v>
      </c>
      <c r="O79" s="13" t="s">
        <v>148</v>
      </c>
    </row>
    <row r="80" customFormat="false" ht="57" hidden="false" customHeight="true" outlineLevel="0" collapsed="false">
      <c r="A80" s="18" t="s">
        <v>152</v>
      </c>
      <c r="B80" s="18" t="s">
        <v>592</v>
      </c>
      <c r="C80" s="18" t="s">
        <v>154</v>
      </c>
      <c r="D80" s="18" t="s">
        <v>144</v>
      </c>
      <c r="E80" s="18" t="s">
        <v>145</v>
      </c>
      <c r="F80" s="18" t="n">
        <v>3.5</v>
      </c>
      <c r="G80" s="18" t="n">
        <v>3</v>
      </c>
      <c r="H80" s="19" t="n">
        <v>16917</v>
      </c>
      <c r="I80" s="20" t="n">
        <v>332</v>
      </c>
      <c r="J80" s="21" t="n">
        <v>5.62</v>
      </c>
      <c r="K80" s="18" t="s">
        <v>155</v>
      </c>
      <c r="L80" s="18" t="s">
        <v>527</v>
      </c>
      <c r="M80" s="13" t="s">
        <v>593</v>
      </c>
      <c r="N80" s="18" t="s">
        <v>86</v>
      </c>
      <c r="O80" s="13" t="s">
        <v>148</v>
      </c>
    </row>
    <row r="81" customFormat="false" ht="57" hidden="false" customHeight="true" outlineLevel="0" collapsed="false">
      <c r="A81" s="18" t="s">
        <v>213</v>
      </c>
      <c r="B81" s="18" t="s">
        <v>351</v>
      </c>
      <c r="C81" s="18" t="s">
        <v>215</v>
      </c>
      <c r="D81" s="18" t="s">
        <v>144</v>
      </c>
      <c r="E81" s="18" t="s">
        <v>145</v>
      </c>
      <c r="F81" s="18" t="n">
        <v>3.5</v>
      </c>
      <c r="G81" s="18" t="n">
        <v>3.5</v>
      </c>
      <c r="H81" s="19" t="n">
        <v>15267</v>
      </c>
      <c r="I81" s="20" t="n">
        <v>332</v>
      </c>
      <c r="J81" s="21" t="n">
        <v>5.07</v>
      </c>
      <c r="K81" s="18" t="s">
        <v>145</v>
      </c>
      <c r="L81" s="18" t="s">
        <v>352</v>
      </c>
      <c r="M81" s="13" t="s">
        <v>353</v>
      </c>
      <c r="N81" s="18" t="s">
        <v>86</v>
      </c>
      <c r="O81" s="13" t="s">
        <v>148</v>
      </c>
    </row>
    <row r="82" customFormat="false" ht="57" hidden="false" customHeight="true" outlineLevel="0" collapsed="false">
      <c r="A82" s="18" t="s">
        <v>288</v>
      </c>
      <c r="B82" s="18" t="s">
        <v>594</v>
      </c>
      <c r="C82" s="18" t="s">
        <v>290</v>
      </c>
      <c r="D82" s="18" t="s">
        <v>144</v>
      </c>
      <c r="E82" s="18" t="s">
        <v>145</v>
      </c>
      <c r="F82" s="18" t="n">
        <v>3.5</v>
      </c>
      <c r="G82" s="18" t="n">
        <v>3</v>
      </c>
      <c r="H82" s="19" t="n">
        <v>14990</v>
      </c>
      <c r="I82" s="20" t="n">
        <v>332</v>
      </c>
      <c r="J82" s="21" t="n">
        <v>4.98</v>
      </c>
      <c r="K82" s="18" t="s">
        <v>155</v>
      </c>
      <c r="L82" s="18" t="s">
        <v>595</v>
      </c>
      <c r="M82" s="13" t="s">
        <v>596</v>
      </c>
      <c r="N82" s="18" t="s">
        <v>86</v>
      </c>
      <c r="O82" s="13" t="s">
        <v>148</v>
      </c>
    </row>
    <row r="83" customFormat="false" ht="57" hidden="false" customHeight="true" outlineLevel="0" collapsed="false">
      <c r="A83" s="18" t="s">
        <v>250</v>
      </c>
      <c r="B83" s="18" t="s">
        <v>597</v>
      </c>
      <c r="C83" s="18" t="s">
        <v>319</v>
      </c>
      <c r="D83" s="18" t="s">
        <v>144</v>
      </c>
      <c r="E83" s="18" t="s">
        <v>145</v>
      </c>
      <c r="F83" s="18" t="n">
        <v>3.5</v>
      </c>
      <c r="G83" s="18" t="n">
        <v>4</v>
      </c>
      <c r="H83" s="19" t="n">
        <v>14986</v>
      </c>
      <c r="I83" s="20" t="n">
        <v>332</v>
      </c>
      <c r="J83" s="21" t="n">
        <v>4.98</v>
      </c>
      <c r="K83" s="18" t="s">
        <v>155</v>
      </c>
      <c r="L83" s="18" t="s">
        <v>590</v>
      </c>
      <c r="M83" s="13" t="s">
        <v>598</v>
      </c>
      <c r="N83" s="18" t="s">
        <v>86</v>
      </c>
      <c r="O83" s="13" t="s">
        <v>148</v>
      </c>
    </row>
    <row r="84" customFormat="false" ht="45.75" hidden="false" customHeight="true" outlineLevel="0" collapsed="false">
      <c r="A84" s="18" t="s">
        <v>288</v>
      </c>
      <c r="B84" s="18" t="s">
        <v>599</v>
      </c>
      <c r="C84" s="18" t="s">
        <v>290</v>
      </c>
      <c r="D84" s="18" t="s">
        <v>178</v>
      </c>
      <c r="E84" s="18" t="s">
        <v>155</v>
      </c>
      <c r="F84" s="18" t="n">
        <v>3.5</v>
      </c>
      <c r="G84" s="18" t="n">
        <v>3.5</v>
      </c>
      <c r="H84" s="19" t="n">
        <v>14013</v>
      </c>
      <c r="I84" s="20" t="n">
        <v>351</v>
      </c>
      <c r="J84" s="21" t="n">
        <v>4.92</v>
      </c>
      <c r="K84" s="18" t="s">
        <v>155</v>
      </c>
      <c r="L84" s="18" t="s">
        <v>600</v>
      </c>
      <c r="M84" s="13" t="s">
        <v>601</v>
      </c>
      <c r="N84" s="18" t="s">
        <v>156</v>
      </c>
      <c r="O84" s="13" t="s">
        <v>159</v>
      </c>
    </row>
    <row r="85" customFormat="false" ht="57" hidden="false" customHeight="true" outlineLevel="0" collapsed="false">
      <c r="A85" s="18" t="s">
        <v>602</v>
      </c>
      <c r="B85" s="18" t="s">
        <v>603</v>
      </c>
      <c r="C85" s="18" t="s">
        <v>604</v>
      </c>
      <c r="D85" s="18" t="s">
        <v>144</v>
      </c>
      <c r="E85" s="18" t="s">
        <v>145</v>
      </c>
      <c r="F85" s="18" t="n">
        <v>3.5</v>
      </c>
      <c r="G85" s="18" t="n">
        <v>3.5</v>
      </c>
      <c r="H85" s="19" t="n">
        <v>14630</v>
      </c>
      <c r="I85" s="20" t="n">
        <v>332</v>
      </c>
      <c r="J85" s="21" t="n">
        <v>4.86</v>
      </c>
      <c r="K85" s="18" t="s">
        <v>155</v>
      </c>
      <c r="L85" s="18" t="s">
        <v>537</v>
      </c>
      <c r="M85" s="13" t="s">
        <v>605</v>
      </c>
      <c r="N85" s="18" t="s">
        <v>86</v>
      </c>
      <c r="O85" s="13" t="s">
        <v>148</v>
      </c>
    </row>
    <row r="86" customFormat="false" ht="57" hidden="false" customHeight="true" outlineLevel="0" collapsed="false">
      <c r="A86" s="18" t="s">
        <v>288</v>
      </c>
      <c r="B86" s="18" t="s">
        <v>606</v>
      </c>
      <c r="C86" s="18" t="s">
        <v>536</v>
      </c>
      <c r="D86" s="18" t="s">
        <v>144</v>
      </c>
      <c r="E86" s="18" t="s">
        <v>145</v>
      </c>
      <c r="F86" s="18" t="n">
        <v>3.5</v>
      </c>
      <c r="G86" s="18" t="n">
        <v>3.5</v>
      </c>
      <c r="H86" s="19" t="n">
        <v>14405</v>
      </c>
      <c r="I86" s="20" t="n">
        <v>332</v>
      </c>
      <c r="J86" s="21" t="n">
        <v>4.78</v>
      </c>
      <c r="K86" s="18" t="s">
        <v>155</v>
      </c>
      <c r="L86" s="18" t="s">
        <v>587</v>
      </c>
      <c r="M86" s="13" t="s">
        <v>607</v>
      </c>
      <c r="N86" s="18" t="s">
        <v>86</v>
      </c>
      <c r="O86" s="13" t="s">
        <v>148</v>
      </c>
    </row>
    <row r="87" customFormat="false" ht="57" hidden="false" customHeight="true" outlineLevel="0" collapsed="false">
      <c r="A87" s="18" t="s">
        <v>363</v>
      </c>
      <c r="B87" s="18" t="s">
        <v>364</v>
      </c>
      <c r="C87" s="18" t="s">
        <v>365</v>
      </c>
      <c r="D87" s="18" t="s">
        <v>144</v>
      </c>
      <c r="E87" s="18" t="s">
        <v>145</v>
      </c>
      <c r="F87" s="18" t="n">
        <v>3</v>
      </c>
      <c r="G87" s="18" t="n">
        <v>4</v>
      </c>
      <c r="H87" s="19" t="n">
        <v>13962</v>
      </c>
      <c r="I87" s="20" t="n">
        <v>332</v>
      </c>
      <c r="J87" s="21" t="n">
        <v>4.64</v>
      </c>
      <c r="K87" s="18" t="s">
        <v>145</v>
      </c>
      <c r="L87" s="18" t="s">
        <v>366</v>
      </c>
      <c r="M87" s="13" t="s">
        <v>367</v>
      </c>
      <c r="N87" s="18" t="s">
        <v>86</v>
      </c>
      <c r="O87" s="13" t="s">
        <v>148</v>
      </c>
    </row>
    <row r="88" customFormat="false" ht="57" hidden="false" customHeight="true" outlineLevel="0" collapsed="false">
      <c r="A88" s="18" t="s">
        <v>250</v>
      </c>
      <c r="B88" s="18" t="s">
        <v>608</v>
      </c>
      <c r="C88" s="18" t="s">
        <v>252</v>
      </c>
      <c r="D88" s="18" t="s">
        <v>144</v>
      </c>
      <c r="E88" s="18" t="s">
        <v>145</v>
      </c>
      <c r="F88" s="18" t="n">
        <v>3.5</v>
      </c>
      <c r="G88" s="18" t="n">
        <v>3.5</v>
      </c>
      <c r="H88" s="19" t="n">
        <v>13924</v>
      </c>
      <c r="I88" s="20" t="n">
        <v>332</v>
      </c>
      <c r="J88" s="21" t="n">
        <v>4.62</v>
      </c>
      <c r="K88" s="18" t="s">
        <v>155</v>
      </c>
      <c r="L88" s="18" t="s">
        <v>609</v>
      </c>
      <c r="M88" s="13" t="s">
        <v>610</v>
      </c>
      <c r="N88" s="18" t="s">
        <v>86</v>
      </c>
      <c r="O88" s="13" t="s">
        <v>148</v>
      </c>
    </row>
    <row r="89" customFormat="false" ht="45.75" hidden="false" customHeight="true" outlineLevel="0" collapsed="false">
      <c r="A89" s="18" t="s">
        <v>142</v>
      </c>
      <c r="B89" s="18" t="s">
        <v>611</v>
      </c>
      <c r="C89" s="18" t="s">
        <v>142</v>
      </c>
      <c r="D89" s="18" t="s">
        <v>178</v>
      </c>
      <c r="E89" s="18" t="s">
        <v>155</v>
      </c>
      <c r="F89" s="18" t="n">
        <v>3.5</v>
      </c>
      <c r="G89" s="18" t="n">
        <v>3.5</v>
      </c>
      <c r="H89" s="19" t="n">
        <v>12716</v>
      </c>
      <c r="I89" s="20" t="n">
        <v>351</v>
      </c>
      <c r="J89" s="21" t="n">
        <v>4.46</v>
      </c>
      <c r="K89" s="18" t="s">
        <v>155</v>
      </c>
      <c r="L89" s="18" t="s">
        <v>612</v>
      </c>
      <c r="M89" s="13" t="s">
        <v>613</v>
      </c>
      <c r="N89" s="18" t="s">
        <v>156</v>
      </c>
      <c r="O89" s="13" t="s">
        <v>159</v>
      </c>
    </row>
    <row r="90" customFormat="false" ht="57" hidden="false" customHeight="true" outlineLevel="0" collapsed="false">
      <c r="A90" s="18" t="s">
        <v>368</v>
      </c>
      <c r="B90" s="18" t="s">
        <v>369</v>
      </c>
      <c r="C90" s="18" t="s">
        <v>370</v>
      </c>
      <c r="D90" s="18" t="s">
        <v>144</v>
      </c>
      <c r="E90" s="18" t="s">
        <v>145</v>
      </c>
      <c r="F90" s="18" t="n">
        <v>3.5</v>
      </c>
      <c r="G90" s="18" t="n">
        <v>3</v>
      </c>
      <c r="H90" s="19" t="n">
        <v>13103</v>
      </c>
      <c r="I90" s="20" t="n">
        <v>332</v>
      </c>
      <c r="J90" s="21" t="n">
        <v>4.35</v>
      </c>
      <c r="K90" s="18" t="s">
        <v>145</v>
      </c>
      <c r="L90" s="18" t="s">
        <v>253</v>
      </c>
      <c r="M90" s="13" t="s">
        <v>371</v>
      </c>
      <c r="N90" s="18" t="s">
        <v>86</v>
      </c>
      <c r="O90" s="13" t="s">
        <v>148</v>
      </c>
    </row>
    <row r="91" customFormat="false" ht="57" hidden="false" customHeight="true" outlineLevel="0" collapsed="false">
      <c r="A91" s="18" t="s">
        <v>250</v>
      </c>
      <c r="B91" s="18" t="s">
        <v>377</v>
      </c>
      <c r="C91" s="18" t="s">
        <v>252</v>
      </c>
      <c r="D91" s="18" t="s">
        <v>144</v>
      </c>
      <c r="E91" s="18" t="s">
        <v>145</v>
      </c>
      <c r="F91" s="18" t="n">
        <v>3.5</v>
      </c>
      <c r="G91" s="18" t="n">
        <v>3</v>
      </c>
      <c r="H91" s="19" t="n">
        <v>12143</v>
      </c>
      <c r="I91" s="20" t="n">
        <v>332</v>
      </c>
      <c r="J91" s="21" t="n">
        <v>4.03</v>
      </c>
      <c r="K91" s="18" t="s">
        <v>145</v>
      </c>
      <c r="L91" s="18" t="s">
        <v>378</v>
      </c>
      <c r="M91" s="13" t="s">
        <v>379</v>
      </c>
      <c r="N91" s="18" t="s">
        <v>86</v>
      </c>
      <c r="O91" s="13" t="s">
        <v>148</v>
      </c>
    </row>
    <row r="92" customFormat="false" ht="45.75" hidden="false" customHeight="true" outlineLevel="0" collapsed="false">
      <c r="A92" s="18" t="s">
        <v>339</v>
      </c>
      <c r="B92" s="18" t="s">
        <v>340</v>
      </c>
      <c r="C92" s="18" t="s">
        <v>341</v>
      </c>
      <c r="D92" s="18" t="s">
        <v>144</v>
      </c>
      <c r="E92" s="18" t="s">
        <v>155</v>
      </c>
      <c r="F92" s="18" t="n">
        <v>3.5</v>
      </c>
      <c r="G92" s="18" t="n">
        <v>3</v>
      </c>
      <c r="H92" s="19" t="n">
        <v>11476</v>
      </c>
      <c r="I92" s="20" t="n">
        <v>351</v>
      </c>
      <c r="J92" s="21" t="n">
        <v>4.03</v>
      </c>
      <c r="K92" s="18" t="s">
        <v>145</v>
      </c>
      <c r="L92" s="18" t="s">
        <v>342</v>
      </c>
      <c r="M92" s="13" t="s">
        <v>343</v>
      </c>
      <c r="N92" s="18" t="s">
        <v>156</v>
      </c>
      <c r="O92" s="13" t="s">
        <v>159</v>
      </c>
    </row>
    <row r="93" customFormat="false" ht="45.75" hidden="false" customHeight="true" outlineLevel="0" collapsed="false">
      <c r="A93" s="18" t="s">
        <v>142</v>
      </c>
      <c r="B93" s="18" t="s">
        <v>344</v>
      </c>
      <c r="C93" s="18" t="s">
        <v>142</v>
      </c>
      <c r="D93" s="18" t="s">
        <v>144</v>
      </c>
      <c r="E93" s="18" t="s">
        <v>155</v>
      </c>
      <c r="F93" s="18" t="n">
        <v>3.5</v>
      </c>
      <c r="G93" s="18" t="n">
        <v>3.5</v>
      </c>
      <c r="H93" s="19" t="n">
        <v>11445</v>
      </c>
      <c r="I93" s="20" t="n">
        <v>351</v>
      </c>
      <c r="J93" s="21" t="n">
        <v>4.02</v>
      </c>
      <c r="K93" s="18" t="s">
        <v>145</v>
      </c>
      <c r="L93" s="18" t="s">
        <v>179</v>
      </c>
      <c r="M93" s="13" t="s">
        <v>345</v>
      </c>
      <c r="N93" s="18" t="s">
        <v>156</v>
      </c>
      <c r="O93" s="13" t="s">
        <v>159</v>
      </c>
    </row>
    <row r="94" customFormat="false" ht="57" hidden="false" customHeight="true" outlineLevel="0" collapsed="false">
      <c r="A94" s="18" t="s">
        <v>250</v>
      </c>
      <c r="B94" s="18" t="s">
        <v>614</v>
      </c>
      <c r="C94" s="18" t="s">
        <v>252</v>
      </c>
      <c r="D94" s="18" t="s">
        <v>144</v>
      </c>
      <c r="E94" s="18" t="s">
        <v>145</v>
      </c>
      <c r="F94" s="18" t="n">
        <v>3</v>
      </c>
      <c r="G94" s="18" t="n">
        <v>3.5</v>
      </c>
      <c r="H94" s="19" t="n">
        <v>12000</v>
      </c>
      <c r="I94" s="20" t="n">
        <v>332</v>
      </c>
      <c r="J94" s="21" t="n">
        <v>3.98</v>
      </c>
      <c r="K94" s="18" t="s">
        <v>155</v>
      </c>
      <c r="L94" s="18" t="s">
        <v>615</v>
      </c>
      <c r="M94" s="13" t="s">
        <v>616</v>
      </c>
      <c r="N94" s="18" t="s">
        <v>86</v>
      </c>
      <c r="O94" s="13" t="s">
        <v>148</v>
      </c>
    </row>
    <row r="95" customFormat="false" ht="57" hidden="false" customHeight="true" outlineLevel="0" collapsed="false">
      <c r="A95" s="18" t="s">
        <v>380</v>
      </c>
      <c r="B95" s="18" t="s">
        <v>381</v>
      </c>
      <c r="C95" s="18" t="s">
        <v>382</v>
      </c>
      <c r="D95" s="18" t="s">
        <v>144</v>
      </c>
      <c r="E95" s="18" t="s">
        <v>145</v>
      </c>
      <c r="F95" s="18" t="n">
        <v>3.5</v>
      </c>
      <c r="G95" s="18" t="n">
        <v>3.5</v>
      </c>
      <c r="H95" s="19" t="n">
        <v>12000</v>
      </c>
      <c r="I95" s="20" t="n">
        <v>332</v>
      </c>
      <c r="J95" s="21" t="n">
        <v>3.98</v>
      </c>
      <c r="K95" s="18" t="s">
        <v>145</v>
      </c>
      <c r="L95" s="18" t="s">
        <v>383</v>
      </c>
      <c r="M95" s="13" t="s">
        <v>384</v>
      </c>
      <c r="N95" s="18" t="s">
        <v>86</v>
      </c>
      <c r="O95" s="13" t="s">
        <v>148</v>
      </c>
    </row>
    <row r="96" customFormat="false" ht="57" hidden="false" customHeight="true" outlineLevel="0" collapsed="false">
      <c r="A96" s="18" t="s">
        <v>385</v>
      </c>
      <c r="B96" s="18" t="s">
        <v>386</v>
      </c>
      <c r="C96" s="18" t="s">
        <v>387</v>
      </c>
      <c r="D96" s="18" t="s">
        <v>144</v>
      </c>
      <c r="E96" s="18" t="s">
        <v>145</v>
      </c>
      <c r="F96" s="18" t="n">
        <v>4</v>
      </c>
      <c r="G96" s="18" t="n">
        <v>3</v>
      </c>
      <c r="H96" s="19" t="n">
        <v>12000</v>
      </c>
      <c r="I96" s="20" t="n">
        <v>332</v>
      </c>
      <c r="J96" s="21" t="n">
        <v>3.98</v>
      </c>
      <c r="K96" s="18" t="s">
        <v>145</v>
      </c>
      <c r="L96" s="18" t="s">
        <v>316</v>
      </c>
      <c r="M96" s="13" t="s">
        <v>388</v>
      </c>
      <c r="N96" s="18" t="s">
        <v>86</v>
      </c>
      <c r="O96" s="13" t="s">
        <v>148</v>
      </c>
    </row>
    <row r="97" customFormat="false" ht="57" hidden="false" customHeight="true" outlineLevel="0" collapsed="false">
      <c r="A97" s="18" t="s">
        <v>232</v>
      </c>
      <c r="B97" s="18" t="s">
        <v>617</v>
      </c>
      <c r="C97" s="18" t="s">
        <v>618</v>
      </c>
      <c r="D97" s="18" t="s">
        <v>144</v>
      </c>
      <c r="E97" s="18" t="s">
        <v>145</v>
      </c>
      <c r="F97" s="18" t="n">
        <v>3.5</v>
      </c>
      <c r="G97" s="18" t="n">
        <v>3.5</v>
      </c>
      <c r="H97" s="19" t="n">
        <v>12000</v>
      </c>
      <c r="I97" s="20" t="n">
        <v>332</v>
      </c>
      <c r="J97" s="21" t="n">
        <v>3.98</v>
      </c>
      <c r="K97" s="18" t="s">
        <v>155</v>
      </c>
      <c r="L97" s="18" t="s">
        <v>537</v>
      </c>
      <c r="M97" s="13" t="s">
        <v>619</v>
      </c>
      <c r="N97" s="18" t="s">
        <v>86</v>
      </c>
      <c r="O97" s="13" t="s">
        <v>148</v>
      </c>
    </row>
    <row r="98" customFormat="false" ht="57" hidden="false" customHeight="true" outlineLevel="0" collapsed="false">
      <c r="A98" s="18" t="s">
        <v>288</v>
      </c>
      <c r="B98" s="18" t="s">
        <v>620</v>
      </c>
      <c r="C98" s="18" t="s">
        <v>536</v>
      </c>
      <c r="D98" s="18" t="s">
        <v>144</v>
      </c>
      <c r="E98" s="18" t="s">
        <v>145</v>
      </c>
      <c r="F98" s="18" t="n">
        <v>3</v>
      </c>
      <c r="G98" s="18" t="n">
        <v>3.5</v>
      </c>
      <c r="H98" s="19" t="n">
        <v>11941</v>
      </c>
      <c r="I98" s="20" t="n">
        <v>332</v>
      </c>
      <c r="J98" s="21" t="n">
        <v>3.96</v>
      </c>
      <c r="K98" s="18" t="s">
        <v>155</v>
      </c>
      <c r="L98" s="18" t="s">
        <v>621</v>
      </c>
      <c r="M98" s="13" t="s">
        <v>622</v>
      </c>
      <c r="N98" s="18" t="s">
        <v>86</v>
      </c>
      <c r="O98" s="13" t="s">
        <v>148</v>
      </c>
    </row>
    <row r="99" customFormat="false" ht="45.75" hidden="false" customHeight="true" outlineLevel="0" collapsed="false">
      <c r="A99" s="18" t="s">
        <v>346</v>
      </c>
      <c r="B99" s="18" t="s">
        <v>347</v>
      </c>
      <c r="C99" s="18" t="s">
        <v>348</v>
      </c>
      <c r="D99" s="18" t="s">
        <v>144</v>
      </c>
      <c r="E99" s="18" t="s">
        <v>155</v>
      </c>
      <c r="F99" s="18" t="n">
        <v>3.5</v>
      </c>
      <c r="G99" s="18" t="n">
        <v>3.5</v>
      </c>
      <c r="H99" s="19" t="n">
        <v>11033</v>
      </c>
      <c r="I99" s="20" t="n">
        <v>351</v>
      </c>
      <c r="J99" s="21" t="n">
        <v>3.87</v>
      </c>
      <c r="K99" s="18" t="s">
        <v>145</v>
      </c>
      <c r="L99" s="18" t="s">
        <v>349</v>
      </c>
      <c r="M99" s="13" t="s">
        <v>350</v>
      </c>
      <c r="N99" s="18" t="s">
        <v>156</v>
      </c>
      <c r="O99" s="13" t="s">
        <v>159</v>
      </c>
    </row>
    <row r="100" customFormat="false" ht="57" hidden="false" customHeight="true" outlineLevel="0" collapsed="false">
      <c r="A100" s="18" t="s">
        <v>389</v>
      </c>
      <c r="B100" s="18" t="s">
        <v>390</v>
      </c>
      <c r="C100" s="18" t="s">
        <v>391</v>
      </c>
      <c r="D100" s="18" t="s">
        <v>144</v>
      </c>
      <c r="E100" s="18" t="s">
        <v>145</v>
      </c>
      <c r="F100" s="18" t="n">
        <v>3.5</v>
      </c>
      <c r="G100" s="18" t="n">
        <v>3.5</v>
      </c>
      <c r="H100" s="19" t="n">
        <v>11563</v>
      </c>
      <c r="I100" s="20" t="n">
        <v>332</v>
      </c>
      <c r="J100" s="21" t="n">
        <v>3.84</v>
      </c>
      <c r="K100" s="18" t="s">
        <v>145</v>
      </c>
      <c r="L100" s="18" t="s">
        <v>349</v>
      </c>
      <c r="M100" s="13" t="s">
        <v>392</v>
      </c>
      <c r="N100" s="18" t="s">
        <v>86</v>
      </c>
      <c r="O100" s="13" t="s">
        <v>148</v>
      </c>
    </row>
    <row r="101" customFormat="false" ht="45.75" hidden="false" customHeight="true" outlineLevel="0" collapsed="false">
      <c r="A101" s="18" t="s">
        <v>288</v>
      </c>
      <c r="B101" s="18" t="s">
        <v>623</v>
      </c>
      <c r="C101" s="18" t="s">
        <v>290</v>
      </c>
      <c r="D101" s="18" t="s">
        <v>144</v>
      </c>
      <c r="E101" s="18" t="s">
        <v>155</v>
      </c>
      <c r="F101" s="18" t="n">
        <v>3.5</v>
      </c>
      <c r="G101" s="18" t="n">
        <v>3.5</v>
      </c>
      <c r="H101" s="19" t="n">
        <v>10478</v>
      </c>
      <c r="I101" s="20" t="n">
        <v>351</v>
      </c>
      <c r="J101" s="21" t="n">
        <v>3.68</v>
      </c>
      <c r="K101" s="18" t="s">
        <v>155</v>
      </c>
      <c r="L101" s="18" t="s">
        <v>584</v>
      </c>
      <c r="M101" s="13" t="s">
        <v>624</v>
      </c>
      <c r="N101" s="18" t="s">
        <v>156</v>
      </c>
      <c r="O101" s="13" t="s">
        <v>159</v>
      </c>
    </row>
    <row r="102" customFormat="false" ht="57" hidden="false" customHeight="true" outlineLevel="0" collapsed="false">
      <c r="A102" s="18" t="s">
        <v>396</v>
      </c>
      <c r="B102" s="18" t="s">
        <v>397</v>
      </c>
      <c r="C102" s="18" t="s">
        <v>398</v>
      </c>
      <c r="D102" s="18" t="s">
        <v>144</v>
      </c>
      <c r="E102" s="18" t="s">
        <v>145</v>
      </c>
      <c r="F102" s="18" t="n">
        <v>3</v>
      </c>
      <c r="G102" s="18" t="n">
        <v>3.5</v>
      </c>
      <c r="H102" s="19" t="n">
        <v>10955</v>
      </c>
      <c r="I102" s="20" t="n">
        <v>332</v>
      </c>
      <c r="J102" s="21" t="n">
        <v>3.64</v>
      </c>
      <c r="K102" s="18" t="s">
        <v>145</v>
      </c>
      <c r="L102" s="18" t="s">
        <v>253</v>
      </c>
      <c r="M102" s="13" t="s">
        <v>399</v>
      </c>
      <c r="N102" s="18" t="s">
        <v>86</v>
      </c>
      <c r="O102" s="13" t="s">
        <v>148</v>
      </c>
    </row>
    <row r="103" customFormat="false" ht="45.75" hidden="false" customHeight="true" outlineLevel="0" collapsed="false">
      <c r="A103" s="18" t="s">
        <v>625</v>
      </c>
      <c r="B103" s="18" t="s">
        <v>626</v>
      </c>
      <c r="C103" s="18" t="s">
        <v>627</v>
      </c>
      <c r="D103" s="18" t="s">
        <v>144</v>
      </c>
      <c r="E103" s="18" t="s">
        <v>155</v>
      </c>
      <c r="F103" s="18" t="n">
        <v>3.5</v>
      </c>
      <c r="G103" s="18" t="n">
        <v>3.5</v>
      </c>
      <c r="H103" s="19" t="n">
        <v>10322</v>
      </c>
      <c r="I103" s="20" t="n">
        <v>351</v>
      </c>
      <c r="J103" s="21" t="n">
        <v>3.62</v>
      </c>
      <c r="K103" s="18" t="s">
        <v>155</v>
      </c>
      <c r="L103" s="18" t="s">
        <v>497</v>
      </c>
      <c r="M103" s="13" t="s">
        <v>628</v>
      </c>
      <c r="N103" s="18" t="s">
        <v>156</v>
      </c>
      <c r="O103" s="13" t="s">
        <v>159</v>
      </c>
    </row>
    <row r="104" customFormat="false" ht="57" hidden="false" customHeight="true" outlineLevel="0" collapsed="false">
      <c r="A104" s="18" t="s">
        <v>400</v>
      </c>
      <c r="B104" s="18" t="s">
        <v>401</v>
      </c>
      <c r="C104" s="18" t="s">
        <v>402</v>
      </c>
      <c r="D104" s="18" t="s">
        <v>144</v>
      </c>
      <c r="E104" s="18" t="s">
        <v>145</v>
      </c>
      <c r="F104" s="18" t="n">
        <v>3.5</v>
      </c>
      <c r="G104" s="18" t="n">
        <v>4.5</v>
      </c>
      <c r="H104" s="19" t="n">
        <v>10836</v>
      </c>
      <c r="I104" s="20" t="n">
        <v>332</v>
      </c>
      <c r="J104" s="21" t="n">
        <v>3.6</v>
      </c>
      <c r="K104" s="18" t="s">
        <v>145</v>
      </c>
      <c r="L104" s="18" t="s">
        <v>403</v>
      </c>
      <c r="M104" s="13" t="s">
        <v>404</v>
      </c>
      <c r="N104" s="18" t="s">
        <v>86</v>
      </c>
      <c r="O104" s="13" t="s">
        <v>148</v>
      </c>
    </row>
    <row r="105" customFormat="false" ht="45.75" hidden="false" customHeight="true" outlineLevel="0" collapsed="false">
      <c r="A105" s="18" t="s">
        <v>354</v>
      </c>
      <c r="B105" s="18" t="s">
        <v>355</v>
      </c>
      <c r="C105" s="18" t="s">
        <v>356</v>
      </c>
      <c r="D105" s="18" t="s">
        <v>144</v>
      </c>
      <c r="E105" s="18" t="s">
        <v>155</v>
      </c>
      <c r="F105" s="18" t="n">
        <v>3.5</v>
      </c>
      <c r="G105" s="18" t="n">
        <v>3.5</v>
      </c>
      <c r="H105" s="19" t="n">
        <v>9748</v>
      </c>
      <c r="I105" s="20" t="n">
        <v>351</v>
      </c>
      <c r="J105" s="21" t="n">
        <v>3.42</v>
      </c>
      <c r="K105" s="18" t="s">
        <v>145</v>
      </c>
      <c r="L105" s="18" t="s">
        <v>306</v>
      </c>
      <c r="M105" s="13" t="s">
        <v>357</v>
      </c>
      <c r="N105" s="18" t="s">
        <v>156</v>
      </c>
      <c r="O105" s="13" t="s">
        <v>159</v>
      </c>
    </row>
    <row r="106" customFormat="false" ht="45.75" hidden="false" customHeight="true" outlineLevel="0" collapsed="false">
      <c r="A106" s="18" t="s">
        <v>358</v>
      </c>
      <c r="B106" s="18" t="s">
        <v>359</v>
      </c>
      <c r="C106" s="18" t="s">
        <v>360</v>
      </c>
      <c r="D106" s="18" t="s">
        <v>144</v>
      </c>
      <c r="E106" s="18" t="s">
        <v>155</v>
      </c>
      <c r="F106" s="18" t="n">
        <v>3.5</v>
      </c>
      <c r="G106" s="18" t="n">
        <v>4</v>
      </c>
      <c r="H106" s="19" t="n">
        <v>9481</v>
      </c>
      <c r="I106" s="20" t="n">
        <v>351</v>
      </c>
      <c r="J106" s="21" t="n">
        <v>3.33</v>
      </c>
      <c r="K106" s="18" t="s">
        <v>145</v>
      </c>
      <c r="L106" s="18" t="s">
        <v>361</v>
      </c>
      <c r="M106" s="13" t="s">
        <v>362</v>
      </c>
      <c r="N106" s="18" t="s">
        <v>156</v>
      </c>
      <c r="O106" s="13" t="s">
        <v>159</v>
      </c>
    </row>
    <row r="107" customFormat="false" ht="57" hidden="false" customHeight="true" outlineLevel="0" collapsed="false">
      <c r="A107" s="18" t="s">
        <v>411</v>
      </c>
      <c r="B107" s="18" t="s">
        <v>412</v>
      </c>
      <c r="C107" s="18" t="s">
        <v>413</v>
      </c>
      <c r="D107" s="18" t="s">
        <v>144</v>
      </c>
      <c r="E107" s="18" t="s">
        <v>145</v>
      </c>
      <c r="F107" s="18" t="n">
        <v>3.5</v>
      </c>
      <c r="G107" s="18" t="n">
        <v>4</v>
      </c>
      <c r="H107" s="19" t="n">
        <v>9927</v>
      </c>
      <c r="I107" s="20" t="n">
        <v>332</v>
      </c>
      <c r="J107" s="21" t="n">
        <v>3.3</v>
      </c>
      <c r="K107" s="18" t="s">
        <v>145</v>
      </c>
      <c r="L107" s="18" t="s">
        <v>414</v>
      </c>
      <c r="M107" s="13" t="s">
        <v>415</v>
      </c>
      <c r="N107" s="18" t="s">
        <v>86</v>
      </c>
      <c r="O107" s="13" t="s">
        <v>148</v>
      </c>
    </row>
    <row r="108" customFormat="false" ht="57" hidden="false" customHeight="true" outlineLevel="0" collapsed="false">
      <c r="A108" s="18" t="s">
        <v>250</v>
      </c>
      <c r="B108" s="18" t="s">
        <v>629</v>
      </c>
      <c r="C108" s="18" t="s">
        <v>319</v>
      </c>
      <c r="D108" s="18" t="s">
        <v>144</v>
      </c>
      <c r="E108" s="18" t="s">
        <v>145</v>
      </c>
      <c r="F108" s="18" t="n">
        <v>3</v>
      </c>
      <c r="G108" s="18" t="n">
        <v>3.5</v>
      </c>
      <c r="H108" s="19" t="n">
        <v>9748</v>
      </c>
      <c r="I108" s="20" t="n">
        <v>332</v>
      </c>
      <c r="J108" s="21" t="n">
        <v>3.24</v>
      </c>
      <c r="K108" s="18" t="s">
        <v>155</v>
      </c>
      <c r="L108" s="18" t="s">
        <v>595</v>
      </c>
      <c r="M108" s="13" t="s">
        <v>630</v>
      </c>
      <c r="N108" s="18" t="s">
        <v>86</v>
      </c>
      <c r="O108" s="13" t="s">
        <v>148</v>
      </c>
    </row>
    <row r="109" customFormat="false" ht="57" hidden="false" customHeight="true" outlineLevel="0" collapsed="false">
      <c r="A109" s="18" t="s">
        <v>358</v>
      </c>
      <c r="B109" s="18" t="s">
        <v>416</v>
      </c>
      <c r="C109" s="18" t="s">
        <v>360</v>
      </c>
      <c r="D109" s="18" t="s">
        <v>144</v>
      </c>
      <c r="E109" s="18" t="s">
        <v>145</v>
      </c>
      <c r="F109" s="18" t="n">
        <v>3</v>
      </c>
      <c r="G109" s="18" t="n">
        <v>3.5</v>
      </c>
      <c r="H109" s="19" t="n">
        <v>9657</v>
      </c>
      <c r="I109" s="20" t="n">
        <v>332</v>
      </c>
      <c r="J109" s="21" t="n">
        <v>3.21</v>
      </c>
      <c r="K109" s="18" t="s">
        <v>145</v>
      </c>
      <c r="L109" s="18" t="s">
        <v>417</v>
      </c>
      <c r="M109" s="13" t="s">
        <v>418</v>
      </c>
      <c r="N109" s="18" t="s">
        <v>86</v>
      </c>
      <c r="O109" s="13" t="s">
        <v>148</v>
      </c>
    </row>
    <row r="110" customFormat="false" ht="45.75" hidden="false" customHeight="true" outlineLevel="0" collapsed="false">
      <c r="A110" s="18" t="s">
        <v>631</v>
      </c>
      <c r="B110" s="18" t="s">
        <v>632</v>
      </c>
      <c r="C110" s="18" t="s">
        <v>633</v>
      </c>
      <c r="D110" s="18" t="s">
        <v>144</v>
      </c>
      <c r="E110" s="18" t="s">
        <v>155</v>
      </c>
      <c r="F110" s="18" t="n">
        <v>4</v>
      </c>
      <c r="G110" s="18" t="n">
        <v>3</v>
      </c>
      <c r="H110" s="19" t="n">
        <v>8858</v>
      </c>
      <c r="I110" s="20" t="n">
        <v>351</v>
      </c>
      <c r="J110" s="21" t="n">
        <v>3.11</v>
      </c>
      <c r="K110" s="18" t="s">
        <v>155</v>
      </c>
      <c r="L110" s="18" t="s">
        <v>612</v>
      </c>
      <c r="M110" s="13" t="s">
        <v>634</v>
      </c>
      <c r="N110" s="18" t="s">
        <v>156</v>
      </c>
      <c r="O110" s="13" t="s">
        <v>159</v>
      </c>
    </row>
    <row r="111" customFormat="false" ht="57" hidden="false" customHeight="true" outlineLevel="0" collapsed="false">
      <c r="A111" s="18" t="s">
        <v>419</v>
      </c>
      <c r="B111" s="18" t="s">
        <v>420</v>
      </c>
      <c r="C111" s="18" t="s">
        <v>421</v>
      </c>
      <c r="D111" s="18" t="s">
        <v>144</v>
      </c>
      <c r="E111" s="18" t="s">
        <v>145</v>
      </c>
      <c r="F111" s="18" t="n">
        <v>3</v>
      </c>
      <c r="G111" s="18" t="n">
        <v>4</v>
      </c>
      <c r="H111" s="19" t="n">
        <v>9248</v>
      </c>
      <c r="I111" s="20" t="n">
        <v>332</v>
      </c>
      <c r="J111" s="21" t="n">
        <v>3.07</v>
      </c>
      <c r="K111" s="18" t="s">
        <v>145</v>
      </c>
      <c r="L111" s="18" t="s">
        <v>417</v>
      </c>
      <c r="M111" s="13" t="s">
        <v>422</v>
      </c>
      <c r="N111" s="18" t="s">
        <v>86</v>
      </c>
      <c r="O111" s="13" t="s">
        <v>148</v>
      </c>
    </row>
    <row r="112" customFormat="false" ht="45.75" hidden="false" customHeight="true" outlineLevel="0" collapsed="false">
      <c r="A112" s="18" t="s">
        <v>635</v>
      </c>
      <c r="B112" s="18" t="s">
        <v>636</v>
      </c>
      <c r="C112" s="18" t="s">
        <v>637</v>
      </c>
      <c r="D112" s="18" t="s">
        <v>144</v>
      </c>
      <c r="E112" s="18" t="s">
        <v>155</v>
      </c>
      <c r="F112" s="18" t="n">
        <v>3.5</v>
      </c>
      <c r="G112" s="18" t="n">
        <v>3.5</v>
      </c>
      <c r="H112" s="19" t="n">
        <v>8651</v>
      </c>
      <c r="I112" s="20" t="n">
        <v>351</v>
      </c>
      <c r="J112" s="21" t="n">
        <v>3.04</v>
      </c>
      <c r="K112" s="18" t="s">
        <v>155</v>
      </c>
      <c r="L112" s="18" t="s">
        <v>638</v>
      </c>
      <c r="M112" s="13" t="s">
        <v>639</v>
      </c>
      <c r="N112" s="18" t="s">
        <v>156</v>
      </c>
      <c r="O112" s="13" t="s">
        <v>159</v>
      </c>
    </row>
    <row r="113" customFormat="false" ht="57" hidden="false" customHeight="true" outlineLevel="0" collapsed="false">
      <c r="A113" s="18" t="s">
        <v>423</v>
      </c>
      <c r="B113" s="18" t="s">
        <v>424</v>
      </c>
      <c r="C113" s="18" t="s">
        <v>425</v>
      </c>
      <c r="D113" s="18" t="s">
        <v>144</v>
      </c>
      <c r="E113" s="18" t="s">
        <v>145</v>
      </c>
      <c r="F113" s="18" t="n">
        <v>3.5</v>
      </c>
      <c r="G113" s="18" t="n">
        <v>4</v>
      </c>
      <c r="H113" s="19" t="n">
        <v>9056</v>
      </c>
      <c r="I113" s="20" t="n">
        <v>332</v>
      </c>
      <c r="J113" s="21" t="n">
        <v>3.01</v>
      </c>
      <c r="K113" s="18" t="s">
        <v>145</v>
      </c>
      <c r="L113" s="18" t="s">
        <v>426</v>
      </c>
      <c r="M113" s="13" t="s">
        <v>427</v>
      </c>
      <c r="N113" s="18" t="s">
        <v>86</v>
      </c>
      <c r="O113" s="13" t="s">
        <v>148</v>
      </c>
    </row>
    <row r="114" customFormat="false" ht="45.75" hidden="false" customHeight="true" outlineLevel="0" collapsed="false">
      <c r="A114" s="18" t="s">
        <v>288</v>
      </c>
      <c r="B114" s="18" t="s">
        <v>372</v>
      </c>
      <c r="C114" s="18" t="s">
        <v>290</v>
      </c>
      <c r="D114" s="18" t="s">
        <v>144</v>
      </c>
      <c r="E114" s="18" t="s">
        <v>155</v>
      </c>
      <c r="F114" s="18" t="n">
        <v>3.5</v>
      </c>
      <c r="G114" s="18" t="n">
        <v>3</v>
      </c>
      <c r="H114" s="19" t="n">
        <v>8508</v>
      </c>
      <c r="I114" s="20" t="n">
        <v>351</v>
      </c>
      <c r="J114" s="21" t="n">
        <v>2.99</v>
      </c>
      <c r="K114" s="18" t="s">
        <v>145</v>
      </c>
      <c r="L114" s="18" t="s">
        <v>373</v>
      </c>
      <c r="M114" s="13" t="s">
        <v>374</v>
      </c>
      <c r="N114" s="18" t="s">
        <v>156</v>
      </c>
      <c r="O114" s="13" t="s">
        <v>159</v>
      </c>
    </row>
    <row r="115" customFormat="false" ht="45.75" hidden="false" customHeight="true" outlineLevel="0" collapsed="false">
      <c r="A115" s="18" t="s">
        <v>152</v>
      </c>
      <c r="B115" s="18" t="s">
        <v>640</v>
      </c>
      <c r="C115" s="18" t="s">
        <v>641</v>
      </c>
      <c r="D115" s="18" t="s">
        <v>144</v>
      </c>
      <c r="E115" s="18" t="s">
        <v>155</v>
      </c>
      <c r="F115" s="18" t="n">
        <v>3.5</v>
      </c>
      <c r="G115" s="18" t="n">
        <v>3</v>
      </c>
      <c r="H115" s="19" t="n">
        <v>8402</v>
      </c>
      <c r="I115" s="20" t="n">
        <v>351</v>
      </c>
      <c r="J115" s="21" t="n">
        <v>2.95</v>
      </c>
      <c r="K115" s="18" t="s">
        <v>155</v>
      </c>
      <c r="L115" s="18" t="s">
        <v>642</v>
      </c>
      <c r="M115" s="13" t="s">
        <v>643</v>
      </c>
      <c r="N115" s="18" t="s">
        <v>156</v>
      </c>
      <c r="O115" s="13" t="s">
        <v>159</v>
      </c>
    </row>
    <row r="116" customFormat="false" ht="45.75" hidden="false" customHeight="true" outlineLevel="0" collapsed="false">
      <c r="A116" s="18" t="s">
        <v>191</v>
      </c>
      <c r="B116" s="18" t="s">
        <v>375</v>
      </c>
      <c r="C116" s="18" t="s">
        <v>193</v>
      </c>
      <c r="D116" s="18" t="s">
        <v>144</v>
      </c>
      <c r="E116" s="18" t="s">
        <v>155</v>
      </c>
      <c r="F116" s="18" t="n">
        <v>3.5</v>
      </c>
      <c r="G116" s="18" t="n">
        <v>3.5</v>
      </c>
      <c r="H116" s="19" t="n">
        <v>8167</v>
      </c>
      <c r="I116" s="20" t="n">
        <v>351</v>
      </c>
      <c r="J116" s="21" t="n">
        <v>2.87</v>
      </c>
      <c r="K116" s="18" t="s">
        <v>145</v>
      </c>
      <c r="L116" s="18" t="s">
        <v>342</v>
      </c>
      <c r="M116" s="13" t="s">
        <v>376</v>
      </c>
      <c r="N116" s="18" t="s">
        <v>156</v>
      </c>
      <c r="O116" s="13" t="s">
        <v>159</v>
      </c>
    </row>
    <row r="117" customFormat="false" ht="57" hidden="false" customHeight="true" outlineLevel="0" collapsed="false">
      <c r="A117" s="18" t="s">
        <v>213</v>
      </c>
      <c r="B117" s="18" t="s">
        <v>428</v>
      </c>
      <c r="C117" s="18" t="s">
        <v>215</v>
      </c>
      <c r="D117" s="18" t="s">
        <v>144</v>
      </c>
      <c r="E117" s="18" t="s">
        <v>145</v>
      </c>
      <c r="F117" s="18" t="n">
        <v>3</v>
      </c>
      <c r="G117" s="18" t="n">
        <v>3.5</v>
      </c>
      <c r="H117" s="19" t="n">
        <v>8582</v>
      </c>
      <c r="I117" s="20" t="n">
        <v>332</v>
      </c>
      <c r="J117" s="21" t="n">
        <v>2.85</v>
      </c>
      <c r="K117" s="18" t="s">
        <v>145</v>
      </c>
      <c r="L117" s="18" t="s">
        <v>394</v>
      </c>
      <c r="M117" s="13" t="s">
        <v>429</v>
      </c>
      <c r="N117" s="18" t="s">
        <v>86</v>
      </c>
      <c r="O117" s="13" t="s">
        <v>148</v>
      </c>
    </row>
    <row r="118" customFormat="false" ht="45.75" hidden="false" customHeight="true" outlineLevel="0" collapsed="false">
      <c r="A118" s="18" t="s">
        <v>644</v>
      </c>
      <c r="B118" s="18" t="s">
        <v>645</v>
      </c>
      <c r="C118" s="18" t="s">
        <v>646</v>
      </c>
      <c r="D118" s="18" t="s">
        <v>144</v>
      </c>
      <c r="E118" s="18" t="s">
        <v>155</v>
      </c>
      <c r="F118" s="18" t="n">
        <v>3.5</v>
      </c>
      <c r="G118" s="18" t="n">
        <v>3</v>
      </c>
      <c r="H118" s="19" t="n">
        <v>7871</v>
      </c>
      <c r="I118" s="20" t="n">
        <v>351</v>
      </c>
      <c r="J118" s="21" t="n">
        <v>2.76</v>
      </c>
      <c r="K118" s="18" t="s">
        <v>155</v>
      </c>
      <c r="L118" s="18" t="s">
        <v>609</v>
      </c>
      <c r="M118" s="13" t="s">
        <v>647</v>
      </c>
      <c r="N118" s="18" t="s">
        <v>156</v>
      </c>
      <c r="O118" s="13" t="s">
        <v>159</v>
      </c>
    </row>
    <row r="119" customFormat="false" ht="45.75" hidden="false" customHeight="true" outlineLevel="0" collapsed="false">
      <c r="A119" s="18" t="s">
        <v>213</v>
      </c>
      <c r="B119" s="18" t="s">
        <v>393</v>
      </c>
      <c r="C119" s="18" t="s">
        <v>215</v>
      </c>
      <c r="D119" s="18" t="s">
        <v>144</v>
      </c>
      <c r="E119" s="18" t="s">
        <v>155</v>
      </c>
      <c r="F119" s="18" t="n">
        <v>3.5</v>
      </c>
      <c r="G119" s="18" t="n">
        <v>3.5</v>
      </c>
      <c r="H119" s="19" t="n">
        <v>7272</v>
      </c>
      <c r="I119" s="20" t="n">
        <v>351</v>
      </c>
      <c r="J119" s="21" t="n">
        <v>2.55</v>
      </c>
      <c r="K119" s="18" t="s">
        <v>145</v>
      </c>
      <c r="L119" s="18" t="s">
        <v>394</v>
      </c>
      <c r="M119" s="13" t="s">
        <v>395</v>
      </c>
      <c r="N119" s="18" t="s">
        <v>156</v>
      </c>
      <c r="O119" s="13" t="s">
        <v>159</v>
      </c>
    </row>
    <row r="120" customFormat="false" ht="57" hidden="false" customHeight="true" outlineLevel="0" collapsed="false">
      <c r="A120" s="18" t="s">
        <v>250</v>
      </c>
      <c r="B120" s="18" t="s">
        <v>430</v>
      </c>
      <c r="C120" s="18" t="s">
        <v>252</v>
      </c>
      <c r="D120" s="18" t="s">
        <v>144</v>
      </c>
      <c r="E120" s="18" t="s">
        <v>145</v>
      </c>
      <c r="F120" s="18" t="n">
        <v>3.5</v>
      </c>
      <c r="G120" s="18" t="n">
        <v>3.5</v>
      </c>
      <c r="H120" s="19" t="n">
        <v>7571</v>
      </c>
      <c r="I120" s="20" t="n">
        <v>332</v>
      </c>
      <c r="J120" s="21" t="n">
        <v>2.51</v>
      </c>
      <c r="K120" s="18" t="s">
        <v>145</v>
      </c>
      <c r="L120" s="18" t="s">
        <v>373</v>
      </c>
      <c r="M120" s="13" t="s">
        <v>431</v>
      </c>
      <c r="N120" s="18" t="s">
        <v>86</v>
      </c>
      <c r="O120" s="13" t="s">
        <v>148</v>
      </c>
    </row>
    <row r="121" customFormat="false" ht="45.75" hidden="false" customHeight="true" outlineLevel="0" collapsed="false">
      <c r="A121" s="18" t="s">
        <v>250</v>
      </c>
      <c r="B121" s="18" t="s">
        <v>648</v>
      </c>
      <c r="C121" s="18" t="s">
        <v>319</v>
      </c>
      <c r="D121" s="18" t="s">
        <v>144</v>
      </c>
      <c r="E121" s="18" t="s">
        <v>155</v>
      </c>
      <c r="F121" s="18" t="n">
        <v>3</v>
      </c>
      <c r="G121" s="18" t="n">
        <v>3.5</v>
      </c>
      <c r="H121" s="19" t="n">
        <v>7086</v>
      </c>
      <c r="I121" s="20" t="n">
        <v>351</v>
      </c>
      <c r="J121" s="21" t="n">
        <v>2.49</v>
      </c>
      <c r="K121" s="18" t="s">
        <v>155</v>
      </c>
      <c r="L121" s="18" t="s">
        <v>649</v>
      </c>
      <c r="M121" s="13" t="s">
        <v>650</v>
      </c>
      <c r="N121" s="18" t="s">
        <v>156</v>
      </c>
      <c r="O121" s="13" t="s">
        <v>159</v>
      </c>
    </row>
    <row r="122" customFormat="false" ht="45.75" hidden="false" customHeight="true" outlineLevel="0" collapsed="false">
      <c r="A122" s="18" t="s">
        <v>396</v>
      </c>
      <c r="B122" s="18" t="s">
        <v>405</v>
      </c>
      <c r="C122" s="18" t="s">
        <v>398</v>
      </c>
      <c r="D122" s="18" t="s">
        <v>144</v>
      </c>
      <c r="E122" s="18" t="s">
        <v>155</v>
      </c>
      <c r="F122" s="18" t="n">
        <v>3</v>
      </c>
      <c r="G122" s="18" t="n">
        <v>4</v>
      </c>
      <c r="H122" s="19" t="n">
        <v>6977</v>
      </c>
      <c r="I122" s="20" t="n">
        <v>351</v>
      </c>
      <c r="J122" s="21" t="n">
        <v>2.45</v>
      </c>
      <c r="K122" s="18" t="s">
        <v>145</v>
      </c>
      <c r="L122" s="18" t="s">
        <v>150</v>
      </c>
      <c r="M122" s="13" t="s">
        <v>406</v>
      </c>
      <c r="N122" s="18" t="s">
        <v>156</v>
      </c>
      <c r="O122" s="13" t="s">
        <v>159</v>
      </c>
    </row>
    <row r="123" customFormat="false" ht="45.75" hidden="false" customHeight="true" outlineLevel="0" collapsed="false">
      <c r="A123" s="18" t="s">
        <v>651</v>
      </c>
      <c r="B123" s="18" t="s">
        <v>652</v>
      </c>
      <c r="C123" s="18" t="s">
        <v>653</v>
      </c>
      <c r="D123" s="18" t="s">
        <v>144</v>
      </c>
      <c r="E123" s="18" t="s">
        <v>155</v>
      </c>
      <c r="F123" s="18" t="n">
        <v>3.5</v>
      </c>
      <c r="G123" s="18" t="n">
        <v>3</v>
      </c>
      <c r="H123" s="19" t="n">
        <v>6842</v>
      </c>
      <c r="I123" s="20" t="n">
        <v>351</v>
      </c>
      <c r="J123" s="21" t="n">
        <v>2.4</v>
      </c>
      <c r="K123" s="18" t="s">
        <v>155</v>
      </c>
      <c r="L123" s="18" t="s">
        <v>527</v>
      </c>
      <c r="M123" s="13" t="s">
        <v>654</v>
      </c>
      <c r="N123" s="18" t="s">
        <v>156</v>
      </c>
      <c r="O123" s="13" t="s">
        <v>159</v>
      </c>
    </row>
    <row r="124" customFormat="false" ht="45.75" hidden="false" customHeight="true" outlineLevel="0" collapsed="false">
      <c r="A124" s="18" t="s">
        <v>407</v>
      </c>
      <c r="B124" s="18" t="s">
        <v>408</v>
      </c>
      <c r="C124" s="18" t="s">
        <v>409</v>
      </c>
      <c r="D124" s="18" t="s">
        <v>144</v>
      </c>
      <c r="E124" s="18" t="s">
        <v>155</v>
      </c>
      <c r="F124" s="18" t="n">
        <v>3.5</v>
      </c>
      <c r="G124" s="18" t="n">
        <v>4</v>
      </c>
      <c r="H124" s="19" t="n">
        <v>6676</v>
      </c>
      <c r="I124" s="20" t="n">
        <v>351</v>
      </c>
      <c r="J124" s="21" t="n">
        <v>2.34</v>
      </c>
      <c r="K124" s="18" t="s">
        <v>145</v>
      </c>
      <c r="L124" s="18" t="s">
        <v>349</v>
      </c>
      <c r="M124" s="13" t="s">
        <v>410</v>
      </c>
      <c r="N124" s="18" t="s">
        <v>156</v>
      </c>
      <c r="O124" s="13" t="s">
        <v>159</v>
      </c>
    </row>
    <row r="125" customFormat="false" ht="57" hidden="false" customHeight="true" outlineLevel="0" collapsed="false">
      <c r="A125" s="18" t="s">
        <v>250</v>
      </c>
      <c r="B125" s="18" t="s">
        <v>655</v>
      </c>
      <c r="C125" s="18" t="s">
        <v>252</v>
      </c>
      <c r="D125" s="18" t="s">
        <v>144</v>
      </c>
      <c r="E125" s="18" t="s">
        <v>145</v>
      </c>
      <c r="F125" s="18" t="n">
        <v>3.5</v>
      </c>
      <c r="G125" s="18" t="n">
        <v>3</v>
      </c>
      <c r="H125" s="19" t="n">
        <v>6338</v>
      </c>
      <c r="I125" s="20" t="n">
        <v>332</v>
      </c>
      <c r="J125" s="21" t="n">
        <v>2.1</v>
      </c>
      <c r="K125" s="18" t="s">
        <v>155</v>
      </c>
      <c r="L125" s="18" t="s">
        <v>656</v>
      </c>
      <c r="M125" s="13" t="s">
        <v>657</v>
      </c>
      <c r="N125" s="18" t="s">
        <v>86</v>
      </c>
      <c r="O125" s="13" t="s">
        <v>148</v>
      </c>
    </row>
    <row r="126" customFormat="false" ht="57" hidden="false" customHeight="true" outlineLevel="0" collapsed="false">
      <c r="A126" s="18" t="s">
        <v>250</v>
      </c>
      <c r="B126" s="18" t="s">
        <v>658</v>
      </c>
      <c r="C126" s="18" t="s">
        <v>252</v>
      </c>
      <c r="D126" s="18" t="s">
        <v>144</v>
      </c>
      <c r="E126" s="18" t="s">
        <v>145</v>
      </c>
      <c r="F126" s="18" t="n">
        <v>3.5</v>
      </c>
      <c r="G126" s="18" t="n">
        <v>3</v>
      </c>
      <c r="H126" s="19" t="n">
        <v>6260</v>
      </c>
      <c r="I126" s="20" t="n">
        <v>332</v>
      </c>
      <c r="J126" s="21" t="n">
        <v>2.08</v>
      </c>
      <c r="K126" s="18" t="s">
        <v>155</v>
      </c>
      <c r="L126" s="18" t="s">
        <v>659</v>
      </c>
      <c r="M126" s="13" t="s">
        <v>660</v>
      </c>
      <c r="N126" s="18" t="s">
        <v>86</v>
      </c>
      <c r="O126" s="13" t="s">
        <v>148</v>
      </c>
    </row>
    <row r="127" customFormat="false" ht="45.75" hidden="false" customHeight="true" outlineLevel="0" collapsed="false">
      <c r="A127" s="18" t="s">
        <v>142</v>
      </c>
      <c r="B127" s="18" t="s">
        <v>661</v>
      </c>
      <c r="C127" s="18" t="s">
        <v>142</v>
      </c>
      <c r="D127" s="18" t="s">
        <v>178</v>
      </c>
      <c r="E127" s="18" t="s">
        <v>155</v>
      </c>
      <c r="F127" s="18" t="n">
        <v>3.5</v>
      </c>
      <c r="G127" s="18" t="n">
        <v>3.5</v>
      </c>
      <c r="H127" s="19" t="n">
        <v>5669</v>
      </c>
      <c r="I127" s="20" t="n">
        <v>351</v>
      </c>
      <c r="J127" s="21" t="n">
        <v>1.99</v>
      </c>
      <c r="K127" s="18" t="s">
        <v>155</v>
      </c>
      <c r="L127" s="18" t="s">
        <v>512</v>
      </c>
      <c r="M127" s="13" t="s">
        <v>662</v>
      </c>
      <c r="N127" s="18" t="s">
        <v>156</v>
      </c>
      <c r="O127" s="13" t="s">
        <v>159</v>
      </c>
    </row>
    <row r="128" customFormat="false" ht="57" hidden="false" customHeight="true" outlineLevel="0" collapsed="false">
      <c r="A128" s="18" t="s">
        <v>152</v>
      </c>
      <c r="B128" s="18" t="s">
        <v>663</v>
      </c>
      <c r="C128" s="18" t="s">
        <v>154</v>
      </c>
      <c r="D128" s="18" t="s">
        <v>178</v>
      </c>
      <c r="E128" s="18" t="s">
        <v>145</v>
      </c>
      <c r="F128" s="18" t="n">
        <v>3.5</v>
      </c>
      <c r="G128" s="18" t="n">
        <v>3.5</v>
      </c>
      <c r="H128" s="19" t="n">
        <v>5930</v>
      </c>
      <c r="I128" s="20" t="n">
        <v>332</v>
      </c>
      <c r="J128" s="21" t="n">
        <v>1.97</v>
      </c>
      <c r="K128" s="18" t="s">
        <v>155</v>
      </c>
      <c r="L128" s="18" t="s">
        <v>172</v>
      </c>
      <c r="M128" s="13" t="s">
        <v>664</v>
      </c>
      <c r="N128" s="18" t="s">
        <v>86</v>
      </c>
      <c r="O128" s="13" t="s">
        <v>148</v>
      </c>
    </row>
    <row r="129" customFormat="false" ht="57" hidden="false" customHeight="true" outlineLevel="0" collapsed="false">
      <c r="A129" s="18" t="s">
        <v>442</v>
      </c>
      <c r="B129" s="18" t="s">
        <v>443</v>
      </c>
      <c r="C129" s="18" t="s">
        <v>444</v>
      </c>
      <c r="D129" s="18" t="s">
        <v>144</v>
      </c>
      <c r="E129" s="18" t="s">
        <v>145</v>
      </c>
      <c r="F129" s="18" t="n">
        <v>3.5</v>
      </c>
      <c r="G129" s="18" t="n">
        <v>3</v>
      </c>
      <c r="H129" s="19" t="n">
        <v>5464</v>
      </c>
      <c r="I129" s="20" t="n">
        <v>332</v>
      </c>
      <c r="J129" s="21" t="n">
        <v>1.81</v>
      </c>
      <c r="K129" s="18" t="s">
        <v>145</v>
      </c>
      <c r="L129" s="18" t="s">
        <v>445</v>
      </c>
      <c r="M129" s="13" t="s">
        <v>446</v>
      </c>
      <c r="N129" s="18" t="s">
        <v>86</v>
      </c>
      <c r="O129" s="13" t="s">
        <v>148</v>
      </c>
    </row>
    <row r="130" customFormat="false" ht="57" hidden="false" customHeight="true" outlineLevel="0" collapsed="false">
      <c r="A130" s="18" t="s">
        <v>419</v>
      </c>
      <c r="B130" s="18" t="s">
        <v>450</v>
      </c>
      <c r="C130" s="18" t="s">
        <v>421</v>
      </c>
      <c r="D130" s="18" t="s">
        <v>144</v>
      </c>
      <c r="E130" s="18" t="s">
        <v>145</v>
      </c>
      <c r="F130" s="18" t="n">
        <v>3</v>
      </c>
      <c r="G130" s="18" t="n">
        <v>4.5</v>
      </c>
      <c r="H130" s="19" t="n">
        <v>5207</v>
      </c>
      <c r="I130" s="20" t="n">
        <v>332</v>
      </c>
      <c r="J130" s="21" t="n">
        <v>1.73</v>
      </c>
      <c r="K130" s="18" t="s">
        <v>145</v>
      </c>
      <c r="L130" s="18" t="s">
        <v>240</v>
      </c>
      <c r="M130" s="13" t="s">
        <v>451</v>
      </c>
      <c r="N130" s="18" t="s">
        <v>86</v>
      </c>
      <c r="O130" s="13" t="s">
        <v>148</v>
      </c>
    </row>
    <row r="131" customFormat="false" ht="45.75" hidden="false" customHeight="true" outlineLevel="0" collapsed="false">
      <c r="A131" s="18" t="s">
        <v>354</v>
      </c>
      <c r="B131" s="18" t="s">
        <v>432</v>
      </c>
      <c r="C131" s="18" t="s">
        <v>356</v>
      </c>
      <c r="D131" s="18" t="s">
        <v>144</v>
      </c>
      <c r="E131" s="18" t="s">
        <v>155</v>
      </c>
      <c r="F131" s="18" t="n">
        <v>3.5</v>
      </c>
      <c r="G131" s="18" t="n">
        <v>3.5</v>
      </c>
      <c r="H131" s="19" t="n">
        <v>4854</v>
      </c>
      <c r="I131" s="20" t="n">
        <v>351</v>
      </c>
      <c r="J131" s="21" t="n">
        <v>1.7</v>
      </c>
      <c r="K131" s="18" t="s">
        <v>145</v>
      </c>
      <c r="L131" s="18" t="s">
        <v>271</v>
      </c>
      <c r="M131" s="13" t="s">
        <v>433</v>
      </c>
      <c r="N131" s="18" t="s">
        <v>156</v>
      </c>
      <c r="O131" s="13" t="s">
        <v>159</v>
      </c>
    </row>
    <row r="132" customFormat="false" ht="57" hidden="false" customHeight="true" outlineLevel="0" collapsed="false">
      <c r="A132" s="18" t="s">
        <v>452</v>
      </c>
      <c r="B132" s="18" t="s">
        <v>453</v>
      </c>
      <c r="C132" s="18" t="s">
        <v>454</v>
      </c>
      <c r="D132" s="18" t="s">
        <v>144</v>
      </c>
      <c r="E132" s="18" t="s">
        <v>145</v>
      </c>
      <c r="F132" s="18" t="n">
        <v>3.5</v>
      </c>
      <c r="G132" s="18" t="n">
        <v>4</v>
      </c>
      <c r="H132" s="19" t="n">
        <v>5091</v>
      </c>
      <c r="I132" s="20" t="n">
        <v>332</v>
      </c>
      <c r="J132" s="21" t="n">
        <v>1.69</v>
      </c>
      <c r="K132" s="18" t="s">
        <v>145</v>
      </c>
      <c r="L132" s="18" t="s">
        <v>455</v>
      </c>
      <c r="M132" s="13" t="s">
        <v>456</v>
      </c>
      <c r="N132" s="18" t="s">
        <v>86</v>
      </c>
      <c r="O132" s="13" t="s">
        <v>148</v>
      </c>
    </row>
    <row r="133" customFormat="false" ht="45.75" hidden="false" customHeight="true" outlineLevel="0" collapsed="false">
      <c r="A133" s="18" t="s">
        <v>644</v>
      </c>
      <c r="B133" s="18" t="s">
        <v>665</v>
      </c>
      <c r="C133" s="18" t="s">
        <v>646</v>
      </c>
      <c r="D133" s="18" t="s">
        <v>144</v>
      </c>
      <c r="E133" s="18" t="s">
        <v>155</v>
      </c>
      <c r="F133" s="18" t="n">
        <v>3.5</v>
      </c>
      <c r="G133" s="18" t="n">
        <v>3</v>
      </c>
      <c r="H133" s="19" t="n">
        <v>4581</v>
      </c>
      <c r="I133" s="20" t="n">
        <v>351</v>
      </c>
      <c r="J133" s="21" t="n">
        <v>1.61</v>
      </c>
      <c r="K133" s="18" t="s">
        <v>155</v>
      </c>
      <c r="L133" s="18" t="s">
        <v>527</v>
      </c>
      <c r="M133" s="13" t="s">
        <v>666</v>
      </c>
      <c r="N133" s="18" t="s">
        <v>156</v>
      </c>
      <c r="O133" s="13" t="s">
        <v>159</v>
      </c>
    </row>
    <row r="134" customFormat="false" ht="45.75" hidden="false" customHeight="true" outlineLevel="0" collapsed="false">
      <c r="A134" s="18" t="s">
        <v>142</v>
      </c>
      <c r="B134" s="18" t="s">
        <v>434</v>
      </c>
      <c r="C134" s="18" t="s">
        <v>142</v>
      </c>
      <c r="D134" s="18" t="s">
        <v>144</v>
      </c>
      <c r="E134" s="18" t="s">
        <v>155</v>
      </c>
      <c r="F134" s="18" t="n">
        <v>3.5</v>
      </c>
      <c r="G134" s="18" t="n">
        <v>3.5</v>
      </c>
      <c r="H134" s="19" t="n">
        <v>4301</v>
      </c>
      <c r="I134" s="20" t="n">
        <v>351</v>
      </c>
      <c r="J134" s="21" t="n">
        <v>1.51</v>
      </c>
      <c r="K134" s="18" t="s">
        <v>145</v>
      </c>
      <c r="L134" s="18" t="s">
        <v>435</v>
      </c>
      <c r="M134" s="13" t="s">
        <v>436</v>
      </c>
      <c r="N134" s="18" t="s">
        <v>156</v>
      </c>
      <c r="O134" s="13" t="s">
        <v>159</v>
      </c>
    </row>
    <row r="135" customFormat="false" ht="57" hidden="false" customHeight="true" outlineLevel="0" collapsed="false">
      <c r="A135" s="18" t="s">
        <v>288</v>
      </c>
      <c r="B135" s="18" t="s">
        <v>667</v>
      </c>
      <c r="C135" s="18" t="s">
        <v>536</v>
      </c>
      <c r="D135" s="18" t="s">
        <v>144</v>
      </c>
      <c r="E135" s="18" t="s">
        <v>145</v>
      </c>
      <c r="F135" s="18" t="n">
        <v>3.5</v>
      </c>
      <c r="G135" s="18" t="n">
        <v>3.5</v>
      </c>
      <c r="H135" s="19" t="n">
        <v>4344</v>
      </c>
      <c r="I135" s="20" t="n">
        <v>332</v>
      </c>
      <c r="J135" s="21" t="n">
        <v>1.44</v>
      </c>
      <c r="K135" s="18" t="s">
        <v>155</v>
      </c>
      <c r="L135" s="18" t="s">
        <v>668</v>
      </c>
      <c r="M135" s="13" t="s">
        <v>669</v>
      </c>
      <c r="N135" s="18" t="s">
        <v>86</v>
      </c>
      <c r="O135" s="13" t="s">
        <v>148</v>
      </c>
    </row>
    <row r="136" customFormat="false" ht="57" hidden="false" customHeight="true" outlineLevel="0" collapsed="false">
      <c r="A136" s="18" t="s">
        <v>250</v>
      </c>
      <c r="B136" s="18" t="s">
        <v>670</v>
      </c>
      <c r="C136" s="18" t="s">
        <v>252</v>
      </c>
      <c r="D136" s="18" t="s">
        <v>144</v>
      </c>
      <c r="E136" s="18" t="s">
        <v>145</v>
      </c>
      <c r="F136" s="18" t="n">
        <v>3</v>
      </c>
      <c r="G136" s="18" t="n">
        <v>3</v>
      </c>
      <c r="H136" s="19" t="n">
        <v>4340</v>
      </c>
      <c r="I136" s="20" t="n">
        <v>332</v>
      </c>
      <c r="J136" s="21" t="n">
        <v>1.44</v>
      </c>
      <c r="K136" s="18" t="s">
        <v>155</v>
      </c>
      <c r="L136" s="18" t="s">
        <v>656</v>
      </c>
      <c r="M136" s="13" t="s">
        <v>671</v>
      </c>
      <c r="N136" s="18" t="s">
        <v>86</v>
      </c>
      <c r="O136" s="13" t="s">
        <v>148</v>
      </c>
    </row>
    <row r="137" customFormat="false" ht="45.75" hidden="false" customHeight="true" outlineLevel="0" collapsed="false">
      <c r="A137" s="18" t="s">
        <v>142</v>
      </c>
      <c r="B137" s="18" t="s">
        <v>672</v>
      </c>
      <c r="C137" s="18" t="s">
        <v>142</v>
      </c>
      <c r="D137" s="18" t="s">
        <v>178</v>
      </c>
      <c r="E137" s="18" t="s">
        <v>155</v>
      </c>
      <c r="F137" s="18" t="n">
        <v>3.5</v>
      </c>
      <c r="G137" s="18" t="n">
        <v>3.5</v>
      </c>
      <c r="H137" s="19" t="n">
        <v>4001</v>
      </c>
      <c r="I137" s="20" t="n">
        <v>351</v>
      </c>
      <c r="J137" s="21" t="n">
        <v>1.4</v>
      </c>
      <c r="K137" s="18" t="s">
        <v>155</v>
      </c>
      <c r="L137" s="18" t="s">
        <v>673</v>
      </c>
      <c r="M137" s="13" t="s">
        <v>674</v>
      </c>
      <c r="N137" s="18" t="s">
        <v>156</v>
      </c>
      <c r="O137" s="13" t="s">
        <v>159</v>
      </c>
    </row>
    <row r="138" customFormat="false" ht="45.75" hidden="false" customHeight="true" outlineLevel="0" collapsed="false">
      <c r="A138" s="18" t="s">
        <v>437</v>
      </c>
      <c r="B138" s="18" t="s">
        <v>438</v>
      </c>
      <c r="C138" s="18" t="s">
        <v>439</v>
      </c>
      <c r="D138" s="18" t="s">
        <v>144</v>
      </c>
      <c r="E138" s="18" t="s">
        <v>155</v>
      </c>
      <c r="F138" s="18" t="n">
        <v>3.5</v>
      </c>
      <c r="G138" s="18" t="n">
        <v>3</v>
      </c>
      <c r="H138" s="19" t="n">
        <v>3632</v>
      </c>
      <c r="I138" s="20" t="n">
        <v>351</v>
      </c>
      <c r="J138" s="21" t="n">
        <v>1.27</v>
      </c>
      <c r="K138" s="18" t="s">
        <v>145</v>
      </c>
      <c r="L138" s="18" t="s">
        <v>440</v>
      </c>
      <c r="M138" s="13" t="s">
        <v>441</v>
      </c>
      <c r="N138" s="18" t="s">
        <v>156</v>
      </c>
      <c r="O138" s="13" t="s">
        <v>159</v>
      </c>
    </row>
    <row r="139" customFormat="false" ht="45.75" hidden="false" customHeight="true" outlineLevel="0" collapsed="false">
      <c r="A139" s="18" t="s">
        <v>358</v>
      </c>
      <c r="B139" s="18" t="s">
        <v>447</v>
      </c>
      <c r="C139" s="18" t="s">
        <v>360</v>
      </c>
      <c r="D139" s="18" t="s">
        <v>144</v>
      </c>
      <c r="E139" s="18" t="s">
        <v>155</v>
      </c>
      <c r="F139" s="18" t="n">
        <v>3</v>
      </c>
      <c r="G139" s="18" t="n">
        <v>4</v>
      </c>
      <c r="H139" s="19" t="n">
        <v>3531</v>
      </c>
      <c r="I139" s="20" t="n">
        <v>351</v>
      </c>
      <c r="J139" s="21" t="n">
        <v>1.24</v>
      </c>
      <c r="K139" s="18" t="s">
        <v>145</v>
      </c>
      <c r="L139" s="18" t="s">
        <v>448</v>
      </c>
      <c r="M139" s="13" t="s">
        <v>449</v>
      </c>
      <c r="N139" s="18" t="s">
        <v>156</v>
      </c>
      <c r="O139" s="13" t="s">
        <v>159</v>
      </c>
    </row>
    <row r="140" customFormat="false" ht="45.75" hidden="false" customHeight="true" outlineLevel="0" collapsed="false">
      <c r="A140" s="18" t="s">
        <v>250</v>
      </c>
      <c r="B140" s="18" t="s">
        <v>675</v>
      </c>
      <c r="C140" s="18" t="s">
        <v>319</v>
      </c>
      <c r="D140" s="18" t="s">
        <v>144</v>
      </c>
      <c r="E140" s="18" t="s">
        <v>155</v>
      </c>
      <c r="F140" s="18" t="n">
        <v>3</v>
      </c>
      <c r="G140" s="18" t="n">
        <v>3.5</v>
      </c>
      <c r="H140" s="19" t="n">
        <v>3492</v>
      </c>
      <c r="I140" s="20" t="n">
        <v>351</v>
      </c>
      <c r="J140" s="21" t="n">
        <v>1.23</v>
      </c>
      <c r="K140" s="18" t="s">
        <v>155</v>
      </c>
      <c r="L140" s="18" t="s">
        <v>676</v>
      </c>
      <c r="M140" s="13" t="s">
        <v>677</v>
      </c>
      <c r="N140" s="18" t="s">
        <v>156</v>
      </c>
      <c r="O140" s="13" t="s">
        <v>159</v>
      </c>
    </row>
    <row r="141" customFormat="false" ht="57" hidden="false" customHeight="true" outlineLevel="0" collapsed="false">
      <c r="A141" s="18" t="s">
        <v>250</v>
      </c>
      <c r="B141" s="18" t="s">
        <v>678</v>
      </c>
      <c r="C141" s="18" t="s">
        <v>252</v>
      </c>
      <c r="D141" s="18" t="s">
        <v>144</v>
      </c>
      <c r="E141" s="18" t="s">
        <v>145</v>
      </c>
      <c r="F141" s="18" t="n">
        <v>3</v>
      </c>
      <c r="G141" s="18" t="n">
        <v>3.5</v>
      </c>
      <c r="H141" s="19" t="n">
        <v>3574</v>
      </c>
      <c r="I141" s="20" t="n">
        <v>332</v>
      </c>
      <c r="J141" s="21" t="n">
        <v>1.19</v>
      </c>
      <c r="K141" s="18" t="s">
        <v>155</v>
      </c>
      <c r="L141" s="18" t="s">
        <v>649</v>
      </c>
      <c r="M141" s="13" t="s">
        <v>679</v>
      </c>
      <c r="N141" s="18" t="s">
        <v>86</v>
      </c>
      <c r="O141" s="13" t="s">
        <v>148</v>
      </c>
    </row>
    <row r="142" customFormat="false" ht="57" hidden="false" customHeight="true" outlineLevel="0" collapsed="false">
      <c r="A142" s="18" t="s">
        <v>250</v>
      </c>
      <c r="B142" s="18" t="s">
        <v>680</v>
      </c>
      <c r="C142" s="18" t="s">
        <v>252</v>
      </c>
      <c r="D142" s="18" t="s">
        <v>144</v>
      </c>
      <c r="E142" s="18" t="s">
        <v>145</v>
      </c>
      <c r="F142" s="18" t="n">
        <v>3</v>
      </c>
      <c r="G142" s="18" t="n">
        <v>3</v>
      </c>
      <c r="H142" s="19" t="n">
        <v>3248</v>
      </c>
      <c r="I142" s="20" t="n">
        <v>332</v>
      </c>
      <c r="J142" s="21" t="n">
        <v>1.08</v>
      </c>
      <c r="K142" s="18" t="s">
        <v>155</v>
      </c>
      <c r="L142" s="18" t="s">
        <v>615</v>
      </c>
      <c r="M142" s="13" t="s">
        <v>681</v>
      </c>
      <c r="N142" s="18" t="s">
        <v>86</v>
      </c>
      <c r="O142" s="13" t="s">
        <v>148</v>
      </c>
    </row>
    <row r="143" customFormat="false" ht="45.75" hidden="false" customHeight="true" outlineLevel="0" collapsed="false">
      <c r="A143" s="18" t="s">
        <v>142</v>
      </c>
      <c r="B143" s="18" t="s">
        <v>682</v>
      </c>
      <c r="C143" s="18" t="s">
        <v>142</v>
      </c>
      <c r="D143" s="18" t="s">
        <v>178</v>
      </c>
      <c r="E143" s="18" t="s">
        <v>155</v>
      </c>
      <c r="F143" s="18" t="n">
        <v>3.5</v>
      </c>
      <c r="G143" s="18" t="n">
        <v>4</v>
      </c>
      <c r="H143" s="19" t="n">
        <v>3037</v>
      </c>
      <c r="I143" s="20" t="n">
        <v>351</v>
      </c>
      <c r="J143" s="21" t="n">
        <v>1.07</v>
      </c>
      <c r="K143" s="18" t="s">
        <v>155</v>
      </c>
      <c r="L143" s="18" t="s">
        <v>587</v>
      </c>
      <c r="M143" s="13" t="s">
        <v>683</v>
      </c>
      <c r="N143" s="18" t="s">
        <v>156</v>
      </c>
      <c r="O143" s="13" t="s">
        <v>159</v>
      </c>
    </row>
    <row r="144" customFormat="false" ht="57" hidden="false" customHeight="true" outlineLevel="0" collapsed="false">
      <c r="A144" s="18" t="s">
        <v>288</v>
      </c>
      <c r="B144" s="18" t="s">
        <v>684</v>
      </c>
      <c r="C144" s="18" t="s">
        <v>685</v>
      </c>
      <c r="D144" s="18" t="s">
        <v>144</v>
      </c>
      <c r="E144" s="18" t="s">
        <v>145</v>
      </c>
      <c r="F144" s="18" t="n">
        <v>3.5</v>
      </c>
      <c r="G144" s="18" t="n">
        <v>3</v>
      </c>
      <c r="H144" s="19" t="n">
        <v>2917</v>
      </c>
      <c r="I144" s="20" t="n">
        <v>332</v>
      </c>
      <c r="J144" s="21" t="n">
        <v>0.97</v>
      </c>
      <c r="K144" s="18" t="s">
        <v>155</v>
      </c>
      <c r="L144" s="18" t="s">
        <v>595</v>
      </c>
      <c r="M144" s="13" t="s">
        <v>686</v>
      </c>
      <c r="N144" s="18" t="s">
        <v>86</v>
      </c>
      <c r="O144" s="13" t="s">
        <v>148</v>
      </c>
    </row>
    <row r="145" customFormat="false" ht="45.75" hidden="false" customHeight="true" outlineLevel="0" collapsed="false">
      <c r="A145" s="18" t="s">
        <v>308</v>
      </c>
      <c r="B145" s="18" t="s">
        <v>687</v>
      </c>
      <c r="C145" s="18" t="s">
        <v>688</v>
      </c>
      <c r="D145" s="18" t="s">
        <v>144</v>
      </c>
      <c r="E145" s="18" t="s">
        <v>155</v>
      </c>
      <c r="F145" s="18" t="n">
        <v>3.5</v>
      </c>
      <c r="G145" s="18" t="n">
        <v>3.5</v>
      </c>
      <c r="H145" s="19" t="n">
        <v>2749</v>
      </c>
      <c r="I145" s="20" t="n">
        <v>351</v>
      </c>
      <c r="J145" s="21" t="n">
        <v>0.96</v>
      </c>
      <c r="K145" s="18" t="s">
        <v>155</v>
      </c>
      <c r="L145" s="18" t="s">
        <v>689</v>
      </c>
      <c r="M145" s="13" t="s">
        <v>690</v>
      </c>
      <c r="N145" s="18" t="s">
        <v>156</v>
      </c>
      <c r="O145" s="13" t="s">
        <v>159</v>
      </c>
    </row>
    <row r="146" customFormat="false" ht="45.75" hidden="false" customHeight="true" outlineLevel="0" collapsed="false">
      <c r="A146" s="18" t="s">
        <v>691</v>
      </c>
      <c r="B146" s="18" t="s">
        <v>692</v>
      </c>
      <c r="C146" s="18" t="s">
        <v>693</v>
      </c>
      <c r="D146" s="18" t="s">
        <v>144</v>
      </c>
      <c r="E146" s="18" t="s">
        <v>155</v>
      </c>
      <c r="F146" s="18" t="n">
        <v>3.5</v>
      </c>
      <c r="G146" s="18" t="n">
        <v>4</v>
      </c>
      <c r="H146" s="19" t="n">
        <v>2732</v>
      </c>
      <c r="I146" s="20" t="n">
        <v>351</v>
      </c>
      <c r="J146" s="21" t="n">
        <v>0.96</v>
      </c>
      <c r="K146" s="18" t="s">
        <v>155</v>
      </c>
      <c r="L146" s="18" t="s">
        <v>553</v>
      </c>
      <c r="M146" s="13" t="s">
        <v>694</v>
      </c>
      <c r="N146" s="18" t="s">
        <v>156</v>
      </c>
      <c r="O146" s="13" t="s">
        <v>159</v>
      </c>
    </row>
    <row r="147" customFormat="false" ht="57" hidden="false" customHeight="true" outlineLevel="0" collapsed="false">
      <c r="A147" s="18" t="s">
        <v>695</v>
      </c>
      <c r="B147" s="18" t="s">
        <v>696</v>
      </c>
      <c r="C147" s="18" t="s">
        <v>695</v>
      </c>
      <c r="D147" s="18" t="s">
        <v>144</v>
      </c>
      <c r="E147" s="18" t="s">
        <v>145</v>
      </c>
      <c r="F147" s="18" t="n">
        <v>3</v>
      </c>
      <c r="G147" s="18" t="n">
        <v>3</v>
      </c>
      <c r="H147" s="19" t="n">
        <v>2885</v>
      </c>
      <c r="I147" s="20" t="n">
        <v>332</v>
      </c>
      <c r="J147" s="21" t="n">
        <v>0.96</v>
      </c>
      <c r="K147" s="18" t="s">
        <v>155</v>
      </c>
      <c r="L147" s="18" t="s">
        <v>697</v>
      </c>
      <c r="M147" s="13" t="s">
        <v>698</v>
      </c>
      <c r="N147" s="18" t="s">
        <v>86</v>
      </c>
      <c r="O147" s="13" t="s">
        <v>148</v>
      </c>
    </row>
    <row r="148" customFormat="false" ht="45.75" hidden="false" customHeight="true" outlineLevel="0" collapsed="false">
      <c r="A148" s="18" t="s">
        <v>358</v>
      </c>
      <c r="B148" s="18" t="s">
        <v>457</v>
      </c>
      <c r="C148" s="18" t="s">
        <v>360</v>
      </c>
      <c r="D148" s="18" t="s">
        <v>144</v>
      </c>
      <c r="E148" s="18" t="s">
        <v>155</v>
      </c>
      <c r="F148" s="18" t="n">
        <v>3</v>
      </c>
      <c r="G148" s="18" t="n">
        <v>3.5</v>
      </c>
      <c r="H148" s="19" t="n">
        <v>2593</v>
      </c>
      <c r="I148" s="20" t="n">
        <v>351</v>
      </c>
      <c r="J148" s="21" t="n">
        <v>0.91</v>
      </c>
      <c r="K148" s="18" t="s">
        <v>145</v>
      </c>
      <c r="L148" s="18" t="s">
        <v>458</v>
      </c>
      <c r="M148" s="13" t="s">
        <v>459</v>
      </c>
      <c r="N148" s="18" t="s">
        <v>156</v>
      </c>
      <c r="O148" s="13" t="s">
        <v>159</v>
      </c>
    </row>
    <row r="149" customFormat="false" ht="45.75" hidden="false" customHeight="true" outlineLevel="0" collapsed="false">
      <c r="A149" s="18" t="s">
        <v>259</v>
      </c>
      <c r="B149" s="18" t="s">
        <v>699</v>
      </c>
      <c r="C149" s="18" t="s">
        <v>261</v>
      </c>
      <c r="D149" s="18" t="s">
        <v>144</v>
      </c>
      <c r="E149" s="18" t="s">
        <v>155</v>
      </c>
      <c r="F149" s="18" t="n">
        <v>3.5</v>
      </c>
      <c r="G149" s="18" t="n">
        <v>3.5</v>
      </c>
      <c r="H149" s="19" t="n">
        <v>2521</v>
      </c>
      <c r="I149" s="20" t="n">
        <v>351</v>
      </c>
      <c r="J149" s="21" t="n">
        <v>0.88</v>
      </c>
      <c r="K149" s="18" t="s">
        <v>155</v>
      </c>
      <c r="L149" s="18" t="s">
        <v>673</v>
      </c>
      <c r="M149" s="13" t="s">
        <v>700</v>
      </c>
      <c r="N149" s="18" t="s">
        <v>156</v>
      </c>
      <c r="O149" s="13" t="s">
        <v>159</v>
      </c>
    </row>
    <row r="150" customFormat="false" ht="57" hidden="false" customHeight="true" outlineLevel="0" collapsed="false">
      <c r="A150" s="18" t="s">
        <v>152</v>
      </c>
      <c r="B150" s="18" t="s">
        <v>463</v>
      </c>
      <c r="C150" s="18" t="s">
        <v>154</v>
      </c>
      <c r="D150" s="18" t="s">
        <v>144</v>
      </c>
      <c r="E150" s="18" t="s">
        <v>145</v>
      </c>
      <c r="F150" s="18" t="n">
        <v>3</v>
      </c>
      <c r="G150" s="18" t="n">
        <v>3.5</v>
      </c>
      <c r="H150" s="19" t="n">
        <v>2653</v>
      </c>
      <c r="I150" s="20" t="n">
        <v>332</v>
      </c>
      <c r="J150" s="21" t="n">
        <v>0.88</v>
      </c>
      <c r="K150" s="18" t="s">
        <v>145</v>
      </c>
      <c r="L150" s="18" t="s">
        <v>366</v>
      </c>
      <c r="M150" s="13" t="s">
        <v>464</v>
      </c>
      <c r="N150" s="18" t="s">
        <v>86</v>
      </c>
      <c r="O150" s="13" t="s">
        <v>148</v>
      </c>
    </row>
    <row r="151" customFormat="false" ht="57" hidden="false" customHeight="true" outlineLevel="0" collapsed="false">
      <c r="A151" s="18" t="s">
        <v>400</v>
      </c>
      <c r="B151" s="18" t="s">
        <v>465</v>
      </c>
      <c r="C151" s="18" t="s">
        <v>466</v>
      </c>
      <c r="D151" s="18" t="s">
        <v>144</v>
      </c>
      <c r="E151" s="18" t="s">
        <v>145</v>
      </c>
      <c r="F151" s="18" t="n">
        <v>3.5</v>
      </c>
      <c r="G151" s="18" t="n">
        <v>3.5</v>
      </c>
      <c r="H151" s="19" t="n">
        <v>2555</v>
      </c>
      <c r="I151" s="20" t="n">
        <v>332</v>
      </c>
      <c r="J151" s="21" t="n">
        <v>0.85</v>
      </c>
      <c r="K151" s="18" t="s">
        <v>145</v>
      </c>
      <c r="L151" s="18" t="s">
        <v>467</v>
      </c>
      <c r="M151" s="13" t="s">
        <v>468</v>
      </c>
      <c r="N151" s="18" t="s">
        <v>86</v>
      </c>
      <c r="O151" s="13" t="s">
        <v>148</v>
      </c>
    </row>
    <row r="152" customFormat="false" ht="45.75" hidden="false" customHeight="true" outlineLevel="0" collapsed="false">
      <c r="A152" s="18" t="s">
        <v>152</v>
      </c>
      <c r="B152" s="18" t="s">
        <v>701</v>
      </c>
      <c r="C152" s="18" t="s">
        <v>154</v>
      </c>
      <c r="D152" s="18" t="s">
        <v>144</v>
      </c>
      <c r="E152" s="18" t="s">
        <v>155</v>
      </c>
      <c r="F152" s="18" t="n">
        <v>3.5</v>
      </c>
      <c r="G152" s="18" t="n">
        <v>4</v>
      </c>
      <c r="H152" s="19" t="n">
        <v>2317</v>
      </c>
      <c r="I152" s="20" t="n">
        <v>351</v>
      </c>
      <c r="J152" s="21" t="n">
        <v>0.81</v>
      </c>
      <c r="K152" s="18" t="s">
        <v>155</v>
      </c>
      <c r="L152" s="18" t="s">
        <v>543</v>
      </c>
      <c r="M152" s="13" t="s">
        <v>702</v>
      </c>
      <c r="N152" s="18" t="s">
        <v>156</v>
      </c>
      <c r="O152" s="13" t="s">
        <v>159</v>
      </c>
    </row>
    <row r="153" customFormat="false" ht="45.75" hidden="false" customHeight="true" outlineLevel="0" collapsed="false">
      <c r="A153" s="18" t="s">
        <v>644</v>
      </c>
      <c r="B153" s="18" t="s">
        <v>703</v>
      </c>
      <c r="C153" s="18" t="s">
        <v>646</v>
      </c>
      <c r="D153" s="18" t="s">
        <v>704</v>
      </c>
      <c r="E153" s="18" t="s">
        <v>155</v>
      </c>
      <c r="F153" s="18" t="n">
        <v>3.5</v>
      </c>
      <c r="G153" s="18" t="n">
        <v>3</v>
      </c>
      <c r="H153" s="19" t="n">
        <v>2294</v>
      </c>
      <c r="I153" s="20" t="n">
        <v>351</v>
      </c>
      <c r="J153" s="21" t="n">
        <v>0.81</v>
      </c>
      <c r="K153" s="18" t="s">
        <v>155</v>
      </c>
      <c r="L153" s="18" t="s">
        <v>621</v>
      </c>
      <c r="M153" s="13" t="s">
        <v>705</v>
      </c>
      <c r="N153" s="18" t="s">
        <v>156</v>
      </c>
      <c r="O153" s="13" t="s">
        <v>159</v>
      </c>
    </row>
    <row r="154" customFormat="false" ht="57" hidden="false" customHeight="true" outlineLevel="0" collapsed="false">
      <c r="A154" s="18" t="s">
        <v>208</v>
      </c>
      <c r="B154" s="18" t="s">
        <v>472</v>
      </c>
      <c r="C154" s="18" t="s">
        <v>256</v>
      </c>
      <c r="D154" s="18" t="s">
        <v>144</v>
      </c>
      <c r="E154" s="18" t="s">
        <v>145</v>
      </c>
      <c r="F154" s="18" t="n">
        <v>3</v>
      </c>
      <c r="G154" s="18" t="n">
        <v>3.5</v>
      </c>
      <c r="H154" s="19" t="n">
        <v>2332</v>
      </c>
      <c r="I154" s="20" t="n">
        <v>332</v>
      </c>
      <c r="J154" s="21" t="n">
        <v>0.77</v>
      </c>
      <c r="K154" s="18" t="s">
        <v>145</v>
      </c>
      <c r="L154" s="18" t="s">
        <v>378</v>
      </c>
      <c r="M154" s="13" t="s">
        <v>473</v>
      </c>
      <c r="N154" s="18" t="s">
        <v>86</v>
      </c>
      <c r="O154" s="13" t="s">
        <v>148</v>
      </c>
    </row>
    <row r="155" customFormat="false" ht="45.75" hidden="false" customHeight="true" outlineLevel="0" collapsed="false">
      <c r="A155" s="18" t="s">
        <v>346</v>
      </c>
      <c r="B155" s="18" t="s">
        <v>460</v>
      </c>
      <c r="C155" s="18" t="s">
        <v>461</v>
      </c>
      <c r="D155" s="18" t="s">
        <v>144</v>
      </c>
      <c r="E155" s="18" t="s">
        <v>155</v>
      </c>
      <c r="F155" s="18" t="n">
        <v>3.5</v>
      </c>
      <c r="G155" s="18" t="n">
        <v>3.5</v>
      </c>
      <c r="H155" s="19" t="n">
        <v>1958</v>
      </c>
      <c r="I155" s="20" t="n">
        <v>351</v>
      </c>
      <c r="J155" s="21" t="n">
        <v>0.69</v>
      </c>
      <c r="K155" s="18" t="s">
        <v>145</v>
      </c>
      <c r="L155" s="18" t="s">
        <v>306</v>
      </c>
      <c r="M155" s="13" t="s">
        <v>462</v>
      </c>
      <c r="N155" s="18" t="s">
        <v>156</v>
      </c>
      <c r="O155" s="13" t="s">
        <v>159</v>
      </c>
    </row>
    <row r="156" customFormat="false" ht="45.75" hidden="false" customHeight="true" outlineLevel="0" collapsed="false">
      <c r="A156" s="18" t="s">
        <v>250</v>
      </c>
      <c r="B156" s="18" t="s">
        <v>706</v>
      </c>
      <c r="C156" s="18" t="s">
        <v>252</v>
      </c>
      <c r="D156" s="18" t="s">
        <v>704</v>
      </c>
      <c r="E156" s="18" t="s">
        <v>155</v>
      </c>
      <c r="F156" s="18" t="n">
        <v>3.5</v>
      </c>
      <c r="G156" s="18" t="n">
        <v>4.5</v>
      </c>
      <c r="H156" s="19" t="n">
        <v>1899</v>
      </c>
      <c r="I156" s="20" t="n">
        <v>351</v>
      </c>
      <c r="J156" s="21" t="n">
        <v>0.67</v>
      </c>
      <c r="K156" s="18" t="s">
        <v>155</v>
      </c>
      <c r="L156" s="18" t="s">
        <v>543</v>
      </c>
      <c r="M156" s="13" t="s">
        <v>707</v>
      </c>
      <c r="N156" s="18" t="s">
        <v>156</v>
      </c>
      <c r="O156" s="13" t="s">
        <v>159</v>
      </c>
    </row>
    <row r="157" customFormat="false" ht="57" hidden="false" customHeight="true" outlineLevel="0" collapsed="false">
      <c r="A157" s="18" t="s">
        <v>708</v>
      </c>
      <c r="B157" s="18" t="s">
        <v>709</v>
      </c>
      <c r="C157" s="18" t="s">
        <v>710</v>
      </c>
      <c r="D157" s="18" t="s">
        <v>144</v>
      </c>
      <c r="E157" s="18" t="s">
        <v>145</v>
      </c>
      <c r="F157" s="18" t="n">
        <v>3</v>
      </c>
      <c r="G157" s="18" t="n">
        <v>3.5</v>
      </c>
      <c r="H157" s="19" t="n">
        <v>1749</v>
      </c>
      <c r="I157" s="20" t="n">
        <v>332</v>
      </c>
      <c r="J157" s="21" t="n">
        <v>0.58</v>
      </c>
      <c r="K157" s="18" t="s">
        <v>155</v>
      </c>
      <c r="L157" s="18" t="s">
        <v>711</v>
      </c>
      <c r="M157" s="13" t="s">
        <v>712</v>
      </c>
      <c r="N157" s="18" t="s">
        <v>86</v>
      </c>
      <c r="O157" s="13" t="s">
        <v>148</v>
      </c>
    </row>
    <row r="158" customFormat="false" ht="45.75" hidden="false" customHeight="true" outlineLevel="0" collapsed="false">
      <c r="A158" s="18" t="s">
        <v>308</v>
      </c>
      <c r="B158" s="18" t="s">
        <v>469</v>
      </c>
      <c r="C158" s="18" t="s">
        <v>470</v>
      </c>
      <c r="D158" s="18" t="s">
        <v>144</v>
      </c>
      <c r="E158" s="18" t="s">
        <v>155</v>
      </c>
      <c r="F158" s="18" t="n">
        <v>4</v>
      </c>
      <c r="G158" s="18" t="n">
        <v>3.5</v>
      </c>
      <c r="H158" s="19" t="n">
        <v>1577</v>
      </c>
      <c r="I158" s="20" t="n">
        <v>351</v>
      </c>
      <c r="J158" s="21" t="n">
        <v>0.55</v>
      </c>
      <c r="K158" s="18" t="s">
        <v>145</v>
      </c>
      <c r="L158" s="18" t="s">
        <v>403</v>
      </c>
      <c r="M158" s="13" t="s">
        <v>471</v>
      </c>
      <c r="N158" s="18" t="s">
        <v>156</v>
      </c>
      <c r="O158" s="13" t="s">
        <v>159</v>
      </c>
    </row>
    <row r="159" customFormat="false" ht="57" hidden="false" customHeight="true" outlineLevel="0" collapsed="false">
      <c r="A159" s="18" t="s">
        <v>400</v>
      </c>
      <c r="B159" s="18" t="s">
        <v>713</v>
      </c>
      <c r="C159" s="18" t="s">
        <v>714</v>
      </c>
      <c r="D159" s="18" t="s">
        <v>144</v>
      </c>
      <c r="E159" s="18" t="s">
        <v>145</v>
      </c>
      <c r="F159" s="18" t="n">
        <v>3.5</v>
      </c>
      <c r="G159" s="18" t="n">
        <v>3</v>
      </c>
      <c r="H159" s="19" t="n">
        <v>1664</v>
      </c>
      <c r="I159" s="20" t="n">
        <v>332</v>
      </c>
      <c r="J159" s="21" t="n">
        <v>0.55</v>
      </c>
      <c r="K159" s="18" t="s">
        <v>155</v>
      </c>
      <c r="L159" s="18" t="s">
        <v>715</v>
      </c>
      <c r="M159" s="13" t="s">
        <v>716</v>
      </c>
      <c r="N159" s="18" t="s">
        <v>86</v>
      </c>
      <c r="O159" s="13" t="s">
        <v>148</v>
      </c>
    </row>
    <row r="160" customFormat="false" ht="57" hidden="false" customHeight="true" outlineLevel="0" collapsed="false">
      <c r="A160" s="18" t="s">
        <v>717</v>
      </c>
      <c r="B160" s="18" t="s">
        <v>718</v>
      </c>
      <c r="C160" s="18" t="s">
        <v>719</v>
      </c>
      <c r="D160" s="18" t="s">
        <v>144</v>
      </c>
      <c r="E160" s="18" t="s">
        <v>145</v>
      </c>
      <c r="F160" s="18" t="n">
        <v>3.5</v>
      </c>
      <c r="G160" s="18" t="n">
        <v>3.5</v>
      </c>
      <c r="H160" s="19" t="n">
        <v>1473</v>
      </c>
      <c r="I160" s="20" t="n">
        <v>332</v>
      </c>
      <c r="J160" s="21" t="n">
        <v>0.49</v>
      </c>
      <c r="K160" s="18" t="s">
        <v>155</v>
      </c>
      <c r="L160" s="18" t="s">
        <v>659</v>
      </c>
      <c r="M160" s="13" t="s">
        <v>720</v>
      </c>
      <c r="N160" s="18" t="s">
        <v>86</v>
      </c>
      <c r="O160" s="13" t="s">
        <v>148</v>
      </c>
    </row>
    <row r="161" customFormat="false" ht="57" hidden="false" customHeight="true" outlineLevel="0" collapsed="false">
      <c r="A161" s="18" t="s">
        <v>474</v>
      </c>
      <c r="B161" s="18" t="s">
        <v>475</v>
      </c>
      <c r="C161" s="18" t="s">
        <v>476</v>
      </c>
      <c r="D161" s="18" t="s">
        <v>144</v>
      </c>
      <c r="E161" s="18" t="s">
        <v>145</v>
      </c>
      <c r="F161" s="18" t="n">
        <v>3</v>
      </c>
      <c r="G161" s="18" t="n">
        <v>4</v>
      </c>
      <c r="H161" s="19" t="n">
        <v>1359</v>
      </c>
      <c r="I161" s="20" t="n">
        <v>332</v>
      </c>
      <c r="J161" s="21" t="n">
        <v>0.45</v>
      </c>
      <c r="K161" s="18" t="s">
        <v>145</v>
      </c>
      <c r="L161" s="18" t="s">
        <v>306</v>
      </c>
      <c r="M161" s="13" t="s">
        <v>477</v>
      </c>
      <c r="N161" s="18" t="s">
        <v>86</v>
      </c>
      <c r="O161" s="13" t="s">
        <v>148</v>
      </c>
    </row>
    <row r="162" customFormat="false" ht="57" hidden="false" customHeight="true" outlineLevel="0" collapsed="false">
      <c r="A162" s="18" t="s">
        <v>213</v>
      </c>
      <c r="B162" s="18" t="s">
        <v>478</v>
      </c>
      <c r="C162" s="18" t="s">
        <v>215</v>
      </c>
      <c r="D162" s="18" t="s">
        <v>144</v>
      </c>
      <c r="E162" s="18" t="s">
        <v>145</v>
      </c>
      <c r="F162" s="18" t="n">
        <v>3.5</v>
      </c>
      <c r="G162" s="18" t="n">
        <v>3.5</v>
      </c>
      <c r="H162" s="19" t="n">
        <v>1331</v>
      </c>
      <c r="I162" s="20" t="n">
        <v>332</v>
      </c>
      <c r="J162" s="21" t="n">
        <v>0.44</v>
      </c>
      <c r="K162" s="18" t="s">
        <v>145</v>
      </c>
      <c r="L162" s="18" t="s">
        <v>179</v>
      </c>
      <c r="M162" s="13" t="s">
        <v>479</v>
      </c>
      <c r="N162" s="18" t="s">
        <v>86</v>
      </c>
      <c r="O162" s="13" t="s">
        <v>148</v>
      </c>
    </row>
    <row r="163" customFormat="false" ht="45.75" hidden="false" customHeight="true" outlineLevel="0" collapsed="false">
      <c r="A163" s="18" t="s">
        <v>400</v>
      </c>
      <c r="B163" s="18" t="s">
        <v>721</v>
      </c>
      <c r="C163" s="18" t="s">
        <v>722</v>
      </c>
      <c r="D163" s="18" t="s">
        <v>144</v>
      </c>
      <c r="E163" s="18" t="s">
        <v>155</v>
      </c>
      <c r="F163" s="18" t="n">
        <v>3.5</v>
      </c>
      <c r="G163" s="18" t="n">
        <v>3.5</v>
      </c>
      <c r="H163" s="19" t="n">
        <v>1240</v>
      </c>
      <c r="I163" s="20" t="n">
        <v>351</v>
      </c>
      <c r="J163" s="21" t="n">
        <v>0.44</v>
      </c>
      <c r="K163" s="18" t="s">
        <v>155</v>
      </c>
      <c r="L163" s="18" t="s">
        <v>533</v>
      </c>
      <c r="M163" s="13" t="s">
        <v>723</v>
      </c>
      <c r="N163" s="18" t="s">
        <v>156</v>
      </c>
      <c r="O163" s="13" t="s">
        <v>159</v>
      </c>
    </row>
    <row r="164" customFormat="false" ht="57" hidden="false" customHeight="true" outlineLevel="0" collapsed="false">
      <c r="A164" s="18" t="s">
        <v>474</v>
      </c>
      <c r="B164" s="18" t="s">
        <v>480</v>
      </c>
      <c r="C164" s="18" t="s">
        <v>476</v>
      </c>
      <c r="D164" s="18" t="s">
        <v>144</v>
      </c>
      <c r="E164" s="18" t="s">
        <v>145</v>
      </c>
      <c r="F164" s="18" t="n">
        <v>3.5</v>
      </c>
      <c r="G164" s="18" t="n">
        <v>3.5</v>
      </c>
      <c r="H164" s="19" t="n">
        <v>1207</v>
      </c>
      <c r="I164" s="20" t="n">
        <v>332</v>
      </c>
      <c r="J164" s="21" t="n">
        <v>0.4</v>
      </c>
      <c r="K164" s="18" t="s">
        <v>145</v>
      </c>
      <c r="L164" s="18" t="s">
        <v>172</v>
      </c>
      <c r="M164" s="13" t="s">
        <v>481</v>
      </c>
      <c r="N164" s="18" t="s">
        <v>86</v>
      </c>
      <c r="O164" s="13" t="s">
        <v>148</v>
      </c>
    </row>
    <row r="165" customFormat="false" ht="57" hidden="false" customHeight="true" outlineLevel="0" collapsed="false">
      <c r="A165" s="18" t="s">
        <v>724</v>
      </c>
      <c r="B165" s="18" t="s">
        <v>725</v>
      </c>
      <c r="C165" s="18" t="s">
        <v>726</v>
      </c>
      <c r="D165" s="18" t="s">
        <v>144</v>
      </c>
      <c r="E165" s="18" t="s">
        <v>145</v>
      </c>
      <c r="F165" s="18" t="n">
        <v>4</v>
      </c>
      <c r="G165" s="18" t="n">
        <v>4</v>
      </c>
      <c r="H165" s="19" t="n">
        <v>1001</v>
      </c>
      <c r="I165" s="20" t="n">
        <v>332</v>
      </c>
      <c r="J165" s="21" t="n">
        <v>0.33</v>
      </c>
      <c r="K165" s="18" t="s">
        <v>155</v>
      </c>
      <c r="L165" s="18" t="s">
        <v>727</v>
      </c>
      <c r="M165" s="13" t="s">
        <v>728</v>
      </c>
      <c r="N165" s="18" t="s">
        <v>86</v>
      </c>
      <c r="O165" s="13" t="s">
        <v>148</v>
      </c>
    </row>
    <row r="166" customFormat="false" ht="45.75" hidden="false" customHeight="true" outlineLevel="0" collapsed="false">
      <c r="A166" s="18" t="s">
        <v>199</v>
      </c>
      <c r="B166" s="18" t="s">
        <v>729</v>
      </c>
      <c r="C166" s="18" t="s">
        <v>730</v>
      </c>
      <c r="D166" s="18" t="s">
        <v>144</v>
      </c>
      <c r="E166" s="18" t="s">
        <v>155</v>
      </c>
      <c r="F166" s="18" t="n">
        <v>3.5</v>
      </c>
      <c r="G166" s="18" t="n">
        <v>4</v>
      </c>
      <c r="H166" s="19" t="n">
        <v>853</v>
      </c>
      <c r="I166" s="20" t="n">
        <v>351</v>
      </c>
      <c r="J166" s="21" t="n">
        <v>0.3</v>
      </c>
      <c r="K166" s="18" t="s">
        <v>155</v>
      </c>
      <c r="L166" s="18" t="s">
        <v>668</v>
      </c>
      <c r="M166" s="13" t="s">
        <v>731</v>
      </c>
      <c r="N166" s="18" t="s">
        <v>156</v>
      </c>
      <c r="O166" s="13" t="s">
        <v>159</v>
      </c>
    </row>
    <row r="167" customFormat="false" ht="57" hidden="false" customHeight="true" outlineLevel="0" collapsed="false">
      <c r="A167" s="18" t="s">
        <v>142</v>
      </c>
      <c r="B167" s="18" t="s">
        <v>482</v>
      </c>
      <c r="C167" s="18" t="s">
        <v>483</v>
      </c>
      <c r="D167" s="18" t="s">
        <v>144</v>
      </c>
      <c r="E167" s="18" t="s">
        <v>145</v>
      </c>
      <c r="F167" s="18" t="n">
        <v>3.5</v>
      </c>
      <c r="G167" s="18" t="n">
        <v>3.5</v>
      </c>
      <c r="H167" s="19" t="n">
        <v>898</v>
      </c>
      <c r="I167" s="20" t="n">
        <v>332</v>
      </c>
      <c r="J167" s="21" t="n">
        <v>0.3</v>
      </c>
      <c r="K167" s="18" t="s">
        <v>145</v>
      </c>
      <c r="L167" s="18" t="s">
        <v>150</v>
      </c>
      <c r="M167" s="13" t="s">
        <v>484</v>
      </c>
      <c r="N167" s="18" t="s">
        <v>86</v>
      </c>
      <c r="O167" s="13" t="s">
        <v>148</v>
      </c>
    </row>
    <row r="168" customFormat="false" ht="57" hidden="false" customHeight="true" outlineLevel="0" collapsed="false">
      <c r="A168" s="18" t="s">
        <v>485</v>
      </c>
      <c r="B168" s="18" t="s">
        <v>486</v>
      </c>
      <c r="C168" s="18" t="s">
        <v>487</v>
      </c>
      <c r="D168" s="18" t="s">
        <v>144</v>
      </c>
      <c r="E168" s="18" t="s">
        <v>145</v>
      </c>
      <c r="F168" s="18" t="n">
        <v>3</v>
      </c>
      <c r="G168" s="18" t="n">
        <v>3.5</v>
      </c>
      <c r="H168" s="19" t="n">
        <v>898</v>
      </c>
      <c r="I168" s="20" t="n">
        <v>332</v>
      </c>
      <c r="J168" s="21" t="n">
        <v>0.3</v>
      </c>
      <c r="K168" s="18" t="s">
        <v>145</v>
      </c>
      <c r="L168" s="18" t="s">
        <v>342</v>
      </c>
      <c r="M168" s="13" t="s">
        <v>488</v>
      </c>
      <c r="N168" s="18" t="s">
        <v>86</v>
      </c>
      <c r="O168" s="13" t="s">
        <v>148</v>
      </c>
    </row>
    <row r="169" customFormat="false" ht="57" hidden="false" customHeight="true" outlineLevel="0" collapsed="false">
      <c r="A169" s="18" t="s">
        <v>308</v>
      </c>
      <c r="B169" s="18" t="s">
        <v>732</v>
      </c>
      <c r="C169" s="18" t="s">
        <v>733</v>
      </c>
      <c r="D169" s="18" t="s">
        <v>144</v>
      </c>
      <c r="E169" s="18" t="s">
        <v>145</v>
      </c>
      <c r="F169" s="18" t="n">
        <v>3.5</v>
      </c>
      <c r="G169" s="18" t="n">
        <v>3.5</v>
      </c>
      <c r="H169" s="19" t="n">
        <v>781</v>
      </c>
      <c r="I169" s="20" t="n">
        <v>332</v>
      </c>
      <c r="J169" s="21" t="n">
        <v>0.26</v>
      </c>
      <c r="K169" s="18" t="s">
        <v>155</v>
      </c>
      <c r="L169" s="18" t="s">
        <v>734</v>
      </c>
      <c r="M169" s="13" t="s">
        <v>735</v>
      </c>
      <c r="N169" s="18" t="s">
        <v>86</v>
      </c>
      <c r="O169" s="13" t="s">
        <v>148</v>
      </c>
    </row>
    <row r="170" customFormat="false" ht="45.75" hidden="false" customHeight="true" outlineLevel="0" collapsed="false">
      <c r="A170" s="18" t="s">
        <v>250</v>
      </c>
      <c r="B170" s="18" t="s">
        <v>736</v>
      </c>
      <c r="C170" s="18" t="s">
        <v>252</v>
      </c>
      <c r="D170" s="18" t="s">
        <v>144</v>
      </c>
      <c r="E170" s="18" t="s">
        <v>155</v>
      </c>
      <c r="F170" s="18" t="n">
        <v>3.5</v>
      </c>
      <c r="G170" s="18" t="n">
        <v>3.5</v>
      </c>
      <c r="H170" s="19" t="n">
        <v>730</v>
      </c>
      <c r="I170" s="20" t="n">
        <v>351</v>
      </c>
      <c r="J170" s="21" t="n">
        <v>0.26</v>
      </c>
      <c r="K170" s="18" t="s">
        <v>155</v>
      </c>
      <c r="L170" s="18" t="s">
        <v>737</v>
      </c>
      <c r="M170" s="13" t="s">
        <v>738</v>
      </c>
      <c r="N170" s="18" t="s">
        <v>156</v>
      </c>
      <c r="O170" s="13" t="s">
        <v>159</v>
      </c>
    </row>
    <row r="171" customFormat="false" ht="57" hidden="false" customHeight="true" outlineLevel="0" collapsed="false">
      <c r="A171" s="18" t="s">
        <v>489</v>
      </c>
      <c r="B171" s="18" t="s">
        <v>490</v>
      </c>
      <c r="C171" s="18" t="s">
        <v>491</v>
      </c>
      <c r="D171" s="18" t="s">
        <v>144</v>
      </c>
      <c r="E171" s="18" t="s">
        <v>145</v>
      </c>
      <c r="F171" s="18" t="n">
        <v>3.5</v>
      </c>
      <c r="G171" s="18" t="n">
        <v>3.5</v>
      </c>
      <c r="H171" s="19" t="n">
        <v>607</v>
      </c>
      <c r="I171" s="20" t="n">
        <v>332</v>
      </c>
      <c r="J171" s="21" t="n">
        <v>0.2</v>
      </c>
      <c r="K171" s="18" t="s">
        <v>145</v>
      </c>
      <c r="L171" s="18" t="s">
        <v>373</v>
      </c>
      <c r="M171" s="13" t="s">
        <v>492</v>
      </c>
      <c r="N171" s="18" t="s">
        <v>86</v>
      </c>
      <c r="O171" s="13" t="s">
        <v>148</v>
      </c>
    </row>
    <row r="172" customFormat="false" ht="57" hidden="false" customHeight="true" outlineLevel="0" collapsed="false">
      <c r="A172" s="18" t="s">
        <v>208</v>
      </c>
      <c r="B172" s="18" t="s">
        <v>739</v>
      </c>
      <c r="C172" s="18" t="s">
        <v>210</v>
      </c>
      <c r="D172" s="18" t="s">
        <v>144</v>
      </c>
      <c r="E172" s="18" t="s">
        <v>145</v>
      </c>
      <c r="F172" s="18" t="n">
        <v>4</v>
      </c>
      <c r="G172" s="18" t="n">
        <v>4</v>
      </c>
      <c r="H172" s="19" t="n">
        <v>522</v>
      </c>
      <c r="I172" s="20" t="n">
        <v>332</v>
      </c>
      <c r="J172" s="21" t="n">
        <v>0.17</v>
      </c>
      <c r="K172" s="18" t="s">
        <v>155</v>
      </c>
      <c r="L172" s="18" t="s">
        <v>503</v>
      </c>
      <c r="M172" s="13" t="s">
        <v>740</v>
      </c>
      <c r="N172" s="18" t="s">
        <v>86</v>
      </c>
      <c r="O172" s="13" t="s">
        <v>148</v>
      </c>
    </row>
    <row r="173" customFormat="false" ht="15" hidden="false" customHeight="true" outlineLevel="0" collapsed="false">
      <c r="A173" s="18" t="s">
        <v>741</v>
      </c>
      <c r="B173" s="18" t="n">
        <v>103</v>
      </c>
      <c r="C173" s="18"/>
      <c r="D173" s="18"/>
      <c r="E173" s="18"/>
      <c r="F173" s="18"/>
      <c r="G173" s="18"/>
      <c r="H173" s="19"/>
      <c r="I173" s="20"/>
      <c r="J173" s="21"/>
      <c r="K173" s="18"/>
      <c r="L173" s="18"/>
      <c r="M173" s="13"/>
      <c r="N173" s="18"/>
      <c r="O173" s="13"/>
    </row>
  </sheetData>
  <autoFilter ref="A1:O1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2026-07-01T03:54:18Z</dcterms:created>
  <dc:creator>openpyxl</dc:creator>
  <dc:description/>
  <dc:language>en-US</dc:language>
  <cp:lastModifiedBy/>
  <dcterms:modified xsi:type="dcterms:W3CDTF">2026-07-01T04:02:37Z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