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3b48b6e29d1d2c/Documents/3xG Consulting/Prospecting/Account Data/"/>
    </mc:Choice>
  </mc:AlternateContent>
  <xr:revisionPtr revIDLastSave="254" documentId="8_{A16C6CE1-8238-4432-96DE-65E8F4B3C6C8}" xr6:coauthVersionLast="47" xr6:coauthVersionMax="47" xr10:uidLastSave="{24418813-D921-4964-9AA8-B08F7B172DF8}"/>
  <bookViews>
    <workbookView xWindow="-120" yWindow="-120" windowWidth="29040" windowHeight="15720" activeTab="1" xr2:uid="{0B01DD80-E708-4632-AED6-8BE8058F523C}"/>
  </bookViews>
  <sheets>
    <sheet name="Quantified Whitespac No SSA-IRS" sheetId="1" r:id="rId1"/>
    <sheet name="Verint Partner Only 2024" sheetId="2" r:id="rId2"/>
  </sheets>
  <externalReferences>
    <externalReference r:id="rId3"/>
  </externalReferences>
  <definedNames>
    <definedName name="_xlnm._FilterDatabase" localSheetId="0" hidden="1">'Quantified Whitespac No SSA-IRS'!$A$3:$Z$1301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2" l="1"/>
  <c r="I31" i="2"/>
  <c r="I29" i="2"/>
  <c r="I39" i="2"/>
  <c r="I49" i="2"/>
  <c r="I57" i="2"/>
  <c r="I21" i="2"/>
  <c r="I65" i="2"/>
  <c r="I60" i="2"/>
  <c r="I38" i="2"/>
  <c r="I6" i="2"/>
  <c r="I58" i="2"/>
  <c r="I34" i="2"/>
  <c r="I55" i="2"/>
  <c r="I9" i="2"/>
  <c r="I10" i="2"/>
  <c r="I69" i="2"/>
  <c r="I13" i="2"/>
  <c r="I72" i="2"/>
  <c r="I63" i="2"/>
  <c r="I59" i="2"/>
  <c r="I24" i="2"/>
  <c r="I48" i="2"/>
  <c r="I7" i="2"/>
  <c r="I12" i="2"/>
  <c r="I19" i="2"/>
  <c r="I43" i="2"/>
  <c r="I26" i="2"/>
  <c r="I22" i="2"/>
  <c r="I14" i="2"/>
  <c r="I36" i="2"/>
  <c r="I33" i="2"/>
  <c r="I75" i="2"/>
  <c r="I52" i="2"/>
  <c r="I8" i="2"/>
  <c r="I68" i="2"/>
  <c r="I2" i="2"/>
  <c r="I15" i="2"/>
  <c r="I46" i="2"/>
  <c r="I42" i="2"/>
  <c r="I11" i="2"/>
  <c r="I56" i="2"/>
  <c r="I37" i="2"/>
  <c r="I73" i="2"/>
  <c r="I62" i="2"/>
  <c r="I44" i="2"/>
  <c r="I40" i="2"/>
  <c r="I4" i="2"/>
  <c r="I64" i="2"/>
  <c r="I5" i="2"/>
  <c r="I51" i="2"/>
  <c r="I71" i="2"/>
  <c r="I45" i="2"/>
  <c r="I67" i="2"/>
  <c r="I35" i="2"/>
  <c r="I32" i="2"/>
  <c r="I47" i="2"/>
  <c r="I20" i="2"/>
  <c r="I28" i="2"/>
  <c r="I74" i="2"/>
  <c r="I53" i="2"/>
  <c r="I17" i="2"/>
  <c r="I61" i="2"/>
  <c r="I54" i="2"/>
  <c r="I25" i="2"/>
  <c r="I3" i="2"/>
  <c r="I16" i="2"/>
  <c r="I66" i="2"/>
  <c r="I27" i="2"/>
  <c r="I30" i="2"/>
  <c r="I23" i="2"/>
  <c r="I50" i="2"/>
  <c r="I41" i="2"/>
  <c r="I70" i="2"/>
  <c r="AC1301" i="1"/>
  <c r="AL1301" i="1" s="1"/>
  <c r="E1301" i="1"/>
  <c r="AC1300" i="1"/>
  <c r="AL1300" i="1" s="1"/>
  <c r="E1300" i="1"/>
  <c r="AC1299" i="1"/>
  <c r="AL1299" i="1" s="1"/>
  <c r="E1299" i="1"/>
  <c r="AC1298" i="1"/>
  <c r="AL1298" i="1" s="1"/>
  <c r="F1298" i="1"/>
  <c r="E1298" i="1"/>
  <c r="AC1297" i="1"/>
  <c r="AL1297" i="1" s="1"/>
  <c r="E1297" i="1"/>
  <c r="AC1296" i="1"/>
  <c r="AL1296" i="1" s="1"/>
  <c r="E1296" i="1"/>
  <c r="AC1295" i="1"/>
  <c r="AL1295" i="1" s="1"/>
  <c r="E1295" i="1"/>
  <c r="AC1294" i="1"/>
  <c r="AL1294" i="1" s="1"/>
  <c r="E1294" i="1"/>
  <c r="AC1293" i="1"/>
  <c r="AL1293" i="1" s="1"/>
  <c r="E1293" i="1"/>
  <c r="AC1292" i="1"/>
  <c r="AL1292" i="1" s="1"/>
  <c r="E1292" i="1"/>
  <c r="AC1291" i="1"/>
  <c r="AL1291" i="1" s="1"/>
  <c r="E1291" i="1"/>
  <c r="AC1290" i="1"/>
  <c r="AL1290" i="1" s="1"/>
  <c r="E1290" i="1"/>
  <c r="AC1289" i="1"/>
  <c r="AL1289" i="1" s="1"/>
  <c r="E1289" i="1"/>
  <c r="AC1288" i="1"/>
  <c r="AL1288" i="1" s="1"/>
  <c r="E1288" i="1"/>
  <c r="AC1287" i="1"/>
  <c r="AL1287" i="1" s="1"/>
  <c r="E1287" i="1"/>
  <c r="AC1286" i="1"/>
  <c r="AL1286" i="1" s="1"/>
  <c r="F1286" i="1"/>
  <c r="E1286" i="1"/>
  <c r="AC1285" i="1"/>
  <c r="AL1285" i="1" s="1"/>
  <c r="E1285" i="1"/>
  <c r="AC1284" i="1"/>
  <c r="AL1284" i="1" s="1"/>
  <c r="E1284" i="1"/>
  <c r="AC1283" i="1"/>
  <c r="AL1283" i="1" s="1"/>
  <c r="E1283" i="1"/>
  <c r="AC1282" i="1"/>
  <c r="AL1282" i="1" s="1"/>
  <c r="E1282" i="1"/>
  <c r="AC1281" i="1"/>
  <c r="AL1281" i="1" s="1"/>
  <c r="E1281" i="1"/>
  <c r="AC1280" i="1"/>
  <c r="AL1280" i="1" s="1"/>
  <c r="E1280" i="1"/>
  <c r="AC1279" i="1"/>
  <c r="AL1279" i="1" s="1"/>
  <c r="E1279" i="1"/>
  <c r="AC1278" i="1"/>
  <c r="AL1278" i="1" s="1"/>
  <c r="E1278" i="1"/>
  <c r="AC1277" i="1"/>
  <c r="AL1277" i="1" s="1"/>
  <c r="E1277" i="1"/>
  <c r="AC1276" i="1"/>
  <c r="AL1276" i="1" s="1"/>
  <c r="E1276" i="1"/>
  <c r="AC1275" i="1"/>
  <c r="AL1275" i="1" s="1"/>
  <c r="E1275" i="1"/>
  <c r="AC1274" i="1"/>
  <c r="AL1274" i="1" s="1"/>
  <c r="E1274" i="1"/>
  <c r="AC1273" i="1"/>
  <c r="AL1273" i="1" s="1"/>
  <c r="E1273" i="1"/>
  <c r="AC1272" i="1"/>
  <c r="AL1272" i="1" s="1"/>
  <c r="F1272" i="1"/>
  <c r="E1272" i="1"/>
  <c r="AC1271" i="1"/>
  <c r="AL1271" i="1" s="1"/>
  <c r="E1271" i="1"/>
  <c r="AC1270" i="1"/>
  <c r="AL1270" i="1" s="1"/>
  <c r="E1270" i="1"/>
  <c r="AC1269" i="1"/>
  <c r="AL1269" i="1" s="1"/>
  <c r="E1269" i="1"/>
  <c r="AC1268" i="1"/>
  <c r="AL1268" i="1" s="1"/>
  <c r="E1268" i="1"/>
  <c r="AC1267" i="1"/>
  <c r="AL1267" i="1" s="1"/>
  <c r="E1267" i="1"/>
  <c r="AC1266" i="1"/>
  <c r="AL1266" i="1" s="1"/>
  <c r="E1266" i="1"/>
  <c r="AC1265" i="1"/>
  <c r="AL1265" i="1" s="1"/>
  <c r="E1265" i="1"/>
  <c r="AC1264" i="1"/>
  <c r="AL1264" i="1" s="1"/>
  <c r="F1264" i="1"/>
  <c r="E1264" i="1"/>
  <c r="AC1263" i="1"/>
  <c r="AL1263" i="1" s="1"/>
  <c r="F1263" i="1"/>
  <c r="E1263" i="1"/>
  <c r="AC1262" i="1"/>
  <c r="AL1262" i="1" s="1"/>
  <c r="F1262" i="1"/>
  <c r="E1262" i="1"/>
  <c r="AC1261" i="1"/>
  <c r="AL1261" i="1" s="1"/>
  <c r="E1261" i="1"/>
  <c r="AC1260" i="1"/>
  <c r="AL1260" i="1" s="1"/>
  <c r="E1260" i="1"/>
  <c r="AC1259" i="1"/>
  <c r="AL1259" i="1" s="1"/>
  <c r="E1259" i="1"/>
  <c r="AC1258" i="1"/>
  <c r="AL1258" i="1" s="1"/>
  <c r="E1258" i="1"/>
  <c r="AC1257" i="1"/>
  <c r="AL1257" i="1" s="1"/>
  <c r="E1257" i="1"/>
  <c r="AC1256" i="1"/>
  <c r="AL1256" i="1" s="1"/>
  <c r="E1256" i="1"/>
  <c r="AC1255" i="1"/>
  <c r="AL1255" i="1" s="1"/>
  <c r="E1255" i="1"/>
  <c r="AC1254" i="1"/>
  <c r="AL1254" i="1" s="1"/>
  <c r="E1254" i="1"/>
  <c r="AC1253" i="1"/>
  <c r="AL1253" i="1" s="1"/>
  <c r="E1253" i="1"/>
  <c r="AC1252" i="1"/>
  <c r="AL1252" i="1" s="1"/>
  <c r="E1252" i="1"/>
  <c r="AC1251" i="1"/>
  <c r="AL1251" i="1" s="1"/>
  <c r="E1251" i="1"/>
  <c r="AC1250" i="1"/>
  <c r="AL1250" i="1" s="1"/>
  <c r="E1250" i="1"/>
  <c r="AC1249" i="1"/>
  <c r="AL1249" i="1" s="1"/>
  <c r="E1249" i="1"/>
  <c r="AC1248" i="1"/>
  <c r="AL1248" i="1" s="1"/>
  <c r="E1248" i="1"/>
  <c r="AC1247" i="1"/>
  <c r="AL1247" i="1" s="1"/>
  <c r="E1247" i="1"/>
  <c r="AC1246" i="1"/>
  <c r="AL1246" i="1" s="1"/>
  <c r="E1246" i="1"/>
  <c r="AC1245" i="1"/>
  <c r="AL1245" i="1" s="1"/>
  <c r="E1245" i="1"/>
  <c r="AC1244" i="1"/>
  <c r="AL1244" i="1" s="1"/>
  <c r="E1244" i="1"/>
  <c r="AC1243" i="1"/>
  <c r="AL1243" i="1" s="1"/>
  <c r="E1243" i="1"/>
  <c r="AC1242" i="1"/>
  <c r="AL1242" i="1" s="1"/>
  <c r="E1242" i="1"/>
  <c r="AC1241" i="1"/>
  <c r="AL1241" i="1" s="1"/>
  <c r="E1241" i="1"/>
  <c r="AC1240" i="1"/>
  <c r="AL1240" i="1" s="1"/>
  <c r="E1240" i="1"/>
  <c r="AC1239" i="1"/>
  <c r="AL1239" i="1" s="1"/>
  <c r="E1239" i="1"/>
  <c r="AC1238" i="1"/>
  <c r="AL1238" i="1" s="1"/>
  <c r="E1238" i="1"/>
  <c r="AC1237" i="1"/>
  <c r="AL1237" i="1" s="1"/>
  <c r="E1237" i="1"/>
  <c r="AC1236" i="1"/>
  <c r="AL1236" i="1" s="1"/>
  <c r="E1236" i="1"/>
  <c r="AC1235" i="1"/>
  <c r="AL1235" i="1" s="1"/>
  <c r="E1235" i="1"/>
  <c r="AC1234" i="1"/>
  <c r="AL1234" i="1" s="1"/>
  <c r="E1234" i="1"/>
  <c r="AC1233" i="1"/>
  <c r="AL1233" i="1" s="1"/>
  <c r="E1233" i="1"/>
  <c r="AC1232" i="1"/>
  <c r="AL1232" i="1" s="1"/>
  <c r="E1232" i="1"/>
  <c r="AC1231" i="1"/>
  <c r="AL1231" i="1" s="1"/>
  <c r="E1231" i="1"/>
  <c r="AC1230" i="1"/>
  <c r="AL1230" i="1" s="1"/>
  <c r="F1230" i="1"/>
  <c r="E1230" i="1"/>
  <c r="AC1229" i="1"/>
  <c r="AL1229" i="1" s="1"/>
  <c r="E1229" i="1"/>
  <c r="AC1228" i="1"/>
  <c r="AL1228" i="1" s="1"/>
  <c r="E1228" i="1"/>
  <c r="AC1227" i="1"/>
  <c r="AL1227" i="1" s="1"/>
  <c r="E1227" i="1"/>
  <c r="AC1226" i="1"/>
  <c r="AL1226" i="1" s="1"/>
  <c r="E1226" i="1"/>
  <c r="AC1225" i="1"/>
  <c r="AL1225" i="1" s="1"/>
  <c r="F1225" i="1"/>
  <c r="E1225" i="1"/>
  <c r="AC1224" i="1"/>
  <c r="AL1224" i="1" s="1"/>
  <c r="F1224" i="1"/>
  <c r="E1224" i="1"/>
  <c r="AC1223" i="1"/>
  <c r="AL1223" i="1" s="1"/>
  <c r="F1223" i="1"/>
  <c r="E1223" i="1"/>
  <c r="AC1222" i="1"/>
  <c r="AL1222" i="1" s="1"/>
  <c r="F1222" i="1"/>
  <c r="E1222" i="1"/>
  <c r="AC1221" i="1"/>
  <c r="AL1221" i="1" s="1"/>
  <c r="F1221" i="1"/>
  <c r="E1221" i="1"/>
  <c r="AC1220" i="1"/>
  <c r="AL1220" i="1" s="1"/>
  <c r="F1220" i="1"/>
  <c r="E1220" i="1"/>
  <c r="AC1219" i="1"/>
  <c r="AL1219" i="1" s="1"/>
  <c r="F1219" i="1"/>
  <c r="E1219" i="1"/>
  <c r="AC1218" i="1"/>
  <c r="AL1218" i="1" s="1"/>
  <c r="F1218" i="1"/>
  <c r="E1218" i="1"/>
  <c r="AC1217" i="1"/>
  <c r="AL1217" i="1" s="1"/>
  <c r="F1217" i="1"/>
  <c r="E1217" i="1"/>
  <c r="AC1216" i="1"/>
  <c r="AL1216" i="1" s="1"/>
  <c r="F1216" i="1"/>
  <c r="E1216" i="1"/>
  <c r="AC1215" i="1"/>
  <c r="AL1215" i="1" s="1"/>
  <c r="F1215" i="1"/>
  <c r="E1215" i="1"/>
  <c r="AC1214" i="1"/>
  <c r="AL1214" i="1" s="1"/>
  <c r="E1214" i="1"/>
  <c r="AC1213" i="1"/>
  <c r="AL1213" i="1" s="1"/>
  <c r="F1213" i="1"/>
  <c r="E1213" i="1"/>
  <c r="AC1212" i="1"/>
  <c r="AL1212" i="1" s="1"/>
  <c r="F1212" i="1"/>
  <c r="E1212" i="1"/>
  <c r="AC1211" i="1"/>
  <c r="AL1211" i="1" s="1"/>
  <c r="F1211" i="1"/>
  <c r="E1211" i="1"/>
  <c r="AC1210" i="1"/>
  <c r="AL1210" i="1" s="1"/>
  <c r="E1210" i="1"/>
  <c r="AC1209" i="1"/>
  <c r="AL1209" i="1" s="1"/>
  <c r="E1209" i="1"/>
  <c r="AC1208" i="1"/>
  <c r="AL1208" i="1" s="1"/>
  <c r="E1208" i="1"/>
  <c r="AC1207" i="1"/>
  <c r="AL1207" i="1" s="1"/>
  <c r="E1207" i="1"/>
  <c r="AC1206" i="1"/>
  <c r="AL1206" i="1" s="1"/>
  <c r="E1206" i="1"/>
  <c r="AC1205" i="1"/>
  <c r="AL1205" i="1" s="1"/>
  <c r="E1205" i="1"/>
  <c r="AC1204" i="1"/>
  <c r="AL1204" i="1" s="1"/>
  <c r="E1204" i="1"/>
  <c r="AC1203" i="1"/>
  <c r="AL1203" i="1" s="1"/>
  <c r="E1203" i="1"/>
  <c r="AC1202" i="1"/>
  <c r="AL1202" i="1" s="1"/>
  <c r="E1202" i="1"/>
  <c r="AC1201" i="1"/>
  <c r="AL1201" i="1" s="1"/>
  <c r="E1201" i="1"/>
  <c r="AC1200" i="1"/>
  <c r="AL1200" i="1" s="1"/>
  <c r="E1200" i="1"/>
  <c r="AC1199" i="1"/>
  <c r="AL1199" i="1" s="1"/>
  <c r="E1199" i="1"/>
  <c r="AC1198" i="1"/>
  <c r="AL1198" i="1" s="1"/>
  <c r="E1198" i="1"/>
  <c r="AC1197" i="1"/>
  <c r="AL1197" i="1" s="1"/>
  <c r="F1197" i="1"/>
  <c r="E1197" i="1"/>
  <c r="AC1196" i="1"/>
  <c r="AL1196" i="1" s="1"/>
  <c r="F1196" i="1"/>
  <c r="E1196" i="1"/>
  <c r="AC1195" i="1"/>
  <c r="AL1195" i="1" s="1"/>
  <c r="E1195" i="1"/>
  <c r="AC1194" i="1"/>
  <c r="AL1194" i="1" s="1"/>
  <c r="E1194" i="1"/>
  <c r="AC1193" i="1"/>
  <c r="AL1193" i="1" s="1"/>
  <c r="F1193" i="1"/>
  <c r="E1193" i="1"/>
  <c r="AC1192" i="1"/>
  <c r="AL1192" i="1" s="1"/>
  <c r="E1192" i="1"/>
  <c r="AC1191" i="1"/>
  <c r="AL1191" i="1" s="1"/>
  <c r="E1191" i="1"/>
  <c r="AC1190" i="1"/>
  <c r="AL1190" i="1" s="1"/>
  <c r="E1190" i="1"/>
  <c r="AC1189" i="1"/>
  <c r="AL1189" i="1" s="1"/>
  <c r="E1189" i="1"/>
  <c r="AC1188" i="1"/>
  <c r="AL1188" i="1" s="1"/>
  <c r="E1188" i="1"/>
  <c r="AC1187" i="1"/>
  <c r="AL1187" i="1" s="1"/>
  <c r="E1187" i="1"/>
  <c r="AC1186" i="1"/>
  <c r="AL1186" i="1" s="1"/>
  <c r="E1186" i="1"/>
  <c r="AC1185" i="1"/>
  <c r="AL1185" i="1" s="1"/>
  <c r="E1185" i="1"/>
  <c r="AC1184" i="1"/>
  <c r="AL1184" i="1" s="1"/>
  <c r="E1184" i="1"/>
  <c r="AC1183" i="1"/>
  <c r="AL1183" i="1" s="1"/>
  <c r="E1183" i="1"/>
  <c r="AC1182" i="1"/>
  <c r="AL1182" i="1" s="1"/>
  <c r="E1182" i="1"/>
  <c r="AC1181" i="1"/>
  <c r="AL1181" i="1" s="1"/>
  <c r="E1181" i="1"/>
  <c r="AC1180" i="1"/>
  <c r="AL1180" i="1" s="1"/>
  <c r="E1180" i="1"/>
  <c r="AC1179" i="1"/>
  <c r="AL1179" i="1" s="1"/>
  <c r="E1179" i="1"/>
  <c r="AC1178" i="1"/>
  <c r="AL1178" i="1" s="1"/>
  <c r="E1178" i="1"/>
  <c r="AC1177" i="1"/>
  <c r="AL1177" i="1" s="1"/>
  <c r="E1177" i="1"/>
  <c r="AC1176" i="1"/>
  <c r="AL1176" i="1" s="1"/>
  <c r="F1176" i="1"/>
  <c r="E1176" i="1"/>
  <c r="AK1175" i="1"/>
  <c r="AC1175" i="1"/>
  <c r="F1175" i="1"/>
  <c r="E1175" i="1"/>
  <c r="AC1174" i="1"/>
  <c r="AL1174" i="1" s="1"/>
  <c r="F1174" i="1"/>
  <c r="E1174" i="1"/>
  <c r="AC1173" i="1"/>
  <c r="AL1173" i="1" s="1"/>
  <c r="F1173" i="1"/>
  <c r="E1173" i="1"/>
  <c r="AC1172" i="1"/>
  <c r="AL1172" i="1" s="1"/>
  <c r="F1172" i="1"/>
  <c r="E1172" i="1"/>
  <c r="AK1171" i="1"/>
  <c r="AC1171" i="1"/>
  <c r="F1171" i="1"/>
  <c r="E1171" i="1"/>
  <c r="AC1170" i="1"/>
  <c r="AL1170" i="1" s="1"/>
  <c r="E1170" i="1"/>
  <c r="AC1169" i="1"/>
  <c r="AL1169" i="1" s="1"/>
  <c r="E1169" i="1"/>
  <c r="AC1168" i="1"/>
  <c r="AL1168" i="1" s="1"/>
  <c r="E1168" i="1"/>
  <c r="AC1167" i="1"/>
  <c r="AL1167" i="1" s="1"/>
  <c r="E1167" i="1"/>
  <c r="AC1166" i="1"/>
  <c r="AL1166" i="1" s="1"/>
  <c r="E1166" i="1"/>
  <c r="AC1165" i="1"/>
  <c r="AL1165" i="1" s="1"/>
  <c r="E1165" i="1"/>
  <c r="AC1164" i="1"/>
  <c r="AL1164" i="1" s="1"/>
  <c r="E1164" i="1"/>
  <c r="AC1163" i="1"/>
  <c r="AL1163" i="1" s="1"/>
  <c r="E1163" i="1"/>
  <c r="AC1162" i="1"/>
  <c r="AL1162" i="1" s="1"/>
  <c r="E1162" i="1"/>
  <c r="AC1161" i="1"/>
  <c r="AL1161" i="1" s="1"/>
  <c r="E1161" i="1"/>
  <c r="AC1160" i="1"/>
  <c r="AL1160" i="1" s="1"/>
  <c r="E1160" i="1"/>
  <c r="AC1159" i="1"/>
  <c r="AL1159" i="1" s="1"/>
  <c r="E1159" i="1"/>
  <c r="AC1158" i="1"/>
  <c r="AL1158" i="1" s="1"/>
  <c r="E1158" i="1"/>
  <c r="AC1157" i="1"/>
  <c r="AL1157" i="1" s="1"/>
  <c r="E1157" i="1"/>
  <c r="AC1156" i="1"/>
  <c r="AL1156" i="1" s="1"/>
  <c r="E1156" i="1"/>
  <c r="AC1155" i="1"/>
  <c r="AL1155" i="1" s="1"/>
  <c r="E1155" i="1"/>
  <c r="AC1154" i="1"/>
  <c r="AL1154" i="1" s="1"/>
  <c r="E1154" i="1"/>
  <c r="AC1153" i="1"/>
  <c r="AL1153" i="1" s="1"/>
  <c r="E1153" i="1"/>
  <c r="AC1152" i="1"/>
  <c r="AL1152" i="1" s="1"/>
  <c r="E1152" i="1"/>
  <c r="AC1151" i="1"/>
  <c r="AL1151" i="1" s="1"/>
  <c r="E1151" i="1"/>
  <c r="AK1150" i="1"/>
  <c r="AE1150" i="1"/>
  <c r="AD1150" i="1"/>
  <c r="AC1150" i="1"/>
  <c r="F1150" i="1"/>
  <c r="E1150" i="1"/>
  <c r="AC1149" i="1"/>
  <c r="AL1149" i="1" s="1"/>
  <c r="E1149" i="1"/>
  <c r="AC1148" i="1"/>
  <c r="AL1148" i="1" s="1"/>
  <c r="F1148" i="1"/>
  <c r="E1148" i="1"/>
  <c r="AC1147" i="1"/>
  <c r="AL1147" i="1" s="1"/>
  <c r="F1147" i="1"/>
  <c r="E1147" i="1"/>
  <c r="AC1146" i="1"/>
  <c r="AL1146" i="1" s="1"/>
  <c r="F1146" i="1"/>
  <c r="E1146" i="1"/>
  <c r="AC1145" i="1"/>
  <c r="AL1145" i="1" s="1"/>
  <c r="F1145" i="1"/>
  <c r="E1145" i="1"/>
  <c r="AK1144" i="1"/>
  <c r="AC1144" i="1"/>
  <c r="F1144" i="1"/>
  <c r="E1144" i="1"/>
  <c r="AC1143" i="1"/>
  <c r="AL1143" i="1" s="1"/>
  <c r="F1143" i="1"/>
  <c r="E1143" i="1"/>
  <c r="AC1142" i="1"/>
  <c r="AL1142" i="1" s="1"/>
  <c r="E1142" i="1"/>
  <c r="AC1141" i="1"/>
  <c r="AL1141" i="1" s="1"/>
  <c r="E1141" i="1"/>
  <c r="AC1140" i="1"/>
  <c r="AL1140" i="1" s="1"/>
  <c r="E1140" i="1"/>
  <c r="AC1139" i="1"/>
  <c r="AL1139" i="1" s="1"/>
  <c r="E1139" i="1"/>
  <c r="AC1138" i="1"/>
  <c r="AL1138" i="1" s="1"/>
  <c r="E1138" i="1"/>
  <c r="AC1137" i="1"/>
  <c r="AL1137" i="1" s="1"/>
  <c r="E1137" i="1"/>
  <c r="AC1136" i="1"/>
  <c r="AL1136" i="1" s="1"/>
  <c r="F1136" i="1"/>
  <c r="E1136" i="1"/>
  <c r="AC1135" i="1"/>
  <c r="AL1135" i="1" s="1"/>
  <c r="E1135" i="1"/>
  <c r="AC1134" i="1"/>
  <c r="AL1134" i="1" s="1"/>
  <c r="E1134" i="1"/>
  <c r="AC1133" i="1"/>
  <c r="AL1133" i="1" s="1"/>
  <c r="E1133" i="1"/>
  <c r="AC1132" i="1"/>
  <c r="AL1132" i="1" s="1"/>
  <c r="E1132" i="1"/>
  <c r="AC1131" i="1"/>
  <c r="AL1131" i="1" s="1"/>
  <c r="E1131" i="1"/>
  <c r="AC1130" i="1"/>
  <c r="AL1130" i="1" s="1"/>
  <c r="E1130" i="1"/>
  <c r="AC1129" i="1"/>
  <c r="AL1129" i="1" s="1"/>
  <c r="E1129" i="1"/>
  <c r="AK1128" i="1"/>
  <c r="AC1128" i="1"/>
  <c r="F1128" i="1"/>
  <c r="E1128" i="1"/>
  <c r="AC1127" i="1"/>
  <c r="AL1127" i="1" s="1"/>
  <c r="E1127" i="1"/>
  <c r="AC1126" i="1"/>
  <c r="AL1126" i="1" s="1"/>
  <c r="E1126" i="1"/>
  <c r="AK1125" i="1"/>
  <c r="AC1125" i="1"/>
  <c r="F1125" i="1"/>
  <c r="E1125" i="1"/>
  <c r="AK1124" i="1"/>
  <c r="AC1124" i="1"/>
  <c r="F1124" i="1"/>
  <c r="E1124" i="1"/>
  <c r="AC1123" i="1"/>
  <c r="AL1123" i="1" s="1"/>
  <c r="E1123" i="1"/>
  <c r="AC1122" i="1"/>
  <c r="AL1122" i="1" s="1"/>
  <c r="E1122" i="1"/>
  <c r="AC1121" i="1"/>
  <c r="AL1121" i="1" s="1"/>
  <c r="E1121" i="1"/>
  <c r="AC1120" i="1"/>
  <c r="AL1120" i="1" s="1"/>
  <c r="E1120" i="1"/>
  <c r="AC1119" i="1"/>
  <c r="AL1119" i="1" s="1"/>
  <c r="E1119" i="1"/>
  <c r="AC1118" i="1"/>
  <c r="AL1118" i="1" s="1"/>
  <c r="E1118" i="1"/>
  <c r="AC1117" i="1"/>
  <c r="AL1117" i="1" s="1"/>
  <c r="E1117" i="1"/>
  <c r="AC1116" i="1"/>
  <c r="AL1116" i="1" s="1"/>
  <c r="E1116" i="1"/>
  <c r="AC1115" i="1"/>
  <c r="AL1115" i="1" s="1"/>
  <c r="E1115" i="1"/>
  <c r="AC1114" i="1"/>
  <c r="AL1114" i="1" s="1"/>
  <c r="E1114" i="1"/>
  <c r="AC1113" i="1"/>
  <c r="AL1113" i="1" s="1"/>
  <c r="E1113" i="1"/>
  <c r="AC1112" i="1"/>
  <c r="AL1112" i="1" s="1"/>
  <c r="E1112" i="1"/>
  <c r="AC1111" i="1"/>
  <c r="AL1111" i="1" s="1"/>
  <c r="E1111" i="1"/>
  <c r="AC1110" i="1"/>
  <c r="AL1110" i="1" s="1"/>
  <c r="E1110" i="1"/>
  <c r="AC1109" i="1"/>
  <c r="AL1109" i="1" s="1"/>
  <c r="E1109" i="1"/>
  <c r="AC1108" i="1"/>
  <c r="AL1108" i="1" s="1"/>
  <c r="E1108" i="1"/>
  <c r="AC1107" i="1"/>
  <c r="AL1107" i="1" s="1"/>
  <c r="E1107" i="1"/>
  <c r="AC1106" i="1"/>
  <c r="AL1106" i="1" s="1"/>
  <c r="E1106" i="1"/>
  <c r="AC1105" i="1"/>
  <c r="AL1105" i="1" s="1"/>
  <c r="E1105" i="1"/>
  <c r="AC1104" i="1"/>
  <c r="AL1104" i="1" s="1"/>
  <c r="E1104" i="1"/>
  <c r="AC1103" i="1"/>
  <c r="AL1103" i="1" s="1"/>
  <c r="E1103" i="1"/>
  <c r="AC1102" i="1"/>
  <c r="AL1102" i="1" s="1"/>
  <c r="E1102" i="1"/>
  <c r="AC1101" i="1"/>
  <c r="AL1101" i="1" s="1"/>
  <c r="E1101" i="1"/>
  <c r="AC1100" i="1"/>
  <c r="AL1100" i="1" s="1"/>
  <c r="E1100" i="1"/>
  <c r="AC1099" i="1"/>
  <c r="AL1099" i="1" s="1"/>
  <c r="E1099" i="1"/>
  <c r="AC1098" i="1"/>
  <c r="AL1098" i="1" s="1"/>
  <c r="E1098" i="1"/>
  <c r="AC1097" i="1"/>
  <c r="AL1097" i="1" s="1"/>
  <c r="E1097" i="1"/>
  <c r="AC1096" i="1"/>
  <c r="AL1096" i="1" s="1"/>
  <c r="E1096" i="1"/>
  <c r="AC1095" i="1"/>
  <c r="AL1095" i="1" s="1"/>
  <c r="E1095" i="1"/>
  <c r="AC1094" i="1"/>
  <c r="AL1094" i="1" s="1"/>
  <c r="E1094" i="1"/>
  <c r="AC1093" i="1"/>
  <c r="AL1093" i="1" s="1"/>
  <c r="E1093" i="1"/>
  <c r="AC1092" i="1"/>
  <c r="AL1092" i="1" s="1"/>
  <c r="E1092" i="1"/>
  <c r="AK1091" i="1"/>
  <c r="AC1091" i="1"/>
  <c r="F1091" i="1"/>
  <c r="E1091" i="1"/>
  <c r="AC1090" i="1"/>
  <c r="AL1090" i="1" s="1"/>
  <c r="F1090" i="1"/>
  <c r="E1090" i="1"/>
  <c r="AC1089" i="1"/>
  <c r="AL1089" i="1" s="1"/>
  <c r="E1089" i="1"/>
  <c r="AC1088" i="1"/>
  <c r="AL1088" i="1" s="1"/>
  <c r="E1088" i="1"/>
  <c r="AC1087" i="1"/>
  <c r="AL1087" i="1" s="1"/>
  <c r="E1087" i="1"/>
  <c r="AC1086" i="1"/>
  <c r="AL1086" i="1" s="1"/>
  <c r="E1086" i="1"/>
  <c r="AC1085" i="1"/>
  <c r="AL1085" i="1" s="1"/>
  <c r="E1085" i="1"/>
  <c r="AC1084" i="1"/>
  <c r="AL1084" i="1" s="1"/>
  <c r="E1084" i="1"/>
  <c r="AC1083" i="1"/>
  <c r="AL1083" i="1" s="1"/>
  <c r="E1083" i="1"/>
  <c r="AK1082" i="1"/>
  <c r="AC1082" i="1"/>
  <c r="F1082" i="1"/>
  <c r="E1082" i="1"/>
  <c r="AE1081" i="1"/>
  <c r="AD1081" i="1"/>
  <c r="AC1081" i="1"/>
  <c r="F1081" i="1"/>
  <c r="E1081" i="1"/>
  <c r="AK1080" i="1"/>
  <c r="AC1080" i="1"/>
  <c r="F1080" i="1"/>
  <c r="E1080" i="1"/>
  <c r="AK1079" i="1"/>
  <c r="AC1079" i="1"/>
  <c r="F1079" i="1"/>
  <c r="E1079" i="1"/>
  <c r="AK1078" i="1"/>
  <c r="AC1078" i="1"/>
  <c r="F1078" i="1"/>
  <c r="E1078" i="1"/>
  <c r="AC1077" i="1"/>
  <c r="AL1077" i="1" s="1"/>
  <c r="F1077" i="1"/>
  <c r="E1077" i="1"/>
  <c r="AC1076" i="1"/>
  <c r="AL1076" i="1" s="1"/>
  <c r="E1076" i="1"/>
  <c r="AC1075" i="1"/>
  <c r="AL1075" i="1" s="1"/>
  <c r="E1075" i="1"/>
  <c r="AC1074" i="1"/>
  <c r="AL1074" i="1" s="1"/>
  <c r="E1074" i="1"/>
  <c r="AC1073" i="1"/>
  <c r="AL1073" i="1" s="1"/>
  <c r="E1073" i="1"/>
  <c r="AC1072" i="1"/>
  <c r="AL1072" i="1" s="1"/>
  <c r="E1072" i="1"/>
  <c r="AC1071" i="1"/>
  <c r="AL1071" i="1" s="1"/>
  <c r="E1071" i="1"/>
  <c r="AC1070" i="1"/>
  <c r="AL1070" i="1" s="1"/>
  <c r="E1070" i="1"/>
  <c r="AC1069" i="1"/>
  <c r="AL1069" i="1" s="1"/>
  <c r="E1069" i="1"/>
  <c r="AC1068" i="1"/>
  <c r="AL1068" i="1" s="1"/>
  <c r="E1068" i="1"/>
  <c r="AC1067" i="1"/>
  <c r="AL1067" i="1" s="1"/>
  <c r="E1067" i="1"/>
  <c r="AK1066" i="1"/>
  <c r="AC1066" i="1"/>
  <c r="F1066" i="1"/>
  <c r="E1066" i="1"/>
  <c r="AC1065" i="1"/>
  <c r="AL1065" i="1" s="1"/>
  <c r="F1065" i="1"/>
  <c r="E1065" i="1"/>
  <c r="AK1064" i="1"/>
  <c r="AC1064" i="1"/>
  <c r="F1064" i="1"/>
  <c r="E1064" i="1"/>
  <c r="AC1063" i="1"/>
  <c r="AL1063" i="1" s="1"/>
  <c r="E1063" i="1"/>
  <c r="AC1062" i="1"/>
  <c r="AL1062" i="1" s="1"/>
  <c r="E1062" i="1"/>
  <c r="AC1061" i="1"/>
  <c r="AL1061" i="1" s="1"/>
  <c r="E1061" i="1"/>
  <c r="AK1060" i="1"/>
  <c r="AC1060" i="1"/>
  <c r="F1060" i="1"/>
  <c r="E1060" i="1"/>
  <c r="AC1059" i="1"/>
  <c r="AL1059" i="1" s="1"/>
  <c r="E1059" i="1"/>
  <c r="AC1058" i="1"/>
  <c r="AL1058" i="1" s="1"/>
  <c r="E1058" i="1"/>
  <c r="AC1057" i="1"/>
  <c r="AL1057" i="1" s="1"/>
  <c r="E1057" i="1"/>
  <c r="AC1056" i="1"/>
  <c r="AL1056" i="1" s="1"/>
  <c r="E1056" i="1"/>
  <c r="AC1055" i="1"/>
  <c r="AL1055" i="1" s="1"/>
  <c r="E1055" i="1"/>
  <c r="AC1054" i="1"/>
  <c r="AL1054" i="1" s="1"/>
  <c r="E1054" i="1"/>
  <c r="AC1053" i="1"/>
  <c r="AL1053" i="1" s="1"/>
  <c r="E1053" i="1"/>
  <c r="AK1052" i="1"/>
  <c r="AC1052" i="1"/>
  <c r="F1052" i="1"/>
  <c r="E1052" i="1"/>
  <c r="AC1051" i="1"/>
  <c r="AL1051" i="1" s="1"/>
  <c r="E1051" i="1"/>
  <c r="AC1050" i="1"/>
  <c r="AL1050" i="1" s="1"/>
  <c r="E1050" i="1"/>
  <c r="AC1049" i="1"/>
  <c r="AL1049" i="1" s="1"/>
  <c r="E1049" i="1"/>
  <c r="AC1048" i="1"/>
  <c r="AL1048" i="1" s="1"/>
  <c r="E1048" i="1"/>
  <c r="AC1047" i="1"/>
  <c r="AL1047" i="1" s="1"/>
  <c r="E1047" i="1"/>
  <c r="AK1046" i="1"/>
  <c r="AC1046" i="1"/>
  <c r="F1046" i="1"/>
  <c r="E1046" i="1"/>
  <c r="AC1045" i="1"/>
  <c r="AL1045" i="1" s="1"/>
  <c r="E1045" i="1"/>
  <c r="AC1044" i="1"/>
  <c r="AL1044" i="1" s="1"/>
  <c r="E1044" i="1"/>
  <c r="AC1043" i="1"/>
  <c r="AL1043" i="1" s="1"/>
  <c r="E1043" i="1"/>
  <c r="AC1042" i="1"/>
  <c r="AL1042" i="1" s="1"/>
  <c r="F1042" i="1"/>
  <c r="E1042" i="1"/>
  <c r="AC1041" i="1"/>
  <c r="AL1041" i="1" s="1"/>
  <c r="E1041" i="1"/>
  <c r="AC1040" i="1"/>
  <c r="AL1040" i="1" s="1"/>
  <c r="E1040" i="1"/>
  <c r="AC1039" i="1"/>
  <c r="AL1039" i="1" s="1"/>
  <c r="E1039" i="1"/>
  <c r="AC1038" i="1"/>
  <c r="AL1038" i="1" s="1"/>
  <c r="E1038" i="1"/>
  <c r="AC1037" i="1"/>
  <c r="AL1037" i="1" s="1"/>
  <c r="E1037" i="1"/>
  <c r="AC1036" i="1"/>
  <c r="AL1036" i="1" s="1"/>
  <c r="E1036" i="1"/>
  <c r="AC1035" i="1"/>
  <c r="AL1035" i="1" s="1"/>
  <c r="E1035" i="1"/>
  <c r="AC1034" i="1"/>
  <c r="AL1034" i="1" s="1"/>
  <c r="E1034" i="1"/>
  <c r="AC1033" i="1"/>
  <c r="AL1033" i="1" s="1"/>
  <c r="F1033" i="1"/>
  <c r="E1033" i="1"/>
  <c r="AC1032" i="1"/>
  <c r="AL1032" i="1" s="1"/>
  <c r="E1032" i="1"/>
  <c r="AC1031" i="1"/>
  <c r="AL1031" i="1" s="1"/>
  <c r="E1031" i="1"/>
  <c r="AC1030" i="1"/>
  <c r="AL1030" i="1" s="1"/>
  <c r="E1030" i="1"/>
  <c r="AC1029" i="1"/>
  <c r="AL1029" i="1" s="1"/>
  <c r="E1029" i="1"/>
  <c r="AC1028" i="1"/>
  <c r="AL1028" i="1" s="1"/>
  <c r="E1028" i="1"/>
  <c r="AC1027" i="1"/>
  <c r="AL1027" i="1" s="1"/>
  <c r="E1027" i="1"/>
  <c r="AC1026" i="1"/>
  <c r="AL1026" i="1" s="1"/>
  <c r="E1026" i="1"/>
  <c r="AC1025" i="1"/>
  <c r="AL1025" i="1" s="1"/>
  <c r="E1025" i="1"/>
  <c r="AC1024" i="1"/>
  <c r="AL1024" i="1" s="1"/>
  <c r="E1024" i="1"/>
  <c r="AC1023" i="1"/>
  <c r="AL1023" i="1" s="1"/>
  <c r="E1023" i="1"/>
  <c r="AC1022" i="1"/>
  <c r="AL1022" i="1" s="1"/>
  <c r="E1022" i="1"/>
  <c r="AC1021" i="1"/>
  <c r="AL1021" i="1" s="1"/>
  <c r="E1021" i="1"/>
  <c r="AC1020" i="1"/>
  <c r="AL1020" i="1" s="1"/>
  <c r="E1020" i="1"/>
  <c r="AC1019" i="1"/>
  <c r="AL1019" i="1" s="1"/>
  <c r="E1019" i="1"/>
  <c r="AC1018" i="1"/>
  <c r="AL1018" i="1" s="1"/>
  <c r="E1018" i="1"/>
  <c r="AC1017" i="1"/>
  <c r="AL1017" i="1" s="1"/>
  <c r="E1017" i="1"/>
  <c r="AC1016" i="1"/>
  <c r="AL1016" i="1" s="1"/>
  <c r="E1016" i="1"/>
  <c r="AC1015" i="1"/>
  <c r="AL1015" i="1" s="1"/>
  <c r="E1015" i="1"/>
  <c r="AC1014" i="1"/>
  <c r="AL1014" i="1" s="1"/>
  <c r="E1014" i="1"/>
  <c r="AC1013" i="1"/>
  <c r="AL1013" i="1" s="1"/>
  <c r="E1013" i="1"/>
  <c r="AC1012" i="1"/>
  <c r="AL1012" i="1" s="1"/>
  <c r="E1012" i="1"/>
  <c r="AC1011" i="1"/>
  <c r="AL1011" i="1" s="1"/>
  <c r="E1011" i="1"/>
  <c r="AC1010" i="1"/>
  <c r="AL1010" i="1" s="1"/>
  <c r="E1010" i="1"/>
  <c r="AC1009" i="1"/>
  <c r="AL1009" i="1" s="1"/>
  <c r="E1009" i="1"/>
  <c r="AC1008" i="1"/>
  <c r="AL1008" i="1" s="1"/>
  <c r="E1008" i="1"/>
  <c r="AC1007" i="1"/>
  <c r="AL1007" i="1" s="1"/>
  <c r="E1007" i="1"/>
  <c r="AC1006" i="1"/>
  <c r="AL1006" i="1" s="1"/>
  <c r="E1006" i="1"/>
  <c r="AC1005" i="1"/>
  <c r="AL1005" i="1" s="1"/>
  <c r="E1005" i="1"/>
  <c r="AC1004" i="1"/>
  <c r="AL1004" i="1" s="1"/>
  <c r="E1004" i="1"/>
  <c r="AC1003" i="1"/>
  <c r="AL1003" i="1" s="1"/>
  <c r="E1003" i="1"/>
  <c r="AC1002" i="1"/>
  <c r="AL1002" i="1" s="1"/>
  <c r="E1002" i="1"/>
  <c r="AK1001" i="1"/>
  <c r="AC1001" i="1"/>
  <c r="F1001" i="1"/>
  <c r="E1001" i="1"/>
  <c r="AC1000" i="1"/>
  <c r="AL1000" i="1" s="1"/>
  <c r="E1000" i="1"/>
  <c r="AC999" i="1"/>
  <c r="AL999" i="1" s="1"/>
  <c r="E999" i="1"/>
  <c r="AC998" i="1"/>
  <c r="AL998" i="1" s="1"/>
  <c r="E998" i="1"/>
  <c r="AC997" i="1"/>
  <c r="AL997" i="1" s="1"/>
  <c r="E997" i="1"/>
  <c r="AK996" i="1"/>
  <c r="AC996" i="1"/>
  <c r="F996" i="1"/>
  <c r="E996" i="1"/>
  <c r="AC995" i="1"/>
  <c r="AL995" i="1" s="1"/>
  <c r="E995" i="1"/>
  <c r="AC994" i="1"/>
  <c r="AL994" i="1" s="1"/>
  <c r="E994" i="1"/>
  <c r="AC993" i="1"/>
  <c r="AL993" i="1" s="1"/>
  <c r="E993" i="1"/>
  <c r="AC992" i="1"/>
  <c r="AL992" i="1" s="1"/>
  <c r="E992" i="1"/>
  <c r="AC991" i="1"/>
  <c r="AL991" i="1" s="1"/>
  <c r="F991" i="1"/>
  <c r="E991" i="1"/>
  <c r="AC990" i="1"/>
  <c r="AL990" i="1" s="1"/>
  <c r="E990" i="1"/>
  <c r="AC989" i="1"/>
  <c r="AL989" i="1" s="1"/>
  <c r="E989" i="1"/>
  <c r="AC988" i="1"/>
  <c r="AL988" i="1" s="1"/>
  <c r="E988" i="1"/>
  <c r="AC987" i="1"/>
  <c r="AL987" i="1" s="1"/>
  <c r="E987" i="1"/>
  <c r="AC986" i="1"/>
  <c r="AL986" i="1" s="1"/>
  <c r="F986" i="1"/>
  <c r="E986" i="1"/>
  <c r="AC985" i="1"/>
  <c r="AL985" i="1" s="1"/>
  <c r="E985" i="1"/>
  <c r="AC984" i="1"/>
  <c r="AL984" i="1" s="1"/>
  <c r="E984" i="1"/>
  <c r="AC983" i="1"/>
  <c r="AL983" i="1" s="1"/>
  <c r="E983" i="1"/>
  <c r="AC982" i="1"/>
  <c r="AL982" i="1" s="1"/>
  <c r="E982" i="1"/>
  <c r="AE981" i="1"/>
  <c r="AD981" i="1"/>
  <c r="AC981" i="1"/>
  <c r="F981" i="1"/>
  <c r="E981" i="1"/>
  <c r="AC980" i="1"/>
  <c r="AL980" i="1" s="1"/>
  <c r="E980" i="1"/>
  <c r="AC979" i="1"/>
  <c r="AL979" i="1" s="1"/>
  <c r="E979" i="1"/>
  <c r="AC978" i="1"/>
  <c r="AL978" i="1" s="1"/>
  <c r="E978" i="1"/>
  <c r="AC977" i="1"/>
  <c r="AL977" i="1" s="1"/>
  <c r="E977" i="1"/>
  <c r="AK976" i="1"/>
  <c r="AD976" i="1"/>
  <c r="AC976" i="1"/>
  <c r="F976" i="1"/>
  <c r="E976" i="1"/>
  <c r="AK975" i="1"/>
  <c r="AC975" i="1"/>
  <c r="F975" i="1"/>
  <c r="E975" i="1"/>
  <c r="AC974" i="1"/>
  <c r="AL974" i="1" s="1"/>
  <c r="F974" i="1"/>
  <c r="E974" i="1"/>
  <c r="AC973" i="1"/>
  <c r="AL973" i="1" s="1"/>
  <c r="F973" i="1"/>
  <c r="E973" i="1"/>
  <c r="AK972" i="1"/>
  <c r="AC972" i="1"/>
  <c r="F972" i="1"/>
  <c r="E972" i="1"/>
  <c r="AK971" i="1"/>
  <c r="AC971" i="1"/>
  <c r="F971" i="1"/>
  <c r="E971" i="1"/>
  <c r="AK970" i="1"/>
  <c r="AC970" i="1"/>
  <c r="F970" i="1"/>
  <c r="E970" i="1"/>
  <c r="AK969" i="1"/>
  <c r="AC969" i="1"/>
  <c r="F969" i="1"/>
  <c r="E969" i="1"/>
  <c r="AK968" i="1"/>
  <c r="AC968" i="1"/>
  <c r="F968" i="1"/>
  <c r="E968" i="1"/>
  <c r="AC967" i="1"/>
  <c r="AL967" i="1" s="1"/>
  <c r="F967" i="1"/>
  <c r="E967" i="1"/>
  <c r="AC966" i="1"/>
  <c r="AL966" i="1" s="1"/>
  <c r="E966" i="1"/>
  <c r="AC965" i="1"/>
  <c r="AL965" i="1" s="1"/>
  <c r="E965" i="1"/>
  <c r="AC964" i="1"/>
  <c r="AL964" i="1" s="1"/>
  <c r="E964" i="1"/>
  <c r="AC963" i="1"/>
  <c r="AL963" i="1" s="1"/>
  <c r="E963" i="1"/>
  <c r="AC962" i="1"/>
  <c r="AL962" i="1" s="1"/>
  <c r="E962" i="1"/>
  <c r="AC961" i="1"/>
  <c r="AL961" i="1" s="1"/>
  <c r="E961" i="1"/>
  <c r="AC960" i="1"/>
  <c r="AL960" i="1" s="1"/>
  <c r="E960" i="1"/>
  <c r="AC959" i="1"/>
  <c r="AL959" i="1" s="1"/>
  <c r="E959" i="1"/>
  <c r="AK958" i="1"/>
  <c r="AC958" i="1"/>
  <c r="AL958" i="1" s="1"/>
  <c r="F958" i="1"/>
  <c r="E958" i="1"/>
  <c r="AC957" i="1"/>
  <c r="AL957" i="1" s="1"/>
  <c r="E957" i="1"/>
  <c r="AC956" i="1"/>
  <c r="AL956" i="1" s="1"/>
  <c r="E956" i="1"/>
  <c r="AC955" i="1"/>
  <c r="AL955" i="1" s="1"/>
  <c r="E955" i="1"/>
  <c r="AC954" i="1"/>
  <c r="AL954" i="1" s="1"/>
  <c r="E954" i="1"/>
  <c r="AC953" i="1"/>
  <c r="AL953" i="1" s="1"/>
  <c r="E953" i="1"/>
  <c r="AC952" i="1"/>
  <c r="AL952" i="1" s="1"/>
  <c r="E952" i="1"/>
  <c r="AK951" i="1"/>
  <c r="AC951" i="1"/>
  <c r="F951" i="1"/>
  <c r="E951" i="1"/>
  <c r="AC950" i="1"/>
  <c r="AL950" i="1" s="1"/>
  <c r="E950" i="1"/>
  <c r="AC949" i="1"/>
  <c r="AL949" i="1" s="1"/>
  <c r="F949" i="1"/>
  <c r="E949" i="1"/>
  <c r="AC948" i="1"/>
  <c r="AL948" i="1" s="1"/>
  <c r="E948" i="1"/>
  <c r="AC947" i="1"/>
  <c r="AL947" i="1" s="1"/>
  <c r="F947" i="1"/>
  <c r="E947" i="1"/>
  <c r="AK946" i="1"/>
  <c r="AC946" i="1"/>
  <c r="F946" i="1"/>
  <c r="E946" i="1"/>
  <c r="AK945" i="1"/>
  <c r="AC945" i="1"/>
  <c r="F945" i="1"/>
  <c r="E945" i="1"/>
  <c r="AC944" i="1"/>
  <c r="AL944" i="1" s="1"/>
  <c r="E944" i="1"/>
  <c r="AC943" i="1"/>
  <c r="AL943" i="1" s="1"/>
  <c r="E943" i="1"/>
  <c r="AC942" i="1"/>
  <c r="AL942" i="1" s="1"/>
  <c r="E942" i="1"/>
  <c r="AC941" i="1"/>
  <c r="AL941" i="1" s="1"/>
  <c r="E941" i="1"/>
  <c r="AC940" i="1"/>
  <c r="AL940" i="1" s="1"/>
  <c r="E940" i="1"/>
  <c r="AK939" i="1"/>
  <c r="AC939" i="1"/>
  <c r="F939" i="1"/>
  <c r="E939" i="1"/>
  <c r="AK938" i="1"/>
  <c r="AC938" i="1"/>
  <c r="F938" i="1"/>
  <c r="E938" i="1"/>
  <c r="AK937" i="1"/>
  <c r="AC937" i="1"/>
  <c r="F937" i="1"/>
  <c r="E937" i="1"/>
  <c r="AC936" i="1"/>
  <c r="AL936" i="1" s="1"/>
  <c r="F936" i="1"/>
  <c r="E936" i="1"/>
  <c r="AC935" i="1"/>
  <c r="AL935" i="1" s="1"/>
  <c r="F935" i="1"/>
  <c r="E935" i="1"/>
  <c r="AE934" i="1"/>
  <c r="AD934" i="1"/>
  <c r="AC934" i="1"/>
  <c r="F934" i="1"/>
  <c r="E934" i="1"/>
  <c r="AE933" i="1"/>
  <c r="AD933" i="1"/>
  <c r="AC933" i="1"/>
  <c r="F933" i="1"/>
  <c r="E933" i="1"/>
  <c r="AC932" i="1"/>
  <c r="AL932" i="1" s="1"/>
  <c r="F932" i="1"/>
  <c r="E932" i="1"/>
  <c r="AC931" i="1"/>
  <c r="AL931" i="1" s="1"/>
  <c r="E931" i="1"/>
  <c r="AC930" i="1"/>
  <c r="AL930" i="1" s="1"/>
  <c r="E930" i="1"/>
  <c r="AC929" i="1"/>
  <c r="AL929" i="1" s="1"/>
  <c r="E929" i="1"/>
  <c r="AC928" i="1"/>
  <c r="AL928" i="1" s="1"/>
  <c r="E928" i="1"/>
  <c r="AC927" i="1"/>
  <c r="AL927" i="1" s="1"/>
  <c r="E927" i="1"/>
  <c r="AC926" i="1"/>
  <c r="AL926" i="1" s="1"/>
  <c r="E926" i="1"/>
  <c r="AC925" i="1"/>
  <c r="AL925" i="1" s="1"/>
  <c r="E925" i="1"/>
  <c r="AC924" i="1"/>
  <c r="AL924" i="1" s="1"/>
  <c r="E924" i="1"/>
  <c r="AC923" i="1"/>
  <c r="AL923" i="1" s="1"/>
  <c r="E923" i="1"/>
  <c r="AC922" i="1"/>
  <c r="AL922" i="1" s="1"/>
  <c r="E922" i="1"/>
  <c r="AC921" i="1"/>
  <c r="AL921" i="1" s="1"/>
  <c r="E921" i="1"/>
  <c r="AC920" i="1"/>
  <c r="AL920" i="1" s="1"/>
  <c r="E920" i="1"/>
  <c r="AC919" i="1"/>
  <c r="AL919" i="1" s="1"/>
  <c r="E919" i="1"/>
  <c r="AC918" i="1"/>
  <c r="AL918" i="1" s="1"/>
  <c r="E918" i="1"/>
  <c r="AC917" i="1"/>
  <c r="AL917" i="1" s="1"/>
  <c r="E917" i="1"/>
  <c r="AC916" i="1"/>
  <c r="AL916" i="1" s="1"/>
  <c r="E916" i="1"/>
  <c r="AC915" i="1"/>
  <c r="AL915" i="1" s="1"/>
  <c r="E915" i="1"/>
  <c r="AC914" i="1"/>
  <c r="AL914" i="1" s="1"/>
  <c r="E914" i="1"/>
  <c r="AC913" i="1"/>
  <c r="AL913" i="1" s="1"/>
  <c r="E913" i="1"/>
  <c r="AC912" i="1"/>
  <c r="AL912" i="1" s="1"/>
  <c r="E912" i="1"/>
  <c r="AC911" i="1"/>
  <c r="AL911" i="1" s="1"/>
  <c r="E911" i="1"/>
  <c r="AL910" i="1"/>
  <c r="AC910" i="1"/>
  <c r="E910" i="1"/>
  <c r="AC909" i="1"/>
  <c r="AL909" i="1" s="1"/>
  <c r="E909" i="1"/>
  <c r="AC908" i="1"/>
  <c r="AL908" i="1" s="1"/>
  <c r="E908" i="1"/>
  <c r="AC907" i="1"/>
  <c r="AL907" i="1" s="1"/>
  <c r="E907" i="1"/>
  <c r="AC906" i="1"/>
  <c r="AL906" i="1" s="1"/>
  <c r="E906" i="1"/>
  <c r="AC905" i="1"/>
  <c r="AL905" i="1" s="1"/>
  <c r="E905" i="1"/>
  <c r="AC904" i="1"/>
  <c r="AL904" i="1" s="1"/>
  <c r="F904" i="1"/>
  <c r="E904" i="1"/>
  <c r="AC903" i="1"/>
  <c r="AL903" i="1" s="1"/>
  <c r="F903" i="1"/>
  <c r="E903" i="1"/>
  <c r="AK902" i="1"/>
  <c r="AC902" i="1"/>
  <c r="F902" i="1"/>
  <c r="E902" i="1"/>
  <c r="AK901" i="1"/>
  <c r="AC901" i="1"/>
  <c r="F901" i="1"/>
  <c r="E901" i="1"/>
  <c r="AK900" i="1"/>
  <c r="AC900" i="1"/>
  <c r="F900" i="1"/>
  <c r="E900" i="1"/>
  <c r="AK899" i="1"/>
  <c r="AC899" i="1"/>
  <c r="AL899" i="1" s="1"/>
  <c r="F899" i="1"/>
  <c r="E899" i="1"/>
  <c r="AC898" i="1"/>
  <c r="AL898" i="1" s="1"/>
  <c r="E898" i="1"/>
  <c r="AC897" i="1"/>
  <c r="AL897" i="1" s="1"/>
  <c r="E897" i="1"/>
  <c r="AC896" i="1"/>
  <c r="AL896" i="1" s="1"/>
  <c r="E896" i="1"/>
  <c r="AC895" i="1"/>
  <c r="AL895" i="1" s="1"/>
  <c r="E895" i="1"/>
  <c r="AC894" i="1"/>
  <c r="AL894" i="1" s="1"/>
  <c r="E894" i="1"/>
  <c r="AC893" i="1"/>
  <c r="AL893" i="1" s="1"/>
  <c r="E893" i="1"/>
  <c r="AC892" i="1"/>
  <c r="AL892" i="1" s="1"/>
  <c r="E892" i="1"/>
  <c r="AC891" i="1"/>
  <c r="AL891" i="1" s="1"/>
  <c r="E891" i="1"/>
  <c r="AC890" i="1"/>
  <c r="AL890" i="1" s="1"/>
  <c r="E890" i="1"/>
  <c r="AC889" i="1"/>
  <c r="AL889" i="1" s="1"/>
  <c r="E889" i="1"/>
  <c r="AC888" i="1"/>
  <c r="AL888" i="1" s="1"/>
  <c r="E888" i="1"/>
  <c r="AC887" i="1"/>
  <c r="AL887" i="1" s="1"/>
  <c r="E887" i="1"/>
  <c r="AE886" i="1"/>
  <c r="AD886" i="1"/>
  <c r="AC886" i="1"/>
  <c r="F886" i="1"/>
  <c r="E886" i="1"/>
  <c r="AK885" i="1"/>
  <c r="AL885" i="1" s="1"/>
  <c r="AC885" i="1"/>
  <c r="F885" i="1"/>
  <c r="E885" i="1"/>
  <c r="AK884" i="1"/>
  <c r="AC884" i="1"/>
  <c r="F884" i="1"/>
  <c r="E884" i="1"/>
  <c r="AE883" i="1"/>
  <c r="AD883" i="1"/>
  <c r="AC883" i="1"/>
  <c r="F883" i="1"/>
  <c r="E883" i="1"/>
  <c r="AC882" i="1"/>
  <c r="AL882" i="1" s="1"/>
  <c r="E882" i="1"/>
  <c r="AC881" i="1"/>
  <c r="AL881" i="1" s="1"/>
  <c r="E881" i="1"/>
  <c r="AC880" i="1"/>
  <c r="AL880" i="1" s="1"/>
  <c r="F880" i="1"/>
  <c r="E880" i="1"/>
  <c r="AC879" i="1"/>
  <c r="AL879" i="1" s="1"/>
  <c r="F879" i="1"/>
  <c r="E879" i="1"/>
  <c r="AC878" i="1"/>
  <c r="AL878" i="1" s="1"/>
  <c r="E878" i="1"/>
  <c r="AC877" i="1"/>
  <c r="AL877" i="1" s="1"/>
  <c r="E877" i="1"/>
  <c r="AC876" i="1"/>
  <c r="AL876" i="1" s="1"/>
  <c r="E876" i="1"/>
  <c r="AC875" i="1"/>
  <c r="AL875" i="1" s="1"/>
  <c r="E875" i="1"/>
  <c r="AC874" i="1"/>
  <c r="AL874" i="1" s="1"/>
  <c r="E874" i="1"/>
  <c r="AE873" i="1"/>
  <c r="AD873" i="1"/>
  <c r="AC873" i="1"/>
  <c r="F873" i="1"/>
  <c r="E873" i="1"/>
  <c r="AC872" i="1"/>
  <c r="AL872" i="1" s="1"/>
  <c r="F872" i="1"/>
  <c r="E872" i="1"/>
  <c r="AC871" i="1"/>
  <c r="AL871" i="1" s="1"/>
  <c r="F871" i="1"/>
  <c r="E871" i="1"/>
  <c r="AC870" i="1"/>
  <c r="AL870" i="1" s="1"/>
  <c r="E870" i="1"/>
  <c r="AC869" i="1"/>
  <c r="AL869" i="1" s="1"/>
  <c r="E869" i="1"/>
  <c r="AC868" i="1"/>
  <c r="AL868" i="1" s="1"/>
  <c r="E868" i="1"/>
  <c r="AC867" i="1"/>
  <c r="AL867" i="1" s="1"/>
  <c r="E867" i="1"/>
  <c r="AC866" i="1"/>
  <c r="AL866" i="1" s="1"/>
  <c r="E866" i="1"/>
  <c r="AC865" i="1"/>
  <c r="AL865" i="1" s="1"/>
  <c r="E865" i="1"/>
  <c r="AC864" i="1"/>
  <c r="AL864" i="1" s="1"/>
  <c r="E864" i="1"/>
  <c r="AC863" i="1"/>
  <c r="AL863" i="1" s="1"/>
  <c r="E863" i="1"/>
  <c r="AC862" i="1"/>
  <c r="AL862" i="1" s="1"/>
  <c r="E862" i="1"/>
  <c r="AC861" i="1"/>
  <c r="AL861" i="1" s="1"/>
  <c r="F861" i="1"/>
  <c r="E861" i="1"/>
  <c r="AK860" i="1"/>
  <c r="AE860" i="1"/>
  <c r="AD860" i="1"/>
  <c r="AC860" i="1"/>
  <c r="F860" i="1"/>
  <c r="E860" i="1"/>
  <c r="AC859" i="1"/>
  <c r="AL859" i="1" s="1"/>
  <c r="F859" i="1"/>
  <c r="E859" i="1"/>
  <c r="AK858" i="1"/>
  <c r="AC858" i="1"/>
  <c r="F858" i="1"/>
  <c r="E858" i="1"/>
  <c r="AK857" i="1"/>
  <c r="AC857" i="1"/>
  <c r="F857" i="1"/>
  <c r="E857" i="1"/>
  <c r="AK856" i="1"/>
  <c r="AE856" i="1"/>
  <c r="AD856" i="1"/>
  <c r="AC856" i="1"/>
  <c r="F856" i="1"/>
  <c r="E856" i="1"/>
  <c r="AC855" i="1"/>
  <c r="AL855" i="1" s="1"/>
  <c r="F855" i="1"/>
  <c r="E855" i="1"/>
  <c r="AK854" i="1"/>
  <c r="AC854" i="1"/>
  <c r="F854" i="1"/>
  <c r="E854" i="1"/>
  <c r="AC853" i="1"/>
  <c r="AL853" i="1" s="1"/>
  <c r="E853" i="1"/>
  <c r="AC852" i="1"/>
  <c r="AL852" i="1" s="1"/>
  <c r="E852" i="1"/>
  <c r="AC851" i="1"/>
  <c r="AL851" i="1" s="1"/>
  <c r="E851" i="1"/>
  <c r="AC850" i="1"/>
  <c r="AL850" i="1" s="1"/>
  <c r="E850" i="1"/>
  <c r="AC849" i="1"/>
  <c r="AL849" i="1" s="1"/>
  <c r="E849" i="1"/>
  <c r="AC848" i="1"/>
  <c r="AL848" i="1" s="1"/>
  <c r="E848" i="1"/>
  <c r="AC847" i="1"/>
  <c r="AL847" i="1" s="1"/>
  <c r="E847" i="1"/>
  <c r="AC846" i="1"/>
  <c r="AL846" i="1" s="1"/>
  <c r="E846" i="1"/>
  <c r="AC845" i="1"/>
  <c r="AL845" i="1" s="1"/>
  <c r="E845" i="1"/>
  <c r="AC844" i="1"/>
  <c r="AL844" i="1" s="1"/>
  <c r="E844" i="1"/>
  <c r="AC843" i="1"/>
  <c r="AL843" i="1" s="1"/>
  <c r="E843" i="1"/>
  <c r="AC842" i="1"/>
  <c r="AL842" i="1" s="1"/>
  <c r="E842" i="1"/>
  <c r="AE841" i="1"/>
  <c r="AD841" i="1"/>
  <c r="AC841" i="1"/>
  <c r="F841" i="1"/>
  <c r="E841" i="1"/>
  <c r="AC840" i="1"/>
  <c r="AL840" i="1" s="1"/>
  <c r="E840" i="1"/>
  <c r="AC839" i="1"/>
  <c r="AL839" i="1" s="1"/>
  <c r="E839" i="1"/>
  <c r="AC838" i="1"/>
  <c r="AL838" i="1" s="1"/>
  <c r="E838" i="1"/>
  <c r="AC837" i="1"/>
  <c r="AL837" i="1" s="1"/>
  <c r="E837" i="1"/>
  <c r="AC836" i="1"/>
  <c r="AL836" i="1" s="1"/>
  <c r="E836" i="1"/>
  <c r="AC835" i="1"/>
  <c r="AL835" i="1" s="1"/>
  <c r="E835" i="1"/>
  <c r="AC834" i="1"/>
  <c r="AL834" i="1" s="1"/>
  <c r="E834" i="1"/>
  <c r="AK833" i="1"/>
  <c r="AC833" i="1"/>
  <c r="F833" i="1"/>
  <c r="E833" i="1"/>
  <c r="AC832" i="1"/>
  <c r="AL832" i="1" s="1"/>
  <c r="E832" i="1"/>
  <c r="AC831" i="1"/>
  <c r="AL831" i="1" s="1"/>
  <c r="E831" i="1"/>
  <c r="AC830" i="1"/>
  <c r="AL830" i="1" s="1"/>
  <c r="E830" i="1"/>
  <c r="AC829" i="1"/>
  <c r="AL829" i="1" s="1"/>
  <c r="E829" i="1"/>
  <c r="AC828" i="1"/>
  <c r="AL828" i="1" s="1"/>
  <c r="E828" i="1"/>
  <c r="AC827" i="1"/>
  <c r="AL827" i="1" s="1"/>
  <c r="E827" i="1"/>
  <c r="AC826" i="1"/>
  <c r="AL826" i="1" s="1"/>
  <c r="E826" i="1"/>
  <c r="AC825" i="1"/>
  <c r="AL825" i="1" s="1"/>
  <c r="E825" i="1"/>
  <c r="AC824" i="1"/>
  <c r="AL824" i="1" s="1"/>
  <c r="E824" i="1"/>
  <c r="AK823" i="1"/>
  <c r="AC823" i="1"/>
  <c r="F823" i="1"/>
  <c r="E823" i="1"/>
  <c r="AK822" i="1"/>
  <c r="AC822" i="1"/>
  <c r="F822" i="1"/>
  <c r="E822" i="1"/>
  <c r="AC821" i="1"/>
  <c r="AL821" i="1" s="1"/>
  <c r="E821" i="1"/>
  <c r="AC820" i="1"/>
  <c r="AL820" i="1" s="1"/>
  <c r="E820" i="1"/>
  <c r="AK819" i="1"/>
  <c r="AC819" i="1"/>
  <c r="F819" i="1"/>
  <c r="E819" i="1"/>
  <c r="AC818" i="1"/>
  <c r="AL818" i="1" s="1"/>
  <c r="E818" i="1"/>
  <c r="AC817" i="1"/>
  <c r="AL817" i="1" s="1"/>
  <c r="E817" i="1"/>
  <c r="AC816" i="1"/>
  <c r="AL816" i="1" s="1"/>
  <c r="E816" i="1"/>
  <c r="AC815" i="1"/>
  <c r="AL815" i="1" s="1"/>
  <c r="E815" i="1"/>
  <c r="AC814" i="1"/>
  <c r="AL814" i="1" s="1"/>
  <c r="E814" i="1"/>
  <c r="AC813" i="1"/>
  <c r="AL813" i="1" s="1"/>
  <c r="E813" i="1"/>
  <c r="AC812" i="1"/>
  <c r="AL812" i="1" s="1"/>
  <c r="E812" i="1"/>
  <c r="AC811" i="1"/>
  <c r="AL811" i="1" s="1"/>
  <c r="E811" i="1"/>
  <c r="AK810" i="1"/>
  <c r="AC810" i="1"/>
  <c r="F810" i="1"/>
  <c r="E810" i="1"/>
  <c r="AC809" i="1"/>
  <c r="AL809" i="1" s="1"/>
  <c r="E809" i="1"/>
  <c r="AK808" i="1"/>
  <c r="AC808" i="1"/>
  <c r="F808" i="1"/>
  <c r="E808" i="1"/>
  <c r="AC807" i="1"/>
  <c r="AL807" i="1" s="1"/>
  <c r="E807" i="1"/>
  <c r="AC806" i="1"/>
  <c r="AL806" i="1" s="1"/>
  <c r="F806" i="1"/>
  <c r="E806" i="1"/>
  <c r="AC805" i="1"/>
  <c r="AL805" i="1" s="1"/>
  <c r="F805" i="1"/>
  <c r="E805" i="1"/>
  <c r="AC804" i="1"/>
  <c r="AL804" i="1" s="1"/>
  <c r="E804" i="1"/>
  <c r="AC803" i="1"/>
  <c r="AL803" i="1" s="1"/>
  <c r="E803" i="1"/>
  <c r="AC802" i="1"/>
  <c r="AL802" i="1" s="1"/>
  <c r="E802" i="1"/>
  <c r="AC801" i="1"/>
  <c r="AL801" i="1" s="1"/>
  <c r="E801" i="1"/>
  <c r="AC800" i="1"/>
  <c r="AL800" i="1" s="1"/>
  <c r="E800" i="1"/>
  <c r="AC799" i="1"/>
  <c r="AL799" i="1" s="1"/>
  <c r="E799" i="1"/>
  <c r="AC798" i="1"/>
  <c r="AL798" i="1" s="1"/>
  <c r="E798" i="1"/>
  <c r="AC797" i="1"/>
  <c r="AL797" i="1" s="1"/>
  <c r="F797" i="1"/>
  <c r="E797" i="1"/>
  <c r="AC796" i="1"/>
  <c r="AL796" i="1" s="1"/>
  <c r="E796" i="1"/>
  <c r="AC795" i="1"/>
  <c r="AL795" i="1" s="1"/>
  <c r="F795" i="1"/>
  <c r="E795" i="1"/>
  <c r="AC794" i="1"/>
  <c r="AL794" i="1" s="1"/>
  <c r="F794" i="1"/>
  <c r="E794" i="1"/>
  <c r="AK793" i="1"/>
  <c r="AC793" i="1"/>
  <c r="F793" i="1"/>
  <c r="E793" i="1"/>
  <c r="AK792" i="1"/>
  <c r="AC792" i="1"/>
  <c r="F792" i="1"/>
  <c r="E792" i="1"/>
  <c r="AK791" i="1"/>
  <c r="AC791" i="1"/>
  <c r="F791" i="1"/>
  <c r="E791" i="1"/>
  <c r="AE790" i="1"/>
  <c r="AD790" i="1"/>
  <c r="AC790" i="1"/>
  <c r="F790" i="1"/>
  <c r="E790" i="1"/>
  <c r="AC789" i="1"/>
  <c r="AL789" i="1" s="1"/>
  <c r="E789" i="1"/>
  <c r="AC788" i="1"/>
  <c r="AL788" i="1" s="1"/>
  <c r="E788" i="1"/>
  <c r="AC787" i="1"/>
  <c r="AL787" i="1" s="1"/>
  <c r="E787" i="1"/>
  <c r="AC786" i="1"/>
  <c r="AL786" i="1" s="1"/>
  <c r="E786" i="1"/>
  <c r="AC785" i="1"/>
  <c r="AL785" i="1" s="1"/>
  <c r="E785" i="1"/>
  <c r="AC784" i="1"/>
  <c r="AL784" i="1" s="1"/>
  <c r="E784" i="1"/>
  <c r="AC783" i="1"/>
  <c r="AL783" i="1" s="1"/>
  <c r="E783" i="1"/>
  <c r="AC782" i="1"/>
  <c r="AL782" i="1" s="1"/>
  <c r="E782" i="1"/>
  <c r="AC781" i="1"/>
  <c r="AL781" i="1" s="1"/>
  <c r="E781" i="1"/>
  <c r="AC780" i="1"/>
  <c r="AL780" i="1" s="1"/>
  <c r="E780" i="1"/>
  <c r="AC779" i="1"/>
  <c r="AL779" i="1" s="1"/>
  <c r="E779" i="1"/>
  <c r="AC778" i="1"/>
  <c r="AL778" i="1" s="1"/>
  <c r="E778" i="1"/>
  <c r="AK777" i="1"/>
  <c r="AC777" i="1"/>
  <c r="F777" i="1"/>
  <c r="E777" i="1"/>
  <c r="AK776" i="1"/>
  <c r="AC776" i="1"/>
  <c r="F776" i="1"/>
  <c r="E776" i="1"/>
  <c r="AK775" i="1"/>
  <c r="AC775" i="1"/>
  <c r="F775" i="1"/>
  <c r="E775" i="1"/>
  <c r="AC774" i="1"/>
  <c r="AL774" i="1" s="1"/>
  <c r="E774" i="1"/>
  <c r="AC773" i="1"/>
  <c r="AL773" i="1" s="1"/>
  <c r="E773" i="1"/>
  <c r="AC772" i="1"/>
  <c r="AL772" i="1" s="1"/>
  <c r="F772" i="1"/>
  <c r="E772" i="1"/>
  <c r="AC771" i="1"/>
  <c r="AL771" i="1" s="1"/>
  <c r="E771" i="1"/>
  <c r="AC770" i="1"/>
  <c r="AL770" i="1" s="1"/>
  <c r="E770" i="1"/>
  <c r="AC769" i="1"/>
  <c r="AL769" i="1" s="1"/>
  <c r="E769" i="1"/>
  <c r="AE768" i="1"/>
  <c r="AD768" i="1"/>
  <c r="AC768" i="1"/>
  <c r="F768" i="1"/>
  <c r="E768" i="1"/>
  <c r="AC767" i="1"/>
  <c r="AL767" i="1" s="1"/>
  <c r="E767" i="1"/>
  <c r="AC766" i="1"/>
  <c r="AL766" i="1" s="1"/>
  <c r="E766" i="1"/>
  <c r="AC765" i="1"/>
  <c r="AL765" i="1" s="1"/>
  <c r="E765" i="1"/>
  <c r="AC764" i="1"/>
  <c r="AL764" i="1" s="1"/>
  <c r="F764" i="1"/>
  <c r="E764" i="1"/>
  <c r="AC763" i="1"/>
  <c r="AL763" i="1" s="1"/>
  <c r="E763" i="1"/>
  <c r="AC762" i="1"/>
  <c r="AL762" i="1" s="1"/>
  <c r="E762" i="1"/>
  <c r="AC761" i="1"/>
  <c r="AL761" i="1" s="1"/>
  <c r="E761" i="1"/>
  <c r="AC760" i="1"/>
  <c r="AL760" i="1" s="1"/>
  <c r="F760" i="1"/>
  <c r="E760" i="1"/>
  <c r="AK759" i="1"/>
  <c r="AC759" i="1"/>
  <c r="F759" i="1"/>
  <c r="E759" i="1"/>
  <c r="AC758" i="1"/>
  <c r="AL758" i="1" s="1"/>
  <c r="E758" i="1"/>
  <c r="AC757" i="1"/>
  <c r="AL757" i="1" s="1"/>
  <c r="F757" i="1"/>
  <c r="E757" i="1"/>
  <c r="AC756" i="1"/>
  <c r="AL756" i="1" s="1"/>
  <c r="F756" i="1"/>
  <c r="E756" i="1"/>
  <c r="AC755" i="1"/>
  <c r="AL755" i="1" s="1"/>
  <c r="E755" i="1"/>
  <c r="AE754" i="1"/>
  <c r="AD754" i="1"/>
  <c r="AC754" i="1"/>
  <c r="F754" i="1"/>
  <c r="E754" i="1"/>
  <c r="AC753" i="1"/>
  <c r="AL753" i="1" s="1"/>
  <c r="E753" i="1"/>
  <c r="AC752" i="1"/>
  <c r="AL752" i="1" s="1"/>
  <c r="E752" i="1"/>
  <c r="AC751" i="1"/>
  <c r="AL751" i="1" s="1"/>
  <c r="F751" i="1"/>
  <c r="E751" i="1"/>
  <c r="AE750" i="1"/>
  <c r="AD750" i="1"/>
  <c r="AC750" i="1"/>
  <c r="F750" i="1"/>
  <c r="E750" i="1"/>
  <c r="AC749" i="1"/>
  <c r="AL749" i="1" s="1"/>
  <c r="F749" i="1"/>
  <c r="E749" i="1"/>
  <c r="AC748" i="1"/>
  <c r="AL748" i="1" s="1"/>
  <c r="E748" i="1"/>
  <c r="AC747" i="1"/>
  <c r="AL747" i="1" s="1"/>
  <c r="E747" i="1"/>
  <c r="AC746" i="1"/>
  <c r="AL746" i="1" s="1"/>
  <c r="E746" i="1"/>
  <c r="AC745" i="1"/>
  <c r="AL745" i="1" s="1"/>
  <c r="E745" i="1"/>
  <c r="AC744" i="1"/>
  <c r="AL744" i="1" s="1"/>
  <c r="E744" i="1"/>
  <c r="AC743" i="1"/>
  <c r="AL743" i="1" s="1"/>
  <c r="E743" i="1"/>
  <c r="AK742" i="1"/>
  <c r="AC742" i="1"/>
  <c r="F742" i="1"/>
  <c r="E742" i="1"/>
  <c r="AC741" i="1"/>
  <c r="AL741" i="1" s="1"/>
  <c r="E741" i="1"/>
  <c r="AC740" i="1"/>
  <c r="AL740" i="1" s="1"/>
  <c r="E740" i="1"/>
  <c r="AC739" i="1"/>
  <c r="AL739" i="1" s="1"/>
  <c r="E739" i="1"/>
  <c r="AC738" i="1"/>
  <c r="AL738" i="1" s="1"/>
  <c r="F738" i="1"/>
  <c r="E738" i="1"/>
  <c r="AC737" i="1"/>
  <c r="AL737" i="1" s="1"/>
  <c r="F737" i="1"/>
  <c r="E737" i="1"/>
  <c r="AC736" i="1"/>
  <c r="AL736" i="1" s="1"/>
  <c r="F736" i="1"/>
  <c r="E736" i="1"/>
  <c r="AK735" i="1"/>
  <c r="AC735" i="1"/>
  <c r="F735" i="1"/>
  <c r="E735" i="1"/>
  <c r="AK734" i="1"/>
  <c r="AC734" i="1"/>
  <c r="F734" i="1"/>
  <c r="E734" i="1"/>
  <c r="AC733" i="1"/>
  <c r="AL733" i="1" s="1"/>
  <c r="F733" i="1"/>
  <c r="E733" i="1"/>
  <c r="AC732" i="1"/>
  <c r="AL732" i="1" s="1"/>
  <c r="E732" i="1"/>
  <c r="AC731" i="1"/>
  <c r="AL731" i="1" s="1"/>
  <c r="E731" i="1"/>
  <c r="AC730" i="1"/>
  <c r="AL730" i="1" s="1"/>
  <c r="E730" i="1"/>
  <c r="AC729" i="1"/>
  <c r="AL729" i="1" s="1"/>
  <c r="E729" i="1"/>
  <c r="AC728" i="1"/>
  <c r="AL728" i="1" s="1"/>
  <c r="E728" i="1"/>
  <c r="AC727" i="1"/>
  <c r="AL727" i="1" s="1"/>
  <c r="E727" i="1"/>
  <c r="AC726" i="1"/>
  <c r="AL726" i="1" s="1"/>
  <c r="E726" i="1"/>
  <c r="AC725" i="1"/>
  <c r="AL725" i="1" s="1"/>
  <c r="E725" i="1"/>
  <c r="AC724" i="1"/>
  <c r="AL724" i="1" s="1"/>
  <c r="E724" i="1"/>
  <c r="AC723" i="1"/>
  <c r="AL723" i="1" s="1"/>
  <c r="E723" i="1"/>
  <c r="AC722" i="1"/>
  <c r="AL722" i="1" s="1"/>
  <c r="E722" i="1"/>
  <c r="AC721" i="1"/>
  <c r="AL721" i="1" s="1"/>
  <c r="E721" i="1"/>
  <c r="AC720" i="1"/>
  <c r="AL720" i="1" s="1"/>
  <c r="F720" i="1"/>
  <c r="E720" i="1"/>
  <c r="AK719" i="1"/>
  <c r="AC719" i="1"/>
  <c r="F719" i="1"/>
  <c r="E719" i="1"/>
  <c r="AK718" i="1"/>
  <c r="AC718" i="1"/>
  <c r="F718" i="1"/>
  <c r="E718" i="1"/>
  <c r="AC717" i="1"/>
  <c r="AL717" i="1" s="1"/>
  <c r="F717" i="1"/>
  <c r="E717" i="1"/>
  <c r="AC716" i="1"/>
  <c r="AL716" i="1" s="1"/>
  <c r="E716" i="1"/>
  <c r="AC715" i="1"/>
  <c r="AL715" i="1" s="1"/>
  <c r="F715" i="1"/>
  <c r="E715" i="1"/>
  <c r="AK714" i="1"/>
  <c r="AC714" i="1"/>
  <c r="F714" i="1"/>
  <c r="E714" i="1"/>
  <c r="AC713" i="1"/>
  <c r="AL713" i="1" s="1"/>
  <c r="E713" i="1"/>
  <c r="AC712" i="1"/>
  <c r="AL712" i="1" s="1"/>
  <c r="E712" i="1"/>
  <c r="AC711" i="1"/>
  <c r="AL711" i="1" s="1"/>
  <c r="F711" i="1"/>
  <c r="E711" i="1"/>
  <c r="AC710" i="1"/>
  <c r="AL710" i="1" s="1"/>
  <c r="E710" i="1"/>
  <c r="AC709" i="1"/>
  <c r="AL709" i="1" s="1"/>
  <c r="E709" i="1"/>
  <c r="AC708" i="1"/>
  <c r="AL708" i="1" s="1"/>
  <c r="E708" i="1"/>
  <c r="AC707" i="1"/>
  <c r="AL707" i="1" s="1"/>
  <c r="E707" i="1"/>
  <c r="AC706" i="1"/>
  <c r="AL706" i="1" s="1"/>
  <c r="E706" i="1"/>
  <c r="AC705" i="1"/>
  <c r="AL705" i="1" s="1"/>
  <c r="F705" i="1"/>
  <c r="E705" i="1"/>
  <c r="AC704" i="1"/>
  <c r="AL704" i="1" s="1"/>
  <c r="F704" i="1"/>
  <c r="E704" i="1"/>
  <c r="AC703" i="1"/>
  <c r="AL703" i="1" s="1"/>
  <c r="E703" i="1"/>
  <c r="AC702" i="1"/>
  <c r="AL702" i="1" s="1"/>
  <c r="F702" i="1"/>
  <c r="E702" i="1"/>
  <c r="AC701" i="1"/>
  <c r="AL701" i="1" s="1"/>
  <c r="E701" i="1"/>
  <c r="AC700" i="1"/>
  <c r="AL700" i="1" s="1"/>
  <c r="E700" i="1"/>
  <c r="AC699" i="1"/>
  <c r="AL699" i="1" s="1"/>
  <c r="E699" i="1"/>
  <c r="AC698" i="1"/>
  <c r="AL698" i="1" s="1"/>
  <c r="E698" i="1"/>
  <c r="AC697" i="1"/>
  <c r="AL697" i="1" s="1"/>
  <c r="F697" i="1"/>
  <c r="E697" i="1"/>
  <c r="AC696" i="1"/>
  <c r="AL696" i="1" s="1"/>
  <c r="E696" i="1"/>
  <c r="AC695" i="1"/>
  <c r="AL695" i="1" s="1"/>
  <c r="E695" i="1"/>
  <c r="AC694" i="1"/>
  <c r="AL694" i="1" s="1"/>
  <c r="E694" i="1"/>
  <c r="AC693" i="1"/>
  <c r="AL693" i="1" s="1"/>
  <c r="F693" i="1"/>
  <c r="E693" i="1"/>
  <c r="AK692" i="1"/>
  <c r="AC692" i="1"/>
  <c r="F692" i="1"/>
  <c r="E692" i="1"/>
  <c r="AK691" i="1"/>
  <c r="AC691" i="1"/>
  <c r="F691" i="1"/>
  <c r="E691" i="1"/>
  <c r="AK690" i="1"/>
  <c r="AC690" i="1"/>
  <c r="F690" i="1"/>
  <c r="E690" i="1"/>
  <c r="AK689" i="1"/>
  <c r="AC689" i="1"/>
  <c r="F689" i="1"/>
  <c r="E689" i="1"/>
  <c r="AK688" i="1"/>
  <c r="AC688" i="1"/>
  <c r="F688" i="1"/>
  <c r="E688" i="1"/>
  <c r="AK687" i="1"/>
  <c r="AC687" i="1"/>
  <c r="F687" i="1"/>
  <c r="E687" i="1"/>
  <c r="AK686" i="1"/>
  <c r="AC686" i="1"/>
  <c r="F686" i="1"/>
  <c r="E686" i="1"/>
  <c r="AC685" i="1"/>
  <c r="AL685" i="1" s="1"/>
  <c r="E685" i="1"/>
  <c r="AC684" i="1"/>
  <c r="AL684" i="1" s="1"/>
  <c r="E684" i="1"/>
  <c r="AC683" i="1"/>
  <c r="AL683" i="1" s="1"/>
  <c r="E683" i="1"/>
  <c r="AK682" i="1"/>
  <c r="AC682" i="1"/>
  <c r="F682" i="1"/>
  <c r="E682" i="1"/>
  <c r="AC681" i="1"/>
  <c r="AL681" i="1" s="1"/>
  <c r="E681" i="1"/>
  <c r="AC680" i="1"/>
  <c r="AL680" i="1" s="1"/>
  <c r="E680" i="1"/>
  <c r="AC679" i="1"/>
  <c r="AL679" i="1" s="1"/>
  <c r="E679" i="1"/>
  <c r="AC678" i="1"/>
  <c r="AL678" i="1" s="1"/>
  <c r="F678" i="1"/>
  <c r="E678" i="1"/>
  <c r="AC677" i="1"/>
  <c r="AL677" i="1" s="1"/>
  <c r="E677" i="1"/>
  <c r="AC676" i="1"/>
  <c r="AL676" i="1" s="1"/>
  <c r="F676" i="1"/>
  <c r="E676" i="1"/>
  <c r="AC675" i="1"/>
  <c r="AL675" i="1" s="1"/>
  <c r="E675" i="1"/>
  <c r="AC674" i="1"/>
  <c r="AL674" i="1" s="1"/>
  <c r="E674" i="1"/>
  <c r="AC673" i="1"/>
  <c r="AL673" i="1" s="1"/>
  <c r="E673" i="1"/>
  <c r="AC672" i="1"/>
  <c r="AL672" i="1" s="1"/>
  <c r="E672" i="1"/>
  <c r="AE671" i="1"/>
  <c r="AD671" i="1"/>
  <c r="AC671" i="1"/>
  <c r="F671" i="1"/>
  <c r="E671" i="1"/>
  <c r="AC670" i="1"/>
  <c r="AL670" i="1" s="1"/>
  <c r="E670" i="1"/>
  <c r="AC669" i="1"/>
  <c r="AL669" i="1" s="1"/>
  <c r="F669" i="1"/>
  <c r="E669" i="1"/>
  <c r="AC668" i="1"/>
  <c r="AL668" i="1" s="1"/>
  <c r="F668" i="1"/>
  <c r="E668" i="1"/>
  <c r="AC667" i="1"/>
  <c r="AL667" i="1" s="1"/>
  <c r="F667" i="1"/>
  <c r="E667" i="1"/>
  <c r="AC666" i="1"/>
  <c r="AL666" i="1" s="1"/>
  <c r="E666" i="1"/>
  <c r="AC665" i="1"/>
  <c r="AL665" i="1" s="1"/>
  <c r="E665" i="1"/>
  <c r="AC664" i="1"/>
  <c r="AL664" i="1" s="1"/>
  <c r="E664" i="1"/>
  <c r="AE663" i="1"/>
  <c r="AD663" i="1"/>
  <c r="AC663" i="1"/>
  <c r="F663" i="1"/>
  <c r="E663" i="1"/>
  <c r="AK662" i="1"/>
  <c r="AE662" i="1"/>
  <c r="AD662" i="1"/>
  <c r="AC662" i="1"/>
  <c r="F662" i="1"/>
  <c r="E662" i="1"/>
  <c r="AC661" i="1"/>
  <c r="AL661" i="1" s="1"/>
  <c r="E661" i="1"/>
  <c r="AC660" i="1"/>
  <c r="AL660" i="1" s="1"/>
  <c r="E660" i="1"/>
  <c r="AC659" i="1"/>
  <c r="AL659" i="1" s="1"/>
  <c r="E659" i="1"/>
  <c r="AC658" i="1"/>
  <c r="AL658" i="1" s="1"/>
  <c r="F658" i="1"/>
  <c r="E658" i="1"/>
  <c r="AC657" i="1"/>
  <c r="AL657" i="1" s="1"/>
  <c r="F657" i="1"/>
  <c r="E657" i="1"/>
  <c r="AC656" i="1"/>
  <c r="AL656" i="1" s="1"/>
  <c r="F656" i="1"/>
  <c r="E656" i="1"/>
  <c r="AC655" i="1"/>
  <c r="AL655" i="1" s="1"/>
  <c r="E655" i="1"/>
  <c r="AC654" i="1"/>
  <c r="AL654" i="1" s="1"/>
  <c r="E654" i="1"/>
  <c r="AK653" i="1"/>
  <c r="AC653" i="1"/>
  <c r="AL653" i="1" s="1"/>
  <c r="F653" i="1"/>
  <c r="E653" i="1"/>
  <c r="AC652" i="1"/>
  <c r="AL652" i="1" s="1"/>
  <c r="E652" i="1"/>
  <c r="AC651" i="1"/>
  <c r="AL651" i="1" s="1"/>
  <c r="E651" i="1"/>
  <c r="AC650" i="1"/>
  <c r="AL650" i="1" s="1"/>
  <c r="E650" i="1"/>
  <c r="AC649" i="1"/>
  <c r="AL649" i="1" s="1"/>
  <c r="E649" i="1"/>
  <c r="AC648" i="1"/>
  <c r="AL648" i="1" s="1"/>
  <c r="F648" i="1"/>
  <c r="E648" i="1"/>
  <c r="AC647" i="1"/>
  <c r="AL647" i="1" s="1"/>
  <c r="E647" i="1"/>
  <c r="AC646" i="1"/>
  <c r="AL646" i="1" s="1"/>
  <c r="E646" i="1"/>
  <c r="AC645" i="1"/>
  <c r="AL645" i="1" s="1"/>
  <c r="E645" i="1"/>
  <c r="AK644" i="1"/>
  <c r="AC644" i="1"/>
  <c r="F644" i="1"/>
  <c r="E644" i="1"/>
  <c r="AC643" i="1"/>
  <c r="AL643" i="1" s="1"/>
  <c r="E643" i="1"/>
  <c r="AC642" i="1"/>
  <c r="AL642" i="1" s="1"/>
  <c r="E642" i="1"/>
  <c r="AC641" i="1"/>
  <c r="AL641" i="1" s="1"/>
  <c r="E641" i="1"/>
  <c r="AC640" i="1"/>
  <c r="AL640" i="1" s="1"/>
  <c r="E640" i="1"/>
  <c r="AC639" i="1"/>
  <c r="AL639" i="1" s="1"/>
  <c r="E639" i="1"/>
  <c r="AC638" i="1"/>
  <c r="AL638" i="1" s="1"/>
  <c r="F638" i="1"/>
  <c r="E638" i="1"/>
  <c r="AC637" i="1"/>
  <c r="AL637" i="1" s="1"/>
  <c r="E637" i="1"/>
  <c r="AK636" i="1"/>
  <c r="AC636" i="1"/>
  <c r="F636" i="1"/>
  <c r="E636" i="1"/>
  <c r="AK635" i="1"/>
  <c r="AC635" i="1"/>
  <c r="F635" i="1"/>
  <c r="E635" i="1"/>
  <c r="AE634" i="1"/>
  <c r="AD634" i="1"/>
  <c r="AC634" i="1"/>
  <c r="F634" i="1"/>
  <c r="E634" i="1"/>
  <c r="AC633" i="1"/>
  <c r="AL633" i="1" s="1"/>
  <c r="E633" i="1"/>
  <c r="AK632" i="1"/>
  <c r="AE632" i="1"/>
  <c r="AD632" i="1"/>
  <c r="AC632" i="1"/>
  <c r="F632" i="1"/>
  <c r="E632" i="1"/>
  <c r="AC631" i="1"/>
  <c r="AL631" i="1" s="1"/>
  <c r="E631" i="1"/>
  <c r="AC630" i="1"/>
  <c r="AL630" i="1" s="1"/>
  <c r="F630" i="1"/>
  <c r="E630" i="1"/>
  <c r="AC629" i="1"/>
  <c r="AL629" i="1" s="1"/>
  <c r="F629" i="1"/>
  <c r="E629" i="1"/>
  <c r="AC628" i="1"/>
  <c r="AL628" i="1" s="1"/>
  <c r="E628" i="1"/>
  <c r="AC627" i="1"/>
  <c r="AL627" i="1" s="1"/>
  <c r="E627" i="1"/>
  <c r="AK626" i="1"/>
  <c r="AC626" i="1"/>
  <c r="F626" i="1"/>
  <c r="E626" i="1"/>
  <c r="AC625" i="1"/>
  <c r="AL625" i="1" s="1"/>
  <c r="E625" i="1"/>
  <c r="AC624" i="1"/>
  <c r="AL624" i="1" s="1"/>
  <c r="E624" i="1"/>
  <c r="AC623" i="1"/>
  <c r="AL623" i="1" s="1"/>
  <c r="E623" i="1"/>
  <c r="AK622" i="1"/>
  <c r="AC622" i="1"/>
  <c r="F622" i="1"/>
  <c r="E622" i="1"/>
  <c r="AK621" i="1"/>
  <c r="AC621" i="1"/>
  <c r="F621" i="1"/>
  <c r="E621" i="1"/>
  <c r="AC620" i="1"/>
  <c r="AL620" i="1" s="1"/>
  <c r="E620" i="1"/>
  <c r="AC619" i="1"/>
  <c r="AL619" i="1" s="1"/>
  <c r="E619" i="1"/>
  <c r="AC618" i="1"/>
  <c r="AL618" i="1" s="1"/>
  <c r="E618" i="1"/>
  <c r="AC617" i="1"/>
  <c r="AL617" i="1" s="1"/>
  <c r="E617" i="1"/>
  <c r="AC616" i="1"/>
  <c r="AL616" i="1" s="1"/>
  <c r="F616" i="1"/>
  <c r="E616" i="1"/>
  <c r="AE615" i="1"/>
  <c r="AD615" i="1"/>
  <c r="AC615" i="1"/>
  <c r="F615" i="1"/>
  <c r="E615" i="1"/>
  <c r="AC614" i="1"/>
  <c r="AL614" i="1" s="1"/>
  <c r="E614" i="1"/>
  <c r="AK613" i="1"/>
  <c r="AC613" i="1"/>
  <c r="F613" i="1"/>
  <c r="E613" i="1"/>
  <c r="AE612" i="1"/>
  <c r="AD612" i="1"/>
  <c r="AC612" i="1"/>
  <c r="F612" i="1"/>
  <c r="E612" i="1"/>
  <c r="AE611" i="1"/>
  <c r="AD611" i="1"/>
  <c r="AC611" i="1"/>
  <c r="F611" i="1"/>
  <c r="E611" i="1"/>
  <c r="AK610" i="1"/>
  <c r="AE610" i="1"/>
  <c r="AD610" i="1"/>
  <c r="AC610" i="1"/>
  <c r="F610" i="1"/>
  <c r="E610" i="1"/>
  <c r="AK609" i="1"/>
  <c r="AC609" i="1"/>
  <c r="F609" i="1"/>
  <c r="E609" i="1"/>
  <c r="AC608" i="1"/>
  <c r="AL608" i="1" s="1"/>
  <c r="F608" i="1"/>
  <c r="E608" i="1"/>
  <c r="AC607" i="1"/>
  <c r="AL607" i="1" s="1"/>
  <c r="E607" i="1"/>
  <c r="AC606" i="1"/>
  <c r="AL606" i="1" s="1"/>
  <c r="E606" i="1"/>
  <c r="AC605" i="1"/>
  <c r="AL605" i="1" s="1"/>
  <c r="E605" i="1"/>
  <c r="AC604" i="1"/>
  <c r="AL604" i="1" s="1"/>
  <c r="E604" i="1"/>
  <c r="AC603" i="1"/>
  <c r="AL603" i="1" s="1"/>
  <c r="E603" i="1"/>
  <c r="AC602" i="1"/>
  <c r="AL602" i="1" s="1"/>
  <c r="E602" i="1"/>
  <c r="AC601" i="1"/>
  <c r="AL601" i="1" s="1"/>
  <c r="E601" i="1"/>
  <c r="AC600" i="1"/>
  <c r="AL600" i="1" s="1"/>
  <c r="E600" i="1"/>
  <c r="AC599" i="1"/>
  <c r="AL599" i="1" s="1"/>
  <c r="E599" i="1"/>
  <c r="AK598" i="1"/>
  <c r="AC598" i="1"/>
  <c r="F598" i="1"/>
  <c r="E598" i="1"/>
  <c r="AK597" i="1"/>
  <c r="AC597" i="1"/>
  <c r="F597" i="1"/>
  <c r="E597" i="1"/>
  <c r="AE596" i="1"/>
  <c r="AD596" i="1"/>
  <c r="AC596" i="1"/>
  <c r="F596" i="1"/>
  <c r="E596" i="1"/>
  <c r="AK595" i="1"/>
  <c r="AC595" i="1"/>
  <c r="F595" i="1"/>
  <c r="E595" i="1"/>
  <c r="AC594" i="1"/>
  <c r="AL594" i="1" s="1"/>
  <c r="E594" i="1"/>
  <c r="AK593" i="1"/>
  <c r="AC593" i="1"/>
  <c r="F593" i="1"/>
  <c r="E593" i="1"/>
  <c r="AC592" i="1"/>
  <c r="AL592" i="1" s="1"/>
  <c r="F592" i="1"/>
  <c r="E592" i="1"/>
  <c r="AC591" i="1"/>
  <c r="AL591" i="1" s="1"/>
  <c r="E591" i="1"/>
  <c r="AC590" i="1"/>
  <c r="AL590" i="1" s="1"/>
  <c r="E590" i="1"/>
  <c r="AC589" i="1"/>
  <c r="AL589" i="1" s="1"/>
  <c r="F589" i="1"/>
  <c r="E589" i="1"/>
  <c r="AC588" i="1"/>
  <c r="AL588" i="1" s="1"/>
  <c r="E588" i="1"/>
  <c r="AC587" i="1"/>
  <c r="AL587" i="1" s="1"/>
  <c r="F587" i="1"/>
  <c r="E587" i="1"/>
  <c r="AC586" i="1"/>
  <c r="AL586" i="1" s="1"/>
  <c r="E586" i="1"/>
  <c r="AC585" i="1"/>
  <c r="AL585" i="1" s="1"/>
  <c r="F585" i="1"/>
  <c r="E585" i="1"/>
  <c r="AC584" i="1"/>
  <c r="AL584" i="1" s="1"/>
  <c r="E584" i="1"/>
  <c r="AC583" i="1"/>
  <c r="AL583" i="1" s="1"/>
  <c r="E583" i="1"/>
  <c r="AC582" i="1"/>
  <c r="AL582" i="1" s="1"/>
  <c r="E582" i="1"/>
  <c r="AK581" i="1"/>
  <c r="AC581" i="1"/>
  <c r="F581" i="1"/>
  <c r="E581" i="1"/>
  <c r="AK580" i="1"/>
  <c r="AC580" i="1"/>
  <c r="F580" i="1"/>
  <c r="E580" i="1"/>
  <c r="AC579" i="1"/>
  <c r="AL579" i="1" s="1"/>
  <c r="E579" i="1"/>
  <c r="AC578" i="1"/>
  <c r="AL578" i="1" s="1"/>
  <c r="E578" i="1"/>
  <c r="AC577" i="1"/>
  <c r="AL577" i="1" s="1"/>
  <c r="E577" i="1"/>
  <c r="AC576" i="1"/>
  <c r="AL576" i="1" s="1"/>
  <c r="E576" i="1"/>
  <c r="AC575" i="1"/>
  <c r="AL575" i="1" s="1"/>
  <c r="F575" i="1"/>
  <c r="E575" i="1"/>
  <c r="AC574" i="1"/>
  <c r="AL574" i="1" s="1"/>
  <c r="E574" i="1"/>
  <c r="AC573" i="1"/>
  <c r="AL573" i="1" s="1"/>
  <c r="E573" i="1"/>
  <c r="AC572" i="1"/>
  <c r="AL572" i="1" s="1"/>
  <c r="F572" i="1"/>
  <c r="E572" i="1"/>
  <c r="AC571" i="1"/>
  <c r="AL571" i="1" s="1"/>
  <c r="E571" i="1"/>
  <c r="AC570" i="1"/>
  <c r="AL570" i="1" s="1"/>
  <c r="E570" i="1"/>
  <c r="AK569" i="1"/>
  <c r="AD569" i="1"/>
  <c r="AC569" i="1"/>
  <c r="F569" i="1"/>
  <c r="E569" i="1"/>
  <c r="AC568" i="1"/>
  <c r="AL568" i="1" s="1"/>
  <c r="E568" i="1"/>
  <c r="AC567" i="1"/>
  <c r="AL567" i="1" s="1"/>
  <c r="E567" i="1"/>
  <c r="AC566" i="1"/>
  <c r="AL566" i="1" s="1"/>
  <c r="E566" i="1"/>
  <c r="AC565" i="1"/>
  <c r="AL565" i="1" s="1"/>
  <c r="F565" i="1"/>
  <c r="E565" i="1"/>
  <c r="AC564" i="1"/>
  <c r="AL564" i="1" s="1"/>
  <c r="F564" i="1"/>
  <c r="E564" i="1"/>
  <c r="AC563" i="1"/>
  <c r="AL563" i="1" s="1"/>
  <c r="F563" i="1"/>
  <c r="E563" i="1"/>
  <c r="AC562" i="1"/>
  <c r="AL562" i="1" s="1"/>
  <c r="F562" i="1"/>
  <c r="E562" i="1"/>
  <c r="AC561" i="1"/>
  <c r="AL561" i="1" s="1"/>
  <c r="E561" i="1"/>
  <c r="AC560" i="1"/>
  <c r="AL560" i="1" s="1"/>
  <c r="E560" i="1"/>
  <c r="AC559" i="1"/>
  <c r="AL559" i="1" s="1"/>
  <c r="E559" i="1"/>
  <c r="AC558" i="1"/>
  <c r="AL558" i="1" s="1"/>
  <c r="F558" i="1"/>
  <c r="E558" i="1"/>
  <c r="AC557" i="1"/>
  <c r="AL557" i="1" s="1"/>
  <c r="E557" i="1"/>
  <c r="AK556" i="1"/>
  <c r="AE556" i="1"/>
  <c r="AD556" i="1"/>
  <c r="AC556" i="1"/>
  <c r="F556" i="1"/>
  <c r="E556" i="1"/>
  <c r="AK555" i="1"/>
  <c r="AC555" i="1"/>
  <c r="F555" i="1"/>
  <c r="E555" i="1"/>
  <c r="AK554" i="1"/>
  <c r="AE554" i="1"/>
  <c r="AD554" i="1"/>
  <c r="AC554" i="1"/>
  <c r="F554" i="1"/>
  <c r="E554" i="1"/>
  <c r="AK553" i="1"/>
  <c r="AC553" i="1"/>
  <c r="F553" i="1"/>
  <c r="E553" i="1"/>
  <c r="AK552" i="1"/>
  <c r="AC552" i="1"/>
  <c r="F552" i="1"/>
  <c r="E552" i="1"/>
  <c r="AC551" i="1"/>
  <c r="AL551" i="1" s="1"/>
  <c r="E551" i="1"/>
  <c r="AC550" i="1"/>
  <c r="AL550" i="1" s="1"/>
  <c r="E550" i="1"/>
  <c r="AC549" i="1"/>
  <c r="AL549" i="1" s="1"/>
  <c r="E549" i="1"/>
  <c r="AC548" i="1"/>
  <c r="AL548" i="1" s="1"/>
  <c r="E548" i="1"/>
  <c r="AK547" i="1"/>
  <c r="AE547" i="1"/>
  <c r="AD547" i="1"/>
  <c r="AC547" i="1"/>
  <c r="F547" i="1"/>
  <c r="E547" i="1"/>
  <c r="AC546" i="1"/>
  <c r="AL546" i="1" s="1"/>
  <c r="E546" i="1"/>
  <c r="AK545" i="1"/>
  <c r="AC545" i="1"/>
  <c r="F545" i="1"/>
  <c r="E545" i="1"/>
  <c r="AC544" i="1"/>
  <c r="AL544" i="1" s="1"/>
  <c r="E544" i="1"/>
  <c r="AC543" i="1"/>
  <c r="AL543" i="1" s="1"/>
  <c r="F543" i="1"/>
  <c r="E543" i="1"/>
  <c r="AC542" i="1"/>
  <c r="AL542" i="1" s="1"/>
  <c r="E542" i="1"/>
  <c r="AC541" i="1"/>
  <c r="AL541" i="1" s="1"/>
  <c r="E541" i="1"/>
  <c r="AE540" i="1"/>
  <c r="AD540" i="1"/>
  <c r="AC540" i="1"/>
  <c r="F540" i="1"/>
  <c r="E540" i="1"/>
  <c r="AC539" i="1"/>
  <c r="AL539" i="1" s="1"/>
  <c r="F539" i="1"/>
  <c r="E539" i="1"/>
  <c r="AC538" i="1"/>
  <c r="AL538" i="1" s="1"/>
  <c r="F538" i="1"/>
  <c r="E538" i="1"/>
  <c r="AC537" i="1"/>
  <c r="AL537" i="1" s="1"/>
  <c r="E537" i="1"/>
  <c r="AE536" i="1"/>
  <c r="AD536" i="1"/>
  <c r="AC536" i="1"/>
  <c r="F536" i="1"/>
  <c r="E536" i="1"/>
  <c r="AC535" i="1"/>
  <c r="AL535" i="1" s="1"/>
  <c r="E535" i="1"/>
  <c r="AC534" i="1"/>
  <c r="AL534" i="1" s="1"/>
  <c r="E534" i="1"/>
  <c r="AC533" i="1"/>
  <c r="AL533" i="1" s="1"/>
  <c r="F533" i="1"/>
  <c r="E533" i="1"/>
  <c r="AC532" i="1"/>
  <c r="AL532" i="1" s="1"/>
  <c r="F532" i="1"/>
  <c r="E532" i="1"/>
  <c r="AC531" i="1"/>
  <c r="AL531" i="1" s="1"/>
  <c r="E531" i="1"/>
  <c r="AC530" i="1"/>
  <c r="AL530" i="1" s="1"/>
  <c r="E530" i="1"/>
  <c r="AC529" i="1"/>
  <c r="AL529" i="1" s="1"/>
  <c r="E529" i="1"/>
  <c r="AC528" i="1"/>
  <c r="AL528" i="1" s="1"/>
  <c r="E528" i="1"/>
  <c r="AE527" i="1"/>
  <c r="AD527" i="1"/>
  <c r="AC527" i="1"/>
  <c r="F527" i="1"/>
  <c r="E527" i="1"/>
  <c r="AK526" i="1"/>
  <c r="AC526" i="1"/>
  <c r="F526" i="1"/>
  <c r="E526" i="1"/>
  <c r="AC525" i="1"/>
  <c r="AL525" i="1" s="1"/>
  <c r="E525" i="1"/>
  <c r="AC524" i="1"/>
  <c r="AL524" i="1" s="1"/>
  <c r="F524" i="1"/>
  <c r="E524" i="1"/>
  <c r="AC523" i="1"/>
  <c r="AL523" i="1" s="1"/>
  <c r="E523" i="1"/>
  <c r="AC522" i="1"/>
  <c r="AL522" i="1" s="1"/>
  <c r="E522" i="1"/>
  <c r="AC521" i="1"/>
  <c r="AL521" i="1" s="1"/>
  <c r="F521" i="1"/>
  <c r="E521" i="1"/>
  <c r="AC520" i="1"/>
  <c r="AL520" i="1" s="1"/>
  <c r="F520" i="1"/>
  <c r="E520" i="1"/>
  <c r="AC519" i="1"/>
  <c r="AL519" i="1" s="1"/>
  <c r="E519" i="1"/>
  <c r="AC518" i="1"/>
  <c r="AL518" i="1" s="1"/>
  <c r="F518" i="1"/>
  <c r="E518" i="1"/>
  <c r="AE517" i="1"/>
  <c r="AD517" i="1"/>
  <c r="AC517" i="1"/>
  <c r="F517" i="1"/>
  <c r="E517" i="1"/>
  <c r="AC516" i="1"/>
  <c r="AL516" i="1" s="1"/>
  <c r="E516" i="1"/>
  <c r="AE515" i="1"/>
  <c r="AD515" i="1"/>
  <c r="AC515" i="1"/>
  <c r="F515" i="1"/>
  <c r="E515" i="1"/>
  <c r="AC514" i="1"/>
  <c r="AL514" i="1" s="1"/>
  <c r="F514" i="1"/>
  <c r="E514" i="1"/>
  <c r="AK513" i="1"/>
  <c r="AC513" i="1"/>
  <c r="F513" i="1"/>
  <c r="E513" i="1"/>
  <c r="AK512" i="1"/>
  <c r="AC512" i="1"/>
  <c r="F512" i="1"/>
  <c r="E512" i="1"/>
  <c r="AE511" i="1"/>
  <c r="AD511" i="1"/>
  <c r="AC511" i="1"/>
  <c r="F511" i="1"/>
  <c r="E511" i="1"/>
  <c r="AC510" i="1"/>
  <c r="AL510" i="1" s="1"/>
  <c r="E510" i="1"/>
  <c r="AC509" i="1"/>
  <c r="AL509" i="1" s="1"/>
  <c r="E509" i="1"/>
  <c r="AC508" i="1"/>
  <c r="AL508" i="1" s="1"/>
  <c r="E508" i="1"/>
  <c r="AC507" i="1"/>
  <c r="AL507" i="1" s="1"/>
  <c r="E507" i="1"/>
  <c r="AC506" i="1"/>
  <c r="AL506" i="1" s="1"/>
  <c r="E506" i="1"/>
  <c r="AC505" i="1"/>
  <c r="AL505" i="1" s="1"/>
  <c r="E505" i="1"/>
  <c r="AC504" i="1"/>
  <c r="AL504" i="1" s="1"/>
  <c r="E504" i="1"/>
  <c r="AC503" i="1"/>
  <c r="AL503" i="1" s="1"/>
  <c r="E503" i="1"/>
  <c r="AC502" i="1"/>
  <c r="AL502" i="1" s="1"/>
  <c r="F502" i="1"/>
  <c r="E502" i="1"/>
  <c r="AD501" i="1"/>
  <c r="AC501" i="1"/>
  <c r="F501" i="1"/>
  <c r="E501" i="1"/>
  <c r="AK500" i="1"/>
  <c r="AE500" i="1"/>
  <c r="AD500" i="1"/>
  <c r="AC500" i="1"/>
  <c r="F500" i="1"/>
  <c r="E500" i="1"/>
  <c r="AC499" i="1"/>
  <c r="AL499" i="1" s="1"/>
  <c r="E499" i="1"/>
  <c r="AK498" i="1"/>
  <c r="AE498" i="1"/>
  <c r="AD498" i="1"/>
  <c r="AC498" i="1"/>
  <c r="F498" i="1"/>
  <c r="E498" i="1"/>
  <c r="AK497" i="1"/>
  <c r="AC497" i="1"/>
  <c r="F497" i="1"/>
  <c r="E497" i="1"/>
  <c r="AK496" i="1"/>
  <c r="AC496" i="1"/>
  <c r="F496" i="1"/>
  <c r="E496" i="1"/>
  <c r="AC495" i="1"/>
  <c r="AL495" i="1" s="1"/>
  <c r="F495" i="1"/>
  <c r="E495" i="1"/>
  <c r="AC494" i="1"/>
  <c r="AL494" i="1" s="1"/>
  <c r="E494" i="1"/>
  <c r="AC493" i="1"/>
  <c r="AL493" i="1" s="1"/>
  <c r="E493" i="1"/>
  <c r="AK492" i="1"/>
  <c r="AE492" i="1"/>
  <c r="AD492" i="1"/>
  <c r="AC492" i="1"/>
  <c r="F492" i="1"/>
  <c r="E492" i="1"/>
  <c r="AC491" i="1"/>
  <c r="AL491" i="1" s="1"/>
  <c r="E491" i="1"/>
  <c r="AC490" i="1"/>
  <c r="AL490" i="1" s="1"/>
  <c r="E490" i="1"/>
  <c r="AC489" i="1"/>
  <c r="AL489" i="1" s="1"/>
  <c r="F489" i="1"/>
  <c r="E489" i="1"/>
  <c r="AC488" i="1"/>
  <c r="AL488" i="1" s="1"/>
  <c r="E488" i="1"/>
  <c r="AK487" i="1"/>
  <c r="AC487" i="1"/>
  <c r="F487" i="1"/>
  <c r="E487" i="1"/>
  <c r="AK486" i="1"/>
  <c r="AC486" i="1"/>
  <c r="F486" i="1"/>
  <c r="E486" i="1"/>
  <c r="AC485" i="1"/>
  <c r="AL485" i="1" s="1"/>
  <c r="E485" i="1"/>
  <c r="AC484" i="1"/>
  <c r="AL484" i="1" s="1"/>
  <c r="E484" i="1"/>
  <c r="AC483" i="1"/>
  <c r="AL483" i="1" s="1"/>
  <c r="E483" i="1"/>
  <c r="AC482" i="1"/>
  <c r="AL482" i="1" s="1"/>
  <c r="E482" i="1"/>
  <c r="AC481" i="1"/>
  <c r="AL481" i="1" s="1"/>
  <c r="F481" i="1"/>
  <c r="E481" i="1"/>
  <c r="AC480" i="1"/>
  <c r="AL480" i="1" s="1"/>
  <c r="F480" i="1"/>
  <c r="E480" i="1"/>
  <c r="AK479" i="1"/>
  <c r="AC479" i="1"/>
  <c r="F479" i="1"/>
  <c r="E479" i="1"/>
  <c r="AC478" i="1"/>
  <c r="AL478" i="1" s="1"/>
  <c r="F478" i="1"/>
  <c r="E478" i="1"/>
  <c r="AC477" i="1"/>
  <c r="AL477" i="1" s="1"/>
  <c r="F477" i="1"/>
  <c r="E477" i="1"/>
  <c r="AC476" i="1"/>
  <c r="AL476" i="1" s="1"/>
  <c r="F476" i="1"/>
  <c r="E476" i="1"/>
  <c r="AC475" i="1"/>
  <c r="AL475" i="1" s="1"/>
  <c r="E475" i="1"/>
  <c r="AC474" i="1"/>
  <c r="AL474" i="1" s="1"/>
  <c r="F474" i="1"/>
  <c r="E474" i="1"/>
  <c r="AC473" i="1"/>
  <c r="AL473" i="1" s="1"/>
  <c r="F473" i="1"/>
  <c r="E473" i="1"/>
  <c r="AC472" i="1"/>
  <c r="AL472" i="1" s="1"/>
  <c r="E472" i="1"/>
  <c r="AC471" i="1"/>
  <c r="AL471" i="1" s="1"/>
  <c r="F471" i="1"/>
  <c r="E471" i="1"/>
  <c r="AC470" i="1"/>
  <c r="AL470" i="1" s="1"/>
  <c r="F470" i="1"/>
  <c r="E470" i="1"/>
  <c r="AD469" i="1"/>
  <c r="AC469" i="1"/>
  <c r="F469" i="1"/>
  <c r="E469" i="1"/>
  <c r="AK468" i="1"/>
  <c r="AC468" i="1"/>
  <c r="F468" i="1"/>
  <c r="E468" i="1"/>
  <c r="AC467" i="1"/>
  <c r="AL467" i="1" s="1"/>
  <c r="E467" i="1"/>
  <c r="AC466" i="1"/>
  <c r="AL466" i="1" s="1"/>
  <c r="F466" i="1"/>
  <c r="E466" i="1"/>
  <c r="AK465" i="1"/>
  <c r="AC465" i="1"/>
  <c r="F465" i="1"/>
  <c r="E465" i="1"/>
  <c r="AK464" i="1"/>
  <c r="AC464" i="1"/>
  <c r="F464" i="1"/>
  <c r="E464" i="1"/>
  <c r="AC463" i="1"/>
  <c r="AL463" i="1" s="1"/>
  <c r="E463" i="1"/>
  <c r="AE462" i="1"/>
  <c r="AD462" i="1"/>
  <c r="AC462" i="1"/>
  <c r="F462" i="1"/>
  <c r="E462" i="1"/>
  <c r="AC461" i="1"/>
  <c r="AL461" i="1" s="1"/>
  <c r="F461" i="1"/>
  <c r="E461" i="1"/>
  <c r="AC460" i="1"/>
  <c r="AL460" i="1" s="1"/>
  <c r="F460" i="1"/>
  <c r="E460" i="1"/>
  <c r="AC459" i="1"/>
  <c r="AL459" i="1" s="1"/>
  <c r="F459" i="1"/>
  <c r="E459" i="1"/>
  <c r="AC458" i="1"/>
  <c r="AL458" i="1" s="1"/>
  <c r="E458" i="1"/>
  <c r="AC457" i="1"/>
  <c r="AL457" i="1" s="1"/>
  <c r="E457" i="1"/>
  <c r="AC456" i="1"/>
  <c r="AL456" i="1" s="1"/>
  <c r="E456" i="1"/>
  <c r="AC455" i="1"/>
  <c r="AL455" i="1" s="1"/>
  <c r="E455" i="1"/>
  <c r="AE454" i="1"/>
  <c r="AD454" i="1"/>
  <c r="AC454" i="1"/>
  <c r="F454" i="1"/>
  <c r="E454" i="1"/>
  <c r="AC453" i="1"/>
  <c r="AL453" i="1" s="1"/>
  <c r="F453" i="1"/>
  <c r="E453" i="1"/>
  <c r="AI452" i="1"/>
  <c r="AH452" i="1"/>
  <c r="AG452" i="1"/>
  <c r="AF452" i="1"/>
  <c r="AC452" i="1"/>
  <c r="F452" i="1"/>
  <c r="E452" i="1"/>
  <c r="AK451" i="1"/>
  <c r="AI451" i="1"/>
  <c r="AH451" i="1"/>
  <c r="AG451" i="1"/>
  <c r="AF451" i="1"/>
  <c r="AC451" i="1"/>
  <c r="F451" i="1"/>
  <c r="E451" i="1"/>
  <c r="AC450" i="1"/>
  <c r="AL450" i="1" s="1"/>
  <c r="E450" i="1"/>
  <c r="AC449" i="1"/>
  <c r="AL449" i="1" s="1"/>
  <c r="E449" i="1"/>
  <c r="AC448" i="1"/>
  <c r="AL448" i="1" s="1"/>
  <c r="E448" i="1"/>
  <c r="AI447" i="1"/>
  <c r="AH447" i="1"/>
  <c r="AG447" i="1"/>
  <c r="AF447" i="1"/>
  <c r="AE447" i="1"/>
  <c r="AD447" i="1"/>
  <c r="AC447" i="1"/>
  <c r="F447" i="1"/>
  <c r="E447" i="1"/>
  <c r="AC446" i="1"/>
  <c r="AL446" i="1" s="1"/>
  <c r="E446" i="1"/>
  <c r="AC445" i="1"/>
  <c r="AL445" i="1" s="1"/>
  <c r="E445" i="1"/>
  <c r="AC444" i="1"/>
  <c r="AL444" i="1" s="1"/>
  <c r="E444" i="1"/>
  <c r="AC443" i="1"/>
  <c r="AL443" i="1" s="1"/>
  <c r="E443" i="1"/>
  <c r="AI442" i="1"/>
  <c r="AH442" i="1"/>
  <c r="AG442" i="1"/>
  <c r="AF442" i="1"/>
  <c r="AE442" i="1"/>
  <c r="AD442" i="1"/>
  <c r="AC442" i="1"/>
  <c r="F442" i="1"/>
  <c r="E442" i="1"/>
  <c r="AI441" i="1"/>
  <c r="AH441" i="1"/>
  <c r="AG441" i="1"/>
  <c r="AF441" i="1"/>
  <c r="AE441" i="1"/>
  <c r="AD441" i="1"/>
  <c r="AC441" i="1"/>
  <c r="F441" i="1"/>
  <c r="E441" i="1"/>
  <c r="AC440" i="1"/>
  <c r="AL440" i="1" s="1"/>
  <c r="F440" i="1"/>
  <c r="E440" i="1"/>
  <c r="AC439" i="1"/>
  <c r="AL439" i="1" s="1"/>
  <c r="E439" i="1"/>
  <c r="AK438" i="1"/>
  <c r="AI438" i="1"/>
  <c r="AH438" i="1"/>
  <c r="AG438" i="1"/>
  <c r="AF438" i="1"/>
  <c r="AC438" i="1"/>
  <c r="F438" i="1"/>
  <c r="E438" i="1"/>
  <c r="AC437" i="1"/>
  <c r="AL437" i="1" s="1"/>
  <c r="F437" i="1"/>
  <c r="E437" i="1"/>
  <c r="AC436" i="1"/>
  <c r="AL436" i="1" s="1"/>
  <c r="E436" i="1"/>
  <c r="AC435" i="1"/>
  <c r="AL435" i="1" s="1"/>
  <c r="E435" i="1"/>
  <c r="AC434" i="1"/>
  <c r="AL434" i="1" s="1"/>
  <c r="F434" i="1"/>
  <c r="E434" i="1"/>
  <c r="AC433" i="1"/>
  <c r="AL433" i="1" s="1"/>
  <c r="E433" i="1"/>
  <c r="AC432" i="1"/>
  <c r="AL432" i="1" s="1"/>
  <c r="E432" i="1"/>
  <c r="AC431" i="1"/>
  <c r="AL431" i="1" s="1"/>
  <c r="E431" i="1"/>
  <c r="AI430" i="1"/>
  <c r="AH430" i="1"/>
  <c r="AG430" i="1"/>
  <c r="AF430" i="1"/>
  <c r="AC430" i="1"/>
  <c r="F430" i="1"/>
  <c r="E430" i="1"/>
  <c r="AE429" i="1"/>
  <c r="AD429" i="1"/>
  <c r="AC429" i="1"/>
  <c r="F429" i="1"/>
  <c r="E429" i="1"/>
  <c r="AC428" i="1"/>
  <c r="AL428" i="1" s="1"/>
  <c r="E428" i="1"/>
  <c r="AC427" i="1"/>
  <c r="AL427" i="1" s="1"/>
  <c r="E427" i="1"/>
  <c r="AC426" i="1"/>
  <c r="AL426" i="1" s="1"/>
  <c r="E426" i="1"/>
  <c r="AK425" i="1"/>
  <c r="AI425" i="1"/>
  <c r="AH425" i="1"/>
  <c r="AG425" i="1"/>
  <c r="AF425" i="1"/>
  <c r="AC425" i="1"/>
  <c r="F425" i="1"/>
  <c r="E425" i="1"/>
  <c r="AF424" i="1"/>
  <c r="AC424" i="1"/>
  <c r="F424" i="1"/>
  <c r="E424" i="1"/>
  <c r="AC423" i="1"/>
  <c r="AL423" i="1" s="1"/>
  <c r="F423" i="1"/>
  <c r="E423" i="1"/>
  <c r="AF422" i="1"/>
  <c r="AE422" i="1"/>
  <c r="AD422" i="1"/>
  <c r="AC422" i="1"/>
  <c r="F422" i="1"/>
  <c r="E422" i="1"/>
  <c r="AL421" i="1"/>
  <c r="AC421" i="1"/>
  <c r="E421" i="1"/>
  <c r="AC420" i="1"/>
  <c r="AL420" i="1" s="1"/>
  <c r="E420" i="1"/>
  <c r="AC419" i="1"/>
  <c r="AL419" i="1" s="1"/>
  <c r="F419" i="1"/>
  <c r="E419" i="1"/>
  <c r="AC418" i="1"/>
  <c r="AL418" i="1" s="1"/>
  <c r="F418" i="1"/>
  <c r="E418" i="1"/>
  <c r="AC417" i="1"/>
  <c r="AL417" i="1" s="1"/>
  <c r="E417" i="1"/>
  <c r="AC416" i="1"/>
  <c r="AL416" i="1" s="1"/>
  <c r="E416" i="1"/>
  <c r="AK415" i="1"/>
  <c r="AI415" i="1"/>
  <c r="AH415" i="1"/>
  <c r="AG415" i="1"/>
  <c r="AF415" i="1"/>
  <c r="AC415" i="1"/>
  <c r="F415" i="1"/>
  <c r="E415" i="1"/>
  <c r="AC414" i="1"/>
  <c r="AL414" i="1" s="1"/>
  <c r="E414" i="1"/>
  <c r="AK413" i="1"/>
  <c r="AI413" i="1"/>
  <c r="AH413" i="1"/>
  <c r="AG413" i="1"/>
  <c r="AF413" i="1"/>
  <c r="AC413" i="1"/>
  <c r="F413" i="1"/>
  <c r="E413" i="1"/>
  <c r="AI412" i="1"/>
  <c r="AH412" i="1"/>
  <c r="AG412" i="1"/>
  <c r="AF412" i="1"/>
  <c r="AE412" i="1"/>
  <c r="AD412" i="1"/>
  <c r="AC412" i="1"/>
  <c r="F412" i="1"/>
  <c r="E412" i="1"/>
  <c r="AK411" i="1"/>
  <c r="AI411" i="1"/>
  <c r="AH411" i="1"/>
  <c r="AG411" i="1"/>
  <c r="AF411" i="1"/>
  <c r="AC411" i="1"/>
  <c r="F411" i="1"/>
  <c r="E411" i="1"/>
  <c r="AI410" i="1"/>
  <c r="AH410" i="1"/>
  <c r="AG410" i="1"/>
  <c r="AF410" i="1"/>
  <c r="AC410" i="1"/>
  <c r="F410" i="1"/>
  <c r="E410" i="1"/>
  <c r="AC409" i="1"/>
  <c r="AL409" i="1" s="1"/>
  <c r="E409" i="1"/>
  <c r="AC408" i="1"/>
  <c r="AL408" i="1" s="1"/>
  <c r="E408" i="1"/>
  <c r="AK407" i="1"/>
  <c r="AI407" i="1"/>
  <c r="AH407" i="1"/>
  <c r="AG407" i="1"/>
  <c r="AF407" i="1"/>
  <c r="AC407" i="1"/>
  <c r="F407" i="1"/>
  <c r="E407" i="1"/>
  <c r="AC406" i="1"/>
  <c r="AL406" i="1" s="1"/>
  <c r="E406" i="1"/>
  <c r="AC405" i="1"/>
  <c r="AL405" i="1" s="1"/>
  <c r="E405" i="1"/>
  <c r="AC404" i="1"/>
  <c r="AL404" i="1" s="1"/>
  <c r="E404" i="1"/>
  <c r="AC403" i="1"/>
  <c r="AL403" i="1" s="1"/>
  <c r="E403" i="1"/>
  <c r="AI402" i="1"/>
  <c r="AH402" i="1"/>
  <c r="AG402" i="1"/>
  <c r="AF402" i="1"/>
  <c r="AE402" i="1"/>
  <c r="AD402" i="1"/>
  <c r="AC402" i="1"/>
  <c r="F402" i="1"/>
  <c r="E402" i="1"/>
  <c r="AK401" i="1"/>
  <c r="AI401" i="1"/>
  <c r="AH401" i="1"/>
  <c r="AG401" i="1"/>
  <c r="AF401" i="1"/>
  <c r="AC401" i="1"/>
  <c r="F401" i="1"/>
  <c r="E401" i="1"/>
  <c r="AC400" i="1"/>
  <c r="AL400" i="1" s="1"/>
  <c r="E400" i="1"/>
  <c r="AC399" i="1"/>
  <c r="AL399" i="1" s="1"/>
  <c r="F399" i="1"/>
  <c r="E399" i="1"/>
  <c r="AC398" i="1"/>
  <c r="AL398" i="1" s="1"/>
  <c r="F398" i="1"/>
  <c r="E398" i="1"/>
  <c r="AC397" i="1"/>
  <c r="AL397" i="1" s="1"/>
  <c r="F397" i="1"/>
  <c r="E397" i="1"/>
  <c r="AC396" i="1"/>
  <c r="AL396" i="1" s="1"/>
  <c r="E396" i="1"/>
  <c r="AC395" i="1"/>
  <c r="AL395" i="1" s="1"/>
  <c r="F395" i="1"/>
  <c r="E395" i="1"/>
  <c r="AC394" i="1"/>
  <c r="AL394" i="1" s="1"/>
  <c r="F394" i="1"/>
  <c r="E394" i="1"/>
  <c r="AI393" i="1"/>
  <c r="AH393" i="1"/>
  <c r="AG393" i="1"/>
  <c r="AF393" i="1"/>
  <c r="AE393" i="1"/>
  <c r="AD393" i="1"/>
  <c r="AC393" i="1"/>
  <c r="F393" i="1"/>
  <c r="E393" i="1"/>
  <c r="AK392" i="1"/>
  <c r="AI392" i="1"/>
  <c r="AH392" i="1"/>
  <c r="AG392" i="1"/>
  <c r="AF392" i="1"/>
  <c r="AC392" i="1"/>
  <c r="F392" i="1"/>
  <c r="E392" i="1"/>
  <c r="AC391" i="1"/>
  <c r="AL391" i="1" s="1"/>
  <c r="F391" i="1"/>
  <c r="E391" i="1"/>
  <c r="AC390" i="1"/>
  <c r="AL390" i="1" s="1"/>
  <c r="E390" i="1"/>
  <c r="AC389" i="1"/>
  <c r="AL389" i="1" s="1"/>
  <c r="E389" i="1"/>
  <c r="AC388" i="1"/>
  <c r="AL388" i="1" s="1"/>
  <c r="E388" i="1"/>
  <c r="AC387" i="1"/>
  <c r="AL387" i="1" s="1"/>
  <c r="E387" i="1"/>
  <c r="AI386" i="1"/>
  <c r="AH386" i="1"/>
  <c r="AG386" i="1"/>
  <c r="AF386" i="1"/>
  <c r="AC386" i="1"/>
  <c r="F386" i="1"/>
  <c r="E386" i="1"/>
  <c r="AC385" i="1"/>
  <c r="AL385" i="1" s="1"/>
  <c r="E385" i="1"/>
  <c r="AC384" i="1"/>
  <c r="AL384" i="1" s="1"/>
  <c r="E384" i="1"/>
  <c r="AC383" i="1"/>
  <c r="AL383" i="1" s="1"/>
  <c r="F383" i="1"/>
  <c r="E383" i="1"/>
  <c r="AC382" i="1"/>
  <c r="AL382" i="1" s="1"/>
  <c r="E382" i="1"/>
  <c r="AK381" i="1"/>
  <c r="AI381" i="1"/>
  <c r="AH381" i="1"/>
  <c r="AG381" i="1"/>
  <c r="AF381" i="1"/>
  <c r="AC381" i="1"/>
  <c r="F381" i="1"/>
  <c r="E381" i="1"/>
  <c r="AC380" i="1"/>
  <c r="AL380" i="1" s="1"/>
  <c r="E380" i="1"/>
  <c r="AC379" i="1"/>
  <c r="AL379" i="1" s="1"/>
  <c r="E379" i="1"/>
  <c r="AK378" i="1"/>
  <c r="AI378" i="1"/>
  <c r="AH378" i="1"/>
  <c r="AG378" i="1"/>
  <c r="AF378" i="1"/>
  <c r="AC378" i="1"/>
  <c r="F378" i="1"/>
  <c r="E378" i="1"/>
  <c r="AE377" i="1"/>
  <c r="AD377" i="1"/>
  <c r="AC377" i="1"/>
  <c r="F377" i="1"/>
  <c r="E377" i="1"/>
  <c r="AC376" i="1"/>
  <c r="AL376" i="1" s="1"/>
  <c r="F376" i="1"/>
  <c r="E376" i="1"/>
  <c r="AC375" i="1"/>
  <c r="AL375" i="1" s="1"/>
  <c r="E375" i="1"/>
  <c r="AC374" i="1"/>
  <c r="AL374" i="1" s="1"/>
  <c r="F374" i="1"/>
  <c r="E374" i="1"/>
  <c r="AK373" i="1"/>
  <c r="AI373" i="1"/>
  <c r="AH373" i="1"/>
  <c r="AG373" i="1"/>
  <c r="AF373" i="1"/>
  <c r="AE373" i="1"/>
  <c r="AD373" i="1"/>
  <c r="AC373" i="1"/>
  <c r="F373" i="1"/>
  <c r="E373" i="1"/>
  <c r="AC372" i="1"/>
  <c r="AL372" i="1" s="1"/>
  <c r="F372" i="1"/>
  <c r="E372" i="1"/>
  <c r="AI371" i="1"/>
  <c r="AH371" i="1"/>
  <c r="AG371" i="1"/>
  <c r="AF371" i="1"/>
  <c r="AD371" i="1"/>
  <c r="AC371" i="1"/>
  <c r="F371" i="1"/>
  <c r="E371" i="1"/>
  <c r="AK370" i="1"/>
  <c r="AI370" i="1"/>
  <c r="AH370" i="1"/>
  <c r="AG370" i="1"/>
  <c r="AF370" i="1"/>
  <c r="AC370" i="1"/>
  <c r="F370" i="1"/>
  <c r="E370" i="1"/>
  <c r="AC369" i="1"/>
  <c r="AL369" i="1" s="1"/>
  <c r="F369" i="1"/>
  <c r="E369" i="1"/>
  <c r="AC368" i="1"/>
  <c r="AL368" i="1" s="1"/>
  <c r="E368" i="1"/>
  <c r="AK367" i="1"/>
  <c r="AI367" i="1"/>
  <c r="AH367" i="1"/>
  <c r="AG367" i="1"/>
  <c r="AF367" i="1"/>
  <c r="AC367" i="1"/>
  <c r="F367" i="1"/>
  <c r="E367" i="1"/>
  <c r="AC366" i="1"/>
  <c r="AL366" i="1" s="1"/>
  <c r="E366" i="1"/>
  <c r="AC365" i="1"/>
  <c r="AL365" i="1" s="1"/>
  <c r="F365" i="1"/>
  <c r="E365" i="1"/>
  <c r="AC364" i="1"/>
  <c r="AL364" i="1" s="1"/>
  <c r="F364" i="1"/>
  <c r="E364" i="1"/>
  <c r="AC363" i="1"/>
  <c r="AL363" i="1" s="1"/>
  <c r="F363" i="1"/>
  <c r="E363" i="1"/>
  <c r="AI362" i="1"/>
  <c r="AH362" i="1"/>
  <c r="AG362" i="1"/>
  <c r="AF362" i="1"/>
  <c r="AC362" i="1"/>
  <c r="F362" i="1"/>
  <c r="E362" i="1"/>
  <c r="AC361" i="1"/>
  <c r="AL361" i="1" s="1"/>
  <c r="E361" i="1"/>
  <c r="AC360" i="1"/>
  <c r="AL360" i="1" s="1"/>
  <c r="F360" i="1"/>
  <c r="E360" i="1"/>
  <c r="AC359" i="1"/>
  <c r="AL359" i="1" s="1"/>
  <c r="E359" i="1"/>
  <c r="AC358" i="1"/>
  <c r="AL358" i="1" s="1"/>
  <c r="E358" i="1"/>
  <c r="AK357" i="1"/>
  <c r="AI357" i="1"/>
  <c r="AH357" i="1"/>
  <c r="AG357" i="1"/>
  <c r="AF357" i="1"/>
  <c r="AC357" i="1"/>
  <c r="F357" i="1"/>
  <c r="E357" i="1"/>
  <c r="AE356" i="1"/>
  <c r="AD356" i="1"/>
  <c r="AC356" i="1"/>
  <c r="F356" i="1"/>
  <c r="E356" i="1"/>
  <c r="AC355" i="1"/>
  <c r="AL355" i="1" s="1"/>
  <c r="F355" i="1"/>
  <c r="E355" i="1"/>
  <c r="AK354" i="1"/>
  <c r="AI354" i="1"/>
  <c r="AH354" i="1"/>
  <c r="AG354" i="1"/>
  <c r="AF354" i="1"/>
  <c r="AC354" i="1"/>
  <c r="F354" i="1"/>
  <c r="E354" i="1"/>
  <c r="AC353" i="1"/>
  <c r="AL353" i="1" s="1"/>
  <c r="F353" i="1"/>
  <c r="E353" i="1"/>
  <c r="AC352" i="1"/>
  <c r="AL352" i="1" s="1"/>
  <c r="E352" i="1"/>
  <c r="AC351" i="1"/>
  <c r="AL351" i="1" s="1"/>
  <c r="F351" i="1"/>
  <c r="E351" i="1"/>
  <c r="AI350" i="1"/>
  <c r="AH350" i="1"/>
  <c r="AG350" i="1"/>
  <c r="AF350" i="1"/>
  <c r="AC350" i="1"/>
  <c r="F350" i="1"/>
  <c r="E350" i="1"/>
  <c r="AI349" i="1"/>
  <c r="AH349" i="1"/>
  <c r="AG349" i="1"/>
  <c r="AF349" i="1"/>
  <c r="AC349" i="1"/>
  <c r="F349" i="1"/>
  <c r="E349" i="1"/>
  <c r="AC348" i="1"/>
  <c r="AL348" i="1" s="1"/>
  <c r="F348" i="1"/>
  <c r="E348" i="1"/>
  <c r="AC347" i="1"/>
  <c r="AL347" i="1" s="1"/>
  <c r="F347" i="1"/>
  <c r="E347" i="1"/>
  <c r="AC346" i="1"/>
  <c r="AL346" i="1" s="1"/>
  <c r="F346" i="1"/>
  <c r="E346" i="1"/>
  <c r="AK345" i="1"/>
  <c r="AI345" i="1"/>
  <c r="AH345" i="1"/>
  <c r="AG345" i="1"/>
  <c r="AF345" i="1"/>
  <c r="AC345" i="1"/>
  <c r="F345" i="1"/>
  <c r="E345" i="1"/>
  <c r="AK344" i="1"/>
  <c r="AI344" i="1"/>
  <c r="AH344" i="1"/>
  <c r="AG344" i="1"/>
  <c r="AF344" i="1"/>
  <c r="AC344" i="1"/>
  <c r="F344" i="1"/>
  <c r="E344" i="1"/>
  <c r="AI343" i="1"/>
  <c r="AH343" i="1"/>
  <c r="AG343" i="1"/>
  <c r="AF343" i="1"/>
  <c r="AC343" i="1"/>
  <c r="F343" i="1"/>
  <c r="E343" i="1"/>
  <c r="AC342" i="1"/>
  <c r="AL342" i="1" s="1"/>
  <c r="E342" i="1"/>
  <c r="AC341" i="1"/>
  <c r="AL341" i="1" s="1"/>
  <c r="E341" i="1"/>
  <c r="AF340" i="1"/>
  <c r="AC340" i="1"/>
  <c r="F340" i="1"/>
  <c r="E340" i="1"/>
  <c r="AC339" i="1"/>
  <c r="AL339" i="1" s="1"/>
  <c r="F339" i="1"/>
  <c r="E339" i="1"/>
  <c r="AC338" i="1"/>
  <c r="AL338" i="1" s="1"/>
  <c r="F338" i="1"/>
  <c r="E338" i="1"/>
  <c r="AC337" i="1"/>
  <c r="AL337" i="1" s="1"/>
  <c r="E337" i="1"/>
  <c r="AC336" i="1"/>
  <c r="AL336" i="1" s="1"/>
  <c r="F336" i="1"/>
  <c r="E336" i="1"/>
  <c r="AC335" i="1"/>
  <c r="AL335" i="1" s="1"/>
  <c r="E335" i="1"/>
  <c r="AK334" i="1"/>
  <c r="AI334" i="1"/>
  <c r="AH334" i="1"/>
  <c r="AG334" i="1"/>
  <c r="AF334" i="1"/>
  <c r="AC334" i="1"/>
  <c r="F334" i="1"/>
  <c r="E334" i="1"/>
  <c r="AC333" i="1"/>
  <c r="AL333" i="1" s="1"/>
  <c r="F333" i="1"/>
  <c r="E333" i="1"/>
  <c r="AI332" i="1"/>
  <c r="AH332" i="1"/>
  <c r="AG332" i="1"/>
  <c r="AF332" i="1"/>
  <c r="AE332" i="1"/>
  <c r="AD332" i="1"/>
  <c r="AC332" i="1"/>
  <c r="F332" i="1"/>
  <c r="E332" i="1"/>
  <c r="AC331" i="1"/>
  <c r="AL331" i="1" s="1"/>
  <c r="F331" i="1"/>
  <c r="E331" i="1"/>
  <c r="AC330" i="1"/>
  <c r="AL330" i="1" s="1"/>
  <c r="E330" i="1"/>
  <c r="AI329" i="1"/>
  <c r="AH329" i="1"/>
  <c r="AG329" i="1"/>
  <c r="AF329" i="1"/>
  <c r="AC329" i="1"/>
  <c r="F329" i="1"/>
  <c r="E329" i="1"/>
  <c r="AC328" i="1"/>
  <c r="AL328" i="1" s="1"/>
  <c r="F328" i="1"/>
  <c r="E328" i="1"/>
  <c r="AC327" i="1"/>
  <c r="AL327" i="1" s="1"/>
  <c r="E327" i="1"/>
  <c r="AK326" i="1"/>
  <c r="AI326" i="1"/>
  <c r="AH326" i="1"/>
  <c r="AG326" i="1"/>
  <c r="AF326" i="1"/>
  <c r="AC326" i="1"/>
  <c r="F326" i="1"/>
  <c r="E326" i="1"/>
  <c r="AC325" i="1"/>
  <c r="AL325" i="1" s="1"/>
  <c r="F325" i="1"/>
  <c r="E325" i="1"/>
  <c r="AK324" i="1"/>
  <c r="AI324" i="1"/>
  <c r="AH324" i="1"/>
  <c r="AG324" i="1"/>
  <c r="AF324" i="1"/>
  <c r="AC324" i="1"/>
  <c r="F324" i="1"/>
  <c r="E324" i="1"/>
  <c r="AI323" i="1"/>
  <c r="AH323" i="1"/>
  <c r="AG323" i="1"/>
  <c r="AF323" i="1"/>
  <c r="AD323" i="1"/>
  <c r="AC323" i="1"/>
  <c r="F323" i="1"/>
  <c r="E323" i="1"/>
  <c r="AK322" i="1"/>
  <c r="AI322" i="1"/>
  <c r="AH322" i="1"/>
  <c r="AG322" i="1"/>
  <c r="AF322" i="1"/>
  <c r="AC322" i="1"/>
  <c r="F322" i="1"/>
  <c r="E322" i="1"/>
  <c r="AC321" i="1"/>
  <c r="AL321" i="1" s="1"/>
  <c r="F321" i="1"/>
  <c r="E321" i="1"/>
  <c r="AK320" i="1"/>
  <c r="AI320" i="1"/>
  <c r="AH320" i="1"/>
  <c r="AG320" i="1"/>
  <c r="AF320" i="1"/>
  <c r="AE320" i="1"/>
  <c r="AD320" i="1"/>
  <c r="AC320" i="1"/>
  <c r="F320" i="1"/>
  <c r="E320" i="1"/>
  <c r="AC319" i="1"/>
  <c r="AL319" i="1" s="1"/>
  <c r="F319" i="1"/>
  <c r="E319" i="1"/>
  <c r="AK318" i="1"/>
  <c r="AI318" i="1"/>
  <c r="AH318" i="1"/>
  <c r="AG318" i="1"/>
  <c r="AF318" i="1"/>
  <c r="AC318" i="1"/>
  <c r="F318" i="1"/>
  <c r="E318" i="1"/>
  <c r="AC317" i="1"/>
  <c r="AL317" i="1" s="1"/>
  <c r="E317" i="1"/>
  <c r="AE316" i="1"/>
  <c r="AD316" i="1"/>
  <c r="AC316" i="1"/>
  <c r="F316" i="1"/>
  <c r="E316" i="1"/>
  <c r="AK315" i="1"/>
  <c r="AI315" i="1"/>
  <c r="AH315" i="1"/>
  <c r="AG315" i="1"/>
  <c r="AF315" i="1"/>
  <c r="AE315" i="1"/>
  <c r="AD315" i="1"/>
  <c r="AC315" i="1"/>
  <c r="F315" i="1"/>
  <c r="E315" i="1"/>
  <c r="AK314" i="1"/>
  <c r="AI314" i="1"/>
  <c r="AH314" i="1"/>
  <c r="AG314" i="1"/>
  <c r="AF314" i="1"/>
  <c r="AC314" i="1"/>
  <c r="F314" i="1"/>
  <c r="E314" i="1"/>
  <c r="AK313" i="1"/>
  <c r="AI313" i="1"/>
  <c r="AH313" i="1"/>
  <c r="AG313" i="1"/>
  <c r="AF313" i="1"/>
  <c r="AC313" i="1"/>
  <c r="F313" i="1"/>
  <c r="E313" i="1"/>
  <c r="AK312" i="1"/>
  <c r="AI312" i="1"/>
  <c r="AH312" i="1"/>
  <c r="AG312" i="1"/>
  <c r="AF312" i="1"/>
  <c r="AC312" i="1"/>
  <c r="F312" i="1"/>
  <c r="E312" i="1"/>
  <c r="AE311" i="1"/>
  <c r="AD311" i="1"/>
  <c r="AC311" i="1"/>
  <c r="F311" i="1"/>
  <c r="E311" i="1"/>
  <c r="AC310" i="1"/>
  <c r="AL310" i="1" s="1"/>
  <c r="E310" i="1"/>
  <c r="AI309" i="1"/>
  <c r="AH309" i="1"/>
  <c r="AG309" i="1"/>
  <c r="AF309" i="1"/>
  <c r="AD309" i="1"/>
  <c r="AC309" i="1"/>
  <c r="F309" i="1"/>
  <c r="E309" i="1"/>
  <c r="AI308" i="1"/>
  <c r="AH308" i="1"/>
  <c r="AG308" i="1"/>
  <c r="AF308" i="1"/>
  <c r="AD308" i="1"/>
  <c r="AC308" i="1"/>
  <c r="F308" i="1"/>
  <c r="E308" i="1"/>
  <c r="AC307" i="1"/>
  <c r="AL307" i="1" s="1"/>
  <c r="E307" i="1"/>
  <c r="AC306" i="1"/>
  <c r="AL306" i="1" s="1"/>
  <c r="E306" i="1"/>
  <c r="AC305" i="1"/>
  <c r="AL305" i="1" s="1"/>
  <c r="E305" i="1"/>
  <c r="AC304" i="1"/>
  <c r="AL304" i="1" s="1"/>
  <c r="F304" i="1"/>
  <c r="E304" i="1"/>
  <c r="AC303" i="1"/>
  <c r="AL303" i="1" s="1"/>
  <c r="E303" i="1"/>
  <c r="AC302" i="1"/>
  <c r="AL302" i="1" s="1"/>
  <c r="F302" i="1"/>
  <c r="E302" i="1"/>
  <c r="AC301" i="1"/>
  <c r="AL301" i="1" s="1"/>
  <c r="E301" i="1"/>
  <c r="AK300" i="1"/>
  <c r="AI300" i="1"/>
  <c r="AH300" i="1"/>
  <c r="AG300" i="1"/>
  <c r="AF300" i="1"/>
  <c r="AC300" i="1"/>
  <c r="F300" i="1"/>
  <c r="E300" i="1"/>
  <c r="AC299" i="1"/>
  <c r="AL299" i="1" s="1"/>
  <c r="E299" i="1"/>
  <c r="AK298" i="1"/>
  <c r="AI298" i="1"/>
  <c r="AH298" i="1"/>
  <c r="AG298" i="1"/>
  <c r="AF298" i="1"/>
  <c r="AC298" i="1"/>
  <c r="F298" i="1"/>
  <c r="E298" i="1"/>
  <c r="AK297" i="1"/>
  <c r="AI297" i="1"/>
  <c r="AH297" i="1"/>
  <c r="AG297" i="1"/>
  <c r="AF297" i="1"/>
  <c r="AC297" i="1"/>
  <c r="F297" i="1"/>
  <c r="E297" i="1"/>
  <c r="AK296" i="1"/>
  <c r="AI296" i="1"/>
  <c r="AH296" i="1"/>
  <c r="AG296" i="1"/>
  <c r="AF296" i="1"/>
  <c r="AC296" i="1"/>
  <c r="F296" i="1"/>
  <c r="E296" i="1"/>
  <c r="AC295" i="1"/>
  <c r="AL295" i="1" s="1"/>
  <c r="E295" i="1"/>
  <c r="AI294" i="1"/>
  <c r="AH294" i="1"/>
  <c r="AG294" i="1"/>
  <c r="AF294" i="1"/>
  <c r="AC294" i="1"/>
  <c r="F294" i="1"/>
  <c r="E294" i="1"/>
  <c r="AC293" i="1"/>
  <c r="AL293" i="1" s="1"/>
  <c r="E293" i="1"/>
  <c r="AI292" i="1"/>
  <c r="AH292" i="1"/>
  <c r="AG292" i="1"/>
  <c r="AF292" i="1"/>
  <c r="AD292" i="1"/>
  <c r="AC292" i="1"/>
  <c r="F292" i="1"/>
  <c r="E292" i="1"/>
  <c r="AC291" i="1"/>
  <c r="AL291" i="1" s="1"/>
  <c r="E291" i="1"/>
  <c r="AK290" i="1"/>
  <c r="AI290" i="1"/>
  <c r="AH290" i="1"/>
  <c r="AG290" i="1"/>
  <c r="AF290" i="1"/>
  <c r="AC290" i="1"/>
  <c r="F290" i="1"/>
  <c r="E290" i="1"/>
  <c r="AK289" i="1"/>
  <c r="AI289" i="1"/>
  <c r="AH289" i="1"/>
  <c r="AG289" i="1"/>
  <c r="AF289" i="1"/>
  <c r="AE289" i="1"/>
  <c r="AD289" i="1"/>
  <c r="AC289" i="1"/>
  <c r="F289" i="1"/>
  <c r="E289" i="1"/>
  <c r="AI288" i="1"/>
  <c r="AH288" i="1"/>
  <c r="AG288" i="1"/>
  <c r="AF288" i="1"/>
  <c r="AD288" i="1"/>
  <c r="AC288" i="1"/>
  <c r="F288" i="1"/>
  <c r="E288" i="1"/>
  <c r="AI287" i="1"/>
  <c r="AH287" i="1"/>
  <c r="AG287" i="1"/>
  <c r="AF287" i="1"/>
  <c r="AE287" i="1"/>
  <c r="AD287" i="1"/>
  <c r="AC287" i="1"/>
  <c r="F287" i="1"/>
  <c r="E287" i="1"/>
  <c r="AC286" i="1"/>
  <c r="AL286" i="1" s="1"/>
  <c r="E286" i="1"/>
  <c r="AC285" i="1"/>
  <c r="AL285" i="1" s="1"/>
  <c r="F285" i="1"/>
  <c r="E285" i="1"/>
  <c r="AI284" i="1"/>
  <c r="AH284" i="1"/>
  <c r="AG284" i="1"/>
  <c r="AF284" i="1"/>
  <c r="AC284" i="1"/>
  <c r="F284" i="1"/>
  <c r="E284" i="1"/>
  <c r="AK283" i="1"/>
  <c r="AI283" i="1"/>
  <c r="AH283" i="1"/>
  <c r="AG283" i="1"/>
  <c r="AF283" i="1"/>
  <c r="AC283" i="1"/>
  <c r="F283" i="1"/>
  <c r="E283" i="1"/>
  <c r="AK282" i="1"/>
  <c r="AI282" i="1"/>
  <c r="AH282" i="1"/>
  <c r="AG282" i="1"/>
  <c r="AF282" i="1"/>
  <c r="AC282" i="1"/>
  <c r="F282" i="1"/>
  <c r="E282" i="1"/>
  <c r="AK281" i="1"/>
  <c r="AI281" i="1"/>
  <c r="AH281" i="1"/>
  <c r="AG281" i="1"/>
  <c r="AF281" i="1"/>
  <c r="AC281" i="1"/>
  <c r="F281" i="1"/>
  <c r="E281" i="1"/>
  <c r="AC280" i="1"/>
  <c r="AL280" i="1" s="1"/>
  <c r="E280" i="1"/>
  <c r="AI279" i="1"/>
  <c r="AH279" i="1"/>
  <c r="AG279" i="1"/>
  <c r="AF279" i="1"/>
  <c r="AC279" i="1"/>
  <c r="F279" i="1"/>
  <c r="E279" i="1"/>
  <c r="AI278" i="1"/>
  <c r="AH278" i="1"/>
  <c r="AG278" i="1"/>
  <c r="AF278" i="1"/>
  <c r="AE278" i="1"/>
  <c r="AD278" i="1"/>
  <c r="AC278" i="1"/>
  <c r="F278" i="1"/>
  <c r="E278" i="1"/>
  <c r="AC277" i="1"/>
  <c r="AL277" i="1" s="1"/>
  <c r="E277" i="1"/>
  <c r="AC276" i="1"/>
  <c r="AL276" i="1" s="1"/>
  <c r="E276" i="1"/>
  <c r="AC275" i="1"/>
  <c r="AL275" i="1" s="1"/>
  <c r="F275" i="1"/>
  <c r="E275" i="1"/>
  <c r="AC274" i="1"/>
  <c r="AL274" i="1" s="1"/>
  <c r="F274" i="1"/>
  <c r="E274" i="1"/>
  <c r="AI273" i="1"/>
  <c r="AH273" i="1"/>
  <c r="AG273" i="1"/>
  <c r="AF273" i="1"/>
  <c r="AD273" i="1"/>
  <c r="AC273" i="1"/>
  <c r="F273" i="1"/>
  <c r="E273" i="1"/>
  <c r="AC272" i="1"/>
  <c r="AL272" i="1" s="1"/>
  <c r="E272" i="1"/>
  <c r="AC271" i="1"/>
  <c r="AL271" i="1" s="1"/>
  <c r="E271" i="1"/>
  <c r="AK270" i="1"/>
  <c r="AI270" i="1"/>
  <c r="AH270" i="1"/>
  <c r="AG270" i="1"/>
  <c r="AF270" i="1"/>
  <c r="AD270" i="1"/>
  <c r="AC270" i="1"/>
  <c r="F270" i="1"/>
  <c r="E270" i="1"/>
  <c r="AK269" i="1"/>
  <c r="AI269" i="1"/>
  <c r="AH269" i="1"/>
  <c r="AG269" i="1"/>
  <c r="AF269" i="1"/>
  <c r="AD269" i="1"/>
  <c r="AC269" i="1"/>
  <c r="F269" i="1"/>
  <c r="E269" i="1"/>
  <c r="AC268" i="1"/>
  <c r="AL268" i="1" s="1"/>
  <c r="E268" i="1"/>
  <c r="AC267" i="1"/>
  <c r="AL267" i="1" s="1"/>
  <c r="F267" i="1"/>
  <c r="E267" i="1"/>
  <c r="AI266" i="1"/>
  <c r="AH266" i="1"/>
  <c r="AG266" i="1"/>
  <c r="AF266" i="1"/>
  <c r="AE266" i="1"/>
  <c r="AD266" i="1"/>
  <c r="AC266" i="1"/>
  <c r="F266" i="1"/>
  <c r="E266" i="1"/>
  <c r="AC265" i="1"/>
  <c r="AL265" i="1" s="1"/>
  <c r="E265" i="1"/>
  <c r="AI264" i="1"/>
  <c r="AH264" i="1"/>
  <c r="AG264" i="1"/>
  <c r="AF264" i="1"/>
  <c r="AC264" i="1"/>
  <c r="F264" i="1"/>
  <c r="E264" i="1"/>
  <c r="AC263" i="1"/>
  <c r="AL263" i="1" s="1"/>
  <c r="E263" i="1"/>
  <c r="AK262" i="1"/>
  <c r="AI262" i="1"/>
  <c r="AH262" i="1"/>
  <c r="AG262" i="1"/>
  <c r="AF262" i="1"/>
  <c r="AE262" i="1"/>
  <c r="AD262" i="1"/>
  <c r="AC262" i="1"/>
  <c r="F262" i="1"/>
  <c r="E262" i="1"/>
  <c r="AC261" i="1"/>
  <c r="AL261" i="1" s="1"/>
  <c r="E261" i="1"/>
  <c r="AI260" i="1"/>
  <c r="AH260" i="1"/>
  <c r="AG260" i="1"/>
  <c r="AF260" i="1"/>
  <c r="AD260" i="1"/>
  <c r="AC260" i="1"/>
  <c r="F260" i="1"/>
  <c r="E260" i="1"/>
  <c r="AK259" i="1"/>
  <c r="AI259" i="1"/>
  <c r="AH259" i="1"/>
  <c r="AG259" i="1"/>
  <c r="AF259" i="1"/>
  <c r="AE259" i="1"/>
  <c r="AD259" i="1"/>
  <c r="AC259" i="1"/>
  <c r="F259" i="1"/>
  <c r="E259" i="1"/>
  <c r="AC258" i="1"/>
  <c r="AL258" i="1" s="1"/>
  <c r="F258" i="1"/>
  <c r="E258" i="1"/>
  <c r="AK257" i="1"/>
  <c r="AI257" i="1"/>
  <c r="AH257" i="1"/>
  <c r="AG257" i="1"/>
  <c r="AF257" i="1"/>
  <c r="AE257" i="1"/>
  <c r="AD257" i="1"/>
  <c r="AC257" i="1"/>
  <c r="F257" i="1"/>
  <c r="E257" i="1"/>
  <c r="AK256" i="1"/>
  <c r="AI256" i="1"/>
  <c r="AH256" i="1"/>
  <c r="AG256" i="1"/>
  <c r="AF256" i="1"/>
  <c r="AC256" i="1"/>
  <c r="F256" i="1"/>
  <c r="E256" i="1"/>
  <c r="AK255" i="1"/>
  <c r="AI255" i="1"/>
  <c r="AH255" i="1"/>
  <c r="AG255" i="1"/>
  <c r="AF255" i="1"/>
  <c r="AC255" i="1"/>
  <c r="F255" i="1"/>
  <c r="E255" i="1"/>
  <c r="AC254" i="1"/>
  <c r="AL254" i="1" s="1"/>
  <c r="F254" i="1"/>
  <c r="E254" i="1"/>
  <c r="AC253" i="1"/>
  <c r="AL253" i="1" s="1"/>
  <c r="E253" i="1"/>
  <c r="AI252" i="1"/>
  <c r="AH252" i="1"/>
  <c r="AG252" i="1"/>
  <c r="AF252" i="1"/>
  <c r="AD252" i="1"/>
  <c r="AC252" i="1"/>
  <c r="F252" i="1"/>
  <c r="E252" i="1"/>
  <c r="AI251" i="1"/>
  <c r="AH251" i="1"/>
  <c r="AG251" i="1"/>
  <c r="AF251" i="1"/>
  <c r="AD251" i="1"/>
  <c r="AC251" i="1"/>
  <c r="F251" i="1"/>
  <c r="E251" i="1"/>
  <c r="AC250" i="1"/>
  <c r="AL250" i="1" s="1"/>
  <c r="E250" i="1"/>
  <c r="AK249" i="1"/>
  <c r="AI249" i="1"/>
  <c r="AH249" i="1"/>
  <c r="AG249" i="1"/>
  <c r="AF249" i="1"/>
  <c r="AE249" i="1"/>
  <c r="AD249" i="1"/>
  <c r="AC249" i="1"/>
  <c r="F249" i="1"/>
  <c r="E249" i="1"/>
  <c r="AC248" i="1"/>
  <c r="AL248" i="1" s="1"/>
  <c r="E248" i="1"/>
  <c r="AK247" i="1"/>
  <c r="AI247" i="1"/>
  <c r="AH247" i="1"/>
  <c r="AG247" i="1"/>
  <c r="AF247" i="1"/>
  <c r="AC247" i="1"/>
  <c r="F247" i="1"/>
  <c r="E247" i="1"/>
  <c r="AC246" i="1"/>
  <c r="AL246" i="1" s="1"/>
  <c r="E246" i="1"/>
  <c r="AK245" i="1"/>
  <c r="AI245" i="1"/>
  <c r="AH245" i="1"/>
  <c r="AG245" i="1"/>
  <c r="AF245" i="1"/>
  <c r="AE245" i="1"/>
  <c r="AD245" i="1"/>
  <c r="AC245" i="1"/>
  <c r="F245" i="1"/>
  <c r="E245" i="1"/>
  <c r="AK244" i="1"/>
  <c r="AI244" i="1"/>
  <c r="AH244" i="1"/>
  <c r="AG244" i="1"/>
  <c r="AF244" i="1"/>
  <c r="AE244" i="1"/>
  <c r="AD244" i="1"/>
  <c r="AC244" i="1"/>
  <c r="F244" i="1"/>
  <c r="E244" i="1"/>
  <c r="AC243" i="1"/>
  <c r="AL243" i="1" s="1"/>
  <c r="E243" i="1"/>
  <c r="AC242" i="1"/>
  <c r="AL242" i="1" s="1"/>
  <c r="F242" i="1"/>
  <c r="E242" i="1"/>
  <c r="AC241" i="1"/>
  <c r="AL241" i="1" s="1"/>
  <c r="F241" i="1"/>
  <c r="E241" i="1"/>
  <c r="AC240" i="1"/>
  <c r="AL240" i="1" s="1"/>
  <c r="E240" i="1"/>
  <c r="AC239" i="1"/>
  <c r="AL239" i="1" s="1"/>
  <c r="F239" i="1"/>
  <c r="E239" i="1"/>
  <c r="AC238" i="1"/>
  <c r="AL238" i="1" s="1"/>
  <c r="E238" i="1"/>
  <c r="AC237" i="1"/>
  <c r="AL237" i="1" s="1"/>
  <c r="E237" i="1"/>
  <c r="AK236" i="1"/>
  <c r="AI236" i="1"/>
  <c r="AH236" i="1"/>
  <c r="AG236" i="1"/>
  <c r="AF236" i="1"/>
  <c r="AC236" i="1"/>
  <c r="F236" i="1"/>
  <c r="E236" i="1"/>
  <c r="AC235" i="1"/>
  <c r="AL235" i="1" s="1"/>
  <c r="E235" i="1"/>
  <c r="AC234" i="1"/>
  <c r="AL234" i="1" s="1"/>
  <c r="F234" i="1"/>
  <c r="E234" i="1"/>
  <c r="AK233" i="1"/>
  <c r="AI233" i="1"/>
  <c r="AH233" i="1"/>
  <c r="AG233" i="1"/>
  <c r="AF233" i="1"/>
  <c r="AE233" i="1"/>
  <c r="AD233" i="1"/>
  <c r="AC233" i="1"/>
  <c r="F233" i="1"/>
  <c r="E233" i="1"/>
  <c r="AK232" i="1"/>
  <c r="AI232" i="1"/>
  <c r="AH232" i="1"/>
  <c r="AG232" i="1"/>
  <c r="AF232" i="1"/>
  <c r="AE232" i="1"/>
  <c r="AD232" i="1"/>
  <c r="AC232" i="1"/>
  <c r="F232" i="1"/>
  <c r="E232" i="1"/>
  <c r="AC231" i="1"/>
  <c r="AL231" i="1" s="1"/>
  <c r="E231" i="1"/>
  <c r="AC172" i="1"/>
  <c r="AL172" i="1" s="1"/>
  <c r="E172" i="1"/>
  <c r="AI91" i="1"/>
  <c r="AH91" i="1"/>
  <c r="AG91" i="1"/>
  <c r="AF91" i="1"/>
  <c r="AC91" i="1"/>
  <c r="F91" i="1"/>
  <c r="E91" i="1"/>
  <c r="AK61" i="1"/>
  <c r="AI61" i="1"/>
  <c r="AH61" i="1"/>
  <c r="AG61" i="1"/>
  <c r="AF61" i="1"/>
  <c r="AC61" i="1"/>
  <c r="F61" i="1"/>
  <c r="E61" i="1"/>
  <c r="AI78" i="1"/>
  <c r="AH78" i="1"/>
  <c r="AG78" i="1"/>
  <c r="AF78" i="1"/>
  <c r="AD78" i="1"/>
  <c r="AC78" i="1"/>
  <c r="F78" i="1"/>
  <c r="E78" i="1"/>
  <c r="AC171" i="1"/>
  <c r="AL171" i="1" s="1"/>
  <c r="E171" i="1"/>
  <c r="AI134" i="1"/>
  <c r="AH134" i="1"/>
  <c r="AG134" i="1"/>
  <c r="AF134" i="1"/>
  <c r="AC134" i="1"/>
  <c r="F134" i="1"/>
  <c r="E134" i="1"/>
  <c r="AC60" i="1"/>
  <c r="AL60" i="1" s="1"/>
  <c r="E60" i="1"/>
  <c r="AC170" i="1"/>
  <c r="AL170" i="1" s="1"/>
  <c r="E170" i="1"/>
  <c r="AC169" i="1"/>
  <c r="AL169" i="1" s="1"/>
  <c r="E169" i="1"/>
  <c r="AC185" i="1"/>
  <c r="AL185" i="1" s="1"/>
  <c r="E185" i="1"/>
  <c r="AC71" i="1"/>
  <c r="AL71" i="1" s="1"/>
  <c r="E71" i="1"/>
  <c r="AK59" i="1"/>
  <c r="AI59" i="1"/>
  <c r="AH59" i="1"/>
  <c r="AG59" i="1"/>
  <c r="AF59" i="1"/>
  <c r="AC59" i="1"/>
  <c r="F59" i="1"/>
  <c r="E59" i="1"/>
  <c r="AC168" i="1"/>
  <c r="AL168" i="1" s="1"/>
  <c r="E168" i="1"/>
  <c r="AI64" i="1"/>
  <c r="AH64" i="1"/>
  <c r="AG64" i="1"/>
  <c r="AF64" i="1"/>
  <c r="AC64" i="1"/>
  <c r="F64" i="1"/>
  <c r="E64" i="1"/>
  <c r="AC119" i="1"/>
  <c r="AL119" i="1" s="1"/>
  <c r="E119" i="1"/>
  <c r="AC167" i="1"/>
  <c r="AL167" i="1" s="1"/>
  <c r="E167" i="1"/>
  <c r="AI140" i="1"/>
  <c r="AH140" i="1"/>
  <c r="AG140" i="1"/>
  <c r="AF140" i="1"/>
  <c r="AE140" i="1"/>
  <c r="AD140" i="1"/>
  <c r="AC140" i="1"/>
  <c r="F140" i="1"/>
  <c r="E140" i="1"/>
  <c r="AC210" i="1"/>
  <c r="AL210" i="1" s="1"/>
  <c r="F210" i="1"/>
  <c r="E210" i="1"/>
  <c r="AC180" i="1"/>
  <c r="AL180" i="1" s="1"/>
  <c r="F180" i="1"/>
  <c r="E180" i="1"/>
  <c r="AC184" i="1"/>
  <c r="AL184" i="1" s="1"/>
  <c r="E184" i="1"/>
  <c r="AI90" i="1"/>
  <c r="AH90" i="1"/>
  <c r="AG90" i="1"/>
  <c r="AF90" i="1"/>
  <c r="AC90" i="1"/>
  <c r="F90" i="1"/>
  <c r="E90" i="1"/>
  <c r="AI133" i="1"/>
  <c r="AH133" i="1"/>
  <c r="AG133" i="1"/>
  <c r="AF133" i="1"/>
  <c r="AC133" i="1"/>
  <c r="F133" i="1"/>
  <c r="E133" i="1"/>
  <c r="AC201" i="1"/>
  <c r="AL201" i="1" s="1"/>
  <c r="E201" i="1"/>
  <c r="AC166" i="1"/>
  <c r="AL166" i="1" s="1"/>
  <c r="E166" i="1"/>
  <c r="AC58" i="1"/>
  <c r="AL58" i="1" s="1"/>
  <c r="F58" i="1"/>
  <c r="E58" i="1"/>
  <c r="AC165" i="1"/>
  <c r="AL165" i="1" s="1"/>
  <c r="E165" i="1"/>
  <c r="AF57" i="1"/>
  <c r="AC57" i="1"/>
  <c r="F57" i="1"/>
  <c r="E57" i="1"/>
  <c r="AK215" i="1"/>
  <c r="AI215" i="1"/>
  <c r="AH215" i="1"/>
  <c r="AG215" i="1"/>
  <c r="AF215" i="1"/>
  <c r="AC215" i="1"/>
  <c r="F215" i="1"/>
  <c r="E215" i="1"/>
  <c r="AC132" i="1"/>
  <c r="AL132" i="1" s="1"/>
  <c r="F132" i="1"/>
  <c r="E132" i="1"/>
  <c r="AC164" i="1"/>
  <c r="AL164" i="1" s="1"/>
  <c r="E164" i="1"/>
  <c r="AC118" i="1"/>
  <c r="AL118" i="1" s="1"/>
  <c r="F118" i="1"/>
  <c r="E118" i="1"/>
  <c r="AI11" i="1"/>
  <c r="AH11" i="1"/>
  <c r="AG11" i="1"/>
  <c r="AF11" i="1"/>
  <c r="AC11" i="1"/>
  <c r="F11" i="1"/>
  <c r="E11" i="1"/>
  <c r="AI193" i="1"/>
  <c r="AH193" i="1"/>
  <c r="AG193" i="1"/>
  <c r="AF193" i="1"/>
  <c r="AC193" i="1"/>
  <c r="F193" i="1"/>
  <c r="E193" i="1"/>
  <c r="AK230" i="1"/>
  <c r="AI230" i="1"/>
  <c r="AH230" i="1"/>
  <c r="AG230" i="1"/>
  <c r="AF230" i="1"/>
  <c r="AD230" i="1"/>
  <c r="AC230" i="1"/>
  <c r="F230" i="1"/>
  <c r="E230" i="1"/>
  <c r="AD89" i="1"/>
  <c r="AC89" i="1"/>
  <c r="F89" i="1"/>
  <c r="E89" i="1"/>
  <c r="AC75" i="1"/>
  <c r="AL75" i="1" s="1"/>
  <c r="E75" i="1"/>
  <c r="AC55" i="1"/>
  <c r="AL55" i="1" s="1"/>
  <c r="F55" i="1"/>
  <c r="E55" i="1"/>
  <c r="AK56" i="1"/>
  <c r="AI56" i="1"/>
  <c r="AH56" i="1"/>
  <c r="AG56" i="1"/>
  <c r="AF56" i="1"/>
  <c r="AC56" i="1"/>
  <c r="F56" i="1"/>
  <c r="E56" i="1"/>
  <c r="AI131" i="1"/>
  <c r="AH131" i="1"/>
  <c r="AG131" i="1"/>
  <c r="AF131" i="1"/>
  <c r="AC131" i="1"/>
  <c r="F131" i="1"/>
  <c r="E131" i="1"/>
  <c r="AC163" i="1"/>
  <c r="AL163" i="1" s="1"/>
  <c r="E163" i="1"/>
  <c r="AK222" i="1"/>
  <c r="AI222" i="1"/>
  <c r="AH222" i="1"/>
  <c r="AG222" i="1"/>
  <c r="AF222" i="1"/>
  <c r="AC222" i="1"/>
  <c r="F222" i="1"/>
  <c r="E222" i="1"/>
  <c r="AF200" i="1"/>
  <c r="AE200" i="1"/>
  <c r="AD200" i="1"/>
  <c r="AC200" i="1"/>
  <c r="F200" i="1"/>
  <c r="E200" i="1"/>
  <c r="AK112" i="1"/>
  <c r="AI112" i="1"/>
  <c r="AH112" i="1"/>
  <c r="AG112" i="1"/>
  <c r="AF112" i="1"/>
  <c r="AE112" i="1"/>
  <c r="AD112" i="1"/>
  <c r="AC112" i="1"/>
  <c r="F112" i="1"/>
  <c r="E112" i="1"/>
  <c r="AC209" i="1"/>
  <c r="AL209" i="1" s="1"/>
  <c r="E209" i="1"/>
  <c r="AC162" i="1"/>
  <c r="AL162" i="1" s="1"/>
  <c r="E162" i="1"/>
  <c r="AC229" i="1"/>
  <c r="AL229" i="1" s="1"/>
  <c r="F229" i="1"/>
  <c r="E229" i="1"/>
  <c r="AI54" i="1"/>
  <c r="AH54" i="1"/>
  <c r="AG54" i="1"/>
  <c r="AF54" i="1"/>
  <c r="AC54" i="1"/>
  <c r="F54" i="1"/>
  <c r="E54" i="1"/>
  <c r="AI53" i="1"/>
  <c r="AH53" i="1"/>
  <c r="AG53" i="1"/>
  <c r="AF53" i="1"/>
  <c r="AC53" i="1"/>
  <c r="F53" i="1"/>
  <c r="E53" i="1"/>
  <c r="AK52" i="1"/>
  <c r="AI52" i="1"/>
  <c r="AH52" i="1"/>
  <c r="AG52" i="1"/>
  <c r="AF52" i="1"/>
  <c r="AC52" i="1"/>
  <c r="F52" i="1"/>
  <c r="E52" i="1"/>
  <c r="AK51" i="1"/>
  <c r="AI51" i="1"/>
  <c r="AH51" i="1"/>
  <c r="AG51" i="1"/>
  <c r="AF51" i="1"/>
  <c r="AC51" i="1"/>
  <c r="F51" i="1"/>
  <c r="E51" i="1"/>
  <c r="AC111" i="1"/>
  <c r="AL111" i="1" s="1"/>
  <c r="E111" i="1"/>
  <c r="AI186" i="1"/>
  <c r="AH186" i="1"/>
  <c r="AG186" i="1"/>
  <c r="AF186" i="1"/>
  <c r="AD186" i="1"/>
  <c r="AC186" i="1"/>
  <c r="F186" i="1"/>
  <c r="E186" i="1"/>
  <c r="AK130" i="1"/>
  <c r="AI130" i="1"/>
  <c r="AH130" i="1"/>
  <c r="AG130" i="1"/>
  <c r="AF130" i="1"/>
  <c r="AE130" i="1"/>
  <c r="AD130" i="1"/>
  <c r="AC130" i="1"/>
  <c r="F130" i="1"/>
  <c r="E130" i="1"/>
  <c r="AC88" i="1"/>
  <c r="AL88" i="1" s="1"/>
  <c r="F88" i="1"/>
  <c r="E88" i="1"/>
  <c r="AK129" i="1"/>
  <c r="AI129" i="1"/>
  <c r="AH129" i="1"/>
  <c r="AG129" i="1"/>
  <c r="AF129" i="1"/>
  <c r="AC129" i="1"/>
  <c r="F129" i="1"/>
  <c r="E129" i="1"/>
  <c r="AK98" i="1"/>
  <c r="AI98" i="1"/>
  <c r="AH98" i="1"/>
  <c r="AG98" i="1"/>
  <c r="AF98" i="1"/>
  <c r="AE98" i="1"/>
  <c r="AD98" i="1"/>
  <c r="AC98" i="1"/>
  <c r="F98" i="1"/>
  <c r="E98" i="1"/>
  <c r="AC50" i="1"/>
  <c r="AL50" i="1" s="1"/>
  <c r="F50" i="1"/>
  <c r="E50" i="1"/>
  <c r="AC161" i="1"/>
  <c r="AL161" i="1" s="1"/>
  <c r="E161" i="1"/>
  <c r="AI214" i="1"/>
  <c r="AH214" i="1"/>
  <c r="AG214" i="1"/>
  <c r="AF214" i="1"/>
  <c r="AD214" i="1"/>
  <c r="AC214" i="1"/>
  <c r="F214" i="1"/>
  <c r="E214" i="1"/>
  <c r="AI49" i="1"/>
  <c r="AH49" i="1"/>
  <c r="AG49" i="1"/>
  <c r="AF49" i="1"/>
  <c r="AC49" i="1"/>
  <c r="F49" i="1"/>
  <c r="E49" i="1"/>
  <c r="AI116" i="1"/>
  <c r="AH116" i="1"/>
  <c r="AG116" i="1"/>
  <c r="AF116" i="1"/>
  <c r="AE116" i="1"/>
  <c r="AD116" i="1"/>
  <c r="AC116" i="1"/>
  <c r="F116" i="1"/>
  <c r="E116" i="1"/>
  <c r="AK199" i="1"/>
  <c r="AI199" i="1"/>
  <c r="AH199" i="1"/>
  <c r="AG199" i="1"/>
  <c r="AF199" i="1"/>
  <c r="AD199" i="1"/>
  <c r="AC199" i="1"/>
  <c r="F199" i="1"/>
  <c r="E199" i="1"/>
  <c r="AK48" i="1"/>
  <c r="AI48" i="1"/>
  <c r="AH48" i="1"/>
  <c r="AG48" i="1"/>
  <c r="AF48" i="1"/>
  <c r="AC48" i="1"/>
  <c r="F48" i="1"/>
  <c r="E48" i="1"/>
  <c r="AF77" i="1"/>
  <c r="AC77" i="1"/>
  <c r="AL77" i="1" s="1"/>
  <c r="F77" i="1"/>
  <c r="E77" i="1"/>
  <c r="AC178" i="1"/>
  <c r="AL178" i="1" s="1"/>
  <c r="E178" i="1"/>
  <c r="AC228" i="1"/>
  <c r="AL228" i="1" s="1"/>
  <c r="F228" i="1"/>
  <c r="E228" i="1"/>
  <c r="AC68" i="1"/>
  <c r="AL68" i="1" s="1"/>
  <c r="F68" i="1"/>
  <c r="E68" i="1"/>
  <c r="AK208" i="1"/>
  <c r="AI208" i="1"/>
  <c r="AH208" i="1"/>
  <c r="AG208" i="1"/>
  <c r="AF208" i="1"/>
  <c r="AC208" i="1"/>
  <c r="F208" i="1"/>
  <c r="E208" i="1"/>
  <c r="AK47" i="1"/>
  <c r="AI47" i="1"/>
  <c r="AH47" i="1"/>
  <c r="AG47" i="1"/>
  <c r="AF47" i="1"/>
  <c r="AC47" i="1"/>
  <c r="F47" i="1"/>
  <c r="E47" i="1"/>
  <c r="AK14" i="1"/>
  <c r="AI14" i="1"/>
  <c r="AH14" i="1"/>
  <c r="AG14" i="1"/>
  <c r="AF14" i="1"/>
  <c r="AE14" i="1"/>
  <c r="AD14" i="1"/>
  <c r="AC14" i="1"/>
  <c r="F14" i="1"/>
  <c r="E14" i="1"/>
  <c r="AI6" i="1"/>
  <c r="AH6" i="1"/>
  <c r="AG6" i="1"/>
  <c r="AF6" i="1"/>
  <c r="AE6" i="1"/>
  <c r="AD6" i="1"/>
  <c r="AC6" i="1"/>
  <c r="F6" i="1"/>
  <c r="E6" i="1"/>
  <c r="AI87" i="1"/>
  <c r="AH87" i="1"/>
  <c r="AG87" i="1"/>
  <c r="AF87" i="1"/>
  <c r="AE87" i="1"/>
  <c r="AD87" i="1"/>
  <c r="AC87" i="1"/>
  <c r="F87" i="1"/>
  <c r="E87" i="1"/>
  <c r="AC177" i="1"/>
  <c r="AL177" i="1" s="1"/>
  <c r="E177" i="1"/>
  <c r="AC212" i="1"/>
  <c r="AL212" i="1" s="1"/>
  <c r="F212" i="1"/>
  <c r="E212" i="1"/>
  <c r="AC160" i="1"/>
  <c r="AL160" i="1" s="1"/>
  <c r="E160" i="1"/>
  <c r="AK110" i="1"/>
  <c r="AI110" i="1"/>
  <c r="AH110" i="1"/>
  <c r="AG110" i="1"/>
  <c r="AF110" i="1"/>
  <c r="AE110" i="1"/>
  <c r="AD110" i="1"/>
  <c r="AC110" i="1"/>
  <c r="F110" i="1"/>
  <c r="E110" i="1"/>
  <c r="AC46" i="1"/>
  <c r="AL46" i="1" s="1"/>
  <c r="F46" i="1"/>
  <c r="E46" i="1"/>
  <c r="AI45" i="1"/>
  <c r="AH45" i="1"/>
  <c r="AG45" i="1"/>
  <c r="AF45" i="1"/>
  <c r="AE45" i="1"/>
  <c r="AD45" i="1"/>
  <c r="AC45" i="1"/>
  <c r="F45" i="1"/>
  <c r="E45" i="1"/>
  <c r="AF44" i="1"/>
  <c r="AC44" i="1"/>
  <c r="F44" i="1"/>
  <c r="E44" i="1"/>
  <c r="AC109" i="1"/>
  <c r="AL109" i="1" s="1"/>
  <c r="F109" i="1"/>
  <c r="E109" i="1"/>
  <c r="AK128" i="1"/>
  <c r="AI128" i="1"/>
  <c r="AH128" i="1"/>
  <c r="AG128" i="1"/>
  <c r="AF128" i="1"/>
  <c r="AE128" i="1"/>
  <c r="AD128" i="1"/>
  <c r="AC128" i="1"/>
  <c r="F128" i="1"/>
  <c r="E128" i="1"/>
  <c r="AC221" i="1"/>
  <c r="AL221" i="1" s="1"/>
  <c r="F221" i="1"/>
  <c r="E221" i="1"/>
  <c r="AC86" i="1"/>
  <c r="AL86" i="1" s="1"/>
  <c r="F86" i="1"/>
  <c r="E86" i="1"/>
  <c r="AC43" i="1"/>
  <c r="AL43" i="1" s="1"/>
  <c r="F43" i="1"/>
  <c r="E43" i="1"/>
  <c r="AC187" i="1"/>
  <c r="AL187" i="1" s="1"/>
  <c r="E187" i="1"/>
  <c r="AF189" i="1"/>
  <c r="AC189" i="1"/>
  <c r="F189" i="1"/>
  <c r="E189" i="1"/>
  <c r="AK108" i="1"/>
  <c r="AI108" i="1"/>
  <c r="AH108" i="1"/>
  <c r="AG108" i="1"/>
  <c r="AF108" i="1"/>
  <c r="AE108" i="1"/>
  <c r="AD108" i="1"/>
  <c r="AC108" i="1"/>
  <c r="F108" i="1"/>
  <c r="E108" i="1"/>
  <c r="AI67" i="1"/>
  <c r="AH67" i="1"/>
  <c r="AG67" i="1"/>
  <c r="AF67" i="1"/>
  <c r="AD67" i="1"/>
  <c r="AC67" i="1"/>
  <c r="F67" i="1"/>
  <c r="E67" i="1"/>
  <c r="AI107" i="1"/>
  <c r="AH107" i="1"/>
  <c r="AG107" i="1"/>
  <c r="AF107" i="1"/>
  <c r="AD107" i="1"/>
  <c r="AC107" i="1"/>
  <c r="F107" i="1"/>
  <c r="E107" i="1"/>
  <c r="AI225" i="1"/>
  <c r="AH225" i="1"/>
  <c r="AG225" i="1"/>
  <c r="AF225" i="1"/>
  <c r="AE225" i="1"/>
  <c r="AD225" i="1"/>
  <c r="AC225" i="1"/>
  <c r="F225" i="1"/>
  <c r="E225" i="1"/>
  <c r="AI5" i="1"/>
  <c r="AH5" i="1"/>
  <c r="AG5" i="1"/>
  <c r="AF5" i="1"/>
  <c r="AE5" i="1"/>
  <c r="AD5" i="1"/>
  <c r="AC5" i="1"/>
  <c r="F5" i="1"/>
  <c r="E5" i="1"/>
  <c r="AI139" i="1"/>
  <c r="AH139" i="1"/>
  <c r="AG139" i="1"/>
  <c r="AF139" i="1"/>
  <c r="AE139" i="1"/>
  <c r="AD139" i="1"/>
  <c r="AC139" i="1"/>
  <c r="F139" i="1"/>
  <c r="E139" i="1"/>
  <c r="AK106" i="1"/>
  <c r="AI106" i="1"/>
  <c r="AH106" i="1"/>
  <c r="AG106" i="1"/>
  <c r="AF106" i="1"/>
  <c r="AD106" i="1"/>
  <c r="AC106" i="1"/>
  <c r="F106" i="1"/>
  <c r="E106" i="1"/>
  <c r="AC159" i="1"/>
  <c r="AL159" i="1" s="1"/>
  <c r="E159" i="1"/>
  <c r="AC74" i="1"/>
  <c r="AL74" i="1" s="1"/>
  <c r="F74" i="1"/>
  <c r="E74" i="1"/>
  <c r="AI63" i="1"/>
  <c r="AH63" i="1"/>
  <c r="AG63" i="1"/>
  <c r="AF63" i="1"/>
  <c r="AC63" i="1"/>
  <c r="F63" i="1"/>
  <c r="E63" i="1"/>
  <c r="AC183" i="1"/>
  <c r="AL183" i="1" s="1"/>
  <c r="E183" i="1"/>
  <c r="AC211" i="1"/>
  <c r="AL211" i="1" s="1"/>
  <c r="F211" i="1"/>
  <c r="E211" i="1"/>
  <c r="AC42" i="1"/>
  <c r="AL42" i="1" s="1"/>
  <c r="F42" i="1"/>
  <c r="E42" i="1"/>
  <c r="AI198" i="1"/>
  <c r="AH198" i="1"/>
  <c r="AG198" i="1"/>
  <c r="AF198" i="1"/>
  <c r="AC198" i="1"/>
  <c r="F198" i="1"/>
  <c r="E198" i="1"/>
  <c r="AI41" i="1"/>
  <c r="AH41" i="1"/>
  <c r="AG41" i="1"/>
  <c r="AF41" i="1"/>
  <c r="AD41" i="1"/>
  <c r="AC41" i="1"/>
  <c r="F41" i="1"/>
  <c r="E41" i="1"/>
  <c r="AF115" i="1"/>
  <c r="AD115" i="1"/>
  <c r="AC115" i="1"/>
  <c r="F115" i="1"/>
  <c r="E115" i="1"/>
  <c r="AC158" i="1"/>
  <c r="AL158" i="1" s="1"/>
  <c r="E158" i="1"/>
  <c r="AK66" i="1"/>
  <c r="AI66" i="1"/>
  <c r="AH66" i="1"/>
  <c r="AG66" i="1"/>
  <c r="AF66" i="1"/>
  <c r="AC66" i="1"/>
  <c r="F66" i="1"/>
  <c r="E66" i="1"/>
  <c r="AC12" i="1"/>
  <c r="AL12" i="1" s="1"/>
  <c r="E12" i="1"/>
  <c r="AC117" i="1"/>
  <c r="AL117" i="1" s="1"/>
  <c r="F117" i="1"/>
  <c r="E117" i="1"/>
  <c r="AC182" i="1"/>
  <c r="AL182" i="1" s="1"/>
  <c r="E182" i="1"/>
  <c r="AC216" i="1"/>
  <c r="AL216" i="1" s="1"/>
  <c r="E216" i="1"/>
  <c r="AC157" i="1"/>
  <c r="AL157" i="1" s="1"/>
  <c r="E157" i="1"/>
  <c r="AI194" i="1"/>
  <c r="AH194" i="1"/>
  <c r="AG194" i="1"/>
  <c r="AF194" i="1"/>
  <c r="AC194" i="1"/>
  <c r="F194" i="1"/>
  <c r="E194" i="1"/>
  <c r="AK127" i="1"/>
  <c r="AI127" i="1"/>
  <c r="AH127" i="1"/>
  <c r="AG127" i="1"/>
  <c r="AF127" i="1"/>
  <c r="AE127" i="1"/>
  <c r="AD127" i="1"/>
  <c r="AC127" i="1"/>
  <c r="F127" i="1"/>
  <c r="E127" i="1"/>
  <c r="AI138" i="1"/>
  <c r="AH138" i="1"/>
  <c r="AG138" i="1"/>
  <c r="AF138" i="1"/>
  <c r="AD138" i="1"/>
  <c r="AC138" i="1"/>
  <c r="F138" i="1"/>
  <c r="E138" i="1"/>
  <c r="AC40" i="1"/>
  <c r="AL40" i="1" s="1"/>
  <c r="F40" i="1"/>
  <c r="E40" i="1"/>
  <c r="AK39" i="1"/>
  <c r="AI39" i="1"/>
  <c r="AH39" i="1"/>
  <c r="AG39" i="1"/>
  <c r="AF39" i="1"/>
  <c r="AC39" i="1"/>
  <c r="F39" i="1"/>
  <c r="E39" i="1"/>
  <c r="AC38" i="1"/>
  <c r="AL38" i="1" s="1"/>
  <c r="F38" i="1"/>
  <c r="E38" i="1"/>
  <c r="AI37" i="1"/>
  <c r="AH37" i="1"/>
  <c r="AG37" i="1"/>
  <c r="AF37" i="1"/>
  <c r="AC37" i="1"/>
  <c r="F37" i="1"/>
  <c r="E37" i="1"/>
  <c r="AC156" i="1"/>
  <c r="AL156" i="1" s="1"/>
  <c r="F156" i="1"/>
  <c r="E156" i="1"/>
  <c r="AC188" i="1"/>
  <c r="AL188" i="1" s="1"/>
  <c r="E188" i="1"/>
  <c r="AC155" i="1"/>
  <c r="AL155" i="1" s="1"/>
  <c r="E155" i="1"/>
  <c r="AI220" i="1"/>
  <c r="AH220" i="1"/>
  <c r="AG220" i="1"/>
  <c r="AF220" i="1"/>
  <c r="AC220" i="1"/>
  <c r="F220" i="1"/>
  <c r="E220" i="1"/>
  <c r="AI36" i="1"/>
  <c r="AH36" i="1"/>
  <c r="AG36" i="1"/>
  <c r="AF36" i="1"/>
  <c r="AD36" i="1"/>
  <c r="AC36" i="1"/>
  <c r="F36" i="1"/>
  <c r="E36" i="1"/>
  <c r="AI179" i="1"/>
  <c r="AH179" i="1"/>
  <c r="AG179" i="1"/>
  <c r="AF179" i="1"/>
  <c r="AC179" i="1"/>
  <c r="F179" i="1"/>
  <c r="E179" i="1"/>
  <c r="AI35" i="1"/>
  <c r="AH35" i="1"/>
  <c r="AG35" i="1"/>
  <c r="AF35" i="1"/>
  <c r="AC35" i="1"/>
  <c r="F35" i="1"/>
  <c r="E35" i="1"/>
  <c r="AC176" i="1"/>
  <c r="AL176" i="1" s="1"/>
  <c r="F176" i="1"/>
  <c r="E176" i="1"/>
  <c r="AC207" i="1"/>
  <c r="AL207" i="1" s="1"/>
  <c r="F207" i="1"/>
  <c r="E207" i="1"/>
  <c r="AC223" i="1"/>
  <c r="AL223" i="1" s="1"/>
  <c r="F223" i="1"/>
  <c r="E223" i="1"/>
  <c r="AC206" i="1"/>
  <c r="AL206" i="1" s="1"/>
  <c r="F206" i="1"/>
  <c r="E206" i="1"/>
  <c r="AC154" i="1"/>
  <c r="AL154" i="1" s="1"/>
  <c r="E154" i="1"/>
  <c r="AF153" i="1"/>
  <c r="AC153" i="1"/>
  <c r="F153" i="1"/>
  <c r="E153" i="1"/>
  <c r="AK205" i="1"/>
  <c r="AI205" i="1"/>
  <c r="AH205" i="1"/>
  <c r="AG205" i="1"/>
  <c r="AF205" i="1"/>
  <c r="AD205" i="1"/>
  <c r="AC205" i="1"/>
  <c r="F205" i="1"/>
  <c r="E205" i="1"/>
  <c r="AK34" i="1"/>
  <c r="AI34" i="1"/>
  <c r="AH34" i="1"/>
  <c r="AG34" i="1"/>
  <c r="AF34" i="1"/>
  <c r="AC34" i="1"/>
  <c r="F34" i="1"/>
  <c r="E34" i="1"/>
  <c r="AD13" i="1"/>
  <c r="AC13" i="1"/>
  <c r="F13" i="1"/>
  <c r="E13" i="1"/>
  <c r="AK219" i="1"/>
  <c r="AI219" i="1"/>
  <c r="AH219" i="1"/>
  <c r="AG219" i="1"/>
  <c r="AF219" i="1"/>
  <c r="AE219" i="1"/>
  <c r="AD219" i="1"/>
  <c r="AC219" i="1"/>
  <c r="F219" i="1"/>
  <c r="E219" i="1"/>
  <c r="AI105" i="1"/>
  <c r="AH105" i="1"/>
  <c r="AG105" i="1"/>
  <c r="AF105" i="1"/>
  <c r="AD105" i="1"/>
  <c r="AC105" i="1"/>
  <c r="F105" i="1"/>
  <c r="E105" i="1"/>
  <c r="AC70" i="1"/>
  <c r="AL70" i="1" s="1"/>
  <c r="F70" i="1"/>
  <c r="E70" i="1"/>
  <c r="AI33" i="1"/>
  <c r="AH33" i="1"/>
  <c r="AG33" i="1"/>
  <c r="AF33" i="1"/>
  <c r="AE33" i="1"/>
  <c r="AD33" i="1"/>
  <c r="AC33" i="1"/>
  <c r="F33" i="1"/>
  <c r="E33" i="1"/>
  <c r="AC85" i="1"/>
  <c r="AL85" i="1" s="1"/>
  <c r="F85" i="1"/>
  <c r="E85" i="1"/>
  <c r="AC126" i="1"/>
  <c r="AL126" i="1" s="1"/>
  <c r="F126" i="1"/>
  <c r="E126" i="1"/>
  <c r="AC175" i="1"/>
  <c r="AL175" i="1" s="1"/>
  <c r="E175" i="1"/>
  <c r="AF32" i="1"/>
  <c r="AC32" i="1"/>
  <c r="F32" i="1"/>
  <c r="E32" i="1"/>
  <c r="AK125" i="1"/>
  <c r="AI125" i="1"/>
  <c r="AH125" i="1"/>
  <c r="AG125" i="1"/>
  <c r="AF125" i="1"/>
  <c r="AC125" i="1"/>
  <c r="F125" i="1"/>
  <c r="E125" i="1"/>
  <c r="AC174" i="1"/>
  <c r="AL174" i="1" s="1"/>
  <c r="E174" i="1"/>
  <c r="AK31" i="1"/>
  <c r="AI31" i="1"/>
  <c r="AH31" i="1"/>
  <c r="AG31" i="1"/>
  <c r="AF31" i="1"/>
  <c r="AC31" i="1"/>
  <c r="F31" i="1"/>
  <c r="E31" i="1"/>
  <c r="AC152" i="1"/>
  <c r="AL152" i="1" s="1"/>
  <c r="E152" i="1"/>
  <c r="AC218" i="1"/>
  <c r="AL218" i="1" s="1"/>
  <c r="F218" i="1"/>
  <c r="E218" i="1"/>
  <c r="AC151" i="1"/>
  <c r="AL151" i="1" s="1"/>
  <c r="E151" i="1"/>
  <c r="AF10" i="1"/>
  <c r="AE10" i="1"/>
  <c r="AD10" i="1"/>
  <c r="AC10" i="1"/>
  <c r="F10" i="1"/>
  <c r="E10" i="1"/>
  <c r="AI104" i="1"/>
  <c r="AH104" i="1"/>
  <c r="AG104" i="1"/>
  <c r="AF104" i="1"/>
  <c r="AD104" i="1"/>
  <c r="AC104" i="1"/>
  <c r="F104" i="1"/>
  <c r="E104" i="1"/>
  <c r="AC181" i="1"/>
  <c r="AL181" i="1" s="1"/>
  <c r="F181" i="1"/>
  <c r="E181" i="1"/>
  <c r="AK227" i="1"/>
  <c r="AI227" i="1"/>
  <c r="AH227" i="1"/>
  <c r="AG227" i="1"/>
  <c r="AF227" i="1"/>
  <c r="AD227" i="1"/>
  <c r="AC227" i="1"/>
  <c r="F227" i="1"/>
  <c r="E227" i="1"/>
  <c r="AF196" i="1"/>
  <c r="AC196" i="1"/>
  <c r="F196" i="1"/>
  <c r="E196" i="1"/>
  <c r="AE124" i="1"/>
  <c r="AD124" i="1"/>
  <c r="AC124" i="1"/>
  <c r="F124" i="1"/>
  <c r="E124" i="1"/>
  <c r="AK97" i="1"/>
  <c r="AI97" i="1"/>
  <c r="AH97" i="1"/>
  <c r="AG97" i="1"/>
  <c r="AF97" i="1"/>
  <c r="AC97" i="1"/>
  <c r="F97" i="1"/>
  <c r="E97" i="1"/>
  <c r="AE84" i="1"/>
  <c r="AD84" i="1"/>
  <c r="AC84" i="1"/>
  <c r="F84" i="1"/>
  <c r="E84" i="1"/>
  <c r="AK136" i="1"/>
  <c r="AI136" i="1"/>
  <c r="AH136" i="1"/>
  <c r="AG136" i="1"/>
  <c r="AF136" i="1"/>
  <c r="AE136" i="1"/>
  <c r="AD136" i="1"/>
  <c r="AC136" i="1"/>
  <c r="F136" i="1"/>
  <c r="E136" i="1"/>
  <c r="AC62" i="1"/>
  <c r="AL62" i="1" s="1"/>
  <c r="E62" i="1"/>
  <c r="AC150" i="1"/>
  <c r="AL150" i="1" s="1"/>
  <c r="E150" i="1"/>
  <c r="AC30" i="1"/>
  <c r="AL30" i="1" s="1"/>
  <c r="F30" i="1"/>
  <c r="E30" i="1"/>
  <c r="AC29" i="1"/>
  <c r="AL29" i="1" s="1"/>
  <c r="F29" i="1"/>
  <c r="E29" i="1"/>
  <c r="AK173" i="1"/>
  <c r="AI173" i="1"/>
  <c r="AH173" i="1"/>
  <c r="AG173" i="1"/>
  <c r="AF173" i="1"/>
  <c r="AE173" i="1"/>
  <c r="AD173" i="1"/>
  <c r="AC173" i="1"/>
  <c r="F173" i="1"/>
  <c r="E173" i="1"/>
  <c r="AI217" i="1"/>
  <c r="AH217" i="1"/>
  <c r="AG217" i="1"/>
  <c r="AF217" i="1"/>
  <c r="AD217" i="1"/>
  <c r="AC217" i="1"/>
  <c r="F217" i="1"/>
  <c r="E217" i="1"/>
  <c r="AC28" i="1"/>
  <c r="AL28" i="1" s="1"/>
  <c r="F28" i="1"/>
  <c r="E28" i="1"/>
  <c r="AF27" i="1"/>
  <c r="AC27" i="1"/>
  <c r="F27" i="1"/>
  <c r="E27" i="1"/>
  <c r="AI26" i="1"/>
  <c r="AH26" i="1"/>
  <c r="AG26" i="1"/>
  <c r="AF26" i="1"/>
  <c r="AC26" i="1"/>
  <c r="F26" i="1"/>
  <c r="E26" i="1"/>
  <c r="AI192" i="1"/>
  <c r="AH192" i="1"/>
  <c r="AG192" i="1"/>
  <c r="AF192" i="1"/>
  <c r="AD192" i="1"/>
  <c r="AC192" i="1"/>
  <c r="F192" i="1"/>
  <c r="E192" i="1"/>
  <c r="AC25" i="1"/>
  <c r="AL25" i="1" s="1"/>
  <c r="F25" i="1"/>
  <c r="E25" i="1"/>
  <c r="AC24" i="1"/>
  <c r="AL24" i="1" s="1"/>
  <c r="F24" i="1"/>
  <c r="E24" i="1"/>
  <c r="AC149" i="1"/>
  <c r="AL149" i="1" s="1"/>
  <c r="E149" i="1"/>
  <c r="AI73" i="1"/>
  <c r="AH73" i="1"/>
  <c r="AG73" i="1"/>
  <c r="AF73" i="1"/>
  <c r="AE73" i="1"/>
  <c r="AD73" i="1"/>
  <c r="AC73" i="1"/>
  <c r="F73" i="1"/>
  <c r="E73" i="1"/>
  <c r="AF23" i="1"/>
  <c r="AC23" i="1"/>
  <c r="F23" i="1"/>
  <c r="E23" i="1"/>
  <c r="AC22" i="1"/>
  <c r="AL22" i="1" s="1"/>
  <c r="F22" i="1"/>
  <c r="E22" i="1"/>
  <c r="AI195" i="1"/>
  <c r="AH195" i="1"/>
  <c r="AG195" i="1"/>
  <c r="AF195" i="1"/>
  <c r="AD195" i="1"/>
  <c r="AC195" i="1"/>
  <c r="F195" i="1"/>
  <c r="E195" i="1"/>
  <c r="AI191" i="1"/>
  <c r="AH191" i="1"/>
  <c r="AG191" i="1"/>
  <c r="AF191" i="1"/>
  <c r="AC191" i="1"/>
  <c r="F191" i="1"/>
  <c r="E191" i="1"/>
  <c r="AF9" i="1"/>
  <c r="AC9" i="1"/>
  <c r="F9" i="1"/>
  <c r="E9" i="1"/>
  <c r="AC148" i="1"/>
  <c r="AL148" i="1" s="1"/>
  <c r="E148" i="1"/>
  <c r="AC147" i="1"/>
  <c r="AL147" i="1" s="1"/>
  <c r="E147" i="1"/>
  <c r="AK21" i="1"/>
  <c r="AI21" i="1"/>
  <c r="AH21" i="1"/>
  <c r="AG21" i="1"/>
  <c r="AF21" i="1"/>
  <c r="AC21" i="1"/>
  <c r="F21" i="1"/>
  <c r="E21" i="1"/>
  <c r="AC204" i="1"/>
  <c r="AL204" i="1" s="1"/>
  <c r="F204" i="1"/>
  <c r="E204" i="1"/>
  <c r="AK190" i="1"/>
  <c r="AI190" i="1"/>
  <c r="AH190" i="1"/>
  <c r="AG190" i="1"/>
  <c r="AF190" i="1"/>
  <c r="AC190" i="1"/>
  <c r="F190" i="1"/>
  <c r="E190" i="1"/>
  <c r="AI213" i="1"/>
  <c r="AH213" i="1"/>
  <c r="AG213" i="1"/>
  <c r="AF213" i="1"/>
  <c r="AE213" i="1"/>
  <c r="AD213" i="1"/>
  <c r="AC213" i="1"/>
  <c r="F213" i="1"/>
  <c r="E213" i="1"/>
  <c r="AI20" i="1"/>
  <c r="AH20" i="1"/>
  <c r="AG20" i="1"/>
  <c r="AF20" i="1"/>
  <c r="AC20" i="1"/>
  <c r="F20" i="1"/>
  <c r="E20" i="1"/>
  <c r="AC146" i="1"/>
  <c r="AL146" i="1" s="1"/>
  <c r="E146" i="1"/>
  <c r="AC141" i="1"/>
  <c r="AL141" i="1" s="1"/>
  <c r="E141" i="1"/>
  <c r="AD8" i="1"/>
  <c r="AC8" i="1"/>
  <c r="F8" i="1"/>
  <c r="E8" i="1"/>
  <c r="AE114" i="1"/>
  <c r="AD114" i="1"/>
  <c r="AC114" i="1"/>
  <c r="F114" i="1"/>
  <c r="E114" i="1"/>
  <c r="AE137" i="1"/>
  <c r="AD137" i="1"/>
  <c r="AC137" i="1"/>
  <c r="F137" i="1"/>
  <c r="E137" i="1"/>
  <c r="AK123" i="1"/>
  <c r="AI123" i="1"/>
  <c r="AH123" i="1"/>
  <c r="AG123" i="1"/>
  <c r="AF123" i="1"/>
  <c r="AC123" i="1"/>
  <c r="F123" i="1"/>
  <c r="E123" i="1"/>
  <c r="AK96" i="1"/>
  <c r="AI96" i="1"/>
  <c r="AH96" i="1"/>
  <c r="AG96" i="1"/>
  <c r="AF96" i="1"/>
  <c r="AC96" i="1"/>
  <c r="F96" i="1"/>
  <c r="E96" i="1"/>
  <c r="AI19" i="1"/>
  <c r="AH19" i="1"/>
  <c r="AG19" i="1"/>
  <c r="AF19" i="1"/>
  <c r="AC19" i="1"/>
  <c r="F19" i="1"/>
  <c r="E19" i="1"/>
  <c r="AC145" i="1"/>
  <c r="AL145" i="1" s="1"/>
  <c r="E145" i="1"/>
  <c r="AK18" i="1"/>
  <c r="AI18" i="1"/>
  <c r="AH18" i="1"/>
  <c r="AG18" i="1"/>
  <c r="AF18" i="1"/>
  <c r="AC18" i="1"/>
  <c r="F18" i="1"/>
  <c r="E18" i="1"/>
  <c r="AF76" i="1"/>
  <c r="AC76" i="1"/>
  <c r="F76" i="1"/>
  <c r="E76" i="1"/>
  <c r="AI83" i="1"/>
  <c r="AH83" i="1"/>
  <c r="AG83" i="1"/>
  <c r="AF83" i="1"/>
  <c r="AC83" i="1"/>
  <c r="F83" i="1"/>
  <c r="E83" i="1"/>
  <c r="AI103" i="1"/>
  <c r="AH103" i="1"/>
  <c r="AG103" i="1"/>
  <c r="AF103" i="1"/>
  <c r="AC103" i="1"/>
  <c r="F103" i="1"/>
  <c r="E103" i="1"/>
  <c r="AI17" i="1"/>
  <c r="AH17" i="1"/>
  <c r="AG17" i="1"/>
  <c r="AF17" i="1"/>
  <c r="AC17" i="1"/>
  <c r="F17" i="1"/>
  <c r="E17" i="1"/>
  <c r="AC16" i="1"/>
  <c r="AL16" i="1" s="1"/>
  <c r="F16" i="1"/>
  <c r="E16" i="1"/>
  <c r="AF203" i="1"/>
  <c r="AC203" i="1"/>
  <c r="F203" i="1"/>
  <c r="E203" i="1"/>
  <c r="AI92" i="1"/>
  <c r="AH92" i="1"/>
  <c r="AG92" i="1"/>
  <c r="AF92" i="1"/>
  <c r="AD92" i="1"/>
  <c r="AC92" i="1"/>
  <c r="F92" i="1"/>
  <c r="E92" i="1"/>
  <c r="AC102" i="1"/>
  <c r="AL102" i="1" s="1"/>
  <c r="F102" i="1"/>
  <c r="E102" i="1"/>
  <c r="AI82" i="1"/>
  <c r="AH82" i="1"/>
  <c r="AG82" i="1"/>
  <c r="AF82" i="1"/>
  <c r="AE82" i="1"/>
  <c r="AD82" i="1"/>
  <c r="AC82" i="1"/>
  <c r="F82" i="1"/>
  <c r="E82" i="1"/>
  <c r="AC15" i="1"/>
  <c r="AL15" i="1" s="1"/>
  <c r="F15" i="1"/>
  <c r="E15" i="1"/>
  <c r="AI95" i="1"/>
  <c r="AH95" i="1"/>
  <c r="AG95" i="1"/>
  <c r="AF95" i="1"/>
  <c r="AE95" i="1"/>
  <c r="AD95" i="1"/>
  <c r="AC95" i="1"/>
  <c r="F95" i="1"/>
  <c r="E95" i="1"/>
  <c r="AC81" i="1"/>
  <c r="AL81" i="1" s="1"/>
  <c r="F81" i="1"/>
  <c r="E81" i="1"/>
  <c r="AK122" i="1"/>
  <c r="AI122" i="1"/>
  <c r="AH122" i="1"/>
  <c r="AG122" i="1"/>
  <c r="AF122" i="1"/>
  <c r="AE122" i="1"/>
  <c r="AD122" i="1"/>
  <c r="AC122" i="1"/>
  <c r="F122" i="1"/>
  <c r="E122" i="1"/>
  <c r="AC144" i="1"/>
  <c r="AL144" i="1" s="1"/>
  <c r="F144" i="1"/>
  <c r="E144" i="1"/>
  <c r="AC224" i="1"/>
  <c r="AL224" i="1" s="1"/>
  <c r="E224" i="1"/>
  <c r="AI226" i="1"/>
  <c r="AH226" i="1"/>
  <c r="AG226" i="1"/>
  <c r="AF226" i="1"/>
  <c r="AD226" i="1"/>
  <c r="AC226" i="1"/>
  <c r="F226" i="1"/>
  <c r="E226" i="1"/>
  <c r="AK65" i="1"/>
  <c r="AI65" i="1"/>
  <c r="AH65" i="1"/>
  <c r="AG65" i="1"/>
  <c r="AF65" i="1"/>
  <c r="AD65" i="1"/>
  <c r="AC65" i="1"/>
  <c r="F65" i="1"/>
  <c r="E65" i="1"/>
  <c r="AK202" i="1"/>
  <c r="AI202" i="1"/>
  <c r="AH202" i="1"/>
  <c r="AG202" i="1"/>
  <c r="AF202" i="1"/>
  <c r="AD202" i="1"/>
  <c r="AC202" i="1"/>
  <c r="F202" i="1"/>
  <c r="E202" i="1"/>
  <c r="AK94" i="1"/>
  <c r="AI94" i="1"/>
  <c r="AH94" i="1"/>
  <c r="AG94" i="1"/>
  <c r="AF94" i="1"/>
  <c r="AD94" i="1"/>
  <c r="AC94" i="1"/>
  <c r="F94" i="1"/>
  <c r="E94" i="1"/>
  <c r="AF80" i="1"/>
  <c r="AC80" i="1"/>
  <c r="F80" i="1"/>
  <c r="E80" i="1"/>
  <c r="AK135" i="1"/>
  <c r="AI135" i="1"/>
  <c r="AH135" i="1"/>
  <c r="AG135" i="1"/>
  <c r="AF135" i="1"/>
  <c r="AE135" i="1"/>
  <c r="AD135" i="1"/>
  <c r="AC135" i="1"/>
  <c r="F135" i="1"/>
  <c r="E135" i="1"/>
  <c r="AK101" i="1"/>
  <c r="AI101" i="1"/>
  <c r="AH101" i="1"/>
  <c r="AG101" i="1"/>
  <c r="AF101" i="1"/>
  <c r="AE101" i="1"/>
  <c r="AD101" i="1"/>
  <c r="AC101" i="1"/>
  <c r="F101" i="1"/>
  <c r="E101" i="1"/>
  <c r="AI100" i="1"/>
  <c r="AH100" i="1"/>
  <c r="AG100" i="1"/>
  <c r="AF100" i="1"/>
  <c r="AE100" i="1"/>
  <c r="AD100" i="1"/>
  <c r="AC100" i="1"/>
  <c r="F100" i="1"/>
  <c r="E100" i="1"/>
  <c r="AC143" i="1"/>
  <c r="AL143" i="1" s="1"/>
  <c r="E143" i="1"/>
  <c r="AI7" i="1"/>
  <c r="AF7" i="1"/>
  <c r="AC7" i="1"/>
  <c r="F7" i="1"/>
  <c r="E7" i="1"/>
  <c r="AI121" i="1"/>
  <c r="AH121" i="1"/>
  <c r="AG121" i="1"/>
  <c r="AF121" i="1"/>
  <c r="AD121" i="1"/>
  <c r="AC121" i="1"/>
  <c r="F121" i="1"/>
  <c r="E121" i="1"/>
  <c r="AK99" i="1"/>
  <c r="AI99" i="1"/>
  <c r="AH99" i="1"/>
  <c r="AG99" i="1"/>
  <c r="AF99" i="1"/>
  <c r="AD99" i="1"/>
  <c r="AC99" i="1"/>
  <c r="F99" i="1"/>
  <c r="E99" i="1"/>
  <c r="AI93" i="1"/>
  <c r="AH93" i="1"/>
  <c r="AG93" i="1"/>
  <c r="AF93" i="1"/>
  <c r="AD93" i="1"/>
  <c r="AC93" i="1"/>
  <c r="F93" i="1"/>
  <c r="E93" i="1"/>
  <c r="AI120" i="1"/>
  <c r="AH120" i="1"/>
  <c r="AG120" i="1"/>
  <c r="AF120" i="1"/>
  <c r="AD120" i="1"/>
  <c r="AC120" i="1"/>
  <c r="F120" i="1"/>
  <c r="E120" i="1"/>
  <c r="AF113" i="1"/>
  <c r="AC113" i="1"/>
  <c r="F113" i="1"/>
  <c r="E113" i="1"/>
  <c r="AF69" i="1"/>
  <c r="AC69" i="1"/>
  <c r="F69" i="1"/>
  <c r="E69" i="1"/>
  <c r="AF197" i="1"/>
  <c r="AC197" i="1"/>
  <c r="F197" i="1"/>
  <c r="E197" i="1"/>
  <c r="AC142" i="1"/>
  <c r="AL142" i="1" s="1"/>
  <c r="F142" i="1"/>
  <c r="E142" i="1"/>
  <c r="AI72" i="1"/>
  <c r="AH72" i="1"/>
  <c r="AG72" i="1"/>
  <c r="AF72" i="1"/>
  <c r="AC72" i="1"/>
  <c r="F72" i="1"/>
  <c r="E72" i="1"/>
  <c r="AC79" i="1"/>
  <c r="AL79" i="1" s="1"/>
  <c r="F79" i="1"/>
  <c r="E79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AJ2" i="1"/>
  <c r="AJ430" i="1" s="1"/>
  <c r="AL69" i="1" l="1"/>
  <c r="AL497" i="1"/>
  <c r="AL791" i="1"/>
  <c r="AL902" i="1"/>
  <c r="AL793" i="1"/>
  <c r="AL734" i="1"/>
  <c r="AL857" i="1"/>
  <c r="AL1091" i="1"/>
  <c r="AL350" i="1"/>
  <c r="AL580" i="1"/>
  <c r="AL1080" i="1"/>
  <c r="AL424" i="1"/>
  <c r="AL512" i="1"/>
  <c r="AL465" i="1"/>
  <c r="AL644" i="1"/>
  <c r="AL468" i="1"/>
  <c r="AJ34" i="1"/>
  <c r="AJ45" i="1"/>
  <c r="AJ31" i="1"/>
  <c r="AJ100" i="1"/>
  <c r="AL80" i="1"/>
  <c r="AL13" i="1"/>
  <c r="AL775" i="1"/>
  <c r="AL938" i="1"/>
  <c r="AL754" i="1"/>
  <c r="AL808" i="1"/>
  <c r="AL823" i="1"/>
  <c r="AL1171" i="1"/>
  <c r="AJ37" i="1"/>
  <c r="AL37" i="1" s="1"/>
  <c r="AL340" i="1"/>
  <c r="AL636" i="1"/>
  <c r="AL687" i="1"/>
  <c r="AL689" i="1"/>
  <c r="AL691" i="1"/>
  <c r="AL1125" i="1"/>
  <c r="AJ21" i="1"/>
  <c r="AL21" i="1" s="1"/>
  <c r="AJ219" i="1"/>
  <c r="AL219" i="1" s="1"/>
  <c r="AJ236" i="1"/>
  <c r="AL236" i="1" s="1"/>
  <c r="AL554" i="1"/>
  <c r="AL776" i="1"/>
  <c r="AL32" i="1"/>
  <c r="AJ66" i="1"/>
  <c r="AJ48" i="1"/>
  <c r="AL48" i="1" s="1"/>
  <c r="AL356" i="1"/>
  <c r="AL545" i="1"/>
  <c r="AL581" i="1"/>
  <c r="AL1060" i="1"/>
  <c r="AJ135" i="1"/>
  <c r="AL135" i="1" s="1"/>
  <c r="AJ300" i="1"/>
  <c r="AJ284" i="1"/>
  <c r="AL311" i="1"/>
  <c r="AJ314" i="1"/>
  <c r="AL314" i="1" s="1"/>
  <c r="AL469" i="1"/>
  <c r="AL486" i="1"/>
  <c r="AL496" i="1"/>
  <c r="AL498" i="1"/>
  <c r="AL596" i="1"/>
  <c r="AL972" i="1"/>
  <c r="AL105" i="1"/>
  <c r="AL27" i="1"/>
  <c r="AL89" i="1"/>
  <c r="AL23" i="1"/>
  <c r="AL137" i="1"/>
  <c r="AL288" i="1"/>
  <c r="AL501" i="1"/>
  <c r="AL613" i="1"/>
  <c r="AL662" i="1"/>
  <c r="AL742" i="1"/>
  <c r="AL939" i="1"/>
  <c r="AL1079" i="1"/>
  <c r="AL20" i="1"/>
  <c r="AL191" i="1"/>
  <c r="AL266" i="1"/>
  <c r="AL553" i="1"/>
  <c r="AL612" i="1"/>
  <c r="AL622" i="1"/>
  <c r="AL635" i="1"/>
  <c r="AL735" i="1"/>
  <c r="AL971" i="1"/>
  <c r="AL349" i="1"/>
  <c r="AL692" i="1"/>
  <c r="AL719" i="1"/>
  <c r="AL99" i="1"/>
  <c r="AL78" i="1"/>
  <c r="AL511" i="1"/>
  <c r="AL515" i="1"/>
  <c r="AL777" i="1"/>
  <c r="AL1001" i="1"/>
  <c r="AL1046" i="1"/>
  <c r="AL1144" i="1"/>
  <c r="AL976" i="1"/>
  <c r="AL308" i="1"/>
  <c r="AL197" i="1"/>
  <c r="AL104" i="1"/>
  <c r="AL454" i="1"/>
  <c r="AL569" i="1"/>
  <c r="AL632" i="1"/>
  <c r="AL634" i="1"/>
  <c r="AL819" i="1"/>
  <c r="AL841" i="1"/>
  <c r="AL937" i="1"/>
  <c r="AL309" i="1"/>
  <c r="AL76" i="1"/>
  <c r="AL8" i="1"/>
  <c r="AL9" i="1"/>
  <c r="AL84" i="1"/>
  <c r="AL273" i="1"/>
  <c r="AL883" i="1"/>
  <c r="AL202" i="1"/>
  <c r="AL92" i="1"/>
  <c r="AL18" i="1"/>
  <c r="AL260" i="1"/>
  <c r="AL269" i="1"/>
  <c r="AL284" i="1"/>
  <c r="AE3" i="1"/>
  <c r="AL1082" i="1"/>
  <c r="AG3" i="1"/>
  <c r="AL203" i="1"/>
  <c r="AL123" i="1"/>
  <c r="AL192" i="1"/>
  <c r="AL26" i="1"/>
  <c r="AL31" i="1"/>
  <c r="AL153" i="1"/>
  <c r="AL66" i="1"/>
  <c r="AH3" i="1"/>
  <c r="AF3" i="1"/>
  <c r="AL196" i="1"/>
  <c r="AL10" i="1"/>
  <c r="AL33" i="1"/>
  <c r="AL198" i="1"/>
  <c r="AL186" i="1"/>
  <c r="AL345" i="1"/>
  <c r="AL487" i="1"/>
  <c r="AL547" i="1"/>
  <c r="AL555" i="1"/>
  <c r="AL1124" i="1"/>
  <c r="AI3" i="1"/>
  <c r="AL226" i="1"/>
  <c r="AL41" i="1"/>
  <c r="AL107" i="1"/>
  <c r="AL65" i="1"/>
  <c r="AL83" i="1"/>
  <c r="AL190" i="1"/>
  <c r="AL36" i="1"/>
  <c r="AL220" i="1"/>
  <c r="AL138" i="1"/>
  <c r="AL194" i="1"/>
  <c r="AL115" i="1"/>
  <c r="AL11" i="1"/>
  <c r="AL316" i="1"/>
  <c r="AL323" i="1"/>
  <c r="AL34" i="1"/>
  <c r="AL179" i="1"/>
  <c r="AL106" i="1"/>
  <c r="AL193" i="1"/>
  <c r="AL517" i="1"/>
  <c r="AL527" i="1"/>
  <c r="AL540" i="1"/>
  <c r="AL671" i="1"/>
  <c r="AL856" i="1"/>
  <c r="AL858" i="1"/>
  <c r="AL886" i="1"/>
  <c r="AL946" i="1"/>
  <c r="AL970" i="1"/>
  <c r="AL1150" i="1"/>
  <c r="AL1175" i="1"/>
  <c r="AL120" i="1"/>
  <c r="AL100" i="1"/>
  <c r="AL96" i="1"/>
  <c r="AL217" i="1"/>
  <c r="AL252" i="1"/>
  <c r="AL536" i="1"/>
  <c r="AL610" i="1"/>
  <c r="AL790" i="1"/>
  <c r="AL901" i="1"/>
  <c r="AL93" i="1"/>
  <c r="AL103" i="1"/>
  <c r="AL97" i="1"/>
  <c r="AL124" i="1"/>
  <c r="AL205" i="1"/>
  <c r="AL67" i="1"/>
  <c r="AL45" i="1"/>
  <c r="AL72" i="1"/>
  <c r="AD3" i="1"/>
  <c r="AL121" i="1"/>
  <c r="AL7" i="1"/>
  <c r="AL94" i="1"/>
  <c r="AL114" i="1"/>
  <c r="AL195" i="1"/>
  <c r="AL227" i="1"/>
  <c r="AL199" i="1"/>
  <c r="AL53" i="1"/>
  <c r="AL251" i="1"/>
  <c r="AL294" i="1"/>
  <c r="AL386" i="1"/>
  <c r="AL479" i="1"/>
  <c r="AL556" i="1"/>
  <c r="AL663" i="1"/>
  <c r="AL718" i="1"/>
  <c r="AL759" i="1"/>
  <c r="AL810" i="1"/>
  <c r="AL933" i="1"/>
  <c r="AL969" i="1"/>
  <c r="AL975" i="1"/>
  <c r="AL1081" i="1"/>
  <c r="AL230" i="1"/>
  <c r="AL429" i="1"/>
  <c r="AL464" i="1"/>
  <c r="AL513" i="1"/>
  <c r="AL768" i="1"/>
  <c r="AL822" i="1"/>
  <c r="AL854" i="1"/>
  <c r="AL900" i="1"/>
  <c r="AL1052" i="1"/>
  <c r="AL1064" i="1"/>
  <c r="AL1066" i="1"/>
  <c r="AL1078" i="1"/>
  <c r="AL1128" i="1"/>
  <c r="AL690" i="1"/>
  <c r="AL860" i="1"/>
  <c r="AL884" i="1"/>
  <c r="AL934" i="1"/>
  <c r="AL996" i="1"/>
  <c r="AC3" i="1"/>
  <c r="AK3" i="1"/>
  <c r="AL113" i="1"/>
  <c r="AJ112" i="1"/>
  <c r="AJ296" i="1"/>
  <c r="AL296" i="1" s="1"/>
  <c r="AJ322" i="1"/>
  <c r="AL322" i="1" s="1"/>
  <c r="AL430" i="1"/>
  <c r="AJ447" i="1"/>
  <c r="AL447" i="1" s="1"/>
  <c r="AJ73" i="1"/>
  <c r="AL73" i="1" s="1"/>
  <c r="AL189" i="1"/>
  <c r="AJ14" i="1"/>
  <c r="AL14" i="1" s="1"/>
  <c r="AL112" i="1"/>
  <c r="AJ140" i="1"/>
  <c r="AL140" i="1" s="1"/>
  <c r="AL270" i="1"/>
  <c r="AL282" i="1"/>
  <c r="AJ287" i="1"/>
  <c r="AL287" i="1" s="1"/>
  <c r="AJ334" i="1"/>
  <c r="AL334" i="1" s="1"/>
  <c r="AJ343" i="1"/>
  <c r="AL343" i="1" s="1"/>
  <c r="AL377" i="1"/>
  <c r="AJ401" i="1"/>
  <c r="AL401" i="1" s="1"/>
  <c r="AJ438" i="1"/>
  <c r="AL438" i="1" s="1"/>
  <c r="AJ98" i="1"/>
  <c r="AL98" i="1" s="1"/>
  <c r="AJ51" i="1"/>
  <c r="AL51" i="1" s="1"/>
  <c r="AJ233" i="1"/>
  <c r="AL233" i="1" s="1"/>
  <c r="AJ213" i="1"/>
  <c r="AL213" i="1" s="1"/>
  <c r="AJ173" i="1"/>
  <c r="AL173" i="1" s="1"/>
  <c r="AJ139" i="1"/>
  <c r="AL139" i="1" s="1"/>
  <c r="AL214" i="1"/>
  <c r="AJ129" i="1"/>
  <c r="AL129" i="1" s="1"/>
  <c r="AJ130" i="1"/>
  <c r="AL130" i="1" s="1"/>
  <c r="AJ52" i="1"/>
  <c r="AL52" i="1" s="1"/>
  <c r="AJ56" i="1"/>
  <c r="AL56" i="1" s="1"/>
  <c r="AJ59" i="1"/>
  <c r="AL59" i="1" s="1"/>
  <c r="AJ255" i="1"/>
  <c r="AL255" i="1" s="1"/>
  <c r="AJ298" i="1"/>
  <c r="AL298" i="1" s="1"/>
  <c r="AL300" i="1"/>
  <c r="AJ315" i="1"/>
  <c r="AL315" i="1" s="1"/>
  <c r="AJ344" i="1"/>
  <c r="AL344" i="1" s="1"/>
  <c r="AL371" i="1"/>
  <c r="AL462" i="1"/>
  <c r="AL500" i="1"/>
  <c r="AL598" i="1"/>
  <c r="AL609" i="1"/>
  <c r="AJ320" i="1"/>
  <c r="AL320" i="1" s="1"/>
  <c r="AJ324" i="1"/>
  <c r="AL324" i="1" s="1"/>
  <c r="AJ136" i="1"/>
  <c r="AL136" i="1" s="1"/>
  <c r="AJ39" i="1"/>
  <c r="AL39" i="1" s="1"/>
  <c r="AJ108" i="1"/>
  <c r="AL108" i="1" s="1"/>
  <c r="AL44" i="1"/>
  <c r="AJ87" i="1"/>
  <c r="AL87" i="1" s="1"/>
  <c r="AJ54" i="1"/>
  <c r="AL54" i="1" s="1"/>
  <c r="AL200" i="1"/>
  <c r="AJ245" i="1"/>
  <c r="AL245" i="1" s="1"/>
  <c r="AJ318" i="1"/>
  <c r="AL318" i="1" s="1"/>
  <c r="AL329" i="1"/>
  <c r="AJ373" i="1"/>
  <c r="AL373" i="1" s="1"/>
  <c r="AL595" i="1"/>
  <c r="AJ35" i="1"/>
  <c r="AL35" i="1" s="1"/>
  <c r="AJ128" i="1"/>
  <c r="AL128" i="1" s="1"/>
  <c r="AJ82" i="1"/>
  <c r="AL82" i="1" s="1"/>
  <c r="AJ125" i="1"/>
  <c r="AL125" i="1" s="1"/>
  <c r="AJ127" i="1"/>
  <c r="AL127" i="1" s="1"/>
  <c r="AJ5" i="1"/>
  <c r="AL5" i="1" s="1"/>
  <c r="AJ208" i="1"/>
  <c r="AL208" i="1" s="1"/>
  <c r="AJ116" i="1"/>
  <c r="AL116" i="1" s="1"/>
  <c r="AJ91" i="1"/>
  <c r="AL91" i="1" s="1"/>
  <c r="AJ232" i="1"/>
  <c r="AL232" i="1" s="1"/>
  <c r="AL264" i="1"/>
  <c r="AJ290" i="1"/>
  <c r="AL290" i="1" s="1"/>
  <c r="AL292" i="1"/>
  <c r="AJ312" i="1"/>
  <c r="AL312" i="1" s="1"/>
  <c r="AJ332" i="1"/>
  <c r="AL332" i="1" s="1"/>
  <c r="AJ413" i="1"/>
  <c r="AL413" i="1" s="1"/>
  <c r="AL422" i="1"/>
  <c r="AL492" i="1"/>
  <c r="AL611" i="1"/>
  <c r="AJ441" i="1"/>
  <c r="AL441" i="1" s="1"/>
  <c r="AJ412" i="1"/>
  <c r="AL412" i="1" s="1"/>
  <c r="AJ370" i="1"/>
  <c r="AL370" i="1" s="1"/>
  <c r="AJ357" i="1"/>
  <c r="AL357" i="1" s="1"/>
  <c r="AJ393" i="1"/>
  <c r="AL393" i="1" s="1"/>
  <c r="AJ367" i="1"/>
  <c r="AL367" i="1" s="1"/>
  <c r="AJ362" i="1"/>
  <c r="AL362" i="1" s="1"/>
  <c r="AJ279" i="1"/>
  <c r="AL279" i="1" s="1"/>
  <c r="AJ247" i="1"/>
  <c r="AL247" i="1" s="1"/>
  <c r="AJ215" i="1"/>
  <c r="AL215" i="1" s="1"/>
  <c r="AJ225" i="1"/>
  <c r="AL225" i="1" s="1"/>
  <c r="AJ452" i="1"/>
  <c r="AL452" i="1" s="1"/>
  <c r="AJ415" i="1"/>
  <c r="AL415" i="1" s="1"/>
  <c r="AJ402" i="1"/>
  <c r="AL402" i="1" s="1"/>
  <c r="AJ297" i="1"/>
  <c r="AL297" i="1" s="1"/>
  <c r="AJ289" i="1"/>
  <c r="AL289" i="1" s="1"/>
  <c r="AJ283" i="1"/>
  <c r="AL283" i="1" s="1"/>
  <c r="AJ278" i="1"/>
  <c r="AL278" i="1" s="1"/>
  <c r="AJ256" i="1"/>
  <c r="AL256" i="1" s="1"/>
  <c r="AJ249" i="1"/>
  <c r="AL249" i="1" s="1"/>
  <c r="AJ244" i="1"/>
  <c r="AL244" i="1" s="1"/>
  <c r="AJ222" i="1"/>
  <c r="AL222" i="1" s="1"/>
  <c r="AJ451" i="1"/>
  <c r="AL451" i="1" s="1"/>
  <c r="AJ425" i="1"/>
  <c r="AL425" i="1" s="1"/>
  <c r="AJ411" i="1"/>
  <c r="AL411" i="1" s="1"/>
  <c r="AJ381" i="1"/>
  <c r="AL381" i="1" s="1"/>
  <c r="AJ378" i="1"/>
  <c r="AL378" i="1" s="1"/>
  <c r="AJ354" i="1"/>
  <c r="AL354" i="1" s="1"/>
  <c r="AJ442" i="1"/>
  <c r="AL442" i="1" s="1"/>
  <c r="AJ410" i="1"/>
  <c r="AL410" i="1" s="1"/>
  <c r="AJ407" i="1"/>
  <c r="AL407" i="1" s="1"/>
  <c r="AJ392" i="1"/>
  <c r="AL392" i="1" s="1"/>
  <c r="AJ326" i="1"/>
  <c r="AL326" i="1" s="1"/>
  <c r="AJ313" i="1"/>
  <c r="AL313" i="1" s="1"/>
  <c r="AJ281" i="1"/>
  <c r="AL281" i="1" s="1"/>
  <c r="AJ133" i="1"/>
  <c r="AL133" i="1" s="1"/>
  <c r="AJ131" i="1"/>
  <c r="AL131" i="1" s="1"/>
  <c r="AJ101" i="1"/>
  <c r="AJ47" i="1"/>
  <c r="AL47" i="1" s="1"/>
  <c r="AJ90" i="1"/>
  <c r="AL90" i="1" s="1"/>
  <c r="AL134" i="1"/>
  <c r="AJ61" i="1"/>
  <c r="AL61" i="1" s="1"/>
  <c r="AJ17" i="1"/>
  <c r="AL17" i="1" s="1"/>
  <c r="AJ122" i="1"/>
  <c r="AL122" i="1" s="1"/>
  <c r="AJ95" i="1"/>
  <c r="AL95" i="1" s="1"/>
  <c r="AJ19" i="1"/>
  <c r="AL19" i="1" s="1"/>
  <c r="AJ63" i="1"/>
  <c r="AL63" i="1" s="1"/>
  <c r="AJ110" i="1"/>
  <c r="AL110" i="1" s="1"/>
  <c r="AJ6" i="1"/>
  <c r="AL6" i="1" s="1"/>
  <c r="AJ49" i="1"/>
  <c r="AL49" i="1" s="1"/>
  <c r="AL57" i="1"/>
  <c r="AJ64" i="1"/>
  <c r="AL64" i="1" s="1"/>
  <c r="AJ257" i="1"/>
  <c r="AL257" i="1" s="1"/>
  <c r="AJ259" i="1"/>
  <c r="AL259" i="1" s="1"/>
  <c r="AJ262" i="1"/>
  <c r="AL262" i="1" s="1"/>
  <c r="AL526" i="1"/>
  <c r="AL593" i="1"/>
  <c r="AL597" i="1"/>
  <c r="AL750" i="1"/>
  <c r="AL686" i="1"/>
  <c r="AL792" i="1"/>
  <c r="AL945" i="1"/>
  <c r="AL552" i="1"/>
  <c r="AL615" i="1"/>
  <c r="AL688" i="1"/>
  <c r="AL833" i="1"/>
  <c r="AL621" i="1"/>
  <c r="AL626" i="1"/>
  <c r="AL682" i="1"/>
  <c r="AL714" i="1"/>
  <c r="AL873" i="1"/>
  <c r="AL951" i="1"/>
  <c r="AL968" i="1"/>
  <c r="AL981" i="1"/>
  <c r="AJ3" i="1" l="1"/>
  <c r="AL3" i="1" s="1"/>
  <c r="AL101" i="1"/>
</calcChain>
</file>

<file path=xl/sharedStrings.xml><?xml version="1.0" encoding="utf-8"?>
<sst xmlns="http://schemas.openxmlformats.org/spreadsheetml/2006/main" count="5148" uniqueCount="1356">
  <si>
    <t>Prereq's</t>
  </si>
  <si>
    <t>150 min. 
WFM Ent</t>
  </si>
  <si>
    <t>QM 
Trans bot (speech)</t>
  </si>
  <si>
    <t>Non Speech Customers</t>
  </si>
  <si>
    <t>Rec +
voice capture</t>
  </si>
  <si>
    <t>Saas has Voice Capture</t>
  </si>
  <si>
    <t>includes Trans</t>
  </si>
  <si>
    <t>requires trans</t>
  </si>
  <si>
    <t>List Price</t>
  </si>
  <si>
    <t>Totals</t>
  </si>
  <si>
    <t>Total Opportunity</t>
  </si>
  <si>
    <t>Bill To Name</t>
  </si>
  <si>
    <t>Account Name</t>
  </si>
  <si>
    <t>Bucket</t>
  </si>
  <si>
    <t>Max License</t>
  </si>
  <si>
    <t>Type    (WFE)</t>
  </si>
  <si>
    <t>EDM-Rec</t>
  </si>
  <si>
    <t>Rec</t>
  </si>
  <si>
    <t>Encrp</t>
  </si>
  <si>
    <t>QM</t>
  </si>
  <si>
    <t>AQM</t>
  </si>
  <si>
    <t>DPA</t>
  </si>
  <si>
    <t>WFM</t>
  </si>
  <si>
    <t>WFMPro</t>
  </si>
  <si>
    <t>PM</t>
  </si>
  <si>
    <t>Speech</t>
  </si>
  <si>
    <t>RTAA</t>
  </si>
  <si>
    <t>IQ</t>
  </si>
  <si>
    <t>CF</t>
  </si>
  <si>
    <t>XM</t>
  </si>
  <si>
    <t>VFC</t>
  </si>
  <si>
    <t>community</t>
  </si>
  <si>
    <t>RecPubSafe</t>
  </si>
  <si>
    <t>ChAuto</t>
  </si>
  <si>
    <t>KMEnt</t>
  </si>
  <si>
    <t>KMPro</t>
  </si>
  <si>
    <t>Workflex</t>
  </si>
  <si>
    <t xml:space="preserve">Quality Bot   </t>
  </si>
  <si>
    <t>Trans Bot</t>
  </si>
  <si>
    <t>Wrap Up 624+128</t>
  </si>
  <si>
    <t>Voice Capture</t>
  </si>
  <si>
    <t>RT Coach w Trans</t>
  </si>
  <si>
    <t>Redaction</t>
  </si>
  <si>
    <t>Speech 480+120</t>
  </si>
  <si>
    <t>Encryption</t>
  </si>
  <si>
    <t>Total</t>
  </si>
  <si>
    <t>Cisco Systems, Inc.</t>
  </si>
  <si>
    <t>Progressive Casualty Insurance Company</t>
  </si>
  <si>
    <t>Over 10000</t>
  </si>
  <si>
    <t>Carousel Industries of North America</t>
  </si>
  <si>
    <t>Interinsurance Exchange of the Automobile Club</t>
  </si>
  <si>
    <t>ISI Telemanagement Solutions, LLC</t>
  </si>
  <si>
    <t>Arthur J. Gallagher (US)</t>
  </si>
  <si>
    <t>Servion Global Solutions Inc</t>
  </si>
  <si>
    <t>Costco Wholesale Corporation</t>
  </si>
  <si>
    <t>5000-9999</t>
  </si>
  <si>
    <t>BT Americas Inc.</t>
  </si>
  <si>
    <t>Farmers Group, Inc.</t>
  </si>
  <si>
    <t>CWT US, LLC</t>
  </si>
  <si>
    <t>CWT Global B.V.</t>
  </si>
  <si>
    <t>Group Elite Communications Inc.</t>
  </si>
  <si>
    <t>The National Bank of Canada</t>
  </si>
  <si>
    <t>Connex Telecommunications Inc.</t>
  </si>
  <si>
    <t>TD Bank N.A.- USA</t>
  </si>
  <si>
    <t>ConvergeOne, Inc</t>
  </si>
  <si>
    <t>Texas Health and Human Services Commission (HHSC)</t>
  </si>
  <si>
    <t>Ford Motor Credit</t>
  </si>
  <si>
    <t>Amazon Web Services, Inc.</t>
  </si>
  <si>
    <t>Nationwide Mutual Insurance Co.</t>
  </si>
  <si>
    <t>Janney Montgomery Scott LLC</t>
  </si>
  <si>
    <t>Perp/Term</t>
  </si>
  <si>
    <t>AmeriHealth Caritas Health Plan</t>
  </si>
  <si>
    <t>Mercury Insurance Services, LLC</t>
  </si>
  <si>
    <t>IBM Canada Ltd.</t>
  </si>
  <si>
    <t>Bell Canada</t>
  </si>
  <si>
    <t>Bank of Montreal (BMO)</t>
  </si>
  <si>
    <t>SimComm Pte Ltd</t>
  </si>
  <si>
    <t>Cognizant Technical Solutions</t>
  </si>
  <si>
    <t>WTI Holdings LLC dba Waterfield Technologies</t>
  </si>
  <si>
    <t>California Physicians' Service dba Blue Shield of California</t>
  </si>
  <si>
    <t>World Wide Technology, Inc.</t>
  </si>
  <si>
    <t>UMB Financial Corporation</t>
  </si>
  <si>
    <t>2000-4999</t>
  </si>
  <si>
    <t>Burlington Northern Santa Fe LLC</t>
  </si>
  <si>
    <t>Intermountain Healthcare (IHC)</t>
  </si>
  <si>
    <t>Sun Life Assurance Company of Canada</t>
  </si>
  <si>
    <t>Avaya LLC</t>
  </si>
  <si>
    <t>Department of Veterans Affairs</t>
  </si>
  <si>
    <t>The Cleveland Clinic Foundation</t>
  </si>
  <si>
    <t>TB Consulting LLC</t>
  </si>
  <si>
    <t>Connex Quebec Inc</t>
  </si>
  <si>
    <t>Ministere de l'Emploi et de la Solidarite sociale</t>
  </si>
  <si>
    <t>Sound Communications Inc.</t>
  </si>
  <si>
    <t>Duke Energy Corporation</t>
  </si>
  <si>
    <t>Horizon Healthcare Services, Inc. d/b/a Horizon BCBS of New Jersey</t>
  </si>
  <si>
    <t>HCA National Patient Account SVC KY</t>
  </si>
  <si>
    <t>T-Mobile USA, Inc.</t>
  </si>
  <si>
    <t>CBTS Technology Solutions LLC</t>
  </si>
  <si>
    <t>Corewell Health</t>
  </si>
  <si>
    <t>TSYS</t>
  </si>
  <si>
    <t>Societe Generale Americas Operational Services, Inc.</t>
  </si>
  <si>
    <t>Christus Health Data Center</t>
  </si>
  <si>
    <t>Manulife Financial</t>
  </si>
  <si>
    <t>Baptist Health South Florida, Inc.</t>
  </si>
  <si>
    <t>Immix Technology, Inc.</t>
  </si>
  <si>
    <t>Human Services Agency - City and County of San Francisco (CCSF)</t>
  </si>
  <si>
    <t>Eaton and Associates</t>
  </si>
  <si>
    <t>Avis Budget Car Rental, LLC (ABCR)</t>
  </si>
  <si>
    <t>Inova Solutions, Inc.</t>
  </si>
  <si>
    <t>John Hopkins University</t>
  </si>
  <si>
    <t>Vertical Screen, Inc.</t>
  </si>
  <si>
    <t>Allina Health</t>
  </si>
  <si>
    <t>TELUS</t>
  </si>
  <si>
    <t>La Capitale</t>
  </si>
  <si>
    <t>Presidio Networked Solutions, LLC</t>
  </si>
  <si>
    <t>Entergy Services Inc</t>
  </si>
  <si>
    <t>First Energy Corporation</t>
  </si>
  <si>
    <t>GE Healthcare (APCS CC Global Hub)</t>
  </si>
  <si>
    <t>Point 72 Asset Management, L.P.</t>
  </si>
  <si>
    <t>Cobb County</t>
  </si>
  <si>
    <t>Regions Bank</t>
  </si>
  <si>
    <t>NYUMC Langone</t>
  </si>
  <si>
    <t>Reliant Energy Retail Services, LLC.</t>
  </si>
  <si>
    <t>NRG Energy Inc</t>
  </si>
  <si>
    <t>State of Washington - Department of Social and Health Services (DSHS)</t>
  </si>
  <si>
    <t>Mastercard Technologies, LLC</t>
  </si>
  <si>
    <t>500-1999</t>
  </si>
  <si>
    <t>Sea Mar Community Health Centers</t>
  </si>
  <si>
    <t>The Results Company</t>
  </si>
  <si>
    <t>Cognizant Healthcare Services, LLC</t>
  </si>
  <si>
    <t>Geisinger Health Systems</t>
  </si>
  <si>
    <t>Southern Company</t>
  </si>
  <si>
    <t>Xcel Energy</t>
  </si>
  <si>
    <t>HD Supply</t>
  </si>
  <si>
    <t>TTEC Services Corporation</t>
  </si>
  <si>
    <t>Kova Corporation</t>
  </si>
  <si>
    <t>Hanover Insurance Group</t>
  </si>
  <si>
    <t>DTE Energy Inc. dba DTE Energy Corporate Services, LLC</t>
  </si>
  <si>
    <t>Nordstrom, Inc.</t>
  </si>
  <si>
    <t>Centura Health - Englewood</t>
  </si>
  <si>
    <t>BEI Holdings, Inc. (DBA: Business Electronics)</t>
  </si>
  <si>
    <t>Eversource Energy</t>
  </si>
  <si>
    <t>Regents of the University of Michigan</t>
  </si>
  <si>
    <t>Bank of Nova Scotia</t>
  </si>
  <si>
    <t>Trinity Health</t>
  </si>
  <si>
    <t>ServiceMaster Consumer Services Limited Partnership</t>
  </si>
  <si>
    <t>Terminix Consumer Services, LLC</t>
  </si>
  <si>
    <t>Emory University</t>
  </si>
  <si>
    <t>Motorola Solutions, Inc.</t>
  </si>
  <si>
    <t>Baltimore County Communications Center</t>
  </si>
  <si>
    <t>AGA Service Company fka Allianz Global Assistance</t>
  </si>
  <si>
    <t>First Republic Bank</t>
  </si>
  <si>
    <t>New Jersey Turnpike Authority Inc</t>
  </si>
  <si>
    <t>US Navysparwarsyscen</t>
  </si>
  <si>
    <t>Federated Investors</t>
  </si>
  <si>
    <t>Penn State Health</t>
  </si>
  <si>
    <t>Burlington County 911</t>
  </si>
  <si>
    <t>University of Michigan</t>
  </si>
  <si>
    <t>Amtrak</t>
  </si>
  <si>
    <t>Orange County Emergency Services</t>
  </si>
  <si>
    <t>DoITT</t>
  </si>
  <si>
    <t>Independence Blue Cross</t>
  </si>
  <si>
    <t>BT AXA Group</t>
  </si>
  <si>
    <t>Genworth North America Corporation</t>
  </si>
  <si>
    <t>Global Payments</t>
  </si>
  <si>
    <t>Los Angeles Dept. Water &amp; Power</t>
  </si>
  <si>
    <t>Arrow Enterprise Computing Solutions, Inc</t>
  </si>
  <si>
    <t>Quantum Health, Inc.</t>
  </si>
  <si>
    <t>Scott &amp; White Memorial Hospital</t>
  </si>
  <si>
    <t>Clayton Homes</t>
  </si>
  <si>
    <t>Baptist Health System, Inc</t>
  </si>
  <si>
    <t>Metropolitan Atlanta Rapid Transit Authority (MARTA)</t>
  </si>
  <si>
    <t>City of Columbus OH</t>
  </si>
  <si>
    <t>Vonage Business Limited</t>
  </si>
  <si>
    <t>Goosehead Insurance</t>
  </si>
  <si>
    <t>United Parcel Service (UPS)</t>
  </si>
  <si>
    <t>Septa</t>
  </si>
  <si>
    <t>Map Communications</t>
  </si>
  <si>
    <t>May Day Communications Inc.</t>
  </si>
  <si>
    <t>General Dynamics Information Technology, Inc.</t>
  </si>
  <si>
    <t>United States Pharmaceutical Group LLC dba Convey Health Solutions LLC</t>
  </si>
  <si>
    <t>Army &amp; Air Force Exchange Services (AAFES)</t>
  </si>
  <si>
    <t>Community Clinic of NWA</t>
  </si>
  <si>
    <t>NWN Corporation</t>
  </si>
  <si>
    <t>Florida Department of Children and Families / Florida Abuse Hotline</t>
  </si>
  <si>
    <t>Norton Lifelock Capex</t>
  </si>
  <si>
    <t>VA Medical Cntr Chief Supply Svc</t>
  </si>
  <si>
    <t>Reliance Insurance</t>
  </si>
  <si>
    <t>MGM Resorts</t>
  </si>
  <si>
    <t>North Texas Tollway Authority (NTTA)</t>
  </si>
  <si>
    <t>UMASS Memorial</t>
  </si>
  <si>
    <t>Red River Solutioins, LLC</t>
  </si>
  <si>
    <t>Advance Auto Parts, Inc.</t>
  </si>
  <si>
    <t>Stafford County - VA</t>
  </si>
  <si>
    <t>Tenerity</t>
  </si>
  <si>
    <t>Trilegiant Corporation</t>
  </si>
  <si>
    <t>Montgomery County Maryland</t>
  </si>
  <si>
    <t>Goserco, Inc.</t>
  </si>
  <si>
    <t>City and County of Denver, Denver 911</t>
  </si>
  <si>
    <t>Arrias Technical Solutions Inc.</t>
  </si>
  <si>
    <t>Toronto Hydro-Electric System Limited</t>
  </si>
  <si>
    <t>Industrielle Alliance, Assurances et Services Financier Inc.</t>
  </si>
  <si>
    <t>United Heritage Credit Union</t>
  </si>
  <si>
    <t>Evergy Metro, Inc.</t>
  </si>
  <si>
    <t>Evergy Services, Inc.</t>
  </si>
  <si>
    <t>American Family Life Assurance Company of Columbus (AFLAC)</t>
  </si>
  <si>
    <t>Propharma Group LLC</t>
  </si>
  <si>
    <t>TransUnion LLC</t>
  </si>
  <si>
    <t>SPAR Solutions LLC</t>
  </si>
  <si>
    <t>American Credit Acceptance</t>
  </si>
  <si>
    <t>Massachusetts State Police</t>
  </si>
  <si>
    <t>Yale New Haven Hospital</t>
  </si>
  <si>
    <t>CDK Global, LLC</t>
  </si>
  <si>
    <t>M&amp;T Bank</t>
  </si>
  <si>
    <t>Guardian Protection Services (Armstrong Group of Companies)</t>
  </si>
  <si>
    <t>USDA</t>
  </si>
  <si>
    <t>Alliance Technology Group, LLC</t>
  </si>
  <si>
    <t>Suncoast Credit Union</t>
  </si>
  <si>
    <t>Medavie, Inc.</t>
  </si>
  <si>
    <t>Harris County Hospital District</t>
  </si>
  <si>
    <t>Patterson Companies</t>
  </si>
  <si>
    <t>Patterson Dental Supply</t>
  </si>
  <si>
    <t>Northland Business Systems, Inc.</t>
  </si>
  <si>
    <t>Minnesota Central Region</t>
  </si>
  <si>
    <t>Allstate Insurance Co. of Canada Ltd.</t>
  </si>
  <si>
    <t>VW Credit, Inc.</t>
  </si>
  <si>
    <t>WageWorks</t>
  </si>
  <si>
    <t>Cardinal Health 5, LLC</t>
  </si>
  <si>
    <t>MSC Industrial Direct CO., Inc.</t>
  </si>
  <si>
    <t>Skybridge Americas, Inc.</t>
  </si>
  <si>
    <t>Northwell Health (fka North Shore LI Jewish Hospital)</t>
  </si>
  <si>
    <t>Essendant Management Services LLC., f/k/a United Stationers Supply Co.</t>
  </si>
  <si>
    <t>TaxAudit</t>
  </si>
  <si>
    <t>Talkdesk, Inc.</t>
  </si>
  <si>
    <t>Freedom Care LLC</t>
  </si>
  <si>
    <t>Martin County FL Sheriff</t>
  </si>
  <si>
    <t>Bureau of Fiscal Service fka Bureau of Public Debt</t>
  </si>
  <si>
    <t>Atos IT Solutions and Services, Inc.</t>
  </si>
  <si>
    <t>Medstar Health</t>
  </si>
  <si>
    <t>The University of Texas M.D. Anderson Cancer Center</t>
  </si>
  <si>
    <t>Federal Express</t>
  </si>
  <si>
    <t>CGI</t>
  </si>
  <si>
    <t>Five Star Call Centers</t>
  </si>
  <si>
    <t>Miami Dade Fire Rescue</t>
  </si>
  <si>
    <t>Cerium Networks</t>
  </si>
  <si>
    <t>Boeing Employees Credit Union</t>
  </si>
  <si>
    <t>Wawanesa Insurance</t>
  </si>
  <si>
    <t>Mount Sinai Medical Center</t>
  </si>
  <si>
    <t>Four Points Technology, LLC</t>
  </si>
  <si>
    <t>Medical University Hospital Authority</t>
  </si>
  <si>
    <t>Telus International (CDA), Inc.</t>
  </si>
  <si>
    <t>Reid Hospital &amp; Health Systems</t>
  </si>
  <si>
    <t>Shared Technologies Service Group</t>
  </si>
  <si>
    <t>BMO Bank N.A. f/k/a BMO Harris Bank N.A.</t>
  </si>
  <si>
    <t>Carle Foundation Hospital</t>
  </si>
  <si>
    <t>HealthEquity, Inc.</t>
  </si>
  <si>
    <t>Netagen Communication Technologies Inc.</t>
  </si>
  <si>
    <t>City of Calgary</t>
  </si>
  <si>
    <t>Kansas Turnpike Authority</t>
  </si>
  <si>
    <t>Beth Israel Deaconess Medical Center</t>
  </si>
  <si>
    <t>Nordstrom Bank</t>
  </si>
  <si>
    <t>Parkview Corporate Health</t>
  </si>
  <si>
    <t>CapTel Incorporated</t>
  </si>
  <si>
    <t>Advisor Group</t>
  </si>
  <si>
    <t>Warren County OH</t>
  </si>
  <si>
    <t>WFUBMC - North Carolina Baptist Hospital</t>
  </si>
  <si>
    <t>Hinge Health, Inc.</t>
  </si>
  <si>
    <t>Vista Com</t>
  </si>
  <si>
    <t>Bank of Oklahoma</t>
  </si>
  <si>
    <t>Fidelity Bank of Kansas</t>
  </si>
  <si>
    <t>American Water</t>
  </si>
  <si>
    <t>Alere Health, Inc</t>
  </si>
  <si>
    <t>Charlton Memorial Hospital</t>
  </si>
  <si>
    <t>North Middlesex Savings Bank Inc.</t>
  </si>
  <si>
    <t>Partnership HealthPlan of California</t>
  </si>
  <si>
    <t>1199 SEIU National Benefits Fund</t>
  </si>
  <si>
    <t>Best Western International, Inc.</t>
  </si>
  <si>
    <t>City of Portland - BOEC</t>
  </si>
  <si>
    <t>University of Texas Health Science Center San Antonio</t>
  </si>
  <si>
    <t>Livingston International Inc.</t>
  </si>
  <si>
    <t>Lussier Cabinet De Services Financiers Inc.</t>
  </si>
  <si>
    <t>University of Washington Medicine</t>
  </si>
  <si>
    <t>Cambia Health Solutions, Inc. fka Regence Group, The</t>
  </si>
  <si>
    <t>Scripps Mercy Hospital</t>
  </si>
  <si>
    <t>Idaho Department of Health and Welfare</t>
  </si>
  <si>
    <t>SHI International Corp</t>
  </si>
  <si>
    <t>Banner Health dba North Colorado Medical Center</t>
  </si>
  <si>
    <t>Public Service Enterprise Group (PSEG)</t>
  </si>
  <si>
    <t>Meridian IT Inc.</t>
  </si>
  <si>
    <t>KUB</t>
  </si>
  <si>
    <t>Virginia (VA) Department of Taxation</t>
  </si>
  <si>
    <t>University Medical Center of El Paso</t>
  </si>
  <si>
    <t>Presbyterian Healthcare Services</t>
  </si>
  <si>
    <t>Yale University</t>
  </si>
  <si>
    <t>OMAHA PUBLIC POWER DISTRICT (OPPD)</t>
  </si>
  <si>
    <t>B2B Bank</t>
  </si>
  <si>
    <t>Capture Technologies, Inc.</t>
  </si>
  <si>
    <t>City of Stockton Police and Fire</t>
  </si>
  <si>
    <t>Radwell International Inc.</t>
  </si>
  <si>
    <t>ARVEST BANK</t>
  </si>
  <si>
    <t>Sentara</t>
  </si>
  <si>
    <t>Portland General Electric</t>
  </si>
  <si>
    <t>East Central Ind. School District</t>
  </si>
  <si>
    <t>Avista Corporation</t>
  </si>
  <si>
    <t>Walter Reed National Military Medical Center (NMMC)</t>
  </si>
  <si>
    <t>City of Altamonte Springs</t>
  </si>
  <si>
    <t>Intrado Life &amp; Safety Canada, Inc.</t>
  </si>
  <si>
    <t>Washoe County Sheriff</t>
  </si>
  <si>
    <t>150-499</t>
  </si>
  <si>
    <t>CSST (Commission Sante Securite)</t>
  </si>
  <si>
    <t>Memorial Healthcare System</t>
  </si>
  <si>
    <t>Roehl Transport, Inc.</t>
  </si>
  <si>
    <t>Children's Hospital Los Angeles</t>
  </si>
  <si>
    <t>Philadelphia Housing Authority</t>
  </si>
  <si>
    <t>Interactions Insights Corporation</t>
  </si>
  <si>
    <t>Polish and Slavic Federal Credit Union</t>
  </si>
  <si>
    <t>Cengage Learning</t>
  </si>
  <si>
    <t>Freeman Health System, Inc.</t>
  </si>
  <si>
    <t>DXC Technology Services LLC</t>
  </si>
  <si>
    <t>Enterprise Services LLC</t>
  </si>
  <si>
    <t>Xplornet Communications Inc.</t>
  </si>
  <si>
    <t>American Honda Motor Co., Inc.</t>
  </si>
  <si>
    <t>Aria Solutions USA Inc.</t>
  </si>
  <si>
    <t>American Eagle Financial Credit Union, Inc.</t>
  </si>
  <si>
    <t>Nuance Communications</t>
  </si>
  <si>
    <t>Loma Linda University</t>
  </si>
  <si>
    <t>LG&amp;E and KU Services</t>
  </si>
  <si>
    <t>Tampa Electric Company</t>
  </si>
  <si>
    <t>TOS</t>
  </si>
  <si>
    <t>Dane County</t>
  </si>
  <si>
    <t>Hennepin County</t>
  </si>
  <si>
    <t>City of Portland</t>
  </si>
  <si>
    <t>Cellular South</t>
  </si>
  <si>
    <t>Blue Cross and Blue Shield of Vermont</t>
  </si>
  <si>
    <t>Westmoreland County 911</t>
  </si>
  <si>
    <t>TSA - Telecommunication Group</t>
  </si>
  <si>
    <t>Ralis Services, Inc.</t>
  </si>
  <si>
    <t>Mississippi Department of Information Technology Services (MS ITS)</t>
  </si>
  <si>
    <t>ConServe</t>
  </si>
  <si>
    <t>Agilent Technologies Inc</t>
  </si>
  <si>
    <t>Connex Services US Inc</t>
  </si>
  <si>
    <t>Carexm, LLC</t>
  </si>
  <si>
    <t>Washington County Sheriff</t>
  </si>
  <si>
    <t>Rocky Mountain Poison &amp; Drug Center</t>
  </si>
  <si>
    <t>Volkswagen of America</t>
  </si>
  <si>
    <t>City of Fort Lauderdale</t>
  </si>
  <si>
    <t>Openedge ( a Division of Global Payments)</t>
  </si>
  <si>
    <t>Health Alliance Medical Plans</t>
  </si>
  <si>
    <t>Schneider Electric</t>
  </si>
  <si>
    <t>Alaska Land Mobile Radio</t>
  </si>
  <si>
    <t>Amway Corp.</t>
  </si>
  <si>
    <t>Alticor Inc.</t>
  </si>
  <si>
    <t>US Foods, Inc.</t>
  </si>
  <si>
    <t>Metropolitan Council</t>
  </si>
  <si>
    <t>illumifin Corporation</t>
  </si>
  <si>
    <t>Blue Cross Blue Shield of SC</t>
  </si>
  <si>
    <t>MTST Helena Data Center</t>
  </si>
  <si>
    <t>Carrington Mortgage Holdings</t>
  </si>
  <si>
    <t>Morley Companies</t>
  </si>
  <si>
    <t>Inter County Regional Radio System (ICORRS)</t>
  </si>
  <si>
    <t>Axispoint Technology Solutions Group, Inc.</t>
  </si>
  <si>
    <t>Orlando Health</t>
  </si>
  <si>
    <t>Sacramento Municipal Utility District</t>
  </si>
  <si>
    <t>Integris SW Med Center aka Integris TCP</t>
  </si>
  <si>
    <t>Wipro Limited</t>
  </si>
  <si>
    <t>Greater Toronto Airport Authority</t>
  </si>
  <si>
    <t>Howard County 911</t>
  </si>
  <si>
    <t>Duquesne Light Company</t>
  </si>
  <si>
    <t>Calvert County MD</t>
  </si>
  <si>
    <t>Orange County Regional Computer</t>
  </si>
  <si>
    <t>Occidental Petroleum Corporation</t>
  </si>
  <si>
    <t>Patient First Corporation</t>
  </si>
  <si>
    <t>Santander - US</t>
  </si>
  <si>
    <t>Consumers Energy Company</t>
  </si>
  <si>
    <t>United States Army</t>
  </si>
  <si>
    <t>University Of Connecticut Health Center</t>
  </si>
  <si>
    <t>Yukon Kuskokwim Health Corp</t>
  </si>
  <si>
    <t>Delta Dental Plan of Michigan, Inc</t>
  </si>
  <si>
    <t>Lower Colorado River Authority</t>
  </si>
  <si>
    <t>Leon Medical Centers</t>
  </si>
  <si>
    <t>Community Bank &amp; Trust</t>
  </si>
  <si>
    <t>Colorado Springs School District</t>
  </si>
  <si>
    <t>Olmsted County Sheriff</t>
  </si>
  <si>
    <t>Avaya Global IT CCT</t>
  </si>
  <si>
    <t>Physicians Mutual Insurance Company</t>
  </si>
  <si>
    <t>Hope Enterprise Corp.</t>
  </si>
  <si>
    <t>Cameo Global, Inc.</t>
  </si>
  <si>
    <t>Convergent Resources a/k/a ER Solutions</t>
  </si>
  <si>
    <t>Legacy System Office</t>
  </si>
  <si>
    <t>Weill Cornell Medical College</t>
  </si>
  <si>
    <t>Usana Health Sciences</t>
  </si>
  <si>
    <t>Clarke County Hospital</t>
  </si>
  <si>
    <t>Covenant Management Systems</t>
  </si>
  <si>
    <t>Community Health Choice</t>
  </si>
  <si>
    <t>New Era Technology CX</t>
  </si>
  <si>
    <t>Revel Systems</t>
  </si>
  <si>
    <t>Rocket Travel, Inc.</t>
  </si>
  <si>
    <t>Baptist Health</t>
  </si>
  <si>
    <t>Kohler</t>
  </si>
  <si>
    <t>IPC Systems, Inc.</t>
  </si>
  <si>
    <t>MUFG Securities Americas Inc.</t>
  </si>
  <si>
    <t>LA County Department of Child and Family Services</t>
  </si>
  <si>
    <t>Lord, Abbett &amp; Co. LLC</t>
  </si>
  <si>
    <t>Shasta Community Health Center</t>
  </si>
  <si>
    <t>Federal Reserve Bank</t>
  </si>
  <si>
    <t>Frost National Bank</t>
  </si>
  <si>
    <t>Mecklenburg County</t>
  </si>
  <si>
    <t>Delta Defense LLC</t>
  </si>
  <si>
    <t>TCS e-Serve International Ltd</t>
  </si>
  <si>
    <t>VCU POCA</t>
  </si>
  <si>
    <t>Long View Systems Corporation</t>
  </si>
  <si>
    <t>Hydro One Networks, Inc.</t>
  </si>
  <si>
    <t>Central Electric Power Cooperative (CEPC)</t>
  </si>
  <si>
    <t>Atlanticare Health System</t>
  </si>
  <si>
    <t>Texas A&amp;M University</t>
  </si>
  <si>
    <t>Evolve IP LLC</t>
  </si>
  <si>
    <t>NSM Insurance Group</t>
  </si>
  <si>
    <t>NAWCAD</t>
  </si>
  <si>
    <t>Kissimmee Utility Authority</t>
  </si>
  <si>
    <t>Archsys Incorporated</t>
  </si>
  <si>
    <t>Spirit Airlines</t>
  </si>
  <si>
    <t>Lydia Security Monitoring T/A Cops</t>
  </si>
  <si>
    <t>Hudson Valley Credit Union</t>
  </si>
  <si>
    <t>Miami-Dade County ICFB fka Overtown Transit</t>
  </si>
  <si>
    <t>Harborview Medical Center</t>
  </si>
  <si>
    <t>New York City Board of Education (Central)</t>
  </si>
  <si>
    <t>Cartus Corporation</t>
  </si>
  <si>
    <t>Roche Diagnostics Corporation</t>
  </si>
  <si>
    <t>Allianz Technology of America, Inc.</t>
  </si>
  <si>
    <t>Florida Polytechnic University</t>
  </si>
  <si>
    <t>BioScript Solutions</t>
  </si>
  <si>
    <t>Hayes e-Government</t>
  </si>
  <si>
    <t>University of Utah</t>
  </si>
  <si>
    <t>Portsmouth Naval Hospital</t>
  </si>
  <si>
    <t>MetCad 911</t>
  </si>
  <si>
    <t>BusComm Incorporated</t>
  </si>
  <si>
    <t>Invitae Corporation</t>
  </si>
  <si>
    <t>Minnesota State Retirement Services</t>
  </si>
  <si>
    <t>University of Kansas Medical Center</t>
  </si>
  <si>
    <t>Early Warning Services LLC</t>
  </si>
  <si>
    <t>LexisNexis Risk Solutions Inc.</t>
  </si>
  <si>
    <t>LexisNexis VitalChek Network, Inc.</t>
  </si>
  <si>
    <t>Great Wolf Resorts, Inc.</t>
  </si>
  <si>
    <t>Santee Cooper Power</t>
  </si>
  <si>
    <t>Personal Touch Holding Co.</t>
  </si>
  <si>
    <t>Retirement Systems of Alabama</t>
  </si>
  <si>
    <t>Flare Logistics, Inc.</t>
  </si>
  <si>
    <t>Asset Marketing Services, LLC</t>
  </si>
  <si>
    <t>WebMD, LLC</t>
  </si>
  <si>
    <t>GAF Materials</t>
  </si>
  <si>
    <t>Snohomish County Public Utility</t>
  </si>
  <si>
    <t>Venetian Casino Resort, LLC</t>
  </si>
  <si>
    <t>Staley Technologies</t>
  </si>
  <si>
    <t>Quadient</t>
  </si>
  <si>
    <t>Unify, Inc.</t>
  </si>
  <si>
    <t>Garrett County 911</t>
  </si>
  <si>
    <t>Berkley Technology Services</t>
  </si>
  <si>
    <t>Advanced Infusion Systems Healthcare</t>
  </si>
  <si>
    <t>Porsche Cars North America Inc</t>
  </si>
  <si>
    <t>TriMet</t>
  </si>
  <si>
    <t>Chelan PUD</t>
  </si>
  <si>
    <t>Hospital For Special Surgery</t>
  </si>
  <si>
    <t>City of Brenham</t>
  </si>
  <si>
    <t>Umpqua Health</t>
  </si>
  <si>
    <t>Indiana Farm Bureau Insurance</t>
  </si>
  <si>
    <t>ConAgra Foods</t>
  </si>
  <si>
    <t>Healthgrades</t>
  </si>
  <si>
    <t>Natl Jew Med &amp; Res Cntr</t>
  </si>
  <si>
    <t>Liberty Mutual</t>
  </si>
  <si>
    <t>Intradiem, inc.</t>
  </si>
  <si>
    <t>Selective Insurance Company of America, Inc.</t>
  </si>
  <si>
    <t>Kindred Healthcare</t>
  </si>
  <si>
    <t>School Specialty, Inc.</t>
  </si>
  <si>
    <t>Behavioral Health Response, Inc.</t>
  </si>
  <si>
    <t>Maxor National Pharmacy Services LLC</t>
  </si>
  <si>
    <t>Kenton County</t>
  </si>
  <si>
    <t>Reading Hospital &amp; Medical Center</t>
  </si>
  <si>
    <t>Intralox, LLC</t>
  </si>
  <si>
    <t>Dayton Power &amp; Light</t>
  </si>
  <si>
    <t>Columbia Bank</t>
  </si>
  <si>
    <t>Columbia Basin Health Association</t>
  </si>
  <si>
    <t>Centre County 911</t>
  </si>
  <si>
    <t>Safra Bank</t>
  </si>
  <si>
    <t>OrthoCarolina</t>
  </si>
  <si>
    <t>Hawaii County Civil Defense Agency</t>
  </si>
  <si>
    <t>CSSS de Chicoutimi</t>
  </si>
  <si>
    <t>Ademco Inc</t>
  </si>
  <si>
    <t>PNC Bank, National Association</t>
  </si>
  <si>
    <t>United States Marines</t>
  </si>
  <si>
    <t>Erlanger Medical Center</t>
  </si>
  <si>
    <t>North Kansas City Hospital</t>
  </si>
  <si>
    <t>The Blackstone Group Inc</t>
  </si>
  <si>
    <t>Adtech Global Solutions, Inc.</t>
  </si>
  <si>
    <t>Comoto Holdings, Inc.</t>
  </si>
  <si>
    <t>Norgren Express</t>
  </si>
  <si>
    <t>Broward County Aviation Department</t>
  </si>
  <si>
    <t>Donlen Corporation</t>
  </si>
  <si>
    <t>Washington Suburban Sanitary Commission</t>
  </si>
  <si>
    <t>McMaster University</t>
  </si>
  <si>
    <t>Brooks Equipment Company</t>
  </si>
  <si>
    <t>Bernalillo County Sheriff</t>
  </si>
  <si>
    <t>Santa Clara Valley Transportation Authority</t>
  </si>
  <si>
    <t>Affordable Care</t>
  </si>
  <si>
    <t>Accent Techn Solutions</t>
  </si>
  <si>
    <t>Accenture</t>
  </si>
  <si>
    <t>Newton County GA E911</t>
  </si>
  <si>
    <t>Replay Systems, Inc.</t>
  </si>
  <si>
    <t>Palm Beach Gardens</t>
  </si>
  <si>
    <t>MINN Southeast Regional</t>
  </si>
  <si>
    <t>MTD Products Inc.</t>
  </si>
  <si>
    <t>Macon-Bibb County E911</t>
  </si>
  <si>
    <t>United States Department of Energy</t>
  </si>
  <si>
    <t>Healthwell Foundation, Inc</t>
  </si>
  <si>
    <t>YUMA REGIONAL MEDICAL CENTER</t>
  </si>
  <si>
    <t>Baltimore County Public Schools</t>
  </si>
  <si>
    <t>Elara Caring</t>
  </si>
  <si>
    <t>Tacoma Public Utilities - Tacoma, WA</t>
  </si>
  <si>
    <t>Northwest Orthopaedic Specialists</t>
  </si>
  <si>
    <t>Citrus County Sheriff's Office</t>
  </si>
  <si>
    <t>Wicomico Emergency 911</t>
  </si>
  <si>
    <t>AT&amp;T - San Bernardino Police Department</t>
  </si>
  <si>
    <t>Denver Health and Hospitals</t>
  </si>
  <si>
    <t>Allegacy Federal Credit Union</t>
  </si>
  <si>
    <t>City of Leander</t>
  </si>
  <si>
    <t>Maryland Transportation Authority (MTA)</t>
  </si>
  <si>
    <t>State of New Mexico</t>
  </si>
  <si>
    <t>Guardian Alarm</t>
  </si>
  <si>
    <t>Blue Cross Blue Shield of Mississippi</t>
  </si>
  <si>
    <t>Otis Elevator Company (OTIS)</t>
  </si>
  <si>
    <t>Banco Itau S/A</t>
  </si>
  <si>
    <t>City of Kelowna Airport</t>
  </si>
  <si>
    <t>Omaha National</t>
  </si>
  <si>
    <t>Humana Inc</t>
  </si>
  <si>
    <t>The Ayco Company LP</t>
  </si>
  <si>
    <t>The Goldman Sachs Group, Inc.</t>
  </si>
  <si>
    <t>Clearone Advantage, LLC</t>
  </si>
  <si>
    <t>DISA Global Solutions</t>
  </si>
  <si>
    <t>8X8, Inc.</t>
  </si>
  <si>
    <t>Ken Garff Automotive, LLC</t>
  </si>
  <si>
    <t>Under 150</t>
  </si>
  <si>
    <t>Citadel Federal Credit Union</t>
  </si>
  <si>
    <t>Avnet Inc.</t>
  </si>
  <si>
    <t>Medica Health Plans</t>
  </si>
  <si>
    <t>Bridgewater Associates, LP</t>
  </si>
  <si>
    <t>Maricopa Integrated Health Services</t>
  </si>
  <si>
    <t>Guard.Me International Insurance</t>
  </si>
  <si>
    <t>Associated RGNL &amp; Univ Pathologists (ARUP)</t>
  </si>
  <si>
    <t>Starkey Laboratories, Inc</t>
  </si>
  <si>
    <t>Birmingham Water Works Board</t>
  </si>
  <si>
    <t>Conga Solutions</t>
  </si>
  <si>
    <t>Atlantic Union Bank</t>
  </si>
  <si>
    <t>Somerset Department of Emergency Services</t>
  </si>
  <si>
    <t>Covenant Health Care</t>
  </si>
  <si>
    <t>Durango / La Plata Emergency Communications Center</t>
  </si>
  <si>
    <t>Benefis Healthcare</t>
  </si>
  <si>
    <t>Labor First, LLC</t>
  </si>
  <si>
    <t>City of Saskatoon</t>
  </si>
  <si>
    <t>Memphis Police Department</t>
  </si>
  <si>
    <t>Shelby County Sheriff</t>
  </si>
  <si>
    <t>Jefferson City Police Department</t>
  </si>
  <si>
    <t>State of Washington Health Care Authority</t>
  </si>
  <si>
    <t>Peace Health Oregon Region</t>
  </si>
  <si>
    <t>Florida Health Care Plan</t>
  </si>
  <si>
    <t>Champion Energy Service, LLC</t>
  </si>
  <si>
    <t>Orleans Parish Communication District</t>
  </si>
  <si>
    <t>SSM Health</t>
  </si>
  <si>
    <t>Federal Mogul Motorparts LLC</t>
  </si>
  <si>
    <t>Metropolitan Airport Commission</t>
  </si>
  <si>
    <t>Regional Municipality of York</t>
  </si>
  <si>
    <t>United Automobile Insurance Group, Inc.</t>
  </si>
  <si>
    <t>Texas Mutual Insurance</t>
  </si>
  <si>
    <t>City of Gatineau</t>
  </si>
  <si>
    <t>Wescom Credit Union</t>
  </si>
  <si>
    <t>Kelley Kronenberg</t>
  </si>
  <si>
    <t>North County Dispatch JPA</t>
  </si>
  <si>
    <t>Imperial Capital</t>
  </si>
  <si>
    <t>Northern PA Radio System (NTRTP)</t>
  </si>
  <si>
    <t>Tidelands Health Systems</t>
  </si>
  <si>
    <t>Communication Federal Credit Union</t>
  </si>
  <si>
    <t>McLane Company, Inc.</t>
  </si>
  <si>
    <t>New Mexico Aging and Long Term Services Department</t>
  </si>
  <si>
    <t>Lifeway Christian Resources</t>
  </si>
  <si>
    <t>Suncor Wood Buffalo</t>
  </si>
  <si>
    <t>Vets First Choice</t>
  </si>
  <si>
    <t>Matanuska Telephone Assocaiation (MTA)</t>
  </si>
  <si>
    <t>Banco De Credito &amp; Inversiones</t>
  </si>
  <si>
    <t>C3i Solutions</t>
  </si>
  <si>
    <t>Hartford Hospital</t>
  </si>
  <si>
    <t>Associa Inc.</t>
  </si>
  <si>
    <t>Michelin North America Inc.</t>
  </si>
  <si>
    <t>U.S. Nuclear Regulatory Commission</t>
  </si>
  <si>
    <t>Floyd County GA</t>
  </si>
  <si>
    <t>OneAmerica Financial Partners</t>
  </si>
  <si>
    <t>Town of Middletown, DE</t>
  </si>
  <si>
    <t>Pacific Service Credit Union</t>
  </si>
  <si>
    <t>Sportsmans Warehouse Holdings, Inc.</t>
  </si>
  <si>
    <t>American Eagle Outfitters</t>
  </si>
  <si>
    <t>Karmanos Cancer Institute</t>
  </si>
  <si>
    <t>LAFCU</t>
  </si>
  <si>
    <t>Dorchester County Department of Emergency Services</t>
  </si>
  <si>
    <t>Juniper Networks, Inc.</t>
  </si>
  <si>
    <t>iCIMS, Inc.</t>
  </si>
  <si>
    <t>Central Arkansas Water</t>
  </si>
  <si>
    <t>Solano County Sheriff's Department</t>
  </si>
  <si>
    <t>Acuity Eye La Jolla, P.C.</t>
  </si>
  <si>
    <t>Salinas Valley Memorial</t>
  </si>
  <si>
    <t>MFS Investment Management</t>
  </si>
  <si>
    <t>WSECU</t>
  </si>
  <si>
    <t>Electrical Safety Authority (ESA)</t>
  </si>
  <si>
    <t>State of Delaware</t>
  </si>
  <si>
    <t>DE Transit</t>
  </si>
  <si>
    <t>Silac Insurance Company</t>
  </si>
  <si>
    <t>Holston Medical Group</t>
  </si>
  <si>
    <t>Sonora Quest Laboratories</t>
  </si>
  <si>
    <t>Geomant UK Ltd</t>
  </si>
  <si>
    <t>City of Oceanside</t>
  </si>
  <si>
    <t>Federal Home Loan Bank of Indianapolis, IN</t>
  </si>
  <si>
    <t>GI Associates</t>
  </si>
  <si>
    <t>Grande Ronde Hospital</t>
  </si>
  <si>
    <t>Bombardier Transportation (PS)</t>
  </si>
  <si>
    <t>The School District of Philadelphia</t>
  </si>
  <si>
    <t>World Strides</t>
  </si>
  <si>
    <t>Orange County Board of County Commissioners</t>
  </si>
  <si>
    <t>AQR Capital Management, LLC</t>
  </si>
  <si>
    <t>National Archives and Records Administration</t>
  </si>
  <si>
    <t>University of Texas Southwest Medical Center</t>
  </si>
  <si>
    <t>Larned State Hospital</t>
  </si>
  <si>
    <t>Henrico County</t>
  </si>
  <si>
    <t>Ontario Power Generation</t>
  </si>
  <si>
    <t>Varidesk LLC</t>
  </si>
  <si>
    <t>Custodia Technology Americas Inc.</t>
  </si>
  <si>
    <t>AmaWaterways</t>
  </si>
  <si>
    <t>City of London Investment Management</t>
  </si>
  <si>
    <t>Sunnyvale Police Dept.</t>
  </si>
  <si>
    <t>BOONE COUNTY FISCAL COURT</t>
  </si>
  <si>
    <t>Fortis Alberta, Inc.</t>
  </si>
  <si>
    <t>Yonkers Police Department</t>
  </si>
  <si>
    <t>Docebo, Inc.</t>
  </si>
  <si>
    <t>Mountainview Hospital</t>
  </si>
  <si>
    <t>First National Bank and Trust</t>
  </si>
  <si>
    <t>Zenbusiness Pbc</t>
  </si>
  <si>
    <t>Spokane Transit Authority</t>
  </si>
  <si>
    <t>Illinois Hospital Association</t>
  </si>
  <si>
    <t>Mueller, Inc</t>
  </si>
  <si>
    <t>Extraco Banks</t>
  </si>
  <si>
    <t>FAA</t>
  </si>
  <si>
    <t>DHS</t>
  </si>
  <si>
    <t>Pepco Holdings</t>
  </si>
  <si>
    <t>American Public Media Group</t>
  </si>
  <si>
    <t>Anixter International Inc</t>
  </si>
  <si>
    <t>Assistenza International</t>
  </si>
  <si>
    <t>United States Steel Corporation</t>
  </si>
  <si>
    <t>Kvh Industries, Inc.</t>
  </si>
  <si>
    <t>Kirtland Federal Credit Union</t>
  </si>
  <si>
    <t>Proquire LLC</t>
  </si>
  <si>
    <t>Accenture State Healthcare Services LLC</t>
  </si>
  <si>
    <t>Family and Children's Services</t>
  </si>
  <si>
    <t>Tift County 911</t>
  </si>
  <si>
    <t>Source Support Services, Inc.</t>
  </si>
  <si>
    <t>The Ann &amp; Robert H. Lurie Children's Hospital of Chicago</t>
  </si>
  <si>
    <t>Mesa Fire and Medical Department</t>
  </si>
  <si>
    <t>State of Florida - Hayes Hosted Solution</t>
  </si>
  <si>
    <t>Agiliti Health, Inc.</t>
  </si>
  <si>
    <t>City Holding Company</t>
  </si>
  <si>
    <t>City of Santa Fe</t>
  </si>
  <si>
    <t>Raleigh County WV E911</t>
  </si>
  <si>
    <t>Chaffee County - CO</t>
  </si>
  <si>
    <t>North Memorial Hospital - MN</t>
  </si>
  <si>
    <t>Whitfield County GA E911</t>
  </si>
  <si>
    <t>Casio Electronic</t>
  </si>
  <si>
    <t>Esse Health</t>
  </si>
  <si>
    <t>Jefferson County Iowa 911</t>
  </si>
  <si>
    <t>Brave Health, Inc.</t>
  </si>
  <si>
    <t>Board of Regents of OU/OUHSC</t>
  </si>
  <si>
    <t>CCSF-MULTI TENANT/MARKET</t>
  </si>
  <si>
    <t>Hurley Medical Center</t>
  </si>
  <si>
    <t>The Assistance Fund Inc</t>
  </si>
  <si>
    <t>Vintegrity Partners, LLC.</t>
  </si>
  <si>
    <t>DE Health and Social Services</t>
  </si>
  <si>
    <t>Anne Arundel Fire Department</t>
  </si>
  <si>
    <t>Rio Grande Co.</t>
  </si>
  <si>
    <t>Shipbob, Inc.</t>
  </si>
  <si>
    <t>Pratt &amp; Whitney Security</t>
  </si>
  <si>
    <t>Killeen Independent School District</t>
  </si>
  <si>
    <t>NuStar Energy</t>
  </si>
  <si>
    <t>Chevron U.S.A Inc., acting through its Chevron Products Company division</t>
  </si>
  <si>
    <t>Boca Raton Regional Hospital</t>
  </si>
  <si>
    <t>Ascension Health</t>
  </si>
  <si>
    <t>Tri-County Technical College</t>
  </si>
  <si>
    <t>Hendrick Hudson School District</t>
  </si>
  <si>
    <t>United Heritage Insurance</t>
  </si>
  <si>
    <t>NTT America, Inc.</t>
  </si>
  <si>
    <t>Naval Surface Warfare Center</t>
  </si>
  <si>
    <t>Capital District Transportation Authority (CDTA)</t>
  </si>
  <si>
    <t>RegaloRx, Inc.</t>
  </si>
  <si>
    <t>AAA East Central</t>
  </si>
  <si>
    <t>Associated Wholesale Grocers, Inc.</t>
  </si>
  <si>
    <t>Edge Communications Solutions, LLC</t>
  </si>
  <si>
    <t>Norfolk Southern Corporation</t>
  </si>
  <si>
    <t>Regional Emergency Dispatch Authority</t>
  </si>
  <si>
    <t>Go Wireless, Inc.</t>
  </si>
  <si>
    <t>Florida Department of Education</t>
  </si>
  <si>
    <t>Pocono Medical Center</t>
  </si>
  <si>
    <t>Preston 9-1-1</t>
  </si>
  <si>
    <t>Saint Louis Fire Department</t>
  </si>
  <si>
    <t>Dominion Energy Services, Inc.</t>
  </si>
  <si>
    <t>Sandoval County</t>
  </si>
  <si>
    <t>Queen Anne's County Department of Emergency Services</t>
  </si>
  <si>
    <t>Pennsylvania One Call System</t>
  </si>
  <si>
    <t>ABB, INC</t>
  </si>
  <si>
    <t>Farmers Bank and Trust</t>
  </si>
  <si>
    <t>Campbell County Consolidated Dispatch</t>
  </si>
  <si>
    <t>Newport Healthcare</t>
  </si>
  <si>
    <t>BC Transit</t>
  </si>
  <si>
    <t>New Enterprise Stone and Lime Co Inc.</t>
  </si>
  <si>
    <t>West Palm Beach Public Utilities</t>
  </si>
  <si>
    <t>Heartland Fire Communications</t>
  </si>
  <si>
    <t>Washington Gas Light Company</t>
  </si>
  <si>
    <t>City of Midlothian, Texas</t>
  </si>
  <si>
    <t>West Palm Beach PD</t>
  </si>
  <si>
    <t>Health Network Laboratories</t>
  </si>
  <si>
    <t>Eleanor Health, Inc.</t>
  </si>
  <si>
    <t>Casey's General Stores, Inc.</t>
  </si>
  <si>
    <t>Delray Beach PD</t>
  </si>
  <si>
    <t>Macy's Credit and Customer Services, Inc. f/k/a FACS Group, Inc.</t>
  </si>
  <si>
    <t>Euronet Worldwide Inc</t>
  </si>
  <si>
    <t>Teleflex Incorporated</t>
  </si>
  <si>
    <t>Northridge</t>
  </si>
  <si>
    <t>Southeast Alabama Medical Center</t>
  </si>
  <si>
    <t>Benton PUD</t>
  </si>
  <si>
    <t>FHLBank Topeka</t>
  </si>
  <si>
    <t>2U Inc</t>
  </si>
  <si>
    <t>City of Oshawa</t>
  </si>
  <si>
    <t>Metabolic Living</t>
  </si>
  <si>
    <t>Delaware River &amp; Bay Authority (DRBA)</t>
  </si>
  <si>
    <t>Archrock Services, L.P.</t>
  </si>
  <si>
    <t>Goodyear Police Department</t>
  </si>
  <si>
    <t>MASCO Services, Inc</t>
  </si>
  <si>
    <t>J Paul Getty Trust</t>
  </si>
  <si>
    <t>SEIU</t>
  </si>
  <si>
    <t>New Haven Public Safety</t>
  </si>
  <si>
    <t>Mister Car Wash</t>
  </si>
  <si>
    <t>Catoosa County GA E911</t>
  </si>
  <si>
    <t>Memphis Shelby International Airport</t>
  </si>
  <si>
    <t>Dixie Electric Membership Corp</t>
  </si>
  <si>
    <t>California ISO</t>
  </si>
  <si>
    <t>City County IT Commission- Wausau Wisconsin</t>
  </si>
  <si>
    <t>County of Sussex Prosecutor's Office</t>
  </si>
  <si>
    <t>Mille Lacs County Sheriff</t>
  </si>
  <si>
    <t>New York City Transit Authority</t>
  </si>
  <si>
    <t>Veterinary Pet Insurance</t>
  </si>
  <si>
    <t>US Geological Survey National Mapping WIT</t>
  </si>
  <si>
    <t>FAA OKC</t>
  </si>
  <si>
    <t>CCSF / Laguna Honda Hospital</t>
  </si>
  <si>
    <t>General Mills, Inc.</t>
  </si>
  <si>
    <t>One Call Care Management Inc</t>
  </si>
  <si>
    <t>Dlivrd</t>
  </si>
  <si>
    <t>Camden National Corporation</t>
  </si>
  <si>
    <t>NCCI Holdings, Inc.</t>
  </si>
  <si>
    <t>Hendricks Regional Health</t>
  </si>
  <si>
    <t>City of Washington Police Department</t>
  </si>
  <si>
    <t>Black Box Network Services</t>
  </si>
  <si>
    <t>Wilmac Business Equipment Company Inc.</t>
  </si>
  <si>
    <t>Reliant Community Federal Credit Union</t>
  </si>
  <si>
    <t>CareScout LLC</t>
  </si>
  <si>
    <t>Ellis County TX</t>
  </si>
  <si>
    <t>Royal Canin USA, Inc.</t>
  </si>
  <si>
    <t>ACS Technologies</t>
  </si>
  <si>
    <t>Columbus Regional Airport Authority</t>
  </si>
  <si>
    <t>Bridge City Independent School District</t>
  </si>
  <si>
    <t>Rochester Police 911</t>
  </si>
  <si>
    <t>Gordon County E911</t>
  </si>
  <si>
    <t>County of Sussex Sheriff's Dept</t>
  </si>
  <si>
    <t>Ponca City Public Safety Communications</t>
  </si>
  <si>
    <t>ADS Security</t>
  </si>
  <si>
    <t>Madison Gas &amp; Electric Company</t>
  </si>
  <si>
    <t>Grapevine Colleyville Independent School District</t>
  </si>
  <si>
    <t>Deciem Beauty Group Inc</t>
  </si>
  <si>
    <t>North Shore University Health System</t>
  </si>
  <si>
    <t>El Paso First Health Plans Inc.</t>
  </si>
  <si>
    <t>PBF Energy</t>
  </si>
  <si>
    <t>Sprague Operating Resources</t>
  </si>
  <si>
    <t>City of Madison</t>
  </si>
  <si>
    <t>East Hampton Town Police Department</t>
  </si>
  <si>
    <t>Crow Wing County Sheriff</t>
  </si>
  <si>
    <t>Shell Deer Park</t>
  </si>
  <si>
    <t>US Department of Homeland Security (FEMA)</t>
  </si>
  <si>
    <t>Salisbury MD Police Department</t>
  </si>
  <si>
    <t>Altus AFB</t>
  </si>
  <si>
    <t>Franklin Pud</t>
  </si>
  <si>
    <t>The Denver Hospice</t>
  </si>
  <si>
    <t>McLeod County</t>
  </si>
  <si>
    <t>The Energy Federation, Inc.</t>
  </si>
  <si>
    <t>Community Hospital</t>
  </si>
  <si>
    <t>Northern Montana Hospital - Corporate Account</t>
  </si>
  <si>
    <t>Retail Finance International Holdings, Inc. (RFIH)</t>
  </si>
  <si>
    <t>MARRIOTT INTERNATIONAL</t>
  </si>
  <si>
    <t>The Fairfield County Board of Count</t>
  </si>
  <si>
    <t>The Aerospace Corporation</t>
  </si>
  <si>
    <t>New York Stock Exchange</t>
  </si>
  <si>
    <t>Preble County Sheriff</t>
  </si>
  <si>
    <t>The Bank of New York Mellon f/k/a Mellon Bank</t>
  </si>
  <si>
    <t>Town of Gilbert</t>
  </si>
  <si>
    <t>Pella Regional Health Center</t>
  </si>
  <si>
    <t>Samaritan Healthcare</t>
  </si>
  <si>
    <t>State of Idaho</t>
  </si>
  <si>
    <t>M Health Fairview</t>
  </si>
  <si>
    <t>Barstow Police Department</t>
  </si>
  <si>
    <t>Infusion Software, Inc</t>
  </si>
  <si>
    <t>AIDS Healthcare Foundation</t>
  </si>
  <si>
    <t>HealthEZ</t>
  </si>
  <si>
    <t>Nashville Electric - Nashville, TN</t>
  </si>
  <si>
    <t>Cohoes Police Department</t>
  </si>
  <si>
    <t>Gem Plumbing &amp; Heating Services, LLC</t>
  </si>
  <si>
    <t>Borough of Roselle</t>
  </si>
  <si>
    <t>Reckitt Benckiser (RB) US</t>
  </si>
  <si>
    <t>LGM Financial Services Inc</t>
  </si>
  <si>
    <t>F-M Ambulance Service (Sanford Health)</t>
  </si>
  <si>
    <t>Florida Dept Law Enforcement-Hayes</t>
  </si>
  <si>
    <t>Hunters Ambulance Service Inc.</t>
  </si>
  <si>
    <t>Belhaven College</t>
  </si>
  <si>
    <t>Fidelity Investments</t>
  </si>
  <si>
    <t>University of Missouri</t>
  </si>
  <si>
    <t>Southwest Medical Center</t>
  </si>
  <si>
    <t>Wallingford Police Department</t>
  </si>
  <si>
    <t>Spectrum Vision Partners, LLC</t>
  </si>
  <si>
    <t>Canaccord Financial</t>
  </si>
  <si>
    <t>City of Little Rock</t>
  </si>
  <si>
    <t>Eagle Commodities</t>
  </si>
  <si>
    <t>State of Connecticut Department of Social Services</t>
  </si>
  <si>
    <t>Central Michigan University</t>
  </si>
  <si>
    <t>Scott County Sheriff</t>
  </si>
  <si>
    <t>Capital Metro</t>
  </si>
  <si>
    <t>Eastman Chemical Company</t>
  </si>
  <si>
    <t>Community College of Philadelphia</t>
  </si>
  <si>
    <t>Branford Police Department</t>
  </si>
  <si>
    <t>Connally Memorial Medical Center</t>
  </si>
  <si>
    <t>Wright County Sheriff</t>
  </si>
  <si>
    <t>National Aeronautics and Space Administration (NASA)</t>
  </si>
  <si>
    <t>Hocking County 911</t>
  </si>
  <si>
    <t>Newtown Police Department</t>
  </si>
  <si>
    <t>Enfield Police Department</t>
  </si>
  <si>
    <t>Scarsdale Public Safety</t>
  </si>
  <si>
    <t>Ector County Appraisal District</t>
  </si>
  <si>
    <t>University of MN Police</t>
  </si>
  <si>
    <t>Marathon County Sheriff</t>
  </si>
  <si>
    <t>North Fulton Regional Radio System Authority</t>
  </si>
  <si>
    <t>Rolex</t>
  </si>
  <si>
    <t>Treasure Island</t>
  </si>
  <si>
    <t>City of Norfolk Information Services</t>
  </si>
  <si>
    <t>Illinois Municipal Retirement Fund</t>
  </si>
  <si>
    <t>GAVS</t>
  </si>
  <si>
    <t>City of Toledo</t>
  </si>
  <si>
    <t>University of North Carolina Greensboro</t>
  </si>
  <si>
    <t>Butler Health System</t>
  </si>
  <si>
    <t>Trac Intermodal</t>
  </si>
  <si>
    <t>Tipmont REMC</t>
  </si>
  <si>
    <t>Union Square Credit Union</t>
  </si>
  <si>
    <t>Long Beach Police Department</t>
  </si>
  <si>
    <t>Douglas County School District</t>
  </si>
  <si>
    <t>Insight Financial Credit Union Inc</t>
  </si>
  <si>
    <t>Comstar Technologies LLC</t>
  </si>
  <si>
    <t>Design Data Systems, Inc.</t>
  </si>
  <si>
    <t>City of Pasadena</t>
  </si>
  <si>
    <t>Holyoke Gas &amp; Electric</t>
  </si>
  <si>
    <t>North Findlay Township Police</t>
  </si>
  <si>
    <t>Saltzer Medical</t>
  </si>
  <si>
    <t>City of Longview</t>
  </si>
  <si>
    <t>Smith Center for the Performing Arts</t>
  </si>
  <si>
    <t>City of Zanesville</t>
  </si>
  <si>
    <t>ALTAGAS LTD.</t>
  </si>
  <si>
    <t>North Bellmore Fire District</t>
  </si>
  <si>
    <t>Setauket Fire Department</t>
  </si>
  <si>
    <t>Benton County Sheriff</t>
  </si>
  <si>
    <t>State of Washington Department Retirement System</t>
  </si>
  <si>
    <t>City of College Station</t>
  </si>
  <si>
    <t>Hunton Group</t>
  </si>
  <si>
    <t>Windsor Casino</t>
  </si>
  <si>
    <t>Community Health Systems</t>
  </si>
  <si>
    <t>Croton-on-Hudson Police Department</t>
  </si>
  <si>
    <t>Collier County</t>
  </si>
  <si>
    <t>National Inventors Hall of Fame</t>
  </si>
  <si>
    <t>Texas A&amp;M International University</t>
  </si>
  <si>
    <t>United States Air Force</t>
  </si>
  <si>
    <t>National Park Service</t>
  </si>
  <si>
    <t>ALSTAR</t>
  </si>
  <si>
    <t>State of Connecticut Capitol Police</t>
  </si>
  <si>
    <t>Northwestern Mutual</t>
  </si>
  <si>
    <t>Brown County</t>
  </si>
  <si>
    <t>Sherburne County Sheriff</t>
  </si>
  <si>
    <t>SBM Electronics, Inc.</t>
  </si>
  <si>
    <t>Walker County E-911</t>
  </si>
  <si>
    <t>Travelers Corporate Security</t>
  </si>
  <si>
    <t>Simi Valley Police Department</t>
  </si>
  <si>
    <t>Brightstar Credit Union</t>
  </si>
  <si>
    <t>Florida Atlantic University</t>
  </si>
  <si>
    <t>Allegheny County Airport Authority</t>
  </si>
  <si>
    <t>South Orange Village</t>
  </si>
  <si>
    <t>Jefferson County Public Schools</t>
  </si>
  <si>
    <t>City of Cape Coral, Florida</t>
  </si>
  <si>
    <t>Wheatland Electric Cooperative, Inc.</t>
  </si>
  <si>
    <t>District of West Vancouver</t>
  </si>
  <si>
    <t>Electric Cooperatives of Arkansas</t>
  </si>
  <si>
    <t>Thresholds</t>
  </si>
  <si>
    <t>Goodhue County Sheriff</t>
  </si>
  <si>
    <t>Vancouver Airport Authority</t>
  </si>
  <si>
    <t>Rio Tinto (Kennecott Utah Copper)</t>
  </si>
  <si>
    <t>THE HOSPITAL AUTHORITY OF VALDOSTA AND LOWNDES COUNTY GEORGiA</t>
  </si>
  <si>
    <t>Midfirst Bank</t>
  </si>
  <si>
    <t>Transportation Security Administration (TSA)</t>
  </si>
  <si>
    <t>Aquarius Hotel Casino</t>
  </si>
  <si>
    <t>Samaritan Corvallis CDC</t>
  </si>
  <si>
    <t>Howard University Hospital</t>
  </si>
  <si>
    <t>DriveTime Automotive Group</t>
  </si>
  <si>
    <t>Clifton Police Department - NJ</t>
  </si>
  <si>
    <t>Manchester Police Department</t>
  </si>
  <si>
    <t>Aetna Life Insurance Company</t>
  </si>
  <si>
    <t>Star Financial Bank</t>
  </si>
  <si>
    <t>Clark County Water Reclamation</t>
  </si>
  <si>
    <t>Norman Regional Health System</t>
  </si>
  <si>
    <t>The City of Pembroke Pines</t>
  </si>
  <si>
    <t>Washington County 911</t>
  </si>
  <si>
    <t>Alberta Investment Management Corporation</t>
  </si>
  <si>
    <t>Westminster Communications Center</t>
  </si>
  <si>
    <t>City of Regina</t>
  </si>
  <si>
    <t>Texas County &amp; District Retirement System (TCDRS)</t>
  </si>
  <si>
    <t>Glastonbury Police Department</t>
  </si>
  <si>
    <t>Blue Earth County</t>
  </si>
  <si>
    <t>Wabasha County Sheriff</t>
  </si>
  <si>
    <t>Murrieta Police Department</t>
  </si>
  <si>
    <t>Madera Police Department</t>
  </si>
  <si>
    <t>Marcus Hotels &amp; Resorts</t>
  </si>
  <si>
    <t>Todd County Sheriff</t>
  </si>
  <si>
    <t>Imperial County Sheriff</t>
  </si>
  <si>
    <t>Kindercare Education LLC</t>
  </si>
  <si>
    <t>City of Portsmouth</t>
  </si>
  <si>
    <t>CISSAT Hospital Rouyn Noranda</t>
  </si>
  <si>
    <t>University of Chicago</t>
  </si>
  <si>
    <t>East Haven Police Department</t>
  </si>
  <si>
    <t>Cowley County</t>
  </si>
  <si>
    <t>Idaho Department of Fish and Game</t>
  </si>
  <si>
    <t>City of Gladstone</t>
  </si>
  <si>
    <t>Meeker County Sheriff</t>
  </si>
  <si>
    <t>Cigna Corporate Services, LLC</t>
  </si>
  <si>
    <t>Department of Insurance</t>
  </si>
  <si>
    <t>Bayer US LLC</t>
  </si>
  <si>
    <t>Beal Bank</t>
  </si>
  <si>
    <t>City of Laredo</t>
  </si>
  <si>
    <t>Columbia County Georgia</t>
  </si>
  <si>
    <t>Fortis BC</t>
  </si>
  <si>
    <t>Ridgetop Road</t>
  </si>
  <si>
    <t>City of Tacoma (Telecommunications)</t>
  </si>
  <si>
    <t>National Elev Industry</t>
  </si>
  <si>
    <t>PANTHERS BRHC LTD</t>
  </si>
  <si>
    <t>Transit Workers Union Local 100</t>
  </si>
  <si>
    <t>LifeNet Health</t>
  </si>
  <si>
    <t>Conyers Police Department</t>
  </si>
  <si>
    <t>United States Navy</t>
  </si>
  <si>
    <t>Town of Palm Beach Police</t>
  </si>
  <si>
    <t>Yale University Security Department</t>
  </si>
  <si>
    <t>DZ Bank AG</t>
  </si>
  <si>
    <t>Rockdale County</t>
  </si>
  <si>
    <t>Manhasset Lakeville Fire District</t>
  </si>
  <si>
    <t>Riverhead Police Department</t>
  </si>
  <si>
    <t>Terryville Fire District</t>
  </si>
  <si>
    <t>Center Moriches Fire Department</t>
  </si>
  <si>
    <t>Bond County 911</t>
  </si>
  <si>
    <t>Watonwan County 911</t>
  </si>
  <si>
    <t>County of Doniphan</t>
  </si>
  <si>
    <t>Polk County Sheriff</t>
  </si>
  <si>
    <t>Hamilton County Sheriff, NE</t>
  </si>
  <si>
    <t>Kandiyohi County Sheriff</t>
  </si>
  <si>
    <t>Macon County 911</t>
  </si>
  <si>
    <t>Mahnomen County Sheriff</t>
  </si>
  <si>
    <t>Washington University Police Department</t>
  </si>
  <si>
    <t>Wilkin County MN Sheriff</t>
  </si>
  <si>
    <t>Kodak Security Company</t>
  </si>
  <si>
    <t>California State University Fresno</t>
  </si>
  <si>
    <t>Hayward CA Police Department</t>
  </si>
  <si>
    <t>San Bernadino City USD School Police</t>
  </si>
  <si>
    <t>Texas Bank &amp; Trust Company</t>
  </si>
  <si>
    <t>Radian Group Inc.</t>
  </si>
  <si>
    <t>Revival Animal Health, Inc.</t>
  </si>
  <si>
    <t>City of Vaughan</t>
  </si>
  <si>
    <t>Rocky Mountain Cancer Centers Colorado</t>
  </si>
  <si>
    <t>Tallahassee Community College</t>
  </si>
  <si>
    <t>FL Department of Corrections</t>
  </si>
  <si>
    <t>Sulphur Springs Valley Electric Coop.</t>
  </si>
  <si>
    <t>North Plainfield Police Department</t>
  </si>
  <si>
    <t>Adult &amp; Child Mental Health Care, LLC</t>
  </si>
  <si>
    <t>Oklahoma Highway Patrol</t>
  </si>
  <si>
    <t>United Bank for Africa Plc</t>
  </si>
  <si>
    <t>HBK Services, LLC</t>
  </si>
  <si>
    <t>City of Gastonia</t>
  </si>
  <si>
    <t>PeaceHealth St Joseph Hospital Bellingham</t>
  </si>
  <si>
    <t>Mutual of America</t>
  </si>
  <si>
    <t>Baylor Scott &amp; White Medical Center</t>
  </si>
  <si>
    <t>Community Bridges Inc</t>
  </si>
  <si>
    <t>Town of Bedford Police Department</t>
  </si>
  <si>
    <t>Ratiodata</t>
  </si>
  <si>
    <t>KPC Global Management</t>
  </si>
  <si>
    <t>Pike County Sheriff's Office</t>
  </si>
  <si>
    <t>Jones County Sheriff</t>
  </si>
  <si>
    <t>Sleepy Hollow Police Department</t>
  </si>
  <si>
    <t>Town of New Canaan</t>
  </si>
  <si>
    <t>Einstein Medical Center</t>
  </si>
  <si>
    <t>Conning, Inc</t>
  </si>
  <si>
    <t>American Federation of State, City and Municipal Employees (AFSCME)</t>
  </si>
  <si>
    <t>City of Decatur</t>
  </si>
  <si>
    <t>Magnolia Regional Health</t>
  </si>
  <si>
    <t>NASA Goddard Space Flight Center</t>
  </si>
  <si>
    <t>Essex County Correctional</t>
  </si>
  <si>
    <t>Public School Teacher's Pension and Retirement Fund</t>
  </si>
  <si>
    <t>First Choice Community Healthcare</t>
  </si>
  <si>
    <t>Pennington County Sheriff</t>
  </si>
  <si>
    <t>Cenikor Foundation</t>
  </si>
  <si>
    <t>County of Montgomery</t>
  </si>
  <si>
    <t>Providence Health Centralia</t>
  </si>
  <si>
    <t>Boston Mutual Life Insurance</t>
  </si>
  <si>
    <t>Cornerstone Medical Care</t>
  </si>
  <si>
    <t>WSDOT Dayton TMC (Washington State Department of Transportation)</t>
  </si>
  <si>
    <t>CSX Transportation Inc.</t>
  </si>
  <si>
    <t>Nova Southeastern University</t>
  </si>
  <si>
    <t>Sammons Financial Group</t>
  </si>
  <si>
    <t>Rogers Communications Canada Inc.</t>
  </si>
  <si>
    <t>Southern Ohio Medical Center</t>
  </si>
  <si>
    <t>Tudor Investment Corporation</t>
  </si>
  <si>
    <t>IndyGo</t>
  </si>
  <si>
    <t>Mamaroneck Village Police Department</t>
  </si>
  <si>
    <t>Bureau of The Fiscal Service</t>
  </si>
  <si>
    <t>Portsmouth Mission Alliance, LLC</t>
  </si>
  <si>
    <t>Madison Memorial Hospital</t>
  </si>
  <si>
    <t>Bingham Memorial Hospital</t>
  </si>
  <si>
    <t>Tristate Capital Bank</t>
  </si>
  <si>
    <t>Radiant Credit Union fka SunState Federal Credit Union</t>
  </si>
  <si>
    <t>Cromwell Police Department</t>
  </si>
  <si>
    <t>Troy Police Department</t>
  </si>
  <si>
    <t>Albuquerque Public Schools</t>
  </si>
  <si>
    <t>North York General Hospital</t>
  </si>
  <si>
    <t>York Traditions Bank</t>
  </si>
  <si>
    <t>Rochester Institute of Technology</t>
  </si>
  <si>
    <t>Martin County</t>
  </si>
  <si>
    <t>County of Crittenden</t>
  </si>
  <si>
    <t>Clinton County Emergency Services</t>
  </si>
  <si>
    <t>Brookfield Police Department</t>
  </si>
  <si>
    <t xml:space="preserve"> United States Central Command</t>
  </si>
  <si>
    <t>The Palace, Inc</t>
  </si>
  <si>
    <t>County of Lackawanna Transit System</t>
  </si>
  <si>
    <t>BOKF, NA</t>
  </si>
  <si>
    <t>Amityville Police</t>
  </si>
  <si>
    <t>St. Johns University</t>
  </si>
  <si>
    <t>Huntington Fire District</t>
  </si>
  <si>
    <t>Adelphi University</t>
  </si>
  <si>
    <t>Jericho Fire District</t>
  </si>
  <si>
    <t>AT&amp;T Fortuna Police Department</t>
  </si>
  <si>
    <t>AT&amp;T  Marysville Police Department</t>
  </si>
  <si>
    <t>Washburn County Sheriff</t>
  </si>
  <si>
    <t>Otter Tail County 911</t>
  </si>
  <si>
    <t>Antelope County Sheriff</t>
  </si>
  <si>
    <t>Aitkin County Sheriff</t>
  </si>
  <si>
    <t>Pope County Sheriff</t>
  </si>
  <si>
    <t>Burt County Sheriff</t>
  </si>
  <si>
    <t>Charleston MO Department of Public Safety</t>
  </si>
  <si>
    <t>County of Chase</t>
  </si>
  <si>
    <t>County of Redwood</t>
  </si>
  <si>
    <t>Winona County Sheriff</t>
  </si>
  <si>
    <t>Douglas County Sheriff</t>
  </si>
  <si>
    <t>Faribault County PD</t>
  </si>
  <si>
    <t>Missouri State University PD</t>
  </si>
  <si>
    <t>Nicollet County</t>
  </si>
  <si>
    <t>St. Louis University</t>
  </si>
  <si>
    <t>Thayer County Sheriff</t>
  </si>
  <si>
    <t>LeSueur County</t>
  </si>
  <si>
    <t>Richmond CA Police Department</t>
  </si>
  <si>
    <t>City College of San Francisco</t>
  </si>
  <si>
    <t>Lodi Police Department</t>
  </si>
  <si>
    <t>Amador County Sheriff Department</t>
  </si>
  <si>
    <t>Commodity Futures</t>
  </si>
  <si>
    <t>North Haven Police Department</t>
  </si>
  <si>
    <t>Amanyara Resort</t>
  </si>
  <si>
    <t>North Arkansas Regional Medical Center</t>
  </si>
  <si>
    <t>Business Communications Inc.</t>
  </si>
  <si>
    <t>KLLM Transport Services, LLC</t>
  </si>
  <si>
    <t>McLennan Community College</t>
  </si>
  <si>
    <t>Centerbridge Partners</t>
  </si>
  <si>
    <t>Fresh Direct</t>
  </si>
  <si>
    <t>Fillmore County Sheriff</t>
  </si>
  <si>
    <t>City Of St. John's</t>
  </si>
  <si>
    <t>Pfizer, Inc</t>
  </si>
  <si>
    <t>Stratford Police Department</t>
  </si>
  <si>
    <t>Granby Police Department</t>
  </si>
  <si>
    <t>LANDESBANK BADEN-WURTTEMBERG</t>
  </si>
  <si>
    <t>Stearns County Sheriff</t>
  </si>
  <si>
    <t>Douglas AZ Police Department</t>
  </si>
  <si>
    <t>Coventry Police Department</t>
  </si>
  <si>
    <t>University of Hartford</t>
  </si>
  <si>
    <t>Ardsley Village Police Department</t>
  </si>
  <si>
    <t>Detewe</t>
  </si>
  <si>
    <t>LA Air Force Base</t>
  </si>
  <si>
    <t>University of New Mexico Sandoval Regional Medical Center</t>
  </si>
  <si>
    <t>State University of New York</t>
  </si>
  <si>
    <t>Stevens County</t>
  </si>
  <si>
    <t>Cass County Sheriff</t>
  </si>
  <si>
    <t>Dodge County Sheriff</t>
  </si>
  <si>
    <t>Grant County Sheriff</t>
  </si>
  <si>
    <t>General Dynamics</t>
  </si>
  <si>
    <t>Irvington Police Department</t>
  </si>
  <si>
    <t>Walker Jones</t>
  </si>
  <si>
    <t>Kansas City University</t>
  </si>
  <si>
    <t>Imperial Tobacco Group Brands LLC</t>
  </si>
  <si>
    <t>Allianz Life Insurance Company of North America</t>
  </si>
  <si>
    <t>Autozone, Inc.</t>
  </si>
  <si>
    <t>Montgomery Co Transit Services</t>
  </si>
  <si>
    <t>North Miami Beach Police Department</t>
  </si>
  <si>
    <t>East Chester Police Department</t>
  </si>
  <si>
    <t>Groton Police Department</t>
  </si>
  <si>
    <t>Midland States Bank</t>
  </si>
  <si>
    <t>Corpus Christi Regional Transportation Authority</t>
  </si>
  <si>
    <t>Peoples Bank of China formerly Rosewood Investment</t>
  </si>
  <si>
    <t>Social Edge Consulting, LLC</t>
  </si>
  <si>
    <t>Newark Element14</t>
  </si>
  <si>
    <t>School Board Of Palm Beach County</t>
  </si>
  <si>
    <t>CTMF IT DATA CENTER</t>
  </si>
  <si>
    <t>Burlington Bristol Bridge</t>
  </si>
  <si>
    <t>LVCD Corporate</t>
  </si>
  <si>
    <t>Jet Delivery</t>
  </si>
  <si>
    <t>Millennium Process Group, Inc.</t>
  </si>
  <si>
    <t>OSTERTAG DETEWE HOLDING GMBH</t>
  </si>
  <si>
    <t>BC Securities</t>
  </si>
  <si>
    <t>Cherry County Hospital</t>
  </si>
  <si>
    <t>Industrial and Commercial Bank of China LTD NY Branch</t>
  </si>
  <si>
    <t>Rush University Medical Center</t>
  </si>
  <si>
    <t>University of Texas of the Permian Basin</t>
  </si>
  <si>
    <t>State University of New York Maritime College</t>
  </si>
  <si>
    <t>Florida Department of Juvenile Justice</t>
  </si>
  <si>
    <t>Clarion Hospital</t>
  </si>
  <si>
    <t>City of Plattsburgh</t>
  </si>
  <si>
    <t>MILFORD POLICE DEPARTMENT</t>
  </si>
  <si>
    <t>DV TRADING, LLC</t>
  </si>
  <si>
    <t>First National Bank &amp; Trust Company</t>
  </si>
  <si>
    <t>Big Stone County</t>
  </si>
  <si>
    <t>Mower County Sheriff</t>
  </si>
  <si>
    <t>SSM St. Clare Health Center</t>
  </si>
  <si>
    <t>Minnetonka Police Department</t>
  </si>
  <si>
    <t>Chester Police Department</t>
  </si>
  <si>
    <t>Phelps County Regional Medical Center</t>
  </si>
  <si>
    <t>Rockhurst University</t>
  </si>
  <si>
    <t>SSM Saint Joseph Health Center (St. Charles)</t>
  </si>
  <si>
    <t>St. Peter Police</t>
  </si>
  <si>
    <t>East Prairie Police Department</t>
  </si>
  <si>
    <t>Freeborn County Sheriff</t>
  </si>
  <si>
    <t>SSM Saint Mary's Health Center</t>
  </si>
  <si>
    <t>UMSL - Police Department</t>
  </si>
  <si>
    <t>Chino Valley Medical Center</t>
  </si>
  <si>
    <t>Pima Community College</t>
  </si>
  <si>
    <t>Santa Rosa Junior College Police Department</t>
  </si>
  <si>
    <t>Kaiser Permanente</t>
  </si>
  <si>
    <t>Mojave Air and Space Port</t>
  </si>
  <si>
    <t>Boulder City, NV</t>
  </si>
  <si>
    <t>Maimonides Medical Center</t>
  </si>
  <si>
    <t>EAJ Assistance Services Canada</t>
  </si>
  <si>
    <t>Wolcott Police Department</t>
  </si>
  <si>
    <t>Stratford Fire Department</t>
  </si>
  <si>
    <t>Excel Energy</t>
  </si>
  <si>
    <t>ARTISAN PARTNERS, LP</t>
  </si>
  <si>
    <t>URM Stores Inc</t>
  </si>
  <si>
    <t>Woori America Bank</t>
  </si>
  <si>
    <t>Yukon Energy Corporation</t>
  </si>
  <si>
    <t>Shawnee Mission School District</t>
  </si>
  <si>
    <t>Great Plains Health</t>
  </si>
  <si>
    <t>Global Medical Response (fka Air Medical Group Holdings (AMGH))</t>
  </si>
  <si>
    <t>FRESHTIX</t>
  </si>
  <si>
    <t>Quincy Fire Department</t>
  </si>
  <si>
    <t>Woodbridge Fire Department</t>
  </si>
  <si>
    <t>National Institutes of Health (NIH)</t>
  </si>
  <si>
    <t>Pueblo County</t>
  </si>
  <si>
    <t>Conflulytics</t>
  </si>
  <si>
    <t>Carolina East Medical Center</t>
  </si>
  <si>
    <t>Michael Garron Hospital</t>
  </si>
  <si>
    <t>New Era Technology</t>
  </si>
  <si>
    <t>Bessette - Createur de confort</t>
  </si>
  <si>
    <t>Town of Brookhaven</t>
  </si>
  <si>
    <t>Ortho Clinical Diagnostics</t>
  </si>
  <si>
    <t>NB Power Corporation</t>
  </si>
  <si>
    <t>Sloan Global Holdings, LLC</t>
  </si>
  <si>
    <t>Broadmead Care</t>
  </si>
  <si>
    <t>Port Moody Police Department</t>
  </si>
  <si>
    <t>Commerzbank AG New York</t>
  </si>
  <si>
    <t>Indigo Sky Casino</t>
  </si>
  <si>
    <t>University of North Carolina School of the Arts (UNCSA)</t>
  </si>
  <si>
    <t>Analog Devices, Inc.</t>
  </si>
  <si>
    <t>Clarion University of Pennsylvania</t>
  </si>
  <si>
    <t>US Marine Corps</t>
  </si>
  <si>
    <t>Berenberg Bank</t>
  </si>
  <si>
    <t>Henderson Global Investors</t>
  </si>
  <si>
    <t>New York Blood Center</t>
  </si>
  <si>
    <t>BUILD Initiative TSNE</t>
  </si>
  <si>
    <t>Insight Direct USA, Inc.</t>
  </si>
  <si>
    <t>ADS Alliance Data Systems, Inc</t>
  </si>
  <si>
    <t>Comenity Servicing, LLC</t>
  </si>
  <si>
    <t>Dell Marketing LP</t>
  </si>
  <si>
    <t>Quest Software Inc.</t>
  </si>
  <si>
    <t>Santa Rosa CA Police Department</t>
  </si>
  <si>
    <t>Talbots</t>
  </si>
  <si>
    <t>Premium Brands Services, LLC</t>
  </si>
  <si>
    <t>CAA - Q9 Brampton</t>
  </si>
  <si>
    <t>Humber River Hospital</t>
  </si>
  <si>
    <t>UMASS Medical School</t>
  </si>
  <si>
    <t>Forbes Hospital</t>
  </si>
  <si>
    <t>Trinity College</t>
  </si>
  <si>
    <t>Intact Financial Corporation</t>
  </si>
  <si>
    <t>Interval International, Inc.</t>
  </si>
  <si>
    <t>Keys Energy Services</t>
  </si>
  <si>
    <t>Floral Park Police Department</t>
  </si>
  <si>
    <t>Newsela, Inc</t>
  </si>
  <si>
    <t>National Information Solutions Cooperative (NISC)</t>
  </si>
  <si>
    <t>SugarCRM</t>
  </si>
  <si>
    <t>Georgian Partners</t>
  </si>
  <si>
    <t>Start Early</t>
  </si>
  <si>
    <t>GMB Architecture and Engineering</t>
  </si>
  <si>
    <t>Health Catalyst</t>
  </si>
  <si>
    <t>Affinion Group</t>
  </si>
  <si>
    <t>AT&amp;T - Oceanside Police Department</t>
  </si>
  <si>
    <t>cxLoyalty. Inc.,</t>
  </si>
  <si>
    <t>Emerson Electric Co.</t>
  </si>
  <si>
    <t>Emerson Process Management</t>
  </si>
  <si>
    <t>Shoregroup Solutions LLC</t>
  </si>
  <si>
    <t>Alamo City Engineering Services Inc</t>
  </si>
  <si>
    <t>Defense Information Systems Agency</t>
  </si>
  <si>
    <t>Autozone Parts, Inc.</t>
  </si>
  <si>
    <t>Aveva Software, LLC.</t>
  </si>
  <si>
    <t>Invensys System, Inc.</t>
  </si>
  <si>
    <t>Connexions Loyalty Acquisition, LLC</t>
  </si>
  <si>
    <t>Northern Arizona University Police Department</t>
  </si>
  <si>
    <t>City of Manchester</t>
  </si>
  <si>
    <t>Combined Regional Communications Authority</t>
  </si>
  <si>
    <t>Flagstaff Police Department</t>
  </si>
  <si>
    <t>Virginia State Police</t>
  </si>
  <si>
    <t>Lee County GA E911</t>
  </si>
  <si>
    <t>Lowndes County E-911</t>
  </si>
  <si>
    <t>Torch Technologies, Inc.</t>
  </si>
  <si>
    <t>Trace Systems Inc</t>
  </si>
  <si>
    <t>Leidos Innovations Corp.</t>
  </si>
  <si>
    <t>CLAY COUNTY ELECTRIC</t>
  </si>
  <si>
    <t>Intlx Solutions, LLC</t>
  </si>
  <si>
    <t>Cognizant Technology Solutions US Corporation</t>
  </si>
  <si>
    <t>ConvergeOne Inc.</t>
  </si>
  <si>
    <t>Journey.AI</t>
  </si>
  <si>
    <t>University of Pennsylvania - Penn Medicine at Rittenhouse</t>
  </si>
  <si>
    <t>CAA South Central Ontario Systems and Services Inc.</t>
  </si>
  <si>
    <t>Accelerated Learning</t>
  </si>
  <si>
    <t>Stein Lodge</t>
  </si>
  <si>
    <t>DHL Express (USA) Inc.</t>
  </si>
  <si>
    <t>Victory Auto Group</t>
  </si>
  <si>
    <t>AMC Technology, LLC</t>
  </si>
  <si>
    <t>Interactive Northwest Inc</t>
  </si>
  <si>
    <t>EGS Financial Care, Inc. fka NCO Financial Systems, Inc.</t>
  </si>
  <si>
    <t>Total System Services, Inc. (TSYS)</t>
  </si>
  <si>
    <t>Automobile Club of Southern California</t>
  </si>
  <si>
    <t>Speedway LLC</t>
  </si>
  <si>
    <t>US Naval War College</t>
  </si>
  <si>
    <t>United States Army Recruiting Command</t>
  </si>
  <si>
    <t>U.S. Department of Health and Human Services (NIH, NICHD)</t>
  </si>
  <si>
    <t>DC Public Library</t>
  </si>
  <si>
    <t>US Coast Guard HQ Washington DC</t>
  </si>
  <si>
    <t>Defense Health Agency</t>
  </si>
  <si>
    <t>Defense Manpower Data Center (DMDC)</t>
  </si>
  <si>
    <t>U.S. Office of Personnel Management</t>
  </si>
  <si>
    <t>Defense Travel Management Office-Pentagon</t>
  </si>
  <si>
    <t>US Army Public Health - MEDCOM</t>
  </si>
  <si>
    <t>Federal Bureau of Investigation</t>
  </si>
  <si>
    <t>US Equal Employment Opportunity Commission</t>
  </si>
  <si>
    <t>FEDERAL HIGHWAY ADMINISTRATION - DOT</t>
  </si>
  <si>
    <t>USAF EXPEDITIONARY CENTER</t>
  </si>
  <si>
    <t>Federal Law Enforcement Training Center</t>
  </si>
  <si>
    <t>U.S. Department of Health and Human Services (NIH NHLBI)</t>
  </si>
  <si>
    <t>HHS ROCKVILLE HR CENTER (CDC)</t>
  </si>
  <si>
    <t>U.S. Department of Treasury (U.S. Mint)</t>
  </si>
  <si>
    <t>Human Resource Command HRC Fort Knox</t>
  </si>
  <si>
    <t>U.S. Securities and Exchange Commission</t>
  </si>
  <si>
    <t>US Army - US MEPCOM</t>
  </si>
  <si>
    <t>Immigration and Customs Enforcement - Dept of Homeland Security</t>
  </si>
  <si>
    <t>US Army TRADOC</t>
  </si>
  <si>
    <t>US Department of Homeland Security</t>
  </si>
  <si>
    <t>Naval Inspector General</t>
  </si>
  <si>
    <t>NEXCOM Navy Exchange</t>
  </si>
  <si>
    <t>US Navy Sexual Assault Prevention Response Office (SAPRO)</t>
  </si>
  <si>
    <t>Army Reserve Command</t>
  </si>
  <si>
    <t>Army Talent Management Task Force</t>
  </si>
  <si>
    <t>Army Analytics Group</t>
  </si>
  <si>
    <t>U.S. Department of Health and Human Services (CDC)</t>
  </si>
  <si>
    <t>Social Security Administration</t>
  </si>
  <si>
    <t>Chester County 911 Center</t>
  </si>
  <si>
    <t>U.S. Bancorp successor in interest to MUFG Union Bank, N.a.</t>
  </si>
  <si>
    <t>MASSACHUSETTS TRIAL COURTS - ADMINISTRATIVE OFFICE</t>
  </si>
  <si>
    <t>MINNESOTA DEPARTMENT OF HEALTH</t>
  </si>
  <si>
    <t>New York City Dept of Education</t>
  </si>
  <si>
    <t>United Nations</t>
  </si>
  <si>
    <t>Kansas City Power &amp; Light</t>
  </si>
  <si>
    <t>Associated Bank N.A.</t>
  </si>
  <si>
    <t>Associated Banc Corp (Associated Bank)</t>
  </si>
  <si>
    <t>PictureU Promotions, Inc</t>
  </si>
  <si>
    <t>Cabela's LLC f/k/a Cabela's Inc.</t>
  </si>
  <si>
    <t>Bass Pro, LLC f/k/a Bass Pro Shops</t>
  </si>
  <si>
    <t>Qwest Corporation</t>
  </si>
  <si>
    <t>Embarq Management Company dba CenturyLink, Inc.</t>
  </si>
  <si>
    <t>LiveVox Inc.</t>
  </si>
  <si>
    <t>Pull-A-Part</t>
  </si>
  <si>
    <t>Penn Credit Corporation</t>
  </si>
  <si>
    <t>Ascension Point Recovery Services, LLC</t>
  </si>
  <si>
    <t>BHS Hospital Services, Inc.</t>
  </si>
  <si>
    <t>Retail Business Services LLC</t>
  </si>
  <si>
    <t>Hannaford Bros. Co</t>
  </si>
  <si>
    <t>Federal Consulting Group</t>
  </si>
  <si>
    <t>American Battle Monuments Commission</t>
  </si>
  <si>
    <t>U.S. Department of Justice (OJP)</t>
  </si>
  <si>
    <t>Centers for Medicare and Medicaid Services (CMS)</t>
  </si>
  <si>
    <t>Smithsonian Institution</t>
  </si>
  <si>
    <t>Defense Logistics Agency</t>
  </si>
  <si>
    <t>National Institute of Health</t>
  </si>
  <si>
    <t>National Marine Fisheries Service (NOAA/NMFS)</t>
  </si>
  <si>
    <t>SynaVoice LLC</t>
  </si>
  <si>
    <t>NASA Shared Service Center (NSSC)</t>
  </si>
  <si>
    <t>National Financial Partners Corp.</t>
  </si>
  <si>
    <t>Kestra Financial, Inc.</t>
  </si>
  <si>
    <t>Compulink Technologies Inc</t>
  </si>
  <si>
    <t>MTA - NYC Transit</t>
  </si>
  <si>
    <t>x</t>
  </si>
  <si>
    <t>Perpetual</t>
  </si>
  <si>
    <t>SaaS</t>
  </si>
  <si>
    <t>Partner</t>
  </si>
  <si>
    <t>Account</t>
  </si>
  <si>
    <t>Max Verint</t>
  </si>
  <si>
    <t>Max Verint license</t>
  </si>
  <si>
    <t>Model</t>
  </si>
  <si>
    <t>DPA Seats</t>
  </si>
  <si>
    <t>OnPrem Subscription</t>
  </si>
  <si>
    <t>Perp/OnPrem Subscription</t>
  </si>
  <si>
    <t>Vertical Alignment</t>
  </si>
  <si>
    <t>DPA-Max Licence</t>
  </si>
  <si>
    <t>Cigna Corporation</t>
  </si>
  <si>
    <t>Ally Financial Inc.</t>
  </si>
  <si>
    <t>AIG Global Operations</t>
  </si>
  <si>
    <t>Maximus, Inc.</t>
  </si>
  <si>
    <t>Five9, Inc</t>
  </si>
  <si>
    <t>Intuit Inc.</t>
  </si>
  <si>
    <t>Citibank N.A</t>
  </si>
  <si>
    <t>Verint Operations Manager - SaaS</t>
  </si>
  <si>
    <t>Verint Operations Visualizer (AAMT) - SaaS</t>
  </si>
  <si>
    <t>Verint Process Operations Visualizer - Term</t>
  </si>
  <si>
    <t>Verint Strategic Operations Visualizer</t>
  </si>
  <si>
    <t>Verint eg Work Manager</t>
  </si>
  <si>
    <t>Verint Operations Productivity - SaaS</t>
  </si>
  <si>
    <t>eg work manager</t>
  </si>
  <si>
    <t>Direct</t>
  </si>
  <si>
    <t>TTEC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</si>
</sst>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2" borderId="1" xfId="2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vertical="center"/>
    </xf>
    <xf numFmtId="164" fontId="2" fillId="3" borderId="1" xfId="2" applyNumberFormat="1" applyFont="1" applyFill="1" applyBorder="1" applyAlignment="1">
      <alignment vertical="center"/>
    </xf>
    <xf numFmtId="164" fontId="3" fillId="3" borderId="1" xfId="2" applyNumberFormat="1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2" applyNumberFormat="1" applyFont="1"/>
    <xf numFmtId="164" fontId="0" fillId="0" borderId="0" xfId="0" applyNumberFormat="1"/>
    <xf numFmtId="164" fontId="2" fillId="0" borderId="0" xfId="0" applyNumberFormat="1" applyFont="1"/>
    <xf numFmtId="0" fontId="2" fillId="5" borderId="0" xfId="0" applyFont="1" applyFill="1"/>
    <xf numFmtId="0" fontId="2" fillId="2" borderId="0" xfId="0" applyFont="1" applyFill="1"/>
    <xf numFmtId="0" fontId="2" fillId="0" borderId="0" xfId="0" applyFont="1" applyFill="1"/>
    <xf numFmtId="0" fontId="0" fillId="2" borderId="0" xfId="0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93b48b6e29d1d2c/Documents/3xG%20Consulting/Prospecting/Account%20Data/Whitespace%20partner%20data%20-%20April%202024.xlsx" TargetMode="External"/><Relationship Id="rId1" Type="http://schemas.openxmlformats.org/officeDocument/2006/relationships/externalLinkPath" Target="Whitespace%20partner%20data%20-%20Apri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Data"/>
      <sheetName val="Active- PreClean"/>
      <sheetName val="Application to Item Mapping"/>
      <sheetName val="Active- Clean"/>
      <sheetName val="lookup"/>
      <sheetName val="Pivot WFE Apps"/>
      <sheetName val="Quantified Whitespac No SSA-IRS"/>
      <sheetName val="Over 10000"/>
      <sheetName val="Work for Five9"/>
      <sheetName val="All Accounts"/>
      <sheetName val="100-999 Accounts"/>
      <sheetName val="List for Five9 South GA FL"/>
      <sheetName val="Region Lookup"/>
    </sheetNames>
    <sheetDataSet>
      <sheetData sheetId="0"/>
      <sheetData sheetId="1"/>
      <sheetData sheetId="2"/>
      <sheetData sheetId="3"/>
      <sheetData sheetId="4">
        <row r="1">
          <cell r="A1" t="str">
            <v>1199 SEIU National Benefits Fund</v>
          </cell>
          <cell r="B1" t="str">
            <v>SaaS</v>
          </cell>
        </row>
        <row r="2">
          <cell r="A2" t="str">
            <v>2U Inc</v>
          </cell>
          <cell r="B2" t="str">
            <v>SaaS</v>
          </cell>
        </row>
        <row r="3">
          <cell r="A3" t="str">
            <v>AAA East Central</v>
          </cell>
          <cell r="B3" t="str">
            <v>Perpetual</v>
          </cell>
        </row>
        <row r="4">
          <cell r="A4" t="str">
            <v>Abbott Nutrition</v>
          </cell>
          <cell r="B4" t="str">
            <v>SaaS</v>
          </cell>
        </row>
        <row r="5">
          <cell r="A5" t="str">
            <v>Accelerated Learning</v>
          </cell>
          <cell r="B5" t="str">
            <v>SaaS</v>
          </cell>
        </row>
        <row r="6">
          <cell r="A6" t="str">
            <v>Accenture</v>
          </cell>
          <cell r="B6" t="str">
            <v>Term</v>
          </cell>
        </row>
        <row r="7">
          <cell r="A7" t="str">
            <v>Accenture State Healthcare Services LLC</v>
          </cell>
          <cell r="B7" t="str">
            <v>SaaS</v>
          </cell>
        </row>
        <row r="8">
          <cell r="A8" t="str">
            <v>ACS Technologies</v>
          </cell>
          <cell r="B8" t="str">
            <v>SaaS</v>
          </cell>
        </row>
        <row r="9">
          <cell r="A9" t="str">
            <v>Acuity Eye La Jolla, P.C.</v>
          </cell>
          <cell r="B9" t="str">
            <v>SaaS</v>
          </cell>
        </row>
        <row r="10">
          <cell r="A10" t="str">
            <v>Ademco Inc</v>
          </cell>
          <cell r="B10" t="str">
            <v>Term</v>
          </cell>
        </row>
        <row r="11">
          <cell r="A11" t="str">
            <v>ADS Security</v>
          </cell>
          <cell r="B11" t="str">
            <v>Term</v>
          </cell>
        </row>
        <row r="12">
          <cell r="A12" t="str">
            <v>Advance Auto Parts, Inc.</v>
          </cell>
          <cell r="B12" t="str">
            <v>SaaS</v>
          </cell>
        </row>
        <row r="13">
          <cell r="A13" t="str">
            <v>Affordable Care</v>
          </cell>
          <cell r="B13" t="str">
            <v>SaaS</v>
          </cell>
        </row>
        <row r="14">
          <cell r="A14" t="str">
            <v>AGA Service Company fka Allianz Global Assistance</v>
          </cell>
          <cell r="B14" t="str">
            <v>Term</v>
          </cell>
        </row>
        <row r="15">
          <cell r="A15" t="str">
            <v>Agilent Technologies Inc</v>
          </cell>
          <cell r="B15" t="str">
            <v>SaaS</v>
          </cell>
        </row>
        <row r="16">
          <cell r="A16" t="str">
            <v>Agiliti Health, Inc.</v>
          </cell>
          <cell r="B16" t="str">
            <v>SaaS</v>
          </cell>
        </row>
        <row r="17">
          <cell r="A17" t="str">
            <v>AIDS Healthcare Foundation</v>
          </cell>
          <cell r="B17" t="str">
            <v>SaaS</v>
          </cell>
        </row>
        <row r="18">
          <cell r="A18" t="str">
            <v>Alere Health, Inc</v>
          </cell>
          <cell r="B18" t="str">
            <v>Perpetual</v>
          </cell>
        </row>
        <row r="19">
          <cell r="A19" t="str">
            <v>Allianz Life Insurance Company of North America</v>
          </cell>
          <cell r="B19" t="str">
            <v>Term</v>
          </cell>
        </row>
        <row r="20">
          <cell r="A20" t="str">
            <v>Allianz Technology of America, Inc.</v>
          </cell>
          <cell r="B20" t="str">
            <v>Perpetual</v>
          </cell>
        </row>
        <row r="21">
          <cell r="A21" t="str">
            <v>Allina Health</v>
          </cell>
          <cell r="B21" t="str">
            <v>Perpetual</v>
          </cell>
        </row>
        <row r="22">
          <cell r="A22" t="str">
            <v>Allstate Insurance Co. of Canada Ltd.</v>
          </cell>
          <cell r="B22" t="str">
            <v>Term</v>
          </cell>
        </row>
        <row r="23">
          <cell r="A23" t="str">
            <v>Alticor Inc.</v>
          </cell>
          <cell r="B23" t="str">
            <v>Perpetual</v>
          </cell>
        </row>
        <row r="24">
          <cell r="A24" t="str">
            <v>AmaWaterways</v>
          </cell>
          <cell r="B24" t="str">
            <v>SaaS</v>
          </cell>
        </row>
        <row r="25">
          <cell r="A25" t="str">
            <v>AMC Technology, LLC</v>
          </cell>
          <cell r="B25" t="str">
            <v>SaaS</v>
          </cell>
        </row>
        <row r="26">
          <cell r="A26" t="str">
            <v>American Credit Acceptance</v>
          </cell>
          <cell r="B26" t="str">
            <v>SaaS</v>
          </cell>
        </row>
        <row r="27">
          <cell r="A27" t="str">
            <v>American Family Life Assurance Company of Columbus (AFLAC)</v>
          </cell>
          <cell r="B27" t="str">
            <v>Term</v>
          </cell>
        </row>
        <row r="28">
          <cell r="A28" t="str">
            <v>American Honda Motor Co., Inc.</v>
          </cell>
          <cell r="B28" t="str">
            <v>Perpetual</v>
          </cell>
        </row>
        <row r="29">
          <cell r="A29" t="str">
            <v>American Water</v>
          </cell>
          <cell r="B29" t="str">
            <v>Term</v>
          </cell>
        </row>
        <row r="30">
          <cell r="A30" t="str">
            <v>AmeriHealth Caritas Health Plan</v>
          </cell>
          <cell r="B30" t="str">
            <v>Term</v>
          </cell>
        </row>
        <row r="31">
          <cell r="A31" t="str">
            <v>Amtrak</v>
          </cell>
          <cell r="B31" t="str">
            <v>SaaS</v>
          </cell>
        </row>
        <row r="32">
          <cell r="A32" t="str">
            <v>AQR Capital Management, LLC</v>
          </cell>
          <cell r="B32" t="str">
            <v>Perpetual</v>
          </cell>
        </row>
        <row r="33">
          <cell r="A33" t="str">
            <v>Aquarius Hotel Casino</v>
          </cell>
          <cell r="B33" t="str">
            <v>Perpetual</v>
          </cell>
        </row>
        <row r="34">
          <cell r="A34" t="str">
            <v>Archrock Services, L.P.</v>
          </cell>
          <cell r="B34" t="str">
            <v>SaaS</v>
          </cell>
        </row>
        <row r="35">
          <cell r="A35" t="str">
            <v>Army &amp; Air Force Exchange Services (AAFES)</v>
          </cell>
          <cell r="B35" t="str">
            <v>Term</v>
          </cell>
        </row>
        <row r="36">
          <cell r="A36" t="str">
            <v>Arthur J. Gallagher (US)</v>
          </cell>
          <cell r="B36" t="str">
            <v>Term</v>
          </cell>
        </row>
        <row r="37">
          <cell r="A37" t="str">
            <v>Ascension Health</v>
          </cell>
          <cell r="B37" t="str">
            <v>Term</v>
          </cell>
        </row>
        <row r="38">
          <cell r="A38" t="str">
            <v>Asset Marketing Services, LLC</v>
          </cell>
          <cell r="B38" t="str">
            <v>Term</v>
          </cell>
        </row>
        <row r="39">
          <cell r="A39" t="str">
            <v>Assistenza International</v>
          </cell>
          <cell r="B39" t="str">
            <v>SaaS</v>
          </cell>
        </row>
        <row r="40">
          <cell r="A40" t="str">
            <v>Associa Inc.</v>
          </cell>
          <cell r="B40" t="str">
            <v>SaaS</v>
          </cell>
        </row>
        <row r="41">
          <cell r="A41" t="str">
            <v>Associated RGNL &amp; Univ Pathologists (ARUP)</v>
          </cell>
          <cell r="B41" t="str">
            <v>Term</v>
          </cell>
        </row>
        <row r="42">
          <cell r="A42" t="str">
            <v>Atlantic Union Bank</v>
          </cell>
          <cell r="B42" t="str">
            <v>SaaS</v>
          </cell>
        </row>
        <row r="43">
          <cell r="A43" t="str">
            <v>Atlanticare Health System</v>
          </cell>
          <cell r="B43" t="str">
            <v>Perpetual</v>
          </cell>
        </row>
        <row r="44">
          <cell r="A44" t="str">
            <v>Atos IT Solutions and Services, Inc.</v>
          </cell>
          <cell r="B44" t="str">
            <v>SaaS</v>
          </cell>
        </row>
        <row r="45">
          <cell r="A45" t="str">
            <v>Autozone Parts, Inc.</v>
          </cell>
          <cell r="B45" t="str">
            <v>Perpetual</v>
          </cell>
        </row>
        <row r="46">
          <cell r="A46" t="str">
            <v>Avaya Global IT CCT</v>
          </cell>
          <cell r="B46" t="str">
            <v>Perpetual</v>
          </cell>
        </row>
        <row r="47">
          <cell r="A47" t="str">
            <v>Avis Budget Car Rental, LLC (ABCR)</v>
          </cell>
          <cell r="B47" t="str">
            <v>SaaS</v>
          </cell>
        </row>
        <row r="48">
          <cell r="A48" t="str">
            <v>Avista Corporation</v>
          </cell>
          <cell r="B48" t="str">
            <v>Term</v>
          </cell>
        </row>
        <row r="49">
          <cell r="A49" t="str">
            <v>Avnet Inc.</v>
          </cell>
          <cell r="B49" t="str">
            <v>Term</v>
          </cell>
        </row>
        <row r="50">
          <cell r="A50" t="str">
            <v>B2B Bank</v>
          </cell>
          <cell r="B50" t="str">
            <v>Perpetual</v>
          </cell>
        </row>
        <row r="51">
          <cell r="A51" t="str">
            <v>Baltimore County Communications Center</v>
          </cell>
          <cell r="B51" t="str">
            <v>Perpetual</v>
          </cell>
        </row>
        <row r="52">
          <cell r="A52" t="str">
            <v>Bank of Montreal (BMO)</v>
          </cell>
          <cell r="B52" t="str">
            <v>Term</v>
          </cell>
        </row>
        <row r="53">
          <cell r="A53" t="str">
            <v>Bank of Nova Scotia</v>
          </cell>
          <cell r="B53" t="str">
            <v>Term</v>
          </cell>
        </row>
        <row r="54">
          <cell r="A54" t="str">
            <v>Bank of Oklahoma</v>
          </cell>
          <cell r="B54" t="str">
            <v>Perpetual</v>
          </cell>
        </row>
        <row r="55">
          <cell r="A55" t="str">
            <v>Banner Health dba North Colorado Medical Center</v>
          </cell>
          <cell r="B55" t="str">
            <v>Perpetual</v>
          </cell>
        </row>
        <row r="56">
          <cell r="A56" t="str">
            <v>Baptist Health</v>
          </cell>
          <cell r="B56" t="str">
            <v>Term</v>
          </cell>
        </row>
        <row r="57">
          <cell r="A57" t="str">
            <v>Baptist Health South Florida, Inc.</v>
          </cell>
          <cell r="B57" t="str">
            <v>Term</v>
          </cell>
        </row>
        <row r="58">
          <cell r="A58" t="str">
            <v>Baptist Health System, Inc</v>
          </cell>
          <cell r="B58" t="str">
            <v>SaaS</v>
          </cell>
        </row>
        <row r="59">
          <cell r="A59" t="str">
            <v>Behavioral Health Response, Inc.</v>
          </cell>
          <cell r="B59" t="str">
            <v>SaaS</v>
          </cell>
        </row>
        <row r="60">
          <cell r="A60" t="str">
            <v>Bell Canada</v>
          </cell>
          <cell r="B60" t="str">
            <v>Term</v>
          </cell>
        </row>
        <row r="61">
          <cell r="A61" t="str">
            <v>Benefis Healthcare</v>
          </cell>
          <cell r="B61" t="str">
            <v>Perpetual</v>
          </cell>
        </row>
        <row r="62">
          <cell r="A62" t="str">
            <v>Bessette - Createur de confort</v>
          </cell>
          <cell r="B62" t="str">
            <v>SaaS</v>
          </cell>
        </row>
        <row r="63">
          <cell r="A63" t="str">
            <v>Best Western International, Inc.</v>
          </cell>
          <cell r="B63" t="str">
            <v>SaaS</v>
          </cell>
        </row>
        <row r="64">
          <cell r="A64" t="str">
            <v>Beth Israel Deaconess Medical Center</v>
          </cell>
          <cell r="B64" t="str">
            <v>Term</v>
          </cell>
        </row>
        <row r="65">
          <cell r="A65" t="str">
            <v>BioScript Solutions</v>
          </cell>
          <cell r="B65" t="str">
            <v>SaaS</v>
          </cell>
        </row>
        <row r="66">
          <cell r="A66" t="str">
            <v>Blue Cross and Blue Shield of Vermont</v>
          </cell>
          <cell r="B66" t="str">
            <v>Perpetual</v>
          </cell>
        </row>
        <row r="67">
          <cell r="A67" t="str">
            <v>Blue Cross Blue Shield of Mississippi</v>
          </cell>
          <cell r="B67" t="str">
            <v>Perpetual</v>
          </cell>
        </row>
        <row r="68">
          <cell r="A68" t="str">
            <v>Blue Cross Blue Shield of SC</v>
          </cell>
          <cell r="B68" t="str">
            <v>Term</v>
          </cell>
        </row>
        <row r="69">
          <cell r="A69" t="str">
            <v>BMO Bank N.A. f/k/a BMO Harris Bank N.A.</v>
          </cell>
          <cell r="B69" t="str">
            <v>Term</v>
          </cell>
        </row>
        <row r="70">
          <cell r="A70" t="str">
            <v>Board of Regents of OU/OUHSC</v>
          </cell>
          <cell r="B70" t="str">
            <v>Term</v>
          </cell>
        </row>
        <row r="71">
          <cell r="A71" t="str">
            <v>Boca Raton Regional Hospital</v>
          </cell>
          <cell r="B71" t="str">
            <v>Term</v>
          </cell>
        </row>
        <row r="72">
          <cell r="A72" t="str">
            <v>Boeing Employees Credit Union</v>
          </cell>
          <cell r="B72" t="str">
            <v>SaaS</v>
          </cell>
        </row>
        <row r="73">
          <cell r="A73" t="str">
            <v>BOKF, NA</v>
          </cell>
          <cell r="B73" t="str">
            <v>Perpetual</v>
          </cell>
        </row>
        <row r="74">
          <cell r="A74" t="str">
            <v>Boston Mutual Life Insurance</v>
          </cell>
          <cell r="B74" t="str">
            <v>Term</v>
          </cell>
        </row>
        <row r="75">
          <cell r="A75" t="str">
            <v>Brave Health, Inc.</v>
          </cell>
          <cell r="B75" t="str">
            <v>SaaS</v>
          </cell>
        </row>
        <row r="76">
          <cell r="A76" t="str">
            <v>Brightstar Credit Union</v>
          </cell>
          <cell r="B76" t="str">
            <v>SaaS</v>
          </cell>
        </row>
        <row r="77">
          <cell r="A77" t="str">
            <v>Brooks Equipment Company</v>
          </cell>
          <cell r="B77" t="str">
            <v>Term</v>
          </cell>
        </row>
        <row r="78">
          <cell r="A78" t="str">
            <v>Bureau of Fiscal Service fka Bureau of Public Debt</v>
          </cell>
          <cell r="B78" t="str">
            <v>Perpetual</v>
          </cell>
        </row>
        <row r="79">
          <cell r="A79" t="str">
            <v>Bureau of The Fiscal Service</v>
          </cell>
          <cell r="B79" t="str">
            <v>Perpetual</v>
          </cell>
        </row>
        <row r="80">
          <cell r="A80" t="str">
            <v>Burlington Bristol Bridge</v>
          </cell>
          <cell r="B80" t="str">
            <v>Perpetual</v>
          </cell>
        </row>
        <row r="81">
          <cell r="A81" t="str">
            <v>Burlington Northern Santa Fe LLC</v>
          </cell>
          <cell r="B81" t="str">
            <v>Term</v>
          </cell>
        </row>
        <row r="82">
          <cell r="A82" t="str">
            <v>C3i Solutions</v>
          </cell>
          <cell r="B82" t="str">
            <v>Perpetual</v>
          </cell>
        </row>
        <row r="83">
          <cell r="A83" t="str">
            <v>CAA - Q9 Brampton</v>
          </cell>
          <cell r="B83" t="str">
            <v>Perpetual</v>
          </cell>
        </row>
        <row r="84">
          <cell r="A84" t="str">
            <v>CAA South Central Ontario Systems and Services Inc.</v>
          </cell>
          <cell r="B84" t="str">
            <v>Perpetual</v>
          </cell>
        </row>
        <row r="85">
          <cell r="A85" t="str">
            <v>California ISO</v>
          </cell>
          <cell r="B85" t="str">
            <v>Perpetual</v>
          </cell>
        </row>
        <row r="86">
          <cell r="A86" t="str">
            <v>California Physicians' Service dba Blue Shield of California</v>
          </cell>
          <cell r="B86" t="str">
            <v>Term</v>
          </cell>
        </row>
        <row r="87">
          <cell r="A87" t="str">
            <v>Capital Metro</v>
          </cell>
          <cell r="B87" t="str">
            <v>Term</v>
          </cell>
        </row>
        <row r="88">
          <cell r="A88" t="str">
            <v>CapTel Incorporated</v>
          </cell>
          <cell r="B88" t="str">
            <v>Term</v>
          </cell>
        </row>
        <row r="89">
          <cell r="A89" t="str">
            <v>Cardinal Health 5, LLC</v>
          </cell>
          <cell r="B89" t="str">
            <v>Term</v>
          </cell>
        </row>
        <row r="90">
          <cell r="A90" t="str">
            <v>CareScout LLC</v>
          </cell>
          <cell r="B90" t="str">
            <v>Term</v>
          </cell>
        </row>
        <row r="91">
          <cell r="A91" t="str">
            <v>Carexm, LLC</v>
          </cell>
          <cell r="B91" t="str">
            <v>SaaS</v>
          </cell>
        </row>
        <row r="92">
          <cell r="A92" t="str">
            <v>Carle Foundation Hospital</v>
          </cell>
          <cell r="B92" t="str">
            <v>Term</v>
          </cell>
        </row>
        <row r="93">
          <cell r="A93" t="str">
            <v>Carolina East Medical Center</v>
          </cell>
          <cell r="B93" t="str">
            <v>Term</v>
          </cell>
        </row>
        <row r="94">
          <cell r="A94" t="str">
            <v>Carrington Mortgage Holdings</v>
          </cell>
          <cell r="B94" t="str">
            <v>Term</v>
          </cell>
        </row>
        <row r="95">
          <cell r="A95" t="str">
            <v>Cartus Corporation</v>
          </cell>
          <cell r="B95" t="str">
            <v>SaaS</v>
          </cell>
        </row>
        <row r="96">
          <cell r="A96" t="str">
            <v>Casey's General Stores, Inc.</v>
          </cell>
          <cell r="B96" t="str">
            <v>SaaS</v>
          </cell>
        </row>
        <row r="97">
          <cell r="A97" t="str">
            <v>CCSF / Laguna Honda Hospital</v>
          </cell>
          <cell r="B97" t="str">
            <v>Perpetual</v>
          </cell>
        </row>
        <row r="98">
          <cell r="A98" t="str">
            <v>CCSF-MULTI TENANT/MARKET</v>
          </cell>
          <cell r="B98" t="str">
            <v>Perpetual</v>
          </cell>
        </row>
        <row r="99">
          <cell r="A99" t="str">
            <v>CDK Global, LLC</v>
          </cell>
          <cell r="B99" t="str">
            <v>Perpetual</v>
          </cell>
        </row>
        <row r="100">
          <cell r="A100" t="str">
            <v>Cellular South</v>
          </cell>
          <cell r="B100" t="str">
            <v>Term</v>
          </cell>
        </row>
        <row r="101">
          <cell r="A101" t="str">
            <v>Cengage Learning</v>
          </cell>
          <cell r="B101" t="str">
            <v>SaaS</v>
          </cell>
        </row>
        <row r="102">
          <cell r="A102" t="str">
            <v>Cenikor Foundation</v>
          </cell>
          <cell r="B102" t="str">
            <v>SaaS</v>
          </cell>
        </row>
        <row r="103">
          <cell r="A103" t="str">
            <v>CGI</v>
          </cell>
          <cell r="B103" t="str">
            <v>Perpetual</v>
          </cell>
        </row>
        <row r="104">
          <cell r="A104" t="str">
            <v>Champion Energy Service, LLC</v>
          </cell>
          <cell r="B104" t="str">
            <v>SaaS</v>
          </cell>
        </row>
        <row r="105">
          <cell r="A105" t="str">
            <v>Charlton Memorial Hospital</v>
          </cell>
          <cell r="B105" t="str">
            <v>Term</v>
          </cell>
        </row>
        <row r="106">
          <cell r="A106" t="str">
            <v>Chester County 911 Center</v>
          </cell>
          <cell r="B106" t="str">
            <v>Term</v>
          </cell>
        </row>
        <row r="107">
          <cell r="A107" t="str">
            <v>Children's Hospital Los Angeles</v>
          </cell>
          <cell r="B107" t="str">
            <v>Term</v>
          </cell>
        </row>
        <row r="108">
          <cell r="A108" t="str">
            <v>Christus Health Data Center</v>
          </cell>
          <cell r="B108" t="str">
            <v>Perpetual</v>
          </cell>
        </row>
        <row r="109">
          <cell r="A109" t="str">
            <v>CISSAT Hospital Rouyn Noranda</v>
          </cell>
          <cell r="B109" t="str">
            <v>Perpetual</v>
          </cell>
        </row>
        <row r="110">
          <cell r="A110" t="str">
            <v>Citadel Federal Credit Union</v>
          </cell>
          <cell r="B110" t="str">
            <v>Term</v>
          </cell>
        </row>
        <row r="111">
          <cell r="A111" t="str">
            <v>City and County of Denver, Denver 911</v>
          </cell>
          <cell r="B111" t="str">
            <v>Perpetual</v>
          </cell>
        </row>
        <row r="112">
          <cell r="A112" t="str">
            <v>City Holding Company</v>
          </cell>
          <cell r="B112" t="str">
            <v>Term</v>
          </cell>
        </row>
        <row r="113">
          <cell r="A113" t="str">
            <v>City of Calgary</v>
          </cell>
          <cell r="B113" t="str">
            <v>Term</v>
          </cell>
        </row>
        <row r="114">
          <cell r="A114" t="str">
            <v>City of Columbus OH</v>
          </cell>
          <cell r="B114" t="str">
            <v>Perpetual</v>
          </cell>
        </row>
        <row r="115">
          <cell r="A115" t="str">
            <v>City of Gastonia</v>
          </cell>
          <cell r="B115" t="str">
            <v>Term</v>
          </cell>
        </row>
        <row r="116">
          <cell r="A116" t="str">
            <v>City of Norfolk Information Services</v>
          </cell>
          <cell r="B116" t="str">
            <v>Perpetual</v>
          </cell>
        </row>
        <row r="117">
          <cell r="A117" t="str">
            <v>City of Oshawa</v>
          </cell>
          <cell r="B117" t="str">
            <v>Perpetual</v>
          </cell>
        </row>
        <row r="118">
          <cell r="A118" t="str">
            <v>City of Pasadena</v>
          </cell>
          <cell r="B118" t="str">
            <v>Perpetual</v>
          </cell>
        </row>
        <row r="119">
          <cell r="A119" t="str">
            <v>City of Portland</v>
          </cell>
          <cell r="B119" t="str">
            <v>Perpetual</v>
          </cell>
        </row>
        <row r="120">
          <cell r="A120" t="str">
            <v>City of Portland - BOEC</v>
          </cell>
          <cell r="B120" t="str">
            <v>Perpetual</v>
          </cell>
        </row>
        <row r="121">
          <cell r="A121" t="str">
            <v>City of Portsmouth</v>
          </cell>
          <cell r="B121" t="str">
            <v>Perpetual</v>
          </cell>
        </row>
        <row r="122">
          <cell r="A122" t="str">
            <v>City of Regina</v>
          </cell>
          <cell r="B122" t="str">
            <v>SaaS</v>
          </cell>
        </row>
        <row r="123">
          <cell r="A123" t="str">
            <v>City of Santa Fe</v>
          </cell>
          <cell r="B123" t="str">
            <v>Term</v>
          </cell>
        </row>
        <row r="124">
          <cell r="A124" t="str">
            <v>City of Saskatoon</v>
          </cell>
          <cell r="B124" t="str">
            <v>SaaS</v>
          </cell>
        </row>
        <row r="125">
          <cell r="A125" t="str">
            <v>City Of St. John's</v>
          </cell>
          <cell r="B125" t="str">
            <v>SaaS</v>
          </cell>
        </row>
        <row r="126">
          <cell r="A126" t="str">
            <v>City of Tacoma (Telecommunications)</v>
          </cell>
          <cell r="B126" t="str">
            <v>Perpetual</v>
          </cell>
        </row>
        <row r="127">
          <cell r="A127" t="str">
            <v>City of Toledo</v>
          </cell>
          <cell r="B127" t="str">
            <v>SaaS</v>
          </cell>
        </row>
        <row r="128">
          <cell r="A128" t="str">
            <v>City of Vaughan</v>
          </cell>
          <cell r="B128" t="str">
            <v>SaaS</v>
          </cell>
        </row>
        <row r="129">
          <cell r="A129" t="str">
            <v>CLAY COUNTY ELECTRIC</v>
          </cell>
          <cell r="B129" t="str">
            <v>Term</v>
          </cell>
        </row>
        <row r="130">
          <cell r="A130" t="str">
            <v>Clayton Homes</v>
          </cell>
          <cell r="B130" t="str">
            <v>Term</v>
          </cell>
        </row>
        <row r="131">
          <cell r="A131" t="str">
            <v>Clearone Advantage, LLC</v>
          </cell>
          <cell r="B131" t="str">
            <v>SaaS</v>
          </cell>
        </row>
        <row r="132">
          <cell r="A132" t="str">
            <v>Clifton Police Department - NJ</v>
          </cell>
          <cell r="B132" t="str">
            <v>Perpetual</v>
          </cell>
        </row>
        <row r="133">
          <cell r="A133" t="str">
            <v>Clinton County Emergency Services</v>
          </cell>
          <cell r="B133" t="str">
            <v>Perpetual</v>
          </cell>
        </row>
        <row r="134">
          <cell r="A134" t="str">
            <v>Cognizant Healthcare Services, LLC</v>
          </cell>
          <cell r="B134" t="str">
            <v>Term</v>
          </cell>
        </row>
        <row r="135">
          <cell r="A135" t="str">
            <v>Cognizant Technical Solutions</v>
          </cell>
          <cell r="B135" t="str">
            <v>Perpetual</v>
          </cell>
        </row>
        <row r="136">
          <cell r="A136" t="str">
            <v>Commodity Futures</v>
          </cell>
          <cell r="B136" t="str">
            <v>Perpetual</v>
          </cell>
        </row>
        <row r="137">
          <cell r="A137" t="str">
            <v>Community Bridges Inc</v>
          </cell>
          <cell r="B137" t="str">
            <v>SaaS</v>
          </cell>
        </row>
        <row r="138">
          <cell r="A138" t="str">
            <v>Community College of Philadelphia</v>
          </cell>
          <cell r="B138" t="str">
            <v>Term</v>
          </cell>
        </row>
        <row r="139">
          <cell r="A139" t="str">
            <v>Community Health Choice</v>
          </cell>
          <cell r="B139" t="str">
            <v>SaaS</v>
          </cell>
        </row>
        <row r="140">
          <cell r="A140" t="str">
            <v>Community Hospital</v>
          </cell>
          <cell r="B140" t="str">
            <v>Perpetual</v>
          </cell>
        </row>
        <row r="141">
          <cell r="A141" t="str">
            <v>Comoto Holdings, Inc.</v>
          </cell>
          <cell r="B141" t="str">
            <v>SaaS</v>
          </cell>
        </row>
        <row r="142">
          <cell r="A142" t="str">
            <v>Concentrix CVG Corporation</v>
          </cell>
          <cell r="B142" t="str">
            <v>Term</v>
          </cell>
        </row>
        <row r="143">
          <cell r="A143" t="str">
            <v>Conga Solutions</v>
          </cell>
          <cell r="B143" t="str">
            <v>SaaS</v>
          </cell>
        </row>
        <row r="144">
          <cell r="A144" t="str">
            <v>Conning, Inc</v>
          </cell>
          <cell r="B144" t="str">
            <v>Perpetual</v>
          </cell>
        </row>
        <row r="145">
          <cell r="A145" t="str">
            <v>Consumers Energy Company</v>
          </cell>
          <cell r="B145" t="str">
            <v>Term</v>
          </cell>
        </row>
        <row r="146">
          <cell r="A146" t="str">
            <v>Convergent Resources a/k/a ER Solutions</v>
          </cell>
          <cell r="B146" t="str">
            <v>Term</v>
          </cell>
        </row>
        <row r="147">
          <cell r="A147" t="str">
            <v>ConvergeOne Inc.</v>
          </cell>
          <cell r="B147" t="str">
            <v>SaaS</v>
          </cell>
        </row>
        <row r="148">
          <cell r="A148" t="str">
            <v>Corewell Health</v>
          </cell>
          <cell r="B148" t="str">
            <v>SaaS</v>
          </cell>
        </row>
        <row r="149">
          <cell r="A149" t="str">
            <v>Cornerstone Medical Care</v>
          </cell>
          <cell r="B149" t="str">
            <v>Perpetual</v>
          </cell>
        </row>
        <row r="150">
          <cell r="A150" t="str">
            <v>Costco Wholesale Corporation</v>
          </cell>
          <cell r="B150" t="str">
            <v>SaaS</v>
          </cell>
        </row>
        <row r="151">
          <cell r="A151" t="str">
            <v>County of Montgomery</v>
          </cell>
          <cell r="B151" t="str">
            <v>Term</v>
          </cell>
        </row>
        <row r="152">
          <cell r="A152" t="str">
            <v>Covenant Health Care</v>
          </cell>
          <cell r="B152" t="str">
            <v>Term</v>
          </cell>
        </row>
        <row r="153">
          <cell r="A153" t="str">
            <v>Covenant Management Systems</v>
          </cell>
          <cell r="B153" t="str">
            <v>Perpetual</v>
          </cell>
        </row>
        <row r="154">
          <cell r="A154" t="str">
            <v>CSSS de Chicoutimi</v>
          </cell>
          <cell r="B154" t="str">
            <v>Perpetual</v>
          </cell>
        </row>
        <row r="155">
          <cell r="A155" t="str">
            <v>CSST (Commission Sante Securite)</v>
          </cell>
          <cell r="B155" t="str">
            <v>Perpetual</v>
          </cell>
        </row>
        <row r="156">
          <cell r="A156" t="str">
            <v>CSX Transportation Inc.</v>
          </cell>
          <cell r="B156" t="str">
            <v>SaaS</v>
          </cell>
        </row>
        <row r="157">
          <cell r="A157" t="str">
            <v>CTMF IT DATA CENTER</v>
          </cell>
          <cell r="B157" t="str">
            <v>Perpetual</v>
          </cell>
        </row>
        <row r="158">
          <cell r="A158" t="str">
            <v>CWT Global B.V.</v>
          </cell>
          <cell r="B158" t="str">
            <v>SaaS</v>
          </cell>
        </row>
        <row r="159">
          <cell r="A159" t="str">
            <v>Dane County</v>
          </cell>
          <cell r="B159" t="str">
            <v>Perpetual</v>
          </cell>
        </row>
        <row r="160">
          <cell r="A160" t="str">
            <v>DE Health and Social Services</v>
          </cell>
          <cell r="B160" t="str">
            <v>Term</v>
          </cell>
        </row>
        <row r="161">
          <cell r="A161" t="str">
            <v>Deciem Beauty Group Inc</v>
          </cell>
          <cell r="B161" t="str">
            <v>SaaS</v>
          </cell>
        </row>
        <row r="162">
          <cell r="A162" t="str">
            <v>Delta Defense LLC</v>
          </cell>
          <cell r="B162" t="str">
            <v>SaaS</v>
          </cell>
        </row>
        <row r="163">
          <cell r="A163" t="str">
            <v>Delta Dental Plan of Michigan, Inc</v>
          </cell>
          <cell r="B163" t="str">
            <v>Perpetual</v>
          </cell>
        </row>
        <row r="164">
          <cell r="A164" t="str">
            <v>Denver Health and Hospitals</v>
          </cell>
          <cell r="B164" t="str">
            <v>Term</v>
          </cell>
        </row>
        <row r="165">
          <cell r="A165" t="str">
            <v>Department of Veterans Affairs</v>
          </cell>
          <cell r="B165" t="str">
            <v>Term</v>
          </cell>
        </row>
        <row r="166">
          <cell r="A166" t="str">
            <v>Design Data Systems, Inc.</v>
          </cell>
          <cell r="B166" t="str">
            <v>SaaS</v>
          </cell>
        </row>
        <row r="167">
          <cell r="A167" t="str">
            <v>Detewe</v>
          </cell>
          <cell r="B167" t="str">
            <v>Perpetual</v>
          </cell>
        </row>
        <row r="168">
          <cell r="A168" t="str">
            <v>DHL Express (USA) Inc.</v>
          </cell>
          <cell r="B168" t="str">
            <v>Perpetual</v>
          </cell>
        </row>
        <row r="169">
          <cell r="A169" t="str">
            <v>DHS</v>
          </cell>
          <cell r="B169" t="str">
            <v>Term</v>
          </cell>
        </row>
        <row r="170">
          <cell r="A170" t="str">
            <v>DISA Global Solutions</v>
          </cell>
          <cell r="B170" t="str">
            <v>SaaS</v>
          </cell>
        </row>
        <row r="171">
          <cell r="A171" t="str">
            <v>Dlivrd</v>
          </cell>
          <cell r="B171" t="str">
            <v>SaaS</v>
          </cell>
        </row>
        <row r="172">
          <cell r="A172" t="str">
            <v>Docebo, Inc.</v>
          </cell>
          <cell r="B172" t="str">
            <v>SaaS</v>
          </cell>
        </row>
        <row r="173">
          <cell r="A173" t="str">
            <v>DoITT</v>
          </cell>
          <cell r="B173" t="str">
            <v>Perpetual</v>
          </cell>
        </row>
        <row r="174">
          <cell r="A174" t="str">
            <v>Donlen Corporation</v>
          </cell>
          <cell r="B174" t="str">
            <v>SaaS</v>
          </cell>
        </row>
        <row r="175">
          <cell r="A175" t="str">
            <v>DriveTime Automotive Group</v>
          </cell>
          <cell r="B175" t="str">
            <v>Perpetual</v>
          </cell>
        </row>
        <row r="176">
          <cell r="A176" t="str">
            <v>DTE Energy Inc. dba DTE Energy Corporate Services, LLC</v>
          </cell>
          <cell r="B176" t="str">
            <v>Term</v>
          </cell>
        </row>
        <row r="177">
          <cell r="A177" t="str">
            <v>Duke Energy Corporation</v>
          </cell>
          <cell r="B177" t="str">
            <v>SaaS</v>
          </cell>
        </row>
        <row r="178">
          <cell r="A178" t="str">
            <v>Duquesne Light Company</v>
          </cell>
          <cell r="B178" t="str">
            <v>Term</v>
          </cell>
        </row>
        <row r="179">
          <cell r="A179" t="str">
            <v>Durango / La Plata Emergency Communications Center</v>
          </cell>
          <cell r="B179" t="str">
            <v>Perpetual</v>
          </cell>
        </row>
        <row r="180">
          <cell r="A180" t="str">
            <v>DXC Technology Services LLC</v>
          </cell>
          <cell r="B180" t="str">
            <v>Perpetual</v>
          </cell>
        </row>
        <row r="181">
          <cell r="A181" t="str">
            <v>EAJ Assistance Services Canada</v>
          </cell>
          <cell r="B181" t="str">
            <v>Perpetual</v>
          </cell>
        </row>
        <row r="182">
          <cell r="A182" t="str">
            <v>Early Warning Services LLC</v>
          </cell>
          <cell r="B182" t="str">
            <v>SaaS</v>
          </cell>
        </row>
        <row r="183">
          <cell r="A183" t="str">
            <v>Eastman Chemical Company</v>
          </cell>
          <cell r="B183" t="str">
            <v>Term</v>
          </cell>
        </row>
        <row r="184">
          <cell r="A184" t="str">
            <v>El Paso First Health Plans Inc.</v>
          </cell>
          <cell r="B184" t="str">
            <v>Term</v>
          </cell>
        </row>
        <row r="185">
          <cell r="A185" t="str">
            <v>Elara Caring</v>
          </cell>
          <cell r="B185" t="str">
            <v>SaaS</v>
          </cell>
        </row>
        <row r="186">
          <cell r="A186" t="str">
            <v>Eleanor Health, Inc.</v>
          </cell>
          <cell r="B186" t="str">
            <v>SaaS</v>
          </cell>
        </row>
        <row r="187">
          <cell r="A187" t="str">
            <v>Electrical Safety Authority (ESA)</v>
          </cell>
          <cell r="B187" t="str">
            <v>Term</v>
          </cell>
        </row>
        <row r="188">
          <cell r="A188" t="str">
            <v>Emory University</v>
          </cell>
          <cell r="B188" t="str">
            <v>Perpetual</v>
          </cell>
        </row>
        <row r="189">
          <cell r="A189" t="str">
            <v>Entergy Services Inc</v>
          </cell>
          <cell r="B189" t="str">
            <v>Term</v>
          </cell>
        </row>
        <row r="190">
          <cell r="A190" t="str">
            <v>Erlanger Medical Center</v>
          </cell>
          <cell r="B190" t="str">
            <v>Term</v>
          </cell>
        </row>
        <row r="191">
          <cell r="A191" t="str">
            <v>Essendant Management Services LLC., f/k/a United Stationers Supply Co.</v>
          </cell>
          <cell r="B191" t="str">
            <v>Perpetual</v>
          </cell>
        </row>
        <row r="192">
          <cell r="A192" t="str">
            <v>Evergy Services, Inc.</v>
          </cell>
          <cell r="B192" t="str">
            <v>SaaS</v>
          </cell>
        </row>
        <row r="193">
          <cell r="A193" t="str">
            <v>Excel Energy</v>
          </cell>
          <cell r="B193" t="str">
            <v>Perpetual</v>
          </cell>
        </row>
        <row r="194">
          <cell r="A194" t="str">
            <v>FAA</v>
          </cell>
          <cell r="B194" t="str">
            <v>Term</v>
          </cell>
        </row>
        <row r="195">
          <cell r="A195" t="str">
            <v>FAA OKC</v>
          </cell>
          <cell r="B195" t="str">
            <v>Term</v>
          </cell>
        </row>
        <row r="196">
          <cell r="A196" t="str">
            <v>Farmers Group, Inc.</v>
          </cell>
          <cell r="B196" t="str">
            <v>SaaS</v>
          </cell>
        </row>
        <row r="197">
          <cell r="A197" t="str">
            <v>Federal Express</v>
          </cell>
          <cell r="B197" t="str">
            <v>Term</v>
          </cell>
        </row>
        <row r="198">
          <cell r="A198" t="str">
            <v>Federal Mogul Motorparts LLC</v>
          </cell>
          <cell r="B198" t="str">
            <v>Perpetual</v>
          </cell>
        </row>
        <row r="199">
          <cell r="A199" t="str">
            <v>Federal Reserve Bank</v>
          </cell>
          <cell r="B199" t="str">
            <v>Perpetual</v>
          </cell>
        </row>
        <row r="200">
          <cell r="A200" t="str">
            <v>First Energy Corporation</v>
          </cell>
          <cell r="B200" t="str">
            <v>Perpetual</v>
          </cell>
        </row>
        <row r="201">
          <cell r="A201" t="str">
            <v>First Republic Bank</v>
          </cell>
          <cell r="B201" t="str">
            <v>SaaS</v>
          </cell>
        </row>
        <row r="202">
          <cell r="A202" t="str">
            <v>Five Star Call Centers</v>
          </cell>
          <cell r="B202" t="str">
            <v>Term</v>
          </cell>
        </row>
        <row r="203">
          <cell r="A203" t="str">
            <v>FL Department of Corrections</v>
          </cell>
          <cell r="B203" t="str">
            <v>Term</v>
          </cell>
        </row>
        <row r="204">
          <cell r="A204" t="str">
            <v>Flare Logistics, Inc.</v>
          </cell>
          <cell r="B204" t="str">
            <v>SaaS</v>
          </cell>
        </row>
        <row r="205">
          <cell r="A205" t="str">
            <v>Florida Department of Education</v>
          </cell>
          <cell r="B205" t="str">
            <v>Term</v>
          </cell>
        </row>
        <row r="206">
          <cell r="A206" t="str">
            <v>Florida Department of Juvenile Justice</v>
          </cell>
          <cell r="B206" t="str">
            <v>Term</v>
          </cell>
        </row>
        <row r="207">
          <cell r="A207" t="str">
            <v>Florida Dept Law Enforcement-Hayes</v>
          </cell>
          <cell r="B207" t="str">
            <v>Term</v>
          </cell>
        </row>
        <row r="208">
          <cell r="A208" t="str">
            <v>Forbes Hospital</v>
          </cell>
          <cell r="B208" t="str">
            <v>Term</v>
          </cell>
        </row>
        <row r="209">
          <cell r="A209" t="str">
            <v>Ford Motor Credit</v>
          </cell>
          <cell r="B209" t="str">
            <v>Term</v>
          </cell>
        </row>
        <row r="210">
          <cell r="A210" t="str">
            <v>Fortis Alberta, Inc.</v>
          </cell>
          <cell r="B210" t="str">
            <v>Perpetual</v>
          </cell>
        </row>
        <row r="211">
          <cell r="A211" t="str">
            <v>Freedom Care LLC</v>
          </cell>
          <cell r="B211" t="str">
            <v>SaaS</v>
          </cell>
        </row>
        <row r="212">
          <cell r="A212" t="str">
            <v>FRESHTIX</v>
          </cell>
          <cell r="B212" t="str">
            <v>SaaS</v>
          </cell>
        </row>
        <row r="213">
          <cell r="A213" t="str">
            <v>Frost National Bank</v>
          </cell>
          <cell r="B213" t="str">
            <v>Term</v>
          </cell>
        </row>
        <row r="214">
          <cell r="A214" t="str">
            <v>GAF Materials</v>
          </cell>
          <cell r="B214" t="str">
            <v>SaaS</v>
          </cell>
        </row>
        <row r="215">
          <cell r="A215" t="str">
            <v>GAVS</v>
          </cell>
          <cell r="B215" t="str">
            <v>SaaS</v>
          </cell>
        </row>
        <row r="216">
          <cell r="A216" t="str">
            <v>GE Healthcare (APCS CC Global Hub)</v>
          </cell>
          <cell r="B216" t="str">
            <v>Perpetual</v>
          </cell>
        </row>
        <row r="217">
          <cell r="A217" t="str">
            <v>Geisinger Health Systems</v>
          </cell>
          <cell r="B217" t="str">
            <v>Perpetual</v>
          </cell>
        </row>
        <row r="218">
          <cell r="A218" t="str">
            <v>Gem Plumbing &amp; Heating Services, LLC</v>
          </cell>
          <cell r="B218" t="str">
            <v>SaaS</v>
          </cell>
        </row>
        <row r="219">
          <cell r="A219" t="str">
            <v>General Dynamics</v>
          </cell>
          <cell r="B219" t="str">
            <v>Term</v>
          </cell>
        </row>
        <row r="220">
          <cell r="A220" t="str">
            <v>General Dynamics Information Technology, Inc.</v>
          </cell>
          <cell r="B220" t="str">
            <v>Perpetual</v>
          </cell>
        </row>
        <row r="221">
          <cell r="A221" t="str">
            <v>General Mills, Inc.</v>
          </cell>
          <cell r="B221" t="str">
            <v>Term</v>
          </cell>
        </row>
        <row r="222">
          <cell r="A222" t="str">
            <v>Genworth North America Corporation</v>
          </cell>
          <cell r="B222" t="str">
            <v>Perpetual</v>
          </cell>
        </row>
        <row r="223">
          <cell r="A223" t="str">
            <v>Gerber Products Company</v>
          </cell>
          <cell r="B223" t="str">
            <v>SaaS</v>
          </cell>
        </row>
        <row r="224">
          <cell r="A224" t="str">
            <v>Global Payments</v>
          </cell>
          <cell r="B224" t="str">
            <v>Term</v>
          </cell>
        </row>
        <row r="225">
          <cell r="A225" t="str">
            <v>GM Financial</v>
          </cell>
          <cell r="B225" t="str">
            <v>Perpetual</v>
          </cell>
        </row>
        <row r="226">
          <cell r="A226" t="str">
            <v>Go Wireless, Inc.</v>
          </cell>
          <cell r="B226" t="str">
            <v>SaaS</v>
          </cell>
        </row>
        <row r="227">
          <cell r="A227" t="str">
            <v>Goosehead Insurance</v>
          </cell>
          <cell r="B227" t="str">
            <v>SaaS</v>
          </cell>
        </row>
        <row r="228">
          <cell r="A228" t="str">
            <v>Great Wolf Resorts, Inc.</v>
          </cell>
          <cell r="B228" t="str">
            <v>SaaS</v>
          </cell>
        </row>
        <row r="229">
          <cell r="A229" t="str">
            <v>Greater Toronto Airport Authority</v>
          </cell>
          <cell r="B229" t="str">
            <v>Perpetual</v>
          </cell>
        </row>
        <row r="230">
          <cell r="A230" t="str">
            <v>Guard.Me International Insurance</v>
          </cell>
          <cell r="B230" t="str">
            <v>Perpetual</v>
          </cell>
        </row>
        <row r="231">
          <cell r="A231" t="str">
            <v>Guardian Alarm</v>
          </cell>
          <cell r="B231" t="str">
            <v>Term</v>
          </cell>
        </row>
        <row r="232">
          <cell r="A232" t="str">
            <v>Guardian Protection Services (Armstrong Group of Companies)</v>
          </cell>
          <cell r="B232" t="str">
            <v>Perpetual</v>
          </cell>
        </row>
        <row r="233">
          <cell r="A233" t="str">
            <v>Hanover Insurance Group</v>
          </cell>
          <cell r="B233" t="str">
            <v>Perpetual</v>
          </cell>
        </row>
        <row r="234">
          <cell r="A234" t="str">
            <v>Harborview Medical Center</v>
          </cell>
          <cell r="B234" t="str">
            <v>SaaS</v>
          </cell>
        </row>
        <row r="235">
          <cell r="A235" t="str">
            <v>Harris County Hospital District</v>
          </cell>
          <cell r="B235" t="str">
            <v>Perpetual</v>
          </cell>
        </row>
        <row r="236">
          <cell r="A236" t="str">
            <v>Hayes e-Government</v>
          </cell>
          <cell r="B236" t="str">
            <v>Term</v>
          </cell>
        </row>
        <row r="237">
          <cell r="A237" t="str">
            <v>HCA National Patient Account SVC KY</v>
          </cell>
          <cell r="B237" t="str">
            <v>Term</v>
          </cell>
        </row>
        <row r="238">
          <cell r="A238" t="str">
            <v>HD Supply</v>
          </cell>
          <cell r="B238" t="str">
            <v>Term</v>
          </cell>
        </row>
        <row r="239">
          <cell r="A239" t="str">
            <v>Health Alliance Medical Plans</v>
          </cell>
          <cell r="B239" t="str">
            <v>Perpetual</v>
          </cell>
        </row>
        <row r="240">
          <cell r="A240" t="str">
            <v>Health Network Laboratories</v>
          </cell>
          <cell r="B240" t="str">
            <v>SaaS</v>
          </cell>
        </row>
        <row r="241">
          <cell r="A241" t="str">
            <v>HealthEquity, Inc.</v>
          </cell>
          <cell r="B241" t="str">
            <v>Term</v>
          </cell>
        </row>
        <row r="242">
          <cell r="A242" t="str">
            <v>HealthEZ</v>
          </cell>
          <cell r="B242" t="str">
            <v>SaaS</v>
          </cell>
        </row>
        <row r="243">
          <cell r="A243" t="str">
            <v>Healthgrades</v>
          </cell>
          <cell r="B243" t="str">
            <v>SaaS</v>
          </cell>
        </row>
        <row r="244">
          <cell r="A244" t="str">
            <v>Healthwell Foundation, Inc</v>
          </cell>
          <cell r="B244" t="str">
            <v>SaaS</v>
          </cell>
        </row>
        <row r="245">
          <cell r="A245" t="str">
            <v>Hennepin County</v>
          </cell>
          <cell r="B245" t="str">
            <v>Perpetual</v>
          </cell>
        </row>
        <row r="246">
          <cell r="A246" t="str">
            <v>Hinge Health, Inc.</v>
          </cell>
          <cell r="B246" t="str">
            <v>SaaS</v>
          </cell>
        </row>
        <row r="247">
          <cell r="A247" t="str">
            <v>Horizon Healthcare Services, Inc. d/b/a Horizon BCBS of New Jersey</v>
          </cell>
          <cell r="B247" t="str">
            <v>Term</v>
          </cell>
        </row>
        <row r="248">
          <cell r="A248" t="str">
            <v>Hospital For Special Surgery</v>
          </cell>
          <cell r="B248" t="str">
            <v>SaaS</v>
          </cell>
        </row>
        <row r="249">
          <cell r="A249" t="str">
            <v>Howard University Hospital</v>
          </cell>
          <cell r="B249" t="str">
            <v>SaaS</v>
          </cell>
        </row>
        <row r="250">
          <cell r="A250" t="str">
            <v>Hudson Valley Credit Union</v>
          </cell>
          <cell r="B250" t="str">
            <v>Term</v>
          </cell>
        </row>
        <row r="251">
          <cell r="A251" t="str">
            <v>Human Services Agency - City and County of San Francisco (CCSF)</v>
          </cell>
          <cell r="B251" t="str">
            <v>SaaS</v>
          </cell>
        </row>
        <row r="252">
          <cell r="A252" t="str">
            <v>Humber River Hospital</v>
          </cell>
          <cell r="B252" t="str">
            <v>Term</v>
          </cell>
        </row>
        <row r="253">
          <cell r="A253" t="str">
            <v>Hurley Medical Center</v>
          </cell>
          <cell r="B253" t="str">
            <v>SaaS</v>
          </cell>
        </row>
        <row r="254">
          <cell r="A254" t="str">
            <v>Hydro One Networks, Inc.</v>
          </cell>
          <cell r="B254" t="str">
            <v>Term</v>
          </cell>
        </row>
        <row r="255">
          <cell r="A255" t="str">
            <v>iCIMS, Inc.</v>
          </cell>
          <cell r="B255" t="str">
            <v>SaaS</v>
          </cell>
        </row>
        <row r="256">
          <cell r="A256" t="str">
            <v>Illinois Municipal Retirement Fund</v>
          </cell>
          <cell r="B256" t="str">
            <v>SaaS</v>
          </cell>
        </row>
        <row r="257">
          <cell r="A257" t="str">
            <v>illumifin Corporation</v>
          </cell>
          <cell r="B257" t="str">
            <v>Term</v>
          </cell>
        </row>
        <row r="258">
          <cell r="A258" t="str">
            <v>Imperial Tobacco Group Brands LLC</v>
          </cell>
          <cell r="B258" t="str">
            <v>Term</v>
          </cell>
        </row>
        <row r="259">
          <cell r="A259" t="str">
            <v>Independence Blue Cross</v>
          </cell>
          <cell r="B259" t="str">
            <v>SaaS</v>
          </cell>
        </row>
        <row r="260">
          <cell r="A260" t="str">
            <v>Industrielle Alliance, Assurances et Services Financier Inc.</v>
          </cell>
          <cell r="B260" t="str">
            <v>Perpetual</v>
          </cell>
        </row>
        <row r="261">
          <cell r="A261" t="str">
            <v>Infusion Software, Inc</v>
          </cell>
          <cell r="B261" t="str">
            <v>SaaS</v>
          </cell>
        </row>
        <row r="262">
          <cell r="A262" t="str">
            <v>Insight Financial Credit Union Inc</v>
          </cell>
          <cell r="B262" t="str">
            <v>SaaS</v>
          </cell>
        </row>
        <row r="263">
          <cell r="A263" t="str">
            <v>Integris SW Med Center aka Integris TCP</v>
          </cell>
          <cell r="B263" t="str">
            <v>Perpetual</v>
          </cell>
        </row>
        <row r="264">
          <cell r="A264" t="str">
            <v>Interactive Northwest Inc</v>
          </cell>
          <cell r="B264" t="str">
            <v>SaaS</v>
          </cell>
        </row>
        <row r="265">
          <cell r="A265" t="str">
            <v>Interinsurance Exchange of the Automobile Club</v>
          </cell>
          <cell r="B265" t="str">
            <v>Term</v>
          </cell>
        </row>
        <row r="266">
          <cell r="A266" t="str">
            <v>Intermountain Healthcare (IHC)</v>
          </cell>
          <cell r="B266" t="str">
            <v>Term</v>
          </cell>
        </row>
        <row r="267">
          <cell r="A267" t="str">
            <v>Internal Revenue Service (IRS)</v>
          </cell>
          <cell r="B267" t="str">
            <v>Perpetual</v>
          </cell>
        </row>
        <row r="268">
          <cell r="A268" t="str">
            <v>Intlx Solutions, LLC</v>
          </cell>
          <cell r="B268" t="str">
            <v>SaaS</v>
          </cell>
        </row>
        <row r="269">
          <cell r="A269" t="str">
            <v>Intradiem, inc.</v>
          </cell>
          <cell r="B269" t="str">
            <v>Term</v>
          </cell>
        </row>
        <row r="270">
          <cell r="A270" t="str">
            <v>Intralox, LLC</v>
          </cell>
          <cell r="B270" t="str">
            <v>Term</v>
          </cell>
        </row>
        <row r="271">
          <cell r="A271" t="str">
            <v>Invitae Corporation</v>
          </cell>
          <cell r="B271" t="str">
            <v>SaaS</v>
          </cell>
        </row>
        <row r="272">
          <cell r="A272" t="str">
            <v>Jet Delivery</v>
          </cell>
          <cell r="B272" t="str">
            <v>Term</v>
          </cell>
        </row>
        <row r="273">
          <cell r="A273" t="str">
            <v>Journey.AI</v>
          </cell>
          <cell r="B273" t="str">
            <v>SaaS</v>
          </cell>
        </row>
        <row r="274">
          <cell r="A274" t="str">
            <v>Juniper Networks, Inc.</v>
          </cell>
          <cell r="B274" t="str">
            <v>SaaS</v>
          </cell>
        </row>
        <row r="275">
          <cell r="A275" t="str">
            <v>Kansas City Power &amp; Light</v>
          </cell>
          <cell r="B275" t="str">
            <v>Perpetual</v>
          </cell>
        </row>
        <row r="276">
          <cell r="A276" t="str">
            <v>Ken Garff Automotive, LLC</v>
          </cell>
          <cell r="B276" t="str">
            <v>SaaS</v>
          </cell>
        </row>
        <row r="277">
          <cell r="A277" t="str">
            <v>Kindercare Education LLC</v>
          </cell>
          <cell r="B277" t="str">
            <v>SaaS</v>
          </cell>
        </row>
        <row r="278">
          <cell r="A278" t="str">
            <v>Kohler</v>
          </cell>
          <cell r="B278" t="str">
            <v>Perpetual</v>
          </cell>
        </row>
        <row r="279">
          <cell r="A279" t="str">
            <v>KUB</v>
          </cell>
          <cell r="B279" t="str">
            <v>SaaS</v>
          </cell>
        </row>
        <row r="280">
          <cell r="A280" t="str">
            <v>Kvh Industries, Inc.</v>
          </cell>
          <cell r="B280" t="str">
            <v>SaaS</v>
          </cell>
        </row>
        <row r="281">
          <cell r="A281" t="str">
            <v>La Capitale</v>
          </cell>
          <cell r="B281" t="str">
            <v>Perpetual</v>
          </cell>
        </row>
        <row r="282">
          <cell r="A282" t="str">
            <v>LA County Department of Child and Family Services</v>
          </cell>
          <cell r="B282" t="str">
            <v>SaaS</v>
          </cell>
        </row>
        <row r="283">
          <cell r="A283" t="str">
            <v>Labor First, LLC</v>
          </cell>
          <cell r="B283" t="str">
            <v>SaaS</v>
          </cell>
        </row>
        <row r="284">
          <cell r="A284" t="str">
            <v>LANDESBANK BADEN-WURTTEMBERG</v>
          </cell>
          <cell r="B284" t="str">
            <v>Perpetual</v>
          </cell>
        </row>
        <row r="285">
          <cell r="A285" t="str">
            <v>Legacy System Office</v>
          </cell>
          <cell r="B285" t="str">
            <v>Term</v>
          </cell>
        </row>
        <row r="286">
          <cell r="A286" t="str">
            <v>Leon Medical Centers</v>
          </cell>
          <cell r="B286" t="str">
            <v>SaaS</v>
          </cell>
        </row>
        <row r="287">
          <cell r="A287" t="str">
            <v>LexisNexis VitalChek Network, Inc.</v>
          </cell>
          <cell r="B287" t="str">
            <v>Term</v>
          </cell>
        </row>
        <row r="288">
          <cell r="A288" t="str">
            <v>LGM Financial Services Inc</v>
          </cell>
          <cell r="B288" t="str">
            <v>SaaS</v>
          </cell>
        </row>
        <row r="289">
          <cell r="A289" t="str">
            <v>Liberty Mutual</v>
          </cell>
          <cell r="B289" t="str">
            <v>SaaS</v>
          </cell>
        </row>
        <row r="290">
          <cell r="A290" t="str">
            <v>LifeNet Health</v>
          </cell>
          <cell r="B290" t="str">
            <v>Perpetual</v>
          </cell>
        </row>
        <row r="291">
          <cell r="A291" t="str">
            <v>Lifeway Christian Resources</v>
          </cell>
          <cell r="B291" t="str">
            <v>Perpetual</v>
          </cell>
        </row>
        <row r="292">
          <cell r="A292" t="str">
            <v>Livingston International Inc.</v>
          </cell>
          <cell r="B292" t="str">
            <v>Perpetual</v>
          </cell>
        </row>
        <row r="293">
          <cell r="A293" t="str">
            <v>Loma Linda University</v>
          </cell>
          <cell r="B293" t="str">
            <v>Term</v>
          </cell>
        </row>
        <row r="294">
          <cell r="A294" t="str">
            <v>Lord, Abbett &amp; Co. LLC</v>
          </cell>
          <cell r="B294" t="str">
            <v>Perpetual</v>
          </cell>
        </row>
        <row r="295">
          <cell r="A295" t="str">
            <v>Los Angeles Dept. Water &amp; Power</v>
          </cell>
          <cell r="B295" t="str">
            <v>Perpetual</v>
          </cell>
        </row>
        <row r="296">
          <cell r="A296" t="str">
            <v>Lussier Cabinet De Services Financiers Inc.</v>
          </cell>
          <cell r="B296" t="str">
            <v>Perpetual</v>
          </cell>
        </row>
        <row r="297">
          <cell r="A297" t="str">
            <v>LVCD Corporate</v>
          </cell>
          <cell r="B297" t="str">
            <v>Term</v>
          </cell>
        </row>
        <row r="298">
          <cell r="A298" t="str">
            <v>Lydia Security Monitoring T/A Cops</v>
          </cell>
          <cell r="B298" t="str">
            <v>Term</v>
          </cell>
        </row>
        <row r="299">
          <cell r="A299" t="str">
            <v>Madison Gas &amp; Electric Company</v>
          </cell>
          <cell r="B299" t="str">
            <v>Perpetual</v>
          </cell>
        </row>
        <row r="300">
          <cell r="A300" t="str">
            <v>Maimonides Medical Center</v>
          </cell>
          <cell r="B300" t="str">
            <v>Term</v>
          </cell>
        </row>
        <row r="301">
          <cell r="A301" t="str">
            <v>Manulife Financial</v>
          </cell>
          <cell r="B301" t="str">
            <v>Term</v>
          </cell>
        </row>
        <row r="302">
          <cell r="A302" t="str">
            <v>Map Communications</v>
          </cell>
          <cell r="B302" t="str">
            <v>Term</v>
          </cell>
        </row>
        <row r="303">
          <cell r="A303" t="str">
            <v>Marcus Hotels &amp; Resorts</v>
          </cell>
          <cell r="B303" t="str">
            <v>SaaS</v>
          </cell>
        </row>
        <row r="304">
          <cell r="A304" t="str">
            <v>Maricopa Integrated Health Services</v>
          </cell>
          <cell r="B304" t="str">
            <v>Term</v>
          </cell>
        </row>
        <row r="305">
          <cell r="A305" t="str">
            <v>MARRIOTT INTERNATIONAL</v>
          </cell>
          <cell r="B305" t="str">
            <v>Term</v>
          </cell>
        </row>
        <row r="306">
          <cell r="A306" t="str">
            <v>Mastercard Technologies, LLC</v>
          </cell>
          <cell r="B306" t="str">
            <v>SaaS</v>
          </cell>
        </row>
        <row r="307">
          <cell r="A307" t="str">
            <v>Matanuska Telephone Assocaiation (MTA)</v>
          </cell>
          <cell r="B307" t="str">
            <v>Term</v>
          </cell>
        </row>
        <row r="308">
          <cell r="A308" t="str">
            <v>Maxor National Pharmacy Services LLC</v>
          </cell>
          <cell r="B308" t="str">
            <v>SaaS</v>
          </cell>
        </row>
        <row r="309">
          <cell r="A309" t="str">
            <v>McMaster University</v>
          </cell>
          <cell r="B309" t="str">
            <v>SaaS</v>
          </cell>
        </row>
        <row r="310">
          <cell r="A310" t="str">
            <v>Medavie, Inc.</v>
          </cell>
          <cell r="B310" t="str">
            <v>Perpetual</v>
          </cell>
        </row>
        <row r="311">
          <cell r="A311" t="str">
            <v>Medica Health Plans</v>
          </cell>
          <cell r="B311" t="str">
            <v>Term</v>
          </cell>
        </row>
        <row r="312">
          <cell r="A312" t="str">
            <v>Medical University Hospital Authority</v>
          </cell>
          <cell r="B312" t="str">
            <v>Term</v>
          </cell>
        </row>
        <row r="313">
          <cell r="A313" t="str">
            <v>Medstar Health</v>
          </cell>
          <cell r="B313" t="str">
            <v>Term</v>
          </cell>
        </row>
        <row r="314">
          <cell r="A314" t="str">
            <v>Memorial Healthcare System</v>
          </cell>
          <cell r="B314" t="str">
            <v>SaaS</v>
          </cell>
        </row>
        <row r="315">
          <cell r="A315" t="str">
            <v>Mercury Insurance Services, LLC</v>
          </cell>
          <cell r="B315" t="str">
            <v>Perpetual</v>
          </cell>
        </row>
        <row r="316">
          <cell r="A316" t="str">
            <v>Meridian IT Inc.</v>
          </cell>
          <cell r="B316" t="str">
            <v>Perpetual</v>
          </cell>
        </row>
        <row r="317">
          <cell r="A317" t="str">
            <v>Metabolic Living</v>
          </cell>
          <cell r="B317" t="str">
            <v>SaaS</v>
          </cell>
        </row>
        <row r="318">
          <cell r="A318" t="str">
            <v>MFS Investment Management</v>
          </cell>
          <cell r="B318" t="str">
            <v>SaaS</v>
          </cell>
        </row>
        <row r="319">
          <cell r="A319" t="str">
            <v>MGM Resorts</v>
          </cell>
          <cell r="B319" t="str">
            <v>Term</v>
          </cell>
        </row>
        <row r="320">
          <cell r="A320" t="str">
            <v>Miami-Dade County ICFB fka Overtown Transit</v>
          </cell>
          <cell r="B320" t="str">
            <v>Perpetual</v>
          </cell>
        </row>
        <row r="321">
          <cell r="A321" t="str">
            <v>Michael Garron Hospital</v>
          </cell>
          <cell r="B321" t="str">
            <v>SaaS</v>
          </cell>
        </row>
        <row r="322">
          <cell r="A322" t="str">
            <v>Michelin North America Inc.</v>
          </cell>
          <cell r="B322" t="str">
            <v>SaaS</v>
          </cell>
        </row>
        <row r="323">
          <cell r="A323" t="str">
            <v>Midfirst Bank</v>
          </cell>
          <cell r="B323" t="str">
            <v>Term</v>
          </cell>
        </row>
        <row r="324">
          <cell r="A324" t="str">
            <v>Millennium Process Group, Inc.</v>
          </cell>
          <cell r="B324" t="str">
            <v>Term</v>
          </cell>
        </row>
        <row r="325">
          <cell r="A325" t="str">
            <v>Ministere de l'Emploi et de la Solidarite sociale</v>
          </cell>
          <cell r="B325" t="str">
            <v>Term</v>
          </cell>
        </row>
        <row r="326">
          <cell r="A326" t="str">
            <v>Mississippi Department of Information Technology Services (MS ITS)</v>
          </cell>
          <cell r="B326" t="str">
            <v>SaaS</v>
          </cell>
        </row>
        <row r="327">
          <cell r="A327" t="str">
            <v>Mister Car Wash</v>
          </cell>
          <cell r="B327" t="str">
            <v>SaaS</v>
          </cell>
        </row>
        <row r="328">
          <cell r="A328" t="str">
            <v>Morley Companies</v>
          </cell>
          <cell r="B328" t="str">
            <v>Term</v>
          </cell>
        </row>
        <row r="329">
          <cell r="A329" t="str">
            <v>Mount Sinai Medical Center</v>
          </cell>
          <cell r="B329" t="str">
            <v>Term</v>
          </cell>
        </row>
        <row r="330">
          <cell r="A330" t="str">
            <v>MSC Industrial Direct CO., Inc.</v>
          </cell>
          <cell r="B330" t="str">
            <v>SaaS</v>
          </cell>
        </row>
        <row r="331">
          <cell r="A331" t="str">
            <v>MTD Products Inc.</v>
          </cell>
          <cell r="B331" t="str">
            <v>SaaS</v>
          </cell>
        </row>
        <row r="332">
          <cell r="A332" t="str">
            <v>MTST Helena Data Center</v>
          </cell>
          <cell r="B332" t="str">
            <v>Term</v>
          </cell>
        </row>
        <row r="333">
          <cell r="A333" t="str">
            <v>MUFG Securities Americas Inc.</v>
          </cell>
          <cell r="B333" t="str">
            <v>Perpetual</v>
          </cell>
        </row>
        <row r="334">
          <cell r="A334" t="str">
            <v>Mutual of America</v>
          </cell>
          <cell r="B334" t="str">
            <v>Perpetual</v>
          </cell>
        </row>
        <row r="335">
          <cell r="A335" t="str">
            <v>National Elev Industry</v>
          </cell>
          <cell r="B335" t="str">
            <v>Term</v>
          </cell>
        </row>
        <row r="336">
          <cell r="A336" t="str">
            <v>Nationwide Mutual Insurance Co.</v>
          </cell>
          <cell r="B336" t="str">
            <v>SaaS</v>
          </cell>
        </row>
        <row r="337">
          <cell r="A337" t="str">
            <v>Natl Jew Med &amp; Res Cntr</v>
          </cell>
          <cell r="B337" t="str">
            <v>Term</v>
          </cell>
        </row>
        <row r="338">
          <cell r="A338" t="str">
            <v>New Era Technology</v>
          </cell>
          <cell r="B338" t="str">
            <v>SaaS</v>
          </cell>
        </row>
        <row r="339">
          <cell r="A339" t="str">
            <v>New York City Board of Education (Central)</v>
          </cell>
          <cell r="B339" t="str">
            <v>SaaS</v>
          </cell>
        </row>
        <row r="340">
          <cell r="A340" t="str">
            <v>New York City Transit Authority</v>
          </cell>
          <cell r="B340" t="str">
            <v>Term</v>
          </cell>
        </row>
        <row r="341">
          <cell r="A341" t="str">
            <v>Newport Healthcare</v>
          </cell>
          <cell r="B341" t="str">
            <v>SaaS</v>
          </cell>
        </row>
        <row r="342">
          <cell r="A342" t="str">
            <v>Nordstrom Bank</v>
          </cell>
          <cell r="B342" t="str">
            <v>SaaS</v>
          </cell>
        </row>
        <row r="343">
          <cell r="A343" t="str">
            <v>Nordstrom, Inc.</v>
          </cell>
          <cell r="B343" t="str">
            <v>Term</v>
          </cell>
        </row>
        <row r="344">
          <cell r="A344" t="str">
            <v>Norfolk Southern Corporation</v>
          </cell>
          <cell r="B344" t="str">
            <v>Term</v>
          </cell>
        </row>
        <row r="345">
          <cell r="A345" t="str">
            <v>North Findlay Township Police</v>
          </cell>
          <cell r="B345" t="str">
            <v>Perpetual</v>
          </cell>
        </row>
        <row r="346">
          <cell r="A346" t="str">
            <v>North Shore University Health System</v>
          </cell>
          <cell r="B346" t="str">
            <v>Term</v>
          </cell>
        </row>
        <row r="347">
          <cell r="A347" t="str">
            <v>North Texas Tollway Authority (NTTA)</v>
          </cell>
          <cell r="B347" t="str">
            <v>Term</v>
          </cell>
        </row>
        <row r="348">
          <cell r="A348" t="str">
            <v>North York General Hospital</v>
          </cell>
          <cell r="B348" t="str">
            <v>SaaS</v>
          </cell>
        </row>
        <row r="349">
          <cell r="A349" t="str">
            <v>Northern Montana Hospital - Corporate Account</v>
          </cell>
          <cell r="B349" t="str">
            <v>Perpetual</v>
          </cell>
        </row>
        <row r="350">
          <cell r="A350" t="str">
            <v>Northridge</v>
          </cell>
          <cell r="B350" t="str">
            <v>Perpetual</v>
          </cell>
        </row>
        <row r="351">
          <cell r="A351" t="str">
            <v>Northwell Health (fka North Shore LI Jewish Hospital)</v>
          </cell>
          <cell r="B351" t="str">
            <v>Term</v>
          </cell>
        </row>
        <row r="352">
          <cell r="A352" t="str">
            <v>Northwestern Mutual</v>
          </cell>
          <cell r="B352" t="str">
            <v>Perpetual</v>
          </cell>
        </row>
        <row r="353">
          <cell r="A353" t="str">
            <v>Norton Lifelock Capex</v>
          </cell>
          <cell r="B353" t="str">
            <v>Term</v>
          </cell>
        </row>
        <row r="354">
          <cell r="A354" t="str">
            <v>Nova Southeastern University</v>
          </cell>
          <cell r="B354" t="str">
            <v>SaaS</v>
          </cell>
        </row>
        <row r="355">
          <cell r="A355" t="str">
            <v>NRG Energy Inc</v>
          </cell>
          <cell r="B355" t="str">
            <v>Term</v>
          </cell>
        </row>
        <row r="356">
          <cell r="A356" t="str">
            <v>NSM Insurance Group</v>
          </cell>
          <cell r="B356" t="str">
            <v>SaaS</v>
          </cell>
        </row>
        <row r="357">
          <cell r="A357" t="str">
            <v>Nuance Communications</v>
          </cell>
          <cell r="B357" t="str">
            <v>Term</v>
          </cell>
        </row>
        <row r="358">
          <cell r="A358" t="str">
            <v>NYUMC Langone</v>
          </cell>
          <cell r="B358" t="str">
            <v>Perpetual</v>
          </cell>
        </row>
        <row r="359">
          <cell r="A359" t="str">
            <v>One Call Care Management Inc</v>
          </cell>
          <cell r="B359" t="str">
            <v>Perpetual</v>
          </cell>
        </row>
        <row r="360">
          <cell r="A360" t="str">
            <v>OneAmerica Financial Partners</v>
          </cell>
          <cell r="B360" t="str">
            <v>Term</v>
          </cell>
        </row>
        <row r="361">
          <cell r="A361" t="str">
            <v>Openedge ( a Division of Global Payments)</v>
          </cell>
          <cell r="B361" t="str">
            <v>Term</v>
          </cell>
        </row>
        <row r="362">
          <cell r="A362" t="str">
            <v>Orange County Board of County Commissioners</v>
          </cell>
          <cell r="B362" t="str">
            <v>Perpetual</v>
          </cell>
        </row>
        <row r="363">
          <cell r="A363" t="str">
            <v>Orange County Regional Computer</v>
          </cell>
          <cell r="B363" t="str">
            <v>Term</v>
          </cell>
        </row>
        <row r="364">
          <cell r="A364" t="str">
            <v>Orlando Health</v>
          </cell>
          <cell r="B364" t="str">
            <v>Term</v>
          </cell>
        </row>
        <row r="365">
          <cell r="A365" t="str">
            <v>Ortho Clinical Diagnostics</v>
          </cell>
          <cell r="B365" t="str">
            <v>Perpetual</v>
          </cell>
        </row>
        <row r="366">
          <cell r="A366" t="str">
            <v>OSTERTAG DETEWE HOLDING GMBH</v>
          </cell>
          <cell r="B366" t="str">
            <v>Perpetual</v>
          </cell>
        </row>
        <row r="367">
          <cell r="A367" t="str">
            <v>Otis Elevator Company (OTIS)</v>
          </cell>
          <cell r="B367" t="str">
            <v>SaaS</v>
          </cell>
        </row>
        <row r="368">
          <cell r="A368" t="str">
            <v>Pacific Service Credit Union</v>
          </cell>
          <cell r="B368" t="str">
            <v>Term</v>
          </cell>
        </row>
        <row r="369">
          <cell r="A369" t="str">
            <v>PANTHERS BRHC LTD</v>
          </cell>
          <cell r="B369" t="str">
            <v>Perpetual</v>
          </cell>
        </row>
        <row r="370">
          <cell r="A370" t="str">
            <v>Parkview Corporate Health</v>
          </cell>
          <cell r="B370" t="str">
            <v>Term</v>
          </cell>
        </row>
        <row r="371">
          <cell r="A371" t="str">
            <v>Partnership HealthPlan of California</v>
          </cell>
          <cell r="B371" t="str">
            <v>Term</v>
          </cell>
        </row>
        <row r="372">
          <cell r="A372" t="str">
            <v>Patient First Corporation</v>
          </cell>
          <cell r="B372" t="str">
            <v>Term</v>
          </cell>
        </row>
        <row r="373">
          <cell r="A373" t="str">
            <v>Patterson Dental Supply</v>
          </cell>
          <cell r="B373" t="str">
            <v>SaaS</v>
          </cell>
        </row>
        <row r="374">
          <cell r="A374" t="str">
            <v>Peace Health Oregon Region</v>
          </cell>
          <cell r="B374" t="str">
            <v>Term</v>
          </cell>
        </row>
        <row r="375">
          <cell r="A375" t="str">
            <v>PeaceHealth St Joseph Hospital Bellingham</v>
          </cell>
          <cell r="B375" t="str">
            <v>Term</v>
          </cell>
        </row>
        <row r="376">
          <cell r="A376" t="str">
            <v>Penn State Health</v>
          </cell>
          <cell r="B376" t="str">
            <v>Term</v>
          </cell>
        </row>
        <row r="377">
          <cell r="A377" t="str">
            <v>Pennsylvania One Call System</v>
          </cell>
          <cell r="B377" t="str">
            <v>Term</v>
          </cell>
        </row>
        <row r="378">
          <cell r="A378" t="str">
            <v>Personal Touch Holding Co.</v>
          </cell>
          <cell r="B378" t="str">
            <v>Term</v>
          </cell>
        </row>
        <row r="379">
          <cell r="A379" t="str">
            <v>Physicians Mutual Insurance Company</v>
          </cell>
          <cell r="B379" t="str">
            <v>Perpetual</v>
          </cell>
        </row>
        <row r="380">
          <cell r="A380" t="str">
            <v>PNC Bank, National Association</v>
          </cell>
          <cell r="B380" t="str">
            <v>Perpetual</v>
          </cell>
        </row>
        <row r="381">
          <cell r="A381" t="str">
            <v>Pocono Medical Center</v>
          </cell>
          <cell r="B381" t="str">
            <v>Perpetual</v>
          </cell>
        </row>
        <row r="382">
          <cell r="A382" t="str">
            <v>Porsche Cars North America Inc</v>
          </cell>
          <cell r="B382" t="str">
            <v>Term</v>
          </cell>
        </row>
        <row r="383">
          <cell r="A383" t="str">
            <v>Portland General Electric</v>
          </cell>
          <cell r="B383" t="str">
            <v>Term</v>
          </cell>
        </row>
        <row r="384">
          <cell r="A384" t="str">
            <v>Portsmouth Naval Hospital</v>
          </cell>
          <cell r="B384" t="str">
            <v>Term</v>
          </cell>
        </row>
        <row r="385">
          <cell r="A385" t="str">
            <v>Private Client Select Insurance Services LLC</v>
          </cell>
          <cell r="B385" t="str">
            <v>SaaS</v>
          </cell>
        </row>
        <row r="386">
          <cell r="A386" t="str">
            <v>Progressive Casualty Insurance Company</v>
          </cell>
          <cell r="B386" t="str">
            <v>SaaS</v>
          </cell>
        </row>
        <row r="387">
          <cell r="A387" t="str">
            <v>Propharma Group LLC</v>
          </cell>
          <cell r="B387" t="str">
            <v>SaaS</v>
          </cell>
        </row>
        <row r="388">
          <cell r="A388" t="str">
            <v>Providence Health Centralia</v>
          </cell>
          <cell r="B388" t="str">
            <v>Perpetual</v>
          </cell>
        </row>
        <row r="389">
          <cell r="A389" t="str">
            <v>Quadient</v>
          </cell>
          <cell r="B389" t="str">
            <v>SaaS</v>
          </cell>
        </row>
        <row r="390">
          <cell r="A390" t="str">
            <v>Quantum Health, Inc.</v>
          </cell>
          <cell r="B390" t="str">
            <v>Perpetual</v>
          </cell>
        </row>
        <row r="391">
          <cell r="A391" t="str">
            <v>Radian Group Inc.</v>
          </cell>
          <cell r="B391" t="str">
            <v>SaaS</v>
          </cell>
        </row>
        <row r="392">
          <cell r="A392" t="str">
            <v>Radiant Credit Union fka SunState Federal Credit Union</v>
          </cell>
          <cell r="B392" t="str">
            <v>SaaS</v>
          </cell>
        </row>
        <row r="393">
          <cell r="A393" t="str">
            <v>Ratiodata</v>
          </cell>
          <cell r="B393" t="str">
            <v>Perpetual</v>
          </cell>
        </row>
        <row r="394">
          <cell r="A394" t="str">
            <v>Reading Hospital &amp; Medical Center</v>
          </cell>
          <cell r="B394" t="str">
            <v>Term</v>
          </cell>
        </row>
        <row r="395">
          <cell r="A395" t="str">
            <v>Reckitt Benckiser (RB) US</v>
          </cell>
          <cell r="B395" t="str">
            <v>SaaS</v>
          </cell>
        </row>
        <row r="396">
          <cell r="A396" t="str">
            <v>RegaloRx, Inc.</v>
          </cell>
          <cell r="B396" t="str">
            <v>SaaS</v>
          </cell>
        </row>
        <row r="397">
          <cell r="A397" t="str">
            <v>Regents of the University of Michigan</v>
          </cell>
          <cell r="B397" t="str">
            <v>Term</v>
          </cell>
        </row>
        <row r="398">
          <cell r="A398" t="str">
            <v>Regional Municipality of York</v>
          </cell>
          <cell r="B398" t="str">
            <v>Perpetual</v>
          </cell>
        </row>
        <row r="399">
          <cell r="A399" t="str">
            <v>Regions Bank</v>
          </cell>
          <cell r="B399" t="str">
            <v>SaaS</v>
          </cell>
        </row>
        <row r="400">
          <cell r="A400" t="str">
            <v>Reliance Insurance</v>
          </cell>
          <cell r="B400" t="str">
            <v>Term</v>
          </cell>
        </row>
        <row r="401">
          <cell r="A401" t="str">
            <v>Retail Finance International Holdings, Inc. (RFIH)</v>
          </cell>
          <cell r="B401" t="str">
            <v>Term</v>
          </cell>
        </row>
        <row r="402">
          <cell r="A402" t="str">
            <v>Revel Systems</v>
          </cell>
          <cell r="B402" t="str">
            <v>Term</v>
          </cell>
        </row>
        <row r="403">
          <cell r="A403" t="str">
            <v>Revival Animal Health, Inc.</v>
          </cell>
          <cell r="B403" t="str">
            <v>SaaS</v>
          </cell>
        </row>
        <row r="404">
          <cell r="A404" t="str">
            <v>Ridgetop Road</v>
          </cell>
          <cell r="B404" t="str">
            <v>Term</v>
          </cell>
        </row>
        <row r="405">
          <cell r="A405" t="str">
            <v>Rio Grande Co.</v>
          </cell>
          <cell r="B405" t="str">
            <v>SaaS</v>
          </cell>
        </row>
        <row r="406">
          <cell r="A406" t="str">
            <v>Roche Diagnostics Corporation</v>
          </cell>
          <cell r="B406" t="str">
            <v>SaaS</v>
          </cell>
        </row>
        <row r="407">
          <cell r="A407" t="str">
            <v>Rocket Travel, Inc.</v>
          </cell>
          <cell r="B407" t="str">
            <v>SaaS</v>
          </cell>
        </row>
        <row r="408">
          <cell r="A408" t="str">
            <v>Rocky Mountain Cancer Centers Colorado</v>
          </cell>
          <cell r="B408" t="str">
            <v>Term</v>
          </cell>
        </row>
        <row r="409">
          <cell r="A409" t="str">
            <v>Rocky Mountain Poison &amp; Drug Center</v>
          </cell>
          <cell r="B409" t="str">
            <v>Perpetual</v>
          </cell>
        </row>
        <row r="410">
          <cell r="A410" t="str">
            <v>Rogers Communications Canada Inc.</v>
          </cell>
          <cell r="B410" t="str">
            <v>Term</v>
          </cell>
        </row>
        <row r="411">
          <cell r="A411" t="str">
            <v>Roins Financial Services Limited</v>
          </cell>
          <cell r="B411" t="str">
            <v>SaaS</v>
          </cell>
        </row>
        <row r="412">
          <cell r="A412" t="str">
            <v>Rolex</v>
          </cell>
          <cell r="B412" t="str">
            <v>SaaS</v>
          </cell>
        </row>
        <row r="413">
          <cell r="A413" t="str">
            <v>Royal Canin USA, Inc.</v>
          </cell>
          <cell r="B413" t="str">
            <v>SaaS</v>
          </cell>
        </row>
        <row r="414">
          <cell r="A414" t="str">
            <v>Sacramento Municipal Utility District</v>
          </cell>
          <cell r="B414" t="str">
            <v>Perpetual</v>
          </cell>
        </row>
        <row r="415">
          <cell r="A415" t="str">
            <v>SAFG Technologies, LLC</v>
          </cell>
          <cell r="B415" t="str">
            <v>Perpetual</v>
          </cell>
        </row>
        <row r="416">
          <cell r="A416" t="str">
            <v>Safra Bank</v>
          </cell>
          <cell r="B416" t="str">
            <v>Perpetual</v>
          </cell>
        </row>
        <row r="417">
          <cell r="A417" t="str">
            <v>Samaritan Corvallis CDC</v>
          </cell>
          <cell r="B417" t="str">
            <v>Term</v>
          </cell>
        </row>
        <row r="418">
          <cell r="A418" t="str">
            <v>Sammons Financial Group</v>
          </cell>
          <cell r="B418" t="str">
            <v>Perpetual</v>
          </cell>
        </row>
        <row r="419">
          <cell r="A419" t="str">
            <v>Santander - US</v>
          </cell>
          <cell r="B419" t="str">
            <v>Perpetual</v>
          </cell>
        </row>
        <row r="420">
          <cell r="A420" t="str">
            <v>School Specialty, Inc.</v>
          </cell>
          <cell r="B420" t="str">
            <v>SaaS</v>
          </cell>
        </row>
        <row r="421">
          <cell r="A421" t="str">
            <v>Scott &amp; White Memorial Hospital</v>
          </cell>
          <cell r="B421" t="str">
            <v>Term</v>
          </cell>
        </row>
        <row r="422">
          <cell r="A422" t="str">
            <v>Scripps Mercy Hospital</v>
          </cell>
          <cell r="B422" t="str">
            <v>Term</v>
          </cell>
        </row>
        <row r="423">
          <cell r="A423" t="str">
            <v>SEIU</v>
          </cell>
          <cell r="B423" t="str">
            <v>SaaS</v>
          </cell>
        </row>
        <row r="424">
          <cell r="A424" t="str">
            <v>Selective Insurance Company of America, Inc.</v>
          </cell>
          <cell r="B424" t="str">
            <v>SaaS</v>
          </cell>
        </row>
        <row r="425">
          <cell r="A425" t="str">
            <v>Septa</v>
          </cell>
          <cell r="B425" t="str">
            <v>Perpetual</v>
          </cell>
        </row>
        <row r="426">
          <cell r="A426" t="str">
            <v>Shared Technologies Service Group</v>
          </cell>
          <cell r="B426" t="str">
            <v>Term</v>
          </cell>
        </row>
        <row r="427">
          <cell r="A427" t="str">
            <v>Shipbob, Inc.</v>
          </cell>
          <cell r="B427" t="str">
            <v>SaaS</v>
          </cell>
        </row>
        <row r="428">
          <cell r="A428" t="str">
            <v>Silac Insurance Company</v>
          </cell>
          <cell r="B428" t="str">
            <v>SaaS</v>
          </cell>
        </row>
        <row r="429">
          <cell r="A429" t="str">
            <v>Skybridge Americas, Inc.</v>
          </cell>
          <cell r="B429" t="str">
            <v>Perpetual</v>
          </cell>
        </row>
        <row r="430">
          <cell r="A430" t="str">
            <v>Snohomish County Public Utility</v>
          </cell>
          <cell r="B430" t="str">
            <v>Perpetual</v>
          </cell>
        </row>
        <row r="431">
          <cell r="A431" t="str">
            <v>Social Security Administration</v>
          </cell>
          <cell r="B431" t="str">
            <v>Term</v>
          </cell>
        </row>
        <row r="432">
          <cell r="A432" t="str">
            <v>Sonora Quest Laboratories</v>
          </cell>
          <cell r="B432" t="str">
            <v>Term</v>
          </cell>
        </row>
        <row r="433">
          <cell r="A433" t="str">
            <v>Source Support Services, Inc.</v>
          </cell>
          <cell r="B433" t="str">
            <v>SaaS</v>
          </cell>
        </row>
        <row r="434">
          <cell r="A434" t="str">
            <v>Southern Company</v>
          </cell>
          <cell r="B434" t="str">
            <v>Term</v>
          </cell>
        </row>
        <row r="435">
          <cell r="A435" t="str">
            <v>Spectrum Vision Partners, LLC</v>
          </cell>
          <cell r="B435" t="str">
            <v>SaaS</v>
          </cell>
        </row>
        <row r="436">
          <cell r="A436" t="str">
            <v>Spirit Airlines</v>
          </cell>
          <cell r="B436" t="str">
            <v>Term</v>
          </cell>
        </row>
        <row r="437">
          <cell r="A437" t="str">
            <v>Sportsmans Warehouse Holdings, Inc.</v>
          </cell>
          <cell r="B437" t="str">
            <v>SaaS</v>
          </cell>
        </row>
        <row r="438">
          <cell r="A438" t="str">
            <v>Starkey Laboratories, Inc</v>
          </cell>
          <cell r="B438" t="str">
            <v>SaaS</v>
          </cell>
        </row>
        <row r="439">
          <cell r="A439" t="str">
            <v>State of Connecticut Department of Social Services</v>
          </cell>
          <cell r="B439" t="str">
            <v>Perpetual</v>
          </cell>
        </row>
        <row r="440">
          <cell r="A440" t="str">
            <v>State of Florida - Hayes Hosted Solution</v>
          </cell>
          <cell r="B440" t="str">
            <v>Term</v>
          </cell>
        </row>
        <row r="441">
          <cell r="A441" t="str">
            <v>State of New Mexico</v>
          </cell>
          <cell r="B441" t="str">
            <v>Term</v>
          </cell>
        </row>
        <row r="442">
          <cell r="A442" t="str">
            <v>State of Washington - Department of Social and Health Services (DSHS)</v>
          </cell>
          <cell r="B442" t="str">
            <v>Term</v>
          </cell>
        </row>
        <row r="443">
          <cell r="A443" t="str">
            <v>State of Washington Department Retirement System</v>
          </cell>
          <cell r="B443" t="str">
            <v>Term</v>
          </cell>
        </row>
        <row r="444">
          <cell r="A444" t="str">
            <v>State of Washington Health Care Authority</v>
          </cell>
          <cell r="B444" t="str">
            <v>Term</v>
          </cell>
        </row>
        <row r="445">
          <cell r="A445" t="str">
            <v>Stein Lodge</v>
          </cell>
          <cell r="B445" t="str">
            <v>SaaS</v>
          </cell>
        </row>
        <row r="446">
          <cell r="A446" t="str">
            <v>Sulphur Springs Valley Electric Coop.</v>
          </cell>
          <cell r="B446" t="str">
            <v>Term</v>
          </cell>
        </row>
        <row r="447">
          <cell r="A447" t="str">
            <v>Sun Life Assurance Company of Canada</v>
          </cell>
          <cell r="B447" t="str">
            <v>Term</v>
          </cell>
        </row>
        <row r="448">
          <cell r="A448" t="str">
            <v>Suncoast Credit Union</v>
          </cell>
          <cell r="B448" t="str">
            <v>Term</v>
          </cell>
        </row>
        <row r="449">
          <cell r="A449" t="str">
            <v>Suncor Wood Buffalo</v>
          </cell>
          <cell r="B449" t="str">
            <v>Term</v>
          </cell>
        </row>
        <row r="450">
          <cell r="A450" t="str">
            <v>Tacoma Public Utilities - Tacoma, WA</v>
          </cell>
          <cell r="B450" t="str">
            <v>Term</v>
          </cell>
        </row>
        <row r="451">
          <cell r="A451" t="str">
            <v>Tallahassee Community College</v>
          </cell>
          <cell r="B451" t="str">
            <v>Term</v>
          </cell>
        </row>
        <row r="452">
          <cell r="A452" t="str">
            <v>Tampa Electric Company</v>
          </cell>
          <cell r="B452" t="str">
            <v>Perpetual</v>
          </cell>
        </row>
        <row r="453">
          <cell r="A453" t="str">
            <v>TB Consulting LLC</v>
          </cell>
          <cell r="B453" t="str">
            <v>Term</v>
          </cell>
        </row>
        <row r="454">
          <cell r="A454" t="str">
            <v>TCS e-Serve International Ltd</v>
          </cell>
          <cell r="B454" t="str">
            <v>Perpetual</v>
          </cell>
        </row>
        <row r="455">
          <cell r="A455" t="str">
            <v>TD Bank N.A.- USA</v>
          </cell>
          <cell r="B455" t="str">
            <v>Term</v>
          </cell>
        </row>
        <row r="456">
          <cell r="A456" t="str">
            <v>Teleflex Incorporated</v>
          </cell>
          <cell r="B456" t="str">
            <v>Perpetual</v>
          </cell>
        </row>
        <row r="457">
          <cell r="A457" t="str">
            <v>Telus International (CDA), Inc.</v>
          </cell>
          <cell r="B457" t="str">
            <v>Term</v>
          </cell>
        </row>
        <row r="458">
          <cell r="A458" t="str">
            <v>Terminix Consumer Services, LLC</v>
          </cell>
          <cell r="B458" t="str">
            <v>SaaS</v>
          </cell>
        </row>
        <row r="459">
          <cell r="A459" t="str">
            <v>Texas Bank &amp; Trust Company</v>
          </cell>
          <cell r="B459" t="str">
            <v>SaaS</v>
          </cell>
        </row>
        <row r="460">
          <cell r="A460" t="str">
            <v>Texas County &amp; District Retirement System (TCDRS)</v>
          </cell>
          <cell r="B460" t="str">
            <v>SaaS</v>
          </cell>
        </row>
        <row r="461">
          <cell r="A461" t="str">
            <v>Texas Health and Human Services Commission (HHSC)</v>
          </cell>
          <cell r="B461" t="str">
            <v>Term</v>
          </cell>
        </row>
        <row r="462">
          <cell r="A462" t="str">
            <v>Texas Mutual Insurance</v>
          </cell>
          <cell r="B462" t="str">
            <v>Perpetual</v>
          </cell>
        </row>
        <row r="463">
          <cell r="A463" t="str">
            <v>The Ann &amp; Robert H. Lurie Children's Hospital of Chicago</v>
          </cell>
          <cell r="B463" t="str">
            <v>Term</v>
          </cell>
        </row>
        <row r="464">
          <cell r="A464" t="str">
            <v>The Assistance Fund Inc</v>
          </cell>
          <cell r="B464" t="str">
            <v>SaaS</v>
          </cell>
        </row>
        <row r="465">
          <cell r="A465" t="str">
            <v>The Bank of New York Mellon f/k/a Mellon Bank</v>
          </cell>
          <cell r="B465" t="str">
            <v>Perpetual</v>
          </cell>
        </row>
        <row r="466">
          <cell r="A466" t="str">
            <v>The Cleveland Clinic Foundation</v>
          </cell>
          <cell r="B466" t="str">
            <v>Term</v>
          </cell>
        </row>
        <row r="467">
          <cell r="A467" t="str">
            <v>The Energy Federation, Inc.</v>
          </cell>
          <cell r="B467" t="str">
            <v>SaaS</v>
          </cell>
        </row>
        <row r="468">
          <cell r="A468" t="str">
            <v>The Fairfield County Board of Count</v>
          </cell>
          <cell r="B468" t="str">
            <v>SaaS</v>
          </cell>
        </row>
        <row r="469">
          <cell r="A469" t="str">
            <v>The Goldman Sachs Group, Inc.</v>
          </cell>
          <cell r="B469" t="str">
            <v>SaaS</v>
          </cell>
        </row>
        <row r="470">
          <cell r="A470" t="str">
            <v>THE HOSPITAL AUTHORITY OF VALDOSTA AND LOWNDES COUNTY GEORGiA</v>
          </cell>
          <cell r="B470" t="str">
            <v>Term</v>
          </cell>
        </row>
        <row r="471">
          <cell r="A471" t="str">
            <v>The National Bank of Canada</v>
          </cell>
          <cell r="B471" t="str">
            <v>Term</v>
          </cell>
        </row>
        <row r="472">
          <cell r="A472" t="str">
            <v>The Results Company</v>
          </cell>
          <cell r="B472" t="str">
            <v>SaaS</v>
          </cell>
        </row>
        <row r="473">
          <cell r="A473" t="str">
            <v>The School District of Philadelphia</v>
          </cell>
          <cell r="B473" t="str">
            <v>Term</v>
          </cell>
        </row>
        <row r="474">
          <cell r="A474" t="str">
            <v>The University of Texas M.D. Anderson Cancer Center</v>
          </cell>
          <cell r="B474" t="str">
            <v>Term</v>
          </cell>
        </row>
        <row r="475">
          <cell r="A475" t="str">
            <v>T-Mobile USA, Inc.</v>
          </cell>
          <cell r="B475" t="str">
            <v>Perpetual</v>
          </cell>
        </row>
        <row r="476">
          <cell r="A476" t="str">
            <v>Transit Workers Union Local 100</v>
          </cell>
          <cell r="B476" t="str">
            <v>SaaS</v>
          </cell>
        </row>
        <row r="477">
          <cell r="A477" t="str">
            <v>Transportation Security Administration (TSA)</v>
          </cell>
          <cell r="B477" t="str">
            <v>Perpetual</v>
          </cell>
        </row>
        <row r="478">
          <cell r="A478" t="str">
            <v>TransUnion LLC</v>
          </cell>
          <cell r="B478" t="str">
            <v>Term</v>
          </cell>
        </row>
        <row r="479">
          <cell r="A479" t="str">
            <v>Treasure Island</v>
          </cell>
          <cell r="B479" t="str">
            <v>Term</v>
          </cell>
        </row>
        <row r="480">
          <cell r="A480" t="str">
            <v>Trinity Health</v>
          </cell>
          <cell r="B480" t="str">
            <v>Term</v>
          </cell>
        </row>
        <row r="481">
          <cell r="A481" t="str">
            <v>TSA - Telecommunication Group</v>
          </cell>
          <cell r="B481" t="str">
            <v>Perpetual</v>
          </cell>
        </row>
        <row r="482">
          <cell r="A482" t="str">
            <v>TSYS</v>
          </cell>
          <cell r="B482" t="str">
            <v>Term</v>
          </cell>
        </row>
        <row r="483">
          <cell r="A483" t="str">
            <v>U.S. Bancorp successor in interest to MUFG Union Bank, N.a.</v>
          </cell>
          <cell r="B483" t="str">
            <v>Perpetual</v>
          </cell>
        </row>
        <row r="484">
          <cell r="A484" t="str">
            <v>UMASS Medical School</v>
          </cell>
          <cell r="B484" t="str">
            <v>Term</v>
          </cell>
        </row>
        <row r="485">
          <cell r="A485" t="str">
            <v>UMASS Memorial</v>
          </cell>
          <cell r="B485" t="str">
            <v>Term</v>
          </cell>
        </row>
        <row r="486">
          <cell r="A486" t="str">
            <v>United Automobile Insurance Group, Inc.</v>
          </cell>
          <cell r="B486" t="str">
            <v>Perpetual</v>
          </cell>
        </row>
        <row r="487">
          <cell r="A487" t="str">
            <v>United Parcel Service (UPS)</v>
          </cell>
          <cell r="B487" t="str">
            <v>Perpetual</v>
          </cell>
        </row>
        <row r="488">
          <cell r="A488" t="str">
            <v>United States Pharmaceutical Group LLC dba Convey Health Solutions LLC</v>
          </cell>
          <cell r="B488" t="str">
            <v>Term</v>
          </cell>
        </row>
        <row r="489">
          <cell r="A489" t="str">
            <v>University of Chicago</v>
          </cell>
          <cell r="B489" t="str">
            <v>Perpetual</v>
          </cell>
        </row>
        <row r="490">
          <cell r="A490" t="str">
            <v>University Of Connecticut Health Center</v>
          </cell>
          <cell r="B490" t="str">
            <v>Perpetual</v>
          </cell>
        </row>
        <row r="491">
          <cell r="A491" t="str">
            <v>University of Kansas Medical Center</v>
          </cell>
          <cell r="B491" t="str">
            <v>Term</v>
          </cell>
        </row>
        <row r="492">
          <cell r="A492" t="str">
            <v>University of Michigan</v>
          </cell>
          <cell r="B492" t="str">
            <v>Term</v>
          </cell>
        </row>
        <row r="493">
          <cell r="A493" t="str">
            <v>University of Pennsylvania - Penn Medicine at Rittenhouse</v>
          </cell>
          <cell r="B493" t="str">
            <v>Perpetual</v>
          </cell>
        </row>
        <row r="494">
          <cell r="A494" t="str">
            <v>University of Texas Southwest Medical Center</v>
          </cell>
          <cell r="B494" t="str">
            <v>SaaS</v>
          </cell>
        </row>
        <row r="495">
          <cell r="A495" t="str">
            <v>University of Utah</v>
          </cell>
          <cell r="B495" t="str">
            <v>Term</v>
          </cell>
        </row>
        <row r="496">
          <cell r="A496" t="str">
            <v>University of Washington Medicine</v>
          </cell>
          <cell r="B496" t="str">
            <v>SaaS</v>
          </cell>
        </row>
        <row r="497">
          <cell r="A497" t="str">
            <v>US Citizenship and Immigration Services (USCIS)</v>
          </cell>
          <cell r="B497" t="str">
            <v>Perpetual</v>
          </cell>
        </row>
        <row r="498">
          <cell r="A498" t="str">
            <v>US Foods, Inc.</v>
          </cell>
          <cell r="B498" t="str">
            <v>Perpetual</v>
          </cell>
        </row>
        <row r="499">
          <cell r="A499" t="str">
            <v>US Geological Survey National Mapping WIT</v>
          </cell>
          <cell r="B499" t="str">
            <v>Term</v>
          </cell>
        </row>
        <row r="500">
          <cell r="A500" t="str">
            <v>US Navysparwarsyscen</v>
          </cell>
          <cell r="B500" t="str">
            <v>Perpetual</v>
          </cell>
        </row>
        <row r="501">
          <cell r="A501" t="str">
            <v>Usana Health Sciences</v>
          </cell>
          <cell r="B501" t="str">
            <v>Term</v>
          </cell>
        </row>
        <row r="502">
          <cell r="A502" t="str">
            <v>USDA</v>
          </cell>
          <cell r="B502" t="str">
            <v>Perpetual</v>
          </cell>
        </row>
        <row r="503">
          <cell r="A503" t="str">
            <v>VA Medical Cntr Chief Supply Svc</v>
          </cell>
          <cell r="B503" t="str">
            <v>Term</v>
          </cell>
        </row>
        <row r="504">
          <cell r="A504" t="str">
            <v>Varidesk LLC</v>
          </cell>
          <cell r="B504" t="str">
            <v>SaaS</v>
          </cell>
        </row>
        <row r="505">
          <cell r="A505" t="str">
            <v>VCU POCA</v>
          </cell>
          <cell r="B505" t="str">
            <v>Term</v>
          </cell>
        </row>
        <row r="506">
          <cell r="A506" t="str">
            <v>Venetian Casino Resort, LLC</v>
          </cell>
          <cell r="B506" t="str">
            <v>Term</v>
          </cell>
        </row>
        <row r="507">
          <cell r="A507" t="str">
            <v>Veterinary Pet Insurance</v>
          </cell>
          <cell r="B507" t="str">
            <v>Term</v>
          </cell>
        </row>
        <row r="508">
          <cell r="A508" t="str">
            <v>Vets First Choice</v>
          </cell>
          <cell r="B508" t="str">
            <v>Term</v>
          </cell>
        </row>
        <row r="509">
          <cell r="A509" t="str">
            <v>Victory Auto Group</v>
          </cell>
          <cell r="B509" t="str">
            <v>SaaS</v>
          </cell>
        </row>
        <row r="510">
          <cell r="A510" t="str">
            <v>Virginia (VA) Department of Taxation</v>
          </cell>
          <cell r="B510" t="str">
            <v>Perpetual</v>
          </cell>
        </row>
        <row r="511">
          <cell r="A511" t="str">
            <v>VW Credit, Inc.</v>
          </cell>
          <cell r="B511" t="str">
            <v>Perpetual</v>
          </cell>
        </row>
        <row r="512">
          <cell r="A512" t="str">
            <v>WageWorks</v>
          </cell>
          <cell r="B512" t="str">
            <v>Term</v>
          </cell>
        </row>
        <row r="513">
          <cell r="A513" t="str">
            <v>Walter Reed National Military Medical Center (NMMC)</v>
          </cell>
          <cell r="B513" t="str">
            <v>Term</v>
          </cell>
        </row>
        <row r="514">
          <cell r="A514" t="str">
            <v>Washington Gas Light Company</v>
          </cell>
          <cell r="B514" t="str">
            <v>Term</v>
          </cell>
        </row>
        <row r="515">
          <cell r="A515" t="str">
            <v>Washington Suburban Sanitary Commission</v>
          </cell>
          <cell r="B515" t="str">
            <v>Term</v>
          </cell>
        </row>
        <row r="516">
          <cell r="A516" t="str">
            <v>Wawanesa Insurance</v>
          </cell>
          <cell r="B516" t="str">
            <v>Term</v>
          </cell>
        </row>
        <row r="517">
          <cell r="A517" t="str">
            <v>WebMD, LLC</v>
          </cell>
          <cell r="B517" t="str">
            <v>Term</v>
          </cell>
        </row>
        <row r="518">
          <cell r="A518" t="str">
            <v>Weill Cornell Medical College</v>
          </cell>
          <cell r="B518" t="str">
            <v>Term</v>
          </cell>
        </row>
        <row r="519">
          <cell r="A519" t="str">
            <v>Wescom Credit Union</v>
          </cell>
          <cell r="B519" t="str">
            <v>Term</v>
          </cell>
        </row>
        <row r="520">
          <cell r="A520" t="str">
            <v>Westminster Communications Center</v>
          </cell>
          <cell r="B520" t="str">
            <v>Perpetual</v>
          </cell>
        </row>
        <row r="521">
          <cell r="A521" t="str">
            <v>WFUBMC - North Carolina Baptist Hospital</v>
          </cell>
          <cell r="B521" t="str">
            <v>Term</v>
          </cell>
        </row>
        <row r="522">
          <cell r="A522" t="str">
            <v>Windsor Casino</v>
          </cell>
          <cell r="B522" t="str">
            <v>Term</v>
          </cell>
        </row>
        <row r="523">
          <cell r="A523" t="str">
            <v>World Strides</v>
          </cell>
          <cell r="B523" t="str">
            <v>Term</v>
          </cell>
        </row>
        <row r="524">
          <cell r="A524" t="str">
            <v>WSDOT Dayton TMC (Washington State Department of Transportation)</v>
          </cell>
          <cell r="B524" t="str">
            <v>Perpetual</v>
          </cell>
        </row>
        <row r="525">
          <cell r="A525" t="str">
            <v>WSECU</v>
          </cell>
          <cell r="B525" t="str">
            <v>Perpetual</v>
          </cell>
        </row>
        <row r="526">
          <cell r="A526" t="str">
            <v>Xcel Energy</v>
          </cell>
          <cell r="B526" t="str">
            <v>SaaS</v>
          </cell>
        </row>
        <row r="527">
          <cell r="A527" t="str">
            <v>Yale New Haven Hospital</v>
          </cell>
          <cell r="B527" t="str">
            <v>Perpetual</v>
          </cell>
        </row>
        <row r="528">
          <cell r="A528" t="str">
            <v>Yale University</v>
          </cell>
          <cell r="B528" t="str">
            <v>Perpetual</v>
          </cell>
        </row>
        <row r="529">
          <cell r="A529" t="str">
            <v>YUMA REGIONAL MEDICAL CENTER</v>
          </cell>
          <cell r="B529" t="str">
            <v>Term</v>
          </cell>
        </row>
        <row r="530">
          <cell r="A530" t="str">
            <v>Zenbusiness Pbc</v>
          </cell>
          <cell r="B530" t="str">
            <v>SaaS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2FA7-C164-4663-9A90-57380CB5E84D}">
  <sheetPr filterMode="1">
    <tabColor rgb="FF00B050"/>
  </sheetPr>
  <dimension ref="A1:AL1302"/>
  <sheetViews>
    <sheetView zoomScale="110" zoomScaleNormal="110" workbookViewId="0">
      <pane ySplit="4" topLeftCell="A85" activePane="bottomLeft" state="frozen"/>
      <selection pane="bottomLeft" activeCell="L5" sqref="L5:L202"/>
    </sheetView>
  </sheetViews>
  <sheetFormatPr defaultRowHeight="15" x14ac:dyDescent="0.25"/>
  <cols>
    <col min="1" max="1" width="21.28515625" customWidth="1"/>
    <col min="2" max="2" width="45.7109375" customWidth="1"/>
    <col min="3" max="4" width="13" customWidth="1"/>
    <col min="5" max="6" width="8" customWidth="1"/>
    <col min="7" max="27" width="8.42578125" customWidth="1"/>
    <col min="28" max="28" width="16.28515625" hidden="1" customWidth="1"/>
    <col min="29" max="29" width="14.5703125" style="13" hidden="1" customWidth="1"/>
    <col min="30" max="30" width="12.7109375" style="13" hidden="1" customWidth="1"/>
    <col min="31" max="31" width="11.140625" style="13" hidden="1" customWidth="1"/>
    <col min="32" max="32" width="12.5703125" style="13" hidden="1" customWidth="1"/>
    <col min="33" max="33" width="13" style="13" hidden="1" customWidth="1"/>
    <col min="34" max="34" width="12" style="13" hidden="1" customWidth="1"/>
    <col min="35" max="35" width="12.42578125" style="13" hidden="1" customWidth="1"/>
    <col min="36" max="36" width="11.7109375" style="13" hidden="1" customWidth="1"/>
    <col min="37" max="37" width="12" hidden="1" customWidth="1"/>
    <col min="38" max="38" width="26.28515625" hidden="1" customWidth="1"/>
  </cols>
  <sheetData>
    <row r="1" spans="1:38" ht="38.25" x14ac:dyDescent="0.25">
      <c r="AB1" s="1" t="s">
        <v>0</v>
      </c>
      <c r="AC1" s="2" t="s">
        <v>1</v>
      </c>
      <c r="AD1" s="2" t="s">
        <v>2</v>
      </c>
      <c r="AE1" s="2" t="s">
        <v>3</v>
      </c>
      <c r="AF1" s="2" t="s">
        <v>4</v>
      </c>
      <c r="AG1" s="2" t="s">
        <v>5</v>
      </c>
      <c r="AH1" s="2" t="s">
        <v>6</v>
      </c>
      <c r="AI1" s="2" t="s">
        <v>7</v>
      </c>
      <c r="AJ1" s="2" t="s">
        <v>7</v>
      </c>
    </row>
    <row r="2" spans="1:38" x14ac:dyDescent="0.25">
      <c r="AB2" s="3" t="s">
        <v>8</v>
      </c>
      <c r="AC2" s="3">
        <v>240</v>
      </c>
      <c r="AD2" s="3">
        <v>240</v>
      </c>
      <c r="AE2" s="3">
        <v>120</v>
      </c>
      <c r="AF2" s="3">
        <v>624</v>
      </c>
      <c r="AG2" s="3">
        <v>128</v>
      </c>
      <c r="AH2" s="3">
        <v>480</v>
      </c>
      <c r="AI2" s="3">
        <v>197</v>
      </c>
      <c r="AJ2" s="3">
        <f>480+120</f>
        <v>600</v>
      </c>
      <c r="AK2" s="3">
        <v>120</v>
      </c>
    </row>
    <row r="3" spans="1:38" ht="28.5" customHeight="1" x14ac:dyDescent="0.25">
      <c r="A3" s="4" t="s">
        <v>9</v>
      </c>
      <c r="B3" s="4" t="s">
        <v>9</v>
      </c>
      <c r="C3" s="4"/>
      <c r="D3" s="4"/>
      <c r="E3" s="4"/>
      <c r="F3" s="4"/>
      <c r="G3" s="5">
        <f t="shared" ref="G3:Z3" si="0">SUBTOTAL(9,G5:G2484)</f>
        <v>4266</v>
      </c>
      <c r="H3" s="5">
        <f t="shared" si="0"/>
        <v>111055</v>
      </c>
      <c r="I3" s="5">
        <f t="shared" si="0"/>
        <v>20560</v>
      </c>
      <c r="J3" s="5">
        <f t="shared" si="0"/>
        <v>76285</v>
      </c>
      <c r="K3" s="5">
        <f t="shared" si="0"/>
        <v>34171</v>
      </c>
      <c r="L3" s="5">
        <f t="shared" si="0"/>
        <v>57763</v>
      </c>
      <c r="M3" s="5">
        <f t="shared" si="0"/>
        <v>69114</v>
      </c>
      <c r="N3" s="5">
        <f t="shared" si="0"/>
        <v>0</v>
      </c>
      <c r="O3" s="5">
        <f t="shared" si="0"/>
        <v>76287</v>
      </c>
      <c r="P3" s="5">
        <f t="shared" si="0"/>
        <v>59257</v>
      </c>
      <c r="Q3" s="5">
        <f t="shared" si="0"/>
        <v>0</v>
      </c>
      <c r="R3" s="5">
        <f t="shared" si="0"/>
        <v>0</v>
      </c>
      <c r="S3" s="5">
        <f t="shared" si="0"/>
        <v>10765</v>
      </c>
      <c r="T3" s="5">
        <f t="shared" si="0"/>
        <v>0</v>
      </c>
      <c r="U3" s="5">
        <f t="shared" si="0"/>
        <v>1164</v>
      </c>
      <c r="V3" s="5">
        <f t="shared" si="0"/>
        <v>0</v>
      </c>
      <c r="W3" s="5">
        <f t="shared" si="0"/>
        <v>899</v>
      </c>
      <c r="X3" s="5">
        <f t="shared" si="0"/>
        <v>0</v>
      </c>
      <c r="Y3" s="5">
        <f t="shared" si="0"/>
        <v>0</v>
      </c>
      <c r="Z3" s="5">
        <f t="shared" si="0"/>
        <v>0</v>
      </c>
      <c r="AB3" s="4" t="s">
        <v>10</v>
      </c>
      <c r="AC3" s="6">
        <f>SUBTOTAL(9,AC5:AC2484)</f>
        <v>16587360</v>
      </c>
      <c r="AD3" s="6">
        <f t="shared" ref="AD3:AK3" si="1">SUBTOTAL(9,AD5:AD2484)</f>
        <v>9191280</v>
      </c>
      <c r="AE3" s="6">
        <f t="shared" si="1"/>
        <v>1721280</v>
      </c>
      <c r="AF3" s="6">
        <f t="shared" si="1"/>
        <v>68050320</v>
      </c>
      <c r="AG3" s="6">
        <f t="shared" si="1"/>
        <v>10299904</v>
      </c>
      <c r="AH3" s="6">
        <f t="shared" si="1"/>
        <v>38624640</v>
      </c>
      <c r="AI3" s="6">
        <f t="shared" si="1"/>
        <v>15852393</v>
      </c>
      <c r="AJ3" s="6">
        <f t="shared" si="1"/>
        <v>23418600</v>
      </c>
      <c r="AK3" s="6">
        <f t="shared" si="1"/>
        <v>4411560</v>
      </c>
      <c r="AL3" s="7">
        <f>SUM(AC3:AK3)</f>
        <v>188157337</v>
      </c>
    </row>
    <row r="4" spans="1:38" ht="39.75" hidden="1" customHeight="1" x14ac:dyDescent="0.25">
      <c r="A4" s="8" t="s">
        <v>11</v>
      </c>
      <c r="B4" s="9" t="s">
        <v>12</v>
      </c>
      <c r="C4" s="9" t="s">
        <v>13</v>
      </c>
      <c r="D4" s="9"/>
      <c r="E4" s="10" t="s">
        <v>14</v>
      </c>
      <c r="F4" s="10" t="s">
        <v>15</v>
      </c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9" t="s">
        <v>22</v>
      </c>
      <c r="N4" s="9" t="s">
        <v>23</v>
      </c>
      <c r="O4" s="9" t="s">
        <v>24</v>
      </c>
      <c r="P4" s="9" t="s">
        <v>25</v>
      </c>
      <c r="Q4" s="9" t="s">
        <v>26</v>
      </c>
      <c r="R4" s="9" t="s">
        <v>27</v>
      </c>
      <c r="S4" s="9" t="s">
        <v>28</v>
      </c>
      <c r="T4" s="9" t="s">
        <v>29</v>
      </c>
      <c r="U4" s="9" t="s">
        <v>30</v>
      </c>
      <c r="V4" s="9" t="s">
        <v>31</v>
      </c>
      <c r="W4" s="9" t="s">
        <v>32</v>
      </c>
      <c r="X4" s="9" t="s">
        <v>33</v>
      </c>
      <c r="Y4" s="9" t="s">
        <v>34</v>
      </c>
      <c r="Z4" s="9" t="s">
        <v>35</v>
      </c>
      <c r="AC4" s="10" t="s">
        <v>36</v>
      </c>
      <c r="AD4" s="10" t="s">
        <v>37</v>
      </c>
      <c r="AE4" s="10" t="s">
        <v>38</v>
      </c>
      <c r="AF4" s="10" t="s">
        <v>39</v>
      </c>
      <c r="AG4" s="10" t="s">
        <v>40</v>
      </c>
      <c r="AH4" s="10" t="s">
        <v>41</v>
      </c>
      <c r="AI4" s="10" t="s">
        <v>42</v>
      </c>
      <c r="AJ4" s="11" t="s">
        <v>43</v>
      </c>
      <c r="AK4" s="11" t="s">
        <v>44</v>
      </c>
      <c r="AL4" s="11" t="s">
        <v>45</v>
      </c>
    </row>
    <row r="5" spans="1:38" x14ac:dyDescent="0.25">
      <c r="A5" s="12" t="s">
        <v>216</v>
      </c>
      <c r="B5" s="12" t="s">
        <v>215</v>
      </c>
      <c r="C5" s="12" t="s">
        <v>126</v>
      </c>
      <c r="D5" s="12" t="s">
        <v>1327</v>
      </c>
      <c r="E5" s="12">
        <f>MAX(G5:Z5)</f>
        <v>873</v>
      </c>
      <c r="F5" s="12" t="str">
        <f>VLOOKUP(B5,[1]lookup!A:B,2,FALSE)</f>
        <v>Perpetual</v>
      </c>
      <c r="G5" s="12">
        <v>0</v>
      </c>
      <c r="H5" s="12">
        <v>873</v>
      </c>
      <c r="I5" s="12">
        <v>873</v>
      </c>
      <c r="J5" s="12">
        <v>873</v>
      </c>
      <c r="K5" s="12">
        <v>0</v>
      </c>
      <c r="L5" s="17">
        <v>143</v>
      </c>
      <c r="M5" s="12">
        <v>0</v>
      </c>
      <c r="N5" s="12">
        <v>0</v>
      </c>
      <c r="O5" s="12">
        <v>873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/>
      <c r="AC5" s="13">
        <f>M5*AC$2</f>
        <v>0</v>
      </c>
      <c r="AD5" s="13">
        <f>J5*AD$2</f>
        <v>209520</v>
      </c>
      <c r="AE5" s="13">
        <f>J5*AE$2</f>
        <v>104760</v>
      </c>
      <c r="AF5" s="13">
        <f>H5*AF$2</f>
        <v>544752</v>
      </c>
      <c r="AG5" s="13">
        <f>H5*AG$2</f>
        <v>111744</v>
      </c>
      <c r="AH5" s="13">
        <f>H5*AH$2</f>
        <v>419040</v>
      </c>
      <c r="AI5" s="13">
        <f>H5*$AI$2</f>
        <v>171981</v>
      </c>
      <c r="AJ5" s="13">
        <f>AJ$2*H5</f>
        <v>523800</v>
      </c>
      <c r="AL5" s="14">
        <f>SUM(AC5:AK5)</f>
        <v>2085597</v>
      </c>
    </row>
    <row r="6" spans="1:38" hidden="1" x14ac:dyDescent="0.25">
      <c r="A6" s="12" t="s">
        <v>216</v>
      </c>
      <c r="B6" s="12" t="s">
        <v>236</v>
      </c>
      <c r="C6" s="12" t="s">
        <v>126</v>
      </c>
      <c r="D6" s="12"/>
      <c r="E6" s="12">
        <f>MAX(G6:Z6)</f>
        <v>780</v>
      </c>
      <c r="F6" s="12" t="str">
        <f>VLOOKUP(B6,[1]lookup!A:B,2,FALSE)</f>
        <v>Perpetual</v>
      </c>
      <c r="G6" s="12">
        <v>0</v>
      </c>
      <c r="H6" s="12">
        <v>40</v>
      </c>
      <c r="I6" s="12">
        <v>780</v>
      </c>
      <c r="J6" s="12">
        <v>40</v>
      </c>
      <c r="K6" s="12">
        <v>0</v>
      </c>
      <c r="L6" s="12">
        <v>0</v>
      </c>
      <c r="M6" s="12">
        <v>40</v>
      </c>
      <c r="N6" s="12">
        <v>0</v>
      </c>
      <c r="O6" s="12">
        <v>780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/>
      <c r="AC6" s="13">
        <f>M6*AC$2</f>
        <v>9600</v>
      </c>
      <c r="AD6" s="13">
        <f>J6*AD$2</f>
        <v>9600</v>
      </c>
      <c r="AE6" s="13">
        <f>J6*AE$2</f>
        <v>4800</v>
      </c>
      <c r="AF6" s="13">
        <f>H6*AF$2</f>
        <v>24960</v>
      </c>
      <c r="AG6" s="13">
        <f>H6*AG$2</f>
        <v>5120</v>
      </c>
      <c r="AH6" s="13">
        <f>H6*AH$2</f>
        <v>19200</v>
      </c>
      <c r="AI6" s="13">
        <f>H6*$AI$2</f>
        <v>7880</v>
      </c>
      <c r="AJ6" s="13">
        <f>AJ$2*H6</f>
        <v>24000</v>
      </c>
      <c r="AL6" s="14">
        <f>SUM(AC6:AK6)</f>
        <v>105160</v>
      </c>
    </row>
    <row r="7" spans="1:38" x14ac:dyDescent="0.25">
      <c r="A7" s="12" t="s">
        <v>67</v>
      </c>
      <c r="B7" s="12" t="s">
        <v>68</v>
      </c>
      <c r="C7" s="12" t="s">
        <v>55</v>
      </c>
      <c r="D7" s="12" t="s">
        <v>1327</v>
      </c>
      <c r="E7" s="12">
        <f>MAX(G7:Z7)</f>
        <v>6400</v>
      </c>
      <c r="F7" s="12" t="str">
        <f>VLOOKUP(B7,[1]lookup!A:B,2,FALSE)</f>
        <v>SaaS</v>
      </c>
      <c r="G7" s="12">
        <v>0</v>
      </c>
      <c r="H7" s="12">
        <v>1</v>
      </c>
      <c r="I7" s="12">
        <v>0</v>
      </c>
      <c r="J7" s="12">
        <v>0</v>
      </c>
      <c r="K7" s="12">
        <v>0</v>
      </c>
      <c r="L7" s="17">
        <v>6400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/>
      <c r="AC7" s="13">
        <f>M7*AC$2</f>
        <v>0</v>
      </c>
      <c r="AF7" s="13">
        <f>H7*AF$2</f>
        <v>624</v>
      </c>
      <c r="AI7" s="13">
        <f>H7*$AI$2</f>
        <v>197</v>
      </c>
      <c r="AL7" s="14">
        <f>SUM(AC7:AK7)</f>
        <v>821</v>
      </c>
    </row>
    <row r="8" spans="1:38" hidden="1" x14ac:dyDescent="0.25">
      <c r="A8" s="12" t="s">
        <v>67</v>
      </c>
      <c r="B8" s="12" t="s">
        <v>107</v>
      </c>
      <c r="C8" s="12" t="s">
        <v>82</v>
      </c>
      <c r="D8" s="12"/>
      <c r="E8" s="12">
        <f>MAX(G8:Z8)</f>
        <v>2450</v>
      </c>
      <c r="F8" s="12" t="str">
        <f>VLOOKUP(B8,[1]lookup!A:B,2,FALSE)</f>
        <v>SaaS</v>
      </c>
      <c r="G8" s="12">
        <v>2450</v>
      </c>
      <c r="H8" s="12">
        <v>2450</v>
      </c>
      <c r="I8" s="12">
        <v>0</v>
      </c>
      <c r="J8" s="12">
        <v>2350</v>
      </c>
      <c r="K8" s="12">
        <v>0</v>
      </c>
      <c r="L8" s="12">
        <v>2350</v>
      </c>
      <c r="M8" s="12">
        <v>2350</v>
      </c>
      <c r="N8" s="12">
        <v>0</v>
      </c>
      <c r="O8" s="12">
        <v>0</v>
      </c>
      <c r="P8" s="12">
        <v>2002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/>
      <c r="AC8" s="13">
        <f>M8*AC$2</f>
        <v>564000</v>
      </c>
      <c r="AD8" s="13">
        <f>J8*AD$2</f>
        <v>564000</v>
      </c>
      <c r="AL8" s="14">
        <f>SUM(AC8:AK8)</f>
        <v>1128000</v>
      </c>
    </row>
    <row r="9" spans="1:38" x14ac:dyDescent="0.25">
      <c r="A9" s="12" t="s">
        <v>67</v>
      </c>
      <c r="B9" s="12" t="s">
        <v>120</v>
      </c>
      <c r="C9" s="12" t="s">
        <v>82</v>
      </c>
      <c r="D9" s="12" t="s">
        <v>1327</v>
      </c>
      <c r="E9" s="12">
        <f>MAX(G9:Z9)</f>
        <v>2143</v>
      </c>
      <c r="F9" s="12" t="str">
        <f>VLOOKUP(B9,[1]lookup!A:B,2,FALSE)</f>
        <v>SaaS</v>
      </c>
      <c r="G9" s="12">
        <v>0</v>
      </c>
      <c r="H9" s="12">
        <v>2143</v>
      </c>
      <c r="I9" s="12">
        <v>0</v>
      </c>
      <c r="J9" s="12">
        <v>2143</v>
      </c>
      <c r="K9" s="12">
        <v>2143</v>
      </c>
      <c r="L9" s="17">
        <v>0</v>
      </c>
      <c r="M9" s="12">
        <v>993</v>
      </c>
      <c r="N9" s="12">
        <v>0</v>
      </c>
      <c r="O9" s="12">
        <v>2143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/>
      <c r="AC9" s="13">
        <f>M9*AC$2</f>
        <v>238320</v>
      </c>
      <c r="AF9" s="13">
        <f>H9*AF$2</f>
        <v>1337232</v>
      </c>
      <c r="AL9" s="14">
        <f>SUM(AC9:AK9)</f>
        <v>1575552</v>
      </c>
    </row>
    <row r="10" spans="1:38" x14ac:dyDescent="0.25">
      <c r="A10" s="12" t="s">
        <v>67</v>
      </c>
      <c r="B10" s="12" t="s">
        <v>151</v>
      </c>
      <c r="C10" s="12" t="s">
        <v>126</v>
      </c>
      <c r="D10" s="12" t="s">
        <v>1327</v>
      </c>
      <c r="E10" s="12">
        <f>MAX(G10:Z10)</f>
        <v>1400</v>
      </c>
      <c r="F10" s="12" t="str">
        <f>VLOOKUP(B10,[1]lookup!A:B,2,FALSE)</f>
        <v>SaaS</v>
      </c>
      <c r="G10" s="12">
        <v>1400</v>
      </c>
      <c r="H10" s="12">
        <v>1400</v>
      </c>
      <c r="I10" s="12">
        <v>0</v>
      </c>
      <c r="J10" s="12">
        <v>301</v>
      </c>
      <c r="K10" s="12">
        <v>0</v>
      </c>
      <c r="L10" s="17">
        <v>301</v>
      </c>
      <c r="M10" s="12">
        <v>1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/>
      <c r="AC10" s="13">
        <f>M10*AC$2</f>
        <v>240</v>
      </c>
      <c r="AD10" s="13">
        <f>J10*AD$2</f>
        <v>72240</v>
      </c>
      <c r="AE10" s="13">
        <f>J10*AE$2</f>
        <v>36120</v>
      </c>
      <c r="AF10" s="13">
        <f>H10*AF$2</f>
        <v>873600</v>
      </c>
      <c r="AL10" s="14">
        <f>SUM(AC10:AK10)</f>
        <v>982200</v>
      </c>
    </row>
    <row r="11" spans="1:38" hidden="1" x14ac:dyDescent="0.25">
      <c r="A11" s="12" t="s">
        <v>67</v>
      </c>
      <c r="B11" s="12" t="s">
        <v>276</v>
      </c>
      <c r="C11" s="12" t="s">
        <v>126</v>
      </c>
      <c r="D11" s="12"/>
      <c r="E11" s="12">
        <f>MAX(G11:Z11)</f>
        <v>600</v>
      </c>
      <c r="F11" s="12" t="str">
        <f>VLOOKUP(B11,[1]lookup!A:B,2,FALSE)</f>
        <v>SaaS</v>
      </c>
      <c r="G11" s="12">
        <v>0</v>
      </c>
      <c r="H11" s="12">
        <v>600</v>
      </c>
      <c r="I11" s="12">
        <v>0</v>
      </c>
      <c r="J11" s="12">
        <v>600</v>
      </c>
      <c r="K11" s="12">
        <v>600</v>
      </c>
      <c r="L11" s="12">
        <v>600</v>
      </c>
      <c r="M11" s="12">
        <v>600</v>
      </c>
      <c r="N11" s="12">
        <v>0</v>
      </c>
      <c r="O11" s="12">
        <v>600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/>
      <c r="AC11" s="13">
        <f>M11*AC$2</f>
        <v>144000</v>
      </c>
      <c r="AF11" s="13">
        <f>H11*AF$2</f>
        <v>374400</v>
      </c>
      <c r="AG11" s="13">
        <f>H11*AG$2</f>
        <v>76800</v>
      </c>
      <c r="AH11" s="13">
        <f>H11*AH$2</f>
        <v>288000</v>
      </c>
      <c r="AI11" s="13">
        <f>H11*$AI$2</f>
        <v>118200</v>
      </c>
      <c r="AL11" s="14">
        <f>SUM(AC11:AK11)</f>
        <v>1001400</v>
      </c>
    </row>
    <row r="12" spans="1:38" hidden="1" x14ac:dyDescent="0.25">
      <c r="A12" s="12" t="s">
        <v>199</v>
      </c>
      <c r="B12" s="12" t="s">
        <v>200</v>
      </c>
      <c r="C12" s="12" t="s">
        <v>126</v>
      </c>
      <c r="D12" s="12"/>
      <c r="E12" s="12">
        <f>MAX(G12:Z12)</f>
        <v>980</v>
      </c>
      <c r="F12" s="12" t="s">
        <v>70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980</v>
      </c>
      <c r="X12" s="12">
        <v>0</v>
      </c>
      <c r="Y12" s="12">
        <v>0</v>
      </c>
      <c r="Z12" s="12">
        <v>0</v>
      </c>
      <c r="AA12" s="12"/>
      <c r="AC12" s="13">
        <f>M12*AC$2</f>
        <v>0</v>
      </c>
      <c r="AL12" s="14">
        <f>SUM(AC12:AK12)</f>
        <v>0</v>
      </c>
    </row>
    <row r="13" spans="1:38" hidden="1" x14ac:dyDescent="0.25">
      <c r="A13" s="12" t="s">
        <v>166</v>
      </c>
      <c r="B13" s="12" t="s">
        <v>167</v>
      </c>
      <c r="C13" s="12" t="s">
        <v>126</v>
      </c>
      <c r="D13" s="12"/>
      <c r="E13" s="12">
        <f>MAX(G13:Z13)</f>
        <v>1180</v>
      </c>
      <c r="F13" s="12" t="str">
        <f>VLOOKUP(B13,[1]lookup!A:B,2,FALSE)</f>
        <v>Perpetual</v>
      </c>
      <c r="G13" s="12">
        <v>0</v>
      </c>
      <c r="H13" s="12">
        <v>0</v>
      </c>
      <c r="I13" s="12">
        <v>1180</v>
      </c>
      <c r="J13" s="12">
        <v>2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1180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/>
      <c r="AC13" s="13">
        <f>M13*AC$2</f>
        <v>0</v>
      </c>
      <c r="AD13" s="13">
        <f>J13*AD$2</f>
        <v>480</v>
      </c>
      <c r="AL13" s="14">
        <f>SUM(AC13:AK13)</f>
        <v>480</v>
      </c>
    </row>
    <row r="14" spans="1:38" hidden="1" x14ac:dyDescent="0.25">
      <c r="A14" s="12" t="s">
        <v>237</v>
      </c>
      <c r="B14" s="12" t="s">
        <v>238</v>
      </c>
      <c r="C14" s="12" t="s">
        <v>126</v>
      </c>
      <c r="D14" s="12"/>
      <c r="E14" s="12">
        <f>MAX(G14:Z14)</f>
        <v>779</v>
      </c>
      <c r="F14" s="12" t="str">
        <f>VLOOKUP(B14,[1]lookup!A:B,2,FALSE)</f>
        <v>Term</v>
      </c>
      <c r="G14" s="12">
        <v>0</v>
      </c>
      <c r="H14" s="12">
        <v>779</v>
      </c>
      <c r="I14" s="12">
        <v>0</v>
      </c>
      <c r="J14" s="12">
        <v>779</v>
      </c>
      <c r="K14" s="12">
        <v>0</v>
      </c>
      <c r="L14" s="12">
        <v>51</v>
      </c>
      <c r="M14" s="12">
        <v>285</v>
      </c>
      <c r="N14" s="12">
        <v>0</v>
      </c>
      <c r="O14" s="12">
        <v>371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/>
      <c r="AC14" s="13">
        <f>M14*AC$2</f>
        <v>68400</v>
      </c>
      <c r="AD14" s="13">
        <f>J14*AD$2</f>
        <v>186960</v>
      </c>
      <c r="AE14" s="13">
        <f>J14*AE$2</f>
        <v>93480</v>
      </c>
      <c r="AF14" s="13">
        <f>H14*AF$2</f>
        <v>486096</v>
      </c>
      <c r="AG14" s="13">
        <f>H14*AG$2</f>
        <v>99712</v>
      </c>
      <c r="AH14" s="13">
        <f>H14*AH$2</f>
        <v>373920</v>
      </c>
      <c r="AI14" s="13">
        <f>H14*$AI$2</f>
        <v>153463</v>
      </c>
      <c r="AJ14" s="13">
        <f>AJ$2*H14</f>
        <v>467400</v>
      </c>
      <c r="AK14" s="15">
        <f>H14*AK$2</f>
        <v>93480</v>
      </c>
      <c r="AL14" s="14">
        <f>SUM(AC14:AK14)</f>
        <v>2022911</v>
      </c>
    </row>
    <row r="15" spans="1:38" x14ac:dyDescent="0.25">
      <c r="A15" s="12" t="s">
        <v>86</v>
      </c>
      <c r="B15" s="12" t="s">
        <v>87</v>
      </c>
      <c r="C15" s="12" t="s">
        <v>82</v>
      </c>
      <c r="D15" s="12" t="s">
        <v>1327</v>
      </c>
      <c r="E15" s="12">
        <f>MAX(G15:Z15)</f>
        <v>3579</v>
      </c>
      <c r="F15" s="12" t="str">
        <f>VLOOKUP(B15,[1]lookup!A:B,2,FALSE)</f>
        <v>Term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7">
        <v>3579</v>
      </c>
      <c r="M15" s="12">
        <v>0</v>
      </c>
      <c r="N15" s="12">
        <v>0</v>
      </c>
      <c r="O15" s="12">
        <v>0</v>
      </c>
      <c r="P15" s="12">
        <v>3579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/>
      <c r="AC15" s="13">
        <f>M15*AC$2</f>
        <v>0</v>
      </c>
      <c r="AL15" s="14">
        <f>SUM(AC15:AK15)</f>
        <v>0</v>
      </c>
    </row>
    <row r="16" spans="1:38" x14ac:dyDescent="0.25">
      <c r="A16" s="12" t="s">
        <v>86</v>
      </c>
      <c r="B16" s="12" t="s">
        <v>94</v>
      </c>
      <c r="C16" s="12" t="s">
        <v>82</v>
      </c>
      <c r="D16" s="12" t="s">
        <v>1327</v>
      </c>
      <c r="E16" s="12">
        <f>MAX(G16:Z16)</f>
        <v>3240</v>
      </c>
      <c r="F16" s="12" t="str">
        <f>VLOOKUP(B16,[1]lookup!A:B,2,FALSE)</f>
        <v>Term</v>
      </c>
      <c r="G16" s="12">
        <v>0</v>
      </c>
      <c r="H16" s="12">
        <v>0</v>
      </c>
      <c r="I16" s="12">
        <v>1</v>
      </c>
      <c r="J16" s="12">
        <v>0</v>
      </c>
      <c r="K16" s="12">
        <v>0</v>
      </c>
      <c r="L16" s="17">
        <v>1230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3240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/>
      <c r="AC16" s="13">
        <f>M16*AC$2</f>
        <v>0</v>
      </c>
      <c r="AL16" s="14">
        <f>SUM(AC16:AK16)</f>
        <v>0</v>
      </c>
    </row>
    <row r="17" spans="1:38" x14ac:dyDescent="0.25">
      <c r="A17" s="12" t="s">
        <v>86</v>
      </c>
      <c r="B17" s="12" t="s">
        <v>95</v>
      </c>
      <c r="C17" s="12" t="s">
        <v>82</v>
      </c>
      <c r="D17" s="12" t="s">
        <v>1327</v>
      </c>
      <c r="E17" s="12">
        <f>MAX(G17:Z17)</f>
        <v>3228</v>
      </c>
      <c r="F17" s="12" t="str">
        <f>VLOOKUP(B17,[1]lookup!A:B,2,FALSE)</f>
        <v>Term</v>
      </c>
      <c r="G17" s="12">
        <v>0</v>
      </c>
      <c r="H17" s="12">
        <v>3228</v>
      </c>
      <c r="I17" s="12">
        <v>1</v>
      </c>
      <c r="J17" s="12">
        <v>0</v>
      </c>
      <c r="K17" s="12">
        <v>0</v>
      </c>
      <c r="L17" s="17">
        <v>3180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/>
      <c r="AC17" s="13">
        <f>M17*AC$2</f>
        <v>0</v>
      </c>
      <c r="AF17" s="13">
        <f>H17*AF$2</f>
        <v>2014272</v>
      </c>
      <c r="AG17" s="13">
        <f>H17*AG$2</f>
        <v>413184</v>
      </c>
      <c r="AH17" s="13">
        <f>H17*AH$2</f>
        <v>1549440</v>
      </c>
      <c r="AI17" s="13">
        <f>H17*$AI$2</f>
        <v>635916</v>
      </c>
      <c r="AJ17" s="13">
        <f>AJ$2*H17</f>
        <v>1936800</v>
      </c>
      <c r="AL17" s="14">
        <f>SUM(AC17:AK17)</f>
        <v>6549612</v>
      </c>
    </row>
    <row r="18" spans="1:38" x14ac:dyDescent="0.25">
      <c r="A18" s="12" t="s">
        <v>86</v>
      </c>
      <c r="B18" s="12" t="s">
        <v>99</v>
      </c>
      <c r="C18" s="12" t="s">
        <v>82</v>
      </c>
      <c r="D18" s="12" t="s">
        <v>1327</v>
      </c>
      <c r="E18" s="12">
        <f>MAX(G18:Z18)</f>
        <v>2838</v>
      </c>
      <c r="F18" s="12" t="str">
        <f>VLOOKUP(B18,[1]lookup!A:B,2,FALSE)</f>
        <v>Term</v>
      </c>
      <c r="G18" s="12">
        <v>0</v>
      </c>
      <c r="H18" s="12">
        <v>156</v>
      </c>
      <c r="I18" s="12">
        <v>0</v>
      </c>
      <c r="J18" s="12">
        <v>0</v>
      </c>
      <c r="K18" s="12">
        <v>0</v>
      </c>
      <c r="L18" s="17">
        <v>2838</v>
      </c>
      <c r="M18" s="12">
        <v>0</v>
      </c>
      <c r="N18" s="12">
        <v>0</v>
      </c>
      <c r="O18" s="12">
        <v>0</v>
      </c>
      <c r="P18" s="12">
        <v>2838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/>
      <c r="AC18" s="13">
        <f>M18*AC$2</f>
        <v>0</v>
      </c>
      <c r="AF18" s="13">
        <f>H18*AF$2</f>
        <v>97344</v>
      </c>
      <c r="AG18" s="13">
        <f>H18*AG$2</f>
        <v>19968</v>
      </c>
      <c r="AH18" s="13">
        <f>H18*AH$2</f>
        <v>74880</v>
      </c>
      <c r="AI18" s="13">
        <f>H18*$AI$2</f>
        <v>30732</v>
      </c>
      <c r="AK18" s="15">
        <f>H18*AK$2</f>
        <v>18720</v>
      </c>
      <c r="AL18" s="14">
        <f>SUM(AC18:AK18)</f>
        <v>241644</v>
      </c>
    </row>
    <row r="19" spans="1:38" x14ac:dyDescent="0.25">
      <c r="A19" s="12" t="s">
        <v>86</v>
      </c>
      <c r="B19" s="12" t="s">
        <v>101</v>
      </c>
      <c r="C19" s="12" t="s">
        <v>82</v>
      </c>
      <c r="D19" s="12" t="s">
        <v>1327</v>
      </c>
      <c r="E19" s="12">
        <f>MAX(G19:Z19)</f>
        <v>2732</v>
      </c>
      <c r="F19" s="12" t="str">
        <f>VLOOKUP(B19,[1]lookup!A:B,2,FALSE)</f>
        <v>Perpetual</v>
      </c>
      <c r="G19" s="12">
        <v>0</v>
      </c>
      <c r="H19" s="12">
        <v>2732</v>
      </c>
      <c r="I19" s="12">
        <v>1018</v>
      </c>
      <c r="J19" s="12">
        <v>1524</v>
      </c>
      <c r="K19" s="12">
        <v>592</v>
      </c>
      <c r="L19" s="17">
        <v>149</v>
      </c>
      <c r="M19" s="12">
        <v>567</v>
      </c>
      <c r="N19" s="12">
        <v>0</v>
      </c>
      <c r="O19" s="12">
        <v>1524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/>
      <c r="AC19" s="13">
        <f>M19*AC$2</f>
        <v>136080</v>
      </c>
      <c r="AF19" s="13">
        <f>H19*AF$2</f>
        <v>1704768</v>
      </c>
      <c r="AG19" s="13">
        <f>H19*AG$2</f>
        <v>349696</v>
      </c>
      <c r="AH19" s="13">
        <f>H19*AH$2</f>
        <v>1311360</v>
      </c>
      <c r="AI19" s="13">
        <f>H19*$AI$2</f>
        <v>538204</v>
      </c>
      <c r="AJ19" s="13">
        <f>AJ$2*H19</f>
        <v>1639200</v>
      </c>
      <c r="AL19" s="14">
        <f>SUM(AC19:AK19)</f>
        <v>5679308</v>
      </c>
    </row>
    <row r="20" spans="1:38" x14ac:dyDescent="0.25">
      <c r="A20" s="12" t="s">
        <v>86</v>
      </c>
      <c r="B20" s="12" t="s">
        <v>111</v>
      </c>
      <c r="C20" s="12" t="s">
        <v>82</v>
      </c>
      <c r="D20" s="12" t="s">
        <v>1327</v>
      </c>
      <c r="E20" s="12">
        <f>MAX(G20:Z20)</f>
        <v>2259</v>
      </c>
      <c r="F20" s="12" t="str">
        <f>VLOOKUP(B20,[1]lookup!A:B,2,FALSE)</f>
        <v>Perpetual</v>
      </c>
      <c r="G20" s="12">
        <v>0</v>
      </c>
      <c r="H20" s="12">
        <v>2259</v>
      </c>
      <c r="I20" s="12">
        <v>256</v>
      </c>
      <c r="J20" s="12">
        <v>1256</v>
      </c>
      <c r="K20" s="12">
        <v>1000</v>
      </c>
      <c r="L20" s="17">
        <v>358</v>
      </c>
      <c r="M20" s="12">
        <v>641</v>
      </c>
      <c r="N20" s="12">
        <v>0</v>
      </c>
      <c r="O20" s="12">
        <v>1645</v>
      </c>
      <c r="P20" s="12">
        <v>670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/>
      <c r="AC20" s="13">
        <f>M20*AC$2</f>
        <v>153840</v>
      </c>
      <c r="AF20" s="13">
        <f>H20*AF$2</f>
        <v>1409616</v>
      </c>
      <c r="AG20" s="13">
        <f>H20*AG$2</f>
        <v>289152</v>
      </c>
      <c r="AH20" s="13">
        <f>H20*AH$2</f>
        <v>1084320</v>
      </c>
      <c r="AI20" s="13">
        <f>H20*$AI$2</f>
        <v>445023</v>
      </c>
      <c r="AL20" s="14">
        <f>SUM(AC20:AK20)</f>
        <v>3381951</v>
      </c>
    </row>
    <row r="21" spans="1:38" x14ac:dyDescent="0.25">
      <c r="A21" s="12" t="s">
        <v>86</v>
      </c>
      <c r="B21" s="12" t="s">
        <v>117</v>
      </c>
      <c r="C21" s="12" t="s">
        <v>82</v>
      </c>
      <c r="D21" s="12" t="s">
        <v>1327</v>
      </c>
      <c r="E21" s="12">
        <f>MAX(G21:Z21)</f>
        <v>2179</v>
      </c>
      <c r="F21" s="12" t="str">
        <f>VLOOKUP(B21,[1]lookup!A:B,2,FALSE)</f>
        <v>Perpetual</v>
      </c>
      <c r="G21" s="12">
        <v>0</v>
      </c>
      <c r="H21" s="12">
        <v>40</v>
      </c>
      <c r="I21" s="12">
        <v>0</v>
      </c>
      <c r="J21" s="12">
        <v>0</v>
      </c>
      <c r="K21" s="12">
        <v>0</v>
      </c>
      <c r="L21" s="17">
        <v>0</v>
      </c>
      <c r="M21" s="12">
        <v>2179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/>
      <c r="AC21" s="13">
        <f>M21*AC$2</f>
        <v>522960</v>
      </c>
      <c r="AF21" s="13">
        <f>H21*AF$2</f>
        <v>24960</v>
      </c>
      <c r="AG21" s="13">
        <f>H21*AG$2</f>
        <v>5120</v>
      </c>
      <c r="AH21" s="13">
        <f>H21*AH$2</f>
        <v>19200</v>
      </c>
      <c r="AI21" s="13">
        <f>H21*$AI$2</f>
        <v>7880</v>
      </c>
      <c r="AJ21" s="13">
        <f>AJ$2*H21</f>
        <v>24000</v>
      </c>
      <c r="AK21" s="15">
        <f>H21*AK$2</f>
        <v>4800</v>
      </c>
      <c r="AL21" s="14">
        <f>SUM(AC21:AK21)</f>
        <v>608920</v>
      </c>
    </row>
    <row r="22" spans="1:38" x14ac:dyDescent="0.25">
      <c r="A22" s="12" t="s">
        <v>86</v>
      </c>
      <c r="B22" s="12" t="s">
        <v>124</v>
      </c>
      <c r="C22" s="12" t="s">
        <v>82</v>
      </c>
      <c r="D22" s="12" t="s">
        <v>1327</v>
      </c>
      <c r="E22" s="12">
        <f>MAX(G22:Z22)</f>
        <v>2100</v>
      </c>
      <c r="F22" s="12" t="str">
        <f>VLOOKUP(B22,[1]lookup!A:B,2,FALSE)</f>
        <v>Term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7">
        <v>2100</v>
      </c>
      <c r="M22" s="12">
        <v>0</v>
      </c>
      <c r="N22" s="12">
        <v>0</v>
      </c>
      <c r="O22" s="12">
        <v>0</v>
      </c>
      <c r="P22" s="12">
        <v>1020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/>
      <c r="AC22" s="13">
        <f>M22*AC$2</f>
        <v>0</v>
      </c>
      <c r="AL22" s="14">
        <f>SUM(AC22:AK22)</f>
        <v>0</v>
      </c>
    </row>
    <row r="23" spans="1:38" x14ac:dyDescent="0.25">
      <c r="A23" s="12" t="s">
        <v>86</v>
      </c>
      <c r="B23" s="12" t="s">
        <v>125</v>
      </c>
      <c r="C23" s="12" t="s">
        <v>126</v>
      </c>
      <c r="D23" s="12" t="s">
        <v>1327</v>
      </c>
      <c r="E23" s="12">
        <f>MAX(G23:Z23)</f>
        <v>2095</v>
      </c>
      <c r="F23" s="12" t="str">
        <f>VLOOKUP(B23,[1]lookup!A:B,2,FALSE)</f>
        <v>SaaS</v>
      </c>
      <c r="G23" s="12">
        <v>0</v>
      </c>
      <c r="H23" s="12">
        <v>2093</v>
      </c>
      <c r="I23" s="12">
        <v>0</v>
      </c>
      <c r="J23" s="12">
        <v>2093</v>
      </c>
      <c r="K23" s="12">
        <v>2093</v>
      </c>
      <c r="L23" s="17">
        <v>2093</v>
      </c>
      <c r="M23" s="12">
        <v>2093</v>
      </c>
      <c r="N23" s="12">
        <v>0</v>
      </c>
      <c r="O23" s="12">
        <v>2093</v>
      </c>
      <c r="P23" s="12">
        <v>2095</v>
      </c>
      <c r="Q23" s="12">
        <v>0</v>
      </c>
      <c r="R23" s="12">
        <v>0</v>
      </c>
      <c r="S23" s="12">
        <v>378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/>
      <c r="AC23" s="13">
        <f>M23*AC$2</f>
        <v>502320</v>
      </c>
      <c r="AF23" s="13">
        <f>H23*AF$2</f>
        <v>1306032</v>
      </c>
      <c r="AL23" s="14">
        <f>SUM(AC23:AK23)</f>
        <v>1808352</v>
      </c>
    </row>
    <row r="24" spans="1:38" x14ac:dyDescent="0.25">
      <c r="A24" s="12" t="s">
        <v>86</v>
      </c>
      <c r="B24" s="12" t="s">
        <v>128</v>
      </c>
      <c r="C24" s="12" t="s">
        <v>126</v>
      </c>
      <c r="D24" s="12" t="s">
        <v>1327</v>
      </c>
      <c r="E24" s="12">
        <f>MAX(G24:Z24)</f>
        <v>2000</v>
      </c>
      <c r="F24" s="12" t="str">
        <f>VLOOKUP(B24,[1]lookup!A:B,2,FALSE)</f>
        <v>SaaS</v>
      </c>
      <c r="G24" s="12">
        <v>2000</v>
      </c>
      <c r="H24" s="12">
        <v>2000</v>
      </c>
      <c r="I24" s="12">
        <v>0</v>
      </c>
      <c r="J24" s="12">
        <v>0</v>
      </c>
      <c r="K24" s="12">
        <v>0</v>
      </c>
      <c r="L24" s="17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/>
      <c r="AC24" s="13">
        <f>M24*AC$2</f>
        <v>0</v>
      </c>
      <c r="AL24" s="14">
        <f>SUM(AC24:AK24)</f>
        <v>0</v>
      </c>
    </row>
    <row r="25" spans="1:38" x14ac:dyDescent="0.25">
      <c r="A25" s="12" t="s">
        <v>86</v>
      </c>
      <c r="B25" s="12" t="s">
        <v>129</v>
      </c>
      <c r="C25" s="12" t="s">
        <v>126</v>
      </c>
      <c r="D25" s="12" t="s">
        <v>1327</v>
      </c>
      <c r="E25" s="12">
        <f>MAX(G25:Z25)</f>
        <v>1920</v>
      </c>
      <c r="F25" s="12" t="str">
        <f>VLOOKUP(B25,[1]lookup!A:B,2,FALSE)</f>
        <v>Term</v>
      </c>
      <c r="G25" s="12">
        <v>0</v>
      </c>
      <c r="H25" s="12">
        <v>0</v>
      </c>
      <c r="I25" s="12">
        <v>1</v>
      </c>
      <c r="J25" s="12">
        <v>0</v>
      </c>
      <c r="K25" s="12">
        <v>0</v>
      </c>
      <c r="L25" s="17">
        <v>1920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1920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/>
      <c r="AC25" s="13">
        <f>M25*AC$2</f>
        <v>0</v>
      </c>
      <c r="AL25" s="14">
        <f>SUM(AC25:AK25)</f>
        <v>0</v>
      </c>
    </row>
    <row r="26" spans="1:38" x14ac:dyDescent="0.25">
      <c r="A26" s="12" t="s">
        <v>86</v>
      </c>
      <c r="B26" s="12" t="s">
        <v>131</v>
      </c>
      <c r="C26" s="12" t="s">
        <v>126</v>
      </c>
      <c r="D26" s="12" t="s">
        <v>1327</v>
      </c>
      <c r="E26" s="12">
        <f>MAX(G26:Z26)</f>
        <v>1863</v>
      </c>
      <c r="F26" s="12" t="str">
        <f>VLOOKUP(B26,[1]lookup!A:B,2,FALSE)</f>
        <v>Term</v>
      </c>
      <c r="G26" s="12">
        <v>0</v>
      </c>
      <c r="H26" s="12">
        <v>276</v>
      </c>
      <c r="I26" s="12">
        <v>4</v>
      </c>
      <c r="J26" s="12">
        <v>0</v>
      </c>
      <c r="K26" s="12">
        <v>0</v>
      </c>
      <c r="L26" s="17">
        <v>690</v>
      </c>
      <c r="M26" s="12">
        <v>0</v>
      </c>
      <c r="N26" s="12">
        <v>0</v>
      </c>
      <c r="O26" s="12">
        <v>0</v>
      </c>
      <c r="P26" s="12">
        <v>1863</v>
      </c>
      <c r="Q26" s="12">
        <v>0</v>
      </c>
      <c r="R26" s="12">
        <v>0</v>
      </c>
      <c r="S26" s="12">
        <v>638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/>
      <c r="AC26" s="13">
        <f>M26*AC$2</f>
        <v>0</v>
      </c>
      <c r="AF26" s="13">
        <f>H26*AF$2</f>
        <v>172224</v>
      </c>
      <c r="AG26" s="13">
        <f>H26*AG$2</f>
        <v>35328</v>
      </c>
      <c r="AH26" s="13">
        <f>H26*AH$2</f>
        <v>132480</v>
      </c>
      <c r="AI26" s="13">
        <f>H26*$AI$2</f>
        <v>54372</v>
      </c>
      <c r="AL26" s="14">
        <f>SUM(AC26:AK26)</f>
        <v>394404</v>
      </c>
    </row>
    <row r="27" spans="1:38" x14ac:dyDescent="0.25">
      <c r="A27" s="12" t="s">
        <v>86</v>
      </c>
      <c r="B27" s="12" t="s">
        <v>132</v>
      </c>
      <c r="C27" s="12" t="s">
        <v>126</v>
      </c>
      <c r="D27" s="12" t="s">
        <v>1327</v>
      </c>
      <c r="E27" s="12">
        <f>MAX(G27:Z27)</f>
        <v>1724</v>
      </c>
      <c r="F27" s="12" t="str">
        <f>VLOOKUP(B27,[1]lookup!A:B,2,FALSE)</f>
        <v>SaaS</v>
      </c>
      <c r="G27" s="12">
        <v>0</v>
      </c>
      <c r="H27" s="12">
        <v>800</v>
      </c>
      <c r="I27" s="12">
        <v>3</v>
      </c>
      <c r="J27" s="12">
        <v>800</v>
      </c>
      <c r="K27" s="12">
        <v>1600</v>
      </c>
      <c r="L27" s="17">
        <v>1724</v>
      </c>
      <c r="M27" s="12">
        <v>800</v>
      </c>
      <c r="N27" s="12">
        <v>0</v>
      </c>
      <c r="O27" s="12">
        <v>800</v>
      </c>
      <c r="P27" s="12">
        <v>1724</v>
      </c>
      <c r="Q27" s="12">
        <v>0</v>
      </c>
      <c r="R27" s="12">
        <v>0</v>
      </c>
      <c r="S27" s="12">
        <v>1724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/>
      <c r="AC27" s="13">
        <f>M27*AC$2</f>
        <v>192000</v>
      </c>
      <c r="AF27" s="13">
        <f>H27*AF$2</f>
        <v>499200</v>
      </c>
      <c r="AL27" s="14">
        <f>SUM(AC27:AK27)</f>
        <v>691200</v>
      </c>
    </row>
    <row r="28" spans="1:38" x14ac:dyDescent="0.25">
      <c r="A28" s="12" t="s">
        <v>86</v>
      </c>
      <c r="B28" s="12" t="s">
        <v>133</v>
      </c>
      <c r="C28" s="12" t="s">
        <v>126</v>
      </c>
      <c r="D28" s="12" t="s">
        <v>1327</v>
      </c>
      <c r="E28" s="12">
        <f>MAX(G28:Z28)</f>
        <v>1722</v>
      </c>
      <c r="F28" s="12" t="str">
        <f>VLOOKUP(B28,[1]lookup!A:B,2,FALSE)</f>
        <v>Term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7">
        <v>0</v>
      </c>
      <c r="M28" s="12">
        <v>0</v>
      </c>
      <c r="N28" s="12">
        <v>0</v>
      </c>
      <c r="O28" s="12">
        <v>0</v>
      </c>
      <c r="P28" s="12">
        <v>1722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/>
      <c r="AC28" s="13">
        <f>M28*AC$2</f>
        <v>0</v>
      </c>
      <c r="AL28" s="14">
        <f>SUM(AC28:AK28)</f>
        <v>0</v>
      </c>
    </row>
    <row r="29" spans="1:38" x14ac:dyDescent="0.25">
      <c r="A29" s="12" t="s">
        <v>86</v>
      </c>
      <c r="B29" s="12" t="s">
        <v>137</v>
      </c>
      <c r="C29" s="12" t="s">
        <v>126</v>
      </c>
      <c r="D29" s="12" t="s">
        <v>1327</v>
      </c>
      <c r="E29" s="12">
        <f>MAX(G29:Z29)</f>
        <v>1668</v>
      </c>
      <c r="F29" s="12" t="str">
        <f>VLOOKUP(B29,[1]lookup!A:B,2,FALSE)</f>
        <v>Term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7">
        <v>1020</v>
      </c>
      <c r="M29" s="12">
        <v>0</v>
      </c>
      <c r="N29" s="12">
        <v>0</v>
      </c>
      <c r="O29" s="12">
        <v>0</v>
      </c>
      <c r="P29" s="12">
        <v>1668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/>
      <c r="AC29" s="13">
        <f>M29*AC$2</f>
        <v>0</v>
      </c>
      <c r="AL29" s="14">
        <f>SUM(AC29:AK29)</f>
        <v>0</v>
      </c>
    </row>
    <row r="30" spans="1:38" hidden="1" x14ac:dyDescent="0.25">
      <c r="A30" s="12" t="s">
        <v>86</v>
      </c>
      <c r="B30" s="12" t="s">
        <v>138</v>
      </c>
      <c r="C30" s="12" t="s">
        <v>126</v>
      </c>
      <c r="D30" s="12"/>
      <c r="E30" s="12">
        <f>MAX(G30:Z30)</f>
        <v>1649</v>
      </c>
      <c r="F30" s="12" t="str">
        <f>VLOOKUP(B30,[1]lookup!A:B,2,FALSE)</f>
        <v>Term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7">
        <v>1649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/>
      <c r="AC30" s="13">
        <f>M30*AC$2</f>
        <v>0</v>
      </c>
      <c r="AL30" s="14">
        <f>SUM(AC30:AK30)</f>
        <v>0</v>
      </c>
    </row>
    <row r="31" spans="1:38" x14ac:dyDescent="0.25">
      <c r="A31" s="12" t="s">
        <v>86</v>
      </c>
      <c r="B31" s="12" t="s">
        <v>155</v>
      </c>
      <c r="C31" s="12" t="s">
        <v>126</v>
      </c>
      <c r="D31" s="12" t="s">
        <v>1327</v>
      </c>
      <c r="E31" s="12">
        <f>MAX(G31:Z31)</f>
        <v>1320</v>
      </c>
      <c r="F31" s="12" t="str">
        <f>VLOOKUP(B31,[1]lookup!A:B,2,FALSE)</f>
        <v>Term</v>
      </c>
      <c r="G31" s="12">
        <v>0</v>
      </c>
      <c r="H31" s="12">
        <v>1320</v>
      </c>
      <c r="I31" s="12">
        <v>0</v>
      </c>
      <c r="J31" s="12">
        <v>0</v>
      </c>
      <c r="K31" s="12">
        <v>0</v>
      </c>
      <c r="L31" s="17">
        <v>60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/>
      <c r="AC31" s="13">
        <f>M31*AC$2</f>
        <v>0</v>
      </c>
      <c r="AF31" s="13">
        <f>H31*AF$2</f>
        <v>823680</v>
      </c>
      <c r="AG31" s="13">
        <f>H31*AG$2</f>
        <v>168960</v>
      </c>
      <c r="AH31" s="13">
        <f>H31*AH$2</f>
        <v>633600</v>
      </c>
      <c r="AI31" s="13">
        <f>H31*$AI$2</f>
        <v>260040</v>
      </c>
      <c r="AJ31" s="13">
        <f>AJ$2*H31</f>
        <v>792000</v>
      </c>
      <c r="AK31" s="15">
        <f>H31*AK$2</f>
        <v>158400</v>
      </c>
      <c r="AL31" s="14">
        <f>SUM(AC31:AK31)</f>
        <v>2836680</v>
      </c>
    </row>
    <row r="32" spans="1:38" hidden="1" x14ac:dyDescent="0.25">
      <c r="A32" s="12" t="s">
        <v>86</v>
      </c>
      <c r="B32" s="12" t="s">
        <v>158</v>
      </c>
      <c r="C32" s="12" t="s">
        <v>126</v>
      </c>
      <c r="D32" s="12"/>
      <c r="E32" s="12">
        <f>MAX(G32:Z32)</f>
        <v>1294</v>
      </c>
      <c r="F32" s="12" t="str">
        <f>VLOOKUP(B32,[1]lookup!A:B,2,FALSE)</f>
        <v>SaaS</v>
      </c>
      <c r="G32" s="12">
        <v>647</v>
      </c>
      <c r="H32" s="12">
        <v>783</v>
      </c>
      <c r="I32" s="12">
        <v>0</v>
      </c>
      <c r="J32" s="12">
        <v>647</v>
      </c>
      <c r="K32" s="12">
        <v>647</v>
      </c>
      <c r="L32" s="17">
        <v>1294</v>
      </c>
      <c r="M32" s="12">
        <v>647</v>
      </c>
      <c r="N32" s="12">
        <v>0</v>
      </c>
      <c r="O32" s="12">
        <v>1294</v>
      </c>
      <c r="P32" s="12">
        <v>1294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/>
      <c r="AC32" s="13">
        <f>M32*AC$2</f>
        <v>155280</v>
      </c>
      <c r="AF32" s="13">
        <f>H32*AF$2</f>
        <v>488592</v>
      </c>
      <c r="AL32" s="14">
        <f>SUM(AC32:AK32)</f>
        <v>643872</v>
      </c>
    </row>
    <row r="33" spans="1:38" x14ac:dyDescent="0.25">
      <c r="A33" s="12" t="s">
        <v>86</v>
      </c>
      <c r="B33" s="12" t="s">
        <v>161</v>
      </c>
      <c r="C33" s="12" t="s">
        <v>126</v>
      </c>
      <c r="D33" s="12" t="s">
        <v>1327</v>
      </c>
      <c r="E33" s="12">
        <f>MAX(G33:Z33)</f>
        <v>1201</v>
      </c>
      <c r="F33" s="12" t="str">
        <f>VLOOKUP(B33,[1]lookup!A:B,2,FALSE)</f>
        <v>SaaS</v>
      </c>
      <c r="G33" s="12">
        <v>0</v>
      </c>
      <c r="H33" s="12">
        <v>1</v>
      </c>
      <c r="I33" s="12">
        <v>0</v>
      </c>
      <c r="J33" s="12">
        <v>1</v>
      </c>
      <c r="K33" s="12">
        <v>0</v>
      </c>
      <c r="L33" s="17">
        <v>1</v>
      </c>
      <c r="M33" s="12">
        <v>1201</v>
      </c>
      <c r="N33" s="12">
        <v>0</v>
      </c>
      <c r="O33" s="12">
        <v>1201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/>
      <c r="AC33" s="13">
        <f>M33*AC$2</f>
        <v>288240</v>
      </c>
      <c r="AD33" s="13">
        <f>J33*AD$2</f>
        <v>240</v>
      </c>
      <c r="AE33" s="13">
        <f>J33*AE$2</f>
        <v>120</v>
      </c>
      <c r="AF33" s="13">
        <f>H33*AF$2</f>
        <v>624</v>
      </c>
      <c r="AG33" s="13">
        <f>H33*AG$2</f>
        <v>128</v>
      </c>
      <c r="AH33" s="13">
        <f>H33*AH$2</f>
        <v>480</v>
      </c>
      <c r="AI33" s="13">
        <f>H33*$AI$2</f>
        <v>197</v>
      </c>
      <c r="AL33" s="14">
        <f>SUM(AC33:AK33)</f>
        <v>290029</v>
      </c>
    </row>
    <row r="34" spans="1:38" x14ac:dyDescent="0.25">
      <c r="A34" s="12" t="s">
        <v>86</v>
      </c>
      <c r="B34" s="12" t="s">
        <v>168</v>
      </c>
      <c r="C34" s="12" t="s">
        <v>126</v>
      </c>
      <c r="D34" s="12" t="s">
        <v>1327</v>
      </c>
      <c r="E34" s="12">
        <f>MAX(G34:Z34)</f>
        <v>1163</v>
      </c>
      <c r="F34" s="12" t="str">
        <f>VLOOKUP(B34,[1]lookup!A:B,2,FALSE)</f>
        <v>Term</v>
      </c>
      <c r="G34" s="12">
        <v>0</v>
      </c>
      <c r="H34" s="12">
        <v>1163</v>
      </c>
      <c r="I34" s="12">
        <v>0</v>
      </c>
      <c r="J34" s="12">
        <v>0</v>
      </c>
      <c r="K34" s="12">
        <v>0</v>
      </c>
      <c r="L34" s="17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/>
      <c r="AC34" s="13">
        <f>M34*AC$2</f>
        <v>0</v>
      </c>
      <c r="AF34" s="13">
        <f>H34*AF$2</f>
        <v>725712</v>
      </c>
      <c r="AG34" s="13">
        <f>H34*AG$2</f>
        <v>148864</v>
      </c>
      <c r="AH34" s="13">
        <f>H34*AH$2</f>
        <v>558240</v>
      </c>
      <c r="AI34" s="13">
        <f>H34*$AI$2</f>
        <v>229111</v>
      </c>
      <c r="AJ34" s="13">
        <f>AJ$2*H34</f>
        <v>697800</v>
      </c>
      <c r="AK34" s="15">
        <f>H34*AK$2</f>
        <v>139560</v>
      </c>
      <c r="AL34" s="14">
        <f>SUM(AC34:AK34)</f>
        <v>2499287</v>
      </c>
    </row>
    <row r="35" spans="1:38" x14ac:dyDescent="0.25">
      <c r="A35" s="12" t="s">
        <v>86</v>
      </c>
      <c r="B35" s="12" t="s">
        <v>177</v>
      </c>
      <c r="C35" s="12" t="s">
        <v>126</v>
      </c>
      <c r="D35" s="12" t="s">
        <v>1327</v>
      </c>
      <c r="E35" s="12">
        <f>MAX(G35:Z35)</f>
        <v>1080</v>
      </c>
      <c r="F35" s="12" t="str">
        <f>VLOOKUP(B35,[1]lookup!A:B,2,FALSE)</f>
        <v>Term</v>
      </c>
      <c r="G35" s="12">
        <v>0</v>
      </c>
      <c r="H35" s="12">
        <v>1080</v>
      </c>
      <c r="I35" s="12">
        <v>1</v>
      </c>
      <c r="J35" s="12">
        <v>0</v>
      </c>
      <c r="K35" s="12">
        <v>0</v>
      </c>
      <c r="L35" s="17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/>
      <c r="AC35" s="13">
        <f>M35*AC$2</f>
        <v>0</v>
      </c>
      <c r="AF35" s="13">
        <f>H35*AF$2</f>
        <v>673920</v>
      </c>
      <c r="AG35" s="13">
        <f>H35*AG$2</f>
        <v>138240</v>
      </c>
      <c r="AH35" s="13">
        <f>H35*AH$2</f>
        <v>518400</v>
      </c>
      <c r="AI35" s="13">
        <f>H35*$AI$2</f>
        <v>212760</v>
      </c>
      <c r="AJ35" s="13">
        <f>AJ$2*H35</f>
        <v>648000</v>
      </c>
      <c r="AL35" s="14">
        <f>SUM(AC35:AK35)</f>
        <v>2191320</v>
      </c>
    </row>
    <row r="36" spans="1:38" x14ac:dyDescent="0.25">
      <c r="A36" s="12" t="s">
        <v>86</v>
      </c>
      <c r="B36" s="12" t="s">
        <v>180</v>
      </c>
      <c r="C36" s="12" t="s">
        <v>126</v>
      </c>
      <c r="D36" s="12" t="s">
        <v>1327</v>
      </c>
      <c r="E36" s="12">
        <f>MAX(G36:Z36)</f>
        <v>1078</v>
      </c>
      <c r="F36" s="12" t="str">
        <f>VLOOKUP(B36,[1]lookup!A:B,2,FALSE)</f>
        <v>Term</v>
      </c>
      <c r="G36" s="12">
        <v>0</v>
      </c>
      <c r="H36" s="12">
        <v>1078</v>
      </c>
      <c r="I36" s="12">
        <v>1</v>
      </c>
      <c r="J36" s="12">
        <v>1078</v>
      </c>
      <c r="K36" s="12">
        <v>0</v>
      </c>
      <c r="L36" s="17">
        <v>0</v>
      </c>
      <c r="M36" s="12">
        <v>1078</v>
      </c>
      <c r="N36" s="12">
        <v>0</v>
      </c>
      <c r="O36" s="12">
        <v>1078</v>
      </c>
      <c r="P36" s="12">
        <v>1078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/>
      <c r="AC36" s="13">
        <f>M36*AC$2</f>
        <v>258720</v>
      </c>
      <c r="AD36" s="13">
        <f>J36*AD$2</f>
        <v>258720</v>
      </c>
      <c r="AF36" s="13">
        <f>H36*AF$2</f>
        <v>672672</v>
      </c>
      <c r="AG36" s="13">
        <f>H36*AG$2</f>
        <v>137984</v>
      </c>
      <c r="AH36" s="13">
        <f>H36*AH$2</f>
        <v>517440</v>
      </c>
      <c r="AI36" s="13">
        <f>H36*$AI$2</f>
        <v>212366</v>
      </c>
      <c r="AL36" s="14">
        <f>SUM(AC36:AK36)</f>
        <v>2057902</v>
      </c>
    </row>
    <row r="37" spans="1:38" x14ac:dyDescent="0.25">
      <c r="A37" s="12" t="s">
        <v>86</v>
      </c>
      <c r="B37" s="12" t="s">
        <v>185</v>
      </c>
      <c r="C37" s="12" t="s">
        <v>126</v>
      </c>
      <c r="D37" s="12" t="s">
        <v>1327</v>
      </c>
      <c r="E37" s="12">
        <f>MAX(G37:Z37)</f>
        <v>1020</v>
      </c>
      <c r="F37" s="12" t="str">
        <f>VLOOKUP(B37,[1]lookup!A:B,2,FALSE)</f>
        <v>Term</v>
      </c>
      <c r="G37" s="12">
        <v>0</v>
      </c>
      <c r="H37" s="12">
        <v>1020</v>
      </c>
      <c r="I37" s="12">
        <v>1</v>
      </c>
      <c r="J37" s="12">
        <v>0</v>
      </c>
      <c r="K37" s="12">
        <v>0</v>
      </c>
      <c r="L37" s="17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/>
      <c r="AC37" s="13">
        <f>M37*AC$2</f>
        <v>0</v>
      </c>
      <c r="AF37" s="13">
        <f>H37*AF$2</f>
        <v>636480</v>
      </c>
      <c r="AG37" s="13">
        <f>H37*AG$2</f>
        <v>130560</v>
      </c>
      <c r="AH37" s="13">
        <f>H37*AH$2</f>
        <v>489600</v>
      </c>
      <c r="AI37" s="13">
        <f>H37*$AI$2</f>
        <v>200940</v>
      </c>
      <c r="AJ37" s="13">
        <f>AJ$2*H37</f>
        <v>612000</v>
      </c>
      <c r="AL37" s="14">
        <f>SUM(AC37:AK37)</f>
        <v>2069580</v>
      </c>
    </row>
    <row r="38" spans="1:38" x14ac:dyDescent="0.25">
      <c r="A38" s="12" t="s">
        <v>86</v>
      </c>
      <c r="B38" s="12" t="s">
        <v>186</v>
      </c>
      <c r="C38" s="12" t="s">
        <v>126</v>
      </c>
      <c r="D38" s="12" t="s">
        <v>1327</v>
      </c>
      <c r="E38" s="12">
        <f>MAX(G38:Z38)</f>
        <v>1014</v>
      </c>
      <c r="F38" s="12" t="str">
        <f>VLOOKUP(B38,[1]lookup!A:B,2,FALSE)</f>
        <v>Term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7">
        <v>1014</v>
      </c>
      <c r="M38" s="12">
        <v>0</v>
      </c>
      <c r="N38" s="12">
        <v>0</v>
      </c>
      <c r="O38" s="12">
        <v>0</v>
      </c>
      <c r="P38" s="12">
        <v>1014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/>
      <c r="AC38" s="13">
        <f>M38*AC$2</f>
        <v>0</v>
      </c>
      <c r="AL38" s="14">
        <f>SUM(AC38:AK38)</f>
        <v>0</v>
      </c>
    </row>
    <row r="39" spans="1:38" x14ac:dyDescent="0.25">
      <c r="A39" s="12" t="s">
        <v>86</v>
      </c>
      <c r="B39" s="12" t="s">
        <v>187</v>
      </c>
      <c r="C39" s="12" t="s">
        <v>126</v>
      </c>
      <c r="D39" s="12" t="s">
        <v>1327</v>
      </c>
      <c r="E39" s="12">
        <f>MAX(G39:Z39)</f>
        <v>1008</v>
      </c>
      <c r="F39" s="12" t="str">
        <f>VLOOKUP(B39,[1]lookup!A:B,2,FALSE)</f>
        <v>Term</v>
      </c>
      <c r="G39" s="12">
        <v>0</v>
      </c>
      <c r="H39" s="12">
        <v>1008</v>
      </c>
      <c r="I39" s="12">
        <v>0</v>
      </c>
      <c r="J39" s="12">
        <v>0</v>
      </c>
      <c r="K39" s="12">
        <v>0</v>
      </c>
      <c r="L39" s="17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/>
      <c r="AC39" s="13">
        <f>M39*AC$2</f>
        <v>0</v>
      </c>
      <c r="AF39" s="13">
        <f>H39*AF$2</f>
        <v>628992</v>
      </c>
      <c r="AG39" s="13">
        <f>H39*AG$2</f>
        <v>129024</v>
      </c>
      <c r="AH39" s="13">
        <f>H39*AH$2</f>
        <v>483840</v>
      </c>
      <c r="AI39" s="13">
        <f>H39*$AI$2</f>
        <v>198576</v>
      </c>
      <c r="AJ39" s="13">
        <f>AJ$2*H39</f>
        <v>604800</v>
      </c>
      <c r="AK39" s="15">
        <f>H39*AK$2</f>
        <v>120960</v>
      </c>
      <c r="AL39" s="14">
        <f>SUM(AC39:AK39)</f>
        <v>2166192</v>
      </c>
    </row>
    <row r="40" spans="1:38" hidden="1" x14ac:dyDescent="0.25">
      <c r="A40" s="12" t="s">
        <v>86</v>
      </c>
      <c r="B40" s="12" t="s">
        <v>188</v>
      </c>
      <c r="C40" s="12" t="s">
        <v>126</v>
      </c>
      <c r="D40" s="12"/>
      <c r="E40" s="12">
        <f>MAX(G40:Z40)</f>
        <v>1008</v>
      </c>
      <c r="F40" s="12" t="str">
        <f>VLOOKUP(B40,[1]lookup!A:B,2,FALSE)</f>
        <v>Term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8">
        <v>0</v>
      </c>
      <c r="M40" s="12">
        <v>0</v>
      </c>
      <c r="N40" s="12">
        <v>0</v>
      </c>
      <c r="O40" s="12">
        <v>0</v>
      </c>
      <c r="P40" s="12">
        <v>1008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/>
      <c r="AC40" s="13">
        <f>M40*AC$2</f>
        <v>0</v>
      </c>
      <c r="AL40" s="14">
        <f>SUM(AC40:AK40)</f>
        <v>0</v>
      </c>
    </row>
    <row r="41" spans="1:38" x14ac:dyDescent="0.25">
      <c r="A41" s="12" t="s">
        <v>86</v>
      </c>
      <c r="B41" s="12" t="s">
        <v>205</v>
      </c>
      <c r="C41" s="12" t="s">
        <v>126</v>
      </c>
      <c r="D41" s="12" t="s">
        <v>1327</v>
      </c>
      <c r="E41" s="12">
        <f>MAX(G41:Z41)</f>
        <v>952</v>
      </c>
      <c r="F41" s="12" t="str">
        <f>VLOOKUP(B41,[1]lookup!A:B,2,FALSE)</f>
        <v>Term</v>
      </c>
      <c r="G41" s="12">
        <v>0</v>
      </c>
      <c r="H41" s="12">
        <v>20</v>
      </c>
      <c r="I41" s="12">
        <v>1</v>
      </c>
      <c r="J41" s="12">
        <v>10</v>
      </c>
      <c r="K41" s="12">
        <v>0</v>
      </c>
      <c r="L41" s="17">
        <v>952</v>
      </c>
      <c r="M41" s="12">
        <v>10</v>
      </c>
      <c r="N41" s="12">
        <v>0</v>
      </c>
      <c r="O41" s="12">
        <v>10</v>
      </c>
      <c r="P41" s="12">
        <v>952</v>
      </c>
      <c r="Q41" s="12">
        <v>0</v>
      </c>
      <c r="R41" s="12">
        <v>0</v>
      </c>
      <c r="S41" s="12">
        <v>952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/>
      <c r="AC41" s="13">
        <f>M41*AC$2</f>
        <v>2400</v>
      </c>
      <c r="AD41" s="13">
        <f>J41*AD$2</f>
        <v>2400</v>
      </c>
      <c r="AF41" s="13">
        <f>H41*AF$2</f>
        <v>12480</v>
      </c>
      <c r="AG41" s="13">
        <f>H41*AG$2</f>
        <v>2560</v>
      </c>
      <c r="AH41" s="13">
        <f>H41*AH$2</f>
        <v>9600</v>
      </c>
      <c r="AI41" s="13">
        <f>H41*$AI$2</f>
        <v>3940</v>
      </c>
      <c r="AL41" s="14">
        <f>SUM(AC41:AK41)</f>
        <v>33380</v>
      </c>
    </row>
    <row r="42" spans="1:38" x14ac:dyDescent="0.25">
      <c r="A42" s="12" t="s">
        <v>86</v>
      </c>
      <c r="B42" s="12" t="s">
        <v>207</v>
      </c>
      <c r="C42" s="12" t="s">
        <v>126</v>
      </c>
      <c r="D42" s="12" t="s">
        <v>1327</v>
      </c>
      <c r="E42" s="12">
        <f>MAX(G42:Z42)</f>
        <v>940</v>
      </c>
      <c r="F42" s="12" t="str">
        <f>VLOOKUP(B42,[1]lookup!A:B,2,FALSE)</f>
        <v>Term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7">
        <v>940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/>
      <c r="AC42" s="13">
        <f>M42*AC$2</f>
        <v>0</v>
      </c>
      <c r="AL42" s="14">
        <f>SUM(AC42:AK42)</f>
        <v>0</v>
      </c>
    </row>
    <row r="43" spans="1:38" x14ac:dyDescent="0.25">
      <c r="A43" s="12" t="s">
        <v>86</v>
      </c>
      <c r="B43" s="12" t="s">
        <v>224</v>
      </c>
      <c r="C43" s="12" t="s">
        <v>126</v>
      </c>
      <c r="D43" s="12" t="s">
        <v>1327</v>
      </c>
      <c r="E43" s="12">
        <f>MAX(G43:Z43)</f>
        <v>827</v>
      </c>
      <c r="F43" s="12" t="str">
        <f>VLOOKUP(B43,[1]lookup!A:B,2,FALSE)</f>
        <v>Term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7">
        <v>827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/>
      <c r="AC43" s="13">
        <f>M43*AC$2</f>
        <v>0</v>
      </c>
      <c r="AL43" s="14">
        <f>SUM(AC43:AK43)</f>
        <v>0</v>
      </c>
    </row>
    <row r="44" spans="1:38" x14ac:dyDescent="0.25">
      <c r="A44" s="12" t="s">
        <v>86</v>
      </c>
      <c r="B44" s="12" t="s">
        <v>228</v>
      </c>
      <c r="C44" s="12" t="s">
        <v>126</v>
      </c>
      <c r="D44" s="12" t="s">
        <v>1327</v>
      </c>
      <c r="E44" s="12">
        <f>MAX(G44:Z44)</f>
        <v>801</v>
      </c>
      <c r="F44" s="12" t="str">
        <f>VLOOKUP(B44,[1]lookup!A:B,2,FALSE)</f>
        <v>SaaS</v>
      </c>
      <c r="G44" s="12">
        <v>0</v>
      </c>
      <c r="H44" s="12">
        <v>800</v>
      </c>
      <c r="I44" s="12">
        <v>0</v>
      </c>
      <c r="J44" s="12">
        <v>800</v>
      </c>
      <c r="K44" s="12">
        <v>801</v>
      </c>
      <c r="L44" s="17">
        <v>0</v>
      </c>
      <c r="M44" s="12">
        <v>800</v>
      </c>
      <c r="N44" s="12">
        <v>0</v>
      </c>
      <c r="O44" s="12">
        <v>800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/>
      <c r="AC44" s="13">
        <f>M44*AC$2</f>
        <v>192000</v>
      </c>
      <c r="AF44" s="13">
        <f>H44*AF$2</f>
        <v>499200</v>
      </c>
      <c r="AL44" s="14">
        <f>SUM(AC44:AK44)</f>
        <v>691200</v>
      </c>
    </row>
    <row r="45" spans="1:38" x14ac:dyDescent="0.25">
      <c r="A45" s="12" t="s">
        <v>86</v>
      </c>
      <c r="B45" s="12" t="s">
        <v>229</v>
      </c>
      <c r="C45" s="12" t="s">
        <v>126</v>
      </c>
      <c r="D45" s="12" t="s">
        <v>1327</v>
      </c>
      <c r="E45" s="12">
        <f>MAX(G45:Z45)</f>
        <v>800</v>
      </c>
      <c r="F45" s="12" t="str">
        <f>VLOOKUP(B45,[1]lookup!A:B,2,FALSE)</f>
        <v>Perpetual</v>
      </c>
      <c r="G45" s="12">
        <v>0</v>
      </c>
      <c r="H45" s="12">
        <v>400</v>
      </c>
      <c r="I45" s="12">
        <v>401</v>
      </c>
      <c r="J45" s="12">
        <v>400</v>
      </c>
      <c r="K45" s="12">
        <v>0</v>
      </c>
      <c r="L45" s="17">
        <v>800</v>
      </c>
      <c r="M45" s="12">
        <v>400</v>
      </c>
      <c r="N45" s="12">
        <v>0</v>
      </c>
      <c r="O45" s="12">
        <v>400</v>
      </c>
      <c r="P45" s="12">
        <v>0</v>
      </c>
      <c r="Q45" s="12">
        <v>0</v>
      </c>
      <c r="R45" s="12">
        <v>0</v>
      </c>
      <c r="S45" s="12">
        <v>400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/>
      <c r="AC45" s="13">
        <f>M45*AC$2</f>
        <v>96000</v>
      </c>
      <c r="AD45" s="13">
        <f>J45*AD$2</f>
        <v>96000</v>
      </c>
      <c r="AE45" s="13">
        <f>J45*AE$2</f>
        <v>48000</v>
      </c>
      <c r="AF45" s="13">
        <f>H45*AF$2</f>
        <v>249600</v>
      </c>
      <c r="AG45" s="13">
        <f>H45*AG$2</f>
        <v>51200</v>
      </c>
      <c r="AH45" s="13">
        <f>H45*AH$2</f>
        <v>192000</v>
      </c>
      <c r="AI45" s="13">
        <f>H45*$AI$2</f>
        <v>78800</v>
      </c>
      <c r="AJ45" s="13">
        <f>AJ$2*H45</f>
        <v>240000</v>
      </c>
      <c r="AL45" s="14">
        <f>SUM(AC45:AK45)</f>
        <v>1051600</v>
      </c>
    </row>
    <row r="46" spans="1:38" x14ac:dyDescent="0.25">
      <c r="A46" s="12" t="s">
        <v>86</v>
      </c>
      <c r="B46" s="12" t="s">
        <v>230</v>
      </c>
      <c r="C46" s="12" t="s">
        <v>126</v>
      </c>
      <c r="D46" s="12" t="s">
        <v>1327</v>
      </c>
      <c r="E46" s="12">
        <f>MAX(G46:Z46)</f>
        <v>800</v>
      </c>
      <c r="F46" s="12" t="str">
        <f>VLOOKUP(B46,[1]lookup!A:B,2,FALSE)</f>
        <v>Term</v>
      </c>
      <c r="G46" s="12">
        <v>0</v>
      </c>
      <c r="H46" s="12">
        <v>0</v>
      </c>
      <c r="I46" s="12">
        <v>9</v>
      </c>
      <c r="J46" s="12">
        <v>0</v>
      </c>
      <c r="K46" s="12">
        <v>0</v>
      </c>
      <c r="L46" s="17">
        <v>800</v>
      </c>
      <c r="M46" s="12">
        <v>0</v>
      </c>
      <c r="N46" s="12">
        <v>0</v>
      </c>
      <c r="O46" s="12">
        <v>0</v>
      </c>
      <c r="P46" s="12">
        <v>455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/>
      <c r="AC46" s="13">
        <f>M46*AC$2</f>
        <v>0</v>
      </c>
      <c r="AL46" s="14">
        <f>SUM(AC46:AK46)</f>
        <v>0</v>
      </c>
    </row>
    <row r="47" spans="1:38" x14ac:dyDescent="0.25">
      <c r="A47" s="12" t="s">
        <v>86</v>
      </c>
      <c r="B47" s="12" t="s">
        <v>239</v>
      </c>
      <c r="C47" s="12" t="s">
        <v>126</v>
      </c>
      <c r="D47" s="12" t="s">
        <v>1327</v>
      </c>
      <c r="E47" s="12">
        <f>MAX(G47:Z47)</f>
        <v>760</v>
      </c>
      <c r="F47" s="12" t="str">
        <f>VLOOKUP(B47,[1]lookup!A:B,2,FALSE)</f>
        <v>Term</v>
      </c>
      <c r="G47" s="12">
        <v>0</v>
      </c>
      <c r="H47" s="12">
        <v>760</v>
      </c>
      <c r="I47" s="12">
        <v>0</v>
      </c>
      <c r="J47" s="12">
        <v>0</v>
      </c>
      <c r="K47" s="12">
        <v>0</v>
      </c>
      <c r="L47" s="17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/>
      <c r="AC47" s="13">
        <f>M47*AC$2</f>
        <v>0</v>
      </c>
      <c r="AF47" s="13">
        <f>H47*AF$2</f>
        <v>474240</v>
      </c>
      <c r="AG47" s="13">
        <f>H47*AG$2</f>
        <v>97280</v>
      </c>
      <c r="AH47" s="13">
        <f>H47*AH$2</f>
        <v>364800</v>
      </c>
      <c r="AI47" s="13">
        <f>H47*$AI$2</f>
        <v>149720</v>
      </c>
      <c r="AJ47" s="13">
        <f>AJ$2*H47</f>
        <v>456000</v>
      </c>
      <c r="AK47" s="15">
        <f>H47*AK$2</f>
        <v>91200</v>
      </c>
      <c r="AL47" s="14">
        <f>SUM(AC47:AK47)</f>
        <v>1633240</v>
      </c>
    </row>
    <row r="48" spans="1:38" x14ac:dyDescent="0.25">
      <c r="A48" s="12" t="s">
        <v>86</v>
      </c>
      <c r="B48" s="12" t="s">
        <v>246</v>
      </c>
      <c r="C48" s="12" t="s">
        <v>126</v>
      </c>
      <c r="D48" s="12" t="s">
        <v>1327</v>
      </c>
      <c r="E48" s="12">
        <f>MAX(G48:Z48)</f>
        <v>731</v>
      </c>
      <c r="F48" s="12" t="str">
        <f>VLOOKUP(B48,[1]lookup!A:B,2,FALSE)</f>
        <v>Term</v>
      </c>
      <c r="G48" s="12">
        <v>0</v>
      </c>
      <c r="H48" s="12">
        <v>480</v>
      </c>
      <c r="I48" s="12">
        <v>0</v>
      </c>
      <c r="J48" s="12">
        <v>0</v>
      </c>
      <c r="K48" s="12">
        <v>0</v>
      </c>
      <c r="L48" s="17">
        <v>731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/>
      <c r="AC48" s="13">
        <f>M48*AC$2</f>
        <v>0</v>
      </c>
      <c r="AF48" s="13">
        <f>H48*AF$2</f>
        <v>299520</v>
      </c>
      <c r="AG48" s="13">
        <f>H48*AG$2</f>
        <v>61440</v>
      </c>
      <c r="AH48" s="13">
        <f>H48*AH$2</f>
        <v>230400</v>
      </c>
      <c r="AI48" s="13">
        <f>H48*$AI$2</f>
        <v>94560</v>
      </c>
      <c r="AJ48" s="13">
        <f>AJ$2*H48</f>
        <v>288000</v>
      </c>
      <c r="AK48" s="15">
        <f>H48*AK$2</f>
        <v>57600</v>
      </c>
      <c r="AL48" s="14">
        <f>SUM(AC48:AK48)</f>
        <v>1031520</v>
      </c>
    </row>
    <row r="49" spans="1:38" x14ac:dyDescent="0.25">
      <c r="A49" s="12" t="s">
        <v>86</v>
      </c>
      <c r="B49" s="12" t="s">
        <v>249</v>
      </c>
      <c r="C49" s="12" t="s">
        <v>126</v>
      </c>
      <c r="D49" s="12" t="s">
        <v>1327</v>
      </c>
      <c r="E49" s="12">
        <f>MAX(G49:Z49)</f>
        <v>720</v>
      </c>
      <c r="F49" s="12" t="str">
        <f>VLOOKUP(B49,[1]lookup!A:B,2,FALSE)</f>
        <v>Term</v>
      </c>
      <c r="G49" s="12">
        <v>0</v>
      </c>
      <c r="H49" s="12">
        <v>720</v>
      </c>
      <c r="I49" s="12">
        <v>1</v>
      </c>
      <c r="J49" s="12">
        <v>0</v>
      </c>
      <c r="K49" s="12">
        <v>0</v>
      </c>
      <c r="L49" s="17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/>
      <c r="AC49" s="13">
        <f>M49*AC$2</f>
        <v>0</v>
      </c>
      <c r="AF49" s="13">
        <f>H49*AF$2</f>
        <v>449280</v>
      </c>
      <c r="AG49" s="13">
        <f>H49*AG$2</f>
        <v>92160</v>
      </c>
      <c r="AH49" s="13">
        <f>H49*AH$2</f>
        <v>345600</v>
      </c>
      <c r="AI49" s="13">
        <f>H49*$AI$2</f>
        <v>141840</v>
      </c>
      <c r="AJ49" s="13">
        <f>AJ$2*H49</f>
        <v>432000</v>
      </c>
      <c r="AL49" s="14">
        <f>SUM(AC49:AK49)</f>
        <v>1460880</v>
      </c>
    </row>
    <row r="50" spans="1:38" x14ac:dyDescent="0.25">
      <c r="A50" s="12" t="s">
        <v>86</v>
      </c>
      <c r="B50" s="12" t="s">
        <v>252</v>
      </c>
      <c r="C50" s="12" t="s">
        <v>126</v>
      </c>
      <c r="D50" s="12" t="s">
        <v>1327</v>
      </c>
      <c r="E50" s="12">
        <f>MAX(G50:Z50)</f>
        <v>701</v>
      </c>
      <c r="F50" s="12" t="str">
        <f>VLOOKUP(B50,[1]lookup!A:B,2,FALSE)</f>
        <v>Term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7">
        <v>701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/>
      <c r="AC50" s="13">
        <f>M50*AC$2</f>
        <v>0</v>
      </c>
      <c r="AL50" s="14">
        <f>SUM(AC50:AK50)</f>
        <v>0</v>
      </c>
    </row>
    <row r="51" spans="1:38" x14ac:dyDescent="0.25">
      <c r="A51" s="12" t="s">
        <v>86</v>
      </c>
      <c r="B51" s="12" t="s">
        <v>89</v>
      </c>
      <c r="C51" s="12" t="s">
        <v>126</v>
      </c>
      <c r="D51" s="12" t="s">
        <v>1327</v>
      </c>
      <c r="E51" s="12">
        <f>MAX(G51:Z51)</f>
        <v>670</v>
      </c>
      <c r="F51" s="12" t="str">
        <f>VLOOKUP(B51,[1]lookup!A:B,2,FALSE)</f>
        <v>Term</v>
      </c>
      <c r="G51" s="12">
        <v>0</v>
      </c>
      <c r="H51" s="12">
        <v>670</v>
      </c>
      <c r="I51" s="12">
        <v>0</v>
      </c>
      <c r="J51" s="12">
        <v>0</v>
      </c>
      <c r="K51" s="12">
        <v>0</v>
      </c>
      <c r="L51" s="17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/>
      <c r="AC51" s="13">
        <f>M51*AC$2</f>
        <v>0</v>
      </c>
      <c r="AF51" s="13">
        <f>H51*AF$2</f>
        <v>418080</v>
      </c>
      <c r="AG51" s="13">
        <f>H51*AG$2</f>
        <v>85760</v>
      </c>
      <c r="AH51" s="13">
        <f>H51*AH$2</f>
        <v>321600</v>
      </c>
      <c r="AI51" s="13">
        <f>H51*$AI$2</f>
        <v>131990</v>
      </c>
      <c r="AJ51" s="13">
        <f>AJ$2*H51</f>
        <v>402000</v>
      </c>
      <c r="AK51" s="15">
        <f>H51*AK$2</f>
        <v>80400</v>
      </c>
      <c r="AL51" s="14">
        <f>SUM(AC51:AK51)</f>
        <v>1439830</v>
      </c>
    </row>
    <row r="52" spans="1:38" x14ac:dyDescent="0.25">
      <c r="A52" s="12" t="s">
        <v>86</v>
      </c>
      <c r="B52" s="12" t="s">
        <v>259</v>
      </c>
      <c r="C52" s="12" t="s">
        <v>126</v>
      </c>
      <c r="D52" s="12" t="s">
        <v>1327</v>
      </c>
      <c r="E52" s="12">
        <f>MAX(G52:Z52)</f>
        <v>661</v>
      </c>
      <c r="F52" s="12" t="str">
        <f>VLOOKUP(B52,[1]lookup!A:B,2,FALSE)</f>
        <v>Term</v>
      </c>
      <c r="G52" s="12">
        <v>0</v>
      </c>
      <c r="H52" s="12">
        <v>661</v>
      </c>
      <c r="I52" s="12">
        <v>0</v>
      </c>
      <c r="J52" s="12">
        <v>0</v>
      </c>
      <c r="K52" s="12">
        <v>0</v>
      </c>
      <c r="L52" s="17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/>
      <c r="AC52" s="13">
        <f>M52*AC$2</f>
        <v>0</v>
      </c>
      <c r="AF52" s="13">
        <f>H52*AF$2</f>
        <v>412464</v>
      </c>
      <c r="AG52" s="13">
        <f>H52*AG$2</f>
        <v>84608</v>
      </c>
      <c r="AH52" s="13">
        <f>H52*AH$2</f>
        <v>317280</v>
      </c>
      <c r="AI52" s="13">
        <f>H52*$AI$2</f>
        <v>130217</v>
      </c>
      <c r="AJ52" s="13">
        <f>AJ$2*H52</f>
        <v>396600</v>
      </c>
      <c r="AK52" s="15">
        <f>H52*AK$2</f>
        <v>79320</v>
      </c>
      <c r="AL52" s="14">
        <f>SUM(AC52:AK52)</f>
        <v>1420489</v>
      </c>
    </row>
    <row r="53" spans="1:38" x14ac:dyDescent="0.25">
      <c r="A53" s="12" t="s">
        <v>86</v>
      </c>
      <c r="B53" s="12" t="s">
        <v>260</v>
      </c>
      <c r="C53" s="12" t="s">
        <v>126</v>
      </c>
      <c r="D53" s="12" t="s">
        <v>1327</v>
      </c>
      <c r="E53" s="12">
        <f>MAX(G53:Z53)</f>
        <v>651</v>
      </c>
      <c r="F53" s="12" t="str">
        <f>VLOOKUP(B53,[1]lookup!A:B,2,FALSE)</f>
        <v>SaaS</v>
      </c>
      <c r="G53" s="12">
        <v>0</v>
      </c>
      <c r="H53" s="12">
        <v>650</v>
      </c>
      <c r="I53" s="12">
        <v>0</v>
      </c>
      <c r="J53" s="12">
        <v>650</v>
      </c>
      <c r="K53" s="12">
        <v>650</v>
      </c>
      <c r="L53" s="17">
        <v>495</v>
      </c>
      <c r="M53" s="12">
        <v>0</v>
      </c>
      <c r="N53" s="12">
        <v>0</v>
      </c>
      <c r="O53" s="12">
        <v>650</v>
      </c>
      <c r="P53" s="12">
        <v>651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/>
      <c r="AC53" s="13">
        <f>M53*AC$2</f>
        <v>0</v>
      </c>
      <c r="AF53" s="13">
        <f>H53*AF$2</f>
        <v>405600</v>
      </c>
      <c r="AG53" s="13">
        <f>H53*AG$2</f>
        <v>83200</v>
      </c>
      <c r="AH53" s="13">
        <f>H53*AH$2</f>
        <v>312000</v>
      </c>
      <c r="AI53" s="13">
        <f>H53*$AI$2</f>
        <v>128050</v>
      </c>
      <c r="AL53" s="14">
        <f>SUM(AC53:AK53)</f>
        <v>928850</v>
      </c>
    </row>
    <row r="54" spans="1:38" x14ac:dyDescent="0.25">
      <c r="A54" s="12" t="s">
        <v>86</v>
      </c>
      <c r="B54" s="12" t="s">
        <v>261</v>
      </c>
      <c r="C54" s="12" t="s">
        <v>126</v>
      </c>
      <c r="D54" s="12" t="s">
        <v>1327</v>
      </c>
      <c r="E54" s="12">
        <f>MAX(G54:Z54)</f>
        <v>650</v>
      </c>
      <c r="F54" s="12" t="str">
        <f>VLOOKUP(B54,[1]lookup!A:B,2,FALSE)</f>
        <v>Term</v>
      </c>
      <c r="G54" s="12">
        <v>0</v>
      </c>
      <c r="H54" s="12">
        <v>650</v>
      </c>
      <c r="I54" s="12">
        <v>1</v>
      </c>
      <c r="J54" s="12">
        <v>0</v>
      </c>
      <c r="K54" s="12">
        <v>0</v>
      </c>
      <c r="L54" s="17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/>
      <c r="AC54" s="13">
        <f>M54*AC$2</f>
        <v>0</v>
      </c>
      <c r="AF54" s="13">
        <f>H54*AF$2</f>
        <v>405600</v>
      </c>
      <c r="AG54" s="13">
        <f>H54*AG$2</f>
        <v>83200</v>
      </c>
      <c r="AH54" s="13">
        <f>H54*AH$2</f>
        <v>312000</v>
      </c>
      <c r="AI54" s="13">
        <f>H54*$AI$2</f>
        <v>128050</v>
      </c>
      <c r="AJ54" s="13">
        <f>AJ$2*H54</f>
        <v>390000</v>
      </c>
      <c r="AL54" s="14">
        <f>SUM(AC54:AK54)</f>
        <v>1318850</v>
      </c>
    </row>
    <row r="55" spans="1:38" x14ac:dyDescent="0.25">
      <c r="A55" s="12" t="s">
        <v>86</v>
      </c>
      <c r="B55" s="12" t="s">
        <v>272</v>
      </c>
      <c r="C55" s="12" t="s">
        <v>126</v>
      </c>
      <c r="D55" s="12" t="s">
        <v>1327</v>
      </c>
      <c r="E55" s="12">
        <f>MAX(G55:Z55)</f>
        <v>600</v>
      </c>
      <c r="F55" s="12" t="str">
        <f>VLOOKUP(B55,[1]lookup!A:B,2,FALSE)</f>
        <v>Term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7">
        <v>300</v>
      </c>
      <c r="M55" s="12">
        <v>0</v>
      </c>
      <c r="N55" s="12">
        <v>0</v>
      </c>
      <c r="O55" s="12">
        <v>0</v>
      </c>
      <c r="P55" s="12">
        <v>600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/>
      <c r="AC55" s="13">
        <f>M55*AC$2</f>
        <v>0</v>
      </c>
      <c r="AL55" s="14">
        <f>SUM(AC55:AK55)</f>
        <v>0</v>
      </c>
    </row>
    <row r="56" spans="1:38" x14ac:dyDescent="0.25">
      <c r="A56" s="12" t="s">
        <v>86</v>
      </c>
      <c r="B56" s="12" t="s">
        <v>271</v>
      </c>
      <c r="C56" s="12" t="s">
        <v>126</v>
      </c>
      <c r="D56" s="12" t="s">
        <v>1327</v>
      </c>
      <c r="E56" s="12">
        <f>MAX(G56:Z56)</f>
        <v>600</v>
      </c>
      <c r="F56" s="12" t="str">
        <f>VLOOKUP(B56,[1]lookup!A:B,2,FALSE)</f>
        <v>Perpetual</v>
      </c>
      <c r="G56" s="12">
        <v>0</v>
      </c>
      <c r="H56" s="12">
        <v>600</v>
      </c>
      <c r="I56" s="12">
        <v>0</v>
      </c>
      <c r="J56" s="12">
        <v>600</v>
      </c>
      <c r="K56" s="12">
        <v>600</v>
      </c>
      <c r="L56" s="17">
        <v>0</v>
      </c>
      <c r="M56" s="12">
        <v>0</v>
      </c>
      <c r="N56" s="12">
        <v>0</v>
      </c>
      <c r="O56" s="12">
        <v>600</v>
      </c>
      <c r="P56" s="12">
        <v>0</v>
      </c>
      <c r="Q56" s="12">
        <v>0</v>
      </c>
      <c r="R56" s="12">
        <v>0</v>
      </c>
      <c r="S56" s="12">
        <v>50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/>
      <c r="AC56" s="13">
        <f>M56*AC$2</f>
        <v>0</v>
      </c>
      <c r="AF56" s="13">
        <f>H56*AF$2</f>
        <v>374400</v>
      </c>
      <c r="AG56" s="13">
        <f>H56*AG$2</f>
        <v>76800</v>
      </c>
      <c r="AH56" s="13">
        <f>H56*AH$2</f>
        <v>288000</v>
      </c>
      <c r="AI56" s="13">
        <f>H56*$AI$2</f>
        <v>118200</v>
      </c>
      <c r="AJ56" s="13">
        <f>AJ$2*H56</f>
        <v>360000</v>
      </c>
      <c r="AK56" s="15">
        <f>H56*AK$2</f>
        <v>72000</v>
      </c>
      <c r="AL56" s="14">
        <f>SUM(AC56:AK56)</f>
        <v>1289400</v>
      </c>
    </row>
    <row r="57" spans="1:38" x14ac:dyDescent="0.25">
      <c r="A57" s="12" t="s">
        <v>86</v>
      </c>
      <c r="B57" s="12" t="s">
        <v>281</v>
      </c>
      <c r="C57" s="12" t="s">
        <v>126</v>
      </c>
      <c r="D57" s="12" t="s">
        <v>1327</v>
      </c>
      <c r="E57" s="12">
        <f>MAX(G57:Z57)</f>
        <v>580</v>
      </c>
      <c r="F57" s="12" t="str">
        <f>VLOOKUP(B57,[1]lookup!A:B,2,FALSE)</f>
        <v>SaaS</v>
      </c>
      <c r="G57" s="12">
        <v>0</v>
      </c>
      <c r="H57" s="12">
        <v>580</v>
      </c>
      <c r="I57" s="12">
        <v>0</v>
      </c>
      <c r="J57" s="12">
        <v>580</v>
      </c>
      <c r="K57" s="12">
        <v>580</v>
      </c>
      <c r="L57" s="17">
        <v>0</v>
      </c>
      <c r="M57" s="12">
        <v>250</v>
      </c>
      <c r="N57" s="12">
        <v>0</v>
      </c>
      <c r="O57" s="12">
        <v>580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/>
      <c r="AC57" s="13">
        <f>M57*AC$2</f>
        <v>60000</v>
      </c>
      <c r="AF57" s="13">
        <f>H57*AF$2</f>
        <v>361920</v>
      </c>
      <c r="AL57" s="14">
        <f>SUM(AC57:AK57)</f>
        <v>421920</v>
      </c>
    </row>
    <row r="58" spans="1:38" x14ac:dyDescent="0.25">
      <c r="A58" s="12" t="s">
        <v>86</v>
      </c>
      <c r="B58" s="12" t="s">
        <v>283</v>
      </c>
      <c r="C58" s="12" t="s">
        <v>126</v>
      </c>
      <c r="D58" s="12" t="s">
        <v>1327</v>
      </c>
      <c r="E58" s="12">
        <f>MAX(G58:Z58)</f>
        <v>564</v>
      </c>
      <c r="F58" s="12" t="str">
        <f>VLOOKUP(B58,[1]lookup!A:B,2,FALSE)</f>
        <v>Term</v>
      </c>
      <c r="G58" s="12">
        <v>0</v>
      </c>
      <c r="H58" s="12">
        <v>0</v>
      </c>
      <c r="I58" s="12">
        <v>1</v>
      </c>
      <c r="J58" s="12">
        <v>0</v>
      </c>
      <c r="K58" s="12">
        <v>0</v>
      </c>
      <c r="L58" s="17">
        <v>564</v>
      </c>
      <c r="M58" s="12">
        <v>0</v>
      </c>
      <c r="N58" s="12">
        <v>0</v>
      </c>
      <c r="O58" s="12">
        <v>0</v>
      </c>
      <c r="P58" s="12">
        <v>516</v>
      </c>
      <c r="Q58" s="12">
        <v>0</v>
      </c>
      <c r="R58" s="12">
        <v>0</v>
      </c>
      <c r="S58" s="12">
        <v>72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/>
      <c r="AC58" s="13">
        <f>M58*AC$2</f>
        <v>0</v>
      </c>
      <c r="AL58" s="14">
        <f>SUM(AC58:AK58)</f>
        <v>0</v>
      </c>
    </row>
    <row r="59" spans="1:38" x14ac:dyDescent="0.25">
      <c r="A59" s="12" t="s">
        <v>86</v>
      </c>
      <c r="B59" s="12" t="s">
        <v>295</v>
      </c>
      <c r="C59" s="12" t="s">
        <v>126</v>
      </c>
      <c r="D59" s="12" t="s">
        <v>1327</v>
      </c>
      <c r="E59" s="12">
        <f>MAX(G59:Z59)</f>
        <v>513</v>
      </c>
      <c r="F59" s="12" t="str">
        <f>VLOOKUP(B59,[1]lookup!A:B,2,FALSE)</f>
        <v>Perpetual</v>
      </c>
      <c r="G59" s="12">
        <v>0</v>
      </c>
      <c r="H59" s="12">
        <v>513</v>
      </c>
      <c r="I59" s="12">
        <v>0</v>
      </c>
      <c r="J59" s="12">
        <v>0</v>
      </c>
      <c r="K59" s="12">
        <v>0</v>
      </c>
      <c r="L59" s="17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/>
      <c r="AC59" s="13">
        <f>M59*AC$2</f>
        <v>0</v>
      </c>
      <c r="AF59" s="13">
        <f>H59*AF$2</f>
        <v>320112</v>
      </c>
      <c r="AG59" s="13">
        <f>H59*AG$2</f>
        <v>65664</v>
      </c>
      <c r="AH59" s="13">
        <f>H59*AH$2</f>
        <v>246240</v>
      </c>
      <c r="AI59" s="13">
        <f>H59*$AI$2</f>
        <v>101061</v>
      </c>
      <c r="AJ59" s="13">
        <f>AJ$2*H59</f>
        <v>307800</v>
      </c>
      <c r="AK59" s="15">
        <f>H59*AK$2</f>
        <v>61560</v>
      </c>
      <c r="AL59" s="14">
        <f>SUM(AC59:AK59)</f>
        <v>1102437</v>
      </c>
    </row>
    <row r="60" spans="1:38" x14ac:dyDescent="0.25">
      <c r="A60" s="12" t="s">
        <v>86</v>
      </c>
      <c r="B60" s="12" t="s">
        <v>300</v>
      </c>
      <c r="C60" s="12" t="s">
        <v>126</v>
      </c>
      <c r="D60" s="12" t="s">
        <v>1327</v>
      </c>
      <c r="E60" s="12">
        <f>MAX(G60:Z60)</f>
        <v>506</v>
      </c>
      <c r="F60" s="12" t="s">
        <v>70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7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506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/>
      <c r="AC60" s="13">
        <f>M60*AC$2</f>
        <v>0</v>
      </c>
      <c r="AL60" s="14">
        <f>SUM(AC60:AK60)</f>
        <v>0</v>
      </c>
    </row>
    <row r="61" spans="1:38" x14ac:dyDescent="0.25">
      <c r="A61" s="12" t="s">
        <v>86</v>
      </c>
      <c r="B61" s="12" t="s">
        <v>304</v>
      </c>
      <c r="C61" s="12" t="s">
        <v>126</v>
      </c>
      <c r="D61" s="12" t="s">
        <v>1327</v>
      </c>
      <c r="E61" s="12">
        <f>MAX(G61:Z61)</f>
        <v>500</v>
      </c>
      <c r="F61" s="12" t="str">
        <f>VLOOKUP(B61,[1]lookup!A:B,2,FALSE)</f>
        <v>Term</v>
      </c>
      <c r="G61" s="12">
        <v>0</v>
      </c>
      <c r="H61" s="12">
        <v>500</v>
      </c>
      <c r="I61" s="12">
        <v>0</v>
      </c>
      <c r="J61" s="12">
        <v>0</v>
      </c>
      <c r="K61" s="12">
        <v>0</v>
      </c>
      <c r="L61" s="17">
        <v>152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492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/>
      <c r="AC61" s="13">
        <f>M61*AC$2</f>
        <v>0</v>
      </c>
      <c r="AF61" s="13">
        <f>H61*AF$2</f>
        <v>312000</v>
      </c>
      <c r="AG61" s="13">
        <f>H61*AG$2</f>
        <v>64000</v>
      </c>
      <c r="AH61" s="13">
        <f>H61*AH$2</f>
        <v>240000</v>
      </c>
      <c r="AI61" s="13">
        <f>H61*$AI$2</f>
        <v>98500</v>
      </c>
      <c r="AJ61" s="13">
        <f>AJ$2*H61</f>
        <v>300000</v>
      </c>
      <c r="AK61" s="15">
        <f>H61*AK$2</f>
        <v>60000</v>
      </c>
      <c r="AL61" s="14">
        <f>SUM(AC61:AK61)</f>
        <v>1074500</v>
      </c>
    </row>
    <row r="62" spans="1:38" hidden="1" x14ac:dyDescent="0.25">
      <c r="A62" s="12" t="s">
        <v>140</v>
      </c>
      <c r="B62" s="12" t="s">
        <v>141</v>
      </c>
      <c r="C62" s="12" t="s">
        <v>126</v>
      </c>
      <c r="D62" s="12"/>
      <c r="E62" s="12">
        <f>MAX(G62:Z62)</f>
        <v>1642</v>
      </c>
      <c r="F62" s="12" t="s">
        <v>70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1642</v>
      </c>
      <c r="X62" s="12">
        <v>0</v>
      </c>
      <c r="Y62" s="12">
        <v>0</v>
      </c>
      <c r="Z62" s="12">
        <v>0</v>
      </c>
      <c r="AA62" s="12"/>
      <c r="AC62" s="13">
        <f>M62*AC$2</f>
        <v>0</v>
      </c>
      <c r="AL62" s="14">
        <f>SUM(AC62:AK62)</f>
        <v>0</v>
      </c>
    </row>
    <row r="63" spans="1:38" x14ac:dyDescent="0.25">
      <c r="A63" s="12" t="s">
        <v>140</v>
      </c>
      <c r="B63" s="12" t="s">
        <v>211</v>
      </c>
      <c r="C63" s="12" t="s">
        <v>126</v>
      </c>
      <c r="D63" s="12" t="s">
        <v>1327</v>
      </c>
      <c r="E63" s="12">
        <f>MAX(G63:Z63)</f>
        <v>899</v>
      </c>
      <c r="F63" s="12" t="str">
        <f>VLOOKUP(B63,[1]lookup!A:B,2,FALSE)</f>
        <v>Perpetual</v>
      </c>
      <c r="G63" s="12">
        <v>0</v>
      </c>
      <c r="H63" s="12">
        <v>860</v>
      </c>
      <c r="I63" s="12">
        <v>862</v>
      </c>
      <c r="J63" s="12">
        <v>747</v>
      </c>
      <c r="K63" s="12">
        <v>5</v>
      </c>
      <c r="L63" s="12">
        <v>525</v>
      </c>
      <c r="M63" s="12">
        <v>746</v>
      </c>
      <c r="N63" s="12">
        <v>0</v>
      </c>
      <c r="O63" s="12">
        <v>543</v>
      </c>
      <c r="P63" s="12">
        <v>0</v>
      </c>
      <c r="Q63" s="12">
        <v>0</v>
      </c>
      <c r="R63" s="12">
        <v>0</v>
      </c>
      <c r="S63" s="12">
        <v>393</v>
      </c>
      <c r="T63" s="12">
        <v>0</v>
      </c>
      <c r="U63" s="12">
        <v>0</v>
      </c>
      <c r="V63" s="12">
        <v>0</v>
      </c>
      <c r="W63" s="12">
        <v>899</v>
      </c>
      <c r="X63" s="12">
        <v>0</v>
      </c>
      <c r="Y63" s="12">
        <v>0</v>
      </c>
      <c r="Z63" s="12">
        <v>0</v>
      </c>
      <c r="AA63" s="12"/>
      <c r="AC63" s="13">
        <f>M63*AC$2</f>
        <v>179040</v>
      </c>
      <c r="AF63" s="13">
        <f>H63*AF$2</f>
        <v>536640</v>
      </c>
      <c r="AG63" s="13">
        <f>H63*AG$2</f>
        <v>110080</v>
      </c>
      <c r="AH63" s="13">
        <f>H63*AH$2</f>
        <v>412800</v>
      </c>
      <c r="AI63" s="13">
        <f>H63*$AI$2</f>
        <v>169420</v>
      </c>
      <c r="AJ63" s="13">
        <f>AJ$2*H63</f>
        <v>516000</v>
      </c>
      <c r="AL63" s="14">
        <f>SUM(AC63:AK63)</f>
        <v>1923980</v>
      </c>
    </row>
    <row r="64" spans="1:38" x14ac:dyDescent="0.25">
      <c r="A64" s="12" t="s">
        <v>140</v>
      </c>
      <c r="B64" s="12" t="s">
        <v>293</v>
      </c>
      <c r="C64" s="12" t="s">
        <v>126</v>
      </c>
      <c r="D64" s="12" t="s">
        <v>1327</v>
      </c>
      <c r="E64" s="12">
        <f>MAX(G64:Z64)</f>
        <v>515</v>
      </c>
      <c r="F64" s="12" t="str">
        <f>VLOOKUP(B64,[1]lookup!A:B,2,FALSE)</f>
        <v>Perpetual</v>
      </c>
      <c r="G64" s="12">
        <v>0</v>
      </c>
      <c r="H64" s="12">
        <v>515</v>
      </c>
      <c r="I64" s="12">
        <v>316</v>
      </c>
      <c r="J64" s="12">
        <v>0</v>
      </c>
      <c r="K64" s="12">
        <v>0</v>
      </c>
      <c r="L64" s="12">
        <v>32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/>
      <c r="AC64" s="13">
        <f>M64*AC$2</f>
        <v>0</v>
      </c>
      <c r="AF64" s="13">
        <f>H64*AF$2</f>
        <v>321360</v>
      </c>
      <c r="AG64" s="13">
        <f>H64*AG$2</f>
        <v>65920</v>
      </c>
      <c r="AH64" s="13">
        <f>H64*AH$2</f>
        <v>247200</v>
      </c>
      <c r="AI64" s="13">
        <f>H64*$AI$2</f>
        <v>101455</v>
      </c>
      <c r="AJ64" s="13">
        <f>AJ$2*H64</f>
        <v>309000</v>
      </c>
      <c r="AL64" s="14">
        <f>SUM(AC64:AK64)</f>
        <v>1044935</v>
      </c>
    </row>
    <row r="65" spans="1:38" x14ac:dyDescent="0.25">
      <c r="A65" s="12" t="s">
        <v>74</v>
      </c>
      <c r="B65" s="12" t="s">
        <v>63</v>
      </c>
      <c r="C65" s="12" t="s">
        <v>55</v>
      </c>
      <c r="D65" s="12" t="s">
        <v>1327</v>
      </c>
      <c r="E65" s="12">
        <f>MAX(G65:Z65)</f>
        <v>5026</v>
      </c>
      <c r="F65" s="12" t="str">
        <f>VLOOKUP(B65,[1]lookup!A:B,2,FALSE)</f>
        <v>Term</v>
      </c>
      <c r="G65" s="12">
        <v>0</v>
      </c>
      <c r="H65" s="12">
        <v>50</v>
      </c>
      <c r="I65" s="12">
        <v>0</v>
      </c>
      <c r="J65" s="12">
        <v>50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5026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/>
      <c r="AC65" s="13">
        <f>M65*AC$2</f>
        <v>0</v>
      </c>
      <c r="AD65" s="13">
        <f>J65*AD$2</f>
        <v>12000</v>
      </c>
      <c r="AF65" s="13">
        <f>H65*AF$2</f>
        <v>31200</v>
      </c>
      <c r="AG65" s="13">
        <f>H65*AG$2</f>
        <v>6400</v>
      </c>
      <c r="AH65" s="13">
        <f>H65*AH$2</f>
        <v>24000</v>
      </c>
      <c r="AI65" s="13">
        <f>H65*$AI$2</f>
        <v>9850</v>
      </c>
      <c r="AK65" s="15">
        <f>H65*AK$2</f>
        <v>6000</v>
      </c>
      <c r="AL65" s="14">
        <f>SUM(AC65:AK65)</f>
        <v>89450</v>
      </c>
    </row>
    <row r="66" spans="1:38" x14ac:dyDescent="0.25">
      <c r="A66" s="12" t="s">
        <v>74</v>
      </c>
      <c r="B66" s="12" t="s">
        <v>201</v>
      </c>
      <c r="C66" s="12" t="s">
        <v>126</v>
      </c>
      <c r="D66" s="12" t="s">
        <v>1327</v>
      </c>
      <c r="E66" s="12">
        <f>MAX(G66:Z66)</f>
        <v>965</v>
      </c>
      <c r="F66" s="12" t="str">
        <f>VLOOKUP(B66,[1]lookup!A:B,2,FALSE)</f>
        <v>Perpetual</v>
      </c>
      <c r="G66" s="12">
        <v>0</v>
      </c>
      <c r="H66" s="12">
        <v>965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/>
      <c r="AC66" s="13">
        <f>M66*AC$2</f>
        <v>0</v>
      </c>
      <c r="AF66" s="13">
        <f>H66*AF$2</f>
        <v>602160</v>
      </c>
      <c r="AG66" s="13">
        <f>H66*AG$2</f>
        <v>123520</v>
      </c>
      <c r="AH66" s="13">
        <f>H66*AH$2</f>
        <v>463200</v>
      </c>
      <c r="AI66" s="13">
        <f>H66*$AI$2</f>
        <v>190105</v>
      </c>
      <c r="AJ66" s="13">
        <f>AJ$2*H66</f>
        <v>579000</v>
      </c>
      <c r="AK66" s="15">
        <f>H66*AK$2</f>
        <v>115800</v>
      </c>
      <c r="AL66" s="14">
        <f>SUM(AC66:AK66)</f>
        <v>2073785</v>
      </c>
    </row>
    <row r="67" spans="1:38" x14ac:dyDescent="0.25">
      <c r="A67" s="12" t="s">
        <v>74</v>
      </c>
      <c r="B67" s="12" t="s">
        <v>218</v>
      </c>
      <c r="C67" s="12" t="s">
        <v>126</v>
      </c>
      <c r="D67" s="12" t="s">
        <v>1327</v>
      </c>
      <c r="E67" s="12">
        <f>MAX(G67:Z67)</f>
        <v>851</v>
      </c>
      <c r="F67" s="12" t="str">
        <f>VLOOKUP(B67,[1]lookup!A:B,2,FALSE)</f>
        <v>Perpetual</v>
      </c>
      <c r="G67" s="12">
        <v>0</v>
      </c>
      <c r="H67" s="12">
        <v>850</v>
      </c>
      <c r="I67" s="12">
        <v>851</v>
      </c>
      <c r="J67" s="12">
        <v>850</v>
      </c>
      <c r="K67" s="12">
        <v>0</v>
      </c>
      <c r="L67" s="12">
        <v>600</v>
      </c>
      <c r="M67" s="12">
        <v>450</v>
      </c>
      <c r="N67" s="12">
        <v>0</v>
      </c>
      <c r="O67" s="12">
        <v>650</v>
      </c>
      <c r="P67" s="12">
        <v>200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/>
      <c r="AC67" s="13">
        <f>M67*AC$2</f>
        <v>108000</v>
      </c>
      <c r="AD67" s="13">
        <f>J67*AD$2</f>
        <v>204000</v>
      </c>
      <c r="AF67" s="13">
        <f>H67*AF$2</f>
        <v>530400</v>
      </c>
      <c r="AG67" s="13">
        <f>H67*AG$2</f>
        <v>108800</v>
      </c>
      <c r="AH67" s="13">
        <f>H67*AH$2</f>
        <v>408000</v>
      </c>
      <c r="AI67" s="13">
        <f>H67*$AI$2</f>
        <v>167450</v>
      </c>
      <c r="AL67" s="14">
        <f>SUM(AC67:AK67)</f>
        <v>1526650</v>
      </c>
    </row>
    <row r="68" spans="1:38" x14ac:dyDescent="0.25">
      <c r="A68" s="12" t="s">
        <v>74</v>
      </c>
      <c r="B68" s="12" t="s">
        <v>241</v>
      </c>
      <c r="C68" s="12" t="s">
        <v>126</v>
      </c>
      <c r="D68" s="12" t="s">
        <v>1327</v>
      </c>
      <c r="E68" s="12">
        <f>MAX(G68:Z68)</f>
        <v>750</v>
      </c>
      <c r="F68" s="12" t="str">
        <f>VLOOKUP(B68,[1]lookup!A:B,2,FALSE)</f>
        <v>Perpetual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379</v>
      </c>
      <c r="M68" s="12">
        <v>750</v>
      </c>
      <c r="N68" s="12">
        <v>0</v>
      </c>
      <c r="O68" s="12">
        <v>371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/>
      <c r="AC68" s="13">
        <f>M68*AC$2</f>
        <v>180000</v>
      </c>
      <c r="AL68" s="14">
        <f>SUM(AC68:AK68)</f>
        <v>180000</v>
      </c>
    </row>
    <row r="69" spans="1:38" x14ac:dyDescent="0.25">
      <c r="A69" s="12" t="s">
        <v>56</v>
      </c>
      <c r="B69" s="12" t="s">
        <v>57</v>
      </c>
      <c r="C69" s="12" t="s">
        <v>55</v>
      </c>
      <c r="D69" s="12" t="s">
        <v>1327</v>
      </c>
      <c r="E69" s="12">
        <f>MAX(G69:Z69)</f>
        <v>9554</v>
      </c>
      <c r="F69" s="12" t="str">
        <f>VLOOKUP(B69,[1]lookup!A:B,2,FALSE)</f>
        <v>SaaS</v>
      </c>
      <c r="G69" s="12">
        <v>1</v>
      </c>
      <c r="H69" s="12">
        <v>9554</v>
      </c>
      <c r="I69" s="12">
        <v>0</v>
      </c>
      <c r="J69" s="12">
        <v>9554</v>
      </c>
      <c r="K69" s="12">
        <v>9553</v>
      </c>
      <c r="L69" s="16">
        <v>1</v>
      </c>
      <c r="M69" s="12">
        <v>1</v>
      </c>
      <c r="N69" s="12">
        <v>0</v>
      </c>
      <c r="O69" s="12">
        <v>9554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/>
      <c r="AC69" s="13">
        <f>M69*AC$2</f>
        <v>240</v>
      </c>
      <c r="AF69" s="13">
        <f>H69*AF$2</f>
        <v>5961696</v>
      </c>
      <c r="AL69" s="14">
        <f>SUM(AC69:AK69)</f>
        <v>5961936</v>
      </c>
    </row>
    <row r="70" spans="1:38" x14ac:dyDescent="0.25">
      <c r="A70" s="12" t="s">
        <v>162</v>
      </c>
      <c r="B70" s="12" t="s">
        <v>163</v>
      </c>
      <c r="C70" s="12" t="s">
        <v>126</v>
      </c>
      <c r="D70" s="12" t="s">
        <v>1327</v>
      </c>
      <c r="E70" s="12">
        <f>MAX(G70:Z70)</f>
        <v>1201</v>
      </c>
      <c r="F70" s="12" t="str">
        <f>VLOOKUP(B70,[1]lookup!A:B,2,FALSE)</f>
        <v>Perpetual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500</v>
      </c>
      <c r="M70" s="12">
        <v>1201</v>
      </c>
      <c r="N70" s="12">
        <v>0</v>
      </c>
      <c r="O70" s="12">
        <v>1</v>
      </c>
      <c r="P70" s="12">
        <v>230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/>
      <c r="AC70" s="13">
        <f>M70*AC$2</f>
        <v>288240</v>
      </c>
      <c r="AL70" s="14">
        <f>SUM(AC70:AK70)</f>
        <v>288240</v>
      </c>
    </row>
    <row r="71" spans="1:38" hidden="1" x14ac:dyDescent="0.25">
      <c r="A71" s="12" t="s">
        <v>296</v>
      </c>
      <c r="B71" s="12" t="s">
        <v>297</v>
      </c>
      <c r="C71" s="12" t="s">
        <v>126</v>
      </c>
      <c r="D71" s="12"/>
      <c r="E71" s="12">
        <f>MAX(G71:Z71)</f>
        <v>512</v>
      </c>
      <c r="F71" s="12" t="s">
        <v>70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512</v>
      </c>
      <c r="X71" s="12">
        <v>0</v>
      </c>
      <c r="Y71" s="12">
        <v>0</v>
      </c>
      <c r="Z71" s="12">
        <v>0</v>
      </c>
      <c r="AA71" s="12"/>
      <c r="AC71" s="13">
        <f>M71*AC$2</f>
        <v>0</v>
      </c>
      <c r="AL71" s="14">
        <f>SUM(AC71:AK71)</f>
        <v>0</v>
      </c>
    </row>
    <row r="72" spans="1:38" hidden="1" x14ac:dyDescent="0.25">
      <c r="A72" s="12" t="s">
        <v>49</v>
      </c>
      <c r="B72" s="12" t="s">
        <v>50</v>
      </c>
      <c r="C72" s="12" t="s">
        <v>48</v>
      </c>
      <c r="D72" s="12"/>
      <c r="E72" s="12">
        <f>MAX(G72:Z72)</f>
        <v>13270</v>
      </c>
      <c r="F72" s="12" t="str">
        <f>VLOOKUP(B72,[1]lookup!A:B,2,FALSE)</f>
        <v>Term</v>
      </c>
      <c r="G72" s="12">
        <v>0</v>
      </c>
      <c r="H72" s="12">
        <v>13270</v>
      </c>
      <c r="I72" s="12">
        <v>18</v>
      </c>
      <c r="J72" s="12">
        <v>6659</v>
      </c>
      <c r="K72" s="12">
        <v>4941</v>
      </c>
      <c r="L72" s="12">
        <v>6659</v>
      </c>
      <c r="M72" s="12">
        <v>905</v>
      </c>
      <c r="N72" s="12">
        <v>0</v>
      </c>
      <c r="O72" s="12">
        <v>7255</v>
      </c>
      <c r="P72" s="12">
        <v>3700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C72" s="13">
        <f>M72*AC$2</f>
        <v>217200</v>
      </c>
      <c r="AF72" s="13">
        <f>H72*AF$2</f>
        <v>8280480</v>
      </c>
      <c r="AG72" s="13">
        <f>H72*AG$2</f>
        <v>1698560</v>
      </c>
      <c r="AH72" s="13">
        <f>H72*AH$2</f>
        <v>6369600</v>
      </c>
      <c r="AI72" s="13">
        <f>H72*$AI$2</f>
        <v>2614190</v>
      </c>
      <c r="AL72" s="14">
        <f>SUM(AC72:AK72)</f>
        <v>19180030</v>
      </c>
    </row>
    <row r="73" spans="1:38" hidden="1" x14ac:dyDescent="0.25">
      <c r="A73" s="12" t="s">
        <v>49</v>
      </c>
      <c r="B73" s="12" t="s">
        <v>83</v>
      </c>
      <c r="C73" s="12" t="s">
        <v>126</v>
      </c>
      <c r="D73" s="12"/>
      <c r="E73" s="12">
        <f>MAX(G73:Z73)</f>
        <v>2020</v>
      </c>
      <c r="F73" s="12" t="str">
        <f>VLOOKUP(B73,[1]lookup!A:B,2,FALSE)</f>
        <v>Term</v>
      </c>
      <c r="G73" s="12">
        <v>0</v>
      </c>
      <c r="H73" s="12">
        <v>2020</v>
      </c>
      <c r="I73" s="12">
        <v>2016</v>
      </c>
      <c r="J73" s="12">
        <v>1741</v>
      </c>
      <c r="K73" s="12">
        <v>0</v>
      </c>
      <c r="L73" s="12">
        <v>0</v>
      </c>
      <c r="M73" s="12">
        <v>0</v>
      </c>
      <c r="N73" s="12">
        <v>0</v>
      </c>
      <c r="O73" s="12">
        <v>1741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700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/>
      <c r="AC73" s="13">
        <f>M73*AC$2</f>
        <v>0</v>
      </c>
      <c r="AD73" s="13">
        <f>J73*AD$2</f>
        <v>417840</v>
      </c>
      <c r="AE73" s="13">
        <f>J73*AE$2</f>
        <v>208920</v>
      </c>
      <c r="AF73" s="13">
        <f>H73*AF$2</f>
        <v>1260480</v>
      </c>
      <c r="AG73" s="13">
        <f>H73*AG$2</f>
        <v>258560</v>
      </c>
      <c r="AH73" s="13">
        <f>H73*AH$2</f>
        <v>969600</v>
      </c>
      <c r="AI73" s="13">
        <f>H73*$AI$2</f>
        <v>397940</v>
      </c>
      <c r="AJ73" s="13">
        <f>AJ$2*H73</f>
        <v>1212000</v>
      </c>
      <c r="AL73" s="14">
        <f>SUM(AC73:AK73)</f>
        <v>4725340</v>
      </c>
    </row>
    <row r="74" spans="1:38" hidden="1" x14ac:dyDescent="0.25">
      <c r="A74" s="12" t="s">
        <v>49</v>
      </c>
      <c r="B74" s="12" t="s">
        <v>212</v>
      </c>
      <c r="C74" s="12" t="s">
        <v>126</v>
      </c>
      <c r="D74" s="12"/>
      <c r="E74" s="12">
        <f>MAX(G74:Z74)</f>
        <v>885</v>
      </c>
      <c r="F74" s="12" t="str">
        <f>VLOOKUP(B74,[1]lookup!A:B,2,FALSE)</f>
        <v>Perpetual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885</v>
      </c>
      <c r="N74" s="12">
        <v>0</v>
      </c>
      <c r="O74" s="12">
        <v>885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/>
      <c r="AC74" s="13">
        <f>M74*AC$2</f>
        <v>212400</v>
      </c>
      <c r="AL74" s="14">
        <f>SUM(AC74:AK74)</f>
        <v>212400</v>
      </c>
    </row>
    <row r="75" spans="1:38" x14ac:dyDescent="0.25">
      <c r="A75" s="12" t="s">
        <v>49</v>
      </c>
      <c r="B75" s="12" t="s">
        <v>273</v>
      </c>
      <c r="C75" s="12" t="s">
        <v>126</v>
      </c>
      <c r="D75" s="12" t="s">
        <v>1327</v>
      </c>
      <c r="E75" s="12">
        <f>MAX(G75:Z75)</f>
        <v>600</v>
      </c>
      <c r="F75" s="12" t="s">
        <v>70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600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/>
      <c r="AC75" s="13">
        <f>M75*AC$2</f>
        <v>0</v>
      </c>
      <c r="AL75" s="14">
        <f>SUM(AC75:AK75)</f>
        <v>0</v>
      </c>
    </row>
    <row r="76" spans="1:38" x14ac:dyDescent="0.25">
      <c r="A76" s="12" t="s">
        <v>97</v>
      </c>
      <c r="B76" s="12" t="s">
        <v>98</v>
      </c>
      <c r="C76" s="12" t="s">
        <v>82</v>
      </c>
      <c r="D76" s="12" t="s">
        <v>1327</v>
      </c>
      <c r="E76" s="12">
        <f>MAX(G76:Z76)</f>
        <v>2960</v>
      </c>
      <c r="F76" s="12" t="str">
        <f>VLOOKUP(B76,[1]lookup!A:B,2,FALSE)</f>
        <v>SaaS</v>
      </c>
      <c r="G76" s="12">
        <v>255</v>
      </c>
      <c r="H76" s="12">
        <v>2960</v>
      </c>
      <c r="I76" s="12">
        <v>0</v>
      </c>
      <c r="J76" s="12">
        <v>1625</v>
      </c>
      <c r="K76" s="12">
        <v>255</v>
      </c>
      <c r="L76" s="12">
        <v>0</v>
      </c>
      <c r="M76" s="12">
        <v>1453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/>
      <c r="AC76" s="13">
        <f>M76*AC$2</f>
        <v>348720</v>
      </c>
      <c r="AF76" s="13">
        <f>H76*AF$2</f>
        <v>1847040</v>
      </c>
      <c r="AL76" s="14">
        <f>SUM(AC76:AK76)</f>
        <v>2195760</v>
      </c>
    </row>
    <row r="77" spans="1:38" x14ac:dyDescent="0.25">
      <c r="A77" s="12" t="s">
        <v>244</v>
      </c>
      <c r="B77" s="12" t="s">
        <v>245</v>
      </c>
      <c r="C77" s="12" t="s">
        <v>126</v>
      </c>
      <c r="D77" s="12" t="s">
        <v>1327</v>
      </c>
      <c r="E77" s="12">
        <f>MAX(G77:Z77)</f>
        <v>745</v>
      </c>
      <c r="F77" s="12" t="str">
        <f>VLOOKUP(B77,[1]lookup!A:B,2,FALSE)</f>
        <v>SaaS</v>
      </c>
      <c r="G77" s="12">
        <v>0</v>
      </c>
      <c r="H77" s="12">
        <v>745</v>
      </c>
      <c r="I77" s="12">
        <v>1</v>
      </c>
      <c r="J77" s="12">
        <v>381</v>
      </c>
      <c r="K77" s="12">
        <v>381</v>
      </c>
      <c r="L77" s="12">
        <v>0</v>
      </c>
      <c r="M77" s="12">
        <v>497</v>
      </c>
      <c r="N77" s="12">
        <v>0</v>
      </c>
      <c r="O77" s="12">
        <v>381</v>
      </c>
      <c r="P77" s="12">
        <v>501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/>
      <c r="AC77" s="13">
        <f>M77*AC$2</f>
        <v>119280</v>
      </c>
      <c r="AF77" s="13">
        <f>H77*AF$2</f>
        <v>464880</v>
      </c>
      <c r="AL77" s="14">
        <f>SUM(AC77:AK77)</f>
        <v>584160</v>
      </c>
    </row>
    <row r="78" spans="1:38" x14ac:dyDescent="0.25">
      <c r="A78" s="12" t="s">
        <v>244</v>
      </c>
      <c r="B78" s="12" t="s">
        <v>303</v>
      </c>
      <c r="C78" s="12" t="s">
        <v>126</v>
      </c>
      <c r="D78" s="12" t="s">
        <v>1327</v>
      </c>
      <c r="E78" s="12">
        <f>MAX(G78:Z78)</f>
        <v>501</v>
      </c>
      <c r="F78" s="12" t="str">
        <f>VLOOKUP(B78,[1]lookup!A:B,2,FALSE)</f>
        <v>Term</v>
      </c>
      <c r="G78" s="12">
        <v>0</v>
      </c>
      <c r="H78" s="12">
        <v>342</v>
      </c>
      <c r="I78" s="12">
        <v>501</v>
      </c>
      <c r="J78" s="12">
        <v>205</v>
      </c>
      <c r="K78" s="12">
        <v>0</v>
      </c>
      <c r="L78" s="12">
        <v>183</v>
      </c>
      <c r="M78" s="12">
        <v>190</v>
      </c>
      <c r="N78" s="12">
        <v>0</v>
      </c>
      <c r="O78" s="12">
        <v>205</v>
      </c>
      <c r="P78" s="12">
        <v>177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/>
      <c r="AC78" s="13">
        <f>M78*AC$2</f>
        <v>45600</v>
      </c>
      <c r="AD78" s="13">
        <f>J78*AD$2</f>
        <v>49200</v>
      </c>
      <c r="AF78" s="13">
        <f>H78*AF$2</f>
        <v>213408</v>
      </c>
      <c r="AG78" s="13">
        <f>H78*AG$2</f>
        <v>43776</v>
      </c>
      <c r="AH78" s="13">
        <f>H78*AH$2</f>
        <v>164160</v>
      </c>
      <c r="AI78" s="13">
        <f>H78*$AI$2</f>
        <v>67374</v>
      </c>
      <c r="AL78" s="14">
        <f>SUM(AC78:AK78)</f>
        <v>583518</v>
      </c>
    </row>
    <row r="79" spans="1:38" x14ac:dyDescent="0.25">
      <c r="A79" s="12" t="s">
        <v>46</v>
      </c>
      <c r="B79" s="12" t="s">
        <v>47</v>
      </c>
      <c r="C79" s="12" t="s">
        <v>48</v>
      </c>
      <c r="D79" s="12" t="s">
        <v>1327</v>
      </c>
      <c r="E79" s="12">
        <f>MAX(G79:Z79)</f>
        <v>20700</v>
      </c>
      <c r="F79" s="12" t="str">
        <f>VLOOKUP(B79,[1]lookup!A:B,2,FALSE)</f>
        <v>SaaS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20700</v>
      </c>
      <c r="N79" s="12">
        <v>0</v>
      </c>
      <c r="O79" s="12">
        <v>20700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C79" s="13">
        <f>M79*AC$2</f>
        <v>4968000</v>
      </c>
      <c r="AL79" s="14">
        <f>SUM(AC79:AK79)</f>
        <v>4968000</v>
      </c>
    </row>
    <row r="80" spans="1:38" x14ac:dyDescent="0.25">
      <c r="A80" s="12" t="s">
        <v>46</v>
      </c>
      <c r="B80" s="12" t="s">
        <v>54</v>
      </c>
      <c r="C80" s="12" t="s">
        <v>55</v>
      </c>
      <c r="D80" s="12" t="s">
        <v>1327</v>
      </c>
      <c r="E80" s="12">
        <f>MAX(G80:Z80)</f>
        <v>5401</v>
      </c>
      <c r="F80" s="12" t="str">
        <f>VLOOKUP(B80,[1]lookup!A:B,2,FALSE)</f>
        <v>SaaS</v>
      </c>
      <c r="G80" s="12">
        <v>0</v>
      </c>
      <c r="H80" s="12">
        <v>5401</v>
      </c>
      <c r="I80" s="12">
        <v>0</v>
      </c>
      <c r="J80" s="12">
        <v>5400</v>
      </c>
      <c r="K80" s="12">
        <v>5400</v>
      </c>
      <c r="L80" s="12">
        <v>5400</v>
      </c>
      <c r="M80" s="12">
        <v>5400</v>
      </c>
      <c r="N80" s="12">
        <v>0</v>
      </c>
      <c r="O80" s="12">
        <v>5400</v>
      </c>
      <c r="P80" s="12">
        <v>5400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/>
      <c r="AC80" s="13">
        <f>M80*AC$2</f>
        <v>1296000</v>
      </c>
      <c r="AF80" s="13">
        <f>H80*AF$2</f>
        <v>3370224</v>
      </c>
      <c r="AL80" s="14">
        <f>SUM(AC80:AK80)</f>
        <v>4666224</v>
      </c>
    </row>
    <row r="81" spans="1:38" x14ac:dyDescent="0.25">
      <c r="A81" s="12" t="s">
        <v>46</v>
      </c>
      <c r="B81" s="12" t="s">
        <v>66</v>
      </c>
      <c r="C81" s="12" t="s">
        <v>82</v>
      </c>
      <c r="D81" s="12" t="s">
        <v>1327</v>
      </c>
      <c r="E81" s="12">
        <f>MAX(G81:Z81)</f>
        <v>3850</v>
      </c>
      <c r="F81" s="12" t="str">
        <f>VLOOKUP(B81,[1]lookup!A:B,2,FALSE)</f>
        <v>Term</v>
      </c>
      <c r="G81" s="12">
        <v>0</v>
      </c>
      <c r="H81" s="12">
        <v>0</v>
      </c>
      <c r="I81" s="12">
        <v>0</v>
      </c>
      <c r="J81" s="12">
        <v>150</v>
      </c>
      <c r="K81" s="12">
        <v>2400</v>
      </c>
      <c r="L81" s="12">
        <v>3850</v>
      </c>
      <c r="M81" s="12">
        <v>3850</v>
      </c>
      <c r="N81" s="12">
        <v>0</v>
      </c>
      <c r="O81" s="12">
        <v>3850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/>
      <c r="AC81" s="13">
        <f>M81*AC$2</f>
        <v>924000</v>
      </c>
      <c r="AL81" s="14">
        <f>SUM(AC81:AK81)</f>
        <v>924000</v>
      </c>
    </row>
    <row r="82" spans="1:38" x14ac:dyDescent="0.25">
      <c r="A82" s="12" t="s">
        <v>46</v>
      </c>
      <c r="B82" s="12" t="s">
        <v>88</v>
      </c>
      <c r="C82" s="12" t="s">
        <v>82</v>
      </c>
      <c r="D82" s="12" t="s">
        <v>1327</v>
      </c>
      <c r="E82" s="12">
        <f>MAX(G82:Z82)</f>
        <v>3577</v>
      </c>
      <c r="F82" s="12" t="str">
        <f>VLOOKUP(B82,[1]lookup!A:B,2,FALSE)</f>
        <v>Term</v>
      </c>
      <c r="G82" s="12">
        <v>0</v>
      </c>
      <c r="H82" s="12">
        <v>3577</v>
      </c>
      <c r="I82" s="12">
        <v>2289</v>
      </c>
      <c r="J82" s="12">
        <v>212</v>
      </c>
      <c r="K82" s="12">
        <v>0</v>
      </c>
      <c r="L82" s="17">
        <v>0</v>
      </c>
      <c r="M82" s="12">
        <v>200</v>
      </c>
      <c r="N82" s="12">
        <v>0</v>
      </c>
      <c r="O82" s="12">
        <v>212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/>
      <c r="AC82" s="13">
        <f>M82*AC$2</f>
        <v>48000</v>
      </c>
      <c r="AD82" s="13">
        <f>J82*AD$2</f>
        <v>50880</v>
      </c>
      <c r="AE82" s="13">
        <f>J82*AE$2</f>
        <v>25440</v>
      </c>
      <c r="AF82" s="13">
        <f>H82*AF$2</f>
        <v>2232048</v>
      </c>
      <c r="AG82" s="13">
        <f>H82*AG$2</f>
        <v>457856</v>
      </c>
      <c r="AH82" s="13">
        <f>H82*AH$2</f>
        <v>1716960</v>
      </c>
      <c r="AI82" s="13">
        <f>H82*$AI$2</f>
        <v>704669</v>
      </c>
      <c r="AJ82" s="13">
        <f>AJ$2*H82</f>
        <v>2146200</v>
      </c>
      <c r="AL82" s="14">
        <f>SUM(AC82:AK82)</f>
        <v>7382053</v>
      </c>
    </row>
    <row r="83" spans="1:38" x14ac:dyDescent="0.25">
      <c r="A83" s="12" t="s">
        <v>46</v>
      </c>
      <c r="B83" s="12" t="s">
        <v>96</v>
      </c>
      <c r="C83" s="12" t="s">
        <v>82</v>
      </c>
      <c r="D83" s="12" t="s">
        <v>1327</v>
      </c>
      <c r="E83" s="12">
        <f>MAX(G83:Z83)</f>
        <v>3117</v>
      </c>
      <c r="F83" s="12" t="str">
        <f>VLOOKUP(B83,[1]lookup!A:B,2,FALSE)</f>
        <v>Perpetual</v>
      </c>
      <c r="G83" s="12">
        <v>0</v>
      </c>
      <c r="H83" s="12">
        <v>3117</v>
      </c>
      <c r="I83" s="12">
        <v>3117</v>
      </c>
      <c r="J83" s="12">
        <v>3117</v>
      </c>
      <c r="K83" s="12">
        <v>907</v>
      </c>
      <c r="L83" s="12">
        <v>0</v>
      </c>
      <c r="M83" s="12">
        <v>2517</v>
      </c>
      <c r="N83" s="12">
        <v>0</v>
      </c>
      <c r="O83" s="12">
        <v>0</v>
      </c>
      <c r="P83" s="12">
        <v>2517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/>
      <c r="AC83" s="13">
        <f>M83*AC$2</f>
        <v>604080</v>
      </c>
      <c r="AF83" s="13">
        <f>H83*AF$2</f>
        <v>1945008</v>
      </c>
      <c r="AG83" s="13">
        <f>H83*AG$2</f>
        <v>398976</v>
      </c>
      <c r="AH83" s="13">
        <f>H83*AH$2</f>
        <v>1496160</v>
      </c>
      <c r="AI83" s="13">
        <f>H83*$AI$2</f>
        <v>614049</v>
      </c>
      <c r="AL83" s="14">
        <f>SUM(AC83:AK83)</f>
        <v>5058273</v>
      </c>
    </row>
    <row r="84" spans="1:38" x14ac:dyDescent="0.25">
      <c r="A84" s="12" t="s">
        <v>46</v>
      </c>
      <c r="B84" s="12" t="s">
        <v>142</v>
      </c>
      <c r="C84" s="12" t="s">
        <v>126</v>
      </c>
      <c r="D84" s="12" t="s">
        <v>1327</v>
      </c>
      <c r="E84" s="12">
        <f>MAX(G84:Z84)</f>
        <v>1610</v>
      </c>
      <c r="F84" s="12" t="str">
        <f>VLOOKUP(B84,[1]lookup!A:B,2,FALSE)</f>
        <v>Term</v>
      </c>
      <c r="G84" s="12">
        <v>0</v>
      </c>
      <c r="H84" s="12">
        <v>0</v>
      </c>
      <c r="I84" s="12">
        <v>0</v>
      </c>
      <c r="J84" s="12">
        <v>1610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/>
      <c r="AC84" s="13">
        <f>M84*AC$2</f>
        <v>0</v>
      </c>
      <c r="AD84" s="13">
        <f>J84*AD$2</f>
        <v>386400</v>
      </c>
      <c r="AE84" s="13">
        <f>J84*AE$2</f>
        <v>193200</v>
      </c>
      <c r="AL84" s="14">
        <f>SUM(AC84:AK84)</f>
        <v>579600</v>
      </c>
    </row>
    <row r="85" spans="1:38" x14ac:dyDescent="0.25">
      <c r="A85" s="12" t="s">
        <v>46</v>
      </c>
      <c r="B85" s="12" t="s">
        <v>160</v>
      </c>
      <c r="C85" s="12" t="s">
        <v>126</v>
      </c>
      <c r="D85" s="12" t="s">
        <v>1327</v>
      </c>
      <c r="E85" s="12">
        <f>MAX(G85:Z85)</f>
        <v>1210</v>
      </c>
      <c r="F85" s="12" t="str">
        <f>VLOOKUP(B85,[1]lookup!A:B,2,FALSE)</f>
        <v>Perpetual</v>
      </c>
      <c r="G85" s="12">
        <v>0</v>
      </c>
      <c r="H85" s="12">
        <v>0</v>
      </c>
      <c r="I85" s="12">
        <v>0</v>
      </c>
      <c r="J85" s="12">
        <v>0</v>
      </c>
      <c r="K85" s="12">
        <v>1210</v>
      </c>
      <c r="L85" s="12">
        <v>0</v>
      </c>
      <c r="M85" s="12">
        <v>1</v>
      </c>
      <c r="N85" s="12">
        <v>0</v>
      </c>
      <c r="O85" s="12">
        <v>1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/>
      <c r="AC85" s="13">
        <f>M85*AC$2</f>
        <v>240</v>
      </c>
      <c r="AL85" s="14">
        <f>SUM(AC85:AK85)</f>
        <v>240</v>
      </c>
    </row>
    <row r="86" spans="1:38" x14ac:dyDescent="0.25">
      <c r="A86" s="12" t="s">
        <v>46</v>
      </c>
      <c r="B86" s="12" t="s">
        <v>225</v>
      </c>
      <c r="C86" s="12" t="s">
        <v>126</v>
      </c>
      <c r="D86" s="12" t="s">
        <v>1327</v>
      </c>
      <c r="E86" s="12">
        <f>MAX(G86:Z86)</f>
        <v>825</v>
      </c>
      <c r="F86" s="12" t="str">
        <f>VLOOKUP(B86,[1]lookup!A:B,2,FALSE)</f>
        <v>Perpetual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7">
        <v>825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/>
      <c r="AC86" s="13">
        <f>M86*AC$2</f>
        <v>0</v>
      </c>
      <c r="AL86" s="14">
        <f>SUM(AC86:AK86)</f>
        <v>0</v>
      </c>
    </row>
    <row r="87" spans="1:38" x14ac:dyDescent="0.25">
      <c r="A87" s="12" t="s">
        <v>46</v>
      </c>
      <c r="B87" s="12" t="s">
        <v>236</v>
      </c>
      <c r="C87" s="12" t="s">
        <v>126</v>
      </c>
      <c r="D87" s="12" t="s">
        <v>1327</v>
      </c>
      <c r="E87" s="12">
        <f>MAX(G87:Z87)</f>
        <v>780</v>
      </c>
      <c r="F87" s="12" t="str">
        <f>VLOOKUP(B87,[1]lookup!A:B,2,FALSE)</f>
        <v>Perpetual</v>
      </c>
      <c r="G87" s="12">
        <v>0</v>
      </c>
      <c r="H87" s="12">
        <v>40</v>
      </c>
      <c r="I87" s="12">
        <v>780</v>
      </c>
      <c r="J87" s="12">
        <v>40</v>
      </c>
      <c r="K87" s="12">
        <v>0</v>
      </c>
      <c r="L87" s="12">
        <v>0</v>
      </c>
      <c r="M87" s="12">
        <v>40</v>
      </c>
      <c r="N87" s="12">
        <v>0</v>
      </c>
      <c r="O87" s="12">
        <v>780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/>
      <c r="AC87" s="13">
        <f>M87*AC$2</f>
        <v>9600</v>
      </c>
      <c r="AD87" s="13">
        <f>J87*AD$2</f>
        <v>9600</v>
      </c>
      <c r="AE87" s="13">
        <f>J87*AE$2</f>
        <v>4800</v>
      </c>
      <c r="AF87" s="13">
        <f>H87*AF$2</f>
        <v>24960</v>
      </c>
      <c r="AG87" s="13">
        <f>H87*AG$2</f>
        <v>5120</v>
      </c>
      <c r="AH87" s="13">
        <f>H87*AH$2</f>
        <v>19200</v>
      </c>
      <c r="AI87" s="13">
        <f>H87*$AI$2</f>
        <v>7880</v>
      </c>
      <c r="AJ87" s="13">
        <f>AJ$2*H87</f>
        <v>24000</v>
      </c>
      <c r="AL87" s="14">
        <f>SUM(AC87:AK87)</f>
        <v>105160</v>
      </c>
    </row>
    <row r="88" spans="1:38" x14ac:dyDescent="0.25">
      <c r="A88" s="12" t="s">
        <v>46</v>
      </c>
      <c r="B88" s="12" t="s">
        <v>153</v>
      </c>
      <c r="C88" s="12" t="s">
        <v>126</v>
      </c>
      <c r="D88" s="12" t="s">
        <v>1327</v>
      </c>
      <c r="E88" s="12">
        <f>MAX(G88:Z88)</f>
        <v>695</v>
      </c>
      <c r="F88" s="12" t="str">
        <f>VLOOKUP(B88,[1]lookup!A:B,2,FALSE)</f>
        <v>Perpetual</v>
      </c>
      <c r="G88" s="12">
        <v>0</v>
      </c>
      <c r="H88" s="12">
        <v>0</v>
      </c>
      <c r="I88" s="12">
        <v>695</v>
      </c>
      <c r="J88" s="12">
        <v>0</v>
      </c>
      <c r="K88" s="12">
        <v>0</v>
      </c>
      <c r="L88" s="12">
        <v>0</v>
      </c>
      <c r="M88" s="12">
        <v>1</v>
      </c>
      <c r="N88" s="12">
        <v>0</v>
      </c>
      <c r="O88" s="12">
        <v>1</v>
      </c>
      <c r="P88" s="12">
        <v>695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/>
      <c r="AC88" s="13">
        <f>M88*AC$2</f>
        <v>240</v>
      </c>
      <c r="AL88" s="14">
        <f>SUM(AC88:AK88)</f>
        <v>240</v>
      </c>
    </row>
    <row r="89" spans="1:38" x14ac:dyDescent="0.25">
      <c r="A89" s="12" t="s">
        <v>46</v>
      </c>
      <c r="B89" s="12" t="s">
        <v>218</v>
      </c>
      <c r="C89" s="12" t="s">
        <v>126</v>
      </c>
      <c r="D89" s="12" t="s">
        <v>1327</v>
      </c>
      <c r="E89" s="12">
        <f>MAX(G89:Z89)</f>
        <v>600</v>
      </c>
      <c r="F89" s="12" t="str">
        <f>VLOOKUP(B89,[1]lookup!A:B,2,FALSE)</f>
        <v>Perpetual</v>
      </c>
      <c r="G89" s="12">
        <v>0</v>
      </c>
      <c r="H89" s="12">
        <v>0</v>
      </c>
      <c r="I89" s="12">
        <v>600</v>
      </c>
      <c r="J89" s="12">
        <v>600</v>
      </c>
      <c r="K89" s="12">
        <v>0</v>
      </c>
      <c r="L89" s="12">
        <v>600</v>
      </c>
      <c r="M89" s="12">
        <v>200</v>
      </c>
      <c r="N89" s="12">
        <v>0</v>
      </c>
      <c r="O89" s="12">
        <v>0</v>
      </c>
      <c r="P89" s="12">
        <v>150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/>
      <c r="AC89" s="13">
        <f>M89*AC$2</f>
        <v>48000</v>
      </c>
      <c r="AD89" s="13">
        <f>J89*AD$2</f>
        <v>144000</v>
      </c>
      <c r="AL89" s="14">
        <f>SUM(AC89:AK89)</f>
        <v>192000</v>
      </c>
    </row>
    <row r="90" spans="1:38" x14ac:dyDescent="0.25">
      <c r="A90" s="12" t="s">
        <v>46</v>
      </c>
      <c r="B90" s="12" t="s">
        <v>286</v>
      </c>
      <c r="C90" s="12" t="s">
        <v>126</v>
      </c>
      <c r="D90" s="12" t="s">
        <v>1327</v>
      </c>
      <c r="E90" s="12">
        <f>MAX(G90:Z90)</f>
        <v>558</v>
      </c>
      <c r="F90" s="12" t="str">
        <f>VLOOKUP(B90,[1]lookup!A:B,2,FALSE)</f>
        <v>Perpetual</v>
      </c>
      <c r="G90" s="12">
        <v>0</v>
      </c>
      <c r="H90" s="12">
        <v>557</v>
      </c>
      <c r="I90" s="12">
        <v>558</v>
      </c>
      <c r="J90" s="12">
        <v>0</v>
      </c>
      <c r="K90" s="12">
        <v>0</v>
      </c>
      <c r="L90" s="12">
        <v>0</v>
      </c>
      <c r="M90" s="12">
        <v>1</v>
      </c>
      <c r="N90" s="12">
        <v>0</v>
      </c>
      <c r="O90" s="12">
        <v>1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/>
      <c r="AC90" s="13">
        <f>M90*AC$2</f>
        <v>240</v>
      </c>
      <c r="AF90" s="13">
        <f>H90*AF$2</f>
        <v>347568</v>
      </c>
      <c r="AG90" s="13">
        <f>H90*AG$2</f>
        <v>71296</v>
      </c>
      <c r="AH90" s="13">
        <f>H90*AH$2</f>
        <v>267360</v>
      </c>
      <c r="AI90" s="13">
        <f>H90*$AI$2</f>
        <v>109729</v>
      </c>
      <c r="AJ90" s="13">
        <f>AJ$2*H90</f>
        <v>334200</v>
      </c>
      <c r="AL90" s="14">
        <f>SUM(AC90:AK90)</f>
        <v>1130393</v>
      </c>
    </row>
    <row r="91" spans="1:38" x14ac:dyDescent="0.25">
      <c r="A91" s="12" t="s">
        <v>46</v>
      </c>
      <c r="B91" s="12" t="s">
        <v>293</v>
      </c>
      <c r="C91" s="12" t="s">
        <v>126</v>
      </c>
      <c r="D91" s="12" t="s">
        <v>1327</v>
      </c>
      <c r="E91" s="12">
        <f>MAX(G91:Z91)</f>
        <v>500</v>
      </c>
      <c r="F91" s="12" t="str">
        <f>VLOOKUP(B91,[1]lookup!A:B,2,FALSE)</f>
        <v>Perpetual</v>
      </c>
      <c r="G91" s="12">
        <v>0</v>
      </c>
      <c r="H91" s="12">
        <v>500</v>
      </c>
      <c r="I91" s="12">
        <v>301</v>
      </c>
      <c r="J91" s="12">
        <v>0</v>
      </c>
      <c r="K91" s="12">
        <v>0</v>
      </c>
      <c r="L91" s="12">
        <v>31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/>
      <c r="AC91" s="13">
        <f>M91*AC$2</f>
        <v>0</v>
      </c>
      <c r="AF91" s="13">
        <f>H91*AF$2</f>
        <v>312000</v>
      </c>
      <c r="AG91" s="13">
        <f>H91*AG$2</f>
        <v>64000</v>
      </c>
      <c r="AH91" s="13">
        <f>H91*AH$2</f>
        <v>240000</v>
      </c>
      <c r="AI91" s="13">
        <f>H91*$AI$2</f>
        <v>98500</v>
      </c>
      <c r="AJ91" s="13">
        <f>AJ$2*H91</f>
        <v>300000</v>
      </c>
      <c r="AL91" s="14">
        <f>SUM(AC91:AK91)</f>
        <v>1014500</v>
      </c>
    </row>
    <row r="92" spans="1:38" hidden="1" x14ac:dyDescent="0.25">
      <c r="A92" s="12" t="s">
        <v>90</v>
      </c>
      <c r="B92" s="12" t="s">
        <v>91</v>
      </c>
      <c r="C92" s="12" t="s">
        <v>82</v>
      </c>
      <c r="D92" s="12"/>
      <c r="E92" s="12">
        <f>MAX(G92:Z92)</f>
        <v>3434</v>
      </c>
      <c r="F92" s="12" t="str">
        <f>VLOOKUP(B92,[1]lookup!A:B,2,FALSE)</f>
        <v>Term</v>
      </c>
      <c r="G92" s="12">
        <v>0</v>
      </c>
      <c r="H92" s="12">
        <v>1522</v>
      </c>
      <c r="I92" s="12">
        <v>675</v>
      </c>
      <c r="J92" s="12">
        <v>1522</v>
      </c>
      <c r="K92" s="12">
        <v>0</v>
      </c>
      <c r="L92" s="12">
        <v>0</v>
      </c>
      <c r="M92" s="12">
        <v>2391</v>
      </c>
      <c r="N92" s="12">
        <v>0</v>
      </c>
      <c r="O92" s="12">
        <v>3434</v>
      </c>
      <c r="P92" s="12">
        <v>286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/>
      <c r="AC92" s="13">
        <f>M92*AC$2</f>
        <v>573840</v>
      </c>
      <c r="AD92" s="13">
        <f>J92*AD$2</f>
        <v>365280</v>
      </c>
      <c r="AF92" s="13">
        <f>H92*AF$2</f>
        <v>949728</v>
      </c>
      <c r="AG92" s="13">
        <f>H92*AG$2</f>
        <v>194816</v>
      </c>
      <c r="AH92" s="13">
        <f>H92*AH$2</f>
        <v>730560</v>
      </c>
      <c r="AI92" s="13">
        <f>H92*$AI$2</f>
        <v>299834</v>
      </c>
      <c r="AL92" s="14">
        <f>SUM(AC92:AK92)</f>
        <v>3114058</v>
      </c>
    </row>
    <row r="93" spans="1:38" x14ac:dyDescent="0.25">
      <c r="A93" s="12" t="s">
        <v>62</v>
      </c>
      <c r="B93" s="12" t="s">
        <v>63</v>
      </c>
      <c r="C93" s="12" t="s">
        <v>55</v>
      </c>
      <c r="D93" s="12" t="s">
        <v>1327</v>
      </c>
      <c r="E93" s="12">
        <f>MAX(G93:Z93)</f>
        <v>7143</v>
      </c>
      <c r="F93" s="12" t="str">
        <f>VLOOKUP(B93,[1]lookup!A:B,2,FALSE)</f>
        <v>Term</v>
      </c>
      <c r="G93" s="12">
        <v>0</v>
      </c>
      <c r="H93" s="12">
        <v>5065</v>
      </c>
      <c r="I93" s="12">
        <v>819</v>
      </c>
      <c r="J93" s="12">
        <v>7143</v>
      </c>
      <c r="K93" s="12">
        <v>0</v>
      </c>
      <c r="L93" s="17">
        <v>0</v>
      </c>
      <c r="M93" s="12">
        <v>0</v>
      </c>
      <c r="N93" s="12">
        <v>0</v>
      </c>
      <c r="O93" s="12">
        <v>0</v>
      </c>
      <c r="P93" s="12">
        <v>6146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/>
      <c r="AC93" s="13">
        <f>M93*AC$2</f>
        <v>0</v>
      </c>
      <c r="AD93" s="13">
        <f>J93*AD$2</f>
        <v>1714320</v>
      </c>
      <c r="AF93" s="13">
        <f>H93*AF$2</f>
        <v>3160560</v>
      </c>
      <c r="AG93" s="13">
        <f>H93*AG$2</f>
        <v>648320</v>
      </c>
      <c r="AH93" s="13">
        <f>H93*AH$2</f>
        <v>2431200</v>
      </c>
      <c r="AI93" s="13">
        <f>H93*$AI$2</f>
        <v>997805</v>
      </c>
      <c r="AL93" s="14">
        <f>SUM(AC93:AK93)</f>
        <v>8952205</v>
      </c>
    </row>
    <row r="94" spans="1:38" x14ac:dyDescent="0.25">
      <c r="A94" s="12" t="s">
        <v>62</v>
      </c>
      <c r="B94" s="12" t="s">
        <v>75</v>
      </c>
      <c r="C94" s="12" t="s">
        <v>55</v>
      </c>
      <c r="D94" s="12" t="s">
        <v>1327</v>
      </c>
      <c r="E94" s="12">
        <f>MAX(G94:Z94)</f>
        <v>5394</v>
      </c>
      <c r="F94" s="12" t="str">
        <f>VLOOKUP(B94,[1]lookup!A:B,2,FALSE)</f>
        <v>Term</v>
      </c>
      <c r="G94" s="12">
        <v>0</v>
      </c>
      <c r="H94" s="12">
        <v>5394</v>
      </c>
      <c r="I94" s="12">
        <v>0</v>
      </c>
      <c r="J94" s="12">
        <v>4830</v>
      </c>
      <c r="K94" s="12">
        <v>0</v>
      </c>
      <c r="L94" s="17">
        <v>118</v>
      </c>
      <c r="M94" s="12">
        <v>0</v>
      </c>
      <c r="N94" s="12">
        <v>0</v>
      </c>
      <c r="O94" s="12">
        <v>1047</v>
      </c>
      <c r="P94" s="12">
        <v>3640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/>
      <c r="AC94" s="13">
        <f>M94*AC$2</f>
        <v>0</v>
      </c>
      <c r="AD94" s="13">
        <f>J94*AD$2</f>
        <v>1159200</v>
      </c>
      <c r="AF94" s="13">
        <f>H94*AF$2</f>
        <v>3365856</v>
      </c>
      <c r="AG94" s="13">
        <f>H94*AG$2</f>
        <v>690432</v>
      </c>
      <c r="AH94" s="13">
        <f>H94*AH$2</f>
        <v>2589120</v>
      </c>
      <c r="AI94" s="13">
        <f>H94*$AI$2</f>
        <v>1062618</v>
      </c>
      <c r="AK94" s="15">
        <f>H94*AK$2</f>
        <v>647280</v>
      </c>
      <c r="AL94" s="14">
        <f>SUM(AC94:AK94)</f>
        <v>9514506</v>
      </c>
    </row>
    <row r="95" spans="1:38" x14ac:dyDescent="0.25">
      <c r="A95" s="12" t="s">
        <v>62</v>
      </c>
      <c r="B95" s="12" t="s">
        <v>85</v>
      </c>
      <c r="C95" s="12" t="s">
        <v>82</v>
      </c>
      <c r="D95" s="12" t="s">
        <v>1327</v>
      </c>
      <c r="E95" s="12">
        <f>MAX(G95:Z95)</f>
        <v>3761</v>
      </c>
      <c r="F95" s="12" t="str">
        <f>VLOOKUP(B95,[1]lookup!A:B,2,FALSE)</f>
        <v>Term</v>
      </c>
      <c r="G95" s="12">
        <v>0</v>
      </c>
      <c r="H95" s="12">
        <v>3761</v>
      </c>
      <c r="I95" s="12">
        <v>381</v>
      </c>
      <c r="J95" s="12">
        <v>2230</v>
      </c>
      <c r="K95" s="12">
        <v>0</v>
      </c>
      <c r="L95" s="17">
        <v>85</v>
      </c>
      <c r="M95" s="12">
        <v>0</v>
      </c>
      <c r="N95" s="12">
        <v>0</v>
      </c>
      <c r="O95" s="12">
        <v>12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/>
      <c r="AC95" s="13">
        <f>M95*AC$2</f>
        <v>0</v>
      </c>
      <c r="AD95" s="13">
        <f>J95*AD$2</f>
        <v>535200</v>
      </c>
      <c r="AE95" s="13">
        <f>J95*AE$2</f>
        <v>267600</v>
      </c>
      <c r="AF95" s="13">
        <f>H95*AF$2</f>
        <v>2346864</v>
      </c>
      <c r="AG95" s="13">
        <f>H95*AG$2</f>
        <v>481408</v>
      </c>
      <c r="AH95" s="13">
        <f>H95*AH$2</f>
        <v>1805280</v>
      </c>
      <c r="AI95" s="13">
        <f>H95*$AI$2</f>
        <v>740917</v>
      </c>
      <c r="AJ95" s="13">
        <f>AJ$2*H95</f>
        <v>2256600</v>
      </c>
      <c r="AL95" s="14">
        <f>SUM(AC95:AK95)</f>
        <v>8433869</v>
      </c>
    </row>
    <row r="96" spans="1:38" x14ac:dyDescent="0.25">
      <c r="A96" s="17" t="s">
        <v>62</v>
      </c>
      <c r="B96" s="17" t="s">
        <v>102</v>
      </c>
      <c r="C96" s="17" t="s">
        <v>82</v>
      </c>
      <c r="D96" s="17" t="s">
        <v>1327</v>
      </c>
      <c r="E96" s="17">
        <f>MAX(G96:Z96)</f>
        <v>2542</v>
      </c>
      <c r="F96" s="17" t="str">
        <f>VLOOKUP(B96,[1]lookup!A:B,2,FALSE)</f>
        <v>Term</v>
      </c>
      <c r="G96" s="17">
        <v>0</v>
      </c>
      <c r="H96" s="17">
        <v>2040</v>
      </c>
      <c r="I96" s="17">
        <v>0</v>
      </c>
      <c r="J96" s="17">
        <v>1540</v>
      </c>
      <c r="K96" s="17">
        <v>250</v>
      </c>
      <c r="L96" s="17">
        <v>10</v>
      </c>
      <c r="M96" s="17">
        <v>2542</v>
      </c>
      <c r="N96" s="17">
        <v>0</v>
      </c>
      <c r="O96" s="17">
        <v>1042</v>
      </c>
      <c r="P96" s="17">
        <v>1240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2"/>
      <c r="AC96" s="13">
        <f>M96*AC$2</f>
        <v>610080</v>
      </c>
      <c r="AF96" s="13">
        <f>H96*AF$2</f>
        <v>1272960</v>
      </c>
      <c r="AG96" s="13">
        <f>H96*AG$2</f>
        <v>261120</v>
      </c>
      <c r="AH96" s="13">
        <f>H96*AH$2</f>
        <v>979200</v>
      </c>
      <c r="AI96" s="13">
        <f>H96*$AI$2</f>
        <v>401880</v>
      </c>
      <c r="AK96" s="15">
        <f>H96*AK$2</f>
        <v>244800</v>
      </c>
      <c r="AL96" s="14">
        <f>SUM(AC96:AK96)</f>
        <v>3770040</v>
      </c>
    </row>
    <row r="97" spans="1:38" hidden="1" x14ac:dyDescent="0.25">
      <c r="A97" s="12" t="s">
        <v>62</v>
      </c>
      <c r="B97" s="12" t="s">
        <v>143</v>
      </c>
      <c r="C97" s="12" t="s">
        <v>126</v>
      </c>
      <c r="D97" s="12"/>
      <c r="E97" s="12">
        <f>MAX(G97:Z97)</f>
        <v>1512</v>
      </c>
      <c r="F97" s="12" t="str">
        <f>VLOOKUP(B97,[1]lookup!A:B,2,FALSE)</f>
        <v>Term</v>
      </c>
      <c r="G97" s="12">
        <v>0</v>
      </c>
      <c r="H97" s="12">
        <v>308</v>
      </c>
      <c r="I97" s="12">
        <v>0</v>
      </c>
      <c r="J97" s="12">
        <v>0</v>
      </c>
      <c r="K97" s="12">
        <v>0</v>
      </c>
      <c r="L97" s="12">
        <v>0</v>
      </c>
      <c r="M97" s="12">
        <v>1047</v>
      </c>
      <c r="N97" s="12">
        <v>0</v>
      </c>
      <c r="O97" s="12">
        <v>0</v>
      </c>
      <c r="P97" s="12">
        <v>1512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/>
      <c r="AC97" s="13">
        <f>M97*AC$2</f>
        <v>251280</v>
      </c>
      <c r="AF97" s="13">
        <f>H97*AF$2</f>
        <v>192192</v>
      </c>
      <c r="AG97" s="13">
        <f>H97*AG$2</f>
        <v>39424</v>
      </c>
      <c r="AH97" s="13">
        <f>H97*AH$2</f>
        <v>147840</v>
      </c>
      <c r="AI97" s="13">
        <f>H97*$AI$2</f>
        <v>60676</v>
      </c>
      <c r="AK97" s="15">
        <f>H97*AK$2</f>
        <v>36960</v>
      </c>
      <c r="AL97" s="14">
        <f>SUM(AC97:AK97)</f>
        <v>728372</v>
      </c>
    </row>
    <row r="98" spans="1:38" hidden="1" x14ac:dyDescent="0.25">
      <c r="A98" s="12" t="s">
        <v>62</v>
      </c>
      <c r="B98" s="12" t="s">
        <v>253</v>
      </c>
      <c r="C98" s="12" t="s">
        <v>126</v>
      </c>
      <c r="D98" s="12"/>
      <c r="E98" s="12">
        <f>MAX(G98:Z98)</f>
        <v>701</v>
      </c>
      <c r="F98" s="12" t="str">
        <f>VLOOKUP(B98,[1]lookup!A:B,2,FALSE)</f>
        <v>Term</v>
      </c>
      <c r="G98" s="12">
        <v>0</v>
      </c>
      <c r="H98" s="12">
        <v>701</v>
      </c>
      <c r="I98" s="12">
        <v>0</v>
      </c>
      <c r="J98" s="12">
        <v>701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/>
      <c r="AC98" s="13">
        <f>M98*AC$2</f>
        <v>0</v>
      </c>
      <c r="AD98" s="13">
        <f>J98*AD$2</f>
        <v>168240</v>
      </c>
      <c r="AE98" s="13">
        <f>J98*AE$2</f>
        <v>84120</v>
      </c>
      <c r="AF98" s="13">
        <f>H98*AF$2</f>
        <v>437424</v>
      </c>
      <c r="AG98" s="13">
        <f>H98*AG$2</f>
        <v>89728</v>
      </c>
      <c r="AH98" s="13">
        <f>H98*AH$2</f>
        <v>336480</v>
      </c>
      <c r="AI98" s="13">
        <f>H98*$AI$2</f>
        <v>138097</v>
      </c>
      <c r="AJ98" s="13">
        <f>AJ$2*H98</f>
        <v>420600</v>
      </c>
      <c r="AK98" s="15">
        <f>H98*AK$2</f>
        <v>84120</v>
      </c>
      <c r="AL98" s="14">
        <f>SUM(AC98:AK98)</f>
        <v>1758809</v>
      </c>
    </row>
    <row r="99" spans="1:38" x14ac:dyDescent="0.25">
      <c r="A99" s="12" t="s">
        <v>64</v>
      </c>
      <c r="B99" s="12" t="s">
        <v>65</v>
      </c>
      <c r="C99" s="12" t="s">
        <v>55</v>
      </c>
      <c r="D99" s="12" t="s">
        <v>1327</v>
      </c>
      <c r="E99" s="12">
        <f>MAX(G99:Z99)</f>
        <v>6604</v>
      </c>
      <c r="F99" s="12" t="str">
        <f>VLOOKUP(B99,[1]lookup!A:B,2,FALSE)</f>
        <v>Term</v>
      </c>
      <c r="G99" s="12">
        <v>0</v>
      </c>
      <c r="H99" s="12">
        <v>6604</v>
      </c>
      <c r="I99" s="12">
        <v>0</v>
      </c>
      <c r="J99" s="12">
        <v>5758</v>
      </c>
      <c r="K99" s="12">
        <v>0</v>
      </c>
      <c r="L99" s="17">
        <v>72</v>
      </c>
      <c r="M99" s="12">
        <v>5075</v>
      </c>
      <c r="N99" s="12">
        <v>0</v>
      </c>
      <c r="O99" s="12">
        <v>4984</v>
      </c>
      <c r="P99" s="12">
        <v>5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/>
      <c r="AC99" s="13">
        <f>M99*AC$2</f>
        <v>1218000</v>
      </c>
      <c r="AD99" s="13">
        <f>J99*AD$2</f>
        <v>1381920</v>
      </c>
      <c r="AF99" s="13">
        <f>H99*AF$2</f>
        <v>4120896</v>
      </c>
      <c r="AG99" s="13">
        <f>H99*AG$2</f>
        <v>845312</v>
      </c>
      <c r="AH99" s="13">
        <f>H99*AH$2</f>
        <v>3169920</v>
      </c>
      <c r="AI99" s="13">
        <f>H99*$AI$2</f>
        <v>1300988</v>
      </c>
      <c r="AK99" s="15">
        <f>H99*AK$2</f>
        <v>792480</v>
      </c>
      <c r="AL99" s="14">
        <f>SUM(AC99:AK99)</f>
        <v>12829516</v>
      </c>
    </row>
    <row r="100" spans="1:38" x14ac:dyDescent="0.25">
      <c r="A100" s="12" t="s">
        <v>64</v>
      </c>
      <c r="B100" s="12" t="s">
        <v>71</v>
      </c>
      <c r="C100" s="12" t="s">
        <v>55</v>
      </c>
      <c r="D100" s="12" t="s">
        <v>1327</v>
      </c>
      <c r="E100" s="12">
        <f>MAX(G100:Z100)</f>
        <v>6246</v>
      </c>
      <c r="F100" s="12" t="str">
        <f>VLOOKUP(B100,[1]lookup!A:B,2,FALSE)</f>
        <v>Term</v>
      </c>
      <c r="G100" s="12">
        <v>0</v>
      </c>
      <c r="H100" s="12">
        <v>3975</v>
      </c>
      <c r="I100" s="12">
        <v>76</v>
      </c>
      <c r="J100" s="12">
        <v>3807</v>
      </c>
      <c r="K100" s="12">
        <v>0</v>
      </c>
      <c r="L100" s="17">
        <v>3533</v>
      </c>
      <c r="M100" s="12">
        <v>6246</v>
      </c>
      <c r="N100" s="12">
        <v>0</v>
      </c>
      <c r="O100" s="12">
        <v>5377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/>
      <c r="AC100" s="13">
        <f>M100*AC$2</f>
        <v>1499040</v>
      </c>
      <c r="AD100" s="13">
        <f>J100*AD$2</f>
        <v>913680</v>
      </c>
      <c r="AE100" s="13">
        <f>J100*AE$2</f>
        <v>456840</v>
      </c>
      <c r="AF100" s="13">
        <f>H100*AF$2</f>
        <v>2480400</v>
      </c>
      <c r="AG100" s="13">
        <f>H100*AG$2</f>
        <v>508800</v>
      </c>
      <c r="AH100" s="13">
        <f>H100*AH$2</f>
        <v>1908000</v>
      </c>
      <c r="AI100" s="13">
        <f>H100*$AI$2</f>
        <v>783075</v>
      </c>
      <c r="AJ100" s="13">
        <f>AJ$2*H100</f>
        <v>2385000</v>
      </c>
      <c r="AL100" s="14">
        <f>SUM(AC100:AK100)</f>
        <v>10934835</v>
      </c>
    </row>
    <row r="101" spans="1:38" x14ac:dyDescent="0.25">
      <c r="A101" s="12" t="s">
        <v>64</v>
      </c>
      <c r="B101" s="12" t="s">
        <v>72</v>
      </c>
      <c r="C101" s="12" t="s">
        <v>55</v>
      </c>
      <c r="D101" s="12" t="s">
        <v>1327</v>
      </c>
      <c r="E101" s="12">
        <f>MAX(G101:Z101)</f>
        <v>5863</v>
      </c>
      <c r="F101" s="12" t="str">
        <f>VLOOKUP(B101,[1]lookup!A:B,2,FALSE)</f>
        <v>Perpetual</v>
      </c>
      <c r="G101" s="12">
        <v>0</v>
      </c>
      <c r="H101" s="12">
        <v>5863</v>
      </c>
      <c r="I101" s="12">
        <v>0</v>
      </c>
      <c r="J101" s="12">
        <v>2760</v>
      </c>
      <c r="K101" s="12">
        <v>0</v>
      </c>
      <c r="L101" s="17">
        <v>2742</v>
      </c>
      <c r="M101" s="12">
        <v>736</v>
      </c>
      <c r="N101" s="12">
        <v>0</v>
      </c>
      <c r="O101" s="12">
        <v>373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/>
      <c r="AC101" s="13">
        <f>M101*AC$2</f>
        <v>176640</v>
      </c>
      <c r="AD101" s="13">
        <f>J101*AD$2</f>
        <v>662400</v>
      </c>
      <c r="AE101" s="13">
        <f>J101*AE$2</f>
        <v>331200</v>
      </c>
      <c r="AF101" s="13">
        <f>H101*AF$2</f>
        <v>3658512</v>
      </c>
      <c r="AG101" s="13">
        <f>H101*AG$2</f>
        <v>750464</v>
      </c>
      <c r="AH101" s="13">
        <f>H101*AH$2</f>
        <v>2814240</v>
      </c>
      <c r="AI101" s="13">
        <f>H101*$AI$2</f>
        <v>1155011</v>
      </c>
      <c r="AJ101" s="13">
        <f>AJ$2*H101</f>
        <v>3517800</v>
      </c>
      <c r="AK101" s="15">
        <f>H101*AK$2</f>
        <v>703560</v>
      </c>
      <c r="AL101" s="14">
        <f>SUM(AC101:AK101)</f>
        <v>13769827</v>
      </c>
    </row>
    <row r="102" spans="1:38" hidden="1" x14ac:dyDescent="0.25">
      <c r="A102" s="12" t="s">
        <v>64</v>
      </c>
      <c r="B102" s="12" t="s">
        <v>89</v>
      </c>
      <c r="C102" s="12" t="s">
        <v>82</v>
      </c>
      <c r="D102" s="12"/>
      <c r="E102" s="12">
        <f>MAX(G102:Z102)</f>
        <v>3472</v>
      </c>
      <c r="F102" s="12" t="str">
        <f>VLOOKUP(B102,[1]lookup!A:B,2,FALSE)</f>
        <v>Term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3472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/>
      <c r="AC102" s="13">
        <f>M102*AC$2</f>
        <v>833280</v>
      </c>
      <c r="AL102" s="14">
        <f>SUM(AC102:AK102)</f>
        <v>833280</v>
      </c>
    </row>
    <row r="103" spans="1:38" hidden="1" x14ac:dyDescent="0.25">
      <c r="A103" s="12" t="s">
        <v>64</v>
      </c>
      <c r="B103" s="12" t="s">
        <v>96</v>
      </c>
      <c r="C103" s="12" t="s">
        <v>82</v>
      </c>
      <c r="D103" s="12"/>
      <c r="E103" s="12">
        <f>MAX(G103:Z103)</f>
        <v>3117</v>
      </c>
      <c r="F103" s="12" t="str">
        <f>VLOOKUP(B103,[1]lookup!A:B,2,FALSE)</f>
        <v>Perpetual</v>
      </c>
      <c r="G103" s="12">
        <v>0</v>
      </c>
      <c r="H103" s="12">
        <v>3117</v>
      </c>
      <c r="I103" s="12">
        <v>3117</v>
      </c>
      <c r="J103" s="12">
        <v>3117</v>
      </c>
      <c r="K103" s="12">
        <v>907</v>
      </c>
      <c r="L103" s="12">
        <v>0</v>
      </c>
      <c r="M103" s="12">
        <v>2517</v>
      </c>
      <c r="N103" s="12">
        <v>0</v>
      </c>
      <c r="O103" s="12">
        <v>0</v>
      </c>
      <c r="P103" s="12">
        <v>2517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/>
      <c r="AC103" s="13">
        <f>M103*AC$2</f>
        <v>604080</v>
      </c>
      <c r="AF103" s="13">
        <f>H103*AF$2</f>
        <v>1945008</v>
      </c>
      <c r="AG103" s="13">
        <f>H103*AG$2</f>
        <v>398976</v>
      </c>
      <c r="AH103" s="13">
        <f>H103*AH$2</f>
        <v>1496160</v>
      </c>
      <c r="AI103" s="13">
        <f>H103*$AI$2</f>
        <v>614049</v>
      </c>
      <c r="AL103" s="14">
        <f>SUM(AC103:AK103)</f>
        <v>5058273</v>
      </c>
    </row>
    <row r="104" spans="1:38" hidden="1" x14ac:dyDescent="0.25">
      <c r="A104" s="12" t="s">
        <v>64</v>
      </c>
      <c r="B104" s="12" t="s">
        <v>150</v>
      </c>
      <c r="C104" s="12" t="s">
        <v>126</v>
      </c>
      <c r="D104" s="12"/>
      <c r="E104" s="12">
        <f>MAX(G104:Z104)</f>
        <v>1400</v>
      </c>
      <c r="F104" s="12" t="str">
        <f>VLOOKUP(B104,[1]lookup!A:B,2,FALSE)</f>
        <v>Term</v>
      </c>
      <c r="G104" s="12">
        <v>0</v>
      </c>
      <c r="H104" s="12">
        <v>1362</v>
      </c>
      <c r="I104" s="12">
        <v>1400</v>
      </c>
      <c r="J104" s="12">
        <v>1256</v>
      </c>
      <c r="K104" s="12">
        <v>0</v>
      </c>
      <c r="L104" s="12">
        <v>413</v>
      </c>
      <c r="M104" s="12">
        <v>1332</v>
      </c>
      <c r="N104" s="12">
        <v>0</v>
      </c>
      <c r="O104" s="12">
        <v>0</v>
      </c>
      <c r="P104" s="12">
        <v>1134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/>
      <c r="AC104" s="13">
        <f>M104*AC$2</f>
        <v>319680</v>
      </c>
      <c r="AD104" s="13">
        <f>J104*AD$2</f>
        <v>301440</v>
      </c>
      <c r="AF104" s="13">
        <f>H104*AF$2</f>
        <v>849888</v>
      </c>
      <c r="AG104" s="13">
        <f>H104*AG$2</f>
        <v>174336</v>
      </c>
      <c r="AH104" s="13">
        <f>H104*AH$2</f>
        <v>653760</v>
      </c>
      <c r="AI104" s="13">
        <f>H104*$AI$2</f>
        <v>268314</v>
      </c>
      <c r="AL104" s="14">
        <f>SUM(AC104:AK104)</f>
        <v>2567418</v>
      </c>
    </row>
    <row r="105" spans="1:38" hidden="1" x14ac:dyDescent="0.25">
      <c r="A105" s="12" t="s">
        <v>64</v>
      </c>
      <c r="B105" s="12" t="s">
        <v>164</v>
      </c>
      <c r="C105" s="12" t="s">
        <v>126</v>
      </c>
      <c r="D105" s="12"/>
      <c r="E105" s="12">
        <f>MAX(G105:Z105)</f>
        <v>1200</v>
      </c>
      <c r="F105" s="12" t="str">
        <f>VLOOKUP(B105,[1]lookup!A:B,2,FALSE)</f>
        <v>Term</v>
      </c>
      <c r="G105" s="12">
        <v>0</v>
      </c>
      <c r="H105" s="12">
        <v>1200</v>
      </c>
      <c r="I105" s="12">
        <v>1200</v>
      </c>
      <c r="J105" s="12">
        <v>1200</v>
      </c>
      <c r="K105" s="12">
        <v>0</v>
      </c>
      <c r="L105" s="12">
        <v>1200</v>
      </c>
      <c r="M105" s="12">
        <v>1200</v>
      </c>
      <c r="N105" s="12">
        <v>0</v>
      </c>
      <c r="O105" s="12">
        <v>1200</v>
      </c>
      <c r="P105" s="12">
        <v>1200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/>
      <c r="AC105" s="13">
        <f>M105*AC$2</f>
        <v>288000</v>
      </c>
      <c r="AD105" s="13">
        <f>J105*AD$2</f>
        <v>288000</v>
      </c>
      <c r="AF105" s="13">
        <f>H105*AF$2</f>
        <v>748800</v>
      </c>
      <c r="AG105" s="13">
        <f>H105*AG$2</f>
        <v>153600</v>
      </c>
      <c r="AH105" s="13">
        <f>H105*AH$2</f>
        <v>576000</v>
      </c>
      <c r="AI105" s="13">
        <f>H105*$AI$2</f>
        <v>236400</v>
      </c>
      <c r="AL105" s="14">
        <f>SUM(AC105:AK105)</f>
        <v>2290800</v>
      </c>
    </row>
    <row r="106" spans="1:38" hidden="1" x14ac:dyDescent="0.25">
      <c r="A106" s="12" t="s">
        <v>64</v>
      </c>
      <c r="B106" s="12" t="s">
        <v>214</v>
      </c>
      <c r="C106" s="12" t="s">
        <v>126</v>
      </c>
      <c r="D106" s="12"/>
      <c r="E106" s="12">
        <f>MAX(G106:Z106)</f>
        <v>873</v>
      </c>
      <c r="F106" s="12" t="str">
        <f>VLOOKUP(B106,[1]lookup!A:B,2,FALSE)</f>
        <v>Perpetual</v>
      </c>
      <c r="G106" s="12">
        <v>0</v>
      </c>
      <c r="H106" s="12">
        <v>260</v>
      </c>
      <c r="I106" s="12">
        <v>0</v>
      </c>
      <c r="J106" s="12">
        <v>560</v>
      </c>
      <c r="K106" s="12">
        <v>0</v>
      </c>
      <c r="L106" s="12">
        <v>300</v>
      </c>
      <c r="M106" s="12">
        <v>873</v>
      </c>
      <c r="N106" s="12">
        <v>0</v>
      </c>
      <c r="O106" s="12">
        <v>873</v>
      </c>
      <c r="P106" s="12">
        <v>300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/>
      <c r="AC106" s="13">
        <f>M106*AC$2</f>
        <v>209520</v>
      </c>
      <c r="AD106" s="13">
        <f>J106*AD$2</f>
        <v>134400</v>
      </c>
      <c r="AF106" s="13">
        <f>H106*AF$2</f>
        <v>162240</v>
      </c>
      <c r="AG106" s="13">
        <f>H106*AG$2</f>
        <v>33280</v>
      </c>
      <c r="AH106" s="13">
        <f>H106*AH$2</f>
        <v>124800</v>
      </c>
      <c r="AI106" s="13">
        <f>H106*$AI$2</f>
        <v>51220</v>
      </c>
      <c r="AK106" s="15">
        <f>H106*AK$2</f>
        <v>31200</v>
      </c>
      <c r="AL106" s="14">
        <f>SUM(AC106:AK106)</f>
        <v>746660</v>
      </c>
    </row>
    <row r="107" spans="1:38" hidden="1" x14ac:dyDescent="0.25">
      <c r="A107" s="12" t="s">
        <v>64</v>
      </c>
      <c r="B107" s="12" t="s">
        <v>217</v>
      </c>
      <c r="C107" s="12" t="s">
        <v>126</v>
      </c>
      <c r="D107" s="12"/>
      <c r="E107" s="12">
        <f>MAX(G107:Z107)</f>
        <v>863</v>
      </c>
      <c r="F107" s="12" t="str">
        <f>VLOOKUP(B107,[1]lookup!A:B,2,FALSE)</f>
        <v>Term</v>
      </c>
      <c r="G107" s="12">
        <v>0</v>
      </c>
      <c r="H107" s="12">
        <v>863</v>
      </c>
      <c r="I107" s="12">
        <v>764</v>
      </c>
      <c r="J107" s="12">
        <v>713</v>
      </c>
      <c r="K107" s="12">
        <v>0</v>
      </c>
      <c r="L107" s="12">
        <v>0</v>
      </c>
      <c r="M107" s="12">
        <v>664</v>
      </c>
      <c r="N107" s="12">
        <v>0</v>
      </c>
      <c r="O107" s="12">
        <v>100</v>
      </c>
      <c r="P107" s="12">
        <v>400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/>
      <c r="AC107" s="13">
        <f>M107*AC$2</f>
        <v>159360</v>
      </c>
      <c r="AD107" s="13">
        <f>J107*AD$2</f>
        <v>171120</v>
      </c>
      <c r="AF107" s="13">
        <f>H107*AF$2</f>
        <v>538512</v>
      </c>
      <c r="AG107" s="13">
        <f>H107*AG$2</f>
        <v>110464</v>
      </c>
      <c r="AH107" s="13">
        <f>H107*AH$2</f>
        <v>414240</v>
      </c>
      <c r="AI107" s="13">
        <f>H107*$AI$2</f>
        <v>170011</v>
      </c>
      <c r="AL107" s="14">
        <f>SUM(AC107:AK107)</f>
        <v>1563707</v>
      </c>
    </row>
    <row r="108" spans="1:38" hidden="1" x14ac:dyDescent="0.25">
      <c r="A108" s="12" t="s">
        <v>64</v>
      </c>
      <c r="B108" s="12" t="s">
        <v>219</v>
      </c>
      <c r="C108" s="12" t="s">
        <v>126</v>
      </c>
      <c r="D108" s="12"/>
      <c r="E108" s="12">
        <f>MAX(G108:Z108)</f>
        <v>850</v>
      </c>
      <c r="F108" s="12" t="str">
        <f>VLOOKUP(B108,[1]lookup!A:B,2,FALSE)</f>
        <v>Perpetual</v>
      </c>
      <c r="G108" s="12">
        <v>0</v>
      </c>
      <c r="H108" s="12">
        <v>447</v>
      </c>
      <c r="I108" s="12">
        <v>0</v>
      </c>
      <c r="J108" s="12">
        <v>846</v>
      </c>
      <c r="K108" s="12">
        <v>0</v>
      </c>
      <c r="L108" s="12">
        <v>0</v>
      </c>
      <c r="M108" s="12">
        <v>846</v>
      </c>
      <c r="N108" s="12">
        <v>0</v>
      </c>
      <c r="O108" s="12">
        <v>850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/>
      <c r="AC108" s="13">
        <f>M108*AC$2</f>
        <v>203040</v>
      </c>
      <c r="AD108" s="13">
        <f>J108*AD$2</f>
        <v>203040</v>
      </c>
      <c r="AE108" s="13">
        <f>J108*AE$2</f>
        <v>101520</v>
      </c>
      <c r="AF108" s="13">
        <f>H108*AF$2</f>
        <v>278928</v>
      </c>
      <c r="AG108" s="13">
        <f>H108*AG$2</f>
        <v>57216</v>
      </c>
      <c r="AH108" s="13">
        <f>H108*AH$2</f>
        <v>214560</v>
      </c>
      <c r="AI108" s="13">
        <f>H108*$AI$2</f>
        <v>88059</v>
      </c>
      <c r="AJ108" s="13">
        <f>AJ$2*H108</f>
        <v>268200</v>
      </c>
      <c r="AK108" s="15">
        <f>H108*AK$2</f>
        <v>53640</v>
      </c>
      <c r="AL108" s="14">
        <f>SUM(AC108:AK108)</f>
        <v>1468203</v>
      </c>
    </row>
    <row r="109" spans="1:38" hidden="1" x14ac:dyDescent="0.25">
      <c r="A109" s="12" t="s">
        <v>64</v>
      </c>
      <c r="B109" s="12" t="s">
        <v>227</v>
      </c>
      <c r="C109" s="12" t="s">
        <v>126</v>
      </c>
      <c r="D109" s="12"/>
      <c r="E109" s="12">
        <f>MAX(G109:Z109)</f>
        <v>806</v>
      </c>
      <c r="F109" s="12" t="str">
        <f>VLOOKUP(B109,[1]lookup!A:B,2,FALSE)</f>
        <v>Term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65</v>
      </c>
      <c r="M109" s="12">
        <v>806</v>
      </c>
      <c r="N109" s="12">
        <v>0</v>
      </c>
      <c r="O109" s="12">
        <v>0</v>
      </c>
      <c r="P109" s="12">
        <v>70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/>
      <c r="AC109" s="13">
        <f>M109*AC$2</f>
        <v>193440</v>
      </c>
      <c r="AL109" s="14">
        <f>SUM(AC109:AK109)</f>
        <v>193440</v>
      </c>
    </row>
    <row r="110" spans="1:38" hidden="1" x14ac:dyDescent="0.25">
      <c r="A110" s="12" t="s">
        <v>64</v>
      </c>
      <c r="B110" s="12" t="s">
        <v>231</v>
      </c>
      <c r="C110" s="12" t="s">
        <v>126</v>
      </c>
      <c r="D110" s="12"/>
      <c r="E110" s="12">
        <f>MAX(G110:Z110)</f>
        <v>800</v>
      </c>
      <c r="F110" s="12" t="str">
        <f>VLOOKUP(B110,[1]lookup!A:B,2,FALSE)</f>
        <v>Perpetual</v>
      </c>
      <c r="G110" s="12">
        <v>0</v>
      </c>
      <c r="H110" s="12">
        <v>400</v>
      </c>
      <c r="I110" s="12">
        <v>0</v>
      </c>
      <c r="J110" s="12">
        <v>800</v>
      </c>
      <c r="K110" s="12">
        <v>0</v>
      </c>
      <c r="L110" s="12">
        <v>0</v>
      </c>
      <c r="M110" s="12">
        <v>0</v>
      </c>
      <c r="N110" s="12">
        <v>0</v>
      </c>
      <c r="O110" s="12">
        <v>512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/>
      <c r="AC110" s="13">
        <f>M110*AC$2</f>
        <v>0</v>
      </c>
      <c r="AD110" s="13">
        <f>J110*AD$2</f>
        <v>192000</v>
      </c>
      <c r="AE110" s="13">
        <f>J110*AE$2</f>
        <v>96000</v>
      </c>
      <c r="AF110" s="13">
        <f>H110*AF$2</f>
        <v>249600</v>
      </c>
      <c r="AG110" s="13">
        <f>H110*AG$2</f>
        <v>51200</v>
      </c>
      <c r="AH110" s="13">
        <f>H110*AH$2</f>
        <v>192000</v>
      </c>
      <c r="AI110" s="13">
        <f>H110*$AI$2</f>
        <v>78800</v>
      </c>
      <c r="AJ110" s="13">
        <f>AJ$2*H110</f>
        <v>240000</v>
      </c>
      <c r="AK110" s="15">
        <f>H110*AK$2</f>
        <v>48000</v>
      </c>
      <c r="AL110" s="14">
        <f>SUM(AC110:AK110)</f>
        <v>1147600</v>
      </c>
    </row>
    <row r="111" spans="1:38" hidden="1" x14ac:dyDescent="0.25">
      <c r="A111" s="12" t="s">
        <v>64</v>
      </c>
      <c r="B111" s="12" t="s">
        <v>258</v>
      </c>
      <c r="C111" s="12" t="s">
        <v>126</v>
      </c>
      <c r="D111" s="12"/>
      <c r="E111" s="12">
        <f>MAX(G111:Z111)</f>
        <v>675</v>
      </c>
      <c r="F111" s="12" t="s">
        <v>70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675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/>
      <c r="AC111" s="13">
        <f>M111*AC$2</f>
        <v>0</v>
      </c>
      <c r="AL111" s="14">
        <f>SUM(AC111:AK111)</f>
        <v>0</v>
      </c>
    </row>
    <row r="112" spans="1:38" hidden="1" x14ac:dyDescent="0.25">
      <c r="A112" s="12" t="s">
        <v>64</v>
      </c>
      <c r="B112" s="12" t="s">
        <v>265</v>
      </c>
      <c r="C112" s="12" t="s">
        <v>126</v>
      </c>
      <c r="D112" s="12"/>
      <c r="E112" s="12">
        <f>MAX(G112:Z112)</f>
        <v>612</v>
      </c>
      <c r="F112" s="12" t="str">
        <f>VLOOKUP(B112,[1]lookup!A:B,2,FALSE)</f>
        <v>Term</v>
      </c>
      <c r="G112" s="12">
        <v>0</v>
      </c>
      <c r="H112" s="12">
        <v>612</v>
      </c>
      <c r="I112" s="12">
        <v>0</v>
      </c>
      <c r="J112" s="12">
        <v>425</v>
      </c>
      <c r="K112" s="12">
        <v>0</v>
      </c>
      <c r="L112" s="12">
        <v>242</v>
      </c>
      <c r="M112" s="12">
        <v>425</v>
      </c>
      <c r="N112" s="12">
        <v>0</v>
      </c>
      <c r="O112" s="12">
        <v>425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/>
      <c r="AC112" s="13">
        <f>M112*AC$2</f>
        <v>102000</v>
      </c>
      <c r="AD112" s="13">
        <f>J112*AD$2</f>
        <v>102000</v>
      </c>
      <c r="AE112" s="13">
        <f>J112*AE$2</f>
        <v>51000</v>
      </c>
      <c r="AF112" s="13">
        <f>H112*AF$2</f>
        <v>381888</v>
      </c>
      <c r="AG112" s="13">
        <f>H112*AG$2</f>
        <v>78336</v>
      </c>
      <c r="AH112" s="13">
        <f>H112*AH$2</f>
        <v>293760</v>
      </c>
      <c r="AI112" s="13">
        <f>H112*$AI$2</f>
        <v>120564</v>
      </c>
      <c r="AJ112" s="13">
        <f>AJ$2*H112</f>
        <v>367200</v>
      </c>
      <c r="AK112" s="15">
        <f>H112*AK$2</f>
        <v>73440</v>
      </c>
      <c r="AL112" s="14">
        <f>SUM(AC112:AK112)</f>
        <v>1570188</v>
      </c>
    </row>
    <row r="113" spans="1:38" hidden="1" x14ac:dyDescent="0.25">
      <c r="A113" s="12" t="s">
        <v>58</v>
      </c>
      <c r="B113" s="12" t="s">
        <v>59</v>
      </c>
      <c r="C113" s="12" t="s">
        <v>55</v>
      </c>
      <c r="D113" s="12"/>
      <c r="E113" s="12">
        <f>MAX(G113:Z113)</f>
        <v>9050</v>
      </c>
      <c r="F113" s="12" t="str">
        <f>VLOOKUP(B113,[1]lookup!A:B,2,FALSE)</f>
        <v>SaaS</v>
      </c>
      <c r="G113" s="12">
        <v>0</v>
      </c>
      <c r="H113" s="12">
        <v>9050</v>
      </c>
      <c r="I113" s="12">
        <v>0</v>
      </c>
      <c r="J113" s="12">
        <v>9050</v>
      </c>
      <c r="K113" s="12">
        <v>9050</v>
      </c>
      <c r="L113" s="12">
        <v>9050</v>
      </c>
      <c r="M113" s="12">
        <v>9050</v>
      </c>
      <c r="N113" s="12">
        <v>0</v>
      </c>
      <c r="O113" s="12">
        <v>9050</v>
      </c>
      <c r="P113" s="12">
        <v>2252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/>
      <c r="AC113" s="13">
        <f>M113*AC$2</f>
        <v>2172000</v>
      </c>
      <c r="AF113" s="13">
        <f>H113*AF$2</f>
        <v>5647200</v>
      </c>
      <c r="AL113" s="14">
        <f>SUM(AC113:AK113)</f>
        <v>7819200</v>
      </c>
    </row>
    <row r="114" spans="1:38" hidden="1" x14ac:dyDescent="0.25">
      <c r="A114" s="12" t="s">
        <v>106</v>
      </c>
      <c r="B114" s="12" t="s">
        <v>105</v>
      </c>
      <c r="C114" s="12" t="s">
        <v>82</v>
      </c>
      <c r="D114" s="12"/>
      <c r="E114" s="12">
        <f>MAX(G114:Z114)</f>
        <v>2511</v>
      </c>
      <c r="F114" s="12" t="str">
        <f>VLOOKUP(B114,[1]lookup!A:B,2,FALSE)</f>
        <v>SaaS</v>
      </c>
      <c r="G114" s="12">
        <v>0</v>
      </c>
      <c r="H114" s="12">
        <v>0</v>
      </c>
      <c r="I114" s="12">
        <v>0</v>
      </c>
      <c r="J114" s="12">
        <v>2511</v>
      </c>
      <c r="K114" s="12">
        <v>0</v>
      </c>
      <c r="L114" s="12">
        <v>0</v>
      </c>
      <c r="M114" s="12">
        <v>0</v>
      </c>
      <c r="N114" s="12">
        <v>837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/>
      <c r="AC114" s="13">
        <f>M114*AC$2</f>
        <v>0</v>
      </c>
      <c r="AD114" s="13">
        <f>J114*AD$2</f>
        <v>602640</v>
      </c>
      <c r="AE114" s="13">
        <f>J114*AE$2</f>
        <v>301320</v>
      </c>
      <c r="AL114" s="14">
        <f>SUM(AC114:AK114)</f>
        <v>903960</v>
      </c>
    </row>
    <row r="115" spans="1:38" hidden="1" x14ac:dyDescent="0.25">
      <c r="A115" s="12" t="s">
        <v>203</v>
      </c>
      <c r="B115" s="12" t="s">
        <v>204</v>
      </c>
      <c r="C115" s="12" t="s">
        <v>126</v>
      </c>
      <c r="D115" s="12"/>
      <c r="E115" s="12">
        <f>MAX(G115:Z115)</f>
        <v>953</v>
      </c>
      <c r="F115" s="12" t="str">
        <f>VLOOKUP(B115,[1]lookup!A:B,2,FALSE)</f>
        <v>SaaS</v>
      </c>
      <c r="G115" s="12">
        <v>270</v>
      </c>
      <c r="H115" s="12">
        <v>305</v>
      </c>
      <c r="I115" s="12">
        <v>0</v>
      </c>
      <c r="J115" s="12">
        <v>575</v>
      </c>
      <c r="K115" s="12">
        <v>0</v>
      </c>
      <c r="L115" s="12">
        <v>515</v>
      </c>
      <c r="M115" s="12">
        <v>1</v>
      </c>
      <c r="N115" s="12">
        <v>0</v>
      </c>
      <c r="O115" s="12">
        <v>306</v>
      </c>
      <c r="P115" s="12">
        <v>575</v>
      </c>
      <c r="Q115" s="12">
        <v>270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953</v>
      </c>
      <c r="Y115" s="12">
        <v>950</v>
      </c>
      <c r="Z115" s="12">
        <v>0</v>
      </c>
      <c r="AA115" s="12"/>
      <c r="AC115" s="13">
        <f>M115*AC$2</f>
        <v>240</v>
      </c>
      <c r="AD115" s="13">
        <f>J115*AD$2</f>
        <v>138000</v>
      </c>
      <c r="AF115" s="13">
        <f>H115*AF$2</f>
        <v>190320</v>
      </c>
      <c r="AL115" s="14">
        <f>SUM(AC115:AK115)</f>
        <v>328560</v>
      </c>
    </row>
    <row r="116" spans="1:38" hidden="1" x14ac:dyDescent="0.25">
      <c r="A116" s="12" t="s">
        <v>248</v>
      </c>
      <c r="B116" s="12" t="s">
        <v>215</v>
      </c>
      <c r="C116" s="12" t="s">
        <v>126</v>
      </c>
      <c r="D116" s="12"/>
      <c r="E116" s="12">
        <f>MAX(G116:Z116)</f>
        <v>730</v>
      </c>
      <c r="F116" s="12" t="str">
        <f>VLOOKUP(B116,[1]lookup!A:B,2,FALSE)</f>
        <v>Perpetual</v>
      </c>
      <c r="G116" s="12">
        <v>0</v>
      </c>
      <c r="H116" s="12">
        <v>730</v>
      </c>
      <c r="I116" s="12">
        <v>730</v>
      </c>
      <c r="J116" s="12">
        <v>730</v>
      </c>
      <c r="K116" s="12">
        <v>0</v>
      </c>
      <c r="L116" s="12">
        <v>0</v>
      </c>
      <c r="M116" s="12">
        <v>0</v>
      </c>
      <c r="N116" s="12">
        <v>0</v>
      </c>
      <c r="O116" s="12">
        <v>730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/>
      <c r="AC116" s="13">
        <f>M116*AC$2</f>
        <v>0</v>
      </c>
      <c r="AD116" s="13">
        <f>J116*AD$2</f>
        <v>175200</v>
      </c>
      <c r="AE116" s="13">
        <f>J116*AE$2</f>
        <v>87600</v>
      </c>
      <c r="AF116" s="13">
        <f>H116*AF$2</f>
        <v>455520</v>
      </c>
      <c r="AG116" s="13">
        <f>H116*AG$2</f>
        <v>93440</v>
      </c>
      <c r="AH116" s="13">
        <f>H116*AH$2</f>
        <v>350400</v>
      </c>
      <c r="AI116" s="13">
        <f>H116*$AI$2</f>
        <v>143810</v>
      </c>
      <c r="AJ116" s="13">
        <f>AJ$2*H116</f>
        <v>438000</v>
      </c>
      <c r="AL116" s="14">
        <f>SUM(AC116:AK116)</f>
        <v>1743970</v>
      </c>
    </row>
    <row r="117" spans="1:38" hidden="1" x14ac:dyDescent="0.25">
      <c r="A117" s="12" t="s">
        <v>197</v>
      </c>
      <c r="B117" s="12" t="s">
        <v>198</v>
      </c>
      <c r="C117" s="12" t="s">
        <v>126</v>
      </c>
      <c r="D117" s="12"/>
      <c r="E117" s="12">
        <f>MAX(G117:Z117)</f>
        <v>980</v>
      </c>
      <c r="F117" s="12" t="str">
        <f>VLOOKUP(B117,[1]lookup!A:B,2,FALSE)</f>
        <v>Perpetual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175</v>
      </c>
      <c r="N117" s="12">
        <v>0</v>
      </c>
      <c r="O117" s="12">
        <v>175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980</v>
      </c>
      <c r="X117" s="12">
        <v>0</v>
      </c>
      <c r="Y117" s="12">
        <v>0</v>
      </c>
      <c r="Z117" s="12">
        <v>0</v>
      </c>
      <c r="AA117" s="12"/>
      <c r="AC117" s="13">
        <f>M117*AC$2</f>
        <v>42000</v>
      </c>
      <c r="AL117" s="14">
        <f>SUM(AC117:AK117)</f>
        <v>42000</v>
      </c>
    </row>
    <row r="118" spans="1:38" hidden="1" x14ac:dyDescent="0.25">
      <c r="A118" s="12" t="s">
        <v>197</v>
      </c>
      <c r="B118" s="12" t="s">
        <v>277</v>
      </c>
      <c r="C118" s="12" t="s">
        <v>126</v>
      </c>
      <c r="D118" s="12"/>
      <c r="E118" s="12">
        <f>MAX(G118:Z118)</f>
        <v>598</v>
      </c>
      <c r="F118" s="12" t="str">
        <f>VLOOKUP(B118,[1]lookup!A:B,2,FALSE)</f>
        <v>Perpetual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140</v>
      </c>
      <c r="M118" s="12">
        <v>140</v>
      </c>
      <c r="N118" s="12">
        <v>0</v>
      </c>
      <c r="O118" s="12">
        <v>0</v>
      </c>
      <c r="P118" s="12">
        <v>140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598</v>
      </c>
      <c r="X118" s="12">
        <v>0</v>
      </c>
      <c r="Y118" s="12">
        <v>0</v>
      </c>
      <c r="Z118" s="12">
        <v>0</v>
      </c>
      <c r="AA118" s="12"/>
      <c r="AC118" s="13">
        <f>M118*AC$2</f>
        <v>33600</v>
      </c>
      <c r="AL118" s="14">
        <f>SUM(AC118:AK118)</f>
        <v>33600</v>
      </c>
    </row>
    <row r="119" spans="1:38" hidden="1" x14ac:dyDescent="0.25">
      <c r="A119" s="12" t="s">
        <v>197</v>
      </c>
      <c r="B119" s="12" t="s">
        <v>292</v>
      </c>
      <c r="C119" s="12" t="s">
        <v>126</v>
      </c>
      <c r="D119" s="12"/>
      <c r="E119" s="12">
        <f>MAX(G119:Z119)</f>
        <v>520</v>
      </c>
      <c r="F119" s="12" t="s">
        <v>70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520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/>
      <c r="AC119" s="13">
        <f>M119*AC$2</f>
        <v>0</v>
      </c>
      <c r="AL119" s="14">
        <f>SUM(AC119:AK119)</f>
        <v>0</v>
      </c>
    </row>
    <row r="120" spans="1:38" x14ac:dyDescent="0.25">
      <c r="A120" s="12" t="s">
        <v>60</v>
      </c>
      <c r="B120" s="12" t="s">
        <v>61</v>
      </c>
      <c r="C120" s="12" t="s">
        <v>55</v>
      </c>
      <c r="D120" s="12" t="s">
        <v>1327</v>
      </c>
      <c r="E120" s="12">
        <f>MAX(G120:Z120)</f>
        <v>7620</v>
      </c>
      <c r="F120" s="12" t="str">
        <f>VLOOKUP(B120,[1]lookup!A:B,2,FALSE)</f>
        <v>Term</v>
      </c>
      <c r="G120" s="12">
        <v>0</v>
      </c>
      <c r="H120" s="12">
        <v>2675</v>
      </c>
      <c r="I120" s="12">
        <v>2678</v>
      </c>
      <c r="J120" s="12">
        <v>2675</v>
      </c>
      <c r="K120" s="12">
        <v>0</v>
      </c>
      <c r="L120" s="17">
        <v>0</v>
      </c>
      <c r="M120" s="12">
        <v>0</v>
      </c>
      <c r="N120" s="12">
        <v>0</v>
      </c>
      <c r="O120" s="12">
        <v>0</v>
      </c>
      <c r="P120" s="12">
        <v>7620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/>
      <c r="AC120" s="13">
        <f>M120*AC$2</f>
        <v>0</v>
      </c>
      <c r="AD120" s="13">
        <f>J120*AD$2</f>
        <v>642000</v>
      </c>
      <c r="AF120" s="13">
        <f>H120*AF$2</f>
        <v>1669200</v>
      </c>
      <c r="AG120" s="13">
        <f>H120*AG$2</f>
        <v>342400</v>
      </c>
      <c r="AH120" s="13">
        <f>H120*AH$2</f>
        <v>1284000</v>
      </c>
      <c r="AI120" s="13">
        <f>H120*$AI$2</f>
        <v>526975</v>
      </c>
      <c r="AL120" s="14">
        <f>SUM(AC120:AK120)</f>
        <v>4464575</v>
      </c>
    </row>
    <row r="121" spans="1:38" hidden="1" x14ac:dyDescent="0.25">
      <c r="A121" s="12" t="s">
        <v>60</v>
      </c>
      <c r="B121" s="12" t="s">
        <v>66</v>
      </c>
      <c r="C121" s="12" t="s">
        <v>55</v>
      </c>
      <c r="D121" s="12"/>
      <c r="E121" s="12">
        <f>MAX(G121:Z121)</f>
        <v>6585</v>
      </c>
      <c r="F121" s="12" t="str">
        <f>VLOOKUP(B121,[1]lookup!A:B,2,FALSE)</f>
        <v>Term</v>
      </c>
      <c r="G121" s="12">
        <v>0</v>
      </c>
      <c r="H121" s="12">
        <v>6585</v>
      </c>
      <c r="I121" s="12">
        <v>6585</v>
      </c>
      <c r="J121" s="12">
        <v>5685</v>
      </c>
      <c r="K121" s="12">
        <v>0</v>
      </c>
      <c r="L121" s="12">
        <v>700</v>
      </c>
      <c r="M121" s="12">
        <v>0</v>
      </c>
      <c r="N121" s="12">
        <v>0</v>
      </c>
      <c r="O121" s="12">
        <v>0</v>
      </c>
      <c r="P121" s="12">
        <v>3200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/>
      <c r="AC121" s="13">
        <f>M121*AC$2</f>
        <v>0</v>
      </c>
      <c r="AD121" s="13">
        <f>J121*AD$2</f>
        <v>1364400</v>
      </c>
      <c r="AF121" s="13">
        <f>H121*AF$2</f>
        <v>4109040</v>
      </c>
      <c r="AG121" s="13">
        <f>H121*AG$2</f>
        <v>842880</v>
      </c>
      <c r="AH121" s="13">
        <f>H121*AH$2</f>
        <v>3160800</v>
      </c>
      <c r="AI121" s="13">
        <f>H121*$AI$2</f>
        <v>1297245</v>
      </c>
      <c r="AL121" s="14">
        <f>SUM(AC121:AK121)</f>
        <v>10774365</v>
      </c>
    </row>
    <row r="122" spans="1:38" hidden="1" x14ac:dyDescent="0.25">
      <c r="A122" s="12" t="s">
        <v>60</v>
      </c>
      <c r="B122" s="12" t="s">
        <v>84</v>
      </c>
      <c r="C122" s="12" t="s">
        <v>82</v>
      </c>
      <c r="D122" s="12"/>
      <c r="E122" s="12">
        <f>MAX(G122:Z122)</f>
        <v>3999</v>
      </c>
      <c r="F122" s="12" t="str">
        <f>VLOOKUP(B122,[1]lookup!A:B,2,FALSE)</f>
        <v>Term</v>
      </c>
      <c r="G122" s="12">
        <v>0</v>
      </c>
      <c r="H122" s="12">
        <v>3999</v>
      </c>
      <c r="I122" s="12">
        <v>0</v>
      </c>
      <c r="J122" s="12">
        <v>2853</v>
      </c>
      <c r="K122" s="12">
        <v>0</v>
      </c>
      <c r="L122" s="12">
        <v>1036</v>
      </c>
      <c r="M122" s="12">
        <v>657</v>
      </c>
      <c r="N122" s="12">
        <v>0</v>
      </c>
      <c r="O122" s="12">
        <v>120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/>
      <c r="AC122" s="13">
        <f>M122*AC$2</f>
        <v>157680</v>
      </c>
      <c r="AD122" s="13">
        <f>J122*AD$2</f>
        <v>684720</v>
      </c>
      <c r="AE122" s="13">
        <f>J122*AE$2</f>
        <v>342360</v>
      </c>
      <c r="AF122" s="13">
        <f>H122*AF$2</f>
        <v>2495376</v>
      </c>
      <c r="AG122" s="13">
        <f>H122*AG$2</f>
        <v>511872</v>
      </c>
      <c r="AH122" s="13">
        <f>H122*AH$2</f>
        <v>1919520</v>
      </c>
      <c r="AI122" s="13">
        <f>H122*$AI$2</f>
        <v>787803</v>
      </c>
      <c r="AJ122" s="13">
        <f>AJ$2*H122</f>
        <v>2399400</v>
      </c>
      <c r="AK122" s="15">
        <f>H122*AK$2</f>
        <v>479880</v>
      </c>
      <c r="AL122" s="14">
        <f>SUM(AC122:AK122)</f>
        <v>9778611</v>
      </c>
    </row>
    <row r="123" spans="1:38" hidden="1" x14ac:dyDescent="0.25">
      <c r="A123" s="12" t="s">
        <v>60</v>
      </c>
      <c r="B123" s="12" t="s">
        <v>103</v>
      </c>
      <c r="C123" s="12" t="s">
        <v>82</v>
      </c>
      <c r="D123" s="12"/>
      <c r="E123" s="12">
        <f>MAX(G123:Z123)</f>
        <v>2521</v>
      </c>
      <c r="F123" s="12" t="str">
        <f>VLOOKUP(B123,[1]lookup!A:B,2,FALSE)</f>
        <v>Term</v>
      </c>
      <c r="G123" s="12">
        <v>0</v>
      </c>
      <c r="H123" s="12">
        <v>2521</v>
      </c>
      <c r="I123" s="12">
        <v>0</v>
      </c>
      <c r="J123" s="12">
        <v>1183</v>
      </c>
      <c r="K123" s="12">
        <v>341</v>
      </c>
      <c r="L123" s="12">
        <v>1133</v>
      </c>
      <c r="M123" s="12">
        <v>492</v>
      </c>
      <c r="N123" s="12">
        <v>0</v>
      </c>
      <c r="O123" s="12">
        <v>1133</v>
      </c>
      <c r="P123" s="12">
        <v>1133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/>
      <c r="AC123" s="13">
        <f>M123*AC$2</f>
        <v>118080</v>
      </c>
      <c r="AF123" s="13">
        <f>H123*AF$2</f>
        <v>1573104</v>
      </c>
      <c r="AG123" s="13">
        <f>H123*AG$2</f>
        <v>322688</v>
      </c>
      <c r="AH123" s="13">
        <f>H123*AH$2</f>
        <v>1210080</v>
      </c>
      <c r="AI123" s="13">
        <f>H123*$AI$2</f>
        <v>496637</v>
      </c>
      <c r="AK123" s="15">
        <f>H123*AK$2</f>
        <v>302520</v>
      </c>
      <c r="AL123" s="14">
        <f>SUM(AC123:AK123)</f>
        <v>4023109</v>
      </c>
    </row>
    <row r="124" spans="1:38" x14ac:dyDescent="0.25">
      <c r="A124" s="12" t="s">
        <v>60</v>
      </c>
      <c r="B124" s="12" t="s">
        <v>144</v>
      </c>
      <c r="C124" s="12" t="s">
        <v>126</v>
      </c>
      <c r="D124" s="12" t="s">
        <v>1327</v>
      </c>
      <c r="E124" s="12">
        <f>MAX(G124:Z124)</f>
        <v>1500</v>
      </c>
      <c r="F124" s="12" t="str">
        <f>VLOOKUP(B124,[1]lookup!A:B,2,FALSE)</f>
        <v>Term</v>
      </c>
      <c r="G124" s="12">
        <v>0</v>
      </c>
      <c r="H124" s="12">
        <v>0</v>
      </c>
      <c r="I124" s="12">
        <v>1500</v>
      </c>
      <c r="J124" s="12">
        <v>1500</v>
      </c>
      <c r="K124" s="12">
        <v>0</v>
      </c>
      <c r="L124" s="17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/>
      <c r="AC124" s="13">
        <f>M124*AC$2</f>
        <v>0</v>
      </c>
      <c r="AD124" s="13">
        <f>J124*AD$2</f>
        <v>360000</v>
      </c>
      <c r="AE124" s="13">
        <f>J124*AE$2</f>
        <v>180000</v>
      </c>
      <c r="AL124" s="14">
        <f>SUM(AC124:AK124)</f>
        <v>540000</v>
      </c>
    </row>
    <row r="125" spans="1:38" hidden="1" x14ac:dyDescent="0.25">
      <c r="A125" s="12" t="s">
        <v>60</v>
      </c>
      <c r="B125" s="12" t="s">
        <v>157</v>
      </c>
      <c r="C125" s="12" t="s">
        <v>126</v>
      </c>
      <c r="D125" s="12"/>
      <c r="E125" s="12">
        <f>MAX(G125:Z125)</f>
        <v>1300</v>
      </c>
      <c r="F125" s="12" t="str">
        <f>VLOOKUP(B125,[1]lookup!A:B,2,FALSE)</f>
        <v>Term</v>
      </c>
      <c r="G125" s="12">
        <v>0</v>
      </c>
      <c r="H125" s="12">
        <v>1300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/>
      <c r="AC125" s="13">
        <f>M125*AC$2</f>
        <v>0</v>
      </c>
      <c r="AF125" s="13">
        <f>H125*AF$2</f>
        <v>811200</v>
      </c>
      <c r="AG125" s="13">
        <f>H125*AG$2</f>
        <v>166400</v>
      </c>
      <c r="AH125" s="13">
        <f>H125*AH$2</f>
        <v>624000</v>
      </c>
      <c r="AI125" s="13">
        <f>H125*$AI$2</f>
        <v>256100</v>
      </c>
      <c r="AJ125" s="13">
        <f>AJ$2*H125</f>
        <v>780000</v>
      </c>
      <c r="AK125" s="15">
        <f>H125*AK$2</f>
        <v>156000</v>
      </c>
      <c r="AL125" s="14">
        <f>SUM(AC125:AK125)</f>
        <v>2793700</v>
      </c>
    </row>
    <row r="126" spans="1:38" hidden="1" x14ac:dyDescent="0.25">
      <c r="A126" s="12" t="s">
        <v>60</v>
      </c>
      <c r="B126" s="12" t="s">
        <v>160</v>
      </c>
      <c r="C126" s="12" t="s">
        <v>126</v>
      </c>
      <c r="D126" s="12"/>
      <c r="E126" s="12">
        <f>MAX(G126:Z126)</f>
        <v>1210</v>
      </c>
      <c r="F126" s="12" t="str">
        <f>VLOOKUP(B126,[1]lookup!A:B,2,FALSE)</f>
        <v>Perpetual</v>
      </c>
      <c r="G126" s="12">
        <v>0</v>
      </c>
      <c r="H126" s="12">
        <v>0</v>
      </c>
      <c r="I126" s="12">
        <v>0</v>
      </c>
      <c r="J126" s="12">
        <v>0</v>
      </c>
      <c r="K126" s="12">
        <v>1210</v>
      </c>
      <c r="L126" s="12">
        <v>0</v>
      </c>
      <c r="M126" s="12">
        <v>1</v>
      </c>
      <c r="N126" s="12">
        <v>0</v>
      </c>
      <c r="O126" s="12">
        <v>1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/>
      <c r="AC126" s="13">
        <f>M126*AC$2</f>
        <v>240</v>
      </c>
      <c r="AL126" s="14">
        <f>SUM(AC126:AK126)</f>
        <v>240</v>
      </c>
    </row>
    <row r="127" spans="1:38" hidden="1" x14ac:dyDescent="0.25">
      <c r="A127" s="12" t="s">
        <v>60</v>
      </c>
      <c r="B127" s="12" t="s">
        <v>190</v>
      </c>
      <c r="C127" s="12" t="s">
        <v>126</v>
      </c>
      <c r="D127" s="12"/>
      <c r="E127" s="12">
        <f>MAX(G127:Z127)</f>
        <v>1000</v>
      </c>
      <c r="F127" s="12" t="str">
        <f>VLOOKUP(B127,[1]lookup!A:B,2,FALSE)</f>
        <v>Term</v>
      </c>
      <c r="G127" s="12">
        <v>0</v>
      </c>
      <c r="H127" s="12">
        <v>1000</v>
      </c>
      <c r="I127" s="12">
        <v>0</v>
      </c>
      <c r="J127" s="12">
        <v>500</v>
      </c>
      <c r="K127" s="12">
        <v>0</v>
      </c>
      <c r="L127" s="12">
        <v>0</v>
      </c>
      <c r="M127" s="12">
        <v>500</v>
      </c>
      <c r="N127" s="12">
        <v>0</v>
      </c>
      <c r="O127" s="12">
        <v>500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/>
      <c r="AC127" s="13">
        <f>M127*AC$2</f>
        <v>120000</v>
      </c>
      <c r="AD127" s="13">
        <f>J127*AD$2</f>
        <v>120000</v>
      </c>
      <c r="AE127" s="13">
        <f>J127*AE$2</f>
        <v>60000</v>
      </c>
      <c r="AF127" s="13">
        <f>H127*AF$2</f>
        <v>624000</v>
      </c>
      <c r="AG127" s="13">
        <f>H127*AG$2</f>
        <v>128000</v>
      </c>
      <c r="AH127" s="13">
        <f>H127*AH$2</f>
        <v>480000</v>
      </c>
      <c r="AI127" s="13">
        <f>H127*$AI$2</f>
        <v>197000</v>
      </c>
      <c r="AJ127" s="13">
        <f>AJ$2*H127</f>
        <v>600000</v>
      </c>
      <c r="AK127" s="15">
        <f>H127*AK$2</f>
        <v>120000</v>
      </c>
      <c r="AL127" s="14">
        <f>SUM(AC127:AK127)</f>
        <v>2449000</v>
      </c>
    </row>
    <row r="128" spans="1:38" hidden="1" x14ac:dyDescent="0.25">
      <c r="A128" s="12" t="s">
        <v>60</v>
      </c>
      <c r="B128" s="12" t="s">
        <v>226</v>
      </c>
      <c r="C128" s="12" t="s">
        <v>126</v>
      </c>
      <c r="D128" s="12"/>
      <c r="E128" s="12">
        <f>MAX(G128:Z128)</f>
        <v>807</v>
      </c>
      <c r="F128" s="12" t="str">
        <f>VLOOKUP(B128,[1]lookup!A:B,2,FALSE)</f>
        <v>Term</v>
      </c>
      <c r="G128" s="12">
        <v>0</v>
      </c>
      <c r="H128" s="12">
        <v>226</v>
      </c>
      <c r="I128" s="12">
        <v>0</v>
      </c>
      <c r="J128" s="12">
        <v>226</v>
      </c>
      <c r="K128" s="12">
        <v>0</v>
      </c>
      <c r="L128" s="12">
        <v>0</v>
      </c>
      <c r="M128" s="12">
        <v>807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/>
      <c r="AC128" s="13">
        <f>M128*AC$2</f>
        <v>193680</v>
      </c>
      <c r="AD128" s="13">
        <f>J128*AD$2</f>
        <v>54240</v>
      </c>
      <c r="AE128" s="13">
        <f>J128*AE$2</f>
        <v>27120</v>
      </c>
      <c r="AF128" s="13">
        <f>H128*AF$2</f>
        <v>141024</v>
      </c>
      <c r="AG128" s="13">
        <f>H128*AG$2</f>
        <v>28928</v>
      </c>
      <c r="AH128" s="13">
        <f>H128*AH$2</f>
        <v>108480</v>
      </c>
      <c r="AI128" s="13">
        <f>H128*$AI$2</f>
        <v>44522</v>
      </c>
      <c r="AJ128" s="13">
        <f>AJ$2*H128</f>
        <v>135600</v>
      </c>
      <c r="AK128" s="15">
        <f>H128*AK$2</f>
        <v>27120</v>
      </c>
      <c r="AL128" s="14">
        <f>SUM(AC128:AK128)</f>
        <v>760714</v>
      </c>
    </row>
    <row r="129" spans="1:38" hidden="1" x14ac:dyDescent="0.25">
      <c r="A129" s="12" t="s">
        <v>60</v>
      </c>
      <c r="B129" s="12" t="s">
        <v>254</v>
      </c>
      <c r="C129" s="12" t="s">
        <v>126</v>
      </c>
      <c r="D129" s="12"/>
      <c r="E129" s="12">
        <f>MAX(G129:Z129)</f>
        <v>700</v>
      </c>
      <c r="F129" s="12" t="str">
        <f>VLOOKUP(B129,[1]lookup!A:B,2,FALSE)</f>
        <v>Term</v>
      </c>
      <c r="G129" s="12">
        <v>0</v>
      </c>
      <c r="H129" s="12">
        <v>700</v>
      </c>
      <c r="I129" s="12">
        <v>0</v>
      </c>
      <c r="J129" s="12">
        <v>550</v>
      </c>
      <c r="K129" s="12">
        <v>550</v>
      </c>
      <c r="L129" s="12">
        <v>0</v>
      </c>
      <c r="M129" s="12">
        <v>550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17</v>
      </c>
      <c r="X129" s="12">
        <v>0</v>
      </c>
      <c r="Y129" s="12">
        <v>0</v>
      </c>
      <c r="Z129" s="12">
        <v>0</v>
      </c>
      <c r="AA129" s="12"/>
      <c r="AC129" s="13">
        <f>M129*AC$2</f>
        <v>132000</v>
      </c>
      <c r="AF129" s="13">
        <f>H129*AF$2</f>
        <v>436800</v>
      </c>
      <c r="AG129" s="13">
        <f>H129*AG$2</f>
        <v>89600</v>
      </c>
      <c r="AH129" s="13">
        <f>H129*AH$2</f>
        <v>336000</v>
      </c>
      <c r="AI129" s="13">
        <f>H129*$AI$2</f>
        <v>137900</v>
      </c>
      <c r="AJ129" s="13">
        <f>AJ$2*H129</f>
        <v>420000</v>
      </c>
      <c r="AK129" s="15">
        <f>H129*AK$2</f>
        <v>84000</v>
      </c>
      <c r="AL129" s="14">
        <f>SUM(AC129:AK129)</f>
        <v>1636300</v>
      </c>
    </row>
    <row r="130" spans="1:38" hidden="1" x14ac:dyDescent="0.25">
      <c r="A130" s="12" t="s">
        <v>60</v>
      </c>
      <c r="B130" s="12" t="s">
        <v>255</v>
      </c>
      <c r="C130" s="12" t="s">
        <v>126</v>
      </c>
      <c r="D130" s="12"/>
      <c r="E130" s="12">
        <f>MAX(G130:Z130)</f>
        <v>693</v>
      </c>
      <c r="F130" s="12" t="str">
        <f>VLOOKUP(B130,[1]lookup!A:B,2,FALSE)</f>
        <v>Term</v>
      </c>
      <c r="G130" s="12">
        <v>0</v>
      </c>
      <c r="H130" s="12">
        <v>100</v>
      </c>
      <c r="I130" s="12">
        <v>0</v>
      </c>
      <c r="J130" s="12">
        <v>650</v>
      </c>
      <c r="K130" s="12">
        <v>0</v>
      </c>
      <c r="L130" s="12">
        <v>650</v>
      </c>
      <c r="M130" s="12">
        <v>693</v>
      </c>
      <c r="N130" s="12">
        <v>0</v>
      </c>
      <c r="O130" s="12">
        <v>650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/>
      <c r="AC130" s="13">
        <f>M130*AC$2</f>
        <v>166320</v>
      </c>
      <c r="AD130" s="13">
        <f>J130*AD$2</f>
        <v>156000</v>
      </c>
      <c r="AE130" s="13">
        <f>J130*AE$2</f>
        <v>78000</v>
      </c>
      <c r="AF130" s="13">
        <f>H130*AF$2</f>
        <v>62400</v>
      </c>
      <c r="AG130" s="13">
        <f>H130*AG$2</f>
        <v>12800</v>
      </c>
      <c r="AH130" s="13">
        <f>H130*AH$2</f>
        <v>48000</v>
      </c>
      <c r="AI130" s="13">
        <f>H130*$AI$2</f>
        <v>19700</v>
      </c>
      <c r="AJ130" s="13">
        <f>AJ$2*H130</f>
        <v>60000</v>
      </c>
      <c r="AK130" s="15">
        <f>H130*AK$2</f>
        <v>12000</v>
      </c>
      <c r="AL130" s="14">
        <f>SUM(AC130:AK130)</f>
        <v>615220</v>
      </c>
    </row>
    <row r="131" spans="1:38" hidden="1" x14ac:dyDescent="0.25">
      <c r="A131" s="12" t="s">
        <v>60</v>
      </c>
      <c r="B131" s="12" t="s">
        <v>270</v>
      </c>
      <c r="C131" s="12" t="s">
        <v>126</v>
      </c>
      <c r="D131" s="12"/>
      <c r="E131" s="12">
        <f>MAX(G131:Z131)</f>
        <v>601</v>
      </c>
      <c r="F131" s="12" t="str">
        <f>VLOOKUP(B131,[1]lookup!A:B,2,FALSE)</f>
        <v>Term</v>
      </c>
      <c r="G131" s="12">
        <v>0</v>
      </c>
      <c r="H131" s="12">
        <v>600</v>
      </c>
      <c r="I131" s="12">
        <v>601</v>
      </c>
      <c r="J131" s="12">
        <v>600</v>
      </c>
      <c r="K131" s="12">
        <v>400</v>
      </c>
      <c r="L131" s="12">
        <v>0</v>
      </c>
      <c r="M131" s="12">
        <v>600</v>
      </c>
      <c r="N131" s="12">
        <v>0</v>
      </c>
      <c r="O131" s="12">
        <v>600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/>
      <c r="AC131" s="13">
        <f>M131*AC$2</f>
        <v>144000</v>
      </c>
      <c r="AF131" s="13">
        <f>H131*AF$2</f>
        <v>374400</v>
      </c>
      <c r="AG131" s="13">
        <f>H131*AG$2</f>
        <v>76800</v>
      </c>
      <c r="AH131" s="13">
        <f>H131*AH$2</f>
        <v>288000</v>
      </c>
      <c r="AI131" s="13">
        <f>H131*$AI$2</f>
        <v>118200</v>
      </c>
      <c r="AJ131" s="13">
        <f>AJ$2*H131</f>
        <v>360000</v>
      </c>
      <c r="AL131" s="14">
        <f>SUM(AC131:AK131)</f>
        <v>1361400</v>
      </c>
    </row>
    <row r="132" spans="1:38" hidden="1" x14ac:dyDescent="0.25">
      <c r="A132" s="12" t="s">
        <v>60</v>
      </c>
      <c r="B132" s="12" t="s">
        <v>279</v>
      </c>
      <c r="C132" s="12" t="s">
        <v>126</v>
      </c>
      <c r="D132" s="12"/>
      <c r="E132" s="12">
        <f>MAX(G132:Z132)</f>
        <v>585</v>
      </c>
      <c r="F132" s="12" t="str">
        <f>VLOOKUP(B132,[1]lookup!A:B,2,FALSE)</f>
        <v>Perpetual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585</v>
      </c>
      <c r="M132" s="12">
        <v>585</v>
      </c>
      <c r="N132" s="12">
        <v>0</v>
      </c>
      <c r="O132" s="12">
        <v>585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/>
      <c r="AC132" s="13">
        <f>M132*AC$2</f>
        <v>140400</v>
      </c>
      <c r="AL132" s="14">
        <f>SUM(AC132:AK132)</f>
        <v>140400</v>
      </c>
    </row>
    <row r="133" spans="1:38" hidden="1" x14ac:dyDescent="0.25">
      <c r="A133" s="12" t="s">
        <v>60</v>
      </c>
      <c r="B133" s="12" t="s">
        <v>286</v>
      </c>
      <c r="C133" s="12" t="s">
        <v>126</v>
      </c>
      <c r="D133" s="12"/>
      <c r="E133" s="12">
        <f>MAX(G133:Z133)</f>
        <v>558</v>
      </c>
      <c r="F133" s="12" t="str">
        <f>VLOOKUP(B133,[1]lookup!A:B,2,FALSE)</f>
        <v>Perpetual</v>
      </c>
      <c r="G133" s="12">
        <v>0</v>
      </c>
      <c r="H133" s="12">
        <v>557</v>
      </c>
      <c r="I133" s="12">
        <v>558</v>
      </c>
      <c r="J133" s="12">
        <v>0</v>
      </c>
      <c r="K133" s="12">
        <v>0</v>
      </c>
      <c r="L133" s="12">
        <v>0</v>
      </c>
      <c r="M133" s="12">
        <v>1</v>
      </c>
      <c r="N133" s="12">
        <v>0</v>
      </c>
      <c r="O133" s="12">
        <v>1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/>
      <c r="AC133" s="13">
        <f>M133*AC$2</f>
        <v>240</v>
      </c>
      <c r="AF133" s="13">
        <f>H133*AF$2</f>
        <v>347568</v>
      </c>
      <c r="AG133" s="13">
        <f>H133*AG$2</f>
        <v>71296</v>
      </c>
      <c r="AH133" s="13">
        <f>H133*AH$2</f>
        <v>267360</v>
      </c>
      <c r="AI133" s="13">
        <f>H133*$AI$2</f>
        <v>109729</v>
      </c>
      <c r="AJ133" s="13">
        <f>AJ$2*H133</f>
        <v>334200</v>
      </c>
      <c r="AL133" s="14">
        <f>SUM(AC133:AK133)</f>
        <v>1130393</v>
      </c>
    </row>
    <row r="134" spans="1:38" hidden="1" x14ac:dyDescent="0.25">
      <c r="A134" s="12" t="s">
        <v>60</v>
      </c>
      <c r="B134" s="12" t="s">
        <v>301</v>
      </c>
      <c r="C134" s="12" t="s">
        <v>126</v>
      </c>
      <c r="D134" s="12"/>
      <c r="E134" s="12">
        <f>MAX(G134:Z134)</f>
        <v>503</v>
      </c>
      <c r="F134" s="12" t="str">
        <f>VLOOKUP(B134,[1]lookup!A:B,2,FALSE)</f>
        <v>Term</v>
      </c>
      <c r="G134" s="12">
        <v>0</v>
      </c>
      <c r="H134" s="12">
        <v>503</v>
      </c>
      <c r="I134" s="12">
        <v>503</v>
      </c>
      <c r="J134" s="12">
        <v>353</v>
      </c>
      <c r="K134" s="12">
        <v>503</v>
      </c>
      <c r="L134" s="12">
        <v>353</v>
      </c>
      <c r="M134" s="12">
        <v>353</v>
      </c>
      <c r="N134" s="12">
        <v>0</v>
      </c>
      <c r="O134" s="12">
        <v>0</v>
      </c>
      <c r="P134" s="12">
        <v>353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/>
      <c r="AC134" s="13">
        <f>M134*AC$2</f>
        <v>84720</v>
      </c>
      <c r="AF134" s="13">
        <f>H134*AF$2</f>
        <v>313872</v>
      </c>
      <c r="AG134" s="13">
        <f>H134*AG$2</f>
        <v>64384</v>
      </c>
      <c r="AH134" s="13">
        <f>H134*AH$2</f>
        <v>241440</v>
      </c>
      <c r="AI134" s="13">
        <f>H134*$AI$2</f>
        <v>99091</v>
      </c>
      <c r="AL134" s="14">
        <f>SUM(AC134:AK134)</f>
        <v>803507</v>
      </c>
    </row>
    <row r="135" spans="1:38" hidden="1" x14ac:dyDescent="0.25">
      <c r="A135" s="12" t="s">
        <v>73</v>
      </c>
      <c r="B135" s="12" t="s">
        <v>74</v>
      </c>
      <c r="C135" s="12" t="s">
        <v>55</v>
      </c>
      <c r="D135" s="12"/>
      <c r="E135" s="12">
        <f>MAX(G135:Z135)</f>
        <v>5452</v>
      </c>
      <c r="F135" s="12" t="str">
        <f>VLOOKUP(B135,[1]lookup!A:B,2,FALSE)</f>
        <v>Term</v>
      </c>
      <c r="G135" s="12">
        <v>0</v>
      </c>
      <c r="H135" s="12">
        <v>5452</v>
      </c>
      <c r="I135" s="12">
        <v>0</v>
      </c>
      <c r="J135" s="12">
        <v>5452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/>
      <c r="AC135" s="13">
        <f>M135*AC$2</f>
        <v>0</v>
      </c>
      <c r="AD135" s="13">
        <f>J135*AD$2</f>
        <v>1308480</v>
      </c>
      <c r="AE135" s="13">
        <f>J135*AE$2</f>
        <v>654240</v>
      </c>
      <c r="AF135" s="13">
        <f>H135*AF$2</f>
        <v>3402048</v>
      </c>
      <c r="AG135" s="13">
        <f>H135*AG$2</f>
        <v>697856</v>
      </c>
      <c r="AH135" s="13">
        <f>H135*AH$2</f>
        <v>2616960</v>
      </c>
      <c r="AI135" s="13">
        <f>H135*$AI$2</f>
        <v>1074044</v>
      </c>
      <c r="AJ135" s="13">
        <f>AJ$2*H135</f>
        <v>3271200</v>
      </c>
      <c r="AK135" s="15">
        <f>H135*AK$2</f>
        <v>654240</v>
      </c>
      <c r="AL135" s="14">
        <f>SUM(AC135:AK135)</f>
        <v>13679068</v>
      </c>
    </row>
    <row r="136" spans="1:38" hidden="1" x14ac:dyDescent="0.25">
      <c r="A136" s="12" t="s">
        <v>73</v>
      </c>
      <c r="B136" s="12" t="s">
        <v>63</v>
      </c>
      <c r="C136" s="12" t="s">
        <v>126</v>
      </c>
      <c r="D136" s="12"/>
      <c r="E136" s="12">
        <f>MAX(G136:Z136)</f>
        <v>1624</v>
      </c>
      <c r="F136" s="12" t="str">
        <f>VLOOKUP(B136,[1]lookup!A:B,2,FALSE)</f>
        <v>Term</v>
      </c>
      <c r="G136" s="12">
        <v>0</v>
      </c>
      <c r="H136" s="12">
        <v>1624</v>
      </c>
      <c r="I136" s="12">
        <v>0</v>
      </c>
      <c r="J136" s="12">
        <v>1624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/>
      <c r="AC136" s="13">
        <f>M136*AC$2</f>
        <v>0</v>
      </c>
      <c r="AD136" s="13">
        <f>J136*AD$2</f>
        <v>389760</v>
      </c>
      <c r="AE136" s="13">
        <f>J136*AE$2</f>
        <v>194880</v>
      </c>
      <c r="AF136" s="13">
        <f>H136*AF$2</f>
        <v>1013376</v>
      </c>
      <c r="AG136" s="13">
        <f>H136*AG$2</f>
        <v>207872</v>
      </c>
      <c r="AH136" s="13">
        <f>H136*AH$2</f>
        <v>779520</v>
      </c>
      <c r="AI136" s="13">
        <f>H136*$AI$2</f>
        <v>319928</v>
      </c>
      <c r="AJ136" s="13">
        <f>AJ$2*H136</f>
        <v>974400</v>
      </c>
      <c r="AK136" s="15">
        <f>H136*AK$2</f>
        <v>194880</v>
      </c>
      <c r="AL136" s="14">
        <f>SUM(AC136:AK136)</f>
        <v>4074616</v>
      </c>
    </row>
    <row r="137" spans="1:38" hidden="1" x14ac:dyDescent="0.25">
      <c r="A137" s="12" t="s">
        <v>104</v>
      </c>
      <c r="B137" s="12" t="s">
        <v>105</v>
      </c>
      <c r="C137" s="12" t="s">
        <v>82</v>
      </c>
      <c r="D137" s="12"/>
      <c r="E137" s="12">
        <f>MAX(G137:Z137)</f>
        <v>2511</v>
      </c>
      <c r="F137" s="12" t="str">
        <f>VLOOKUP(B137,[1]lookup!A:B,2,FALSE)</f>
        <v>SaaS</v>
      </c>
      <c r="G137" s="12">
        <v>0</v>
      </c>
      <c r="H137" s="12">
        <v>0</v>
      </c>
      <c r="I137" s="12">
        <v>0</v>
      </c>
      <c r="J137" s="12">
        <v>2511</v>
      </c>
      <c r="K137" s="12">
        <v>0</v>
      </c>
      <c r="L137" s="12">
        <v>0</v>
      </c>
      <c r="M137" s="12">
        <v>0</v>
      </c>
      <c r="N137" s="12">
        <v>837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/>
      <c r="AC137" s="13">
        <f>M137*AC$2</f>
        <v>0</v>
      </c>
      <c r="AD137" s="13">
        <f>J137*AD$2</f>
        <v>602640</v>
      </c>
      <c r="AE137" s="13">
        <f>J137*AE$2</f>
        <v>301320</v>
      </c>
      <c r="AL137" s="14">
        <f>SUM(AC137:AK137)</f>
        <v>903960</v>
      </c>
    </row>
    <row r="138" spans="1:38" hidden="1" x14ac:dyDescent="0.25">
      <c r="A138" s="12" t="s">
        <v>104</v>
      </c>
      <c r="B138" s="12" t="s">
        <v>189</v>
      </c>
      <c r="C138" s="12" t="s">
        <v>126</v>
      </c>
      <c r="D138" s="12"/>
      <c r="E138" s="12">
        <f>MAX(G138:Z138)</f>
        <v>1005</v>
      </c>
      <c r="F138" s="12" t="str">
        <f>VLOOKUP(B138,[1]lookup!A:B,2,FALSE)</f>
        <v>Term</v>
      </c>
      <c r="G138" s="12">
        <v>0</v>
      </c>
      <c r="H138" s="12">
        <v>460</v>
      </c>
      <c r="I138" s="12">
        <v>462</v>
      </c>
      <c r="J138" s="12">
        <v>460</v>
      </c>
      <c r="K138" s="12">
        <v>0</v>
      </c>
      <c r="L138" s="12">
        <v>615</v>
      </c>
      <c r="M138" s="12">
        <v>529</v>
      </c>
      <c r="N138" s="12">
        <v>0</v>
      </c>
      <c r="O138" s="12">
        <v>1005</v>
      </c>
      <c r="P138" s="12">
        <v>460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/>
      <c r="AC138" s="13">
        <f>M138*AC$2</f>
        <v>126960</v>
      </c>
      <c r="AD138" s="13">
        <f>J138*AD$2</f>
        <v>110400</v>
      </c>
      <c r="AF138" s="13">
        <f>H138*AF$2</f>
        <v>287040</v>
      </c>
      <c r="AG138" s="13">
        <f>H138*AG$2</f>
        <v>58880</v>
      </c>
      <c r="AH138" s="13">
        <f>H138*AH$2</f>
        <v>220800</v>
      </c>
      <c r="AI138" s="13">
        <f>H138*$AI$2</f>
        <v>90620</v>
      </c>
      <c r="AL138" s="14">
        <f>SUM(AC138:AK138)</f>
        <v>894700</v>
      </c>
    </row>
    <row r="139" spans="1:38" hidden="1" x14ac:dyDescent="0.25">
      <c r="A139" s="12" t="s">
        <v>104</v>
      </c>
      <c r="B139" s="12" t="s">
        <v>215</v>
      </c>
      <c r="C139" s="12" t="s">
        <v>126</v>
      </c>
      <c r="D139" s="12"/>
      <c r="E139" s="12">
        <f>MAX(G139:Z139)</f>
        <v>873</v>
      </c>
      <c r="F139" s="12" t="str">
        <f>VLOOKUP(B139,[1]lookup!A:B,2,FALSE)</f>
        <v>Perpetual</v>
      </c>
      <c r="G139" s="12">
        <v>0</v>
      </c>
      <c r="H139" s="12">
        <v>873</v>
      </c>
      <c r="I139" s="12">
        <v>873</v>
      </c>
      <c r="J139" s="12">
        <v>873</v>
      </c>
      <c r="K139" s="12">
        <v>0</v>
      </c>
      <c r="L139" s="12">
        <v>143</v>
      </c>
      <c r="M139" s="12">
        <v>175</v>
      </c>
      <c r="N139" s="12">
        <v>0</v>
      </c>
      <c r="O139" s="12">
        <v>873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/>
      <c r="AC139" s="13">
        <f>M139*AC$2</f>
        <v>42000</v>
      </c>
      <c r="AD139" s="13">
        <f>J139*AD$2</f>
        <v>209520</v>
      </c>
      <c r="AE139" s="13">
        <f>J139*AE$2</f>
        <v>104760</v>
      </c>
      <c r="AF139" s="13">
        <f>H139*AF$2</f>
        <v>544752</v>
      </c>
      <c r="AG139" s="13">
        <f>H139*AG$2</f>
        <v>111744</v>
      </c>
      <c r="AH139" s="13">
        <f>H139*AH$2</f>
        <v>419040</v>
      </c>
      <c r="AI139" s="13">
        <f>H139*$AI$2</f>
        <v>171981</v>
      </c>
      <c r="AJ139" s="13">
        <f>AJ$2*H139</f>
        <v>523800</v>
      </c>
      <c r="AL139" s="14">
        <f>SUM(AC139:AK139)</f>
        <v>2127597</v>
      </c>
    </row>
    <row r="140" spans="1:38" hidden="1" x14ac:dyDescent="0.25">
      <c r="A140" s="12" t="s">
        <v>104</v>
      </c>
      <c r="B140" s="12" t="s">
        <v>290</v>
      </c>
      <c r="C140" s="12" t="s">
        <v>126</v>
      </c>
      <c r="D140" s="12"/>
      <c r="E140" s="12">
        <f>MAX(G140:Z140)</f>
        <v>522</v>
      </c>
      <c r="F140" s="12" t="str">
        <f>VLOOKUP(B140,[1]lookup!A:B,2,FALSE)</f>
        <v>Perpetual</v>
      </c>
      <c r="G140" s="12">
        <v>0</v>
      </c>
      <c r="H140" s="12">
        <v>522</v>
      </c>
      <c r="I140" s="12">
        <v>272</v>
      </c>
      <c r="J140" s="12">
        <v>522</v>
      </c>
      <c r="K140" s="12">
        <v>0</v>
      </c>
      <c r="L140" s="12">
        <v>240</v>
      </c>
      <c r="M140" s="12">
        <v>522</v>
      </c>
      <c r="N140" s="12">
        <v>0</v>
      </c>
      <c r="O140" s="12">
        <v>271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/>
      <c r="AC140" s="13">
        <f>M140*AC$2</f>
        <v>125280</v>
      </c>
      <c r="AD140" s="13">
        <f>J140*AD$2</f>
        <v>125280</v>
      </c>
      <c r="AE140" s="13">
        <f>J140*AE$2</f>
        <v>62640</v>
      </c>
      <c r="AF140" s="13">
        <f>H140*AF$2</f>
        <v>325728</v>
      </c>
      <c r="AG140" s="13">
        <f>H140*AG$2</f>
        <v>66816</v>
      </c>
      <c r="AH140" s="13">
        <f>H140*AH$2</f>
        <v>250560</v>
      </c>
      <c r="AI140" s="13">
        <f>H140*$AI$2</f>
        <v>102834</v>
      </c>
      <c r="AJ140" s="13">
        <f>AJ$2*H140</f>
        <v>313200</v>
      </c>
      <c r="AL140" s="14">
        <f>SUM(AC140:AK140)</f>
        <v>1372338</v>
      </c>
    </row>
    <row r="141" spans="1:38" hidden="1" x14ac:dyDescent="0.25">
      <c r="A141" s="12" t="s">
        <v>108</v>
      </c>
      <c r="B141" s="12" t="s">
        <v>109</v>
      </c>
      <c r="C141" s="12" t="s">
        <v>82</v>
      </c>
      <c r="D141" s="12"/>
      <c r="E141" s="12">
        <f>MAX(G141:Z141)</f>
        <v>2375</v>
      </c>
      <c r="F141" s="12" t="s">
        <v>70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2375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/>
      <c r="AC141" s="13">
        <f>M141*AC$2</f>
        <v>0</v>
      </c>
      <c r="AL141" s="14">
        <f>SUM(AC141:AK141)</f>
        <v>0</v>
      </c>
    </row>
    <row r="142" spans="1:38" hidden="1" x14ac:dyDescent="0.25">
      <c r="A142" s="12" t="s">
        <v>51</v>
      </c>
      <c r="B142" s="12" t="s">
        <v>52</v>
      </c>
      <c r="C142" s="12" t="s">
        <v>48</v>
      </c>
      <c r="D142" s="12"/>
      <c r="E142" s="12">
        <f>MAX(G142:Z142)</f>
        <v>10200</v>
      </c>
      <c r="F142" s="12" t="str">
        <f>VLOOKUP(B142,[1]lookup!A:B,2,FALSE)</f>
        <v>Term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10200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C142" s="13">
        <f>M142*AC$2</f>
        <v>0</v>
      </c>
      <c r="AL142" s="14">
        <f>SUM(AC142:AK142)</f>
        <v>0</v>
      </c>
    </row>
    <row r="143" spans="1:38" hidden="1" x14ac:dyDescent="0.25">
      <c r="A143" s="12" t="s">
        <v>51</v>
      </c>
      <c r="B143" s="12" t="s">
        <v>69</v>
      </c>
      <c r="C143" s="12" t="s">
        <v>55</v>
      </c>
      <c r="D143" s="12"/>
      <c r="E143" s="12">
        <f>MAX(G143:Z143)</f>
        <v>6340</v>
      </c>
      <c r="F143" s="12" t="s">
        <v>70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6340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/>
      <c r="AC143" s="13">
        <f>M143*AC$2</f>
        <v>0</v>
      </c>
      <c r="AL143" s="14">
        <f>SUM(AC143:AK143)</f>
        <v>0</v>
      </c>
    </row>
    <row r="144" spans="1:38" hidden="1" x14ac:dyDescent="0.25">
      <c r="A144" s="12" t="s">
        <v>51</v>
      </c>
      <c r="B144" s="12" t="s">
        <v>83</v>
      </c>
      <c r="C144" s="12" t="s">
        <v>82</v>
      </c>
      <c r="D144" s="12"/>
      <c r="E144" s="12">
        <f>MAX(G144:Z144)</f>
        <v>4002</v>
      </c>
      <c r="F144" s="12" t="str">
        <f>VLOOKUP(B144,[1]lookup!A:B,2,FALSE)</f>
        <v>Term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4002</v>
      </c>
      <c r="X144" s="12">
        <v>0</v>
      </c>
      <c r="Y144" s="12">
        <v>0</v>
      </c>
      <c r="Z144" s="12">
        <v>0</v>
      </c>
      <c r="AA144" s="12"/>
      <c r="AC144" s="13">
        <f>M144*AC$2</f>
        <v>0</v>
      </c>
      <c r="AL144" s="14">
        <f>SUM(AC144:AK144)</f>
        <v>0</v>
      </c>
    </row>
    <row r="145" spans="1:38" hidden="1" x14ac:dyDescent="0.25">
      <c r="A145" s="12" t="s">
        <v>51</v>
      </c>
      <c r="B145" s="12" t="s">
        <v>100</v>
      </c>
      <c r="C145" s="12" t="s">
        <v>82</v>
      </c>
      <c r="D145" s="12"/>
      <c r="E145" s="12">
        <f>MAX(G145:Z145)</f>
        <v>2755</v>
      </c>
      <c r="F145" s="12" t="s">
        <v>70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2755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/>
      <c r="AC145" s="13">
        <f>M145*AC$2</f>
        <v>0</v>
      </c>
      <c r="AL145" s="14">
        <f>SUM(AC145:AK145)</f>
        <v>0</v>
      </c>
    </row>
    <row r="146" spans="1:38" hidden="1" x14ac:dyDescent="0.25">
      <c r="A146" s="12" t="s">
        <v>51</v>
      </c>
      <c r="B146" s="12" t="s">
        <v>110</v>
      </c>
      <c r="C146" s="12" t="s">
        <v>82</v>
      </c>
      <c r="D146" s="12"/>
      <c r="E146" s="12">
        <f>MAX(G146:Z146)</f>
        <v>2328</v>
      </c>
      <c r="F146" s="12" t="s">
        <v>70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2328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/>
      <c r="AC146" s="13">
        <f>M146*AC$2</f>
        <v>0</v>
      </c>
      <c r="AL146" s="14">
        <f>SUM(AC146:AK146)</f>
        <v>0</v>
      </c>
    </row>
    <row r="147" spans="1:38" hidden="1" x14ac:dyDescent="0.25">
      <c r="A147" s="12" t="s">
        <v>51</v>
      </c>
      <c r="B147" s="12" t="s">
        <v>118</v>
      </c>
      <c r="C147" s="12" t="s">
        <v>82</v>
      </c>
      <c r="D147" s="12"/>
      <c r="E147" s="12">
        <f>MAX(G147:Z147)</f>
        <v>2160</v>
      </c>
      <c r="F147" s="12" t="s">
        <v>70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2160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/>
      <c r="AC147" s="13">
        <f>M147*AC$2</f>
        <v>0</v>
      </c>
      <c r="AL147" s="14">
        <f>SUM(AC147:AK147)</f>
        <v>0</v>
      </c>
    </row>
    <row r="148" spans="1:38" hidden="1" x14ac:dyDescent="0.25">
      <c r="A148" s="12" t="s">
        <v>51</v>
      </c>
      <c r="B148" s="12" t="s">
        <v>119</v>
      </c>
      <c r="C148" s="12" t="s">
        <v>82</v>
      </c>
      <c r="D148" s="12"/>
      <c r="E148" s="12">
        <f>MAX(G148:Z148)</f>
        <v>2148</v>
      </c>
      <c r="F148" s="12" t="s">
        <v>70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2148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/>
      <c r="AC148" s="13">
        <f>M148*AC$2</f>
        <v>0</v>
      </c>
      <c r="AL148" s="14">
        <f>SUM(AC148:AK148)</f>
        <v>0</v>
      </c>
    </row>
    <row r="149" spans="1:38" hidden="1" x14ac:dyDescent="0.25">
      <c r="A149" s="12" t="s">
        <v>51</v>
      </c>
      <c r="B149" s="12" t="s">
        <v>127</v>
      </c>
      <c r="C149" s="12" t="s">
        <v>126</v>
      </c>
      <c r="D149" s="12"/>
      <c r="E149" s="12">
        <f>MAX(G149:Z149)</f>
        <v>2002</v>
      </c>
      <c r="F149" s="12" t="s">
        <v>70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2002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/>
      <c r="AC149" s="13">
        <f>M149*AC$2</f>
        <v>0</v>
      </c>
      <c r="AL149" s="14">
        <f>SUM(AC149:AK149)</f>
        <v>0</v>
      </c>
    </row>
    <row r="150" spans="1:38" hidden="1" x14ac:dyDescent="0.25">
      <c r="A150" s="12" t="s">
        <v>51</v>
      </c>
      <c r="B150" s="12" t="s">
        <v>139</v>
      </c>
      <c r="C150" s="12" t="s">
        <v>126</v>
      </c>
      <c r="D150" s="12"/>
      <c r="E150" s="12">
        <f>MAX(G150:Z150)</f>
        <v>1647</v>
      </c>
      <c r="F150" s="12" t="s">
        <v>70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1647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/>
      <c r="AC150" s="13">
        <f>M150*AC$2</f>
        <v>0</v>
      </c>
      <c r="AL150" s="14">
        <f>SUM(AC150:AK150)</f>
        <v>0</v>
      </c>
    </row>
    <row r="151" spans="1:38" hidden="1" x14ac:dyDescent="0.25">
      <c r="A151" s="12" t="s">
        <v>51</v>
      </c>
      <c r="B151" s="12" t="s">
        <v>152</v>
      </c>
      <c r="C151" s="12" t="s">
        <v>126</v>
      </c>
      <c r="D151" s="12"/>
      <c r="E151" s="12">
        <f>MAX(G151:Z151)</f>
        <v>1400</v>
      </c>
      <c r="F151" s="12" t="s">
        <v>70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1400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/>
      <c r="AC151" s="13">
        <f>M151*AC$2</f>
        <v>0</v>
      </c>
      <c r="AL151" s="14">
        <f>SUM(AC151:AK151)</f>
        <v>0</v>
      </c>
    </row>
    <row r="152" spans="1:38" hidden="1" x14ac:dyDescent="0.25">
      <c r="A152" s="12" t="s">
        <v>51</v>
      </c>
      <c r="B152" s="12" t="s">
        <v>154</v>
      </c>
      <c r="C152" s="12" t="s">
        <v>126</v>
      </c>
      <c r="D152" s="12"/>
      <c r="E152" s="12">
        <f>MAX(G152:Z152)</f>
        <v>1335</v>
      </c>
      <c r="F152" s="12" t="s">
        <v>70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1335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/>
      <c r="AC152" s="13">
        <f>M152*AC$2</f>
        <v>0</v>
      </c>
      <c r="AL152" s="14">
        <f>SUM(AC152:AK152)</f>
        <v>0</v>
      </c>
    </row>
    <row r="153" spans="1:38" hidden="1" x14ac:dyDescent="0.25">
      <c r="A153" s="12" t="s">
        <v>51</v>
      </c>
      <c r="B153" s="12" t="s">
        <v>170</v>
      </c>
      <c r="C153" s="12" t="s">
        <v>126</v>
      </c>
      <c r="D153" s="12"/>
      <c r="E153" s="12">
        <f>MAX(G153:Z153)</f>
        <v>1130</v>
      </c>
      <c r="F153" s="12" t="str">
        <f>VLOOKUP(B153,[1]lookup!A:B,2,FALSE)</f>
        <v>SaaS</v>
      </c>
      <c r="G153" s="12">
        <v>1130</v>
      </c>
      <c r="H153" s="12">
        <v>1130</v>
      </c>
      <c r="I153" s="12">
        <v>0</v>
      </c>
      <c r="J153" s="12">
        <v>800</v>
      </c>
      <c r="K153" s="12">
        <v>800</v>
      </c>
      <c r="L153" s="12">
        <v>800</v>
      </c>
      <c r="M153" s="12">
        <v>380</v>
      </c>
      <c r="N153" s="12">
        <v>0</v>
      </c>
      <c r="O153" s="12">
        <v>0</v>
      </c>
      <c r="P153" s="12">
        <v>800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/>
      <c r="AC153" s="13">
        <f>M153*AC$2</f>
        <v>91200</v>
      </c>
      <c r="AF153" s="13">
        <f>H153*AF$2</f>
        <v>705120</v>
      </c>
      <c r="AL153" s="14">
        <f>SUM(AC153:AK153)</f>
        <v>796320</v>
      </c>
    </row>
    <row r="154" spans="1:38" hidden="1" x14ac:dyDescent="0.25">
      <c r="A154" s="12" t="s">
        <v>51</v>
      </c>
      <c r="B154" s="12" t="s">
        <v>171</v>
      </c>
      <c r="C154" s="12" t="s">
        <v>126</v>
      </c>
      <c r="D154" s="12"/>
      <c r="E154" s="12">
        <f>MAX(G154:Z154)</f>
        <v>1130</v>
      </c>
      <c r="F154" s="12" t="s">
        <v>70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1130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/>
      <c r="AC154" s="13">
        <f>M154*AC$2</f>
        <v>0</v>
      </c>
      <c r="AL154" s="14">
        <f>SUM(AC154:AK154)</f>
        <v>0</v>
      </c>
    </row>
    <row r="155" spans="1:38" hidden="1" x14ac:dyDescent="0.25">
      <c r="A155" s="12" t="s">
        <v>51</v>
      </c>
      <c r="B155" s="12" t="s">
        <v>182</v>
      </c>
      <c r="C155" s="12" t="s">
        <v>126</v>
      </c>
      <c r="D155" s="12"/>
      <c r="E155" s="12">
        <f>MAX(G155:Z155)</f>
        <v>1050</v>
      </c>
      <c r="F155" s="12" t="s">
        <v>70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1050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/>
      <c r="AC155" s="13">
        <f>M155*AC$2</f>
        <v>0</v>
      </c>
      <c r="AL155" s="14">
        <f>SUM(AC155:AK155)</f>
        <v>0</v>
      </c>
    </row>
    <row r="156" spans="1:38" hidden="1" x14ac:dyDescent="0.25">
      <c r="A156" s="12" t="s">
        <v>51</v>
      </c>
      <c r="B156" s="12" t="s">
        <v>115</v>
      </c>
      <c r="C156" s="12" t="s">
        <v>126</v>
      </c>
      <c r="D156" s="12"/>
      <c r="E156" s="12">
        <f>MAX(G156:Z156)</f>
        <v>1042</v>
      </c>
      <c r="F156" s="12" t="str">
        <f>VLOOKUP(B156,[1]lookup!A:B,2,FALSE)</f>
        <v>Term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1042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/>
      <c r="AC156" s="13">
        <f>M156*AC$2</f>
        <v>0</v>
      </c>
      <c r="AL156" s="14">
        <f>SUM(AC156:AK156)</f>
        <v>0</v>
      </c>
    </row>
    <row r="157" spans="1:38" hidden="1" x14ac:dyDescent="0.25">
      <c r="A157" s="12" t="s">
        <v>51</v>
      </c>
      <c r="B157" s="12" t="s">
        <v>193</v>
      </c>
      <c r="C157" s="12" t="s">
        <v>126</v>
      </c>
      <c r="D157" s="12"/>
      <c r="E157" s="12">
        <f>MAX(G157:Z157)</f>
        <v>1000</v>
      </c>
      <c r="F157" s="12" t="s">
        <v>70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1000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/>
      <c r="AC157" s="13">
        <f>M157*AC$2</f>
        <v>0</v>
      </c>
      <c r="AL157" s="14">
        <f>SUM(AC157:AK157)</f>
        <v>0</v>
      </c>
    </row>
    <row r="158" spans="1:38" hidden="1" x14ac:dyDescent="0.25">
      <c r="A158" s="12" t="s">
        <v>51</v>
      </c>
      <c r="B158" s="12" t="s">
        <v>202</v>
      </c>
      <c r="C158" s="12" t="s">
        <v>126</v>
      </c>
      <c r="D158" s="12"/>
      <c r="E158" s="12">
        <f>MAX(G158:Z158)</f>
        <v>955</v>
      </c>
      <c r="F158" s="12" t="s">
        <v>70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955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/>
      <c r="AC158" s="13">
        <f>M158*AC$2</f>
        <v>0</v>
      </c>
      <c r="AL158" s="14">
        <f>SUM(AC158:AK158)</f>
        <v>0</v>
      </c>
    </row>
    <row r="159" spans="1:38" hidden="1" x14ac:dyDescent="0.25">
      <c r="A159" s="12" t="s">
        <v>51</v>
      </c>
      <c r="B159" s="12" t="s">
        <v>213</v>
      </c>
      <c r="C159" s="12" t="s">
        <v>126</v>
      </c>
      <c r="D159" s="12"/>
      <c r="E159" s="12">
        <f>MAX(G159:Z159)</f>
        <v>882</v>
      </c>
      <c r="F159" s="12" t="s">
        <v>70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882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/>
      <c r="AC159" s="13">
        <f>M159*AC$2</f>
        <v>0</v>
      </c>
      <c r="AL159" s="14">
        <f>SUM(AC159:AK159)</f>
        <v>0</v>
      </c>
    </row>
    <row r="160" spans="1:38" hidden="1" x14ac:dyDescent="0.25">
      <c r="A160" s="12" t="s">
        <v>51</v>
      </c>
      <c r="B160" s="12" t="s">
        <v>232</v>
      </c>
      <c r="C160" s="12" t="s">
        <v>126</v>
      </c>
      <c r="D160" s="12"/>
      <c r="E160" s="12">
        <f>MAX(G160:Z160)</f>
        <v>800</v>
      </c>
      <c r="F160" s="12" t="s">
        <v>70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800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/>
      <c r="AC160" s="13">
        <f>M160*AC$2</f>
        <v>0</v>
      </c>
      <c r="AL160" s="14">
        <f>SUM(AC160:AK160)</f>
        <v>0</v>
      </c>
    </row>
    <row r="161" spans="1:38" hidden="1" x14ac:dyDescent="0.25">
      <c r="A161" s="12" t="s">
        <v>51</v>
      </c>
      <c r="B161" s="12" t="s">
        <v>251</v>
      </c>
      <c r="C161" s="12" t="s">
        <v>126</v>
      </c>
      <c r="D161" s="12"/>
      <c r="E161" s="12">
        <f>MAX(G161:Z161)</f>
        <v>718</v>
      </c>
      <c r="F161" s="12" t="s">
        <v>70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718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/>
      <c r="AC161" s="13">
        <f>M161*AC$2</f>
        <v>0</v>
      </c>
      <c r="AL161" s="14">
        <f>SUM(AC161:AK161)</f>
        <v>0</v>
      </c>
    </row>
    <row r="162" spans="1:38" hidden="1" x14ac:dyDescent="0.25">
      <c r="A162" s="12" t="s">
        <v>51</v>
      </c>
      <c r="B162" s="12" t="s">
        <v>263</v>
      </c>
      <c r="C162" s="12" t="s">
        <v>126</v>
      </c>
      <c r="D162" s="12"/>
      <c r="E162" s="12">
        <f>MAX(G162:Z162)</f>
        <v>650</v>
      </c>
      <c r="F162" s="12" t="s">
        <v>70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650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/>
      <c r="AC162" s="13">
        <f>M162*AC$2</f>
        <v>0</v>
      </c>
      <c r="AL162" s="14">
        <f>SUM(AC162:AK162)</f>
        <v>0</v>
      </c>
    </row>
    <row r="163" spans="1:38" hidden="1" x14ac:dyDescent="0.25">
      <c r="A163" s="12" t="s">
        <v>51</v>
      </c>
      <c r="B163" s="12" t="s">
        <v>269</v>
      </c>
      <c r="C163" s="12" t="s">
        <v>126</v>
      </c>
      <c r="D163" s="12"/>
      <c r="E163" s="12">
        <f>MAX(G163:Z163)</f>
        <v>602</v>
      </c>
      <c r="F163" s="12" t="s">
        <v>70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602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/>
      <c r="AC163" s="13">
        <f>M163*AC$2</f>
        <v>0</v>
      </c>
      <c r="AL163" s="14">
        <f>SUM(AC163:AK163)</f>
        <v>0</v>
      </c>
    </row>
    <row r="164" spans="1:38" hidden="1" x14ac:dyDescent="0.25">
      <c r="A164" s="12" t="s">
        <v>51</v>
      </c>
      <c r="B164" s="12" t="s">
        <v>278</v>
      </c>
      <c r="C164" s="12" t="s">
        <v>126</v>
      </c>
      <c r="D164" s="12"/>
      <c r="E164" s="12">
        <f>MAX(G164:Z164)</f>
        <v>586</v>
      </c>
      <c r="F164" s="12" t="s">
        <v>70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586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/>
      <c r="AC164" s="13">
        <f>M164*AC$2</f>
        <v>0</v>
      </c>
      <c r="AL164" s="14">
        <f>SUM(AC164:AK164)</f>
        <v>0</v>
      </c>
    </row>
    <row r="165" spans="1:38" hidden="1" x14ac:dyDescent="0.25">
      <c r="A165" s="12" t="s">
        <v>51</v>
      </c>
      <c r="B165" s="12" t="s">
        <v>282</v>
      </c>
      <c r="C165" s="12" t="s">
        <v>126</v>
      </c>
      <c r="D165" s="12"/>
      <c r="E165" s="12">
        <f>MAX(G165:Z165)</f>
        <v>566</v>
      </c>
      <c r="F165" s="12" t="s">
        <v>70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566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/>
      <c r="AC165" s="13">
        <f>M165*AC$2</f>
        <v>0</v>
      </c>
      <c r="AL165" s="14">
        <f>SUM(AC165:AK165)</f>
        <v>0</v>
      </c>
    </row>
    <row r="166" spans="1:38" hidden="1" x14ac:dyDescent="0.25">
      <c r="A166" s="12" t="s">
        <v>51</v>
      </c>
      <c r="B166" s="12" t="s">
        <v>284</v>
      </c>
      <c r="C166" s="12" t="s">
        <v>126</v>
      </c>
      <c r="D166" s="12"/>
      <c r="E166" s="12">
        <f>MAX(G166:Z166)</f>
        <v>564</v>
      </c>
      <c r="F166" s="12" t="s">
        <v>70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564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/>
      <c r="AC166" s="13">
        <f>M166*AC$2</f>
        <v>0</v>
      </c>
      <c r="AL166" s="14">
        <f>SUM(AC166:AK166)</f>
        <v>0</v>
      </c>
    </row>
    <row r="167" spans="1:38" hidden="1" x14ac:dyDescent="0.25">
      <c r="A167" s="12" t="s">
        <v>51</v>
      </c>
      <c r="B167" s="12" t="s">
        <v>291</v>
      </c>
      <c r="C167" s="12" t="s">
        <v>126</v>
      </c>
      <c r="D167" s="12"/>
      <c r="E167" s="12">
        <f>MAX(G167:Z167)</f>
        <v>522</v>
      </c>
      <c r="F167" s="12" t="s">
        <v>70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522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/>
      <c r="AC167" s="13">
        <f>M167*AC$2</f>
        <v>0</v>
      </c>
      <c r="AL167" s="14">
        <f>SUM(AC167:AK167)</f>
        <v>0</v>
      </c>
    </row>
    <row r="168" spans="1:38" hidden="1" x14ac:dyDescent="0.25">
      <c r="A168" s="12" t="s">
        <v>51</v>
      </c>
      <c r="B168" s="12" t="s">
        <v>294</v>
      </c>
      <c r="C168" s="12" t="s">
        <v>126</v>
      </c>
      <c r="D168" s="12"/>
      <c r="E168" s="12">
        <f>MAX(G168:Z168)</f>
        <v>515</v>
      </c>
      <c r="F168" s="12" t="s">
        <v>70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515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/>
      <c r="AC168" s="13">
        <f>M168*AC$2</f>
        <v>0</v>
      </c>
      <c r="AL168" s="14">
        <f>SUM(AC168:AK168)</f>
        <v>0</v>
      </c>
    </row>
    <row r="169" spans="1:38" hidden="1" x14ac:dyDescent="0.25">
      <c r="A169" s="12" t="s">
        <v>51</v>
      </c>
      <c r="B169" s="12" t="s">
        <v>298</v>
      </c>
      <c r="C169" s="12" t="s">
        <v>126</v>
      </c>
      <c r="D169" s="12"/>
      <c r="E169" s="12">
        <f>MAX(G169:Z169)</f>
        <v>511</v>
      </c>
      <c r="F169" s="12" t="s">
        <v>70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511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/>
      <c r="AC169" s="13">
        <f>M169*AC$2</f>
        <v>0</v>
      </c>
      <c r="AL169" s="14">
        <f>SUM(AC169:AK169)</f>
        <v>0</v>
      </c>
    </row>
    <row r="170" spans="1:38" hidden="1" x14ac:dyDescent="0.25">
      <c r="A170" s="12" t="s">
        <v>51</v>
      </c>
      <c r="B170" s="12" t="s">
        <v>299</v>
      </c>
      <c r="C170" s="12" t="s">
        <v>126</v>
      </c>
      <c r="D170" s="12"/>
      <c r="E170" s="12">
        <f>MAX(G170:Z170)</f>
        <v>510</v>
      </c>
      <c r="F170" s="12" t="s">
        <v>70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510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/>
      <c r="AC170" s="13">
        <f>M170*AC$2</f>
        <v>0</v>
      </c>
      <c r="AL170" s="14">
        <f>SUM(AC170:AK170)</f>
        <v>0</v>
      </c>
    </row>
    <row r="171" spans="1:38" hidden="1" x14ac:dyDescent="0.25">
      <c r="A171" s="12" t="s">
        <v>51</v>
      </c>
      <c r="B171" s="12" t="s">
        <v>302</v>
      </c>
      <c r="C171" s="12" t="s">
        <v>126</v>
      </c>
      <c r="D171" s="12"/>
      <c r="E171" s="12">
        <f>MAX(G171:Z171)</f>
        <v>502</v>
      </c>
      <c r="F171" s="12" t="s">
        <v>70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502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/>
      <c r="AC171" s="13">
        <f>M171*AC$2</f>
        <v>0</v>
      </c>
      <c r="AL171" s="14">
        <f>SUM(AC171:AK171)</f>
        <v>0</v>
      </c>
    </row>
    <row r="172" spans="1:38" hidden="1" x14ac:dyDescent="0.25">
      <c r="A172" s="12" t="s">
        <v>51</v>
      </c>
      <c r="B172" s="12" t="s">
        <v>305</v>
      </c>
      <c r="C172" s="12" t="s">
        <v>126</v>
      </c>
      <c r="D172" s="12"/>
      <c r="E172" s="12">
        <f>MAX(G172:Z172)</f>
        <v>500</v>
      </c>
      <c r="F172" s="12" t="s">
        <v>70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500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/>
      <c r="AC172" s="13">
        <f>M172*AC$2</f>
        <v>0</v>
      </c>
      <c r="AL172" s="14">
        <f>SUM(AC172:AK172)</f>
        <v>0</v>
      </c>
    </row>
    <row r="173" spans="1:38" hidden="1" x14ac:dyDescent="0.25">
      <c r="A173" s="12" t="s">
        <v>135</v>
      </c>
      <c r="B173" s="12" t="s">
        <v>136</v>
      </c>
      <c r="C173" s="12" t="s">
        <v>126</v>
      </c>
      <c r="D173" s="12"/>
      <c r="E173" s="12">
        <f>MAX(G173:Z173)</f>
        <v>1690</v>
      </c>
      <c r="F173" s="12" t="str">
        <f>VLOOKUP(B173,[1]lookup!A:B,2,FALSE)</f>
        <v>Perpetual</v>
      </c>
      <c r="G173" s="12">
        <v>0</v>
      </c>
      <c r="H173" s="12">
        <v>1690</v>
      </c>
      <c r="I173" s="12">
        <v>0</v>
      </c>
      <c r="J173" s="12">
        <v>554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/>
      <c r="AC173" s="13">
        <f>M173*AC$2</f>
        <v>0</v>
      </c>
      <c r="AD173" s="13">
        <f>J173*AD$2</f>
        <v>132960</v>
      </c>
      <c r="AE173" s="13">
        <f>J173*AE$2</f>
        <v>66480</v>
      </c>
      <c r="AF173" s="13">
        <f>H173*AF$2</f>
        <v>1054560</v>
      </c>
      <c r="AG173" s="13">
        <f>H173*AG$2</f>
        <v>216320</v>
      </c>
      <c r="AH173" s="13">
        <f>H173*AH$2</f>
        <v>811200</v>
      </c>
      <c r="AI173" s="13">
        <f>H173*$AI$2</f>
        <v>332930</v>
      </c>
      <c r="AJ173" s="13">
        <f>AJ$2*H173</f>
        <v>1014000</v>
      </c>
      <c r="AK173" s="15">
        <f>H173*AK$2</f>
        <v>202800</v>
      </c>
      <c r="AL173" s="14">
        <f>SUM(AC173:AK173)</f>
        <v>3831250</v>
      </c>
    </row>
    <row r="174" spans="1:38" hidden="1" x14ac:dyDescent="0.25">
      <c r="A174" s="12" t="s">
        <v>135</v>
      </c>
      <c r="B174" s="12" t="s">
        <v>156</v>
      </c>
      <c r="C174" s="12" t="s">
        <v>126</v>
      </c>
      <c r="D174" s="12"/>
      <c r="E174" s="12">
        <f>MAX(G174:Z174)</f>
        <v>1308</v>
      </c>
      <c r="F174" s="12" t="s">
        <v>70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1308</v>
      </c>
      <c r="X174" s="12">
        <v>0</v>
      </c>
      <c r="Y174" s="12">
        <v>0</v>
      </c>
      <c r="Z174" s="12">
        <v>0</v>
      </c>
      <c r="AA174" s="12"/>
      <c r="AC174" s="13">
        <f>M174*AC$2</f>
        <v>0</v>
      </c>
      <c r="AL174" s="14">
        <f>SUM(AC174:AK174)</f>
        <v>0</v>
      </c>
    </row>
    <row r="175" spans="1:38" hidden="1" x14ac:dyDescent="0.25">
      <c r="A175" s="12" t="s">
        <v>135</v>
      </c>
      <c r="B175" s="12" t="s">
        <v>159</v>
      </c>
      <c r="C175" s="12" t="s">
        <v>126</v>
      </c>
      <c r="D175" s="12"/>
      <c r="E175" s="12">
        <f>MAX(G175:Z175)</f>
        <v>1268</v>
      </c>
      <c r="F175" s="12" t="s">
        <v>70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1268</v>
      </c>
      <c r="X175" s="12">
        <v>0</v>
      </c>
      <c r="Y175" s="12">
        <v>0</v>
      </c>
      <c r="Z175" s="12">
        <v>0</v>
      </c>
      <c r="AA175" s="12"/>
      <c r="AC175" s="13">
        <f>M175*AC$2</f>
        <v>0</v>
      </c>
      <c r="AL175" s="14">
        <f>SUM(AC175:AK175)</f>
        <v>0</v>
      </c>
    </row>
    <row r="176" spans="1:38" hidden="1" x14ac:dyDescent="0.25">
      <c r="A176" s="12" t="s">
        <v>135</v>
      </c>
      <c r="B176" s="12" t="s">
        <v>176</v>
      </c>
      <c r="C176" s="12" t="s">
        <v>126</v>
      </c>
      <c r="D176" s="12"/>
      <c r="E176" s="12">
        <f>MAX(G176:Z176)</f>
        <v>1089</v>
      </c>
      <c r="F176" s="12" t="str">
        <f>VLOOKUP(B176,[1]lookup!A:B,2,FALSE)</f>
        <v>Perpetual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1089</v>
      </c>
      <c r="X176" s="12">
        <v>0</v>
      </c>
      <c r="Y176" s="12">
        <v>0</v>
      </c>
      <c r="Z176" s="12">
        <v>0</v>
      </c>
      <c r="AA176" s="12"/>
      <c r="AC176" s="13">
        <f>M176*AC$2</f>
        <v>0</v>
      </c>
      <c r="AL176" s="14">
        <f>SUM(AC176:AK176)</f>
        <v>0</v>
      </c>
    </row>
    <row r="177" spans="1:38" hidden="1" x14ac:dyDescent="0.25">
      <c r="A177" s="12" t="s">
        <v>135</v>
      </c>
      <c r="B177" s="12" t="s">
        <v>235</v>
      </c>
      <c r="C177" s="12" t="s">
        <v>126</v>
      </c>
      <c r="D177" s="12"/>
      <c r="E177" s="12">
        <f>MAX(G177:Z177)</f>
        <v>785</v>
      </c>
      <c r="F177" s="12" t="s">
        <v>70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785</v>
      </c>
      <c r="X177" s="12">
        <v>0</v>
      </c>
      <c r="Y177" s="12">
        <v>0</v>
      </c>
      <c r="Z177" s="12">
        <v>0</v>
      </c>
      <c r="AA177" s="12"/>
      <c r="AC177" s="13">
        <f>M177*AC$2</f>
        <v>0</v>
      </c>
      <c r="AL177" s="14">
        <f>SUM(AC177:AK177)</f>
        <v>0</v>
      </c>
    </row>
    <row r="178" spans="1:38" hidden="1" x14ac:dyDescent="0.25">
      <c r="A178" s="12" t="s">
        <v>135</v>
      </c>
      <c r="B178" s="12" t="s">
        <v>243</v>
      </c>
      <c r="C178" s="12" t="s">
        <v>126</v>
      </c>
      <c r="D178" s="12"/>
      <c r="E178" s="12">
        <f>MAX(G178:Z178)</f>
        <v>746</v>
      </c>
      <c r="F178" s="12" t="s">
        <v>70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746</v>
      </c>
      <c r="X178" s="12">
        <v>0</v>
      </c>
      <c r="Y178" s="12">
        <v>0</v>
      </c>
      <c r="Z178" s="12">
        <v>0</v>
      </c>
      <c r="AA178" s="12"/>
      <c r="AC178" s="13">
        <f>M178*AC$2</f>
        <v>0</v>
      </c>
      <c r="AL178" s="14">
        <f>SUM(AC178:AK178)</f>
        <v>0</v>
      </c>
    </row>
    <row r="179" spans="1:38" hidden="1" x14ac:dyDescent="0.25">
      <c r="A179" s="12" t="s">
        <v>178</v>
      </c>
      <c r="B179" s="12" t="s">
        <v>179</v>
      </c>
      <c r="C179" s="12" t="s">
        <v>126</v>
      </c>
      <c r="D179" s="12"/>
      <c r="E179" s="12">
        <f>MAX(G179:Z179)</f>
        <v>1080</v>
      </c>
      <c r="F179" s="12" t="str">
        <f>VLOOKUP(B179,[1]lookup!A:B,2,FALSE)</f>
        <v>Perpetual</v>
      </c>
      <c r="G179" s="12">
        <v>0</v>
      </c>
      <c r="H179" s="12">
        <v>360</v>
      </c>
      <c r="I179" s="12">
        <v>364</v>
      </c>
      <c r="J179" s="12">
        <v>685</v>
      </c>
      <c r="K179" s="12">
        <v>360</v>
      </c>
      <c r="L179" s="12">
        <v>715</v>
      </c>
      <c r="M179" s="12">
        <v>362</v>
      </c>
      <c r="N179" s="12">
        <v>0</v>
      </c>
      <c r="O179" s="12">
        <v>722</v>
      </c>
      <c r="P179" s="12">
        <v>1080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/>
      <c r="AC179" s="13">
        <f>M179*AC$2</f>
        <v>86880</v>
      </c>
      <c r="AF179" s="13">
        <f>H179*AF$2</f>
        <v>224640</v>
      </c>
      <c r="AG179" s="13">
        <f>H179*AG$2</f>
        <v>46080</v>
      </c>
      <c r="AH179" s="13">
        <f>H179*AH$2</f>
        <v>172800</v>
      </c>
      <c r="AI179" s="13">
        <f>H179*$AI$2</f>
        <v>70920</v>
      </c>
      <c r="AL179" s="14">
        <f>SUM(AC179:AK179)</f>
        <v>601320</v>
      </c>
    </row>
    <row r="180" spans="1:38" hidden="1" x14ac:dyDescent="0.25">
      <c r="A180" s="12" t="s">
        <v>288</v>
      </c>
      <c r="B180" s="12" t="s">
        <v>205</v>
      </c>
      <c r="C180" s="12" t="s">
        <v>126</v>
      </c>
      <c r="D180" s="12"/>
      <c r="E180" s="12">
        <f>MAX(G180:Z180)</f>
        <v>550</v>
      </c>
      <c r="F180" s="12" t="str">
        <f>VLOOKUP(B180,[1]lookup!A:B,2,FALSE)</f>
        <v>Term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550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/>
      <c r="AC180" s="13">
        <f>M180*AC$2</f>
        <v>0</v>
      </c>
      <c r="AL180" s="14">
        <f>SUM(AC180:AK180)</f>
        <v>0</v>
      </c>
    </row>
    <row r="181" spans="1:38" hidden="1" x14ac:dyDescent="0.25">
      <c r="A181" s="12" t="s">
        <v>148</v>
      </c>
      <c r="B181" s="12" t="s">
        <v>149</v>
      </c>
      <c r="C181" s="12" t="s">
        <v>126</v>
      </c>
      <c r="D181" s="12"/>
      <c r="E181" s="12">
        <f>MAX(G181:Z181)</f>
        <v>1416</v>
      </c>
      <c r="F181" s="12" t="str">
        <f>VLOOKUP(B181,[1]lookup!A:B,2,FALSE)</f>
        <v>Perpetual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1</v>
      </c>
      <c r="N181" s="12">
        <v>0</v>
      </c>
      <c r="O181" s="12">
        <v>1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1416</v>
      </c>
      <c r="X181" s="12">
        <v>0</v>
      </c>
      <c r="Y181" s="12">
        <v>0</v>
      </c>
      <c r="Z181" s="12">
        <v>0</v>
      </c>
      <c r="AA181" s="12"/>
      <c r="AC181" s="13">
        <f>M181*AC$2</f>
        <v>240</v>
      </c>
      <c r="AL181" s="14">
        <f>SUM(AC181:AK181)</f>
        <v>240</v>
      </c>
    </row>
    <row r="182" spans="1:38" hidden="1" x14ac:dyDescent="0.25">
      <c r="A182" s="12" t="s">
        <v>148</v>
      </c>
      <c r="B182" s="12" t="s">
        <v>196</v>
      </c>
      <c r="C182" s="12" t="s">
        <v>126</v>
      </c>
      <c r="D182" s="12"/>
      <c r="E182" s="12">
        <f>MAX(G182:Z182)</f>
        <v>991</v>
      </c>
      <c r="F182" s="12" t="s">
        <v>70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991</v>
      </c>
      <c r="X182" s="12">
        <v>0</v>
      </c>
      <c r="Y182" s="12">
        <v>0</v>
      </c>
      <c r="Z182" s="12">
        <v>0</v>
      </c>
      <c r="AA182" s="12"/>
      <c r="AC182" s="13">
        <f>M182*AC$2</f>
        <v>0</v>
      </c>
      <c r="AL182" s="14">
        <f>SUM(AC182:AK182)</f>
        <v>0</v>
      </c>
    </row>
    <row r="183" spans="1:38" hidden="1" x14ac:dyDescent="0.25">
      <c r="A183" s="12" t="s">
        <v>148</v>
      </c>
      <c r="B183" s="12" t="s">
        <v>210</v>
      </c>
      <c r="C183" s="12" t="s">
        <v>126</v>
      </c>
      <c r="D183" s="12"/>
      <c r="E183" s="12">
        <f>MAX(G183:Z183)</f>
        <v>905</v>
      </c>
      <c r="F183" s="12" t="s">
        <v>70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905</v>
      </c>
      <c r="X183" s="12">
        <v>0</v>
      </c>
      <c r="Y183" s="12">
        <v>0</v>
      </c>
      <c r="Z183" s="12">
        <v>0</v>
      </c>
      <c r="AA183" s="12"/>
      <c r="AC183" s="13">
        <f>M183*AC$2</f>
        <v>0</v>
      </c>
      <c r="AL183" s="14">
        <f>SUM(AC183:AK183)</f>
        <v>0</v>
      </c>
    </row>
    <row r="184" spans="1:38" hidden="1" x14ac:dyDescent="0.25">
      <c r="A184" s="12" t="s">
        <v>148</v>
      </c>
      <c r="B184" s="12" t="s">
        <v>287</v>
      </c>
      <c r="C184" s="12" t="s">
        <v>126</v>
      </c>
      <c r="D184" s="12"/>
      <c r="E184" s="12">
        <f>MAX(G184:Z184)</f>
        <v>556</v>
      </c>
      <c r="F184" s="12" t="s">
        <v>70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556</v>
      </c>
      <c r="X184" s="12">
        <v>0</v>
      </c>
      <c r="Y184" s="12">
        <v>0</v>
      </c>
      <c r="Z184" s="12">
        <v>0</v>
      </c>
      <c r="AA184" s="12"/>
      <c r="AC184" s="13">
        <f>M184*AC$2</f>
        <v>0</v>
      </c>
      <c r="AL184" s="14">
        <f>SUM(AC184:AK184)</f>
        <v>0</v>
      </c>
    </row>
    <row r="185" spans="1:38" hidden="1" x14ac:dyDescent="0.25">
      <c r="A185" s="12" t="s">
        <v>148</v>
      </c>
      <c r="B185" s="12" t="s">
        <v>297</v>
      </c>
      <c r="C185" s="12" t="s">
        <v>126</v>
      </c>
      <c r="D185" s="12"/>
      <c r="E185" s="12">
        <f>MAX(G185:Z185)</f>
        <v>512</v>
      </c>
      <c r="F185" s="12" t="s">
        <v>70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512</v>
      </c>
      <c r="X185" s="12">
        <v>0</v>
      </c>
      <c r="Y185" s="12">
        <v>0</v>
      </c>
      <c r="Z185" s="12">
        <v>0</v>
      </c>
      <c r="AA185" s="12"/>
      <c r="AC185" s="13">
        <f>M185*AC$2</f>
        <v>0</v>
      </c>
      <c r="AL185" s="14">
        <f>SUM(AC185:AK185)</f>
        <v>0</v>
      </c>
    </row>
    <row r="186" spans="1:38" hidden="1" x14ac:dyDescent="0.25">
      <c r="A186" s="12" t="s">
        <v>256</v>
      </c>
      <c r="B186" s="12" t="s">
        <v>257</v>
      </c>
      <c r="C186" s="12" t="s">
        <v>126</v>
      </c>
      <c r="D186" s="12"/>
      <c r="E186" s="12">
        <f>MAX(G186:Z186)</f>
        <v>688</v>
      </c>
      <c r="F186" s="12" t="str">
        <f>VLOOKUP(B186,[1]lookup!A:B,2,FALSE)</f>
        <v>Term</v>
      </c>
      <c r="G186" s="12">
        <v>0</v>
      </c>
      <c r="H186" s="12">
        <v>688</v>
      </c>
      <c r="I186" s="12">
        <v>80</v>
      </c>
      <c r="J186" s="12">
        <v>224</v>
      </c>
      <c r="K186" s="12">
        <v>0</v>
      </c>
      <c r="L186" s="12">
        <v>224</v>
      </c>
      <c r="M186" s="12">
        <v>224</v>
      </c>
      <c r="N186" s="12">
        <v>0</v>
      </c>
      <c r="O186" s="12">
        <v>224</v>
      </c>
      <c r="P186" s="12">
        <v>289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/>
      <c r="AC186" s="13">
        <f>M186*AC$2</f>
        <v>53760</v>
      </c>
      <c r="AD186" s="13">
        <f>J186*AD$2</f>
        <v>53760</v>
      </c>
      <c r="AF186" s="13">
        <f>H186*AF$2</f>
        <v>429312</v>
      </c>
      <c r="AG186" s="13">
        <f>H186*AG$2</f>
        <v>88064</v>
      </c>
      <c r="AH186" s="13">
        <f>H186*AH$2</f>
        <v>330240</v>
      </c>
      <c r="AI186" s="13">
        <f>H186*$AI$2</f>
        <v>135536</v>
      </c>
      <c r="AL186" s="14">
        <f>SUM(AC186:AK186)</f>
        <v>1090672</v>
      </c>
    </row>
    <row r="187" spans="1:38" hidden="1" x14ac:dyDescent="0.25">
      <c r="A187" s="12" t="s">
        <v>222</v>
      </c>
      <c r="B187" s="12" t="s">
        <v>223</v>
      </c>
      <c r="C187" s="12" t="s">
        <v>126</v>
      </c>
      <c r="D187" s="12"/>
      <c r="E187" s="12">
        <f>MAX(G187:Z187)</f>
        <v>835</v>
      </c>
      <c r="F187" s="12" t="s">
        <v>70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835</v>
      </c>
      <c r="X187" s="12">
        <v>0</v>
      </c>
      <c r="Y187" s="12">
        <v>0</v>
      </c>
      <c r="Z187" s="12">
        <v>0</v>
      </c>
      <c r="AA187" s="12"/>
      <c r="AC187" s="13">
        <f>M187*AC$2</f>
        <v>0</v>
      </c>
      <c r="AL187" s="14">
        <f>SUM(AC187:AK187)</f>
        <v>0</v>
      </c>
    </row>
    <row r="188" spans="1:38" hidden="1" x14ac:dyDescent="0.25">
      <c r="A188" s="12" t="s">
        <v>183</v>
      </c>
      <c r="B188" s="12" t="s">
        <v>184</v>
      </c>
      <c r="C188" s="12" t="s">
        <v>126</v>
      </c>
      <c r="D188" s="12"/>
      <c r="E188" s="12">
        <f>MAX(G188:Z188)</f>
        <v>1050</v>
      </c>
      <c r="F188" s="12" t="s">
        <v>70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1050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/>
      <c r="AC188" s="13">
        <f>M188*AC$2</f>
        <v>0</v>
      </c>
      <c r="AL188" s="14">
        <f>SUM(AC188:AK188)</f>
        <v>0</v>
      </c>
    </row>
    <row r="189" spans="1:38" hidden="1" x14ac:dyDescent="0.25">
      <c r="A189" s="12" t="s">
        <v>220</v>
      </c>
      <c r="B189" s="12" t="s">
        <v>221</v>
      </c>
      <c r="C189" s="12" t="s">
        <v>126</v>
      </c>
      <c r="D189" s="12"/>
      <c r="E189" s="12">
        <f>MAX(G189:Z189)</f>
        <v>847</v>
      </c>
      <c r="F189" s="12" t="str">
        <f>VLOOKUP(B189,[1]lookup!A:B,2,FALSE)</f>
        <v>SaaS</v>
      </c>
      <c r="G189" s="12">
        <v>0</v>
      </c>
      <c r="H189" s="12">
        <v>847</v>
      </c>
      <c r="I189" s="12">
        <v>0</v>
      </c>
      <c r="J189" s="12">
        <v>567</v>
      </c>
      <c r="K189" s="12">
        <v>567</v>
      </c>
      <c r="L189" s="12">
        <v>469</v>
      </c>
      <c r="M189" s="12">
        <v>376</v>
      </c>
      <c r="N189" s="12">
        <v>0</v>
      </c>
      <c r="O189" s="12">
        <v>567</v>
      </c>
      <c r="P189" s="12">
        <v>458</v>
      </c>
      <c r="Q189" s="12">
        <v>0</v>
      </c>
      <c r="R189" s="12">
        <v>0</v>
      </c>
      <c r="S189" s="12">
        <v>414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/>
      <c r="AC189" s="13">
        <f>M189*AC$2</f>
        <v>90240</v>
      </c>
      <c r="AF189" s="13">
        <f>H189*AF$2</f>
        <v>528528</v>
      </c>
      <c r="AL189" s="14">
        <f>SUM(AC189:AK189)</f>
        <v>618768</v>
      </c>
    </row>
    <row r="190" spans="1:38" x14ac:dyDescent="0.25">
      <c r="A190" s="12" t="s">
        <v>114</v>
      </c>
      <c r="B190" s="12" t="s">
        <v>115</v>
      </c>
      <c r="C190" s="12" t="s">
        <v>82</v>
      </c>
      <c r="D190" s="12" t="s">
        <v>1327</v>
      </c>
      <c r="E190" s="12">
        <f>MAX(G190:Z190)</f>
        <v>2200</v>
      </c>
      <c r="F190" s="12" t="str">
        <f>VLOOKUP(B190,[1]lookup!A:B,2,FALSE)</f>
        <v>Term</v>
      </c>
      <c r="G190" s="12">
        <v>0</v>
      </c>
      <c r="H190" s="12">
        <v>2200</v>
      </c>
      <c r="I190" s="12">
        <v>0</v>
      </c>
      <c r="J190" s="12">
        <v>1100</v>
      </c>
      <c r="K190" s="12">
        <v>1100</v>
      </c>
      <c r="L190" s="17">
        <v>1100</v>
      </c>
      <c r="M190" s="12">
        <v>1100</v>
      </c>
      <c r="N190" s="12">
        <v>0</v>
      </c>
      <c r="O190" s="12">
        <v>1100</v>
      </c>
      <c r="P190" s="12">
        <v>1100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/>
      <c r="AC190" s="13">
        <f>M190*AC$2</f>
        <v>264000</v>
      </c>
      <c r="AF190" s="13">
        <f>H190*AF$2</f>
        <v>1372800</v>
      </c>
      <c r="AG190" s="13">
        <f>H190*AG$2</f>
        <v>281600</v>
      </c>
      <c r="AH190" s="13">
        <f>H190*AH$2</f>
        <v>1056000</v>
      </c>
      <c r="AI190" s="13">
        <f>H190*$AI$2</f>
        <v>433400</v>
      </c>
      <c r="AK190" s="15">
        <f>H190*AK$2</f>
        <v>264000</v>
      </c>
      <c r="AL190" s="14">
        <f>SUM(AC190:AK190)</f>
        <v>3671800</v>
      </c>
    </row>
    <row r="191" spans="1:38" x14ac:dyDescent="0.25">
      <c r="A191" s="12" t="s">
        <v>114</v>
      </c>
      <c r="B191" s="12" t="s">
        <v>121</v>
      </c>
      <c r="C191" s="12" t="s">
        <v>82</v>
      </c>
      <c r="D191" s="12" t="s">
        <v>1327</v>
      </c>
      <c r="E191" s="12">
        <f>MAX(G191:Z191)</f>
        <v>2134</v>
      </c>
      <c r="F191" s="12" t="str">
        <f>VLOOKUP(B191,[1]lookup!A:B,2,FALSE)</f>
        <v>Perpetual</v>
      </c>
      <c r="G191" s="12">
        <v>0</v>
      </c>
      <c r="H191" s="12">
        <v>2134</v>
      </c>
      <c r="I191" s="12">
        <v>1661</v>
      </c>
      <c r="J191" s="12">
        <v>1678</v>
      </c>
      <c r="K191" s="12">
        <v>401</v>
      </c>
      <c r="L191" s="17">
        <v>1115</v>
      </c>
      <c r="M191" s="12">
        <v>1359</v>
      </c>
      <c r="N191" s="12">
        <v>0</v>
      </c>
      <c r="O191" s="12">
        <v>1659</v>
      </c>
      <c r="P191" s="12">
        <v>835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/>
      <c r="AC191" s="13">
        <f>M191*AC$2</f>
        <v>326160</v>
      </c>
      <c r="AF191" s="13">
        <f>H191*AF$2</f>
        <v>1331616</v>
      </c>
      <c r="AG191" s="13">
        <f>H191*AG$2</f>
        <v>273152</v>
      </c>
      <c r="AH191" s="13">
        <f>H191*AH$2</f>
        <v>1024320</v>
      </c>
      <c r="AI191" s="13">
        <f>H191*$AI$2</f>
        <v>420398</v>
      </c>
      <c r="AL191" s="14">
        <f>SUM(AC191:AK191)</f>
        <v>3375646</v>
      </c>
    </row>
    <row r="192" spans="1:38" hidden="1" x14ac:dyDescent="0.25">
      <c r="A192" s="12" t="s">
        <v>114</v>
      </c>
      <c r="B192" s="12" t="s">
        <v>130</v>
      </c>
      <c r="C192" s="12" t="s">
        <v>126</v>
      </c>
      <c r="D192" s="12"/>
      <c r="E192" s="12">
        <f>MAX(G192:Z192)</f>
        <v>1868</v>
      </c>
      <c r="F192" s="12" t="str">
        <f>VLOOKUP(B192,[1]lookup!A:B,2,FALSE)</f>
        <v>Perpetual</v>
      </c>
      <c r="G192" s="12">
        <v>0</v>
      </c>
      <c r="H192" s="12">
        <v>1867</v>
      </c>
      <c r="I192" s="12">
        <v>1868</v>
      </c>
      <c r="J192" s="12">
        <v>1522</v>
      </c>
      <c r="K192" s="12">
        <v>0</v>
      </c>
      <c r="L192" s="12">
        <v>441</v>
      </c>
      <c r="M192" s="12">
        <v>1</v>
      </c>
      <c r="N192" s="12">
        <v>0</v>
      </c>
      <c r="O192" s="12">
        <v>1523</v>
      </c>
      <c r="P192" s="12">
        <v>456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/>
      <c r="AC192" s="13">
        <f>M192*AC$2</f>
        <v>240</v>
      </c>
      <c r="AD192" s="13">
        <f>J192*AD$2</f>
        <v>365280</v>
      </c>
      <c r="AF192" s="13">
        <f>H192*AF$2</f>
        <v>1165008</v>
      </c>
      <c r="AG192" s="13">
        <f>H192*AG$2</f>
        <v>238976</v>
      </c>
      <c r="AH192" s="13">
        <f>H192*AH$2</f>
        <v>896160</v>
      </c>
      <c r="AI192" s="13">
        <f>H192*$AI$2</f>
        <v>367799</v>
      </c>
      <c r="AL192" s="14">
        <f>SUM(AC192:AK192)</f>
        <v>3033463</v>
      </c>
    </row>
    <row r="193" spans="1:38" hidden="1" x14ac:dyDescent="0.25">
      <c r="A193" s="12" t="s">
        <v>114</v>
      </c>
      <c r="B193" s="12" t="s">
        <v>275</v>
      </c>
      <c r="C193" s="12" t="s">
        <v>126</v>
      </c>
      <c r="D193" s="12"/>
      <c r="E193" s="12">
        <f>MAX(G193:Z193)</f>
        <v>600</v>
      </c>
      <c r="F193" s="12" t="str">
        <f>VLOOKUP(B193,[1]lookup!A:B,2,FALSE)</f>
        <v>SaaS</v>
      </c>
      <c r="G193" s="12">
        <v>600</v>
      </c>
      <c r="H193" s="12">
        <v>600</v>
      </c>
      <c r="I193" s="12">
        <v>0</v>
      </c>
      <c r="J193" s="12">
        <v>300</v>
      </c>
      <c r="K193" s="12">
        <v>300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300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/>
      <c r="AC193" s="13">
        <f>M193*AC$2</f>
        <v>0</v>
      </c>
      <c r="AF193" s="13">
        <f>H193*AF$2</f>
        <v>374400</v>
      </c>
      <c r="AG193" s="13">
        <f>H193*AG$2</f>
        <v>76800</v>
      </c>
      <c r="AH193" s="13">
        <f>H193*AH$2</f>
        <v>288000</v>
      </c>
      <c r="AI193" s="13">
        <f>H193*$AI$2</f>
        <v>118200</v>
      </c>
      <c r="AL193" s="14">
        <f>SUM(AC193:AK193)</f>
        <v>857400</v>
      </c>
    </row>
    <row r="194" spans="1:38" hidden="1" x14ac:dyDescent="0.25">
      <c r="A194" s="12" t="s">
        <v>191</v>
      </c>
      <c r="B194" s="12" t="s">
        <v>192</v>
      </c>
      <c r="C194" s="12" t="s">
        <v>126</v>
      </c>
      <c r="D194" s="12"/>
      <c r="E194" s="12">
        <f>MAX(G194:Z194)</f>
        <v>1000</v>
      </c>
      <c r="F194" s="12" t="str">
        <f>VLOOKUP(B194,[1]lookup!A:B,2,FALSE)</f>
        <v>SaaS</v>
      </c>
      <c r="G194" s="12">
        <v>0</v>
      </c>
      <c r="H194" s="12">
        <v>1000</v>
      </c>
      <c r="I194" s="12">
        <v>0</v>
      </c>
      <c r="J194" s="12">
        <v>700</v>
      </c>
      <c r="K194" s="12">
        <v>700</v>
      </c>
      <c r="L194" s="12">
        <v>700</v>
      </c>
      <c r="M194" s="12">
        <v>700</v>
      </c>
      <c r="N194" s="12">
        <v>0</v>
      </c>
      <c r="O194" s="12">
        <v>700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/>
      <c r="AC194" s="13">
        <f>M194*AC$2</f>
        <v>168000</v>
      </c>
      <c r="AF194" s="13">
        <f>H194*AF$2</f>
        <v>624000</v>
      </c>
      <c r="AG194" s="13">
        <f>H194*AG$2</f>
        <v>128000</v>
      </c>
      <c r="AH194" s="13">
        <f>H194*AH$2</f>
        <v>480000</v>
      </c>
      <c r="AI194" s="13">
        <f>H194*$AI$2</f>
        <v>197000</v>
      </c>
      <c r="AL194" s="14">
        <f>SUM(AC194:AK194)</f>
        <v>1597000</v>
      </c>
    </row>
    <row r="195" spans="1:38" hidden="1" x14ac:dyDescent="0.25">
      <c r="A195" s="12" t="s">
        <v>122</v>
      </c>
      <c r="B195" s="12" t="s">
        <v>123</v>
      </c>
      <c r="C195" s="12" t="s">
        <v>82</v>
      </c>
      <c r="D195" s="12"/>
      <c r="E195" s="12">
        <f>MAX(G195:Z195)</f>
        <v>2120</v>
      </c>
      <c r="F195" s="12" t="str">
        <f>VLOOKUP(B195,[1]lookup!A:B,2,FALSE)</f>
        <v>Term</v>
      </c>
      <c r="G195" s="12">
        <v>0</v>
      </c>
      <c r="H195" s="12">
        <v>2120</v>
      </c>
      <c r="I195" s="12">
        <v>2111</v>
      </c>
      <c r="J195" s="12">
        <v>2120</v>
      </c>
      <c r="K195" s="12">
        <v>0</v>
      </c>
      <c r="L195" s="12">
        <v>2110</v>
      </c>
      <c r="M195" s="12">
        <v>610</v>
      </c>
      <c r="N195" s="12">
        <v>0</v>
      </c>
      <c r="O195" s="12">
        <v>0</v>
      </c>
      <c r="P195" s="12">
        <v>1793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/>
      <c r="AC195" s="13">
        <f>M195*AC$2</f>
        <v>146400</v>
      </c>
      <c r="AD195" s="13">
        <f>J195*AD$2</f>
        <v>508800</v>
      </c>
      <c r="AF195" s="13">
        <f>H195*AF$2</f>
        <v>1322880</v>
      </c>
      <c r="AG195" s="13">
        <f>H195*AG$2</f>
        <v>271360</v>
      </c>
      <c r="AH195" s="13">
        <f>H195*AH$2</f>
        <v>1017600</v>
      </c>
      <c r="AI195" s="13">
        <f>H195*$AI$2</f>
        <v>417640</v>
      </c>
      <c r="AL195" s="14">
        <f>SUM(AC195:AK195)</f>
        <v>3684680</v>
      </c>
    </row>
    <row r="196" spans="1:38" x14ac:dyDescent="0.25">
      <c r="A196" s="12" t="s">
        <v>145</v>
      </c>
      <c r="B196" s="12" t="s">
        <v>146</v>
      </c>
      <c r="C196" s="12" t="s">
        <v>126</v>
      </c>
      <c r="D196" s="12" t="s">
        <v>1327</v>
      </c>
      <c r="E196" s="12">
        <f>MAX(G196:Z196)</f>
        <v>1500</v>
      </c>
      <c r="F196" s="12" t="str">
        <f>VLOOKUP(B196,[1]lookup!A:B,2,FALSE)</f>
        <v>SaaS</v>
      </c>
      <c r="G196" s="12">
        <v>0</v>
      </c>
      <c r="H196" s="12">
        <v>1500</v>
      </c>
      <c r="I196" s="12">
        <v>0</v>
      </c>
      <c r="J196" s="12">
        <v>1500</v>
      </c>
      <c r="K196" s="12">
        <v>1500</v>
      </c>
      <c r="L196" s="17">
        <v>0</v>
      </c>
      <c r="M196" s="12">
        <v>1500</v>
      </c>
      <c r="N196" s="12">
        <v>0</v>
      </c>
      <c r="O196" s="12">
        <v>1500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/>
      <c r="AC196" s="13">
        <f>M196*AC$2</f>
        <v>360000</v>
      </c>
      <c r="AF196" s="13">
        <f>H196*AF$2</f>
        <v>936000</v>
      </c>
      <c r="AL196" s="14">
        <f>SUM(AC196:AK196)</f>
        <v>1296000</v>
      </c>
    </row>
    <row r="197" spans="1:38" hidden="1" x14ac:dyDescent="0.25">
      <c r="A197" s="12" t="s">
        <v>53</v>
      </c>
      <c r="B197" s="12" t="s">
        <v>54</v>
      </c>
      <c r="C197" s="12" t="s">
        <v>55</v>
      </c>
      <c r="D197" s="12"/>
      <c r="E197" s="12">
        <f>MAX(G197:Z197)</f>
        <v>9969</v>
      </c>
      <c r="F197" s="12" t="str">
        <f>VLOOKUP(B197,[1]lookup!A:B,2,FALSE)</f>
        <v>SaaS</v>
      </c>
      <c r="G197" s="12">
        <v>2292</v>
      </c>
      <c r="H197" s="12">
        <v>9969</v>
      </c>
      <c r="I197" s="12">
        <v>0</v>
      </c>
      <c r="J197" s="12">
        <v>9967</v>
      </c>
      <c r="K197" s="12">
        <v>9967</v>
      </c>
      <c r="L197" s="12">
        <v>9967</v>
      </c>
      <c r="M197" s="12">
        <v>9967</v>
      </c>
      <c r="N197" s="12">
        <v>0</v>
      </c>
      <c r="O197" s="12">
        <v>9967</v>
      </c>
      <c r="P197" s="12">
        <v>9969</v>
      </c>
      <c r="Q197" s="12">
        <v>0</v>
      </c>
      <c r="R197" s="12">
        <v>0</v>
      </c>
      <c r="S197" s="12">
        <v>2380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/>
      <c r="AC197" s="13">
        <f>M197*AC$2</f>
        <v>2392080</v>
      </c>
      <c r="AF197" s="13">
        <f>H197*AF$2</f>
        <v>6220656</v>
      </c>
      <c r="AL197" s="14">
        <f>SUM(AC197:AK197)</f>
        <v>8612736</v>
      </c>
    </row>
    <row r="198" spans="1:38" x14ac:dyDescent="0.25">
      <c r="A198" s="12" t="s">
        <v>53</v>
      </c>
      <c r="B198" s="12" t="s">
        <v>206</v>
      </c>
      <c r="C198" s="12" t="s">
        <v>126</v>
      </c>
      <c r="D198" s="12" t="s">
        <v>1327</v>
      </c>
      <c r="E198" s="12">
        <f>MAX(G198:Z198)</f>
        <v>950</v>
      </c>
      <c r="F198" s="12" t="str">
        <f>VLOOKUP(B198,[1]lookup!A:B,2,FALSE)</f>
        <v>SaaS</v>
      </c>
      <c r="G198" s="12">
        <v>0</v>
      </c>
      <c r="H198" s="12">
        <v>750</v>
      </c>
      <c r="I198" s="12">
        <v>0</v>
      </c>
      <c r="J198" s="12">
        <v>750</v>
      </c>
      <c r="K198" s="12">
        <v>750</v>
      </c>
      <c r="L198" s="17">
        <v>0</v>
      </c>
      <c r="M198" s="12">
        <v>750</v>
      </c>
      <c r="N198" s="12">
        <v>0</v>
      </c>
      <c r="O198" s="12">
        <v>950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/>
      <c r="AC198" s="13">
        <f>M198*AC$2</f>
        <v>180000</v>
      </c>
      <c r="AF198" s="13">
        <f>H198*AF$2</f>
        <v>468000</v>
      </c>
      <c r="AG198" s="13">
        <f>H198*AG$2</f>
        <v>96000</v>
      </c>
      <c r="AH198" s="13">
        <f>H198*AH$2</f>
        <v>360000</v>
      </c>
      <c r="AI198" s="13">
        <f>H198*$AI$2</f>
        <v>147750</v>
      </c>
      <c r="AL198" s="14">
        <f>SUM(AC198:AK198)</f>
        <v>1251750</v>
      </c>
    </row>
    <row r="199" spans="1:38" x14ac:dyDescent="0.25">
      <c r="A199" s="12" t="s">
        <v>53</v>
      </c>
      <c r="B199" s="12" t="s">
        <v>247</v>
      </c>
      <c r="C199" s="12" t="s">
        <v>126</v>
      </c>
      <c r="D199" s="12" t="s">
        <v>1327</v>
      </c>
      <c r="E199" s="12">
        <f>MAX(G199:Z199)</f>
        <v>730</v>
      </c>
      <c r="F199" s="12" t="str">
        <f>VLOOKUP(B199,[1]lookup!A:B,2,FALSE)</f>
        <v>Term</v>
      </c>
      <c r="G199" s="12">
        <v>0</v>
      </c>
      <c r="H199" s="12">
        <v>601</v>
      </c>
      <c r="I199" s="12">
        <v>0</v>
      </c>
      <c r="J199" s="12">
        <v>604</v>
      </c>
      <c r="K199" s="12">
        <v>0</v>
      </c>
      <c r="L199" s="17">
        <v>0</v>
      </c>
      <c r="M199" s="12">
        <v>595</v>
      </c>
      <c r="N199" s="12">
        <v>0</v>
      </c>
      <c r="O199" s="12">
        <v>595</v>
      </c>
      <c r="P199" s="12">
        <v>730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/>
      <c r="AC199" s="13">
        <f>M199*AC$2</f>
        <v>142800</v>
      </c>
      <c r="AD199" s="13">
        <f>J199*AD$2</f>
        <v>144960</v>
      </c>
      <c r="AF199" s="13">
        <f>H199*AF$2</f>
        <v>375024</v>
      </c>
      <c r="AG199" s="13">
        <f>H199*AG$2</f>
        <v>76928</v>
      </c>
      <c r="AH199" s="13">
        <f>H199*AH$2</f>
        <v>288480</v>
      </c>
      <c r="AI199" s="13">
        <f>H199*$AI$2</f>
        <v>118397</v>
      </c>
      <c r="AK199" s="15">
        <f>H199*AK$2</f>
        <v>72120</v>
      </c>
      <c r="AL199" s="14">
        <f>SUM(AC199:AK199)</f>
        <v>1218709</v>
      </c>
    </row>
    <row r="200" spans="1:38" x14ac:dyDescent="0.25">
      <c r="A200" s="12" t="s">
        <v>53</v>
      </c>
      <c r="B200" s="12" t="s">
        <v>266</v>
      </c>
      <c r="C200" s="12" t="s">
        <v>126</v>
      </c>
      <c r="D200" s="12" t="s">
        <v>1327</v>
      </c>
      <c r="E200" s="12">
        <f>MAX(G200:Z200)</f>
        <v>610</v>
      </c>
      <c r="F200" s="12" t="str">
        <f>VLOOKUP(B200,[1]lookup!A:B,2,FALSE)</f>
        <v>SaaS</v>
      </c>
      <c r="G200" s="12">
        <v>610</v>
      </c>
      <c r="H200" s="12">
        <v>610</v>
      </c>
      <c r="I200" s="12">
        <v>0</v>
      </c>
      <c r="J200" s="12">
        <v>610</v>
      </c>
      <c r="K200" s="12">
        <v>0</v>
      </c>
      <c r="L200" s="17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/>
      <c r="AC200" s="13">
        <f>M200*AC$2</f>
        <v>0</v>
      </c>
      <c r="AD200" s="13">
        <f>J200*AD$2</f>
        <v>146400</v>
      </c>
      <c r="AE200" s="13">
        <f>J200*AE$2</f>
        <v>73200</v>
      </c>
      <c r="AF200" s="13">
        <f>H200*AF$2</f>
        <v>380640</v>
      </c>
      <c r="AL200" s="14">
        <f>SUM(AC200:AK200)</f>
        <v>600240</v>
      </c>
    </row>
    <row r="201" spans="1:38" x14ac:dyDescent="0.25">
      <c r="A201" s="12" t="s">
        <v>285</v>
      </c>
      <c r="B201" s="12" t="s">
        <v>284</v>
      </c>
      <c r="C201" s="12" t="s">
        <v>126</v>
      </c>
      <c r="D201" s="12" t="s">
        <v>1327</v>
      </c>
      <c r="E201" s="12">
        <f>MAX(G201:Z201)</f>
        <v>564</v>
      </c>
      <c r="F201" s="12" t="s">
        <v>70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7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564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/>
      <c r="AC201" s="13">
        <f>M201*AC$2</f>
        <v>0</v>
      </c>
      <c r="AL201" s="14">
        <f>SUM(AC201:AK201)</f>
        <v>0</v>
      </c>
    </row>
    <row r="202" spans="1:38" x14ac:dyDescent="0.25">
      <c r="A202" s="12" t="s">
        <v>76</v>
      </c>
      <c r="B202" s="12" t="s">
        <v>77</v>
      </c>
      <c r="C202" s="12" t="s">
        <v>55</v>
      </c>
      <c r="D202" s="12" t="s">
        <v>1327</v>
      </c>
      <c r="E202" s="12">
        <f>MAX(G202:Z202)</f>
        <v>5175</v>
      </c>
      <c r="F202" s="12" t="str">
        <f>VLOOKUP(B202,[1]lookup!A:B,2,FALSE)</f>
        <v>Perpetual</v>
      </c>
      <c r="G202" s="12">
        <v>0</v>
      </c>
      <c r="H202" s="12">
        <v>5175</v>
      </c>
      <c r="I202" s="12">
        <v>0</v>
      </c>
      <c r="J202" s="12">
        <v>150</v>
      </c>
      <c r="K202" s="12">
        <v>0</v>
      </c>
      <c r="L202" s="17">
        <v>0</v>
      </c>
      <c r="M202" s="12">
        <v>0</v>
      </c>
      <c r="N202" s="12">
        <v>0</v>
      </c>
      <c r="O202" s="12">
        <v>600</v>
      </c>
      <c r="P202" s="12">
        <v>600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/>
      <c r="AC202" s="13">
        <f>M202*AC$2</f>
        <v>0</v>
      </c>
      <c r="AD202" s="13">
        <f>J202*AD$2</f>
        <v>36000</v>
      </c>
      <c r="AF202" s="13">
        <f>H202*AF$2</f>
        <v>3229200</v>
      </c>
      <c r="AG202" s="13">
        <f>H202*AG$2</f>
        <v>662400</v>
      </c>
      <c r="AH202" s="13">
        <f>H202*AH$2</f>
        <v>2484000</v>
      </c>
      <c r="AI202" s="13">
        <f>H202*$AI$2</f>
        <v>1019475</v>
      </c>
      <c r="AK202" s="15">
        <f>H202*AK$2</f>
        <v>621000</v>
      </c>
      <c r="AL202" s="14">
        <f>SUM(AC202:AK202)</f>
        <v>8052075</v>
      </c>
    </row>
    <row r="203" spans="1:38" hidden="1" x14ac:dyDescent="0.25">
      <c r="A203" s="12" t="s">
        <v>92</v>
      </c>
      <c r="B203" s="12" t="s">
        <v>93</v>
      </c>
      <c r="C203" s="12" t="s">
        <v>82</v>
      </c>
      <c r="D203" s="12"/>
      <c r="E203" s="12">
        <f>MAX(G203:Z203)</f>
        <v>3301</v>
      </c>
      <c r="F203" s="12" t="str">
        <f>VLOOKUP(B203,[1]lookup!A:B,2,FALSE)</f>
        <v>SaaS</v>
      </c>
      <c r="G203" s="12">
        <v>3300</v>
      </c>
      <c r="H203" s="12">
        <v>3300</v>
      </c>
      <c r="I203" s="12">
        <v>1</v>
      </c>
      <c r="J203" s="12">
        <v>3301</v>
      </c>
      <c r="K203" s="12">
        <v>660</v>
      </c>
      <c r="L203" s="12">
        <v>3300</v>
      </c>
      <c r="M203" s="12">
        <v>301</v>
      </c>
      <c r="N203" s="12">
        <v>0</v>
      </c>
      <c r="O203" s="12">
        <v>1</v>
      </c>
      <c r="P203" s="12">
        <v>3300</v>
      </c>
      <c r="Q203" s="12">
        <v>0</v>
      </c>
      <c r="R203" s="12">
        <v>660</v>
      </c>
      <c r="S203" s="12">
        <v>0</v>
      </c>
      <c r="T203" s="12">
        <v>0</v>
      </c>
      <c r="U203" s="12">
        <v>0</v>
      </c>
      <c r="V203" s="12">
        <v>0</v>
      </c>
      <c r="W203" s="12">
        <v>1869</v>
      </c>
      <c r="X203" s="12">
        <v>0</v>
      </c>
      <c r="Y203" s="12">
        <v>0</v>
      </c>
      <c r="Z203" s="12">
        <v>0</v>
      </c>
      <c r="AA203" s="12"/>
      <c r="AC203" s="13">
        <f>M203*AC$2</f>
        <v>72240</v>
      </c>
      <c r="AF203" s="13">
        <f>H203*AF$2</f>
        <v>2059200</v>
      </c>
      <c r="AL203" s="14">
        <f>SUM(AC203:AK203)</f>
        <v>2131440</v>
      </c>
    </row>
    <row r="204" spans="1:38" hidden="1" x14ac:dyDescent="0.25">
      <c r="A204" s="12" t="s">
        <v>92</v>
      </c>
      <c r="B204" s="12" t="s">
        <v>116</v>
      </c>
      <c r="C204" s="12" t="s">
        <v>82</v>
      </c>
      <c r="D204" s="12"/>
      <c r="E204" s="12">
        <f>MAX(G204:Z204)</f>
        <v>2191</v>
      </c>
      <c r="F204" s="12" t="str">
        <f>VLOOKUP(B204,[1]lookup!A:B,2,FALSE)</f>
        <v>Perpetual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2191</v>
      </c>
      <c r="X204" s="12">
        <v>0</v>
      </c>
      <c r="Y204" s="12">
        <v>0</v>
      </c>
      <c r="Z204" s="12">
        <v>0</v>
      </c>
      <c r="AA204" s="12"/>
      <c r="AC204" s="13">
        <f>M204*AC$2</f>
        <v>0</v>
      </c>
      <c r="AL204" s="14">
        <f>SUM(AC204:AK204)</f>
        <v>0</v>
      </c>
    </row>
    <row r="205" spans="1:38" hidden="1" x14ac:dyDescent="0.25">
      <c r="A205" s="12" t="s">
        <v>92</v>
      </c>
      <c r="B205" s="12" t="s">
        <v>169</v>
      </c>
      <c r="C205" s="12" t="s">
        <v>126</v>
      </c>
      <c r="D205" s="12"/>
      <c r="E205" s="12">
        <f>MAX(G205:Z205)</f>
        <v>1155</v>
      </c>
      <c r="F205" s="12" t="str">
        <f>VLOOKUP(B205,[1]lookup!A:B,2,FALSE)</f>
        <v>Term</v>
      </c>
      <c r="G205" s="12">
        <v>0</v>
      </c>
      <c r="H205" s="12">
        <v>1155</v>
      </c>
      <c r="I205" s="12">
        <v>0</v>
      </c>
      <c r="J205" s="12">
        <v>1155</v>
      </c>
      <c r="K205" s="12">
        <v>0</v>
      </c>
      <c r="L205" s="12">
        <v>36</v>
      </c>
      <c r="M205" s="12">
        <v>0</v>
      </c>
      <c r="N205" s="12">
        <v>0</v>
      </c>
      <c r="O205" s="12">
        <v>1155</v>
      </c>
      <c r="P205" s="12">
        <v>700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/>
      <c r="AC205" s="13">
        <f>M205*AC$2</f>
        <v>0</v>
      </c>
      <c r="AD205" s="13">
        <f>J205*AD$2</f>
        <v>277200</v>
      </c>
      <c r="AF205" s="13">
        <f>H205*AF$2</f>
        <v>720720</v>
      </c>
      <c r="AG205" s="13">
        <f>H205*AG$2</f>
        <v>147840</v>
      </c>
      <c r="AH205" s="13">
        <f>H205*AH$2</f>
        <v>554400</v>
      </c>
      <c r="AI205" s="13">
        <f>H205*$AI$2</f>
        <v>227535</v>
      </c>
      <c r="AK205" s="15">
        <f>H205*AK$2</f>
        <v>138600</v>
      </c>
      <c r="AL205" s="14">
        <f>SUM(AC205:AK205)</f>
        <v>2066295</v>
      </c>
    </row>
    <row r="206" spans="1:38" hidden="1" x14ac:dyDescent="0.25">
      <c r="A206" s="12" t="s">
        <v>92</v>
      </c>
      <c r="B206" s="12" t="s">
        <v>172</v>
      </c>
      <c r="C206" s="12" t="s">
        <v>126</v>
      </c>
      <c r="D206" s="12"/>
      <c r="E206" s="12">
        <f>MAX(G206:Z206)</f>
        <v>1122</v>
      </c>
      <c r="F206" s="12" t="str">
        <f>VLOOKUP(B206,[1]lookup!A:B,2,FALSE)</f>
        <v>Perpetual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52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1122</v>
      </c>
      <c r="X206" s="12">
        <v>0</v>
      </c>
      <c r="Y206" s="12">
        <v>0</v>
      </c>
      <c r="Z206" s="12">
        <v>0</v>
      </c>
      <c r="AA206" s="12"/>
      <c r="AC206" s="13">
        <f>M206*AC$2</f>
        <v>0</v>
      </c>
      <c r="AL206" s="14">
        <f>SUM(AC206:AK206)</f>
        <v>0</v>
      </c>
    </row>
    <row r="207" spans="1:38" hidden="1" x14ac:dyDescent="0.25">
      <c r="A207" s="12" t="s">
        <v>92</v>
      </c>
      <c r="B207" s="12" t="s">
        <v>175</v>
      </c>
      <c r="C207" s="12" t="s">
        <v>126</v>
      </c>
      <c r="D207" s="12"/>
      <c r="E207" s="12">
        <f>MAX(G207:Z207)</f>
        <v>1102</v>
      </c>
      <c r="F207" s="12" t="str">
        <f>VLOOKUP(B207,[1]lookup!A:B,2,FALSE)</f>
        <v>Perpetual</v>
      </c>
      <c r="G207" s="12">
        <v>0</v>
      </c>
      <c r="H207" s="12">
        <v>0</v>
      </c>
      <c r="I207" s="12">
        <v>2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1102</v>
      </c>
      <c r="X207" s="12">
        <v>0</v>
      </c>
      <c r="Y207" s="12">
        <v>0</v>
      </c>
      <c r="Z207" s="12">
        <v>0</v>
      </c>
      <c r="AA207" s="12"/>
      <c r="AC207" s="13">
        <f>M207*AC$2</f>
        <v>0</v>
      </c>
      <c r="AL207" s="14">
        <f>SUM(AC207:AK207)</f>
        <v>0</v>
      </c>
    </row>
    <row r="208" spans="1:38" hidden="1" x14ac:dyDescent="0.25">
      <c r="A208" s="12" t="s">
        <v>92</v>
      </c>
      <c r="B208" s="12" t="s">
        <v>240</v>
      </c>
      <c r="C208" s="12" t="s">
        <v>126</v>
      </c>
      <c r="D208" s="12"/>
      <c r="E208" s="12">
        <f>MAX(G208:Z208)</f>
        <v>750</v>
      </c>
      <c r="F208" s="12" t="str">
        <f>VLOOKUP(B208,[1]lookup!A:B,2,FALSE)</f>
        <v>Term</v>
      </c>
      <c r="G208" s="12">
        <v>0</v>
      </c>
      <c r="H208" s="12">
        <v>750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/>
      <c r="AC208" s="13">
        <f>M208*AC$2</f>
        <v>0</v>
      </c>
      <c r="AF208" s="13">
        <f>H208*AF$2</f>
        <v>468000</v>
      </c>
      <c r="AG208" s="13">
        <f>H208*AG$2</f>
        <v>96000</v>
      </c>
      <c r="AH208" s="13">
        <f>H208*AH$2</f>
        <v>360000</v>
      </c>
      <c r="AI208" s="13">
        <f>H208*$AI$2</f>
        <v>147750</v>
      </c>
      <c r="AJ208" s="13">
        <f>AJ$2*H208</f>
        <v>450000</v>
      </c>
      <c r="AK208" s="15">
        <f>H208*AK$2</f>
        <v>90000</v>
      </c>
      <c r="AL208" s="14">
        <f>SUM(AC208:AK208)</f>
        <v>1611750</v>
      </c>
    </row>
    <row r="209" spans="1:38" hidden="1" x14ac:dyDescent="0.25">
      <c r="A209" s="12" t="s">
        <v>92</v>
      </c>
      <c r="B209" s="12" t="s">
        <v>264</v>
      </c>
      <c r="C209" s="12" t="s">
        <v>126</v>
      </c>
      <c r="D209" s="12"/>
      <c r="E209" s="12">
        <f>MAX(G209:Z209)</f>
        <v>643</v>
      </c>
      <c r="F209" s="12" t="s">
        <v>70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643</v>
      </c>
      <c r="X209" s="12">
        <v>0</v>
      </c>
      <c r="Y209" s="12">
        <v>0</v>
      </c>
      <c r="Z209" s="12">
        <v>0</v>
      </c>
      <c r="AA209" s="12"/>
      <c r="AC209" s="13">
        <f>M209*AC$2</f>
        <v>0</v>
      </c>
      <c r="AL209" s="14">
        <f>SUM(AC209:AK209)</f>
        <v>0</v>
      </c>
    </row>
    <row r="210" spans="1:38" hidden="1" x14ac:dyDescent="0.25">
      <c r="A210" s="12" t="s">
        <v>92</v>
      </c>
      <c r="B210" s="12" t="s">
        <v>289</v>
      </c>
      <c r="C210" s="12" t="s">
        <v>126</v>
      </c>
      <c r="D210" s="12"/>
      <c r="E210" s="12">
        <f>MAX(G210:Z210)</f>
        <v>533</v>
      </c>
      <c r="F210" s="12" t="str">
        <f>VLOOKUP(B210,[1]lookup!A:B,2,FALSE)</f>
        <v>SaaS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40</v>
      </c>
      <c r="M210" s="12">
        <v>0</v>
      </c>
      <c r="N210" s="12">
        <v>16</v>
      </c>
      <c r="O210" s="12">
        <v>0</v>
      </c>
      <c r="P210" s="12">
        <v>16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533</v>
      </c>
      <c r="X210" s="12">
        <v>0</v>
      </c>
      <c r="Y210" s="12">
        <v>0</v>
      </c>
      <c r="Z210" s="12">
        <v>0</v>
      </c>
      <c r="AA210" s="12"/>
      <c r="AC210" s="13">
        <f>M210*AC$2</f>
        <v>0</v>
      </c>
      <c r="AL210" s="14">
        <f>SUM(AC210:AK210)</f>
        <v>0</v>
      </c>
    </row>
    <row r="211" spans="1:38" hidden="1" x14ac:dyDescent="0.25">
      <c r="A211" s="12" t="s">
        <v>208</v>
      </c>
      <c r="B211" s="12" t="s">
        <v>209</v>
      </c>
      <c r="C211" s="12" t="s">
        <v>126</v>
      </c>
      <c r="D211" s="12"/>
      <c r="E211" s="12">
        <f>MAX(G211:Z211)</f>
        <v>940</v>
      </c>
      <c r="F211" s="12" t="str">
        <f>VLOOKUP(B211,[1]lookup!A:B,2,FALSE)</f>
        <v>SaaS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940</v>
      </c>
      <c r="AA211" s="12"/>
      <c r="AC211" s="13">
        <f>M211*AC$2</f>
        <v>0</v>
      </c>
      <c r="AL211" s="14">
        <f>SUM(AC211:AK211)</f>
        <v>0</v>
      </c>
    </row>
    <row r="212" spans="1:38" hidden="1" x14ac:dyDescent="0.25">
      <c r="A212" s="12" t="s">
        <v>233</v>
      </c>
      <c r="B212" s="12" t="s">
        <v>234</v>
      </c>
      <c r="C212" s="12" t="s">
        <v>126</v>
      </c>
      <c r="D212" s="12"/>
      <c r="E212" s="12">
        <f>MAX(G212:Z212)</f>
        <v>791</v>
      </c>
      <c r="F212" s="12" t="str">
        <f>VLOOKUP(B212,[1]lookup!A:B,2,FALSE)</f>
        <v>SaaS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791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/>
      <c r="AC212" s="13">
        <f>M212*AC$2</f>
        <v>189840</v>
      </c>
      <c r="AL212" s="14">
        <f>SUM(AC212:AK212)</f>
        <v>189840</v>
      </c>
    </row>
    <row r="213" spans="1:38" hidden="1" x14ac:dyDescent="0.25">
      <c r="A213" s="12" t="s">
        <v>112</v>
      </c>
      <c r="B213" s="12" t="s">
        <v>113</v>
      </c>
      <c r="C213" s="12" t="s">
        <v>82</v>
      </c>
      <c r="D213" s="12"/>
      <c r="E213" s="12">
        <f>MAX(G213:Z213)</f>
        <v>2201</v>
      </c>
      <c r="F213" s="12" t="str">
        <f>VLOOKUP(B213,[1]lookup!A:B,2,FALSE)</f>
        <v>Perpetual</v>
      </c>
      <c r="G213" s="12">
        <v>0</v>
      </c>
      <c r="H213" s="12">
        <v>1100</v>
      </c>
      <c r="I213" s="12">
        <v>2201</v>
      </c>
      <c r="J213" s="12">
        <v>1100</v>
      </c>
      <c r="K213" s="12">
        <v>0</v>
      </c>
      <c r="L213" s="12">
        <v>0</v>
      </c>
      <c r="M213" s="12">
        <v>0</v>
      </c>
      <c r="N213" s="12">
        <v>0</v>
      </c>
      <c r="O213" s="12">
        <v>1100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/>
      <c r="AC213" s="13">
        <f>M213*AC$2</f>
        <v>0</v>
      </c>
      <c r="AD213" s="13">
        <f>J213*AD$2</f>
        <v>264000</v>
      </c>
      <c r="AE213" s="13">
        <f>J213*AE$2</f>
        <v>132000</v>
      </c>
      <c r="AF213" s="13">
        <f>H213*AF$2</f>
        <v>686400</v>
      </c>
      <c r="AG213" s="13">
        <f>H213*AG$2</f>
        <v>140800</v>
      </c>
      <c r="AH213" s="13">
        <f>H213*AH$2</f>
        <v>528000</v>
      </c>
      <c r="AI213" s="13">
        <f>H213*$AI$2</f>
        <v>216700</v>
      </c>
      <c r="AJ213" s="13">
        <f>AJ$2*H213</f>
        <v>660000</v>
      </c>
      <c r="AL213" s="14">
        <f>SUM(AC213:AK213)</f>
        <v>2627900</v>
      </c>
    </row>
    <row r="214" spans="1:38" hidden="1" x14ac:dyDescent="0.25">
      <c r="A214" s="12" t="s">
        <v>112</v>
      </c>
      <c r="B214" s="12" t="s">
        <v>250</v>
      </c>
      <c r="C214" s="12" t="s">
        <v>126</v>
      </c>
      <c r="D214" s="12"/>
      <c r="E214" s="12">
        <f>MAX(G214:Z214)</f>
        <v>720</v>
      </c>
      <c r="F214" s="12" t="str">
        <f>VLOOKUP(B214,[1]lookup!A:B,2,FALSE)</f>
        <v>Term</v>
      </c>
      <c r="G214" s="12">
        <v>0</v>
      </c>
      <c r="H214" s="12">
        <v>720</v>
      </c>
      <c r="I214" s="12">
        <v>720</v>
      </c>
      <c r="J214" s="12">
        <v>720</v>
      </c>
      <c r="K214" s="12">
        <v>0</v>
      </c>
      <c r="L214" s="12">
        <v>0</v>
      </c>
      <c r="M214" s="12">
        <v>720</v>
      </c>
      <c r="N214" s="12">
        <v>0</v>
      </c>
      <c r="O214" s="12">
        <v>720</v>
      </c>
      <c r="P214" s="12">
        <v>720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/>
      <c r="AC214" s="13">
        <f>M214*AC$2</f>
        <v>172800</v>
      </c>
      <c r="AD214" s="13">
        <f>J214*AD$2</f>
        <v>172800</v>
      </c>
      <c r="AF214" s="13">
        <f>H214*AF$2</f>
        <v>449280</v>
      </c>
      <c r="AG214" s="13">
        <f>H214*AG$2</f>
        <v>92160</v>
      </c>
      <c r="AH214" s="13">
        <f>H214*AH$2</f>
        <v>345600</v>
      </c>
      <c r="AI214" s="13">
        <f>H214*$AI$2</f>
        <v>141840</v>
      </c>
      <c r="AL214" s="14">
        <f>SUM(AC214:AK214)</f>
        <v>1374480</v>
      </c>
    </row>
    <row r="215" spans="1:38" hidden="1" x14ac:dyDescent="0.25">
      <c r="A215" s="12" t="s">
        <v>112</v>
      </c>
      <c r="B215" s="12" t="s">
        <v>280</v>
      </c>
      <c r="C215" s="12" t="s">
        <v>126</v>
      </c>
      <c r="D215" s="12"/>
      <c r="E215" s="12">
        <f>MAX(G215:Z215)</f>
        <v>585</v>
      </c>
      <c r="F215" s="12" t="str">
        <f>VLOOKUP(B215,[1]lookup!A:B,2,FALSE)</f>
        <v>Perpetual</v>
      </c>
      <c r="G215" s="12">
        <v>0</v>
      </c>
      <c r="H215" s="12">
        <v>585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/>
      <c r="AC215" s="13">
        <f>M215*AC$2</f>
        <v>0</v>
      </c>
      <c r="AF215" s="13">
        <f>H215*AF$2</f>
        <v>365040</v>
      </c>
      <c r="AG215" s="13">
        <f>H215*AG$2</f>
        <v>74880</v>
      </c>
      <c r="AH215" s="13">
        <f>H215*AH$2</f>
        <v>280800</v>
      </c>
      <c r="AI215" s="13">
        <f>H215*$AI$2</f>
        <v>115245</v>
      </c>
      <c r="AJ215" s="13">
        <f>AJ$2*H215</f>
        <v>351000</v>
      </c>
      <c r="AK215" s="15">
        <f>H215*AK$2</f>
        <v>70200</v>
      </c>
      <c r="AL215" s="14">
        <f>SUM(AC215:AK215)</f>
        <v>1257165</v>
      </c>
    </row>
    <row r="216" spans="1:38" hidden="1" x14ac:dyDescent="0.25">
      <c r="A216" s="12" t="s">
        <v>194</v>
      </c>
      <c r="B216" s="12" t="s">
        <v>195</v>
      </c>
      <c r="C216" s="12" t="s">
        <v>126</v>
      </c>
      <c r="D216" s="12"/>
      <c r="E216" s="12">
        <f>MAX(G216:Z216)</f>
        <v>1000</v>
      </c>
      <c r="F216" s="12" t="s">
        <v>70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1000</v>
      </c>
      <c r="Y216" s="12">
        <v>0</v>
      </c>
      <c r="Z216" s="12">
        <v>0</v>
      </c>
      <c r="AA216" s="12"/>
      <c r="AC216" s="13">
        <f>M216*AC$2</f>
        <v>0</v>
      </c>
      <c r="AL216" s="14">
        <f>SUM(AC216:AK216)</f>
        <v>0</v>
      </c>
    </row>
    <row r="217" spans="1:38" hidden="1" x14ac:dyDescent="0.25">
      <c r="A217" s="12" t="s">
        <v>134</v>
      </c>
      <c r="B217" s="12" t="s">
        <v>88</v>
      </c>
      <c r="C217" s="12" t="s">
        <v>126</v>
      </c>
      <c r="D217" s="12"/>
      <c r="E217" s="12">
        <f>MAX(G217:Z217)</f>
        <v>1705</v>
      </c>
      <c r="F217" s="12" t="str">
        <f>VLOOKUP(B217,[1]lookup!A:B,2,FALSE)</f>
        <v>Term</v>
      </c>
      <c r="G217" s="12">
        <v>0</v>
      </c>
      <c r="H217" s="12">
        <v>1705</v>
      </c>
      <c r="I217" s="12">
        <v>1105</v>
      </c>
      <c r="J217" s="12">
        <v>1100</v>
      </c>
      <c r="K217" s="12">
        <v>0</v>
      </c>
      <c r="L217" s="12">
        <v>400</v>
      </c>
      <c r="M217" s="12">
        <v>1200</v>
      </c>
      <c r="N217" s="12">
        <v>0</v>
      </c>
      <c r="O217" s="12">
        <v>1100</v>
      </c>
      <c r="P217" s="12">
        <v>1100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/>
      <c r="AC217" s="13">
        <f>M217*AC$2</f>
        <v>288000</v>
      </c>
      <c r="AD217" s="13">
        <f>J217*AD$2</f>
        <v>264000</v>
      </c>
      <c r="AF217" s="13">
        <f>H217*AF$2</f>
        <v>1063920</v>
      </c>
      <c r="AG217" s="13">
        <f>H217*AG$2</f>
        <v>218240</v>
      </c>
      <c r="AH217" s="13">
        <f>H217*AH$2</f>
        <v>818400</v>
      </c>
      <c r="AI217" s="13">
        <f>H217*$AI$2</f>
        <v>335885</v>
      </c>
      <c r="AL217" s="14">
        <f>SUM(AC217:AK217)</f>
        <v>2988445</v>
      </c>
    </row>
    <row r="218" spans="1:38" hidden="1" x14ac:dyDescent="0.25">
      <c r="A218" s="12" t="s">
        <v>134</v>
      </c>
      <c r="B218" s="12" t="s">
        <v>153</v>
      </c>
      <c r="C218" s="12" t="s">
        <v>126</v>
      </c>
      <c r="D218" s="12"/>
      <c r="E218" s="12">
        <f>MAX(G218:Z218)</f>
        <v>1390</v>
      </c>
      <c r="F218" s="12" t="str">
        <f>VLOOKUP(B218,[1]lookup!A:B,2,FALSE)</f>
        <v>Perpetual</v>
      </c>
      <c r="G218" s="12">
        <v>0</v>
      </c>
      <c r="H218" s="12">
        <v>0</v>
      </c>
      <c r="I218" s="12">
        <v>1390</v>
      </c>
      <c r="J218" s="12">
        <v>0</v>
      </c>
      <c r="K218" s="12">
        <v>0</v>
      </c>
      <c r="L218" s="12">
        <v>0</v>
      </c>
      <c r="M218" s="12">
        <v>2</v>
      </c>
      <c r="N218" s="12">
        <v>0</v>
      </c>
      <c r="O218" s="12">
        <v>2</v>
      </c>
      <c r="P218" s="12">
        <v>1390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/>
      <c r="AC218" s="13">
        <f>M218*AC$2</f>
        <v>480</v>
      </c>
      <c r="AL218" s="14">
        <f>SUM(AC218:AK218)</f>
        <v>480</v>
      </c>
    </row>
    <row r="219" spans="1:38" hidden="1" x14ac:dyDescent="0.25">
      <c r="A219" s="12" t="s">
        <v>134</v>
      </c>
      <c r="B219" s="12" t="s">
        <v>165</v>
      </c>
      <c r="C219" s="12" t="s">
        <v>126</v>
      </c>
      <c r="D219" s="12"/>
      <c r="E219" s="12">
        <f>MAX(G219:Z219)</f>
        <v>1200</v>
      </c>
      <c r="F219" s="12" t="str">
        <f>VLOOKUP(B219,[1]lookup!A:B,2,FALSE)</f>
        <v>Perpetual</v>
      </c>
      <c r="G219" s="12">
        <v>0</v>
      </c>
      <c r="H219" s="12">
        <v>1200</v>
      </c>
      <c r="I219" s="12">
        <v>0</v>
      </c>
      <c r="J219" s="12">
        <v>1200</v>
      </c>
      <c r="K219" s="12">
        <v>0</v>
      </c>
      <c r="L219" s="12">
        <v>0</v>
      </c>
      <c r="M219" s="12">
        <v>0</v>
      </c>
      <c r="N219" s="12">
        <v>0</v>
      </c>
      <c r="O219" s="12">
        <v>1200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/>
      <c r="AC219" s="13">
        <f>M219*AC$2</f>
        <v>0</v>
      </c>
      <c r="AD219" s="13">
        <f>J219*AD$2</f>
        <v>288000</v>
      </c>
      <c r="AE219" s="13">
        <f>J219*AE$2</f>
        <v>144000</v>
      </c>
      <c r="AF219" s="13">
        <f>H219*AF$2</f>
        <v>748800</v>
      </c>
      <c r="AG219" s="13">
        <f>H219*AG$2</f>
        <v>153600</v>
      </c>
      <c r="AH219" s="13">
        <f>H219*AH$2</f>
        <v>576000</v>
      </c>
      <c r="AI219" s="13">
        <f>H219*$AI$2</f>
        <v>236400</v>
      </c>
      <c r="AJ219" s="13">
        <f>AJ$2*H219</f>
        <v>720000</v>
      </c>
      <c r="AK219" s="15">
        <f>H219*AK$2</f>
        <v>144000</v>
      </c>
      <c r="AL219" s="14">
        <f>SUM(AC219:AK219)</f>
        <v>3010800</v>
      </c>
    </row>
    <row r="220" spans="1:38" hidden="1" x14ac:dyDescent="0.25">
      <c r="A220" s="12" t="s">
        <v>134</v>
      </c>
      <c r="B220" s="12" t="s">
        <v>181</v>
      </c>
      <c r="C220" s="12" t="s">
        <v>126</v>
      </c>
      <c r="D220" s="12"/>
      <c r="E220" s="12">
        <f>MAX(G220:Z220)</f>
        <v>1060</v>
      </c>
      <c r="F220" s="12" t="str">
        <f>VLOOKUP(B220,[1]lookup!A:B,2,FALSE)</f>
        <v>Term</v>
      </c>
      <c r="G220" s="12">
        <v>0</v>
      </c>
      <c r="H220" s="12">
        <v>1060</v>
      </c>
      <c r="I220" s="12">
        <v>1</v>
      </c>
      <c r="J220" s="12">
        <v>530</v>
      </c>
      <c r="K220" s="12">
        <v>355</v>
      </c>
      <c r="L220" s="12">
        <v>355</v>
      </c>
      <c r="M220" s="12">
        <v>530</v>
      </c>
      <c r="N220" s="12">
        <v>0</v>
      </c>
      <c r="O220" s="12">
        <v>530</v>
      </c>
      <c r="P220" s="12">
        <v>740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/>
      <c r="AC220" s="13">
        <f>M220*AC$2</f>
        <v>127200</v>
      </c>
      <c r="AF220" s="13">
        <f>H220*AF$2</f>
        <v>661440</v>
      </c>
      <c r="AG220" s="13">
        <f>H220*AG$2</f>
        <v>135680</v>
      </c>
      <c r="AH220" s="13">
        <f>H220*AH$2</f>
        <v>508800</v>
      </c>
      <c r="AI220" s="13">
        <f>H220*$AI$2</f>
        <v>208820</v>
      </c>
      <c r="AL220" s="14">
        <f>SUM(AC220:AK220)</f>
        <v>1641940</v>
      </c>
    </row>
    <row r="221" spans="1:38" hidden="1" x14ac:dyDescent="0.25">
      <c r="A221" s="12" t="s">
        <v>134</v>
      </c>
      <c r="B221" s="12" t="s">
        <v>225</v>
      </c>
      <c r="C221" s="12" t="s">
        <v>126</v>
      </c>
      <c r="D221" s="12"/>
      <c r="E221" s="12">
        <f>MAX(G221:Z221)</f>
        <v>825</v>
      </c>
      <c r="F221" s="12" t="str">
        <f>VLOOKUP(B221,[1]lookup!A:B,2,FALSE)</f>
        <v>Perpetual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825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/>
      <c r="AC221" s="13">
        <f>M221*AC$2</f>
        <v>0</v>
      </c>
      <c r="AL221" s="14">
        <f>SUM(AC221:AK221)</f>
        <v>0</v>
      </c>
    </row>
    <row r="222" spans="1:38" hidden="1" x14ac:dyDescent="0.25">
      <c r="A222" s="12" t="s">
        <v>267</v>
      </c>
      <c r="B222" s="12" t="s">
        <v>268</v>
      </c>
      <c r="C222" s="12" t="s">
        <v>126</v>
      </c>
      <c r="D222" s="12"/>
      <c r="E222" s="12">
        <f>MAX(G222:Z222)</f>
        <v>605</v>
      </c>
      <c r="F222" s="12" t="str">
        <f>VLOOKUP(B222,[1]lookup!A:B,2,FALSE)</f>
        <v>Perpetual</v>
      </c>
      <c r="G222" s="12">
        <v>0</v>
      </c>
      <c r="H222" s="12">
        <v>605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/>
      <c r="AC222" s="13">
        <f>M222*AC$2</f>
        <v>0</v>
      </c>
      <c r="AF222" s="13">
        <f>H222*AF$2</f>
        <v>377520</v>
      </c>
      <c r="AG222" s="13">
        <f>H222*AG$2</f>
        <v>77440</v>
      </c>
      <c r="AH222" s="13">
        <f>H222*AH$2</f>
        <v>290400</v>
      </c>
      <c r="AI222" s="13">
        <f>H222*$AI$2</f>
        <v>119185</v>
      </c>
      <c r="AJ222" s="13">
        <f>AJ$2*H222</f>
        <v>363000</v>
      </c>
      <c r="AK222" s="15">
        <f>H222*AK$2</f>
        <v>72600</v>
      </c>
      <c r="AL222" s="14">
        <f>SUM(AC222:AK222)</f>
        <v>1300145</v>
      </c>
    </row>
    <row r="223" spans="1:38" hidden="1" x14ac:dyDescent="0.25">
      <c r="A223" s="12" t="s">
        <v>173</v>
      </c>
      <c r="B223" s="12" t="s">
        <v>174</v>
      </c>
      <c r="C223" s="12" t="s">
        <v>126</v>
      </c>
      <c r="D223" s="12"/>
      <c r="E223" s="12">
        <f>MAX(G223:Z223)</f>
        <v>1118</v>
      </c>
      <c r="F223" s="12" t="str">
        <f>VLOOKUP(B223,[1]lookup!A:B,2,FALSE)</f>
        <v>SaaS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1118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/>
      <c r="AC223" s="13">
        <f>M223*AC$2</f>
        <v>0</v>
      </c>
      <c r="AL223" s="14">
        <f>SUM(AC223:AK223)</f>
        <v>0</v>
      </c>
    </row>
    <row r="224" spans="1:38" hidden="1" x14ac:dyDescent="0.25">
      <c r="A224" s="12" t="s">
        <v>80</v>
      </c>
      <c r="B224" s="12" t="s">
        <v>81</v>
      </c>
      <c r="C224" s="12" t="s">
        <v>82</v>
      </c>
      <c r="D224" s="12"/>
      <c r="E224" s="12">
        <f>MAX(G224:Z224)</f>
        <v>4800</v>
      </c>
      <c r="F224" s="12" t="s">
        <v>70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4800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/>
      <c r="AC224" s="13">
        <f>M224*AC$2</f>
        <v>0</v>
      </c>
      <c r="AL224" s="14">
        <f>SUM(AC224:AK224)</f>
        <v>0</v>
      </c>
    </row>
    <row r="225" spans="1:38" hidden="1" x14ac:dyDescent="0.25">
      <c r="A225" s="12" t="s">
        <v>80</v>
      </c>
      <c r="B225" s="12" t="s">
        <v>215</v>
      </c>
      <c r="C225" s="12" t="s">
        <v>126</v>
      </c>
      <c r="D225" s="12"/>
      <c r="E225" s="12">
        <f>MAX(G225:Z225)</f>
        <v>873</v>
      </c>
      <c r="F225" s="12" t="str">
        <f>VLOOKUP(B225,[1]lookup!A:B,2,FALSE)</f>
        <v>Perpetual</v>
      </c>
      <c r="G225" s="12">
        <v>0</v>
      </c>
      <c r="H225" s="12">
        <v>873</v>
      </c>
      <c r="I225" s="12">
        <v>873</v>
      </c>
      <c r="J225" s="12">
        <v>873</v>
      </c>
      <c r="K225" s="12">
        <v>0</v>
      </c>
      <c r="L225" s="12">
        <v>143</v>
      </c>
      <c r="M225" s="12">
        <v>0</v>
      </c>
      <c r="N225" s="12">
        <v>0</v>
      </c>
      <c r="O225" s="12">
        <v>873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/>
      <c r="AC225" s="13">
        <f>M225*AC$2</f>
        <v>0</v>
      </c>
      <c r="AD225" s="13">
        <f>J225*AD$2</f>
        <v>209520</v>
      </c>
      <c r="AE225" s="13">
        <f>J225*AE$2</f>
        <v>104760</v>
      </c>
      <c r="AF225" s="13">
        <f>H225*AF$2</f>
        <v>544752</v>
      </c>
      <c r="AG225" s="13">
        <f>H225*AG$2</f>
        <v>111744</v>
      </c>
      <c r="AH225" s="13">
        <f>H225*AH$2</f>
        <v>419040</v>
      </c>
      <c r="AI225" s="13">
        <f>H225*$AI$2</f>
        <v>171981</v>
      </c>
      <c r="AJ225" s="13">
        <f>AJ$2*H225</f>
        <v>523800</v>
      </c>
      <c r="AL225" s="14">
        <f>SUM(AC225:AK225)</f>
        <v>2085597</v>
      </c>
    </row>
    <row r="226" spans="1:38" hidden="1" x14ac:dyDescent="0.25">
      <c r="A226" s="12" t="s">
        <v>78</v>
      </c>
      <c r="B226" s="12" t="s">
        <v>79</v>
      </c>
      <c r="C226" s="12" t="s">
        <v>55</v>
      </c>
      <c r="D226" s="12"/>
      <c r="E226" s="12">
        <f>MAX(G226:Z226)</f>
        <v>5013</v>
      </c>
      <c r="F226" s="12" t="str">
        <f>VLOOKUP(B226,[1]lookup!A:B,2,FALSE)</f>
        <v>Term</v>
      </c>
      <c r="G226" s="12">
        <v>0</v>
      </c>
      <c r="H226" s="12">
        <v>5010</v>
      </c>
      <c r="I226" s="12">
        <v>5013</v>
      </c>
      <c r="J226" s="12">
        <v>4010</v>
      </c>
      <c r="K226" s="12">
        <v>0</v>
      </c>
      <c r="L226" s="12">
        <v>4010</v>
      </c>
      <c r="M226" s="12">
        <v>4010</v>
      </c>
      <c r="N226" s="12">
        <v>0</v>
      </c>
      <c r="O226" s="12">
        <v>1100</v>
      </c>
      <c r="P226" s="12">
        <v>4220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/>
      <c r="AC226" s="13">
        <f>M226*AC$2</f>
        <v>962400</v>
      </c>
      <c r="AD226" s="13">
        <f>J226*AD$2</f>
        <v>962400</v>
      </c>
      <c r="AF226" s="13">
        <f>H226*AF$2</f>
        <v>3126240</v>
      </c>
      <c r="AG226" s="13">
        <f>H226*AG$2</f>
        <v>641280</v>
      </c>
      <c r="AH226" s="13">
        <f>H226*AH$2</f>
        <v>2404800</v>
      </c>
      <c r="AI226" s="13">
        <f>H226*$AI$2</f>
        <v>986970</v>
      </c>
      <c r="AL226" s="14">
        <f>SUM(AC226:AK226)</f>
        <v>9084090</v>
      </c>
    </row>
    <row r="227" spans="1:38" hidden="1" x14ac:dyDescent="0.25">
      <c r="A227" s="12" t="s">
        <v>78</v>
      </c>
      <c r="B227" s="12" t="s">
        <v>147</v>
      </c>
      <c r="C227" s="12" t="s">
        <v>126</v>
      </c>
      <c r="D227" s="12"/>
      <c r="E227" s="12">
        <f>MAX(G227:Z227)</f>
        <v>1462</v>
      </c>
      <c r="F227" s="12" t="str">
        <f>VLOOKUP(B227,[1]lookup!A:B,2,FALSE)</f>
        <v>Perpetual</v>
      </c>
      <c r="G227" s="12">
        <v>0</v>
      </c>
      <c r="H227" s="12">
        <v>1462</v>
      </c>
      <c r="I227" s="12">
        <v>0</v>
      </c>
      <c r="J227" s="12">
        <v>860</v>
      </c>
      <c r="K227" s="12">
        <v>0</v>
      </c>
      <c r="L227" s="12">
        <v>0</v>
      </c>
      <c r="M227" s="12">
        <v>860</v>
      </c>
      <c r="N227" s="12">
        <v>0</v>
      </c>
      <c r="O227" s="12">
        <v>860</v>
      </c>
      <c r="P227" s="12">
        <v>612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/>
      <c r="AC227" s="13">
        <f>M227*AC$2</f>
        <v>206400</v>
      </c>
      <c r="AD227" s="13">
        <f>J227*AD$2</f>
        <v>206400</v>
      </c>
      <c r="AF227" s="13">
        <f>H227*AF$2</f>
        <v>912288</v>
      </c>
      <c r="AG227" s="13">
        <f>H227*AG$2</f>
        <v>187136</v>
      </c>
      <c r="AH227" s="13">
        <f>H227*AH$2</f>
        <v>701760</v>
      </c>
      <c r="AI227" s="13">
        <f>H227*$AI$2</f>
        <v>288014</v>
      </c>
      <c r="AK227" s="15">
        <f>H227*AK$2</f>
        <v>175440</v>
      </c>
      <c r="AL227" s="14">
        <f>SUM(AC227:AK227)</f>
        <v>2677438</v>
      </c>
    </row>
    <row r="228" spans="1:38" hidden="1" x14ac:dyDescent="0.25">
      <c r="A228" s="12" t="s">
        <v>78</v>
      </c>
      <c r="B228" s="12" t="s">
        <v>242</v>
      </c>
      <c r="C228" s="12" t="s">
        <v>126</v>
      </c>
      <c r="D228" s="12"/>
      <c r="E228" s="12">
        <f>MAX(G228:Z228)</f>
        <v>747</v>
      </c>
      <c r="F228" s="12" t="str">
        <f>VLOOKUP(B228,[1]lookup!A:B,2,FALSE)</f>
        <v>Term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747</v>
      </c>
      <c r="N228" s="12">
        <v>0</v>
      </c>
      <c r="O228" s="12">
        <v>747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/>
      <c r="AC228" s="13">
        <f>M228*AC$2</f>
        <v>179280</v>
      </c>
      <c r="AL228" s="14">
        <f>SUM(AC228:AK228)</f>
        <v>179280</v>
      </c>
    </row>
    <row r="229" spans="1:38" hidden="1" x14ac:dyDescent="0.25">
      <c r="A229" s="12" t="s">
        <v>78</v>
      </c>
      <c r="B229" s="12" t="s">
        <v>262</v>
      </c>
      <c r="C229" s="12" t="s">
        <v>126</v>
      </c>
      <c r="D229" s="12"/>
      <c r="E229" s="12">
        <f>MAX(G229:Z229)</f>
        <v>650</v>
      </c>
      <c r="F229" s="12" t="str">
        <f>VLOOKUP(B229,[1]lookup!A:B,2,FALSE)</f>
        <v>Term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650</v>
      </c>
      <c r="N229" s="12">
        <v>0</v>
      </c>
      <c r="O229" s="12">
        <v>650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/>
      <c r="AC229" s="13">
        <f>M229*AC$2</f>
        <v>156000</v>
      </c>
      <c r="AL229" s="14">
        <f>SUM(AC229:AK229)</f>
        <v>156000</v>
      </c>
    </row>
    <row r="230" spans="1:38" hidden="1" x14ac:dyDescent="0.25">
      <c r="A230" s="12" t="s">
        <v>78</v>
      </c>
      <c r="B230" s="12" t="s">
        <v>274</v>
      </c>
      <c r="C230" s="12" t="s">
        <v>126</v>
      </c>
      <c r="D230" s="12"/>
      <c r="E230" s="12">
        <f>MAX(G230:Z230)</f>
        <v>600</v>
      </c>
      <c r="F230" s="12" t="str">
        <f>VLOOKUP(B230,[1]lookup!A:B,2,FALSE)</f>
        <v>Term</v>
      </c>
      <c r="G230" s="12">
        <v>0</v>
      </c>
      <c r="H230" s="12">
        <v>600</v>
      </c>
      <c r="I230" s="12">
        <v>0</v>
      </c>
      <c r="J230" s="12">
        <v>500</v>
      </c>
      <c r="K230" s="12">
        <v>0</v>
      </c>
      <c r="L230" s="12">
        <v>450</v>
      </c>
      <c r="M230" s="12">
        <v>500</v>
      </c>
      <c r="N230" s="12">
        <v>0</v>
      </c>
      <c r="O230" s="12">
        <v>500</v>
      </c>
      <c r="P230" s="12">
        <v>450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/>
      <c r="AC230" s="13">
        <f>M230*AC$2</f>
        <v>120000</v>
      </c>
      <c r="AD230" s="13">
        <f>J230*AD$2</f>
        <v>120000</v>
      </c>
      <c r="AF230" s="13">
        <f>H230*AF$2</f>
        <v>374400</v>
      </c>
      <c r="AG230" s="13">
        <f>H230*AG$2</f>
        <v>76800</v>
      </c>
      <c r="AH230" s="13">
        <f>H230*AH$2</f>
        <v>288000</v>
      </c>
      <c r="AI230" s="13">
        <f>H230*$AI$2</f>
        <v>118200</v>
      </c>
      <c r="AK230" s="15">
        <f>H230*AK$2</f>
        <v>72000</v>
      </c>
      <c r="AL230" s="14">
        <f>SUM(AC230:AK230)</f>
        <v>1169400</v>
      </c>
    </row>
    <row r="231" spans="1:38" hidden="1" x14ac:dyDescent="0.25">
      <c r="A231" s="12" t="s">
        <v>306</v>
      </c>
      <c r="B231" s="12" t="s">
        <v>307</v>
      </c>
      <c r="C231" s="12" t="s">
        <v>308</v>
      </c>
      <c r="D231" s="12"/>
      <c r="E231" s="12">
        <f t="shared" ref="E197:E260" si="2">MAX(G231:Z231)</f>
        <v>492</v>
      </c>
      <c r="F231" s="12" t="s">
        <v>70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492</v>
      </c>
      <c r="X231" s="12">
        <v>0</v>
      </c>
      <c r="Y231" s="12">
        <v>0</v>
      </c>
      <c r="Z231" s="12">
        <v>0</v>
      </c>
      <c r="AA231" s="12"/>
      <c r="AC231" s="13">
        <f t="shared" ref="AC197:AC260" si="3">M231*AC$2</f>
        <v>0</v>
      </c>
      <c r="AL231" s="14">
        <f t="shared" ref="AL198:AL261" si="4">SUM(AC231:AK231)</f>
        <v>0</v>
      </c>
    </row>
    <row r="232" spans="1:38" hidden="1" x14ac:dyDescent="0.25">
      <c r="A232" s="12" t="s">
        <v>112</v>
      </c>
      <c r="B232" s="12" t="s">
        <v>309</v>
      </c>
      <c r="C232" s="12" t="s">
        <v>308</v>
      </c>
      <c r="D232" s="12"/>
      <c r="E232" s="12">
        <f t="shared" si="2"/>
        <v>490</v>
      </c>
      <c r="F232" s="12" t="str">
        <f>VLOOKUP(B232,[1]lookup!A:B,2,FALSE)</f>
        <v>Perpetual</v>
      </c>
      <c r="G232" s="12">
        <v>0</v>
      </c>
      <c r="H232" s="12">
        <v>440</v>
      </c>
      <c r="I232" s="12">
        <v>0</v>
      </c>
      <c r="J232" s="12">
        <v>490</v>
      </c>
      <c r="K232" s="12">
        <v>0</v>
      </c>
      <c r="L232" s="12">
        <v>85</v>
      </c>
      <c r="M232" s="12">
        <v>275</v>
      </c>
      <c r="N232" s="12">
        <v>0</v>
      </c>
      <c r="O232" s="12">
        <v>275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/>
      <c r="AC232" s="13">
        <f t="shared" si="3"/>
        <v>66000</v>
      </c>
      <c r="AD232" s="13">
        <f t="shared" ref="AD232:AD233" si="5">J232*AD$2</f>
        <v>117600</v>
      </c>
      <c r="AE232" s="13">
        <f t="shared" ref="AE232:AE233" si="6">J232*AE$2</f>
        <v>58800</v>
      </c>
      <c r="AF232" s="13">
        <f t="shared" ref="AF232:AF233" si="7">H232*AF$2</f>
        <v>274560</v>
      </c>
      <c r="AG232" s="13">
        <f t="shared" ref="AG232:AG233" si="8">H232*AG$2</f>
        <v>56320</v>
      </c>
      <c r="AH232" s="13">
        <f t="shared" ref="AH232:AH233" si="9">H232*AH$2</f>
        <v>211200</v>
      </c>
      <c r="AI232" s="13">
        <f t="shared" ref="AI232:AI233" si="10">H232*$AI$2</f>
        <v>86680</v>
      </c>
      <c r="AJ232" s="13">
        <f t="shared" ref="AJ232:AJ233" si="11">AJ$2*H232</f>
        <v>264000</v>
      </c>
      <c r="AK232" s="15">
        <f t="shared" ref="AK232:AK233" si="12">H232*AK$2</f>
        <v>52800</v>
      </c>
      <c r="AL232" s="14">
        <f t="shared" si="4"/>
        <v>1187960</v>
      </c>
    </row>
    <row r="233" spans="1:38" hidden="1" x14ac:dyDescent="0.25">
      <c r="A233" s="12" t="s">
        <v>90</v>
      </c>
      <c r="B233" s="12" t="s">
        <v>309</v>
      </c>
      <c r="C233" s="12" t="s">
        <v>308</v>
      </c>
      <c r="D233" s="12"/>
      <c r="E233" s="12">
        <f t="shared" si="2"/>
        <v>490</v>
      </c>
      <c r="F233" s="12" t="str">
        <f>VLOOKUP(B233,[1]lookup!A:B,2,FALSE)</f>
        <v>Perpetual</v>
      </c>
      <c r="G233" s="12">
        <v>0</v>
      </c>
      <c r="H233" s="12">
        <v>440</v>
      </c>
      <c r="I233" s="12">
        <v>0</v>
      </c>
      <c r="J233" s="12">
        <v>490</v>
      </c>
      <c r="K233" s="12">
        <v>0</v>
      </c>
      <c r="L233" s="12">
        <v>85</v>
      </c>
      <c r="M233" s="12">
        <v>275</v>
      </c>
      <c r="N233" s="12">
        <v>0</v>
      </c>
      <c r="O233" s="12">
        <v>275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/>
      <c r="AC233" s="13">
        <f t="shared" si="3"/>
        <v>66000</v>
      </c>
      <c r="AD233" s="13">
        <f t="shared" si="5"/>
        <v>117600</v>
      </c>
      <c r="AE233" s="13">
        <f t="shared" si="6"/>
        <v>58800</v>
      </c>
      <c r="AF233" s="13">
        <f t="shared" si="7"/>
        <v>274560</v>
      </c>
      <c r="AG233" s="13">
        <f t="shared" si="8"/>
        <v>56320</v>
      </c>
      <c r="AH233" s="13">
        <f t="shared" si="9"/>
        <v>211200</v>
      </c>
      <c r="AI233" s="13">
        <f t="shared" si="10"/>
        <v>86680</v>
      </c>
      <c r="AJ233" s="13">
        <f t="shared" si="11"/>
        <v>264000</v>
      </c>
      <c r="AK233" s="15">
        <f t="shared" si="12"/>
        <v>52800</v>
      </c>
      <c r="AL233" s="14">
        <f t="shared" si="4"/>
        <v>1187960</v>
      </c>
    </row>
    <row r="234" spans="1:38" hidden="1" x14ac:dyDescent="0.25">
      <c r="A234" s="12" t="s">
        <v>233</v>
      </c>
      <c r="B234" s="12" t="s">
        <v>310</v>
      </c>
      <c r="C234" s="12" t="s">
        <v>308</v>
      </c>
      <c r="D234" s="12"/>
      <c r="E234" s="12">
        <f t="shared" si="2"/>
        <v>490</v>
      </c>
      <c r="F234" s="12" t="str">
        <f>VLOOKUP(B234,[1]lookup!A:B,2,FALSE)</f>
        <v>SaaS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490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/>
      <c r="AC234" s="13">
        <f t="shared" si="3"/>
        <v>0</v>
      </c>
      <c r="AL234" s="14">
        <f t="shared" si="4"/>
        <v>0</v>
      </c>
    </row>
    <row r="235" spans="1:38" hidden="1" x14ac:dyDescent="0.25">
      <c r="A235" s="12" t="s">
        <v>51</v>
      </c>
      <c r="B235" s="12" t="s">
        <v>311</v>
      </c>
      <c r="C235" s="12" t="s">
        <v>308</v>
      </c>
      <c r="D235" s="12"/>
      <c r="E235" s="12">
        <f t="shared" si="2"/>
        <v>486</v>
      </c>
      <c r="F235" s="12" t="s">
        <v>70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486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/>
      <c r="AC235" s="13">
        <f t="shared" si="3"/>
        <v>0</v>
      </c>
      <c r="AL235" s="14">
        <f t="shared" si="4"/>
        <v>0</v>
      </c>
    </row>
    <row r="236" spans="1:38" hidden="1" x14ac:dyDescent="0.25">
      <c r="A236" s="12" t="s">
        <v>86</v>
      </c>
      <c r="B236" s="12" t="s">
        <v>312</v>
      </c>
      <c r="C236" s="12" t="s">
        <v>308</v>
      </c>
      <c r="D236" s="12"/>
      <c r="E236" s="12">
        <f t="shared" si="2"/>
        <v>480</v>
      </c>
      <c r="F236" s="12" t="str">
        <f>VLOOKUP(B236,[1]lookup!A:B,2,FALSE)</f>
        <v>Term</v>
      </c>
      <c r="G236" s="12">
        <v>0</v>
      </c>
      <c r="H236" s="12">
        <v>480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/>
      <c r="AC236" s="13">
        <f t="shared" si="3"/>
        <v>0</v>
      </c>
      <c r="AF236" s="13">
        <f>H236*AF$2</f>
        <v>299520</v>
      </c>
      <c r="AG236" s="13">
        <f>H236*AG$2</f>
        <v>61440</v>
      </c>
      <c r="AH236" s="13">
        <f>H236*AH$2</f>
        <v>230400</v>
      </c>
      <c r="AI236" s="13">
        <f>H236*$AI$2</f>
        <v>94560</v>
      </c>
      <c r="AJ236" s="13">
        <f>AJ$2*H236</f>
        <v>288000</v>
      </c>
      <c r="AK236" s="15">
        <f>H236*AK$2</f>
        <v>57600</v>
      </c>
      <c r="AL236" s="14">
        <f t="shared" si="4"/>
        <v>1031520</v>
      </c>
    </row>
    <row r="237" spans="1:38" hidden="1" x14ac:dyDescent="0.25">
      <c r="A237" s="12" t="s">
        <v>51</v>
      </c>
      <c r="B237" s="12" t="s">
        <v>313</v>
      </c>
      <c r="C237" s="12" t="s">
        <v>308</v>
      </c>
      <c r="D237" s="12"/>
      <c r="E237" s="12">
        <f t="shared" si="2"/>
        <v>480</v>
      </c>
      <c r="F237" s="12" t="s">
        <v>70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480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/>
      <c r="AC237" s="13">
        <f t="shared" si="3"/>
        <v>0</v>
      </c>
      <c r="AL237" s="14">
        <f t="shared" si="4"/>
        <v>0</v>
      </c>
    </row>
    <row r="238" spans="1:38" hidden="1" x14ac:dyDescent="0.25">
      <c r="A238" s="12" t="s">
        <v>314</v>
      </c>
      <c r="B238" s="12" t="s">
        <v>315</v>
      </c>
      <c r="C238" s="12" t="s">
        <v>308</v>
      </c>
      <c r="D238" s="12"/>
      <c r="E238" s="12">
        <f t="shared" si="2"/>
        <v>480</v>
      </c>
      <c r="F238" s="12" t="s">
        <v>70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480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/>
      <c r="AC238" s="13">
        <f t="shared" si="3"/>
        <v>0</v>
      </c>
      <c r="AL238" s="14">
        <f t="shared" si="4"/>
        <v>0</v>
      </c>
    </row>
    <row r="239" spans="1:38" hidden="1" x14ac:dyDescent="0.25">
      <c r="A239" s="12" t="s">
        <v>173</v>
      </c>
      <c r="B239" s="12" t="s">
        <v>316</v>
      </c>
      <c r="C239" s="12" t="s">
        <v>308</v>
      </c>
      <c r="D239" s="12"/>
      <c r="E239" s="12">
        <f t="shared" si="2"/>
        <v>478</v>
      </c>
      <c r="F239" s="12" t="str">
        <f>VLOOKUP(B239,[1]lookup!A:B,2,FALSE)</f>
        <v>SaaS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478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/>
      <c r="AC239" s="13">
        <f t="shared" si="3"/>
        <v>0</v>
      </c>
      <c r="AL239" s="14">
        <f t="shared" si="4"/>
        <v>0</v>
      </c>
    </row>
    <row r="240" spans="1:38" hidden="1" x14ac:dyDescent="0.25">
      <c r="A240" s="12" t="s">
        <v>51</v>
      </c>
      <c r="B240" s="12" t="s">
        <v>317</v>
      </c>
      <c r="C240" s="12" t="s">
        <v>308</v>
      </c>
      <c r="D240" s="12"/>
      <c r="E240" s="12">
        <f t="shared" si="2"/>
        <v>463</v>
      </c>
      <c r="F240" s="12" t="s">
        <v>70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463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/>
      <c r="AC240" s="13">
        <f t="shared" si="3"/>
        <v>0</v>
      </c>
      <c r="AL240" s="14">
        <f t="shared" si="4"/>
        <v>0</v>
      </c>
    </row>
    <row r="241" spans="1:38" hidden="1" x14ac:dyDescent="0.25">
      <c r="A241" s="12" t="s">
        <v>216</v>
      </c>
      <c r="B241" s="12" t="s">
        <v>318</v>
      </c>
      <c r="C241" s="12" t="s">
        <v>308</v>
      </c>
      <c r="D241" s="12"/>
      <c r="E241" s="12">
        <f t="shared" si="2"/>
        <v>462</v>
      </c>
      <c r="F241" s="12" t="str">
        <f>VLOOKUP(B241,[1]lookup!A:B,2,FALSE)</f>
        <v>Perpetual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462</v>
      </c>
      <c r="Y241" s="12">
        <v>460</v>
      </c>
      <c r="Z241" s="12">
        <v>0</v>
      </c>
      <c r="AA241" s="12"/>
      <c r="AC241" s="13">
        <f t="shared" si="3"/>
        <v>0</v>
      </c>
      <c r="AL241" s="14">
        <f t="shared" si="4"/>
        <v>0</v>
      </c>
    </row>
    <row r="242" spans="1:38" hidden="1" x14ac:dyDescent="0.25">
      <c r="A242" s="12" t="s">
        <v>319</v>
      </c>
      <c r="B242" s="12" t="s">
        <v>318</v>
      </c>
      <c r="C242" s="12" t="s">
        <v>308</v>
      </c>
      <c r="D242" s="12"/>
      <c r="E242" s="12">
        <f t="shared" si="2"/>
        <v>462</v>
      </c>
      <c r="F242" s="12" t="str">
        <f>VLOOKUP(B242,[1]lookup!A:B,2,FALSE)</f>
        <v>Perpetual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462</v>
      </c>
      <c r="Y242" s="12">
        <v>460</v>
      </c>
      <c r="Z242" s="12">
        <v>0</v>
      </c>
      <c r="AA242" s="12"/>
      <c r="AC242" s="13">
        <f t="shared" si="3"/>
        <v>0</v>
      </c>
      <c r="AL242" s="14">
        <f t="shared" si="4"/>
        <v>0</v>
      </c>
    </row>
    <row r="243" spans="1:38" hidden="1" x14ac:dyDescent="0.25">
      <c r="A243" s="12" t="s">
        <v>86</v>
      </c>
      <c r="B243" s="12" t="s">
        <v>320</v>
      </c>
      <c r="C243" s="12" t="s">
        <v>308</v>
      </c>
      <c r="D243" s="12"/>
      <c r="E243" s="12">
        <f t="shared" si="2"/>
        <v>460</v>
      </c>
      <c r="F243" s="12" t="s">
        <v>70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460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/>
      <c r="AC243" s="13">
        <f t="shared" si="3"/>
        <v>0</v>
      </c>
      <c r="AL243" s="14">
        <f t="shared" si="4"/>
        <v>0</v>
      </c>
    </row>
    <row r="244" spans="1:38" hidden="1" x14ac:dyDescent="0.25">
      <c r="A244" s="12" t="s">
        <v>134</v>
      </c>
      <c r="B244" s="12" t="s">
        <v>321</v>
      </c>
      <c r="C244" s="12" t="s">
        <v>308</v>
      </c>
      <c r="D244" s="12"/>
      <c r="E244" s="12">
        <f t="shared" si="2"/>
        <v>458</v>
      </c>
      <c r="F244" s="12" t="str">
        <f>VLOOKUP(B244,[1]lookup!A:B,2,FALSE)</f>
        <v>Perpetual</v>
      </c>
      <c r="G244" s="12">
        <v>0</v>
      </c>
      <c r="H244" s="12">
        <v>458</v>
      </c>
      <c r="I244" s="12">
        <v>0</v>
      </c>
      <c r="J244" s="12">
        <v>458</v>
      </c>
      <c r="K244" s="12">
        <v>0</v>
      </c>
      <c r="L244" s="12">
        <v>0</v>
      </c>
      <c r="M244" s="12">
        <v>1</v>
      </c>
      <c r="N244" s="12">
        <v>0</v>
      </c>
      <c r="O244" s="12">
        <v>1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/>
      <c r="AC244" s="13">
        <f t="shared" si="3"/>
        <v>240</v>
      </c>
      <c r="AD244" s="13">
        <f t="shared" ref="AD244:AD245" si="13">J244*AD$2</f>
        <v>109920</v>
      </c>
      <c r="AE244" s="13">
        <f t="shared" ref="AE244:AE245" si="14">J244*AE$2</f>
        <v>54960</v>
      </c>
      <c r="AF244" s="13">
        <f t="shared" ref="AF244:AF245" si="15">H244*AF$2</f>
        <v>285792</v>
      </c>
      <c r="AG244" s="13">
        <f t="shared" ref="AG244:AG245" si="16">H244*AG$2</f>
        <v>58624</v>
      </c>
      <c r="AH244" s="13">
        <f t="shared" ref="AH244:AH245" si="17">H244*AH$2</f>
        <v>219840</v>
      </c>
      <c r="AI244" s="13">
        <f t="shared" ref="AI244:AI245" si="18">H244*$AI$2</f>
        <v>90226</v>
      </c>
      <c r="AJ244" s="13">
        <f t="shared" ref="AJ244:AJ245" si="19">AJ$2*H244</f>
        <v>274800</v>
      </c>
      <c r="AK244" s="15">
        <f t="shared" ref="AK244:AK245" si="20">H244*AK$2</f>
        <v>54960</v>
      </c>
      <c r="AL244" s="14">
        <f t="shared" si="4"/>
        <v>1149362</v>
      </c>
    </row>
    <row r="245" spans="1:38" hidden="1" x14ac:dyDescent="0.25">
      <c r="A245" s="12" t="s">
        <v>322</v>
      </c>
      <c r="B245" s="12" t="s">
        <v>321</v>
      </c>
      <c r="C245" s="12" t="s">
        <v>308</v>
      </c>
      <c r="D245" s="12"/>
      <c r="E245" s="12">
        <f t="shared" si="2"/>
        <v>458</v>
      </c>
      <c r="F245" s="12" t="str">
        <f>VLOOKUP(B245,[1]lookup!A:B,2,FALSE)</f>
        <v>Perpetual</v>
      </c>
      <c r="G245" s="12">
        <v>0</v>
      </c>
      <c r="H245" s="12">
        <v>458</v>
      </c>
      <c r="I245" s="12">
        <v>0</v>
      </c>
      <c r="J245" s="12">
        <v>458</v>
      </c>
      <c r="K245" s="12">
        <v>0</v>
      </c>
      <c r="L245" s="12">
        <v>0</v>
      </c>
      <c r="M245" s="12">
        <v>1</v>
      </c>
      <c r="N245" s="12">
        <v>0</v>
      </c>
      <c r="O245" s="12">
        <v>1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/>
      <c r="AC245" s="13">
        <f t="shared" si="3"/>
        <v>240</v>
      </c>
      <c r="AD245" s="13">
        <f t="shared" si="13"/>
        <v>109920</v>
      </c>
      <c r="AE245" s="13">
        <f t="shared" si="14"/>
        <v>54960</v>
      </c>
      <c r="AF245" s="13">
        <f t="shared" si="15"/>
        <v>285792</v>
      </c>
      <c r="AG245" s="13">
        <f t="shared" si="16"/>
        <v>58624</v>
      </c>
      <c r="AH245" s="13">
        <f t="shared" si="17"/>
        <v>219840</v>
      </c>
      <c r="AI245" s="13">
        <f t="shared" si="18"/>
        <v>90226</v>
      </c>
      <c r="AJ245" s="13">
        <f t="shared" si="19"/>
        <v>274800</v>
      </c>
      <c r="AK245" s="15">
        <f t="shared" si="20"/>
        <v>54960</v>
      </c>
      <c r="AL245" s="14">
        <f t="shared" si="4"/>
        <v>1149362</v>
      </c>
    </row>
    <row r="246" spans="1:38" hidden="1" x14ac:dyDescent="0.25">
      <c r="A246" s="12" t="s">
        <v>51</v>
      </c>
      <c r="B246" s="12" t="s">
        <v>323</v>
      </c>
      <c r="C246" s="12" t="s">
        <v>308</v>
      </c>
      <c r="D246" s="12"/>
      <c r="E246" s="12">
        <f t="shared" si="2"/>
        <v>451</v>
      </c>
      <c r="F246" s="12" t="s">
        <v>70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451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/>
      <c r="AC246" s="13">
        <f t="shared" si="3"/>
        <v>0</v>
      </c>
      <c r="AL246" s="14">
        <f t="shared" si="4"/>
        <v>0</v>
      </c>
    </row>
    <row r="247" spans="1:38" hidden="1" x14ac:dyDescent="0.25">
      <c r="A247" s="12" t="s">
        <v>86</v>
      </c>
      <c r="B247" s="12" t="s">
        <v>324</v>
      </c>
      <c r="C247" s="12" t="s">
        <v>308</v>
      </c>
      <c r="D247" s="12"/>
      <c r="E247" s="12">
        <f t="shared" si="2"/>
        <v>450</v>
      </c>
      <c r="F247" s="12" t="str">
        <f>VLOOKUP(B247,[1]lookup!A:B,2,FALSE)</f>
        <v>Term</v>
      </c>
      <c r="G247" s="12">
        <v>0</v>
      </c>
      <c r="H247" s="12">
        <v>450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/>
      <c r="AC247" s="13">
        <f t="shared" si="3"/>
        <v>0</v>
      </c>
      <c r="AF247" s="13">
        <f>H247*AF$2</f>
        <v>280800</v>
      </c>
      <c r="AG247" s="13">
        <f>H247*AG$2</f>
        <v>57600</v>
      </c>
      <c r="AH247" s="13">
        <f>H247*AH$2</f>
        <v>216000</v>
      </c>
      <c r="AI247" s="13">
        <f>H247*$AI$2</f>
        <v>88650</v>
      </c>
      <c r="AJ247" s="13">
        <f>AJ$2*H247</f>
        <v>270000</v>
      </c>
      <c r="AK247" s="15">
        <f>H247*AK$2</f>
        <v>54000</v>
      </c>
      <c r="AL247" s="14">
        <f t="shared" si="4"/>
        <v>967050</v>
      </c>
    </row>
    <row r="248" spans="1:38" hidden="1" x14ac:dyDescent="0.25">
      <c r="A248" s="12" t="s">
        <v>148</v>
      </c>
      <c r="B248" s="12" t="s">
        <v>156</v>
      </c>
      <c r="C248" s="12" t="s">
        <v>308</v>
      </c>
      <c r="D248" s="12"/>
      <c r="E248" s="12">
        <f t="shared" si="2"/>
        <v>446</v>
      </c>
      <c r="F248" s="12" t="s">
        <v>70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446</v>
      </c>
      <c r="X248" s="12">
        <v>0</v>
      </c>
      <c r="Y248" s="12">
        <v>0</v>
      </c>
      <c r="Z248" s="12">
        <v>0</v>
      </c>
      <c r="AA248" s="12"/>
      <c r="AC248" s="13">
        <f t="shared" si="3"/>
        <v>0</v>
      </c>
      <c r="AL248" s="14">
        <f t="shared" si="4"/>
        <v>0</v>
      </c>
    </row>
    <row r="249" spans="1:38" hidden="1" x14ac:dyDescent="0.25">
      <c r="A249" s="12" t="s">
        <v>86</v>
      </c>
      <c r="B249" s="12" t="s">
        <v>325</v>
      </c>
      <c r="C249" s="12" t="s">
        <v>308</v>
      </c>
      <c r="D249" s="12"/>
      <c r="E249" s="12">
        <f t="shared" si="2"/>
        <v>444</v>
      </c>
      <c r="F249" s="12" t="str">
        <f>VLOOKUP(B249,[1]lookup!A:B,2,FALSE)</f>
        <v>Term</v>
      </c>
      <c r="G249" s="12">
        <v>0</v>
      </c>
      <c r="H249" s="12">
        <v>370</v>
      </c>
      <c r="I249" s="12">
        <v>0</v>
      </c>
      <c r="J249" s="12">
        <v>370</v>
      </c>
      <c r="K249" s="12">
        <v>0</v>
      </c>
      <c r="L249" s="12">
        <v>0</v>
      </c>
      <c r="M249" s="12">
        <v>370</v>
      </c>
      <c r="N249" s="12">
        <v>0</v>
      </c>
      <c r="O249" s="12">
        <v>370</v>
      </c>
      <c r="P249" s="12">
        <v>0</v>
      </c>
      <c r="Q249" s="12">
        <v>0</v>
      </c>
      <c r="R249" s="12">
        <v>0</v>
      </c>
      <c r="S249" s="12">
        <v>444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/>
      <c r="AC249" s="13">
        <f t="shared" si="3"/>
        <v>88800</v>
      </c>
      <c r="AD249" s="13">
        <f>J249*AD$2</f>
        <v>88800</v>
      </c>
      <c r="AE249" s="13">
        <f>J249*AE$2</f>
        <v>44400</v>
      </c>
      <c r="AF249" s="13">
        <f>H249*AF$2</f>
        <v>230880</v>
      </c>
      <c r="AG249" s="13">
        <f>H249*AG$2</f>
        <v>47360</v>
      </c>
      <c r="AH249" s="13">
        <f>H249*AH$2</f>
        <v>177600</v>
      </c>
      <c r="AI249" s="13">
        <f>H249*$AI$2</f>
        <v>72890</v>
      </c>
      <c r="AJ249" s="13">
        <f>AJ$2*H249</f>
        <v>222000</v>
      </c>
      <c r="AK249" s="15">
        <f>H249*AK$2</f>
        <v>44400</v>
      </c>
      <c r="AL249" s="14">
        <f t="shared" si="4"/>
        <v>1017130</v>
      </c>
    </row>
    <row r="250" spans="1:38" hidden="1" x14ac:dyDescent="0.25">
      <c r="A250" s="12" t="s">
        <v>80</v>
      </c>
      <c r="B250" s="12" t="s">
        <v>326</v>
      </c>
      <c r="C250" s="12" t="s">
        <v>308</v>
      </c>
      <c r="D250" s="12"/>
      <c r="E250" s="12">
        <f t="shared" si="2"/>
        <v>443</v>
      </c>
      <c r="F250" s="12" t="s">
        <v>70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443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/>
      <c r="AC250" s="13">
        <f t="shared" si="3"/>
        <v>0</v>
      </c>
      <c r="AL250" s="14">
        <f t="shared" si="4"/>
        <v>0</v>
      </c>
    </row>
    <row r="251" spans="1:38" hidden="1" x14ac:dyDescent="0.25">
      <c r="A251" s="12" t="s">
        <v>49</v>
      </c>
      <c r="B251" s="12" t="s">
        <v>327</v>
      </c>
      <c r="C251" s="12" t="s">
        <v>308</v>
      </c>
      <c r="D251" s="12"/>
      <c r="E251" s="12">
        <f t="shared" si="2"/>
        <v>440</v>
      </c>
      <c r="F251" s="12" t="str">
        <f>VLOOKUP(B251,[1]lookup!A:B,2,FALSE)</f>
        <v>Perpetual</v>
      </c>
      <c r="G251" s="12">
        <v>0</v>
      </c>
      <c r="H251" s="12">
        <v>390</v>
      </c>
      <c r="I251" s="12">
        <v>392</v>
      </c>
      <c r="J251" s="12">
        <v>365</v>
      </c>
      <c r="K251" s="12">
        <v>0</v>
      </c>
      <c r="L251" s="12">
        <v>365</v>
      </c>
      <c r="M251" s="12">
        <v>366</v>
      </c>
      <c r="N251" s="12">
        <v>0</v>
      </c>
      <c r="O251" s="12">
        <v>366</v>
      </c>
      <c r="P251" s="12">
        <v>440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/>
      <c r="AC251" s="13">
        <f t="shared" si="3"/>
        <v>87840</v>
      </c>
      <c r="AD251" s="13">
        <f t="shared" ref="AD251:AD252" si="21">J251*AD$2</f>
        <v>87600</v>
      </c>
      <c r="AF251" s="13">
        <f t="shared" ref="AF251:AF252" si="22">H251*AF$2</f>
        <v>243360</v>
      </c>
      <c r="AG251" s="13">
        <f t="shared" ref="AG251:AG252" si="23">H251*AG$2</f>
        <v>49920</v>
      </c>
      <c r="AH251" s="13">
        <f t="shared" ref="AH251:AH252" si="24">H251*AH$2</f>
        <v>187200</v>
      </c>
      <c r="AI251" s="13">
        <f t="shared" ref="AI251:AI252" si="25">H251*$AI$2</f>
        <v>76830</v>
      </c>
      <c r="AL251" s="14">
        <f t="shared" si="4"/>
        <v>732750</v>
      </c>
    </row>
    <row r="252" spans="1:38" hidden="1" x14ac:dyDescent="0.25">
      <c r="A252" s="12" t="s">
        <v>46</v>
      </c>
      <c r="B252" s="12" t="s">
        <v>327</v>
      </c>
      <c r="C252" s="12" t="s">
        <v>308</v>
      </c>
      <c r="D252" s="12"/>
      <c r="E252" s="12">
        <f t="shared" si="2"/>
        <v>440</v>
      </c>
      <c r="F252" s="12" t="str">
        <f>VLOOKUP(B252,[1]lookup!A:B,2,FALSE)</f>
        <v>Perpetual</v>
      </c>
      <c r="G252" s="12">
        <v>0</v>
      </c>
      <c r="H252" s="12">
        <v>390</v>
      </c>
      <c r="I252" s="12">
        <v>392</v>
      </c>
      <c r="J252" s="12">
        <v>365</v>
      </c>
      <c r="K252" s="12">
        <v>0</v>
      </c>
      <c r="L252" s="12">
        <v>365</v>
      </c>
      <c r="M252" s="12">
        <v>366</v>
      </c>
      <c r="N252" s="12">
        <v>0</v>
      </c>
      <c r="O252" s="12">
        <v>366</v>
      </c>
      <c r="P252" s="12">
        <v>440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/>
      <c r="AC252" s="13">
        <f t="shared" si="3"/>
        <v>87840</v>
      </c>
      <c r="AD252" s="13">
        <f t="shared" si="21"/>
        <v>87600</v>
      </c>
      <c r="AF252" s="13">
        <f t="shared" si="22"/>
        <v>243360</v>
      </c>
      <c r="AG252" s="13">
        <f t="shared" si="23"/>
        <v>49920</v>
      </c>
      <c r="AH252" s="13">
        <f t="shared" si="24"/>
        <v>187200</v>
      </c>
      <c r="AI252" s="13">
        <f t="shared" si="25"/>
        <v>76830</v>
      </c>
      <c r="AL252" s="14">
        <f t="shared" si="4"/>
        <v>732750</v>
      </c>
    </row>
    <row r="253" spans="1:38" hidden="1" x14ac:dyDescent="0.25">
      <c r="A253" s="12" t="s">
        <v>328</v>
      </c>
      <c r="B253" s="12" t="s">
        <v>200</v>
      </c>
      <c r="C253" s="12" t="s">
        <v>308</v>
      </c>
      <c r="D253" s="12"/>
      <c r="E253" s="12">
        <f t="shared" si="2"/>
        <v>440</v>
      </c>
      <c r="F253" s="12" t="s">
        <v>70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440</v>
      </c>
      <c r="X253" s="12">
        <v>0</v>
      </c>
      <c r="Y253" s="12">
        <v>0</v>
      </c>
      <c r="Z253" s="12">
        <v>0</v>
      </c>
      <c r="AA253" s="12"/>
      <c r="AC253" s="13">
        <f t="shared" si="3"/>
        <v>0</v>
      </c>
      <c r="AL253" s="14">
        <f t="shared" si="4"/>
        <v>0</v>
      </c>
    </row>
    <row r="254" spans="1:38" hidden="1" x14ac:dyDescent="0.25">
      <c r="A254" s="12" t="s">
        <v>222</v>
      </c>
      <c r="B254" s="12" t="s">
        <v>329</v>
      </c>
      <c r="C254" s="12" t="s">
        <v>308</v>
      </c>
      <c r="D254" s="12"/>
      <c r="E254" s="12">
        <f t="shared" si="2"/>
        <v>438</v>
      </c>
      <c r="F254" s="12" t="str">
        <f>VLOOKUP(B254,[1]lookup!A:B,2,FALSE)</f>
        <v>Perpetual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1</v>
      </c>
      <c r="N254" s="12">
        <v>0</v>
      </c>
      <c r="O254" s="12">
        <v>1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438</v>
      </c>
      <c r="X254" s="12">
        <v>0</v>
      </c>
      <c r="Y254" s="12">
        <v>0</v>
      </c>
      <c r="Z254" s="12">
        <v>0</v>
      </c>
      <c r="AA254" s="12"/>
      <c r="AC254" s="13">
        <f t="shared" si="3"/>
        <v>240</v>
      </c>
      <c r="AL254" s="14">
        <f t="shared" si="4"/>
        <v>240</v>
      </c>
    </row>
    <row r="255" spans="1:38" hidden="1" x14ac:dyDescent="0.25">
      <c r="A255" s="12" t="s">
        <v>51</v>
      </c>
      <c r="B255" s="12" t="s">
        <v>330</v>
      </c>
      <c r="C255" s="12" t="s">
        <v>308</v>
      </c>
      <c r="D255" s="12"/>
      <c r="E255" s="12">
        <f t="shared" si="2"/>
        <v>424</v>
      </c>
      <c r="F255" s="12" t="str">
        <f>VLOOKUP(B255,[1]lookup!A:B,2,FALSE)</f>
        <v>Perpetual</v>
      </c>
      <c r="G255" s="12">
        <v>0</v>
      </c>
      <c r="H255" s="12">
        <v>424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/>
      <c r="AC255" s="13">
        <f t="shared" si="3"/>
        <v>0</v>
      </c>
      <c r="AF255" s="13">
        <f t="shared" ref="AF255:AF257" si="26">H255*AF$2</f>
        <v>264576</v>
      </c>
      <c r="AG255" s="13">
        <f t="shared" ref="AG255:AG257" si="27">H255*AG$2</f>
        <v>54272</v>
      </c>
      <c r="AH255" s="13">
        <f t="shared" ref="AH255:AH257" si="28">H255*AH$2</f>
        <v>203520</v>
      </c>
      <c r="AI255" s="13">
        <f t="shared" ref="AI255:AI257" si="29">H255*$AI$2</f>
        <v>83528</v>
      </c>
      <c r="AJ255" s="13">
        <f t="shared" ref="AJ255:AJ257" si="30">AJ$2*H255</f>
        <v>254400</v>
      </c>
      <c r="AK255" s="15">
        <f t="shared" ref="AK255:AK257" si="31">H255*AK$2</f>
        <v>50880</v>
      </c>
      <c r="AL255" s="14">
        <f t="shared" si="4"/>
        <v>911176</v>
      </c>
    </row>
    <row r="256" spans="1:38" hidden="1" x14ac:dyDescent="0.25">
      <c r="A256" s="12" t="s">
        <v>285</v>
      </c>
      <c r="B256" s="12" t="s">
        <v>330</v>
      </c>
      <c r="C256" s="12" t="s">
        <v>308</v>
      </c>
      <c r="D256" s="12"/>
      <c r="E256" s="12">
        <f t="shared" si="2"/>
        <v>424</v>
      </c>
      <c r="F256" s="12" t="str">
        <f>VLOOKUP(B256,[1]lookup!A:B,2,FALSE)</f>
        <v>Perpetual</v>
      </c>
      <c r="G256" s="12">
        <v>0</v>
      </c>
      <c r="H256" s="12">
        <v>424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/>
      <c r="AC256" s="13">
        <f t="shared" si="3"/>
        <v>0</v>
      </c>
      <c r="AF256" s="13">
        <f t="shared" si="26"/>
        <v>264576</v>
      </c>
      <c r="AG256" s="13">
        <f t="shared" si="27"/>
        <v>54272</v>
      </c>
      <c r="AH256" s="13">
        <f t="shared" si="28"/>
        <v>203520</v>
      </c>
      <c r="AI256" s="13">
        <f t="shared" si="29"/>
        <v>83528</v>
      </c>
      <c r="AJ256" s="13">
        <f t="shared" si="30"/>
        <v>254400</v>
      </c>
      <c r="AK256" s="15">
        <f t="shared" si="31"/>
        <v>50880</v>
      </c>
      <c r="AL256" s="14">
        <f t="shared" si="4"/>
        <v>911176</v>
      </c>
    </row>
    <row r="257" spans="1:38" hidden="1" x14ac:dyDescent="0.25">
      <c r="A257" s="12" t="s">
        <v>86</v>
      </c>
      <c r="B257" s="12" t="s">
        <v>331</v>
      </c>
      <c r="C257" s="12" t="s">
        <v>308</v>
      </c>
      <c r="D257" s="12"/>
      <c r="E257" s="12">
        <f t="shared" si="2"/>
        <v>421</v>
      </c>
      <c r="F257" s="12" t="str">
        <f>VLOOKUP(B257,[1]lookup!A:B,2,FALSE)</f>
        <v>Perpetual</v>
      </c>
      <c r="G257" s="12">
        <v>0</v>
      </c>
      <c r="H257" s="12">
        <v>421</v>
      </c>
      <c r="I257" s="12">
        <v>0</v>
      </c>
      <c r="J257" s="12">
        <v>210</v>
      </c>
      <c r="K257" s="12">
        <v>0</v>
      </c>
      <c r="L257" s="12">
        <v>0</v>
      </c>
      <c r="M257" s="12">
        <v>105</v>
      </c>
      <c r="N257" s="12">
        <v>0</v>
      </c>
      <c r="O257" s="12">
        <v>281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/>
      <c r="AC257" s="13">
        <f t="shared" si="3"/>
        <v>25200</v>
      </c>
      <c r="AD257" s="13">
        <f>J257*AD$2</f>
        <v>50400</v>
      </c>
      <c r="AE257" s="13">
        <f>J257*AE$2</f>
        <v>25200</v>
      </c>
      <c r="AF257" s="13">
        <f t="shared" si="26"/>
        <v>262704</v>
      </c>
      <c r="AG257" s="13">
        <f t="shared" si="27"/>
        <v>53888</v>
      </c>
      <c r="AH257" s="13">
        <f t="shared" si="28"/>
        <v>202080</v>
      </c>
      <c r="AI257" s="13">
        <f t="shared" si="29"/>
        <v>82937</v>
      </c>
      <c r="AJ257" s="13">
        <f t="shared" si="30"/>
        <v>252600</v>
      </c>
      <c r="AK257" s="15">
        <f t="shared" si="31"/>
        <v>50520</v>
      </c>
      <c r="AL257" s="14">
        <f t="shared" si="4"/>
        <v>1005529</v>
      </c>
    </row>
    <row r="258" spans="1:38" hidden="1" x14ac:dyDescent="0.25">
      <c r="A258" s="12" t="s">
        <v>86</v>
      </c>
      <c r="B258" s="12" t="s">
        <v>332</v>
      </c>
      <c r="C258" s="12" t="s">
        <v>308</v>
      </c>
      <c r="D258" s="12"/>
      <c r="E258" s="12">
        <f t="shared" si="2"/>
        <v>420</v>
      </c>
      <c r="F258" s="12" t="str">
        <f>VLOOKUP(B258,[1]lookup!A:B,2,FALSE)</f>
        <v>Term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420</v>
      </c>
      <c r="M258" s="12">
        <v>0</v>
      </c>
      <c r="N258" s="12">
        <v>0</v>
      </c>
      <c r="O258" s="12">
        <v>0</v>
      </c>
      <c r="P258" s="12">
        <v>420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/>
      <c r="AC258" s="13">
        <f t="shared" si="3"/>
        <v>0</v>
      </c>
      <c r="AL258" s="14">
        <f t="shared" si="4"/>
        <v>0</v>
      </c>
    </row>
    <row r="259" spans="1:38" hidden="1" x14ac:dyDescent="0.25">
      <c r="A259" s="12" t="s">
        <v>237</v>
      </c>
      <c r="B259" s="12" t="s">
        <v>333</v>
      </c>
      <c r="C259" s="12" t="s">
        <v>308</v>
      </c>
      <c r="D259" s="12"/>
      <c r="E259" s="12">
        <f t="shared" si="2"/>
        <v>416</v>
      </c>
      <c r="F259" s="12" t="str">
        <f>VLOOKUP(B259,[1]lookup!A:B,2,FALSE)</f>
        <v>Perpetual</v>
      </c>
      <c r="G259" s="12">
        <v>0</v>
      </c>
      <c r="H259" s="12">
        <v>208</v>
      </c>
      <c r="I259" s="12">
        <v>0</v>
      </c>
      <c r="J259" s="12">
        <v>416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/>
      <c r="AC259" s="13">
        <f t="shared" si="3"/>
        <v>0</v>
      </c>
      <c r="AD259" s="13">
        <f>J259*AD$2</f>
        <v>99840</v>
      </c>
      <c r="AE259" s="13">
        <f>J259*AE$2</f>
        <v>49920</v>
      </c>
      <c r="AF259" s="13">
        <f t="shared" ref="AF259:AF260" si="32">H259*AF$2</f>
        <v>129792</v>
      </c>
      <c r="AG259" s="13">
        <f t="shared" ref="AG259:AG260" si="33">H259*AG$2</f>
        <v>26624</v>
      </c>
      <c r="AH259" s="13">
        <f t="shared" ref="AH259:AH260" si="34">H259*AH$2</f>
        <v>99840</v>
      </c>
      <c r="AI259" s="13">
        <f t="shared" ref="AI259:AI260" si="35">H259*$AI$2</f>
        <v>40976</v>
      </c>
      <c r="AJ259" s="13">
        <f>AJ$2*H259</f>
        <v>124800</v>
      </c>
      <c r="AK259" s="15">
        <f>H259*AK$2</f>
        <v>24960</v>
      </c>
      <c r="AL259" s="14">
        <f t="shared" si="4"/>
        <v>596752</v>
      </c>
    </row>
    <row r="260" spans="1:38" hidden="1" x14ac:dyDescent="0.25">
      <c r="A260" s="12" t="s">
        <v>97</v>
      </c>
      <c r="B260" s="12" t="s">
        <v>327</v>
      </c>
      <c r="C260" s="12" t="s">
        <v>308</v>
      </c>
      <c r="D260" s="12"/>
      <c r="E260" s="12">
        <f t="shared" si="2"/>
        <v>415</v>
      </c>
      <c r="F260" s="12" t="str">
        <f>VLOOKUP(B260,[1]lookup!A:B,2,FALSE)</f>
        <v>Perpetual</v>
      </c>
      <c r="G260" s="12">
        <v>0</v>
      </c>
      <c r="H260" s="12">
        <v>365</v>
      </c>
      <c r="I260" s="12">
        <v>367</v>
      </c>
      <c r="J260" s="12">
        <v>365</v>
      </c>
      <c r="K260" s="12">
        <v>0</v>
      </c>
      <c r="L260" s="12">
        <v>365</v>
      </c>
      <c r="M260" s="12">
        <v>366</v>
      </c>
      <c r="N260" s="12">
        <v>0</v>
      </c>
      <c r="O260" s="12">
        <v>366</v>
      </c>
      <c r="P260" s="12">
        <v>415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/>
      <c r="AC260" s="13">
        <f t="shared" si="3"/>
        <v>87840</v>
      </c>
      <c r="AD260" s="13">
        <f>J260*AD$2</f>
        <v>87600</v>
      </c>
      <c r="AF260" s="13">
        <f t="shared" si="32"/>
        <v>227760</v>
      </c>
      <c r="AG260" s="13">
        <f t="shared" si="33"/>
        <v>46720</v>
      </c>
      <c r="AH260" s="13">
        <f t="shared" si="34"/>
        <v>175200</v>
      </c>
      <c r="AI260" s="13">
        <f t="shared" si="35"/>
        <v>71905</v>
      </c>
      <c r="AL260" s="14">
        <f t="shared" si="4"/>
        <v>697025</v>
      </c>
    </row>
    <row r="261" spans="1:38" hidden="1" x14ac:dyDescent="0.25">
      <c r="A261" s="12" t="s">
        <v>92</v>
      </c>
      <c r="B261" s="12" t="s">
        <v>334</v>
      </c>
      <c r="C261" s="12" t="s">
        <v>308</v>
      </c>
      <c r="D261" s="12"/>
      <c r="E261" s="12">
        <f t="shared" ref="E261:E324" si="36">MAX(G261:Z261)</f>
        <v>405</v>
      </c>
      <c r="F261" s="12" t="s">
        <v>70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405</v>
      </c>
      <c r="X261" s="12">
        <v>0</v>
      </c>
      <c r="Y261" s="12">
        <v>0</v>
      </c>
      <c r="Z261" s="12">
        <v>0</v>
      </c>
      <c r="AA261" s="12"/>
      <c r="AC261" s="13">
        <f t="shared" ref="AC261:AC324" si="37">M261*AC$2</f>
        <v>0</v>
      </c>
      <c r="AL261" s="14">
        <f t="shared" si="4"/>
        <v>0</v>
      </c>
    </row>
    <row r="262" spans="1:38" hidden="1" x14ac:dyDescent="0.25">
      <c r="A262" s="12" t="s">
        <v>248</v>
      </c>
      <c r="B262" s="12" t="s">
        <v>335</v>
      </c>
      <c r="C262" s="12" t="s">
        <v>308</v>
      </c>
      <c r="D262" s="12"/>
      <c r="E262" s="12">
        <f t="shared" si="36"/>
        <v>405</v>
      </c>
      <c r="F262" s="12" t="str">
        <f>VLOOKUP(B262,[1]lookup!A:B,2,FALSE)</f>
        <v>Perpetual</v>
      </c>
      <c r="G262" s="12">
        <v>0</v>
      </c>
      <c r="H262" s="12">
        <v>405</v>
      </c>
      <c r="I262" s="12">
        <v>0</v>
      </c>
      <c r="J262" s="12">
        <v>405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/>
      <c r="AC262" s="13">
        <f t="shared" si="37"/>
        <v>0</v>
      </c>
      <c r="AD262" s="13">
        <f>J262*AD$2</f>
        <v>97200</v>
      </c>
      <c r="AE262" s="13">
        <f>J262*AE$2</f>
        <v>48600</v>
      </c>
      <c r="AF262" s="13">
        <f>H262*AF$2</f>
        <v>252720</v>
      </c>
      <c r="AG262" s="13">
        <f>H262*AG$2</f>
        <v>51840</v>
      </c>
      <c r="AH262" s="13">
        <f>H262*AH$2</f>
        <v>194400</v>
      </c>
      <c r="AI262" s="13">
        <f>H262*$AI$2</f>
        <v>79785</v>
      </c>
      <c r="AJ262" s="13">
        <f>AJ$2*H262</f>
        <v>243000</v>
      </c>
      <c r="AK262" s="15">
        <f>H262*AK$2</f>
        <v>48600</v>
      </c>
      <c r="AL262" s="14">
        <f t="shared" ref="AL262:AL325" si="38">SUM(AC262:AK262)</f>
        <v>1016145</v>
      </c>
    </row>
    <row r="263" spans="1:38" hidden="1" x14ac:dyDescent="0.25">
      <c r="A263" s="12" t="s">
        <v>51</v>
      </c>
      <c r="B263" s="12" t="s">
        <v>336</v>
      </c>
      <c r="C263" s="12" t="s">
        <v>308</v>
      </c>
      <c r="D263" s="12"/>
      <c r="E263" s="12">
        <f t="shared" si="36"/>
        <v>405</v>
      </c>
      <c r="F263" s="12" t="s">
        <v>70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405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/>
      <c r="AC263" s="13">
        <f t="shared" si="37"/>
        <v>0</v>
      </c>
      <c r="AL263" s="14">
        <f t="shared" si="38"/>
        <v>0</v>
      </c>
    </row>
    <row r="264" spans="1:38" hidden="1" x14ac:dyDescent="0.25">
      <c r="A264" s="12" t="s">
        <v>86</v>
      </c>
      <c r="B264" s="12" t="s">
        <v>337</v>
      </c>
      <c r="C264" s="12" t="s">
        <v>308</v>
      </c>
      <c r="D264" s="12"/>
      <c r="E264" s="12">
        <f t="shared" si="36"/>
        <v>400</v>
      </c>
      <c r="F264" s="12" t="str">
        <f>VLOOKUP(B264,[1]lookup!A:B,2,FALSE)</f>
        <v>SaaS</v>
      </c>
      <c r="G264" s="12">
        <v>0</v>
      </c>
      <c r="H264" s="12">
        <v>400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/>
      <c r="AC264" s="13">
        <f t="shared" si="37"/>
        <v>0</v>
      </c>
      <c r="AF264" s="13">
        <f>H264*AF$2</f>
        <v>249600</v>
      </c>
      <c r="AG264" s="13">
        <f>H264*AG$2</f>
        <v>51200</v>
      </c>
      <c r="AH264" s="13">
        <f>H264*AH$2</f>
        <v>192000</v>
      </c>
      <c r="AI264" s="13">
        <f>H264*$AI$2</f>
        <v>78800</v>
      </c>
      <c r="AL264" s="14">
        <f t="shared" si="38"/>
        <v>571600</v>
      </c>
    </row>
    <row r="265" spans="1:38" hidden="1" x14ac:dyDescent="0.25">
      <c r="A265" s="12" t="s">
        <v>49</v>
      </c>
      <c r="B265" s="12" t="s">
        <v>338</v>
      </c>
      <c r="C265" s="12" t="s">
        <v>308</v>
      </c>
      <c r="D265" s="12"/>
      <c r="E265" s="12">
        <f t="shared" si="36"/>
        <v>400</v>
      </c>
      <c r="F265" s="12" t="s">
        <v>70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400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/>
      <c r="AC265" s="13">
        <f t="shared" si="37"/>
        <v>0</v>
      </c>
      <c r="AL265" s="14">
        <f t="shared" si="38"/>
        <v>0</v>
      </c>
    </row>
    <row r="266" spans="1:38" hidden="1" x14ac:dyDescent="0.25">
      <c r="A266" s="12" t="s">
        <v>208</v>
      </c>
      <c r="B266" s="12" t="s">
        <v>339</v>
      </c>
      <c r="C266" s="12" t="s">
        <v>308</v>
      </c>
      <c r="D266" s="12"/>
      <c r="E266" s="12">
        <f t="shared" si="36"/>
        <v>400</v>
      </c>
      <c r="F266" s="12" t="str">
        <f>VLOOKUP(B266,[1]lookup!A:B,2,FALSE)</f>
        <v>SaaS</v>
      </c>
      <c r="G266" s="12">
        <v>0</v>
      </c>
      <c r="H266" s="12">
        <v>1</v>
      </c>
      <c r="I266" s="12">
        <v>0</v>
      </c>
      <c r="J266" s="12">
        <v>1</v>
      </c>
      <c r="K266" s="12">
        <v>0</v>
      </c>
      <c r="L266" s="12">
        <v>1</v>
      </c>
      <c r="M266" s="12">
        <v>1</v>
      </c>
      <c r="N266" s="12">
        <v>0</v>
      </c>
      <c r="O266" s="12">
        <v>1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400</v>
      </c>
      <c r="AA266" s="12"/>
      <c r="AC266" s="13">
        <f t="shared" si="37"/>
        <v>240</v>
      </c>
      <c r="AD266" s="13">
        <f>J266*AD$2</f>
        <v>240</v>
      </c>
      <c r="AE266" s="13">
        <f>J266*AE$2</f>
        <v>120</v>
      </c>
      <c r="AF266" s="13">
        <f>H266*AF$2</f>
        <v>624</v>
      </c>
      <c r="AG266" s="13">
        <f>H266*AG$2</f>
        <v>128</v>
      </c>
      <c r="AH266" s="13">
        <f>H266*AH$2</f>
        <v>480</v>
      </c>
      <c r="AI266" s="13">
        <f>H266*$AI$2</f>
        <v>197</v>
      </c>
      <c r="AL266" s="14">
        <f t="shared" si="38"/>
        <v>2029</v>
      </c>
    </row>
    <row r="267" spans="1:38" hidden="1" x14ac:dyDescent="0.25">
      <c r="A267" s="12" t="s">
        <v>340</v>
      </c>
      <c r="B267" s="12" t="s">
        <v>341</v>
      </c>
      <c r="C267" s="12" t="s">
        <v>308</v>
      </c>
      <c r="D267" s="12"/>
      <c r="E267" s="12">
        <f t="shared" si="36"/>
        <v>400</v>
      </c>
      <c r="F267" s="12" t="str">
        <f>VLOOKUP(B267,[1]lookup!A:B,2,FALSE)</f>
        <v>SaaS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400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/>
      <c r="AC267" s="13">
        <f t="shared" si="37"/>
        <v>96000</v>
      </c>
      <c r="AL267" s="14">
        <f t="shared" si="38"/>
        <v>96000</v>
      </c>
    </row>
    <row r="268" spans="1:38" hidden="1" x14ac:dyDescent="0.25">
      <c r="A268" s="12" t="s">
        <v>222</v>
      </c>
      <c r="B268" s="12" t="s">
        <v>342</v>
      </c>
      <c r="C268" s="12" t="s">
        <v>308</v>
      </c>
      <c r="D268" s="12"/>
      <c r="E268" s="12">
        <f t="shared" si="36"/>
        <v>398</v>
      </c>
      <c r="F268" s="12" t="s">
        <v>70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398</v>
      </c>
      <c r="X268" s="12">
        <v>0</v>
      </c>
      <c r="Y268" s="12">
        <v>0</v>
      </c>
      <c r="Z268" s="12">
        <v>0</v>
      </c>
      <c r="AA268" s="12"/>
      <c r="AC268" s="13">
        <f t="shared" si="37"/>
        <v>0</v>
      </c>
      <c r="AL268" s="14">
        <f t="shared" si="38"/>
        <v>0</v>
      </c>
    </row>
    <row r="269" spans="1:38" hidden="1" x14ac:dyDescent="0.25">
      <c r="A269" s="12" t="s">
        <v>60</v>
      </c>
      <c r="B269" s="12" t="s">
        <v>343</v>
      </c>
      <c r="C269" s="12" t="s">
        <v>308</v>
      </c>
      <c r="D269" s="12"/>
      <c r="E269" s="12">
        <f t="shared" si="36"/>
        <v>396</v>
      </c>
      <c r="F269" s="12" t="str">
        <f>VLOOKUP(B269,[1]lookup!A:B,2,FALSE)</f>
        <v>Perpetual</v>
      </c>
      <c r="G269" s="12">
        <v>0</v>
      </c>
      <c r="H269" s="12">
        <v>396</v>
      </c>
      <c r="I269" s="12">
        <v>0</v>
      </c>
      <c r="J269" s="12">
        <v>385</v>
      </c>
      <c r="K269" s="12">
        <v>0</v>
      </c>
      <c r="L269" s="12">
        <v>0</v>
      </c>
      <c r="M269" s="12">
        <v>396</v>
      </c>
      <c r="N269" s="12">
        <v>0</v>
      </c>
      <c r="O269" s="12">
        <v>385</v>
      </c>
      <c r="P269" s="12">
        <v>172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/>
      <c r="AC269" s="13">
        <f t="shared" si="37"/>
        <v>95040</v>
      </c>
      <c r="AD269" s="13">
        <f t="shared" ref="AD269:AD270" si="39">J269*AD$2</f>
        <v>92400</v>
      </c>
      <c r="AF269" s="13">
        <f t="shared" ref="AF269:AF270" si="40">H269*AF$2</f>
        <v>247104</v>
      </c>
      <c r="AG269" s="13">
        <f t="shared" ref="AG269:AG270" si="41">H269*AG$2</f>
        <v>50688</v>
      </c>
      <c r="AH269" s="13">
        <f t="shared" ref="AH269:AH270" si="42">H269*AH$2</f>
        <v>190080</v>
      </c>
      <c r="AI269" s="13">
        <f t="shared" ref="AI269:AI270" si="43">H269*$AI$2</f>
        <v>78012</v>
      </c>
      <c r="AK269" s="15">
        <f t="shared" ref="AK269:AK270" si="44">H269*AK$2</f>
        <v>47520</v>
      </c>
      <c r="AL269" s="14">
        <f t="shared" si="38"/>
        <v>800844</v>
      </c>
    </row>
    <row r="270" spans="1:38" hidden="1" x14ac:dyDescent="0.25">
      <c r="A270" s="12" t="s">
        <v>114</v>
      </c>
      <c r="B270" s="12" t="s">
        <v>343</v>
      </c>
      <c r="C270" s="12" t="s">
        <v>308</v>
      </c>
      <c r="D270" s="12"/>
      <c r="E270" s="12">
        <f t="shared" si="36"/>
        <v>396</v>
      </c>
      <c r="F270" s="12" t="str">
        <f>VLOOKUP(B270,[1]lookup!A:B,2,FALSE)</f>
        <v>Perpetual</v>
      </c>
      <c r="G270" s="12">
        <v>0</v>
      </c>
      <c r="H270" s="12">
        <v>396</v>
      </c>
      <c r="I270" s="12">
        <v>0</v>
      </c>
      <c r="J270" s="12">
        <v>385</v>
      </c>
      <c r="K270" s="12">
        <v>0</v>
      </c>
      <c r="L270" s="12">
        <v>0</v>
      </c>
      <c r="M270" s="12">
        <v>396</v>
      </c>
      <c r="N270" s="12">
        <v>0</v>
      </c>
      <c r="O270" s="12">
        <v>385</v>
      </c>
      <c r="P270" s="12">
        <v>172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/>
      <c r="AC270" s="13">
        <f t="shared" si="37"/>
        <v>95040</v>
      </c>
      <c r="AD270" s="13">
        <f t="shared" si="39"/>
        <v>92400</v>
      </c>
      <c r="AF270" s="13">
        <f t="shared" si="40"/>
        <v>247104</v>
      </c>
      <c r="AG270" s="13">
        <f t="shared" si="41"/>
        <v>50688</v>
      </c>
      <c r="AH270" s="13">
        <f t="shared" si="42"/>
        <v>190080</v>
      </c>
      <c r="AI270" s="13">
        <f t="shared" si="43"/>
        <v>78012</v>
      </c>
      <c r="AK270" s="15">
        <f t="shared" si="44"/>
        <v>47520</v>
      </c>
      <c r="AL270" s="14">
        <f t="shared" si="38"/>
        <v>800844</v>
      </c>
    </row>
    <row r="271" spans="1:38" hidden="1" x14ac:dyDescent="0.25">
      <c r="A271" s="12" t="s">
        <v>86</v>
      </c>
      <c r="B271" s="12" t="s">
        <v>344</v>
      </c>
      <c r="C271" s="12" t="s">
        <v>308</v>
      </c>
      <c r="D271" s="12"/>
      <c r="E271" s="12">
        <f t="shared" si="36"/>
        <v>392</v>
      </c>
      <c r="F271" s="12" t="s">
        <v>70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392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/>
      <c r="AC271" s="13">
        <f t="shared" si="37"/>
        <v>0</v>
      </c>
      <c r="AL271" s="14">
        <f t="shared" si="38"/>
        <v>0</v>
      </c>
    </row>
    <row r="272" spans="1:38" hidden="1" x14ac:dyDescent="0.25">
      <c r="A272" s="12" t="s">
        <v>51</v>
      </c>
      <c r="B272" s="12" t="s">
        <v>345</v>
      </c>
      <c r="C272" s="12" t="s">
        <v>308</v>
      </c>
      <c r="D272" s="12"/>
      <c r="E272" s="12">
        <f t="shared" si="36"/>
        <v>390</v>
      </c>
      <c r="F272" s="12" t="s">
        <v>70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390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/>
      <c r="AC272" s="13">
        <f t="shared" si="37"/>
        <v>0</v>
      </c>
      <c r="AL272" s="14">
        <f t="shared" si="38"/>
        <v>0</v>
      </c>
    </row>
    <row r="273" spans="1:38" hidden="1" x14ac:dyDescent="0.25">
      <c r="A273" s="12" t="s">
        <v>64</v>
      </c>
      <c r="B273" s="12" t="s">
        <v>346</v>
      </c>
      <c r="C273" s="12" t="s">
        <v>308</v>
      </c>
      <c r="D273" s="12"/>
      <c r="E273" s="12">
        <f t="shared" si="36"/>
        <v>381</v>
      </c>
      <c r="F273" s="12" t="str">
        <f>VLOOKUP(B273,[1]lookup!A:B,2,FALSE)</f>
        <v>Term</v>
      </c>
      <c r="G273" s="12">
        <v>0</v>
      </c>
      <c r="H273" s="12">
        <v>380</v>
      </c>
      <c r="I273" s="12">
        <v>381</v>
      </c>
      <c r="J273" s="12">
        <v>300</v>
      </c>
      <c r="K273" s="12">
        <v>0</v>
      </c>
      <c r="L273" s="12">
        <v>300</v>
      </c>
      <c r="M273" s="12">
        <v>300</v>
      </c>
      <c r="N273" s="12">
        <v>0</v>
      </c>
      <c r="O273" s="12">
        <v>300</v>
      </c>
      <c r="P273" s="12">
        <v>300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/>
      <c r="AC273" s="13">
        <f t="shared" si="37"/>
        <v>72000</v>
      </c>
      <c r="AD273" s="13">
        <f>J273*AD$2</f>
        <v>72000</v>
      </c>
      <c r="AF273" s="13">
        <f>H273*AF$2</f>
        <v>237120</v>
      </c>
      <c r="AG273" s="13">
        <f>H273*AG$2</f>
        <v>48640</v>
      </c>
      <c r="AH273" s="13">
        <f>H273*AH$2</f>
        <v>182400</v>
      </c>
      <c r="AI273" s="13">
        <f>H273*$AI$2</f>
        <v>74860</v>
      </c>
      <c r="AL273" s="14">
        <f t="shared" si="38"/>
        <v>687020</v>
      </c>
    </row>
    <row r="274" spans="1:38" hidden="1" x14ac:dyDescent="0.25">
      <c r="A274" s="12" t="s">
        <v>60</v>
      </c>
      <c r="B274" s="12" t="s">
        <v>347</v>
      </c>
      <c r="C274" s="12" t="s">
        <v>308</v>
      </c>
      <c r="D274" s="12"/>
      <c r="E274" s="12">
        <f t="shared" si="36"/>
        <v>375</v>
      </c>
      <c r="F274" s="12" t="str">
        <f>VLOOKUP(B274,[1]lookup!A:B,2,FALSE)</f>
        <v>Perpetual</v>
      </c>
      <c r="G274" s="12">
        <v>0</v>
      </c>
      <c r="H274" s="12">
        <v>0</v>
      </c>
      <c r="I274" s="12">
        <v>0</v>
      </c>
      <c r="J274" s="12">
        <v>0</v>
      </c>
      <c r="K274" s="12">
        <v>375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/>
      <c r="AC274" s="13">
        <f t="shared" si="37"/>
        <v>0</v>
      </c>
      <c r="AL274" s="14">
        <f t="shared" si="38"/>
        <v>0</v>
      </c>
    </row>
    <row r="275" spans="1:38" hidden="1" x14ac:dyDescent="0.25">
      <c r="A275" s="12" t="s">
        <v>46</v>
      </c>
      <c r="B275" s="12" t="s">
        <v>347</v>
      </c>
      <c r="C275" s="12" t="s">
        <v>308</v>
      </c>
      <c r="D275" s="12"/>
      <c r="E275" s="12">
        <f t="shared" si="36"/>
        <v>375</v>
      </c>
      <c r="F275" s="12" t="str">
        <f>VLOOKUP(B275,[1]lookup!A:B,2,FALSE)</f>
        <v>Perpetual</v>
      </c>
      <c r="G275" s="12">
        <v>0</v>
      </c>
      <c r="H275" s="12">
        <v>0</v>
      </c>
      <c r="I275" s="12">
        <v>0</v>
      </c>
      <c r="J275" s="12">
        <v>0</v>
      </c>
      <c r="K275" s="12">
        <v>375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/>
      <c r="AC275" s="13">
        <f t="shared" si="37"/>
        <v>0</v>
      </c>
      <c r="AL275" s="14">
        <f t="shared" si="38"/>
        <v>0</v>
      </c>
    </row>
    <row r="276" spans="1:38" hidden="1" x14ac:dyDescent="0.25">
      <c r="A276" s="12" t="s">
        <v>51</v>
      </c>
      <c r="B276" s="12" t="s">
        <v>348</v>
      </c>
      <c r="C276" s="12" t="s">
        <v>308</v>
      </c>
      <c r="D276" s="12"/>
      <c r="E276" s="12">
        <f t="shared" si="36"/>
        <v>371</v>
      </c>
      <c r="F276" s="12" t="s">
        <v>70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371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/>
      <c r="AC276" s="13">
        <f t="shared" si="37"/>
        <v>0</v>
      </c>
      <c r="AL276" s="14">
        <f t="shared" si="38"/>
        <v>0</v>
      </c>
    </row>
    <row r="277" spans="1:38" hidden="1" x14ac:dyDescent="0.25">
      <c r="A277" s="12" t="s">
        <v>148</v>
      </c>
      <c r="B277" s="12" t="s">
        <v>349</v>
      </c>
      <c r="C277" s="12" t="s">
        <v>308</v>
      </c>
      <c r="D277" s="12"/>
      <c r="E277" s="12">
        <f t="shared" si="36"/>
        <v>367</v>
      </c>
      <c r="F277" s="12" t="s">
        <v>70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367</v>
      </c>
      <c r="X277" s="12">
        <v>0</v>
      </c>
      <c r="Y277" s="12">
        <v>0</v>
      </c>
      <c r="Z277" s="12">
        <v>0</v>
      </c>
      <c r="AA277" s="12"/>
      <c r="AC277" s="13">
        <f t="shared" si="37"/>
        <v>0</v>
      </c>
      <c r="AL277" s="14">
        <f t="shared" si="38"/>
        <v>0</v>
      </c>
    </row>
    <row r="278" spans="1:38" hidden="1" x14ac:dyDescent="0.25">
      <c r="A278" s="12" t="s">
        <v>350</v>
      </c>
      <c r="B278" s="12" t="s">
        <v>351</v>
      </c>
      <c r="C278" s="12" t="s">
        <v>308</v>
      </c>
      <c r="D278" s="12"/>
      <c r="E278" s="12">
        <f t="shared" si="36"/>
        <v>366</v>
      </c>
      <c r="F278" s="12" t="str">
        <f>VLOOKUP(B278,[1]lookup!A:B,2,FALSE)</f>
        <v>Perpetual</v>
      </c>
      <c r="G278" s="12">
        <v>0</v>
      </c>
      <c r="H278" s="12">
        <v>365</v>
      </c>
      <c r="I278" s="12">
        <v>366</v>
      </c>
      <c r="J278" s="12">
        <v>365</v>
      </c>
      <c r="K278" s="12">
        <v>0</v>
      </c>
      <c r="L278" s="12">
        <v>0</v>
      </c>
      <c r="M278" s="12">
        <v>1</v>
      </c>
      <c r="N278" s="12">
        <v>0</v>
      </c>
      <c r="O278" s="12">
        <v>1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/>
      <c r="AC278" s="13">
        <f t="shared" si="37"/>
        <v>240</v>
      </c>
      <c r="AD278" s="13">
        <f>J278*AD$2</f>
        <v>87600</v>
      </c>
      <c r="AE278" s="13">
        <f>J278*AE$2</f>
        <v>43800</v>
      </c>
      <c r="AF278" s="13">
        <f t="shared" ref="AF278:AF279" si="45">H278*AF$2</f>
        <v>227760</v>
      </c>
      <c r="AG278" s="13">
        <f t="shared" ref="AG278:AG279" si="46">H278*AG$2</f>
        <v>46720</v>
      </c>
      <c r="AH278" s="13">
        <f t="shared" ref="AH278:AH279" si="47">H278*AH$2</f>
        <v>175200</v>
      </c>
      <c r="AI278" s="13">
        <f t="shared" ref="AI278:AI279" si="48">H278*$AI$2</f>
        <v>71905</v>
      </c>
      <c r="AJ278" s="13">
        <f t="shared" ref="AJ278:AJ279" si="49">AJ$2*H278</f>
        <v>219000</v>
      </c>
      <c r="AL278" s="14">
        <f t="shared" si="38"/>
        <v>872225</v>
      </c>
    </row>
    <row r="279" spans="1:38" hidden="1" x14ac:dyDescent="0.25">
      <c r="A279" s="12" t="s">
        <v>86</v>
      </c>
      <c r="B279" s="12" t="s">
        <v>352</v>
      </c>
      <c r="C279" s="12" t="s">
        <v>308</v>
      </c>
      <c r="D279" s="12"/>
      <c r="E279" s="12">
        <f t="shared" si="36"/>
        <v>364</v>
      </c>
      <c r="F279" s="12" t="str">
        <f>VLOOKUP(B279,[1]lookup!A:B,2,FALSE)</f>
        <v>Perpetual</v>
      </c>
      <c r="G279" s="12">
        <v>0</v>
      </c>
      <c r="H279" s="12">
        <v>364</v>
      </c>
      <c r="I279" s="12">
        <v>121</v>
      </c>
      <c r="J279" s="12">
        <v>243</v>
      </c>
      <c r="K279" s="12">
        <v>243</v>
      </c>
      <c r="L279" s="12">
        <v>0</v>
      </c>
      <c r="M279" s="12">
        <v>0</v>
      </c>
      <c r="N279" s="12">
        <v>0</v>
      </c>
      <c r="O279" s="12">
        <v>243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/>
      <c r="AC279" s="13">
        <f t="shared" si="37"/>
        <v>0</v>
      </c>
      <c r="AF279" s="13">
        <f t="shared" si="45"/>
        <v>227136</v>
      </c>
      <c r="AG279" s="13">
        <f t="shared" si="46"/>
        <v>46592</v>
      </c>
      <c r="AH279" s="13">
        <f t="shared" si="47"/>
        <v>174720</v>
      </c>
      <c r="AI279" s="13">
        <f t="shared" si="48"/>
        <v>71708</v>
      </c>
      <c r="AJ279" s="13">
        <f t="shared" si="49"/>
        <v>218400</v>
      </c>
      <c r="AL279" s="14">
        <f t="shared" si="38"/>
        <v>738556</v>
      </c>
    </row>
    <row r="280" spans="1:38" hidden="1" x14ac:dyDescent="0.25">
      <c r="A280" s="12" t="s">
        <v>222</v>
      </c>
      <c r="B280" s="12" t="s">
        <v>353</v>
      </c>
      <c r="C280" s="12" t="s">
        <v>308</v>
      </c>
      <c r="D280" s="12"/>
      <c r="E280" s="12">
        <f t="shared" si="36"/>
        <v>362</v>
      </c>
      <c r="F280" s="12" t="s">
        <v>70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362</v>
      </c>
      <c r="X280" s="12">
        <v>0</v>
      </c>
      <c r="Y280" s="12">
        <v>0</v>
      </c>
      <c r="Z280" s="12">
        <v>0</v>
      </c>
      <c r="AA280" s="12"/>
      <c r="AC280" s="13">
        <f t="shared" si="37"/>
        <v>0</v>
      </c>
      <c r="AL280" s="14">
        <f t="shared" si="38"/>
        <v>0</v>
      </c>
    </row>
    <row r="281" spans="1:38" hidden="1" x14ac:dyDescent="0.25">
      <c r="A281" s="12" t="s">
        <v>86</v>
      </c>
      <c r="B281" s="12" t="s">
        <v>354</v>
      </c>
      <c r="C281" s="12" t="s">
        <v>308</v>
      </c>
      <c r="D281" s="12"/>
      <c r="E281" s="12">
        <f t="shared" si="36"/>
        <v>360</v>
      </c>
      <c r="F281" s="12" t="str">
        <f>VLOOKUP(B281,[1]lookup!A:B,2,FALSE)</f>
        <v>Term</v>
      </c>
      <c r="G281" s="12">
        <v>0</v>
      </c>
      <c r="H281" s="12">
        <v>360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/>
      <c r="AC281" s="13">
        <f t="shared" si="37"/>
        <v>0</v>
      </c>
      <c r="AF281" s="13">
        <f t="shared" ref="AF281:AF284" si="50">H281*AF$2</f>
        <v>224640</v>
      </c>
      <c r="AG281" s="13">
        <f t="shared" ref="AG281:AG284" si="51">H281*AG$2</f>
        <v>46080</v>
      </c>
      <c r="AH281" s="13">
        <f t="shared" ref="AH281:AH284" si="52">H281*AH$2</f>
        <v>172800</v>
      </c>
      <c r="AI281" s="13">
        <f t="shared" ref="AI281:AI284" si="53">H281*$AI$2</f>
        <v>70920</v>
      </c>
      <c r="AJ281" s="13">
        <f>AJ$2*H281</f>
        <v>216000</v>
      </c>
      <c r="AK281" s="15">
        <f t="shared" ref="AK281:AK283" si="54">H281*AK$2</f>
        <v>43200</v>
      </c>
      <c r="AL281" s="14">
        <f t="shared" si="38"/>
        <v>773640</v>
      </c>
    </row>
    <row r="282" spans="1:38" hidden="1" x14ac:dyDescent="0.25">
      <c r="A282" s="12" t="s">
        <v>86</v>
      </c>
      <c r="B282" s="12" t="s">
        <v>355</v>
      </c>
      <c r="C282" s="12" t="s">
        <v>308</v>
      </c>
      <c r="D282" s="12"/>
      <c r="E282" s="12">
        <f t="shared" si="36"/>
        <v>360</v>
      </c>
      <c r="F282" s="12" t="str">
        <f>VLOOKUP(B282,[1]lookup!A:B,2,FALSE)</f>
        <v>Term</v>
      </c>
      <c r="G282" s="12">
        <v>0</v>
      </c>
      <c r="H282" s="12">
        <v>360</v>
      </c>
      <c r="I282" s="12">
        <v>0</v>
      </c>
      <c r="J282" s="12">
        <v>0</v>
      </c>
      <c r="K282" s="12">
        <v>0</v>
      </c>
      <c r="L282" s="12">
        <v>6</v>
      </c>
      <c r="M282" s="12">
        <v>0</v>
      </c>
      <c r="N282" s="12">
        <v>0</v>
      </c>
      <c r="O282" s="12">
        <v>0</v>
      </c>
      <c r="P282" s="12">
        <v>12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/>
      <c r="AC282" s="13">
        <f t="shared" si="37"/>
        <v>0</v>
      </c>
      <c r="AF282" s="13">
        <f t="shared" si="50"/>
        <v>224640</v>
      </c>
      <c r="AG282" s="13">
        <f t="shared" si="51"/>
        <v>46080</v>
      </c>
      <c r="AH282" s="13">
        <f t="shared" si="52"/>
        <v>172800</v>
      </c>
      <c r="AI282" s="13">
        <f t="shared" si="53"/>
        <v>70920</v>
      </c>
      <c r="AK282" s="15">
        <f t="shared" si="54"/>
        <v>43200</v>
      </c>
      <c r="AL282" s="14">
        <f t="shared" si="38"/>
        <v>557640</v>
      </c>
    </row>
    <row r="283" spans="1:38" hidden="1" x14ac:dyDescent="0.25">
      <c r="A283" s="12" t="s">
        <v>86</v>
      </c>
      <c r="B283" s="12" t="s">
        <v>356</v>
      </c>
      <c r="C283" s="12" t="s">
        <v>308</v>
      </c>
      <c r="D283" s="12"/>
      <c r="E283" s="12">
        <f t="shared" si="36"/>
        <v>360</v>
      </c>
      <c r="F283" s="12" t="str">
        <f>VLOOKUP(B283,[1]lookup!A:B,2,FALSE)</f>
        <v>Term</v>
      </c>
      <c r="G283" s="12">
        <v>0</v>
      </c>
      <c r="H283" s="12">
        <v>360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/>
      <c r="AC283" s="13">
        <f t="shared" si="37"/>
        <v>0</v>
      </c>
      <c r="AF283" s="13">
        <f t="shared" si="50"/>
        <v>224640</v>
      </c>
      <c r="AG283" s="13">
        <f t="shared" si="51"/>
        <v>46080</v>
      </c>
      <c r="AH283" s="13">
        <f t="shared" si="52"/>
        <v>172800</v>
      </c>
      <c r="AI283" s="13">
        <f t="shared" si="53"/>
        <v>70920</v>
      </c>
      <c r="AJ283" s="13">
        <f t="shared" ref="AJ283:AJ284" si="55">AJ$2*H283</f>
        <v>216000</v>
      </c>
      <c r="AK283" s="15">
        <f t="shared" si="54"/>
        <v>43200</v>
      </c>
      <c r="AL283" s="14">
        <f t="shared" si="38"/>
        <v>773640</v>
      </c>
    </row>
    <row r="284" spans="1:38" hidden="1" x14ac:dyDescent="0.25">
      <c r="A284" s="12" t="s">
        <v>86</v>
      </c>
      <c r="B284" s="12" t="s">
        <v>357</v>
      </c>
      <c r="C284" s="12" t="s">
        <v>308</v>
      </c>
      <c r="D284" s="12"/>
      <c r="E284" s="12">
        <f t="shared" si="36"/>
        <v>360</v>
      </c>
      <c r="F284" s="12" t="str">
        <f>VLOOKUP(B284,[1]lookup!A:B,2,FALSE)</f>
        <v>Term</v>
      </c>
      <c r="G284" s="12">
        <v>0</v>
      </c>
      <c r="H284" s="12">
        <v>360</v>
      </c>
      <c r="I284" s="12">
        <v>1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/>
      <c r="AC284" s="13">
        <f t="shared" si="37"/>
        <v>0</v>
      </c>
      <c r="AF284" s="13">
        <f t="shared" si="50"/>
        <v>224640</v>
      </c>
      <c r="AG284" s="13">
        <f t="shared" si="51"/>
        <v>46080</v>
      </c>
      <c r="AH284" s="13">
        <f t="shared" si="52"/>
        <v>172800</v>
      </c>
      <c r="AI284" s="13">
        <f t="shared" si="53"/>
        <v>70920</v>
      </c>
      <c r="AJ284" s="13">
        <f t="shared" si="55"/>
        <v>216000</v>
      </c>
      <c r="AL284" s="14">
        <f t="shared" si="38"/>
        <v>730440</v>
      </c>
    </row>
    <row r="285" spans="1:38" hidden="1" x14ac:dyDescent="0.25">
      <c r="A285" s="12" t="s">
        <v>86</v>
      </c>
      <c r="B285" s="12" t="s">
        <v>358</v>
      </c>
      <c r="C285" s="12" t="s">
        <v>308</v>
      </c>
      <c r="D285" s="12"/>
      <c r="E285" s="12">
        <f t="shared" si="36"/>
        <v>360</v>
      </c>
      <c r="F285" s="12" t="str">
        <f>VLOOKUP(B285,[1]lookup!A:B,2,FALSE)</f>
        <v>Term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  <c r="L285" s="12">
        <v>360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/>
      <c r="AC285" s="13">
        <f t="shared" si="37"/>
        <v>0</v>
      </c>
      <c r="AL285" s="14">
        <f t="shared" si="38"/>
        <v>0</v>
      </c>
    </row>
    <row r="286" spans="1:38" hidden="1" x14ac:dyDescent="0.25">
      <c r="A286" s="12" t="s">
        <v>92</v>
      </c>
      <c r="B286" s="12" t="s">
        <v>359</v>
      </c>
      <c r="C286" s="12" t="s">
        <v>308</v>
      </c>
      <c r="D286" s="12"/>
      <c r="E286" s="12">
        <f t="shared" si="36"/>
        <v>359</v>
      </c>
      <c r="F286" s="12" t="s">
        <v>70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359</v>
      </c>
      <c r="X286" s="12">
        <v>0</v>
      </c>
      <c r="Y286" s="12">
        <v>0</v>
      </c>
      <c r="Z286" s="12">
        <v>0</v>
      </c>
      <c r="AA286" s="12"/>
      <c r="AC286" s="13">
        <f t="shared" si="37"/>
        <v>0</v>
      </c>
      <c r="AL286" s="14">
        <f t="shared" si="38"/>
        <v>0</v>
      </c>
    </row>
    <row r="287" spans="1:38" hidden="1" x14ac:dyDescent="0.25">
      <c r="A287" s="12" t="s">
        <v>360</v>
      </c>
      <c r="B287" s="12" t="s">
        <v>361</v>
      </c>
      <c r="C287" s="12" t="s">
        <v>308</v>
      </c>
      <c r="D287" s="12"/>
      <c r="E287" s="12">
        <f t="shared" si="36"/>
        <v>351</v>
      </c>
      <c r="F287" s="12" t="str">
        <f>VLOOKUP(B287,[1]lookup!A:B,2,FALSE)</f>
        <v>Term</v>
      </c>
      <c r="G287" s="12">
        <v>0</v>
      </c>
      <c r="H287" s="12">
        <v>350</v>
      </c>
      <c r="I287" s="12">
        <v>351</v>
      </c>
      <c r="J287" s="12">
        <v>230</v>
      </c>
      <c r="K287" s="12">
        <v>0</v>
      </c>
      <c r="L287" s="12">
        <v>230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/>
      <c r="AC287" s="13">
        <f t="shared" si="37"/>
        <v>0</v>
      </c>
      <c r="AD287" s="13">
        <f>J287*AD$2</f>
        <v>55200</v>
      </c>
      <c r="AE287" s="13">
        <f>J287*AE$2</f>
        <v>27600</v>
      </c>
      <c r="AF287" s="13">
        <f t="shared" ref="AF287:AF290" si="56">H287*AF$2</f>
        <v>218400</v>
      </c>
      <c r="AG287" s="13">
        <f t="shared" ref="AG287:AG290" si="57">H287*AG$2</f>
        <v>44800</v>
      </c>
      <c r="AH287" s="13">
        <f t="shared" ref="AH287:AH290" si="58">H287*AH$2</f>
        <v>168000</v>
      </c>
      <c r="AI287" s="13">
        <f t="shared" ref="AI287:AI290" si="59">H287*$AI$2</f>
        <v>68950</v>
      </c>
      <c r="AJ287" s="13">
        <f>AJ$2*H287</f>
        <v>210000</v>
      </c>
      <c r="AL287" s="14">
        <f t="shared" si="38"/>
        <v>792950</v>
      </c>
    </row>
    <row r="288" spans="1:38" hidden="1" x14ac:dyDescent="0.25">
      <c r="A288" s="12" t="s">
        <v>64</v>
      </c>
      <c r="B288" s="12" t="s">
        <v>362</v>
      </c>
      <c r="C288" s="12" t="s">
        <v>308</v>
      </c>
      <c r="D288" s="12"/>
      <c r="E288" s="12">
        <f t="shared" si="36"/>
        <v>350</v>
      </c>
      <c r="F288" s="12" t="str">
        <f>VLOOKUP(B288,[1]lookup!A:B,2,FALSE)</f>
        <v>Perpetual</v>
      </c>
      <c r="G288" s="12">
        <v>0</v>
      </c>
      <c r="H288" s="12">
        <v>310</v>
      </c>
      <c r="I288" s="12">
        <v>300</v>
      </c>
      <c r="J288" s="12">
        <v>300</v>
      </c>
      <c r="K288" s="12">
        <v>0</v>
      </c>
      <c r="L288" s="12">
        <v>300</v>
      </c>
      <c r="M288" s="12">
        <v>300</v>
      </c>
      <c r="N288" s="12">
        <v>0</v>
      </c>
      <c r="O288" s="12">
        <v>300</v>
      </c>
      <c r="P288" s="12">
        <v>350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/>
      <c r="AC288" s="13">
        <f t="shared" si="37"/>
        <v>72000</v>
      </c>
      <c r="AD288" s="13">
        <f>J288*AD$2</f>
        <v>72000</v>
      </c>
      <c r="AF288" s="13">
        <f t="shared" si="56"/>
        <v>193440</v>
      </c>
      <c r="AG288" s="13">
        <f t="shared" si="57"/>
        <v>39680</v>
      </c>
      <c r="AH288" s="13">
        <f t="shared" si="58"/>
        <v>148800</v>
      </c>
      <c r="AI288" s="13">
        <f t="shared" si="59"/>
        <v>61070</v>
      </c>
      <c r="AL288" s="14">
        <f t="shared" si="38"/>
        <v>586990</v>
      </c>
    </row>
    <row r="289" spans="1:38" hidden="1" x14ac:dyDescent="0.25">
      <c r="A289" s="12" t="s">
        <v>86</v>
      </c>
      <c r="B289" s="12" t="s">
        <v>363</v>
      </c>
      <c r="C289" s="12" t="s">
        <v>308</v>
      </c>
      <c r="D289" s="12"/>
      <c r="E289" s="12">
        <f t="shared" si="36"/>
        <v>341</v>
      </c>
      <c r="F289" s="12" t="str">
        <f>VLOOKUP(B289,[1]lookup!A:B,2,FALSE)</f>
        <v>Perpetual</v>
      </c>
      <c r="G289" s="12">
        <v>0</v>
      </c>
      <c r="H289" s="12">
        <v>341</v>
      </c>
      <c r="I289" s="12">
        <v>0</v>
      </c>
      <c r="J289" s="12">
        <v>160</v>
      </c>
      <c r="K289" s="12">
        <v>0</v>
      </c>
      <c r="L289" s="12">
        <v>164</v>
      </c>
      <c r="M289" s="12">
        <v>0</v>
      </c>
      <c r="N289" s="12">
        <v>0</v>
      </c>
      <c r="O289" s="12">
        <v>160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/>
      <c r="AC289" s="13">
        <f t="shared" si="37"/>
        <v>0</v>
      </c>
      <c r="AD289" s="13">
        <f>J289*AD$2</f>
        <v>38400</v>
      </c>
      <c r="AE289" s="13">
        <f>J289*AE$2</f>
        <v>19200</v>
      </c>
      <c r="AF289" s="13">
        <f t="shared" si="56"/>
        <v>212784</v>
      </c>
      <c r="AG289" s="13">
        <f t="shared" si="57"/>
        <v>43648</v>
      </c>
      <c r="AH289" s="13">
        <f t="shared" si="58"/>
        <v>163680</v>
      </c>
      <c r="AI289" s="13">
        <f t="shared" si="59"/>
        <v>67177</v>
      </c>
      <c r="AJ289" s="13">
        <f t="shared" ref="AJ289:AJ290" si="60">AJ$2*H289</f>
        <v>204600</v>
      </c>
      <c r="AK289" s="15">
        <f t="shared" ref="AK289:AK290" si="61">H289*AK$2</f>
        <v>40920</v>
      </c>
      <c r="AL289" s="14">
        <f t="shared" si="38"/>
        <v>790409</v>
      </c>
    </row>
    <row r="290" spans="1:38" hidden="1" x14ac:dyDescent="0.25">
      <c r="A290" s="12" t="s">
        <v>364</v>
      </c>
      <c r="B290" s="12" t="s">
        <v>365</v>
      </c>
      <c r="C290" s="12" t="s">
        <v>308</v>
      </c>
      <c r="D290" s="12"/>
      <c r="E290" s="12">
        <f t="shared" si="36"/>
        <v>340</v>
      </c>
      <c r="F290" s="12" t="str">
        <f>VLOOKUP(B290,[1]lookup!A:B,2,FALSE)</f>
        <v>Perpetual</v>
      </c>
      <c r="G290" s="12">
        <v>0</v>
      </c>
      <c r="H290" s="12">
        <v>340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/>
      <c r="AC290" s="13">
        <f t="shared" si="37"/>
        <v>0</v>
      </c>
      <c r="AF290" s="13">
        <f t="shared" si="56"/>
        <v>212160</v>
      </c>
      <c r="AG290" s="13">
        <f t="shared" si="57"/>
        <v>43520</v>
      </c>
      <c r="AH290" s="13">
        <f t="shared" si="58"/>
        <v>163200</v>
      </c>
      <c r="AI290" s="13">
        <f t="shared" si="59"/>
        <v>66980</v>
      </c>
      <c r="AJ290" s="13">
        <f t="shared" si="60"/>
        <v>204000</v>
      </c>
      <c r="AK290" s="15">
        <f t="shared" si="61"/>
        <v>40800</v>
      </c>
      <c r="AL290" s="14">
        <f t="shared" si="38"/>
        <v>730660</v>
      </c>
    </row>
    <row r="291" spans="1:38" hidden="1" x14ac:dyDescent="0.25">
      <c r="A291" s="12" t="s">
        <v>148</v>
      </c>
      <c r="B291" s="12" t="s">
        <v>366</v>
      </c>
      <c r="C291" s="12" t="s">
        <v>308</v>
      </c>
      <c r="D291" s="12"/>
      <c r="E291" s="12">
        <f t="shared" si="36"/>
        <v>338</v>
      </c>
      <c r="F291" s="12" t="s">
        <v>70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338</v>
      </c>
      <c r="X291" s="12">
        <v>0</v>
      </c>
      <c r="Y291" s="12">
        <v>0</v>
      </c>
      <c r="Z291" s="12">
        <v>0</v>
      </c>
      <c r="AA291" s="12"/>
      <c r="AC291" s="13">
        <f t="shared" si="37"/>
        <v>0</v>
      </c>
      <c r="AL291" s="14">
        <f t="shared" si="38"/>
        <v>0</v>
      </c>
    </row>
    <row r="292" spans="1:38" hidden="1" x14ac:dyDescent="0.25">
      <c r="A292" s="12" t="s">
        <v>114</v>
      </c>
      <c r="B292" s="12" t="s">
        <v>367</v>
      </c>
      <c r="C292" s="12" t="s">
        <v>308</v>
      </c>
      <c r="D292" s="12"/>
      <c r="E292" s="12">
        <f t="shared" si="36"/>
        <v>336</v>
      </c>
      <c r="F292" s="12" t="str">
        <f>VLOOKUP(B292,[1]lookup!A:B,2,FALSE)</f>
        <v>Term</v>
      </c>
      <c r="G292" s="12">
        <v>0</v>
      </c>
      <c r="H292" s="12">
        <v>335</v>
      </c>
      <c r="I292" s="12">
        <v>336</v>
      </c>
      <c r="J292" s="12">
        <v>285</v>
      </c>
      <c r="K292" s="12">
        <v>0</v>
      </c>
      <c r="L292" s="12">
        <v>165</v>
      </c>
      <c r="M292" s="12">
        <v>165</v>
      </c>
      <c r="N292" s="12">
        <v>0</v>
      </c>
      <c r="O292" s="12">
        <v>0</v>
      </c>
      <c r="P292" s="12">
        <v>165</v>
      </c>
      <c r="Q292" s="12">
        <v>0</v>
      </c>
      <c r="R292" s="12">
        <v>0</v>
      </c>
      <c r="S292" s="12">
        <v>165</v>
      </c>
      <c r="T292" s="12">
        <v>0</v>
      </c>
      <c r="U292" s="12">
        <v>0</v>
      </c>
      <c r="V292" s="12">
        <v>0</v>
      </c>
      <c r="W292" s="12">
        <v>10</v>
      </c>
      <c r="X292" s="12">
        <v>0</v>
      </c>
      <c r="Y292" s="12">
        <v>0</v>
      </c>
      <c r="Z292" s="12">
        <v>0</v>
      </c>
      <c r="AA292" s="12"/>
      <c r="AC292" s="13">
        <f t="shared" si="37"/>
        <v>39600</v>
      </c>
      <c r="AD292" s="13">
        <f>J292*AD$2</f>
        <v>68400</v>
      </c>
      <c r="AF292" s="13">
        <f>H292*AF$2</f>
        <v>209040</v>
      </c>
      <c r="AG292" s="13">
        <f>H292*AG$2</f>
        <v>42880</v>
      </c>
      <c r="AH292" s="13">
        <f>H292*AH$2</f>
        <v>160800</v>
      </c>
      <c r="AI292" s="13">
        <f>H292*$AI$2</f>
        <v>65995</v>
      </c>
      <c r="AL292" s="14">
        <f t="shared" si="38"/>
        <v>586715</v>
      </c>
    </row>
    <row r="293" spans="1:38" hidden="1" x14ac:dyDescent="0.25">
      <c r="A293" s="12" t="s">
        <v>148</v>
      </c>
      <c r="B293" s="12" t="s">
        <v>368</v>
      </c>
      <c r="C293" s="12" t="s">
        <v>308</v>
      </c>
      <c r="D293" s="12"/>
      <c r="E293" s="12">
        <f t="shared" si="36"/>
        <v>335</v>
      </c>
      <c r="F293" s="12" t="s">
        <v>70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335</v>
      </c>
      <c r="X293" s="12">
        <v>0</v>
      </c>
      <c r="Y293" s="12">
        <v>0</v>
      </c>
      <c r="Z293" s="12">
        <v>0</v>
      </c>
      <c r="AA293" s="12"/>
      <c r="AC293" s="13">
        <f t="shared" si="37"/>
        <v>0</v>
      </c>
      <c r="AL293" s="14">
        <f t="shared" si="38"/>
        <v>0</v>
      </c>
    </row>
    <row r="294" spans="1:38" hidden="1" x14ac:dyDescent="0.25">
      <c r="A294" s="12" t="s">
        <v>86</v>
      </c>
      <c r="B294" s="12" t="s">
        <v>369</v>
      </c>
      <c r="C294" s="12" t="s">
        <v>308</v>
      </c>
      <c r="D294" s="12"/>
      <c r="E294" s="12">
        <f t="shared" si="36"/>
        <v>330</v>
      </c>
      <c r="F294" s="12" t="str">
        <f>VLOOKUP(B294,[1]lookup!A:B,2,FALSE)</f>
        <v>Term</v>
      </c>
      <c r="G294" s="12">
        <v>0</v>
      </c>
      <c r="H294" s="12">
        <v>156</v>
      </c>
      <c r="I294" s="12">
        <v>1</v>
      </c>
      <c r="J294" s="12">
        <v>0</v>
      </c>
      <c r="K294" s="12">
        <v>0</v>
      </c>
      <c r="L294" s="12">
        <v>210</v>
      </c>
      <c r="M294" s="12">
        <v>0</v>
      </c>
      <c r="N294" s="12">
        <v>0</v>
      </c>
      <c r="O294" s="12">
        <v>0</v>
      </c>
      <c r="P294" s="12">
        <v>330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/>
      <c r="AC294" s="13">
        <f t="shared" si="37"/>
        <v>0</v>
      </c>
      <c r="AF294" s="13">
        <f>H294*AF$2</f>
        <v>97344</v>
      </c>
      <c r="AG294" s="13">
        <f>H294*AG$2</f>
        <v>19968</v>
      </c>
      <c r="AH294" s="13">
        <f>H294*AH$2</f>
        <v>74880</v>
      </c>
      <c r="AI294" s="13">
        <f>H294*$AI$2</f>
        <v>30732</v>
      </c>
      <c r="AL294" s="14">
        <f t="shared" si="38"/>
        <v>222924</v>
      </c>
    </row>
    <row r="295" spans="1:38" hidden="1" x14ac:dyDescent="0.25">
      <c r="A295" s="12" t="s">
        <v>51</v>
      </c>
      <c r="B295" s="12" t="s">
        <v>370</v>
      </c>
      <c r="C295" s="12" t="s">
        <v>308</v>
      </c>
      <c r="D295" s="12"/>
      <c r="E295" s="12">
        <f t="shared" si="36"/>
        <v>325</v>
      </c>
      <c r="F295" s="12" t="s">
        <v>70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325</v>
      </c>
      <c r="V295" s="12">
        <v>0</v>
      </c>
      <c r="W295" s="12">
        <v>0</v>
      </c>
      <c r="X295" s="12">
        <v>0</v>
      </c>
      <c r="Y295" s="12">
        <v>0</v>
      </c>
      <c r="Z295" s="12">
        <v>0</v>
      </c>
      <c r="AA295" s="12"/>
      <c r="AC295" s="13">
        <f t="shared" si="37"/>
        <v>0</v>
      </c>
      <c r="AL295" s="14">
        <f t="shared" si="38"/>
        <v>0</v>
      </c>
    </row>
    <row r="296" spans="1:38" hidden="1" x14ac:dyDescent="0.25">
      <c r="A296" s="12" t="s">
        <v>86</v>
      </c>
      <c r="B296" s="12" t="s">
        <v>371</v>
      </c>
      <c r="C296" s="12" t="s">
        <v>308</v>
      </c>
      <c r="D296" s="12"/>
      <c r="E296" s="12">
        <f t="shared" si="36"/>
        <v>324</v>
      </c>
      <c r="F296" s="12" t="str">
        <f>VLOOKUP(B296,[1]lookup!A:B,2,FALSE)</f>
        <v>Term</v>
      </c>
      <c r="G296" s="12">
        <v>0</v>
      </c>
      <c r="H296" s="12">
        <v>324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/>
      <c r="AC296" s="13">
        <f t="shared" si="37"/>
        <v>0</v>
      </c>
      <c r="AF296" s="13">
        <f t="shared" ref="AF296:AF298" si="62">H296*AF$2</f>
        <v>202176</v>
      </c>
      <c r="AG296" s="13">
        <f t="shared" ref="AG296:AG298" si="63">H296*AG$2</f>
        <v>41472</v>
      </c>
      <c r="AH296" s="13">
        <f t="shared" ref="AH296:AH298" si="64">H296*AH$2</f>
        <v>155520</v>
      </c>
      <c r="AI296" s="13">
        <f t="shared" ref="AI296:AI298" si="65">H296*$AI$2</f>
        <v>63828</v>
      </c>
      <c r="AJ296" s="13">
        <f t="shared" ref="AJ296:AJ298" si="66">AJ$2*H296</f>
        <v>194400</v>
      </c>
      <c r="AK296" s="15">
        <f t="shared" ref="AK296:AK298" si="67">H296*AK$2</f>
        <v>38880</v>
      </c>
      <c r="AL296" s="14">
        <f t="shared" si="38"/>
        <v>696276</v>
      </c>
    </row>
    <row r="297" spans="1:38" hidden="1" x14ac:dyDescent="0.25">
      <c r="A297" s="12" t="s">
        <v>56</v>
      </c>
      <c r="B297" s="12" t="s">
        <v>372</v>
      </c>
      <c r="C297" s="12" t="s">
        <v>308</v>
      </c>
      <c r="D297" s="12"/>
      <c r="E297" s="12">
        <f t="shared" si="36"/>
        <v>322</v>
      </c>
      <c r="F297" s="12" t="str">
        <f>VLOOKUP(B297,[1]lookup!A:B,2,FALSE)</f>
        <v>Perpetual</v>
      </c>
      <c r="G297" s="12">
        <v>0</v>
      </c>
      <c r="H297" s="12">
        <v>94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322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/>
      <c r="AC297" s="13">
        <f t="shared" si="37"/>
        <v>0</v>
      </c>
      <c r="AF297" s="13">
        <f t="shared" si="62"/>
        <v>58656</v>
      </c>
      <c r="AG297" s="13">
        <f t="shared" si="63"/>
        <v>12032</v>
      </c>
      <c r="AH297" s="13">
        <f t="shared" si="64"/>
        <v>45120</v>
      </c>
      <c r="AI297" s="13">
        <f t="shared" si="65"/>
        <v>18518</v>
      </c>
      <c r="AJ297" s="13">
        <f t="shared" si="66"/>
        <v>56400</v>
      </c>
      <c r="AK297" s="15">
        <f t="shared" si="67"/>
        <v>11280</v>
      </c>
      <c r="AL297" s="14">
        <f t="shared" si="38"/>
        <v>202006</v>
      </c>
    </row>
    <row r="298" spans="1:38" hidden="1" x14ac:dyDescent="0.25">
      <c r="A298" s="12" t="s">
        <v>97</v>
      </c>
      <c r="B298" s="12" t="s">
        <v>373</v>
      </c>
      <c r="C298" s="12" t="s">
        <v>308</v>
      </c>
      <c r="D298" s="12"/>
      <c r="E298" s="12">
        <f t="shared" si="36"/>
        <v>322</v>
      </c>
      <c r="F298" s="12" t="str">
        <f>VLOOKUP(B298,[1]lookup!A:B,2,FALSE)</f>
        <v>Term</v>
      </c>
      <c r="G298" s="12">
        <v>0</v>
      </c>
      <c r="H298" s="12">
        <v>322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/>
      <c r="AC298" s="13">
        <f t="shared" si="37"/>
        <v>0</v>
      </c>
      <c r="AF298" s="13">
        <f t="shared" si="62"/>
        <v>200928</v>
      </c>
      <c r="AG298" s="13">
        <f t="shared" si="63"/>
        <v>41216</v>
      </c>
      <c r="AH298" s="13">
        <f t="shared" si="64"/>
        <v>154560</v>
      </c>
      <c r="AI298" s="13">
        <f t="shared" si="65"/>
        <v>63434</v>
      </c>
      <c r="AJ298" s="13">
        <f t="shared" si="66"/>
        <v>193200</v>
      </c>
      <c r="AK298" s="15">
        <f t="shared" si="67"/>
        <v>38640</v>
      </c>
      <c r="AL298" s="14">
        <f t="shared" si="38"/>
        <v>691978</v>
      </c>
    </row>
    <row r="299" spans="1:38" hidden="1" x14ac:dyDescent="0.25">
      <c r="A299" s="12" t="s">
        <v>148</v>
      </c>
      <c r="B299" s="12" t="s">
        <v>374</v>
      </c>
      <c r="C299" s="12" t="s">
        <v>308</v>
      </c>
      <c r="D299" s="12"/>
      <c r="E299" s="12">
        <f t="shared" si="36"/>
        <v>318</v>
      </c>
      <c r="F299" s="12" t="s">
        <v>70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318</v>
      </c>
      <c r="X299" s="12">
        <v>0</v>
      </c>
      <c r="Y299" s="12">
        <v>0</v>
      </c>
      <c r="Z299" s="12">
        <v>0</v>
      </c>
      <c r="AA299" s="12"/>
      <c r="AC299" s="13">
        <f t="shared" si="37"/>
        <v>0</v>
      </c>
      <c r="AL299" s="14">
        <f t="shared" si="38"/>
        <v>0</v>
      </c>
    </row>
    <row r="300" spans="1:38" hidden="1" x14ac:dyDescent="0.25">
      <c r="A300" s="12" t="s">
        <v>86</v>
      </c>
      <c r="B300" s="12" t="s">
        <v>375</v>
      </c>
      <c r="C300" s="12" t="s">
        <v>308</v>
      </c>
      <c r="D300" s="12"/>
      <c r="E300" s="12">
        <f t="shared" si="36"/>
        <v>315</v>
      </c>
      <c r="F300" s="12" t="str">
        <f>VLOOKUP(B300,[1]lookup!A:B,2,FALSE)</f>
        <v>Perpetual</v>
      </c>
      <c r="G300" s="12">
        <v>0</v>
      </c>
      <c r="H300" s="12">
        <v>315</v>
      </c>
      <c r="I300" s="12">
        <v>0</v>
      </c>
      <c r="J300" s="12">
        <v>315</v>
      </c>
      <c r="K300" s="12">
        <v>315</v>
      </c>
      <c r="L300" s="12">
        <v>0</v>
      </c>
      <c r="M300" s="12">
        <v>0</v>
      </c>
      <c r="N300" s="12">
        <v>0</v>
      </c>
      <c r="O300" s="12">
        <v>315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/>
      <c r="AC300" s="13">
        <f t="shared" si="37"/>
        <v>0</v>
      </c>
      <c r="AF300" s="13">
        <f>H300*AF$2</f>
        <v>196560</v>
      </c>
      <c r="AG300" s="13">
        <f>H300*AG$2</f>
        <v>40320</v>
      </c>
      <c r="AH300" s="13">
        <f>H300*AH$2</f>
        <v>151200</v>
      </c>
      <c r="AI300" s="13">
        <f>H300*$AI$2</f>
        <v>62055</v>
      </c>
      <c r="AJ300" s="13">
        <f>AJ$2*H300</f>
        <v>189000</v>
      </c>
      <c r="AK300" s="15">
        <f>H300*AK$2</f>
        <v>37800</v>
      </c>
      <c r="AL300" s="14">
        <f t="shared" si="38"/>
        <v>676935</v>
      </c>
    </row>
    <row r="301" spans="1:38" hidden="1" x14ac:dyDescent="0.25">
      <c r="A301" s="12" t="s">
        <v>80</v>
      </c>
      <c r="B301" s="12" t="s">
        <v>376</v>
      </c>
      <c r="C301" s="12" t="s">
        <v>308</v>
      </c>
      <c r="D301" s="12"/>
      <c r="E301" s="12">
        <f t="shared" si="36"/>
        <v>315</v>
      </c>
      <c r="F301" s="12" t="s">
        <v>70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315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/>
      <c r="AC301" s="13">
        <f t="shared" si="37"/>
        <v>0</v>
      </c>
      <c r="AL301" s="14">
        <f t="shared" si="38"/>
        <v>0</v>
      </c>
    </row>
    <row r="302" spans="1:38" hidden="1" x14ac:dyDescent="0.25">
      <c r="A302" s="12" t="s">
        <v>78</v>
      </c>
      <c r="B302" s="12" t="s">
        <v>377</v>
      </c>
      <c r="C302" s="12" t="s">
        <v>308</v>
      </c>
      <c r="D302" s="12"/>
      <c r="E302" s="12">
        <f t="shared" si="36"/>
        <v>314</v>
      </c>
      <c r="F302" s="12" t="str">
        <f>VLOOKUP(B302,[1]lookup!A:B,2,FALSE)</f>
        <v>Perpetual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314</v>
      </c>
      <c r="N302" s="12">
        <v>0</v>
      </c>
      <c r="O302" s="12">
        <v>197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/>
      <c r="AC302" s="13">
        <f t="shared" si="37"/>
        <v>75360</v>
      </c>
      <c r="AL302" s="14">
        <f t="shared" si="38"/>
        <v>75360</v>
      </c>
    </row>
    <row r="303" spans="1:38" hidden="1" x14ac:dyDescent="0.25">
      <c r="A303" s="12" t="s">
        <v>267</v>
      </c>
      <c r="B303" s="12" t="s">
        <v>378</v>
      </c>
      <c r="C303" s="12" t="s">
        <v>308</v>
      </c>
      <c r="D303" s="12"/>
      <c r="E303" s="12">
        <f t="shared" si="36"/>
        <v>312</v>
      </c>
      <c r="F303" s="12" t="s">
        <v>70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312</v>
      </c>
      <c r="X303" s="12">
        <v>0</v>
      </c>
      <c r="Y303" s="12">
        <v>0</v>
      </c>
      <c r="Z303" s="12">
        <v>0</v>
      </c>
      <c r="AA303" s="12"/>
      <c r="AC303" s="13">
        <f t="shared" si="37"/>
        <v>0</v>
      </c>
      <c r="AL303" s="14">
        <f t="shared" si="38"/>
        <v>0</v>
      </c>
    </row>
    <row r="304" spans="1:38" hidden="1" x14ac:dyDescent="0.25">
      <c r="A304" s="12" t="s">
        <v>64</v>
      </c>
      <c r="B304" s="12" t="s">
        <v>379</v>
      </c>
      <c r="C304" s="12" t="s">
        <v>308</v>
      </c>
      <c r="D304" s="12"/>
      <c r="E304" s="12">
        <f t="shared" si="36"/>
        <v>310</v>
      </c>
      <c r="F304" s="12" t="str">
        <f>VLOOKUP(B304,[1]lookup!A:B,2,FALSE)</f>
        <v>SaaS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310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/>
      <c r="AC304" s="13">
        <f t="shared" si="37"/>
        <v>0</v>
      </c>
      <c r="AL304" s="14">
        <f t="shared" si="38"/>
        <v>0</v>
      </c>
    </row>
    <row r="305" spans="1:38" hidden="1" x14ac:dyDescent="0.25">
      <c r="A305" s="12" t="s">
        <v>51</v>
      </c>
      <c r="B305" s="12" t="s">
        <v>380</v>
      </c>
      <c r="C305" s="12" t="s">
        <v>308</v>
      </c>
      <c r="D305" s="12"/>
      <c r="E305" s="12">
        <f t="shared" si="36"/>
        <v>309</v>
      </c>
      <c r="F305" s="12" t="s">
        <v>70</v>
      </c>
      <c r="G305" s="12">
        <v>0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309</v>
      </c>
      <c r="V305" s="12">
        <v>0</v>
      </c>
      <c r="W305" s="12">
        <v>0</v>
      </c>
      <c r="X305" s="12">
        <v>0</v>
      </c>
      <c r="Y305" s="12">
        <v>0</v>
      </c>
      <c r="Z305" s="12">
        <v>0</v>
      </c>
      <c r="AA305" s="12"/>
      <c r="AC305" s="13">
        <f t="shared" si="37"/>
        <v>0</v>
      </c>
      <c r="AL305" s="14">
        <f t="shared" si="38"/>
        <v>0</v>
      </c>
    </row>
    <row r="306" spans="1:38" hidden="1" x14ac:dyDescent="0.25">
      <c r="A306" s="12" t="s">
        <v>51</v>
      </c>
      <c r="B306" s="12" t="s">
        <v>381</v>
      </c>
      <c r="C306" s="12" t="s">
        <v>308</v>
      </c>
      <c r="D306" s="12"/>
      <c r="E306" s="12">
        <f t="shared" si="36"/>
        <v>306</v>
      </c>
      <c r="F306" s="12" t="s">
        <v>70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306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/>
      <c r="AC306" s="13">
        <f t="shared" si="37"/>
        <v>0</v>
      </c>
      <c r="AL306" s="14">
        <f t="shared" si="38"/>
        <v>0</v>
      </c>
    </row>
    <row r="307" spans="1:38" hidden="1" x14ac:dyDescent="0.25">
      <c r="A307" s="12" t="s">
        <v>222</v>
      </c>
      <c r="B307" s="12" t="s">
        <v>382</v>
      </c>
      <c r="C307" s="12" t="s">
        <v>308</v>
      </c>
      <c r="D307" s="12"/>
      <c r="E307" s="12">
        <f t="shared" si="36"/>
        <v>304</v>
      </c>
      <c r="F307" s="12" t="s">
        <v>70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304</v>
      </c>
      <c r="X307" s="12">
        <v>0</v>
      </c>
      <c r="Y307" s="12">
        <v>0</v>
      </c>
      <c r="Z307" s="12">
        <v>0</v>
      </c>
      <c r="AA307" s="12"/>
      <c r="AC307" s="13">
        <f t="shared" si="37"/>
        <v>0</v>
      </c>
      <c r="AL307" s="14">
        <f t="shared" si="38"/>
        <v>0</v>
      </c>
    </row>
    <row r="308" spans="1:38" hidden="1" x14ac:dyDescent="0.25">
      <c r="A308" s="12" t="s">
        <v>86</v>
      </c>
      <c r="B308" s="12" t="s">
        <v>383</v>
      </c>
      <c r="C308" s="12" t="s">
        <v>308</v>
      </c>
      <c r="D308" s="12"/>
      <c r="E308" s="12">
        <f t="shared" si="36"/>
        <v>301</v>
      </c>
      <c r="F308" s="12" t="str">
        <f>VLOOKUP(B308,[1]lookup!A:B,2,FALSE)</f>
        <v>Perpetual</v>
      </c>
      <c r="G308" s="12">
        <v>0</v>
      </c>
      <c r="H308" s="12">
        <v>300</v>
      </c>
      <c r="I308" s="12">
        <v>301</v>
      </c>
      <c r="J308" s="12">
        <v>300</v>
      </c>
      <c r="K308" s="12">
        <v>0</v>
      </c>
      <c r="L308" s="12">
        <v>60</v>
      </c>
      <c r="M308" s="12">
        <v>300</v>
      </c>
      <c r="N308" s="12">
        <v>0</v>
      </c>
      <c r="O308" s="12">
        <v>301</v>
      </c>
      <c r="P308" s="12">
        <v>300</v>
      </c>
      <c r="Q308" s="12">
        <v>0</v>
      </c>
      <c r="R308" s="12">
        <v>0</v>
      </c>
      <c r="S308" s="12">
        <v>300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/>
      <c r="AC308" s="13">
        <f t="shared" si="37"/>
        <v>72000</v>
      </c>
      <c r="AD308" s="13">
        <f t="shared" ref="AD308:AD309" si="68">J308*AD$2</f>
        <v>72000</v>
      </c>
      <c r="AF308" s="13">
        <f t="shared" ref="AF308:AF309" si="69">H308*AF$2</f>
        <v>187200</v>
      </c>
      <c r="AG308" s="13">
        <f t="shared" ref="AG308:AG309" si="70">H308*AG$2</f>
        <v>38400</v>
      </c>
      <c r="AH308" s="13">
        <f t="shared" ref="AH308:AH309" si="71">H308*AH$2</f>
        <v>144000</v>
      </c>
      <c r="AI308" s="13">
        <f t="shared" ref="AI308:AI309" si="72">H308*$AI$2</f>
        <v>59100</v>
      </c>
      <c r="AL308" s="14">
        <f t="shared" si="38"/>
        <v>572700</v>
      </c>
    </row>
    <row r="309" spans="1:38" hidden="1" x14ac:dyDescent="0.25">
      <c r="A309" s="12" t="s">
        <v>60</v>
      </c>
      <c r="B309" s="12" t="s">
        <v>384</v>
      </c>
      <c r="C309" s="12" t="s">
        <v>308</v>
      </c>
      <c r="D309" s="12"/>
      <c r="E309" s="12">
        <f t="shared" si="36"/>
        <v>301</v>
      </c>
      <c r="F309" s="12" t="str">
        <f>VLOOKUP(B309,[1]lookup!A:B,2,FALSE)</f>
        <v>Perpetual</v>
      </c>
      <c r="G309" s="12">
        <v>0</v>
      </c>
      <c r="H309" s="12">
        <v>300</v>
      </c>
      <c r="I309" s="12">
        <v>300</v>
      </c>
      <c r="J309" s="12">
        <v>301</v>
      </c>
      <c r="K309" s="12">
        <v>0</v>
      </c>
      <c r="L309" s="12">
        <v>0</v>
      </c>
      <c r="M309" s="12">
        <v>300</v>
      </c>
      <c r="N309" s="12">
        <v>0</v>
      </c>
      <c r="O309" s="12">
        <v>300</v>
      </c>
      <c r="P309" s="12">
        <v>150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/>
      <c r="AC309" s="13">
        <f t="shared" si="37"/>
        <v>72000</v>
      </c>
      <c r="AD309" s="13">
        <f t="shared" si="68"/>
        <v>72240</v>
      </c>
      <c r="AF309" s="13">
        <f t="shared" si="69"/>
        <v>187200</v>
      </c>
      <c r="AG309" s="13">
        <f t="shared" si="70"/>
        <v>38400</v>
      </c>
      <c r="AH309" s="13">
        <f t="shared" si="71"/>
        <v>144000</v>
      </c>
      <c r="AI309" s="13">
        <f t="shared" si="72"/>
        <v>59100</v>
      </c>
      <c r="AL309" s="14">
        <f t="shared" si="38"/>
        <v>572940</v>
      </c>
    </row>
    <row r="310" spans="1:38" hidden="1" x14ac:dyDescent="0.25">
      <c r="A310" s="12" t="s">
        <v>51</v>
      </c>
      <c r="B310" s="12" t="s">
        <v>385</v>
      </c>
      <c r="C310" s="12" t="s">
        <v>308</v>
      </c>
      <c r="D310" s="12"/>
      <c r="E310" s="12">
        <f t="shared" si="36"/>
        <v>301</v>
      </c>
      <c r="F310" s="12" t="s">
        <v>70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301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/>
      <c r="AC310" s="13">
        <f t="shared" si="37"/>
        <v>0</v>
      </c>
      <c r="AL310" s="14">
        <f t="shared" si="38"/>
        <v>0</v>
      </c>
    </row>
    <row r="311" spans="1:38" hidden="1" x14ac:dyDescent="0.25">
      <c r="A311" s="12" t="s">
        <v>386</v>
      </c>
      <c r="B311" s="12" t="s">
        <v>384</v>
      </c>
      <c r="C311" s="12" t="s">
        <v>308</v>
      </c>
      <c r="D311" s="12"/>
      <c r="E311" s="12">
        <f t="shared" si="36"/>
        <v>301</v>
      </c>
      <c r="F311" s="12" t="str">
        <f>VLOOKUP(B311,[1]lookup!A:B,2,FALSE)</f>
        <v>Perpetual</v>
      </c>
      <c r="G311" s="12">
        <v>0</v>
      </c>
      <c r="H311" s="12">
        <v>0</v>
      </c>
      <c r="I311" s="12">
        <v>300</v>
      </c>
      <c r="J311" s="12">
        <v>301</v>
      </c>
      <c r="K311" s="12">
        <v>0</v>
      </c>
      <c r="L311" s="12">
        <v>0</v>
      </c>
      <c r="M311" s="12">
        <v>300</v>
      </c>
      <c r="N311" s="12">
        <v>0</v>
      </c>
      <c r="O311" s="12">
        <v>300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/>
      <c r="AC311" s="13">
        <f t="shared" si="37"/>
        <v>72000</v>
      </c>
      <c r="AD311" s="13">
        <f>J311*AD$2</f>
        <v>72240</v>
      </c>
      <c r="AE311" s="13">
        <f>J311*AE$2</f>
        <v>36120</v>
      </c>
      <c r="AL311" s="14">
        <f t="shared" si="38"/>
        <v>180360</v>
      </c>
    </row>
    <row r="312" spans="1:38" hidden="1" x14ac:dyDescent="0.25">
      <c r="A312" s="12" t="s">
        <v>86</v>
      </c>
      <c r="B312" s="12" t="s">
        <v>387</v>
      </c>
      <c r="C312" s="12" t="s">
        <v>308</v>
      </c>
      <c r="D312" s="12"/>
      <c r="E312" s="12">
        <f t="shared" si="36"/>
        <v>300</v>
      </c>
      <c r="F312" s="12" t="str">
        <f>VLOOKUP(B312,[1]lookup!A:B,2,FALSE)</f>
        <v>Term</v>
      </c>
      <c r="G312" s="12">
        <v>0</v>
      </c>
      <c r="H312" s="12">
        <v>300</v>
      </c>
      <c r="I312" s="12">
        <v>0</v>
      </c>
      <c r="J312" s="12">
        <v>0</v>
      </c>
      <c r="K312" s="12">
        <v>0</v>
      </c>
      <c r="L312" s="12">
        <v>54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/>
      <c r="AC312" s="13">
        <f t="shared" si="37"/>
        <v>0</v>
      </c>
      <c r="AF312" s="13">
        <f t="shared" ref="AF312:AF315" si="73">H312*AF$2</f>
        <v>187200</v>
      </c>
      <c r="AG312" s="13">
        <f t="shared" ref="AG312:AG315" si="74">H312*AG$2</f>
        <v>38400</v>
      </c>
      <c r="AH312" s="13">
        <f t="shared" ref="AH312:AH315" si="75">H312*AH$2</f>
        <v>144000</v>
      </c>
      <c r="AI312" s="13">
        <f t="shared" ref="AI312:AI315" si="76">H312*$AI$2</f>
        <v>59100</v>
      </c>
      <c r="AJ312" s="13">
        <f t="shared" ref="AJ312:AJ315" si="77">AJ$2*H312</f>
        <v>180000</v>
      </c>
      <c r="AK312" s="15">
        <f t="shared" ref="AK312:AK315" si="78">H312*AK$2</f>
        <v>36000</v>
      </c>
      <c r="AL312" s="14">
        <f t="shared" si="38"/>
        <v>644700</v>
      </c>
    </row>
    <row r="313" spans="1:38" hidden="1" x14ac:dyDescent="0.25">
      <c r="A313" s="12" t="s">
        <v>86</v>
      </c>
      <c r="B313" s="12" t="s">
        <v>388</v>
      </c>
      <c r="C313" s="12" t="s">
        <v>308</v>
      </c>
      <c r="D313" s="12"/>
      <c r="E313" s="12">
        <f t="shared" si="36"/>
        <v>300</v>
      </c>
      <c r="F313" s="12" t="str">
        <f>VLOOKUP(B313,[1]lookup!A:B,2,FALSE)</f>
        <v>Term</v>
      </c>
      <c r="G313" s="12">
        <v>0</v>
      </c>
      <c r="H313" s="12">
        <v>300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/>
      <c r="AC313" s="13">
        <f t="shared" si="37"/>
        <v>0</v>
      </c>
      <c r="AF313" s="13">
        <f t="shared" si="73"/>
        <v>187200</v>
      </c>
      <c r="AG313" s="13">
        <f t="shared" si="74"/>
        <v>38400</v>
      </c>
      <c r="AH313" s="13">
        <f t="shared" si="75"/>
        <v>144000</v>
      </c>
      <c r="AI313" s="13">
        <f t="shared" si="76"/>
        <v>59100</v>
      </c>
      <c r="AJ313" s="13">
        <f t="shared" si="77"/>
        <v>180000</v>
      </c>
      <c r="AK313" s="15">
        <f t="shared" si="78"/>
        <v>36000</v>
      </c>
      <c r="AL313" s="14">
        <f t="shared" si="38"/>
        <v>644700</v>
      </c>
    </row>
    <row r="314" spans="1:38" hidden="1" x14ac:dyDescent="0.25">
      <c r="A314" s="12" t="s">
        <v>86</v>
      </c>
      <c r="B314" s="12" t="s">
        <v>389</v>
      </c>
      <c r="C314" s="12" t="s">
        <v>308</v>
      </c>
      <c r="D314" s="12"/>
      <c r="E314" s="12">
        <f t="shared" si="36"/>
        <v>300</v>
      </c>
      <c r="F314" s="12" t="str">
        <f>VLOOKUP(B314,[1]lookup!A:B,2,FALSE)</f>
        <v>Term</v>
      </c>
      <c r="G314" s="12">
        <v>0</v>
      </c>
      <c r="H314" s="12">
        <v>300</v>
      </c>
      <c r="I314" s="12">
        <v>0</v>
      </c>
      <c r="J314" s="12">
        <v>0</v>
      </c>
      <c r="K314" s="12">
        <v>0</v>
      </c>
      <c r="L314" s="12">
        <v>300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/>
      <c r="AC314" s="13">
        <f t="shared" si="37"/>
        <v>0</v>
      </c>
      <c r="AF314" s="13">
        <f t="shared" si="73"/>
        <v>187200</v>
      </c>
      <c r="AG314" s="13">
        <f t="shared" si="74"/>
        <v>38400</v>
      </c>
      <c r="AH314" s="13">
        <f t="shared" si="75"/>
        <v>144000</v>
      </c>
      <c r="AI314" s="13">
        <f t="shared" si="76"/>
        <v>59100</v>
      </c>
      <c r="AJ314" s="13">
        <f t="shared" si="77"/>
        <v>180000</v>
      </c>
      <c r="AK314" s="15">
        <f t="shared" si="78"/>
        <v>36000</v>
      </c>
      <c r="AL314" s="14">
        <f t="shared" si="38"/>
        <v>644700</v>
      </c>
    </row>
    <row r="315" spans="1:38" hidden="1" x14ac:dyDescent="0.25">
      <c r="A315" s="12" t="s">
        <v>60</v>
      </c>
      <c r="B315" s="12" t="s">
        <v>390</v>
      </c>
      <c r="C315" s="12" t="s">
        <v>308</v>
      </c>
      <c r="D315" s="12"/>
      <c r="E315" s="12">
        <f t="shared" si="36"/>
        <v>300</v>
      </c>
      <c r="F315" s="12" t="str">
        <f>VLOOKUP(B315,[1]lookup!A:B,2,FALSE)</f>
        <v>Term</v>
      </c>
      <c r="G315" s="12">
        <v>0</v>
      </c>
      <c r="H315" s="12">
        <v>300</v>
      </c>
      <c r="I315" s="12">
        <v>0</v>
      </c>
      <c r="J315" s="12">
        <v>255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/>
      <c r="AC315" s="13">
        <f t="shared" si="37"/>
        <v>0</v>
      </c>
      <c r="AD315" s="13">
        <f t="shared" ref="AD315:AD316" si="79">J315*AD$2</f>
        <v>61200</v>
      </c>
      <c r="AE315" s="13">
        <f t="shared" ref="AE315:AE316" si="80">J315*AE$2</f>
        <v>30600</v>
      </c>
      <c r="AF315" s="13">
        <f t="shared" si="73"/>
        <v>187200</v>
      </c>
      <c r="AG315" s="13">
        <f t="shared" si="74"/>
        <v>38400</v>
      </c>
      <c r="AH315" s="13">
        <f t="shared" si="75"/>
        <v>144000</v>
      </c>
      <c r="AI315" s="13">
        <f t="shared" si="76"/>
        <v>59100</v>
      </c>
      <c r="AJ315" s="13">
        <f t="shared" si="77"/>
        <v>180000</v>
      </c>
      <c r="AK315" s="15">
        <f t="shared" si="78"/>
        <v>36000</v>
      </c>
      <c r="AL315" s="14">
        <f t="shared" si="38"/>
        <v>736500</v>
      </c>
    </row>
    <row r="316" spans="1:38" hidden="1" x14ac:dyDescent="0.25">
      <c r="A316" s="12" t="s">
        <v>46</v>
      </c>
      <c r="B316" s="12" t="s">
        <v>384</v>
      </c>
      <c r="C316" s="12" t="s">
        <v>308</v>
      </c>
      <c r="D316" s="12"/>
      <c r="E316" s="12">
        <f t="shared" si="36"/>
        <v>300</v>
      </c>
      <c r="F316" s="12" t="str">
        <f>VLOOKUP(B316,[1]lookup!A:B,2,FALSE)</f>
        <v>Perpetual</v>
      </c>
      <c r="G316" s="12">
        <v>0</v>
      </c>
      <c r="H316" s="12">
        <v>0</v>
      </c>
      <c r="I316" s="12">
        <v>300</v>
      </c>
      <c r="J316" s="12">
        <v>300</v>
      </c>
      <c r="K316" s="12">
        <v>0</v>
      </c>
      <c r="L316" s="12">
        <v>0</v>
      </c>
      <c r="M316" s="12">
        <v>300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/>
      <c r="AC316" s="13">
        <f t="shared" si="37"/>
        <v>72000</v>
      </c>
      <c r="AD316" s="13">
        <f t="shared" si="79"/>
        <v>72000</v>
      </c>
      <c r="AE316" s="13">
        <f t="shared" si="80"/>
        <v>36000</v>
      </c>
      <c r="AL316" s="14">
        <f t="shared" si="38"/>
        <v>180000</v>
      </c>
    </row>
    <row r="317" spans="1:38" hidden="1" x14ac:dyDescent="0.25">
      <c r="A317" s="12" t="s">
        <v>51</v>
      </c>
      <c r="B317" s="12" t="s">
        <v>391</v>
      </c>
      <c r="C317" s="12" t="s">
        <v>308</v>
      </c>
      <c r="D317" s="12"/>
      <c r="E317" s="12">
        <f t="shared" si="36"/>
        <v>300</v>
      </c>
      <c r="F317" s="12" t="s">
        <v>70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300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/>
      <c r="AC317" s="13">
        <f t="shared" si="37"/>
        <v>0</v>
      </c>
      <c r="AL317" s="14">
        <f t="shared" si="38"/>
        <v>0</v>
      </c>
    </row>
    <row r="318" spans="1:38" hidden="1" x14ac:dyDescent="0.25">
      <c r="A318" s="12" t="s">
        <v>86</v>
      </c>
      <c r="B318" s="12" t="s">
        <v>392</v>
      </c>
      <c r="C318" s="12" t="s">
        <v>308</v>
      </c>
      <c r="D318" s="12"/>
      <c r="E318" s="12">
        <f t="shared" si="36"/>
        <v>295</v>
      </c>
      <c r="F318" s="12" t="str">
        <f>VLOOKUP(B318,[1]lookup!A:B,2,FALSE)</f>
        <v>Perpetual</v>
      </c>
      <c r="G318" s="12">
        <v>0</v>
      </c>
      <c r="H318" s="12">
        <v>295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/>
      <c r="AC318" s="13">
        <f t="shared" si="37"/>
        <v>0</v>
      </c>
      <c r="AF318" s="13">
        <f>H318*AF$2</f>
        <v>184080</v>
      </c>
      <c r="AG318" s="13">
        <f>H318*AG$2</f>
        <v>37760</v>
      </c>
      <c r="AH318" s="13">
        <f>H318*AH$2</f>
        <v>141600</v>
      </c>
      <c r="AI318" s="13">
        <f>H318*$AI$2</f>
        <v>58115</v>
      </c>
      <c r="AJ318" s="13">
        <f>AJ$2*H318</f>
        <v>177000</v>
      </c>
      <c r="AK318" s="15">
        <f>H318*AK$2</f>
        <v>35400</v>
      </c>
      <c r="AL318" s="14">
        <f t="shared" si="38"/>
        <v>633955</v>
      </c>
    </row>
    <row r="319" spans="1:38" hidden="1" x14ac:dyDescent="0.25">
      <c r="A319" s="12" t="s">
        <v>104</v>
      </c>
      <c r="B319" s="12" t="s">
        <v>393</v>
      </c>
      <c r="C319" s="12" t="s">
        <v>308</v>
      </c>
      <c r="D319" s="12"/>
      <c r="E319" s="12">
        <f t="shared" si="36"/>
        <v>295</v>
      </c>
      <c r="F319" s="12" t="str">
        <f>VLOOKUP(B319,[1]lookup!A:B,2,FALSE)</f>
        <v>SaaS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295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/>
      <c r="AC319" s="13">
        <f t="shared" si="37"/>
        <v>0</v>
      </c>
      <c r="AL319" s="14">
        <f t="shared" si="38"/>
        <v>0</v>
      </c>
    </row>
    <row r="320" spans="1:38" hidden="1" x14ac:dyDescent="0.25">
      <c r="A320" s="12" t="s">
        <v>394</v>
      </c>
      <c r="B320" s="12" t="s">
        <v>395</v>
      </c>
      <c r="C320" s="12" t="s">
        <v>308</v>
      </c>
      <c r="D320" s="12"/>
      <c r="E320" s="12">
        <f t="shared" si="36"/>
        <v>293</v>
      </c>
      <c r="F320" s="12" t="str">
        <f>VLOOKUP(B320,[1]lookup!A:B,2,FALSE)</f>
        <v>Term</v>
      </c>
      <c r="G320" s="12">
        <v>0</v>
      </c>
      <c r="H320" s="12">
        <v>293</v>
      </c>
      <c r="I320" s="12">
        <v>0</v>
      </c>
      <c r="J320" s="12">
        <v>163</v>
      </c>
      <c r="K320" s="12">
        <v>0</v>
      </c>
      <c r="L320" s="12">
        <v>0</v>
      </c>
      <c r="M320" s="12">
        <v>163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/>
      <c r="AC320" s="13">
        <f t="shared" si="37"/>
        <v>39120</v>
      </c>
      <c r="AD320" s="13">
        <f>J320*AD$2</f>
        <v>39120</v>
      </c>
      <c r="AE320" s="13">
        <f>J320*AE$2</f>
        <v>19560</v>
      </c>
      <c r="AF320" s="13">
        <f>H320*AF$2</f>
        <v>182832</v>
      </c>
      <c r="AG320" s="13">
        <f>H320*AG$2</f>
        <v>37504</v>
      </c>
      <c r="AH320" s="13">
        <f>H320*AH$2</f>
        <v>140640</v>
      </c>
      <c r="AI320" s="13">
        <f>H320*$AI$2</f>
        <v>57721</v>
      </c>
      <c r="AJ320" s="13">
        <f>AJ$2*H320</f>
        <v>175800</v>
      </c>
      <c r="AK320" s="15">
        <f>H320*AK$2</f>
        <v>35160</v>
      </c>
      <c r="AL320" s="14">
        <f t="shared" si="38"/>
        <v>727457</v>
      </c>
    </row>
    <row r="321" spans="1:38" hidden="1" x14ac:dyDescent="0.25">
      <c r="A321" s="12" t="s">
        <v>173</v>
      </c>
      <c r="B321" s="12" t="s">
        <v>396</v>
      </c>
      <c r="C321" s="12" t="s">
        <v>308</v>
      </c>
      <c r="D321" s="12"/>
      <c r="E321" s="12">
        <f t="shared" si="36"/>
        <v>290</v>
      </c>
      <c r="F321" s="12" t="str">
        <f>VLOOKUP(B321,[1]lookup!A:B,2,FALSE)</f>
        <v>SaaS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290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/>
      <c r="AC321" s="13">
        <f t="shared" si="37"/>
        <v>0</v>
      </c>
      <c r="AL321" s="14">
        <f t="shared" si="38"/>
        <v>0</v>
      </c>
    </row>
    <row r="322" spans="1:38" hidden="1" x14ac:dyDescent="0.25">
      <c r="A322" s="12" t="s">
        <v>86</v>
      </c>
      <c r="B322" s="12" t="s">
        <v>397</v>
      </c>
      <c r="C322" s="12" t="s">
        <v>308</v>
      </c>
      <c r="D322" s="12"/>
      <c r="E322" s="12">
        <f t="shared" si="36"/>
        <v>286</v>
      </c>
      <c r="F322" s="12" t="str">
        <f>VLOOKUP(B322,[1]lookup!A:B,2,FALSE)</f>
        <v>Term</v>
      </c>
      <c r="G322" s="12">
        <v>0</v>
      </c>
      <c r="H322" s="12">
        <v>286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/>
      <c r="AC322" s="13">
        <f t="shared" si="37"/>
        <v>0</v>
      </c>
      <c r="AF322" s="13">
        <f t="shared" ref="AF322:AF324" si="81">H322*AF$2</f>
        <v>178464</v>
      </c>
      <c r="AG322" s="13">
        <f t="shared" ref="AG322:AG324" si="82">H322*AG$2</f>
        <v>36608</v>
      </c>
      <c r="AH322" s="13">
        <f t="shared" ref="AH322:AH324" si="83">H322*AH$2</f>
        <v>137280</v>
      </c>
      <c r="AI322" s="13">
        <f t="shared" ref="AI322:AI324" si="84">H322*$AI$2</f>
        <v>56342</v>
      </c>
      <c r="AJ322" s="13">
        <f>AJ$2*H322</f>
        <v>171600</v>
      </c>
      <c r="AK322" s="15">
        <f>H322*AK$2</f>
        <v>34320</v>
      </c>
      <c r="AL322" s="14">
        <f t="shared" si="38"/>
        <v>614614</v>
      </c>
    </row>
    <row r="323" spans="1:38" hidden="1" x14ac:dyDescent="0.25">
      <c r="A323" s="12" t="s">
        <v>78</v>
      </c>
      <c r="B323" s="12" t="s">
        <v>398</v>
      </c>
      <c r="C323" s="12" t="s">
        <v>308</v>
      </c>
      <c r="D323" s="12"/>
      <c r="E323" s="12">
        <f t="shared" si="36"/>
        <v>284</v>
      </c>
      <c r="F323" s="12" t="str">
        <f>VLOOKUP(B323,[1]lookup!A:B,2,FALSE)</f>
        <v>Perpetual</v>
      </c>
      <c r="G323" s="12">
        <v>0</v>
      </c>
      <c r="H323" s="12">
        <v>283</v>
      </c>
      <c r="I323" s="12">
        <v>284</v>
      </c>
      <c r="J323" s="12">
        <v>283</v>
      </c>
      <c r="K323" s="12">
        <v>0</v>
      </c>
      <c r="L323" s="12">
        <v>184</v>
      </c>
      <c r="M323" s="12">
        <v>271</v>
      </c>
      <c r="N323" s="12">
        <v>0</v>
      </c>
      <c r="O323" s="12">
        <v>260</v>
      </c>
      <c r="P323" s="12">
        <v>272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/>
      <c r="AC323" s="13">
        <f t="shared" si="37"/>
        <v>65040</v>
      </c>
      <c r="AD323" s="13">
        <f>J323*AD$2</f>
        <v>67920</v>
      </c>
      <c r="AF323" s="13">
        <f t="shared" si="81"/>
        <v>176592</v>
      </c>
      <c r="AG323" s="13">
        <f t="shared" si="82"/>
        <v>36224</v>
      </c>
      <c r="AH323" s="13">
        <f t="shared" si="83"/>
        <v>135840</v>
      </c>
      <c r="AI323" s="13">
        <f t="shared" si="84"/>
        <v>55751</v>
      </c>
      <c r="AL323" s="14">
        <f t="shared" si="38"/>
        <v>537367</v>
      </c>
    </row>
    <row r="324" spans="1:38" hidden="1" x14ac:dyDescent="0.25">
      <c r="A324" s="12" t="s">
        <v>399</v>
      </c>
      <c r="B324" s="12" t="s">
        <v>400</v>
      </c>
      <c r="C324" s="12" t="s">
        <v>308</v>
      </c>
      <c r="D324" s="12"/>
      <c r="E324" s="12">
        <f t="shared" si="36"/>
        <v>281</v>
      </c>
      <c r="F324" s="12" t="str">
        <f>VLOOKUP(B324,[1]lookup!A:B,2,FALSE)</f>
        <v>Perpetual</v>
      </c>
      <c r="G324" s="12">
        <v>0</v>
      </c>
      <c r="H324" s="12">
        <v>281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11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/>
      <c r="AC324" s="13">
        <f t="shared" si="37"/>
        <v>0</v>
      </c>
      <c r="AF324" s="13">
        <f t="shared" si="81"/>
        <v>175344</v>
      </c>
      <c r="AG324" s="13">
        <f t="shared" si="82"/>
        <v>35968</v>
      </c>
      <c r="AH324" s="13">
        <f t="shared" si="83"/>
        <v>134880</v>
      </c>
      <c r="AI324" s="13">
        <f t="shared" si="84"/>
        <v>55357</v>
      </c>
      <c r="AJ324" s="13">
        <f>AJ$2*H324</f>
        <v>168600</v>
      </c>
      <c r="AK324" s="15">
        <f>H324*AK$2</f>
        <v>33720</v>
      </c>
      <c r="AL324" s="14">
        <f t="shared" si="38"/>
        <v>603869</v>
      </c>
    </row>
    <row r="325" spans="1:38" hidden="1" x14ac:dyDescent="0.25">
      <c r="A325" s="12" t="s">
        <v>67</v>
      </c>
      <c r="B325" s="12" t="s">
        <v>401</v>
      </c>
      <c r="C325" s="12" t="s">
        <v>308</v>
      </c>
      <c r="D325" s="12"/>
      <c r="E325" s="12">
        <f t="shared" ref="E325:E388" si="85">MAX(G325:Z325)</f>
        <v>280</v>
      </c>
      <c r="F325" s="12" t="str">
        <f>VLOOKUP(B325,[1]lookup!A:B,2,FALSE)</f>
        <v>SaaS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280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/>
      <c r="AC325" s="13">
        <f t="shared" ref="AC325:AC388" si="86">M325*AC$2</f>
        <v>0</v>
      </c>
      <c r="AL325" s="14">
        <f t="shared" si="38"/>
        <v>0</v>
      </c>
    </row>
    <row r="326" spans="1:38" hidden="1" x14ac:dyDescent="0.25">
      <c r="A326" s="12" t="s">
        <v>399</v>
      </c>
      <c r="B326" s="12" t="s">
        <v>402</v>
      </c>
      <c r="C326" s="12" t="s">
        <v>308</v>
      </c>
      <c r="D326" s="12"/>
      <c r="E326" s="12">
        <f t="shared" si="85"/>
        <v>280</v>
      </c>
      <c r="F326" s="12" t="str">
        <f>VLOOKUP(B326,[1]lookup!A:B,2,FALSE)</f>
        <v>Perpetual</v>
      </c>
      <c r="G326" s="12">
        <v>0</v>
      </c>
      <c r="H326" s="12">
        <v>280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/>
      <c r="AC326" s="13">
        <f t="shared" si="86"/>
        <v>0</v>
      </c>
      <c r="AF326" s="13">
        <f>H326*AF$2</f>
        <v>174720</v>
      </c>
      <c r="AG326" s="13">
        <f>H326*AG$2</f>
        <v>35840</v>
      </c>
      <c r="AH326" s="13">
        <f>H326*AH$2</f>
        <v>134400</v>
      </c>
      <c r="AI326" s="13">
        <f>H326*$AI$2</f>
        <v>55160</v>
      </c>
      <c r="AJ326" s="13">
        <f>AJ$2*H326</f>
        <v>168000</v>
      </c>
      <c r="AK326" s="15">
        <f>H326*AK$2</f>
        <v>33600</v>
      </c>
      <c r="AL326" s="14">
        <f t="shared" ref="AL326:AL389" si="87">SUM(AC326:AK326)</f>
        <v>601720</v>
      </c>
    </row>
    <row r="327" spans="1:38" hidden="1" x14ac:dyDescent="0.25">
      <c r="A327" s="12" t="s">
        <v>80</v>
      </c>
      <c r="B327" s="12" t="s">
        <v>403</v>
      </c>
      <c r="C327" s="12" t="s">
        <v>308</v>
      </c>
      <c r="D327" s="12"/>
      <c r="E327" s="12">
        <f t="shared" si="85"/>
        <v>280</v>
      </c>
      <c r="F327" s="12" t="s">
        <v>70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280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/>
      <c r="AC327" s="13">
        <f t="shared" si="86"/>
        <v>0</v>
      </c>
      <c r="AL327" s="14">
        <f t="shared" si="87"/>
        <v>0</v>
      </c>
    </row>
    <row r="328" spans="1:38" hidden="1" x14ac:dyDescent="0.25">
      <c r="A328" s="12" t="s">
        <v>49</v>
      </c>
      <c r="B328" s="12" t="s">
        <v>404</v>
      </c>
      <c r="C328" s="12" t="s">
        <v>308</v>
      </c>
      <c r="D328" s="12"/>
      <c r="E328" s="12">
        <f t="shared" si="85"/>
        <v>275</v>
      </c>
      <c r="F328" s="12" t="str">
        <f>VLOOKUP(B328,[1]lookup!A:B,2,FALSE)</f>
        <v>Perpetual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275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/>
      <c r="AC328" s="13">
        <f t="shared" si="86"/>
        <v>66000</v>
      </c>
      <c r="AL328" s="14">
        <f t="shared" si="87"/>
        <v>66000</v>
      </c>
    </row>
    <row r="329" spans="1:38" hidden="1" x14ac:dyDescent="0.25">
      <c r="A329" s="12" t="s">
        <v>64</v>
      </c>
      <c r="B329" s="12" t="s">
        <v>405</v>
      </c>
      <c r="C329" s="12" t="s">
        <v>308</v>
      </c>
      <c r="D329" s="12"/>
      <c r="E329" s="12">
        <f t="shared" si="85"/>
        <v>274</v>
      </c>
      <c r="F329" s="12" t="str">
        <f>VLOOKUP(B329,[1]lookup!A:B,2,FALSE)</f>
        <v>Term</v>
      </c>
      <c r="G329" s="12">
        <v>0</v>
      </c>
      <c r="H329" s="12">
        <v>273</v>
      </c>
      <c r="I329" s="12">
        <v>274</v>
      </c>
      <c r="J329" s="12">
        <v>273</v>
      </c>
      <c r="K329" s="12">
        <v>273</v>
      </c>
      <c r="L329" s="12">
        <v>263</v>
      </c>
      <c r="M329" s="12">
        <v>273</v>
      </c>
      <c r="N329" s="12">
        <v>0</v>
      </c>
      <c r="O329" s="12">
        <v>273</v>
      </c>
      <c r="P329" s="12">
        <v>273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/>
      <c r="AC329" s="13">
        <f t="shared" si="86"/>
        <v>65520</v>
      </c>
      <c r="AF329" s="13">
        <f>H329*AF$2</f>
        <v>170352</v>
      </c>
      <c r="AG329" s="13">
        <f>H329*AG$2</f>
        <v>34944</v>
      </c>
      <c r="AH329" s="13">
        <f>H329*AH$2</f>
        <v>131040</v>
      </c>
      <c r="AI329" s="13">
        <f>H329*$AI$2</f>
        <v>53781</v>
      </c>
      <c r="AL329" s="14">
        <f t="shared" si="87"/>
        <v>455637</v>
      </c>
    </row>
    <row r="330" spans="1:38" hidden="1" x14ac:dyDescent="0.25">
      <c r="A330" s="12" t="s">
        <v>51</v>
      </c>
      <c r="B330" s="12" t="s">
        <v>406</v>
      </c>
      <c r="C330" s="12" t="s">
        <v>308</v>
      </c>
      <c r="D330" s="12"/>
      <c r="E330" s="12">
        <f t="shared" si="85"/>
        <v>271</v>
      </c>
      <c r="F330" s="12" t="s">
        <v>70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271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/>
      <c r="AC330" s="13">
        <f t="shared" si="86"/>
        <v>0</v>
      </c>
      <c r="AL330" s="14">
        <f t="shared" si="87"/>
        <v>0</v>
      </c>
    </row>
    <row r="331" spans="1:38" hidden="1" x14ac:dyDescent="0.25">
      <c r="A331" s="12" t="s">
        <v>173</v>
      </c>
      <c r="B331" s="12" t="s">
        <v>407</v>
      </c>
      <c r="C331" s="12" t="s">
        <v>308</v>
      </c>
      <c r="D331" s="12"/>
      <c r="E331" s="12">
        <f t="shared" si="85"/>
        <v>271</v>
      </c>
      <c r="F331" s="12" t="str">
        <f>VLOOKUP(B331,[1]lookup!A:B,2,FALSE)</f>
        <v>SaaS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271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/>
      <c r="AC331" s="13">
        <f t="shared" si="86"/>
        <v>0</v>
      </c>
      <c r="AL331" s="14">
        <f t="shared" si="87"/>
        <v>0</v>
      </c>
    </row>
    <row r="332" spans="1:38" hidden="1" x14ac:dyDescent="0.25">
      <c r="A332" s="12" t="s">
        <v>86</v>
      </c>
      <c r="B332" s="12" t="s">
        <v>408</v>
      </c>
      <c r="C332" s="12" t="s">
        <v>308</v>
      </c>
      <c r="D332" s="12"/>
      <c r="E332" s="12">
        <f t="shared" si="85"/>
        <v>270</v>
      </c>
      <c r="F332" s="12" t="str">
        <f>VLOOKUP(B332,[1]lookup!A:B,2,FALSE)</f>
        <v>Perpetual</v>
      </c>
      <c r="G332" s="12">
        <v>0</v>
      </c>
      <c r="H332" s="12">
        <v>270</v>
      </c>
      <c r="I332" s="12">
        <v>71</v>
      </c>
      <c r="J332" s="12">
        <v>170</v>
      </c>
      <c r="K332" s="12">
        <v>0</v>
      </c>
      <c r="L332" s="12">
        <v>0</v>
      </c>
      <c r="M332" s="12">
        <v>0</v>
      </c>
      <c r="N332" s="12">
        <v>0</v>
      </c>
      <c r="O332" s="12">
        <v>170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/>
      <c r="AC332" s="13">
        <f t="shared" si="86"/>
        <v>0</v>
      </c>
      <c r="AD332" s="13">
        <f>J332*AD$2</f>
        <v>40800</v>
      </c>
      <c r="AE332" s="13">
        <f>J332*AE$2</f>
        <v>20400</v>
      </c>
      <c r="AF332" s="13">
        <f>H332*AF$2</f>
        <v>168480</v>
      </c>
      <c r="AG332" s="13">
        <f>H332*AG$2</f>
        <v>34560</v>
      </c>
      <c r="AH332" s="13">
        <f>H332*AH$2</f>
        <v>129600</v>
      </c>
      <c r="AI332" s="13">
        <f>H332*$AI$2</f>
        <v>53190</v>
      </c>
      <c r="AJ332" s="13">
        <f>AJ$2*H332</f>
        <v>162000</v>
      </c>
      <c r="AL332" s="14">
        <f t="shared" si="87"/>
        <v>609030</v>
      </c>
    </row>
    <row r="333" spans="1:38" hidden="1" x14ac:dyDescent="0.25">
      <c r="A333" s="12" t="s">
        <v>86</v>
      </c>
      <c r="B333" s="12" t="s">
        <v>409</v>
      </c>
      <c r="C333" s="12" t="s">
        <v>308</v>
      </c>
      <c r="D333" s="12"/>
      <c r="E333" s="12">
        <f t="shared" si="85"/>
        <v>270</v>
      </c>
      <c r="F333" s="12" t="str">
        <f>VLOOKUP(B333,[1]lookup!A:B,2,FALSE)</f>
        <v>Term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270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/>
      <c r="AC333" s="13">
        <f t="shared" si="86"/>
        <v>0</v>
      </c>
      <c r="AL333" s="14">
        <f t="shared" si="87"/>
        <v>0</v>
      </c>
    </row>
    <row r="334" spans="1:38" hidden="1" x14ac:dyDescent="0.25">
      <c r="A334" s="12" t="s">
        <v>410</v>
      </c>
      <c r="B334" s="12" t="s">
        <v>411</v>
      </c>
      <c r="C334" s="12" t="s">
        <v>308</v>
      </c>
      <c r="D334" s="12"/>
      <c r="E334" s="12">
        <f t="shared" si="85"/>
        <v>270</v>
      </c>
      <c r="F334" s="12" t="str">
        <f>VLOOKUP(B334,[1]lookup!A:B,2,FALSE)</f>
        <v>Term</v>
      </c>
      <c r="G334" s="12">
        <v>0</v>
      </c>
      <c r="H334" s="12">
        <v>270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/>
      <c r="AC334" s="13">
        <f t="shared" si="86"/>
        <v>0</v>
      </c>
      <c r="AF334" s="13">
        <f>H334*AF$2</f>
        <v>168480</v>
      </c>
      <c r="AG334" s="13">
        <f>H334*AG$2</f>
        <v>34560</v>
      </c>
      <c r="AH334" s="13">
        <f>H334*AH$2</f>
        <v>129600</v>
      </c>
      <c r="AI334" s="13">
        <f>H334*$AI$2</f>
        <v>53190</v>
      </c>
      <c r="AJ334" s="13">
        <f>AJ$2*H334</f>
        <v>162000</v>
      </c>
      <c r="AK334" s="15">
        <f>H334*AK$2</f>
        <v>32400</v>
      </c>
      <c r="AL334" s="14">
        <f t="shared" si="87"/>
        <v>580230</v>
      </c>
    </row>
    <row r="335" spans="1:38" hidden="1" x14ac:dyDescent="0.25">
      <c r="A335" s="12" t="s">
        <v>51</v>
      </c>
      <c r="B335" s="12" t="s">
        <v>412</v>
      </c>
      <c r="C335" s="12" t="s">
        <v>308</v>
      </c>
      <c r="D335" s="12"/>
      <c r="E335" s="12">
        <f t="shared" si="85"/>
        <v>269</v>
      </c>
      <c r="F335" s="12" t="s">
        <v>70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269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/>
      <c r="AC335" s="13">
        <f t="shared" si="86"/>
        <v>0</v>
      </c>
      <c r="AL335" s="14">
        <f t="shared" si="87"/>
        <v>0</v>
      </c>
    </row>
    <row r="336" spans="1:38" hidden="1" x14ac:dyDescent="0.25">
      <c r="A336" s="12" t="s">
        <v>178</v>
      </c>
      <c r="B336" s="12" t="s">
        <v>413</v>
      </c>
      <c r="C336" s="12" t="s">
        <v>308</v>
      </c>
      <c r="D336" s="12"/>
      <c r="E336" s="12">
        <f t="shared" si="85"/>
        <v>268</v>
      </c>
      <c r="F336" s="12" t="str">
        <f>VLOOKUP(B336,[1]lookup!A:B,2,FALSE)</f>
        <v>Perpetual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9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268</v>
      </c>
      <c r="X336" s="12">
        <v>0</v>
      </c>
      <c r="Y336" s="12">
        <v>0</v>
      </c>
      <c r="Z336" s="12">
        <v>0</v>
      </c>
      <c r="AA336" s="12"/>
      <c r="AC336" s="13">
        <f t="shared" si="86"/>
        <v>0</v>
      </c>
      <c r="AL336" s="14">
        <f t="shared" si="87"/>
        <v>0</v>
      </c>
    </row>
    <row r="337" spans="1:38" hidden="1" x14ac:dyDescent="0.25">
      <c r="A337" s="12" t="s">
        <v>51</v>
      </c>
      <c r="B337" s="12" t="s">
        <v>414</v>
      </c>
      <c r="C337" s="12" t="s">
        <v>308</v>
      </c>
      <c r="D337" s="12"/>
      <c r="E337" s="12">
        <f t="shared" si="85"/>
        <v>264</v>
      </c>
      <c r="F337" s="12" t="s">
        <v>70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264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/>
      <c r="AC337" s="13">
        <f t="shared" si="86"/>
        <v>0</v>
      </c>
      <c r="AL337" s="14">
        <f t="shared" si="87"/>
        <v>0</v>
      </c>
    </row>
    <row r="338" spans="1:38" hidden="1" x14ac:dyDescent="0.25">
      <c r="A338" s="12" t="s">
        <v>415</v>
      </c>
      <c r="B338" s="12" t="s">
        <v>416</v>
      </c>
      <c r="C338" s="12" t="s">
        <v>308</v>
      </c>
      <c r="D338" s="12"/>
      <c r="E338" s="12">
        <f t="shared" si="85"/>
        <v>260</v>
      </c>
      <c r="F338" s="12" t="str">
        <f>VLOOKUP(B338,[1]lookup!A:B,2,FALSE)</f>
        <v>SaaS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260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/>
      <c r="AC338" s="13">
        <f t="shared" si="86"/>
        <v>0</v>
      </c>
      <c r="AL338" s="14">
        <f t="shared" si="87"/>
        <v>0</v>
      </c>
    </row>
    <row r="339" spans="1:38" hidden="1" x14ac:dyDescent="0.25">
      <c r="A339" s="12" t="s">
        <v>148</v>
      </c>
      <c r="B339" s="12" t="s">
        <v>115</v>
      </c>
      <c r="C339" s="12" t="s">
        <v>308</v>
      </c>
      <c r="D339" s="12"/>
      <c r="E339" s="12">
        <f t="shared" si="85"/>
        <v>258</v>
      </c>
      <c r="F339" s="12" t="str">
        <f>VLOOKUP(B339,[1]lookup!A:B,2,FALSE)</f>
        <v>Term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258</v>
      </c>
      <c r="X339" s="12">
        <v>0</v>
      </c>
      <c r="Y339" s="12">
        <v>0</v>
      </c>
      <c r="Z339" s="12">
        <v>0</v>
      </c>
      <c r="AA339" s="12"/>
      <c r="AC339" s="13">
        <f t="shared" si="86"/>
        <v>0</v>
      </c>
      <c r="AL339" s="14">
        <f t="shared" si="87"/>
        <v>0</v>
      </c>
    </row>
    <row r="340" spans="1:38" hidden="1" x14ac:dyDescent="0.25">
      <c r="A340" s="12" t="s">
        <v>86</v>
      </c>
      <c r="B340" s="12" t="s">
        <v>98</v>
      </c>
      <c r="C340" s="12" t="s">
        <v>308</v>
      </c>
      <c r="D340" s="12"/>
      <c r="E340" s="12">
        <f t="shared" si="85"/>
        <v>256</v>
      </c>
      <c r="F340" s="12" t="str">
        <f>VLOOKUP(B340,[1]lookup!A:B,2,FALSE)</f>
        <v>SaaS</v>
      </c>
      <c r="G340" s="12">
        <v>0</v>
      </c>
      <c r="H340" s="12">
        <v>256</v>
      </c>
      <c r="I340" s="12">
        <v>0</v>
      </c>
      <c r="J340" s="12">
        <v>255</v>
      </c>
      <c r="K340" s="12">
        <v>255</v>
      </c>
      <c r="L340" s="12">
        <v>20</v>
      </c>
      <c r="M340" s="12">
        <v>215</v>
      </c>
      <c r="N340" s="12">
        <v>0</v>
      </c>
      <c r="O340" s="12">
        <v>255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/>
      <c r="AC340" s="13">
        <f t="shared" si="86"/>
        <v>51600</v>
      </c>
      <c r="AF340" s="13">
        <f>H340*AF$2</f>
        <v>159744</v>
      </c>
      <c r="AL340" s="14">
        <f t="shared" si="87"/>
        <v>211344</v>
      </c>
    </row>
    <row r="341" spans="1:38" hidden="1" x14ac:dyDescent="0.25">
      <c r="A341" s="12" t="s">
        <v>296</v>
      </c>
      <c r="B341" s="12" t="s">
        <v>417</v>
      </c>
      <c r="C341" s="12" t="s">
        <v>308</v>
      </c>
      <c r="D341" s="12"/>
      <c r="E341" s="12">
        <f t="shared" si="85"/>
        <v>252</v>
      </c>
      <c r="F341" s="12" t="s">
        <v>70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252</v>
      </c>
      <c r="X341" s="12">
        <v>0</v>
      </c>
      <c r="Y341" s="12">
        <v>0</v>
      </c>
      <c r="Z341" s="12">
        <v>0</v>
      </c>
      <c r="AA341" s="12"/>
      <c r="AC341" s="13">
        <f t="shared" si="86"/>
        <v>0</v>
      </c>
      <c r="AL341" s="14">
        <f t="shared" si="87"/>
        <v>0</v>
      </c>
    </row>
    <row r="342" spans="1:38" hidden="1" x14ac:dyDescent="0.25">
      <c r="A342" s="12" t="s">
        <v>51</v>
      </c>
      <c r="B342" s="12" t="s">
        <v>418</v>
      </c>
      <c r="C342" s="12" t="s">
        <v>308</v>
      </c>
      <c r="D342" s="12"/>
      <c r="E342" s="12">
        <f t="shared" si="85"/>
        <v>251</v>
      </c>
      <c r="F342" s="12" t="s">
        <v>70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251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/>
      <c r="AC342" s="13">
        <f t="shared" si="86"/>
        <v>0</v>
      </c>
      <c r="AL342" s="14">
        <f t="shared" si="87"/>
        <v>0</v>
      </c>
    </row>
    <row r="343" spans="1:38" hidden="1" x14ac:dyDescent="0.25">
      <c r="A343" s="12" t="s">
        <v>419</v>
      </c>
      <c r="B343" s="12" t="s">
        <v>420</v>
      </c>
      <c r="C343" s="12" t="s">
        <v>308</v>
      </c>
      <c r="D343" s="12"/>
      <c r="E343" s="12">
        <f t="shared" si="85"/>
        <v>251</v>
      </c>
      <c r="F343" s="12" t="str">
        <f>VLOOKUP(B343,[1]lookup!A:B,2,FALSE)</f>
        <v>Term</v>
      </c>
      <c r="G343" s="12">
        <v>0</v>
      </c>
      <c r="H343" s="12">
        <v>250</v>
      </c>
      <c r="I343" s="12">
        <v>251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161</v>
      </c>
      <c r="X343" s="12">
        <v>0</v>
      </c>
      <c r="Y343" s="12">
        <v>0</v>
      </c>
      <c r="Z343" s="12">
        <v>0</v>
      </c>
      <c r="AA343" s="12"/>
      <c r="AC343" s="13">
        <f t="shared" si="86"/>
        <v>0</v>
      </c>
      <c r="AF343" s="13">
        <f t="shared" ref="AF343:AF345" si="88">H343*AF$2</f>
        <v>156000</v>
      </c>
      <c r="AG343" s="13">
        <f t="shared" ref="AG343:AG345" si="89">H343*AG$2</f>
        <v>32000</v>
      </c>
      <c r="AH343" s="13">
        <f t="shared" ref="AH343:AH345" si="90">H343*AH$2</f>
        <v>120000</v>
      </c>
      <c r="AI343" s="13">
        <f t="shared" ref="AI343:AI345" si="91">H343*$AI$2</f>
        <v>49250</v>
      </c>
      <c r="AJ343" s="13">
        <f t="shared" ref="AJ343:AJ344" si="92">AJ$2*H343</f>
        <v>150000</v>
      </c>
      <c r="AL343" s="14">
        <f t="shared" si="87"/>
        <v>507250</v>
      </c>
    </row>
    <row r="344" spans="1:38" hidden="1" x14ac:dyDescent="0.25">
      <c r="A344" s="12" t="s">
        <v>86</v>
      </c>
      <c r="B344" s="12" t="s">
        <v>421</v>
      </c>
      <c r="C344" s="12" t="s">
        <v>308</v>
      </c>
      <c r="D344" s="12"/>
      <c r="E344" s="12">
        <f t="shared" si="85"/>
        <v>250</v>
      </c>
      <c r="F344" s="12" t="str">
        <f>VLOOKUP(B344,[1]lookup!A:B,2,FALSE)</f>
        <v>Term</v>
      </c>
      <c r="G344" s="12">
        <v>0</v>
      </c>
      <c r="H344" s="12">
        <v>250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/>
      <c r="AC344" s="13">
        <f t="shared" si="86"/>
        <v>0</v>
      </c>
      <c r="AF344" s="13">
        <f t="shared" si="88"/>
        <v>156000</v>
      </c>
      <c r="AG344" s="13">
        <f t="shared" si="89"/>
        <v>32000</v>
      </c>
      <c r="AH344" s="13">
        <f t="shared" si="90"/>
        <v>120000</v>
      </c>
      <c r="AI344" s="13">
        <f t="shared" si="91"/>
        <v>49250</v>
      </c>
      <c r="AJ344" s="13">
        <f t="shared" si="92"/>
        <v>150000</v>
      </c>
      <c r="AK344" s="15">
        <f t="shared" ref="AK344:AK345" si="93">H344*AK$2</f>
        <v>30000</v>
      </c>
      <c r="AL344" s="14">
        <f t="shared" si="87"/>
        <v>537250</v>
      </c>
    </row>
    <row r="345" spans="1:38" hidden="1" x14ac:dyDescent="0.25">
      <c r="A345" s="12" t="s">
        <v>86</v>
      </c>
      <c r="B345" s="12" t="s">
        <v>422</v>
      </c>
      <c r="C345" s="12" t="s">
        <v>308</v>
      </c>
      <c r="D345" s="12"/>
      <c r="E345" s="12">
        <f t="shared" si="85"/>
        <v>250</v>
      </c>
      <c r="F345" s="12" t="str">
        <f>VLOOKUP(B345,[1]lookup!A:B,2,FALSE)</f>
        <v>Term</v>
      </c>
      <c r="G345" s="12">
        <v>0</v>
      </c>
      <c r="H345" s="12">
        <v>30</v>
      </c>
      <c r="I345" s="12">
        <v>0</v>
      </c>
      <c r="J345" s="12">
        <v>0</v>
      </c>
      <c r="K345" s="12">
        <v>0</v>
      </c>
      <c r="L345" s="12">
        <v>191</v>
      </c>
      <c r="M345" s="12">
        <v>0</v>
      </c>
      <c r="N345" s="12">
        <v>0</v>
      </c>
      <c r="O345" s="12">
        <v>0</v>
      </c>
      <c r="P345" s="12">
        <v>250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/>
      <c r="AC345" s="13">
        <f t="shared" si="86"/>
        <v>0</v>
      </c>
      <c r="AF345" s="13">
        <f t="shared" si="88"/>
        <v>18720</v>
      </c>
      <c r="AG345" s="13">
        <f t="shared" si="89"/>
        <v>3840</v>
      </c>
      <c r="AH345" s="13">
        <f t="shared" si="90"/>
        <v>14400</v>
      </c>
      <c r="AI345" s="13">
        <f t="shared" si="91"/>
        <v>5910</v>
      </c>
      <c r="AK345" s="15">
        <f t="shared" si="93"/>
        <v>3600</v>
      </c>
      <c r="AL345" s="14">
        <f t="shared" si="87"/>
        <v>46470</v>
      </c>
    </row>
    <row r="346" spans="1:38" hidden="1" x14ac:dyDescent="0.25">
      <c r="A346" s="12" t="s">
        <v>86</v>
      </c>
      <c r="B346" s="12" t="s">
        <v>423</v>
      </c>
      <c r="C346" s="12" t="s">
        <v>308</v>
      </c>
      <c r="D346" s="12"/>
      <c r="E346" s="12">
        <f t="shared" si="85"/>
        <v>250</v>
      </c>
      <c r="F346" s="12" t="str">
        <f>VLOOKUP(B346,[1]lookup!A:B,2,FALSE)</f>
        <v>Perpetual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150</v>
      </c>
      <c r="M346" s="12">
        <v>0</v>
      </c>
      <c r="N346" s="12">
        <v>0</v>
      </c>
      <c r="O346" s="12">
        <v>250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/>
      <c r="AC346" s="13">
        <f t="shared" si="86"/>
        <v>0</v>
      </c>
      <c r="AL346" s="14">
        <f t="shared" si="87"/>
        <v>0</v>
      </c>
    </row>
    <row r="347" spans="1:38" hidden="1" x14ac:dyDescent="0.25">
      <c r="A347" s="12" t="s">
        <v>86</v>
      </c>
      <c r="B347" s="12" t="s">
        <v>424</v>
      </c>
      <c r="C347" s="12" t="s">
        <v>308</v>
      </c>
      <c r="D347" s="12"/>
      <c r="E347" s="12">
        <f t="shared" si="85"/>
        <v>250</v>
      </c>
      <c r="F347" s="12" t="str">
        <f>VLOOKUP(B347,[1]lookup!A:B,2,FALSE)</f>
        <v>SaaS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250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/>
      <c r="AC347" s="13">
        <f t="shared" si="86"/>
        <v>0</v>
      </c>
      <c r="AL347" s="14">
        <f t="shared" si="87"/>
        <v>0</v>
      </c>
    </row>
    <row r="348" spans="1:38" hidden="1" x14ac:dyDescent="0.25">
      <c r="A348" s="12" t="s">
        <v>86</v>
      </c>
      <c r="B348" s="12" t="s">
        <v>425</v>
      </c>
      <c r="C348" s="12" t="s">
        <v>308</v>
      </c>
      <c r="D348" s="12"/>
      <c r="E348" s="12">
        <f t="shared" si="85"/>
        <v>250</v>
      </c>
      <c r="F348" s="12" t="str">
        <f>VLOOKUP(B348,[1]lookup!A:B,2,FALSE)</f>
        <v>SaaS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250</v>
      </c>
      <c r="M348" s="12">
        <v>250</v>
      </c>
      <c r="N348" s="12">
        <v>0</v>
      </c>
      <c r="O348" s="12">
        <v>0</v>
      </c>
      <c r="P348" s="12">
        <v>250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/>
      <c r="AC348" s="13">
        <f t="shared" si="86"/>
        <v>60000</v>
      </c>
      <c r="AL348" s="14">
        <f t="shared" si="87"/>
        <v>60000</v>
      </c>
    </row>
    <row r="349" spans="1:38" hidden="1" x14ac:dyDescent="0.25">
      <c r="A349" s="12" t="s">
        <v>49</v>
      </c>
      <c r="B349" s="12" t="s">
        <v>426</v>
      </c>
      <c r="C349" s="12" t="s">
        <v>308</v>
      </c>
      <c r="D349" s="12"/>
      <c r="E349" s="12">
        <f t="shared" si="85"/>
        <v>250</v>
      </c>
      <c r="F349" s="12" t="str">
        <f>VLOOKUP(B349,[1]lookup!A:B,2,FALSE)</f>
        <v>SaaS</v>
      </c>
      <c r="G349" s="12">
        <v>250</v>
      </c>
      <c r="H349" s="12">
        <v>250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/>
      <c r="AC349" s="13">
        <f t="shared" si="86"/>
        <v>0</v>
      </c>
      <c r="AF349" s="13">
        <f t="shared" ref="AF349:AF350" si="94">H349*AF$2</f>
        <v>156000</v>
      </c>
      <c r="AG349" s="13">
        <f t="shared" ref="AG349:AG350" si="95">H349*AG$2</f>
        <v>32000</v>
      </c>
      <c r="AH349" s="13">
        <f t="shared" ref="AH349:AH350" si="96">H349*AH$2</f>
        <v>120000</v>
      </c>
      <c r="AI349" s="13">
        <f t="shared" ref="AI349:AI350" si="97">H349*$AI$2</f>
        <v>49250</v>
      </c>
      <c r="AL349" s="14">
        <f t="shared" si="87"/>
        <v>357250</v>
      </c>
    </row>
    <row r="350" spans="1:38" hidden="1" x14ac:dyDescent="0.25">
      <c r="A350" s="12" t="s">
        <v>53</v>
      </c>
      <c r="B350" s="12" t="s">
        <v>427</v>
      </c>
      <c r="C350" s="12" t="s">
        <v>308</v>
      </c>
      <c r="D350" s="12"/>
      <c r="E350" s="12">
        <f t="shared" si="85"/>
        <v>250</v>
      </c>
      <c r="F350" s="12" t="str">
        <f>VLOOKUP(B350,[1]lookup!A:B,2,FALSE)</f>
        <v>SaaS</v>
      </c>
      <c r="G350" s="12">
        <v>0</v>
      </c>
      <c r="H350" s="12">
        <v>250</v>
      </c>
      <c r="I350" s="12">
        <v>0</v>
      </c>
      <c r="J350" s="12">
        <v>250</v>
      </c>
      <c r="K350" s="12">
        <v>250</v>
      </c>
      <c r="L350" s="12">
        <v>0</v>
      </c>
      <c r="M350" s="12">
        <v>0</v>
      </c>
      <c r="N350" s="12">
        <v>0</v>
      </c>
      <c r="O350" s="12">
        <v>250</v>
      </c>
      <c r="P350" s="12">
        <v>250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/>
      <c r="AC350" s="13">
        <f t="shared" si="86"/>
        <v>0</v>
      </c>
      <c r="AF350" s="13">
        <f t="shared" si="94"/>
        <v>156000</v>
      </c>
      <c r="AG350" s="13">
        <f t="shared" si="95"/>
        <v>32000</v>
      </c>
      <c r="AH350" s="13">
        <f t="shared" si="96"/>
        <v>120000</v>
      </c>
      <c r="AI350" s="13">
        <f t="shared" si="97"/>
        <v>49250</v>
      </c>
      <c r="AL350" s="14">
        <f t="shared" si="87"/>
        <v>357250</v>
      </c>
    </row>
    <row r="351" spans="1:38" hidden="1" x14ac:dyDescent="0.25">
      <c r="A351" s="12" t="s">
        <v>216</v>
      </c>
      <c r="B351" s="12" t="s">
        <v>428</v>
      </c>
      <c r="C351" s="12" t="s">
        <v>308</v>
      </c>
      <c r="D351" s="12"/>
      <c r="E351" s="12">
        <f t="shared" si="85"/>
        <v>250</v>
      </c>
      <c r="F351" s="12" t="str">
        <f>VLOOKUP(B351,[1]lookup!A:B,2,FALSE)</f>
        <v>Perpetual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250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0</v>
      </c>
      <c r="AA351" s="12"/>
      <c r="AC351" s="13">
        <f t="shared" si="86"/>
        <v>60000</v>
      </c>
      <c r="AL351" s="14">
        <f t="shared" si="87"/>
        <v>60000</v>
      </c>
    </row>
    <row r="352" spans="1:38" hidden="1" x14ac:dyDescent="0.25">
      <c r="A352" s="12" t="s">
        <v>51</v>
      </c>
      <c r="B352" s="12" t="s">
        <v>429</v>
      </c>
      <c r="C352" s="12" t="s">
        <v>308</v>
      </c>
      <c r="D352" s="12"/>
      <c r="E352" s="12">
        <f t="shared" si="85"/>
        <v>250</v>
      </c>
      <c r="F352" s="12" t="s">
        <v>70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250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/>
      <c r="AC352" s="13">
        <f t="shared" si="86"/>
        <v>0</v>
      </c>
      <c r="AL352" s="14">
        <f t="shared" si="87"/>
        <v>0</v>
      </c>
    </row>
    <row r="353" spans="1:38" hidden="1" x14ac:dyDescent="0.25">
      <c r="A353" s="12" t="s">
        <v>173</v>
      </c>
      <c r="B353" s="12" t="s">
        <v>430</v>
      </c>
      <c r="C353" s="12" t="s">
        <v>308</v>
      </c>
      <c r="D353" s="12"/>
      <c r="E353" s="12">
        <f t="shared" si="85"/>
        <v>250</v>
      </c>
      <c r="F353" s="12" t="str">
        <f>VLOOKUP(B353,[1]lookup!A:B,2,FALSE)</f>
        <v>SaaS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250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/>
      <c r="AC353" s="13">
        <f t="shared" si="86"/>
        <v>0</v>
      </c>
      <c r="AL353" s="14">
        <f t="shared" si="87"/>
        <v>0</v>
      </c>
    </row>
    <row r="354" spans="1:38" hidden="1" x14ac:dyDescent="0.25">
      <c r="A354" s="12" t="s">
        <v>86</v>
      </c>
      <c r="B354" s="12" t="s">
        <v>431</v>
      </c>
      <c r="C354" s="12" t="s">
        <v>308</v>
      </c>
      <c r="D354" s="12"/>
      <c r="E354" s="12">
        <f t="shared" si="85"/>
        <v>249</v>
      </c>
      <c r="F354" s="12" t="str">
        <f>VLOOKUP(B354,[1]lookup!A:B,2,FALSE)</f>
        <v>Term</v>
      </c>
      <c r="G354" s="12">
        <v>0</v>
      </c>
      <c r="H354" s="12">
        <v>249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/>
      <c r="AC354" s="13">
        <f t="shared" si="86"/>
        <v>0</v>
      </c>
      <c r="AF354" s="13">
        <f t="shared" ref="AF354" si="98">H354*AF$2</f>
        <v>155376</v>
      </c>
      <c r="AG354" s="13">
        <f t="shared" ref="AG354" si="99">H354*AG$2</f>
        <v>31872</v>
      </c>
      <c r="AH354" s="13">
        <f t="shared" ref="AH354" si="100">H354*AH$2</f>
        <v>119520</v>
      </c>
      <c r="AI354" s="13">
        <f t="shared" ref="AI354" si="101">H354*$AI$2</f>
        <v>49053</v>
      </c>
      <c r="AJ354" s="13">
        <f>AJ$2*H354</f>
        <v>149400</v>
      </c>
      <c r="AK354" s="15">
        <f>H354*AK$2</f>
        <v>29880</v>
      </c>
      <c r="AL354" s="14">
        <f t="shared" si="87"/>
        <v>535101</v>
      </c>
    </row>
    <row r="355" spans="1:38" hidden="1" x14ac:dyDescent="0.25">
      <c r="A355" s="12" t="s">
        <v>86</v>
      </c>
      <c r="B355" s="12" t="s">
        <v>432</v>
      </c>
      <c r="C355" s="12" t="s">
        <v>308</v>
      </c>
      <c r="D355" s="12"/>
      <c r="E355" s="12">
        <f t="shared" si="85"/>
        <v>246</v>
      </c>
      <c r="F355" s="12" t="str">
        <f>VLOOKUP(B355,[1]lookup!A:B,2,FALSE)</f>
        <v>Term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246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/>
      <c r="AC355" s="13">
        <f t="shared" si="86"/>
        <v>0</v>
      </c>
      <c r="AL355" s="14">
        <f t="shared" si="87"/>
        <v>0</v>
      </c>
    </row>
    <row r="356" spans="1:38" hidden="1" x14ac:dyDescent="0.25">
      <c r="A356" s="12" t="s">
        <v>166</v>
      </c>
      <c r="B356" s="12" t="s">
        <v>237</v>
      </c>
      <c r="C356" s="12" t="s">
        <v>308</v>
      </c>
      <c r="D356" s="12"/>
      <c r="E356" s="12">
        <f t="shared" si="85"/>
        <v>246</v>
      </c>
      <c r="F356" s="12" t="str">
        <f>VLOOKUP(B356,[1]lookup!A:B,2,FALSE)</f>
        <v>SaaS</v>
      </c>
      <c r="G356" s="12">
        <v>0</v>
      </c>
      <c r="H356" s="12">
        <v>0</v>
      </c>
      <c r="I356" s="12">
        <v>0</v>
      </c>
      <c r="J356" s="12">
        <v>110</v>
      </c>
      <c r="K356" s="12">
        <v>0</v>
      </c>
      <c r="L356" s="12">
        <v>0</v>
      </c>
      <c r="M356" s="12">
        <v>0</v>
      </c>
      <c r="N356" s="12">
        <v>246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/>
      <c r="AC356" s="13">
        <f t="shared" si="86"/>
        <v>0</v>
      </c>
      <c r="AD356" s="13">
        <f>J356*AD$2</f>
        <v>26400</v>
      </c>
      <c r="AE356" s="13">
        <f>J356*AE$2</f>
        <v>13200</v>
      </c>
      <c r="AL356" s="14">
        <f t="shared" si="87"/>
        <v>39600</v>
      </c>
    </row>
    <row r="357" spans="1:38" hidden="1" x14ac:dyDescent="0.25">
      <c r="A357" s="12" t="s">
        <v>86</v>
      </c>
      <c r="B357" s="12" t="s">
        <v>433</v>
      </c>
      <c r="C357" s="12" t="s">
        <v>308</v>
      </c>
      <c r="D357" s="12"/>
      <c r="E357" s="12">
        <f t="shared" si="85"/>
        <v>240</v>
      </c>
      <c r="F357" s="12" t="str">
        <f>VLOOKUP(B357,[1]lookup!A:B,2,FALSE)</f>
        <v>Term</v>
      </c>
      <c r="G357" s="12">
        <v>0</v>
      </c>
      <c r="H357" s="12">
        <v>144</v>
      </c>
      <c r="I357" s="12">
        <v>0</v>
      </c>
      <c r="J357" s="12">
        <v>0</v>
      </c>
      <c r="K357" s="12">
        <v>0</v>
      </c>
      <c r="L357" s="12">
        <v>240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/>
      <c r="AC357" s="13">
        <f t="shared" si="86"/>
        <v>0</v>
      </c>
      <c r="AF357" s="13">
        <f t="shared" ref="AF357" si="102">H357*AF$2</f>
        <v>89856</v>
      </c>
      <c r="AG357" s="13">
        <f t="shared" ref="AG357" si="103">H357*AG$2</f>
        <v>18432</v>
      </c>
      <c r="AH357" s="13">
        <f t="shared" ref="AH357" si="104">H357*AH$2</f>
        <v>69120</v>
      </c>
      <c r="AI357" s="13">
        <f t="shared" ref="AI357" si="105">H357*$AI$2</f>
        <v>28368</v>
      </c>
      <c r="AJ357" s="13">
        <f>AJ$2*H357</f>
        <v>86400</v>
      </c>
      <c r="AK357" s="15">
        <f>H357*AK$2</f>
        <v>17280</v>
      </c>
      <c r="AL357" s="14">
        <f t="shared" si="87"/>
        <v>309456</v>
      </c>
    </row>
    <row r="358" spans="1:38" hidden="1" x14ac:dyDescent="0.25">
      <c r="A358" s="12" t="s">
        <v>222</v>
      </c>
      <c r="B358" s="12" t="s">
        <v>434</v>
      </c>
      <c r="C358" s="12" t="s">
        <v>308</v>
      </c>
      <c r="D358" s="12"/>
      <c r="E358" s="12">
        <f t="shared" si="85"/>
        <v>234</v>
      </c>
      <c r="F358" s="12" t="s">
        <v>70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234</v>
      </c>
      <c r="X358" s="12">
        <v>0</v>
      </c>
      <c r="Y358" s="12">
        <v>0</v>
      </c>
      <c r="Z358" s="12">
        <v>0</v>
      </c>
      <c r="AA358" s="12"/>
      <c r="AC358" s="13">
        <f t="shared" si="86"/>
        <v>0</v>
      </c>
      <c r="AL358" s="14">
        <f t="shared" si="87"/>
        <v>0</v>
      </c>
    </row>
    <row r="359" spans="1:38" hidden="1" x14ac:dyDescent="0.25">
      <c r="A359" s="12" t="s">
        <v>435</v>
      </c>
      <c r="B359" s="12" t="s">
        <v>434</v>
      </c>
      <c r="C359" s="12" t="s">
        <v>308</v>
      </c>
      <c r="D359" s="12"/>
      <c r="E359" s="12">
        <f t="shared" si="85"/>
        <v>233</v>
      </c>
      <c r="F359" s="12" t="s">
        <v>70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233</v>
      </c>
      <c r="X359" s="12">
        <v>0</v>
      </c>
      <c r="Y359" s="12">
        <v>0</v>
      </c>
      <c r="Z359" s="12">
        <v>0</v>
      </c>
      <c r="AA359" s="12"/>
      <c r="AC359" s="13">
        <f t="shared" si="86"/>
        <v>0</v>
      </c>
      <c r="AL359" s="14">
        <f t="shared" si="87"/>
        <v>0</v>
      </c>
    </row>
    <row r="360" spans="1:38" hidden="1" x14ac:dyDescent="0.25">
      <c r="A360" s="12" t="s">
        <v>173</v>
      </c>
      <c r="B360" s="12" t="s">
        <v>436</v>
      </c>
      <c r="C360" s="12" t="s">
        <v>308</v>
      </c>
      <c r="D360" s="12"/>
      <c r="E360" s="12">
        <f t="shared" si="85"/>
        <v>231</v>
      </c>
      <c r="F360" s="12" t="str">
        <f>VLOOKUP(B360,[1]lookup!A:B,2,FALSE)</f>
        <v>SaaS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231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/>
      <c r="AC360" s="13">
        <f t="shared" si="86"/>
        <v>0</v>
      </c>
      <c r="AL360" s="14">
        <f t="shared" si="87"/>
        <v>0</v>
      </c>
    </row>
    <row r="361" spans="1:38" hidden="1" x14ac:dyDescent="0.25">
      <c r="A361" s="12" t="s">
        <v>51</v>
      </c>
      <c r="B361" s="12" t="s">
        <v>437</v>
      </c>
      <c r="C361" s="12" t="s">
        <v>308</v>
      </c>
      <c r="D361" s="12"/>
      <c r="E361" s="12">
        <f t="shared" si="85"/>
        <v>229</v>
      </c>
      <c r="F361" s="12" t="s">
        <v>70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229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/>
      <c r="AC361" s="13">
        <f t="shared" si="86"/>
        <v>0</v>
      </c>
      <c r="AL361" s="14">
        <f t="shared" si="87"/>
        <v>0</v>
      </c>
    </row>
    <row r="362" spans="1:38" hidden="1" x14ac:dyDescent="0.25">
      <c r="A362" s="12" t="s">
        <v>64</v>
      </c>
      <c r="B362" s="12" t="s">
        <v>438</v>
      </c>
      <c r="C362" s="12" t="s">
        <v>308</v>
      </c>
      <c r="D362" s="12"/>
      <c r="E362" s="12">
        <f t="shared" si="85"/>
        <v>226</v>
      </c>
      <c r="F362" s="12" t="str">
        <f>VLOOKUP(B362,[1]lookup!A:B,2,FALSE)</f>
        <v>Term</v>
      </c>
      <c r="G362" s="12">
        <v>0</v>
      </c>
      <c r="H362" s="12">
        <v>225</v>
      </c>
      <c r="I362" s="12">
        <v>226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/>
      <c r="AC362" s="13">
        <f t="shared" si="86"/>
        <v>0</v>
      </c>
      <c r="AF362" s="13">
        <f t="shared" ref="AF362" si="106">H362*AF$2</f>
        <v>140400</v>
      </c>
      <c r="AG362" s="13">
        <f t="shared" ref="AG362" si="107">H362*AG$2</f>
        <v>28800</v>
      </c>
      <c r="AH362" s="13">
        <f t="shared" ref="AH362" si="108">H362*AH$2</f>
        <v>108000</v>
      </c>
      <c r="AI362" s="13">
        <f t="shared" ref="AI362" si="109">H362*$AI$2</f>
        <v>44325</v>
      </c>
      <c r="AJ362" s="13">
        <f>AJ$2*H362</f>
        <v>135000</v>
      </c>
      <c r="AL362" s="14">
        <f t="shared" si="87"/>
        <v>456525</v>
      </c>
    </row>
    <row r="363" spans="1:38" hidden="1" x14ac:dyDescent="0.25">
      <c r="A363" s="12" t="s">
        <v>233</v>
      </c>
      <c r="B363" s="12" t="s">
        <v>439</v>
      </c>
      <c r="C363" s="12" t="s">
        <v>308</v>
      </c>
      <c r="D363" s="12"/>
      <c r="E363" s="12">
        <f t="shared" si="85"/>
        <v>225</v>
      </c>
      <c r="F363" s="12" t="str">
        <f>VLOOKUP(B363,[1]lookup!A:B,2,FALSE)</f>
        <v>SaaS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225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/>
      <c r="AC363" s="13">
        <f t="shared" si="86"/>
        <v>0</v>
      </c>
      <c r="AL363" s="14">
        <f t="shared" si="87"/>
        <v>0</v>
      </c>
    </row>
    <row r="364" spans="1:38" hidden="1" x14ac:dyDescent="0.25">
      <c r="A364" s="12" t="s">
        <v>440</v>
      </c>
      <c r="B364" s="12" t="s">
        <v>441</v>
      </c>
      <c r="C364" s="12" t="s">
        <v>308</v>
      </c>
      <c r="D364" s="12"/>
      <c r="E364" s="12">
        <f t="shared" si="85"/>
        <v>225</v>
      </c>
      <c r="F364" s="12" t="str">
        <f>VLOOKUP(B364,[1]lookup!A:B,2,FALSE)</f>
        <v>Term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225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/>
      <c r="AC364" s="13">
        <f t="shared" si="86"/>
        <v>0</v>
      </c>
      <c r="AL364" s="14">
        <f t="shared" si="87"/>
        <v>0</v>
      </c>
    </row>
    <row r="365" spans="1:38" hidden="1" x14ac:dyDescent="0.25">
      <c r="A365" s="12" t="s">
        <v>173</v>
      </c>
      <c r="B365" s="12" t="s">
        <v>442</v>
      </c>
      <c r="C365" s="12" t="s">
        <v>308</v>
      </c>
      <c r="D365" s="12"/>
      <c r="E365" s="12">
        <f t="shared" si="85"/>
        <v>225</v>
      </c>
      <c r="F365" s="12" t="str">
        <f>VLOOKUP(B365,[1]lookup!A:B,2,FALSE)</f>
        <v>SaaS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225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/>
      <c r="AC365" s="13">
        <f t="shared" si="86"/>
        <v>54000</v>
      </c>
      <c r="AL365" s="14">
        <f t="shared" si="87"/>
        <v>54000</v>
      </c>
    </row>
    <row r="366" spans="1:38" hidden="1" x14ac:dyDescent="0.25">
      <c r="A366" s="12" t="s">
        <v>148</v>
      </c>
      <c r="B366" s="12" t="s">
        <v>443</v>
      </c>
      <c r="C366" s="12" t="s">
        <v>308</v>
      </c>
      <c r="D366" s="12"/>
      <c r="E366" s="12">
        <f t="shared" si="85"/>
        <v>224</v>
      </c>
      <c r="F366" s="12" t="s">
        <v>70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224</v>
      </c>
      <c r="X366" s="12">
        <v>0</v>
      </c>
      <c r="Y366" s="12">
        <v>0</v>
      </c>
      <c r="Z366" s="12">
        <v>0</v>
      </c>
      <c r="AA366" s="12"/>
      <c r="AC366" s="13">
        <f t="shared" si="86"/>
        <v>0</v>
      </c>
      <c r="AL366" s="14">
        <f t="shared" si="87"/>
        <v>0</v>
      </c>
    </row>
    <row r="367" spans="1:38" hidden="1" x14ac:dyDescent="0.25">
      <c r="A367" s="12" t="s">
        <v>86</v>
      </c>
      <c r="B367" s="12" t="s">
        <v>444</v>
      </c>
      <c r="C367" s="12" t="s">
        <v>308</v>
      </c>
      <c r="D367" s="12"/>
      <c r="E367" s="12">
        <f t="shared" si="85"/>
        <v>222</v>
      </c>
      <c r="F367" s="12" t="str">
        <f>VLOOKUP(B367,[1]lookup!A:B,2,FALSE)</f>
        <v>Term</v>
      </c>
      <c r="G367" s="12">
        <v>0</v>
      </c>
      <c r="H367" s="12">
        <v>222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/>
      <c r="AC367" s="13">
        <f t="shared" si="86"/>
        <v>0</v>
      </c>
      <c r="AF367" s="13">
        <f t="shared" ref="AF367" si="110">H367*AF$2</f>
        <v>138528</v>
      </c>
      <c r="AG367" s="13">
        <f>H367*AG$2</f>
        <v>28416</v>
      </c>
      <c r="AH367" s="13">
        <f>H367*AH$2</f>
        <v>106560</v>
      </c>
      <c r="AI367" s="13">
        <f>H367*$AI$2</f>
        <v>43734</v>
      </c>
      <c r="AJ367" s="13">
        <f>AJ$2*H367</f>
        <v>133200</v>
      </c>
      <c r="AK367" s="15">
        <f>H367*AK$2</f>
        <v>26640</v>
      </c>
      <c r="AL367" s="14">
        <f t="shared" si="87"/>
        <v>477078</v>
      </c>
    </row>
    <row r="368" spans="1:38" hidden="1" x14ac:dyDescent="0.25">
      <c r="A368" s="12" t="s">
        <v>51</v>
      </c>
      <c r="B368" s="12" t="s">
        <v>445</v>
      </c>
      <c r="C368" s="12" t="s">
        <v>308</v>
      </c>
      <c r="D368" s="12"/>
      <c r="E368" s="12">
        <f t="shared" si="85"/>
        <v>220</v>
      </c>
      <c r="F368" s="12" t="s">
        <v>70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220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/>
      <c r="AC368" s="13">
        <f t="shared" si="86"/>
        <v>0</v>
      </c>
      <c r="AL368" s="14">
        <f t="shared" si="87"/>
        <v>0</v>
      </c>
    </row>
    <row r="369" spans="1:38" hidden="1" x14ac:dyDescent="0.25">
      <c r="A369" s="12" t="s">
        <v>173</v>
      </c>
      <c r="B369" s="12" t="s">
        <v>446</v>
      </c>
      <c r="C369" s="12" t="s">
        <v>308</v>
      </c>
      <c r="D369" s="12"/>
      <c r="E369" s="12">
        <f t="shared" si="85"/>
        <v>220</v>
      </c>
      <c r="F369" s="12" t="str">
        <f>VLOOKUP(B369,[1]lookup!A:B,2,FALSE)</f>
        <v>SaaS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220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0</v>
      </c>
      <c r="AA369" s="12"/>
      <c r="AC369" s="13">
        <f t="shared" si="86"/>
        <v>52800</v>
      </c>
      <c r="AL369" s="14">
        <f t="shared" si="87"/>
        <v>52800</v>
      </c>
    </row>
    <row r="370" spans="1:38" hidden="1" x14ac:dyDescent="0.25">
      <c r="A370" s="12" t="s">
        <v>86</v>
      </c>
      <c r="B370" s="12" t="s">
        <v>447</v>
      </c>
      <c r="C370" s="12" t="s">
        <v>308</v>
      </c>
      <c r="D370" s="12"/>
      <c r="E370" s="12">
        <f t="shared" si="85"/>
        <v>216</v>
      </c>
      <c r="F370" s="12" t="str">
        <f>VLOOKUP(B370,[1]lookup!A:B,2,FALSE)</f>
        <v>Term</v>
      </c>
      <c r="G370" s="12">
        <v>0</v>
      </c>
      <c r="H370" s="12">
        <v>216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/>
      <c r="AC370" s="13">
        <f t="shared" si="86"/>
        <v>0</v>
      </c>
      <c r="AF370" s="13">
        <f t="shared" ref="AF370:AF371" si="111">H370*AF$2</f>
        <v>134784</v>
      </c>
      <c r="AG370" s="13">
        <f t="shared" ref="AG370:AG371" si="112">H370*AG$2</f>
        <v>27648</v>
      </c>
      <c r="AH370" s="13">
        <f t="shared" ref="AH370:AH371" si="113">H370*AH$2</f>
        <v>103680</v>
      </c>
      <c r="AI370" s="13">
        <f t="shared" ref="AI370:AI371" si="114">H370*$AI$2</f>
        <v>42552</v>
      </c>
      <c r="AJ370" s="13">
        <f>AJ$2*H370</f>
        <v>129600</v>
      </c>
      <c r="AK370" s="15">
        <f>H370*AK$2</f>
        <v>25920</v>
      </c>
      <c r="AL370" s="14">
        <f t="shared" si="87"/>
        <v>464184</v>
      </c>
    </row>
    <row r="371" spans="1:38" hidden="1" x14ac:dyDescent="0.25">
      <c r="A371" s="12" t="s">
        <v>64</v>
      </c>
      <c r="B371" s="12" t="s">
        <v>448</v>
      </c>
      <c r="C371" s="12" t="s">
        <v>308</v>
      </c>
      <c r="D371" s="12"/>
      <c r="E371" s="12">
        <f t="shared" si="85"/>
        <v>215</v>
      </c>
      <c r="F371" s="12" t="str">
        <f>VLOOKUP(B371,[1]lookup!A:B,2,FALSE)</f>
        <v>Term</v>
      </c>
      <c r="G371" s="12">
        <v>0</v>
      </c>
      <c r="H371" s="12">
        <v>215</v>
      </c>
      <c r="I371" s="12">
        <v>215</v>
      </c>
      <c r="J371" s="12">
        <v>215</v>
      </c>
      <c r="K371" s="12">
        <v>0</v>
      </c>
      <c r="L371" s="12">
        <v>0</v>
      </c>
      <c r="M371" s="12">
        <v>0</v>
      </c>
      <c r="N371" s="12">
        <v>0</v>
      </c>
      <c r="O371" s="12">
        <v>215</v>
      </c>
      <c r="P371" s="12">
        <v>215</v>
      </c>
      <c r="Q371" s="12">
        <v>0</v>
      </c>
      <c r="R371" s="12">
        <v>0</v>
      </c>
      <c r="S371" s="12">
        <v>215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12"/>
      <c r="AC371" s="13">
        <f t="shared" si="86"/>
        <v>0</v>
      </c>
      <c r="AD371" s="13">
        <f>J371*AD$2</f>
        <v>51600</v>
      </c>
      <c r="AF371" s="13">
        <f t="shared" si="111"/>
        <v>134160</v>
      </c>
      <c r="AG371" s="13">
        <f t="shared" si="112"/>
        <v>27520</v>
      </c>
      <c r="AH371" s="13">
        <f t="shared" si="113"/>
        <v>103200</v>
      </c>
      <c r="AI371" s="13">
        <f t="shared" si="114"/>
        <v>42355</v>
      </c>
      <c r="AL371" s="14">
        <f t="shared" si="87"/>
        <v>358835</v>
      </c>
    </row>
    <row r="372" spans="1:38" hidden="1" x14ac:dyDescent="0.25">
      <c r="A372" s="12" t="s">
        <v>173</v>
      </c>
      <c r="B372" s="12" t="s">
        <v>449</v>
      </c>
      <c r="C372" s="12" t="s">
        <v>308</v>
      </c>
      <c r="D372" s="12"/>
      <c r="E372" s="12">
        <f t="shared" si="85"/>
        <v>215</v>
      </c>
      <c r="F372" s="12" t="str">
        <f>VLOOKUP(B372,[1]lookup!A:B,2,FALSE)</f>
        <v>SaaS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215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/>
      <c r="AC372" s="13">
        <f t="shared" si="86"/>
        <v>0</v>
      </c>
      <c r="AL372" s="14">
        <f t="shared" si="87"/>
        <v>0</v>
      </c>
    </row>
    <row r="373" spans="1:38" hidden="1" x14ac:dyDescent="0.25">
      <c r="A373" s="12" t="s">
        <v>86</v>
      </c>
      <c r="B373" s="12" t="s">
        <v>450</v>
      </c>
      <c r="C373" s="12" t="s">
        <v>308</v>
      </c>
      <c r="D373" s="12"/>
      <c r="E373" s="12">
        <f t="shared" si="85"/>
        <v>211</v>
      </c>
      <c r="F373" s="12" t="str">
        <f>VLOOKUP(B373,[1]lookup!A:B,2,FALSE)</f>
        <v>Perpetual</v>
      </c>
      <c r="G373" s="12">
        <v>0</v>
      </c>
      <c r="H373" s="12">
        <v>211</v>
      </c>
      <c r="I373" s="12">
        <v>0</v>
      </c>
      <c r="J373" s="12">
        <v>171</v>
      </c>
      <c r="K373" s="12">
        <v>0</v>
      </c>
      <c r="L373" s="12">
        <v>0</v>
      </c>
      <c r="M373" s="12">
        <v>0</v>
      </c>
      <c r="N373" s="12">
        <v>0</v>
      </c>
      <c r="O373" s="12">
        <v>171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/>
      <c r="AC373" s="13">
        <f t="shared" si="86"/>
        <v>0</v>
      </c>
      <c r="AD373" s="13">
        <f>J373*AD$2</f>
        <v>41040</v>
      </c>
      <c r="AE373" s="13">
        <f>J373*AE$2</f>
        <v>20520</v>
      </c>
      <c r="AF373" s="13">
        <f>H373*AF$2</f>
        <v>131664</v>
      </c>
      <c r="AG373" s="13">
        <f>H373*AG$2</f>
        <v>27008</v>
      </c>
      <c r="AH373" s="13">
        <f>H373*AH$2</f>
        <v>101280</v>
      </c>
      <c r="AI373" s="13">
        <f>H373*$AI$2</f>
        <v>41567</v>
      </c>
      <c r="AJ373" s="13">
        <f>AJ$2*H373</f>
        <v>126600</v>
      </c>
      <c r="AK373" s="15">
        <f>H373*AK$2</f>
        <v>25320</v>
      </c>
      <c r="AL373" s="14">
        <f t="shared" si="87"/>
        <v>514999</v>
      </c>
    </row>
    <row r="374" spans="1:38" hidden="1" x14ac:dyDescent="0.25">
      <c r="A374" s="12" t="s">
        <v>86</v>
      </c>
      <c r="B374" s="12" t="s">
        <v>451</v>
      </c>
      <c r="C374" s="12" t="s">
        <v>308</v>
      </c>
      <c r="D374" s="12"/>
      <c r="E374" s="12">
        <f t="shared" si="85"/>
        <v>210</v>
      </c>
      <c r="F374" s="12" t="str">
        <f>VLOOKUP(B374,[1]lookup!A:B,2,FALSE)</f>
        <v>Term</v>
      </c>
      <c r="G374" s="12">
        <v>0</v>
      </c>
      <c r="H374" s="12">
        <v>0</v>
      </c>
      <c r="I374" s="12">
        <v>1</v>
      </c>
      <c r="J374" s="12">
        <v>0</v>
      </c>
      <c r="K374" s="12">
        <v>0</v>
      </c>
      <c r="L374" s="12">
        <v>210</v>
      </c>
      <c r="M374" s="12">
        <v>0</v>
      </c>
      <c r="N374" s="12">
        <v>0</v>
      </c>
      <c r="O374" s="12">
        <v>0</v>
      </c>
      <c r="P374" s="12">
        <v>210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/>
      <c r="AC374" s="13">
        <f t="shared" si="86"/>
        <v>0</v>
      </c>
      <c r="AL374" s="14">
        <f t="shared" si="87"/>
        <v>0</v>
      </c>
    </row>
    <row r="375" spans="1:38" hidden="1" x14ac:dyDescent="0.25">
      <c r="A375" s="12" t="s">
        <v>92</v>
      </c>
      <c r="B375" s="12" t="s">
        <v>452</v>
      </c>
      <c r="C375" s="12" t="s">
        <v>308</v>
      </c>
      <c r="D375" s="12"/>
      <c r="E375" s="12">
        <f t="shared" si="85"/>
        <v>210</v>
      </c>
      <c r="F375" s="12" t="s">
        <v>70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210</v>
      </c>
      <c r="X375" s="12">
        <v>0</v>
      </c>
      <c r="Y375" s="12">
        <v>0</v>
      </c>
      <c r="Z375" s="12">
        <v>0</v>
      </c>
      <c r="AA375" s="12"/>
      <c r="AC375" s="13">
        <f t="shared" si="86"/>
        <v>0</v>
      </c>
      <c r="AL375" s="14">
        <f t="shared" si="87"/>
        <v>0</v>
      </c>
    </row>
    <row r="376" spans="1:38" hidden="1" x14ac:dyDescent="0.25">
      <c r="A376" s="12" t="s">
        <v>233</v>
      </c>
      <c r="B376" s="12" t="s">
        <v>453</v>
      </c>
      <c r="C376" s="12" t="s">
        <v>308</v>
      </c>
      <c r="D376" s="12"/>
      <c r="E376" s="12">
        <f t="shared" si="85"/>
        <v>210</v>
      </c>
      <c r="F376" s="12" t="str">
        <f>VLOOKUP(B376,[1]lookup!A:B,2,FALSE)</f>
        <v>SaaS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210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/>
      <c r="AC376" s="13">
        <f t="shared" si="86"/>
        <v>0</v>
      </c>
      <c r="AL376" s="14">
        <f t="shared" si="87"/>
        <v>0</v>
      </c>
    </row>
    <row r="377" spans="1:38" hidden="1" x14ac:dyDescent="0.25">
      <c r="A377" s="12" t="s">
        <v>454</v>
      </c>
      <c r="B377" s="12" t="s">
        <v>333</v>
      </c>
      <c r="C377" s="12" t="s">
        <v>308</v>
      </c>
      <c r="D377" s="12"/>
      <c r="E377" s="12">
        <f t="shared" si="85"/>
        <v>208</v>
      </c>
      <c r="F377" s="12" t="str">
        <f>VLOOKUP(B377,[1]lookup!A:B,2,FALSE)</f>
        <v>Perpetual</v>
      </c>
      <c r="G377" s="12">
        <v>0</v>
      </c>
      <c r="H377" s="12">
        <v>0</v>
      </c>
      <c r="I377" s="12">
        <v>0</v>
      </c>
      <c r="J377" s="12">
        <v>208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/>
      <c r="AC377" s="13">
        <f t="shared" si="86"/>
        <v>0</v>
      </c>
      <c r="AD377" s="13">
        <f>J377*AD$2</f>
        <v>49920</v>
      </c>
      <c r="AE377" s="13">
        <f>J377*AE$2</f>
        <v>24960</v>
      </c>
      <c r="AL377" s="14">
        <f t="shared" si="87"/>
        <v>74880</v>
      </c>
    </row>
    <row r="378" spans="1:38" hidden="1" x14ac:dyDescent="0.25">
      <c r="A378" s="12" t="s">
        <v>60</v>
      </c>
      <c r="B378" s="12" t="s">
        <v>201</v>
      </c>
      <c r="C378" s="12" t="s">
        <v>308</v>
      </c>
      <c r="D378" s="12"/>
      <c r="E378" s="12">
        <f t="shared" si="85"/>
        <v>206</v>
      </c>
      <c r="F378" s="12" t="str">
        <f>VLOOKUP(B378,[1]lookup!A:B,2,FALSE)</f>
        <v>Perpetual</v>
      </c>
      <c r="G378" s="12">
        <v>0</v>
      </c>
      <c r="H378" s="12">
        <v>206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/>
      <c r="AC378" s="13">
        <f t="shared" si="86"/>
        <v>0</v>
      </c>
      <c r="AF378" s="13">
        <f>H378*AF$2</f>
        <v>128544</v>
      </c>
      <c r="AG378" s="13">
        <f>H378*AG$2</f>
        <v>26368</v>
      </c>
      <c r="AH378" s="13">
        <f>H378*AH$2</f>
        <v>98880</v>
      </c>
      <c r="AI378" s="13">
        <f>H378*$AI$2</f>
        <v>40582</v>
      </c>
      <c r="AJ378" s="13">
        <f>AJ$2*H378</f>
        <v>123600</v>
      </c>
      <c r="AK378" s="15">
        <f>H378*AK$2</f>
        <v>24720</v>
      </c>
      <c r="AL378" s="14">
        <f t="shared" si="87"/>
        <v>442694</v>
      </c>
    </row>
    <row r="379" spans="1:38" hidden="1" x14ac:dyDescent="0.25">
      <c r="A379" s="12" t="s">
        <v>92</v>
      </c>
      <c r="B379" s="12" t="s">
        <v>455</v>
      </c>
      <c r="C379" s="12" t="s">
        <v>308</v>
      </c>
      <c r="D379" s="12"/>
      <c r="E379" s="12">
        <f t="shared" si="85"/>
        <v>206</v>
      </c>
      <c r="F379" s="12" t="s">
        <v>70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206</v>
      </c>
      <c r="X379" s="12">
        <v>0</v>
      </c>
      <c r="Y379" s="12">
        <v>0</v>
      </c>
      <c r="Z379" s="12">
        <v>0</v>
      </c>
      <c r="AA379" s="12"/>
      <c r="AC379" s="13">
        <f t="shared" si="86"/>
        <v>0</v>
      </c>
      <c r="AL379" s="14">
        <f t="shared" si="87"/>
        <v>0</v>
      </c>
    </row>
    <row r="380" spans="1:38" hidden="1" x14ac:dyDescent="0.25">
      <c r="A380" s="12" t="s">
        <v>51</v>
      </c>
      <c r="B380" s="12" t="s">
        <v>456</v>
      </c>
      <c r="C380" s="12" t="s">
        <v>308</v>
      </c>
      <c r="D380" s="12"/>
      <c r="E380" s="12">
        <f t="shared" si="85"/>
        <v>206</v>
      </c>
      <c r="F380" s="12" t="s">
        <v>70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206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/>
      <c r="AC380" s="13">
        <f t="shared" si="86"/>
        <v>0</v>
      </c>
      <c r="AL380" s="14">
        <f t="shared" si="87"/>
        <v>0</v>
      </c>
    </row>
    <row r="381" spans="1:38" hidden="1" x14ac:dyDescent="0.25">
      <c r="A381" s="12" t="s">
        <v>86</v>
      </c>
      <c r="B381" s="12" t="s">
        <v>176</v>
      </c>
      <c r="C381" s="12" t="s">
        <v>308</v>
      </c>
      <c r="D381" s="12"/>
      <c r="E381" s="12">
        <f t="shared" si="85"/>
        <v>205</v>
      </c>
      <c r="F381" s="12" t="str">
        <f>VLOOKUP(B381,[1]lookup!A:B,2,FALSE)</f>
        <v>Perpetual</v>
      </c>
      <c r="G381" s="12">
        <v>0</v>
      </c>
      <c r="H381" s="12">
        <v>205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/>
      <c r="AC381" s="13">
        <f t="shared" si="86"/>
        <v>0</v>
      </c>
      <c r="AF381" s="13">
        <f>H381*AF$2</f>
        <v>127920</v>
      </c>
      <c r="AG381" s="13">
        <f>H381*AG$2</f>
        <v>26240</v>
      </c>
      <c r="AH381" s="13">
        <f>H381*AH$2</f>
        <v>98400</v>
      </c>
      <c r="AI381" s="13">
        <f>H381*$AI$2</f>
        <v>40385</v>
      </c>
      <c r="AJ381" s="13">
        <f>AJ$2*H381</f>
        <v>123000</v>
      </c>
      <c r="AK381" s="15">
        <f>H381*AK$2</f>
        <v>24600</v>
      </c>
      <c r="AL381" s="14">
        <f t="shared" si="87"/>
        <v>440545</v>
      </c>
    </row>
    <row r="382" spans="1:38" hidden="1" x14ac:dyDescent="0.25">
      <c r="A382" s="12" t="s">
        <v>51</v>
      </c>
      <c r="B382" s="12" t="s">
        <v>457</v>
      </c>
      <c r="C382" s="12" t="s">
        <v>308</v>
      </c>
      <c r="D382" s="12"/>
      <c r="E382" s="12">
        <f t="shared" si="85"/>
        <v>205</v>
      </c>
      <c r="F382" s="12" t="s">
        <v>70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205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/>
      <c r="AC382" s="13">
        <f t="shared" si="86"/>
        <v>0</v>
      </c>
      <c r="AL382" s="14">
        <f t="shared" si="87"/>
        <v>0</v>
      </c>
    </row>
    <row r="383" spans="1:38" hidden="1" x14ac:dyDescent="0.25">
      <c r="A383" s="12" t="s">
        <v>86</v>
      </c>
      <c r="B383" s="12" t="s">
        <v>458</v>
      </c>
      <c r="C383" s="12" t="s">
        <v>308</v>
      </c>
      <c r="D383" s="12"/>
      <c r="E383" s="12">
        <f t="shared" si="85"/>
        <v>204</v>
      </c>
      <c r="F383" s="12" t="str">
        <f>VLOOKUP(B383,[1]lookup!A:B,2,FALSE)</f>
        <v>Term</v>
      </c>
      <c r="G383" s="12">
        <v>0</v>
      </c>
      <c r="H383" s="12">
        <v>0</v>
      </c>
      <c r="I383" s="12">
        <v>1</v>
      </c>
      <c r="J383" s="12">
        <v>0</v>
      </c>
      <c r="K383" s="12">
        <v>0</v>
      </c>
      <c r="L383" s="12">
        <v>204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/>
      <c r="AC383" s="13">
        <f t="shared" si="86"/>
        <v>0</v>
      </c>
      <c r="AL383" s="14">
        <f t="shared" si="87"/>
        <v>0</v>
      </c>
    </row>
    <row r="384" spans="1:38" hidden="1" x14ac:dyDescent="0.25">
      <c r="A384" s="12" t="s">
        <v>51</v>
      </c>
      <c r="B384" s="12" t="s">
        <v>459</v>
      </c>
      <c r="C384" s="12" t="s">
        <v>308</v>
      </c>
      <c r="D384" s="12"/>
      <c r="E384" s="12">
        <f t="shared" si="85"/>
        <v>204</v>
      </c>
      <c r="F384" s="12" t="s">
        <v>70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204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/>
      <c r="AC384" s="13">
        <f t="shared" si="86"/>
        <v>0</v>
      </c>
      <c r="AL384" s="14">
        <f t="shared" si="87"/>
        <v>0</v>
      </c>
    </row>
    <row r="385" spans="1:38" hidden="1" x14ac:dyDescent="0.25">
      <c r="A385" s="12" t="s">
        <v>51</v>
      </c>
      <c r="B385" s="12" t="s">
        <v>460</v>
      </c>
      <c r="C385" s="12" t="s">
        <v>308</v>
      </c>
      <c r="D385" s="12"/>
      <c r="E385" s="12">
        <f t="shared" si="85"/>
        <v>204</v>
      </c>
      <c r="F385" s="12" t="s">
        <v>70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204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/>
      <c r="AC385" s="13">
        <f t="shared" si="86"/>
        <v>0</v>
      </c>
      <c r="AL385" s="14">
        <f t="shared" si="87"/>
        <v>0</v>
      </c>
    </row>
    <row r="386" spans="1:38" hidden="1" x14ac:dyDescent="0.25">
      <c r="A386" s="12" t="s">
        <v>86</v>
      </c>
      <c r="B386" s="12" t="s">
        <v>461</v>
      </c>
      <c r="C386" s="12" t="s">
        <v>308</v>
      </c>
      <c r="D386" s="12"/>
      <c r="E386" s="12">
        <f t="shared" si="85"/>
        <v>201</v>
      </c>
      <c r="F386" s="12" t="str">
        <f>VLOOKUP(B386,[1]lookup!A:B,2,FALSE)</f>
        <v>SaaS</v>
      </c>
      <c r="G386" s="12">
        <v>0</v>
      </c>
      <c r="H386" s="12">
        <v>200</v>
      </c>
      <c r="I386" s="12">
        <v>0</v>
      </c>
      <c r="J386" s="12">
        <v>200</v>
      </c>
      <c r="K386" s="12">
        <v>200</v>
      </c>
      <c r="L386" s="12">
        <v>50</v>
      </c>
      <c r="M386" s="12">
        <v>0</v>
      </c>
      <c r="N386" s="12">
        <v>0</v>
      </c>
      <c r="O386" s="12">
        <v>200</v>
      </c>
      <c r="P386" s="12">
        <v>201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/>
      <c r="AC386" s="13">
        <f t="shared" si="86"/>
        <v>0</v>
      </c>
      <c r="AF386" s="13">
        <f>H386*AF$2</f>
        <v>124800</v>
      </c>
      <c r="AG386" s="13">
        <f>H386*AG$2</f>
        <v>25600</v>
      </c>
      <c r="AH386" s="13">
        <f>H386*AH$2</f>
        <v>96000</v>
      </c>
      <c r="AI386" s="13">
        <f>H386*$AI$2</f>
        <v>39400</v>
      </c>
      <c r="AL386" s="14">
        <f t="shared" si="87"/>
        <v>285800</v>
      </c>
    </row>
    <row r="387" spans="1:38" hidden="1" x14ac:dyDescent="0.25">
      <c r="A387" s="12" t="s">
        <v>51</v>
      </c>
      <c r="B387" s="12" t="s">
        <v>462</v>
      </c>
      <c r="C387" s="12" t="s">
        <v>308</v>
      </c>
      <c r="D387" s="12"/>
      <c r="E387" s="12">
        <f t="shared" si="85"/>
        <v>201</v>
      </c>
      <c r="F387" s="12" t="s">
        <v>70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201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/>
      <c r="AC387" s="13">
        <f t="shared" si="86"/>
        <v>0</v>
      </c>
      <c r="AL387" s="14">
        <f t="shared" si="87"/>
        <v>0</v>
      </c>
    </row>
    <row r="388" spans="1:38" hidden="1" x14ac:dyDescent="0.25">
      <c r="A388" s="12" t="s">
        <v>51</v>
      </c>
      <c r="B388" s="12" t="s">
        <v>463</v>
      </c>
      <c r="C388" s="12" t="s">
        <v>308</v>
      </c>
      <c r="D388" s="12"/>
      <c r="E388" s="12">
        <f t="shared" si="85"/>
        <v>201</v>
      </c>
      <c r="F388" s="12" t="s">
        <v>70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201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/>
      <c r="AC388" s="13">
        <f t="shared" si="86"/>
        <v>0</v>
      </c>
      <c r="AL388" s="14">
        <f t="shared" si="87"/>
        <v>0</v>
      </c>
    </row>
    <row r="389" spans="1:38" hidden="1" x14ac:dyDescent="0.25">
      <c r="A389" s="12" t="s">
        <v>51</v>
      </c>
      <c r="B389" s="12" t="s">
        <v>464</v>
      </c>
      <c r="C389" s="12" t="s">
        <v>308</v>
      </c>
      <c r="D389" s="12"/>
      <c r="E389" s="12">
        <f t="shared" ref="E389:E452" si="115">MAX(G389:Z389)</f>
        <v>201</v>
      </c>
      <c r="F389" s="12" t="s">
        <v>70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201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/>
      <c r="AC389" s="13">
        <f t="shared" ref="AC389:AC452" si="116">M389*AC$2</f>
        <v>0</v>
      </c>
      <c r="AL389" s="14">
        <f t="shared" si="87"/>
        <v>0</v>
      </c>
    </row>
    <row r="390" spans="1:38" hidden="1" x14ac:dyDescent="0.25">
      <c r="A390" s="12" t="s">
        <v>51</v>
      </c>
      <c r="B390" s="12" t="s">
        <v>465</v>
      </c>
      <c r="C390" s="12" t="s">
        <v>308</v>
      </c>
      <c r="D390" s="12"/>
      <c r="E390" s="12">
        <f t="shared" si="115"/>
        <v>201</v>
      </c>
      <c r="F390" s="12" t="s">
        <v>70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201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/>
      <c r="AC390" s="13">
        <f t="shared" si="116"/>
        <v>0</v>
      </c>
      <c r="AL390" s="14">
        <f t="shared" ref="AL390:AL453" si="117">SUM(AC390:AK390)</f>
        <v>0</v>
      </c>
    </row>
    <row r="391" spans="1:38" hidden="1" x14ac:dyDescent="0.25">
      <c r="A391" s="12" t="s">
        <v>173</v>
      </c>
      <c r="B391" s="12" t="s">
        <v>466</v>
      </c>
      <c r="C391" s="12" t="s">
        <v>308</v>
      </c>
      <c r="D391" s="12"/>
      <c r="E391" s="12">
        <f t="shared" si="115"/>
        <v>201</v>
      </c>
      <c r="F391" s="12" t="str">
        <f>VLOOKUP(B391,[1]lookup!A:B,2,FALSE)</f>
        <v>SaaS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201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/>
      <c r="AC391" s="13">
        <f t="shared" si="116"/>
        <v>0</v>
      </c>
      <c r="AL391" s="14">
        <f t="shared" si="117"/>
        <v>0</v>
      </c>
    </row>
    <row r="392" spans="1:38" hidden="1" x14ac:dyDescent="0.25">
      <c r="A392" s="12" t="s">
        <v>86</v>
      </c>
      <c r="B392" s="12" t="s">
        <v>467</v>
      </c>
      <c r="C392" s="12" t="s">
        <v>308</v>
      </c>
      <c r="D392" s="12"/>
      <c r="E392" s="12">
        <f t="shared" si="115"/>
        <v>200</v>
      </c>
      <c r="F392" s="12" t="str">
        <f>VLOOKUP(B392,[1]lookup!A:B,2,FALSE)</f>
        <v>Term</v>
      </c>
      <c r="G392" s="12">
        <v>0</v>
      </c>
      <c r="H392" s="12">
        <v>200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/>
      <c r="AC392" s="13">
        <f t="shared" si="116"/>
        <v>0</v>
      </c>
      <c r="AF392" s="13">
        <f t="shared" ref="AF392:AF393" si="118">H392*AF$2</f>
        <v>124800</v>
      </c>
      <c r="AG392" s="13">
        <f t="shared" ref="AG392:AG393" si="119">H392*AG$2</f>
        <v>25600</v>
      </c>
      <c r="AH392" s="13">
        <f t="shared" ref="AH392:AH393" si="120">H392*AH$2</f>
        <v>96000</v>
      </c>
      <c r="AI392" s="13">
        <f t="shared" ref="AI392:AI393" si="121">H392*$AI$2</f>
        <v>39400</v>
      </c>
      <c r="AJ392" s="13">
        <f>AJ$2*H392</f>
        <v>120000</v>
      </c>
      <c r="AK392" s="15">
        <f>H392*AK$2</f>
        <v>24000</v>
      </c>
      <c r="AL392" s="14">
        <f t="shared" si="117"/>
        <v>429800</v>
      </c>
    </row>
    <row r="393" spans="1:38" hidden="1" x14ac:dyDescent="0.25">
      <c r="A393" s="12" t="s">
        <v>86</v>
      </c>
      <c r="B393" s="12" t="s">
        <v>468</v>
      </c>
      <c r="C393" s="12" t="s">
        <v>308</v>
      </c>
      <c r="D393" s="12"/>
      <c r="E393" s="12">
        <f t="shared" si="115"/>
        <v>200</v>
      </c>
      <c r="F393" s="12" t="str">
        <f>VLOOKUP(B393,[1]lookup!A:B,2,FALSE)</f>
        <v>SaaS</v>
      </c>
      <c r="G393" s="12">
        <v>200</v>
      </c>
      <c r="H393" s="12">
        <v>200</v>
      </c>
      <c r="I393" s="12">
        <v>0</v>
      </c>
      <c r="J393" s="12">
        <v>200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/>
      <c r="AC393" s="13">
        <f t="shared" si="116"/>
        <v>0</v>
      </c>
      <c r="AD393" s="13">
        <f>J393*AD$2</f>
        <v>48000</v>
      </c>
      <c r="AE393" s="13">
        <f>J393*AE$2</f>
        <v>24000</v>
      </c>
      <c r="AF393" s="13">
        <f t="shared" si="118"/>
        <v>124800</v>
      </c>
      <c r="AG393" s="13">
        <f t="shared" si="119"/>
        <v>25600</v>
      </c>
      <c r="AH393" s="13">
        <f t="shared" si="120"/>
        <v>96000</v>
      </c>
      <c r="AI393" s="13">
        <f t="shared" si="121"/>
        <v>39400</v>
      </c>
      <c r="AJ393" s="13">
        <f>AJ$2*H393</f>
        <v>120000</v>
      </c>
      <c r="AL393" s="14">
        <f t="shared" si="117"/>
        <v>477800</v>
      </c>
    </row>
    <row r="394" spans="1:38" hidden="1" x14ac:dyDescent="0.25">
      <c r="A394" s="12" t="s">
        <v>53</v>
      </c>
      <c r="B394" s="12" t="s">
        <v>469</v>
      </c>
      <c r="C394" s="12" t="s">
        <v>308</v>
      </c>
      <c r="D394" s="12"/>
      <c r="E394" s="12">
        <f t="shared" si="115"/>
        <v>200</v>
      </c>
      <c r="F394" s="12" t="str">
        <f>VLOOKUP(B394,[1]lookup!A:B,2,FALSE)</f>
        <v>Term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200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/>
      <c r="AC394" s="13">
        <f t="shared" si="116"/>
        <v>48000</v>
      </c>
      <c r="AL394" s="14">
        <f t="shared" si="117"/>
        <v>48000</v>
      </c>
    </row>
    <row r="395" spans="1:38" hidden="1" x14ac:dyDescent="0.25">
      <c r="A395" s="12" t="s">
        <v>114</v>
      </c>
      <c r="B395" s="12" t="s">
        <v>470</v>
      </c>
      <c r="C395" s="12" t="s">
        <v>308</v>
      </c>
      <c r="D395" s="12"/>
      <c r="E395" s="12">
        <f t="shared" si="115"/>
        <v>200</v>
      </c>
      <c r="F395" s="12" t="str">
        <f>VLOOKUP(B395,[1]lookup!A:B,2,FALSE)</f>
        <v>SaaS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200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/>
      <c r="AC395" s="13">
        <f t="shared" si="116"/>
        <v>0</v>
      </c>
      <c r="AL395" s="14">
        <f t="shared" si="117"/>
        <v>0</v>
      </c>
    </row>
    <row r="396" spans="1:38" hidden="1" x14ac:dyDescent="0.25">
      <c r="A396" s="12" t="s">
        <v>51</v>
      </c>
      <c r="B396" s="12" t="s">
        <v>471</v>
      </c>
      <c r="C396" s="12" t="s">
        <v>308</v>
      </c>
      <c r="D396" s="12"/>
      <c r="E396" s="12">
        <f t="shared" si="115"/>
        <v>200</v>
      </c>
      <c r="F396" s="12" t="s">
        <v>70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200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/>
      <c r="AC396" s="13">
        <f t="shared" si="116"/>
        <v>0</v>
      </c>
      <c r="AL396" s="14">
        <f t="shared" si="117"/>
        <v>0</v>
      </c>
    </row>
    <row r="397" spans="1:38" hidden="1" x14ac:dyDescent="0.25">
      <c r="A397" s="12" t="s">
        <v>173</v>
      </c>
      <c r="B397" s="12" t="s">
        <v>472</v>
      </c>
      <c r="C397" s="12" t="s">
        <v>308</v>
      </c>
      <c r="D397" s="12"/>
      <c r="E397" s="12">
        <f t="shared" si="115"/>
        <v>200</v>
      </c>
      <c r="F397" s="12" t="str">
        <f>VLOOKUP(B397,[1]lookup!A:B,2,FALSE)</f>
        <v>SaaS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200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/>
      <c r="AC397" s="13">
        <f t="shared" si="116"/>
        <v>0</v>
      </c>
      <c r="AL397" s="14">
        <f t="shared" si="117"/>
        <v>0</v>
      </c>
    </row>
    <row r="398" spans="1:38" hidden="1" x14ac:dyDescent="0.25">
      <c r="A398" s="12" t="s">
        <v>173</v>
      </c>
      <c r="B398" s="12" t="s">
        <v>473</v>
      </c>
      <c r="C398" s="12" t="s">
        <v>308</v>
      </c>
      <c r="D398" s="12"/>
      <c r="E398" s="12">
        <f t="shared" si="115"/>
        <v>200</v>
      </c>
      <c r="F398" s="12" t="str">
        <f>VLOOKUP(B398,[1]lookup!A:B,2,FALSE)</f>
        <v>SaaS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200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/>
      <c r="AC398" s="13">
        <f t="shared" si="116"/>
        <v>0</v>
      </c>
      <c r="AL398" s="14">
        <f t="shared" si="117"/>
        <v>0</v>
      </c>
    </row>
    <row r="399" spans="1:38" hidden="1" x14ac:dyDescent="0.25">
      <c r="A399" s="12" t="s">
        <v>233</v>
      </c>
      <c r="B399" s="12" t="s">
        <v>474</v>
      </c>
      <c r="C399" s="12" t="s">
        <v>308</v>
      </c>
      <c r="D399" s="12"/>
      <c r="E399" s="12">
        <f t="shared" si="115"/>
        <v>194</v>
      </c>
      <c r="F399" s="12" t="str">
        <f>VLOOKUP(B399,[1]lookup!A:B,2,FALSE)</f>
        <v>SaaS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194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/>
      <c r="AC399" s="13">
        <f t="shared" si="116"/>
        <v>0</v>
      </c>
      <c r="AL399" s="14">
        <f t="shared" si="117"/>
        <v>0</v>
      </c>
    </row>
    <row r="400" spans="1:38" hidden="1" x14ac:dyDescent="0.25">
      <c r="A400" s="12" t="s">
        <v>148</v>
      </c>
      <c r="B400" s="12" t="s">
        <v>475</v>
      </c>
      <c r="C400" s="12" t="s">
        <v>308</v>
      </c>
      <c r="D400" s="12"/>
      <c r="E400" s="12">
        <f t="shared" si="115"/>
        <v>194</v>
      </c>
      <c r="F400" s="12" t="s">
        <v>70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194</v>
      </c>
      <c r="X400" s="12">
        <v>0</v>
      </c>
      <c r="Y400" s="12">
        <v>0</v>
      </c>
      <c r="Z400" s="12">
        <v>0</v>
      </c>
      <c r="AA400" s="12"/>
      <c r="AC400" s="13">
        <f t="shared" si="116"/>
        <v>0</v>
      </c>
      <c r="AL400" s="14">
        <f t="shared" si="117"/>
        <v>0</v>
      </c>
    </row>
    <row r="401" spans="1:38" hidden="1" x14ac:dyDescent="0.25">
      <c r="A401" s="12" t="s">
        <v>86</v>
      </c>
      <c r="B401" s="12" t="s">
        <v>476</v>
      </c>
      <c r="C401" s="12" t="s">
        <v>308</v>
      </c>
      <c r="D401" s="12"/>
      <c r="E401" s="12">
        <f t="shared" si="115"/>
        <v>192</v>
      </c>
      <c r="F401" s="12" t="str">
        <f>VLOOKUP(B401,[1]lookup!A:B,2,FALSE)</f>
        <v>Term</v>
      </c>
      <c r="G401" s="12">
        <v>0</v>
      </c>
      <c r="H401" s="12">
        <v>192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/>
      <c r="AC401" s="13">
        <f t="shared" si="116"/>
        <v>0</v>
      </c>
      <c r="AF401" s="13">
        <f t="shared" ref="AF401:AF402" si="122">H401*AF$2</f>
        <v>119808</v>
      </c>
      <c r="AG401" s="13">
        <f t="shared" ref="AG401:AG402" si="123">H401*AG$2</f>
        <v>24576</v>
      </c>
      <c r="AH401" s="13">
        <f t="shared" ref="AH401:AH402" si="124">H401*AH$2</f>
        <v>92160</v>
      </c>
      <c r="AI401" s="13">
        <f t="shared" ref="AI401:AI402" si="125">H401*$AI$2</f>
        <v>37824</v>
      </c>
      <c r="AJ401" s="13">
        <f>AJ$2*H401</f>
        <v>115200</v>
      </c>
      <c r="AK401" s="15">
        <f>H401*AK$2</f>
        <v>23040</v>
      </c>
      <c r="AL401" s="14">
        <f t="shared" si="117"/>
        <v>412608</v>
      </c>
    </row>
    <row r="402" spans="1:38" hidden="1" x14ac:dyDescent="0.25">
      <c r="A402" s="12" t="s">
        <v>60</v>
      </c>
      <c r="B402" s="12" t="s">
        <v>477</v>
      </c>
      <c r="C402" s="12" t="s">
        <v>308</v>
      </c>
      <c r="D402" s="12"/>
      <c r="E402" s="12">
        <f t="shared" si="115"/>
        <v>192</v>
      </c>
      <c r="F402" s="12" t="str">
        <f>VLOOKUP(B402,[1]lookup!A:B,2,FALSE)</f>
        <v>Term</v>
      </c>
      <c r="G402" s="12">
        <v>0</v>
      </c>
      <c r="H402" s="12">
        <v>192</v>
      </c>
      <c r="I402" s="12">
        <v>192</v>
      </c>
      <c r="J402" s="12">
        <v>192</v>
      </c>
      <c r="K402" s="12">
        <v>0</v>
      </c>
      <c r="L402" s="12">
        <v>0</v>
      </c>
      <c r="M402" s="12">
        <v>192</v>
      </c>
      <c r="N402" s="12">
        <v>0</v>
      </c>
      <c r="O402" s="12">
        <v>192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2"/>
      <c r="AC402" s="13">
        <f t="shared" si="116"/>
        <v>46080</v>
      </c>
      <c r="AD402" s="13">
        <f>J402*AD$2</f>
        <v>46080</v>
      </c>
      <c r="AE402" s="13">
        <f>J402*AE$2</f>
        <v>23040</v>
      </c>
      <c r="AF402" s="13">
        <f t="shared" si="122"/>
        <v>119808</v>
      </c>
      <c r="AG402" s="13">
        <f t="shared" si="123"/>
        <v>24576</v>
      </c>
      <c r="AH402" s="13">
        <f t="shared" si="124"/>
        <v>92160</v>
      </c>
      <c r="AI402" s="13">
        <f t="shared" si="125"/>
        <v>37824</v>
      </c>
      <c r="AJ402" s="13">
        <f t="shared" ref="AJ402" si="126">AJ$2*H402</f>
        <v>115200</v>
      </c>
      <c r="AL402" s="14">
        <f t="shared" si="117"/>
        <v>504768</v>
      </c>
    </row>
    <row r="403" spans="1:38" hidden="1" x14ac:dyDescent="0.25">
      <c r="A403" s="12" t="s">
        <v>92</v>
      </c>
      <c r="B403" s="12" t="s">
        <v>478</v>
      </c>
      <c r="C403" s="12" t="s">
        <v>308</v>
      </c>
      <c r="D403" s="12"/>
      <c r="E403" s="12">
        <f t="shared" si="115"/>
        <v>192</v>
      </c>
      <c r="F403" s="12" t="s">
        <v>70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192</v>
      </c>
      <c r="X403" s="12">
        <v>0</v>
      </c>
      <c r="Y403" s="12">
        <v>0</v>
      </c>
      <c r="Z403" s="12">
        <v>0</v>
      </c>
      <c r="AA403" s="12"/>
      <c r="AC403" s="13">
        <f t="shared" si="116"/>
        <v>0</v>
      </c>
      <c r="AL403" s="14">
        <f t="shared" si="117"/>
        <v>0</v>
      </c>
    </row>
    <row r="404" spans="1:38" hidden="1" x14ac:dyDescent="0.25">
      <c r="A404" s="12" t="s">
        <v>51</v>
      </c>
      <c r="B404" s="12" t="s">
        <v>479</v>
      </c>
      <c r="C404" s="12" t="s">
        <v>308</v>
      </c>
      <c r="D404" s="12"/>
      <c r="E404" s="12">
        <f t="shared" si="115"/>
        <v>191</v>
      </c>
      <c r="F404" s="12" t="s">
        <v>70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191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/>
      <c r="AC404" s="13">
        <f t="shared" si="116"/>
        <v>0</v>
      </c>
      <c r="AL404" s="14">
        <f t="shared" si="117"/>
        <v>0</v>
      </c>
    </row>
    <row r="405" spans="1:38" hidden="1" x14ac:dyDescent="0.25">
      <c r="A405" s="12" t="s">
        <v>51</v>
      </c>
      <c r="B405" s="12" t="s">
        <v>480</v>
      </c>
      <c r="C405" s="12" t="s">
        <v>308</v>
      </c>
      <c r="D405" s="12"/>
      <c r="E405" s="12">
        <f t="shared" si="115"/>
        <v>190</v>
      </c>
      <c r="F405" s="12" t="s">
        <v>70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190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/>
      <c r="AC405" s="13">
        <f t="shared" si="116"/>
        <v>0</v>
      </c>
      <c r="AL405" s="14">
        <f t="shared" si="117"/>
        <v>0</v>
      </c>
    </row>
    <row r="406" spans="1:38" hidden="1" x14ac:dyDescent="0.25">
      <c r="A406" s="12" t="s">
        <v>148</v>
      </c>
      <c r="B406" s="12" t="s">
        <v>481</v>
      </c>
      <c r="C406" s="12" t="s">
        <v>308</v>
      </c>
      <c r="D406" s="12"/>
      <c r="E406" s="12">
        <f t="shared" si="115"/>
        <v>189</v>
      </c>
      <c r="F406" s="12" t="s">
        <v>70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189</v>
      </c>
      <c r="X406" s="12">
        <v>0</v>
      </c>
      <c r="Y406" s="12">
        <v>0</v>
      </c>
      <c r="Z406" s="12">
        <v>0</v>
      </c>
      <c r="AA406" s="12"/>
      <c r="AC406" s="13">
        <f t="shared" si="116"/>
        <v>0</v>
      </c>
      <c r="AL406" s="14">
        <f t="shared" si="117"/>
        <v>0</v>
      </c>
    </row>
    <row r="407" spans="1:38" hidden="1" x14ac:dyDescent="0.25">
      <c r="A407" s="12" t="s">
        <v>360</v>
      </c>
      <c r="B407" s="12" t="s">
        <v>482</v>
      </c>
      <c r="C407" s="12" t="s">
        <v>308</v>
      </c>
      <c r="D407" s="12"/>
      <c r="E407" s="12">
        <f t="shared" si="115"/>
        <v>187</v>
      </c>
      <c r="F407" s="12" t="str">
        <f>VLOOKUP(B407,[1]lookup!A:B,2,FALSE)</f>
        <v>Perpetual</v>
      </c>
      <c r="G407" s="12">
        <v>0</v>
      </c>
      <c r="H407" s="12">
        <v>187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/>
      <c r="AC407" s="13">
        <f t="shared" si="116"/>
        <v>0</v>
      </c>
      <c r="AF407" s="13">
        <f>H407*AF$2</f>
        <v>116688</v>
      </c>
      <c r="AG407" s="13">
        <f>H407*AG$2</f>
        <v>23936</v>
      </c>
      <c r="AH407" s="13">
        <f>H407*AH$2</f>
        <v>89760</v>
      </c>
      <c r="AI407" s="13">
        <f>H407*$AI$2</f>
        <v>36839</v>
      </c>
      <c r="AJ407" s="13">
        <f>AJ$2*H407</f>
        <v>112200</v>
      </c>
      <c r="AK407" s="15">
        <f>H407*AK$2</f>
        <v>22440</v>
      </c>
      <c r="AL407" s="14">
        <f t="shared" si="117"/>
        <v>401863</v>
      </c>
    </row>
    <row r="408" spans="1:38" hidden="1" x14ac:dyDescent="0.25">
      <c r="A408" s="12" t="s">
        <v>51</v>
      </c>
      <c r="B408" s="12" t="s">
        <v>483</v>
      </c>
      <c r="C408" s="12" t="s">
        <v>308</v>
      </c>
      <c r="D408" s="12"/>
      <c r="E408" s="12">
        <f t="shared" si="115"/>
        <v>186</v>
      </c>
      <c r="F408" s="12" t="s">
        <v>70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186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/>
      <c r="AC408" s="13">
        <f t="shared" si="116"/>
        <v>0</v>
      </c>
      <c r="AL408" s="14">
        <f t="shared" si="117"/>
        <v>0</v>
      </c>
    </row>
    <row r="409" spans="1:38" hidden="1" x14ac:dyDescent="0.25">
      <c r="A409" s="12" t="s">
        <v>148</v>
      </c>
      <c r="B409" s="12" t="s">
        <v>484</v>
      </c>
      <c r="C409" s="12" t="s">
        <v>308</v>
      </c>
      <c r="D409" s="12"/>
      <c r="E409" s="12">
        <f t="shared" si="115"/>
        <v>182</v>
      </c>
      <c r="F409" s="12" t="s">
        <v>70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182</v>
      </c>
      <c r="X409" s="12">
        <v>0</v>
      </c>
      <c r="Y409" s="12">
        <v>0</v>
      </c>
      <c r="Z409" s="12">
        <v>0</v>
      </c>
      <c r="AA409" s="12"/>
      <c r="AC409" s="13">
        <f t="shared" si="116"/>
        <v>0</v>
      </c>
      <c r="AL409" s="14">
        <f t="shared" si="117"/>
        <v>0</v>
      </c>
    </row>
    <row r="410" spans="1:38" hidden="1" x14ac:dyDescent="0.25">
      <c r="A410" s="12" t="s">
        <v>86</v>
      </c>
      <c r="B410" s="12" t="s">
        <v>485</v>
      </c>
      <c r="C410" s="12" t="s">
        <v>308</v>
      </c>
      <c r="D410" s="12"/>
      <c r="E410" s="12">
        <f t="shared" si="115"/>
        <v>181</v>
      </c>
      <c r="F410" s="12" t="str">
        <f>VLOOKUP(B410,[1]lookup!A:B,2,FALSE)</f>
        <v>Perpetual</v>
      </c>
      <c r="G410" s="12">
        <v>0</v>
      </c>
      <c r="H410" s="12">
        <v>180</v>
      </c>
      <c r="I410" s="12">
        <v>181</v>
      </c>
      <c r="J410" s="12">
        <v>180</v>
      </c>
      <c r="K410" s="12">
        <v>180</v>
      </c>
      <c r="L410" s="12">
        <v>0</v>
      </c>
      <c r="M410" s="12">
        <v>0</v>
      </c>
      <c r="N410" s="12">
        <v>0</v>
      </c>
      <c r="O410" s="12">
        <v>180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/>
      <c r="AC410" s="13">
        <f t="shared" si="116"/>
        <v>0</v>
      </c>
      <c r="AF410" s="13">
        <f t="shared" ref="AF410:AF413" si="127">H410*AF$2</f>
        <v>112320</v>
      </c>
      <c r="AG410" s="13">
        <f t="shared" ref="AG410:AG413" si="128">H410*AG$2</f>
        <v>23040</v>
      </c>
      <c r="AH410" s="13">
        <f t="shared" ref="AH410:AH413" si="129">H410*AH$2</f>
        <v>86400</v>
      </c>
      <c r="AI410" s="13">
        <f t="shared" ref="AI410:AI413" si="130">H410*$AI$2</f>
        <v>35460</v>
      </c>
      <c r="AJ410" s="13">
        <f t="shared" ref="AJ410:AJ413" si="131">AJ$2*H410</f>
        <v>108000</v>
      </c>
      <c r="AL410" s="14">
        <f t="shared" si="117"/>
        <v>365220</v>
      </c>
    </row>
    <row r="411" spans="1:38" hidden="1" x14ac:dyDescent="0.25">
      <c r="A411" s="12" t="s">
        <v>86</v>
      </c>
      <c r="B411" s="12" t="s">
        <v>486</v>
      </c>
      <c r="C411" s="12" t="s">
        <v>308</v>
      </c>
      <c r="D411" s="12"/>
      <c r="E411" s="12">
        <f t="shared" si="115"/>
        <v>180</v>
      </c>
      <c r="F411" s="12" t="str">
        <f>VLOOKUP(B411,[1]lookup!A:B,2,FALSE)</f>
        <v>Term</v>
      </c>
      <c r="G411" s="12">
        <v>0</v>
      </c>
      <c r="H411" s="12">
        <v>180</v>
      </c>
      <c r="I411" s="12">
        <v>0</v>
      </c>
      <c r="J411" s="12">
        <v>0</v>
      </c>
      <c r="K411" s="12">
        <v>0</v>
      </c>
      <c r="L411" s="12">
        <v>150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/>
      <c r="AC411" s="13">
        <f t="shared" si="116"/>
        <v>0</v>
      </c>
      <c r="AF411" s="13">
        <f t="shared" si="127"/>
        <v>112320</v>
      </c>
      <c r="AG411" s="13">
        <f t="shared" si="128"/>
        <v>23040</v>
      </c>
      <c r="AH411" s="13">
        <f t="shared" si="129"/>
        <v>86400</v>
      </c>
      <c r="AI411" s="13">
        <f t="shared" si="130"/>
        <v>35460</v>
      </c>
      <c r="AJ411" s="13">
        <f t="shared" si="131"/>
        <v>108000</v>
      </c>
      <c r="AK411" s="15">
        <f>H411*AK$2</f>
        <v>21600</v>
      </c>
      <c r="AL411" s="14">
        <f t="shared" si="117"/>
        <v>386820</v>
      </c>
    </row>
    <row r="412" spans="1:38" hidden="1" x14ac:dyDescent="0.25">
      <c r="A412" s="12" t="s">
        <v>46</v>
      </c>
      <c r="B412" s="12" t="s">
        <v>52</v>
      </c>
      <c r="C412" s="12" t="s">
        <v>308</v>
      </c>
      <c r="D412" s="12"/>
      <c r="E412" s="12">
        <f t="shared" si="115"/>
        <v>180</v>
      </c>
      <c r="F412" s="12" t="str">
        <f>VLOOKUP(B412,[1]lookup!A:B,2,FALSE)</f>
        <v>Term</v>
      </c>
      <c r="G412" s="12">
        <v>0</v>
      </c>
      <c r="H412" s="12">
        <v>180</v>
      </c>
      <c r="I412" s="12">
        <v>180</v>
      </c>
      <c r="J412" s="12">
        <v>180</v>
      </c>
      <c r="K412" s="12">
        <v>0</v>
      </c>
      <c r="L412" s="12">
        <v>180</v>
      </c>
      <c r="M412" s="12">
        <v>180</v>
      </c>
      <c r="N412" s="12">
        <v>0</v>
      </c>
      <c r="O412" s="12">
        <v>180</v>
      </c>
      <c r="P412" s="12">
        <v>0</v>
      </c>
      <c r="Q412" s="12">
        <v>0</v>
      </c>
      <c r="R412" s="12">
        <v>0</v>
      </c>
      <c r="S412" s="12">
        <v>180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/>
      <c r="AC412" s="13">
        <f t="shared" si="116"/>
        <v>43200</v>
      </c>
      <c r="AD412" s="13">
        <f>J412*AD$2</f>
        <v>43200</v>
      </c>
      <c r="AE412" s="13">
        <f>J412*AE$2</f>
        <v>21600</v>
      </c>
      <c r="AF412" s="13">
        <f t="shared" si="127"/>
        <v>112320</v>
      </c>
      <c r="AG412" s="13">
        <f t="shared" si="128"/>
        <v>23040</v>
      </c>
      <c r="AH412" s="13">
        <f t="shared" si="129"/>
        <v>86400</v>
      </c>
      <c r="AI412" s="13">
        <f t="shared" si="130"/>
        <v>35460</v>
      </c>
      <c r="AJ412" s="13">
        <f t="shared" si="131"/>
        <v>108000</v>
      </c>
      <c r="AL412" s="14">
        <f t="shared" si="117"/>
        <v>473220</v>
      </c>
    </row>
    <row r="413" spans="1:38" hidden="1" x14ac:dyDescent="0.25">
      <c r="A413" s="12" t="s">
        <v>399</v>
      </c>
      <c r="B413" s="12" t="s">
        <v>487</v>
      </c>
      <c r="C413" s="12" t="s">
        <v>308</v>
      </c>
      <c r="D413" s="12"/>
      <c r="E413" s="12">
        <f t="shared" si="115"/>
        <v>180</v>
      </c>
      <c r="F413" s="12" t="str">
        <f>VLOOKUP(B413,[1]lookup!A:B,2,FALSE)</f>
        <v>Perpetual</v>
      </c>
      <c r="G413" s="12">
        <v>0</v>
      </c>
      <c r="H413" s="12">
        <v>180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/>
      <c r="AC413" s="13">
        <f t="shared" si="116"/>
        <v>0</v>
      </c>
      <c r="AF413" s="13">
        <f t="shared" si="127"/>
        <v>112320</v>
      </c>
      <c r="AG413" s="13">
        <f t="shared" si="128"/>
        <v>23040</v>
      </c>
      <c r="AH413" s="13">
        <f t="shared" si="129"/>
        <v>86400</v>
      </c>
      <c r="AI413" s="13">
        <f t="shared" si="130"/>
        <v>35460</v>
      </c>
      <c r="AJ413" s="13">
        <f t="shared" si="131"/>
        <v>108000</v>
      </c>
      <c r="AK413" s="15">
        <f>H413*AK$2</f>
        <v>21600</v>
      </c>
      <c r="AL413" s="14">
        <f t="shared" si="117"/>
        <v>386820</v>
      </c>
    </row>
    <row r="414" spans="1:38" hidden="1" x14ac:dyDescent="0.25">
      <c r="A414" s="12" t="s">
        <v>296</v>
      </c>
      <c r="B414" s="12" t="s">
        <v>488</v>
      </c>
      <c r="C414" s="12" t="s">
        <v>308</v>
      </c>
      <c r="D414" s="12"/>
      <c r="E414" s="12">
        <f t="shared" si="115"/>
        <v>180</v>
      </c>
      <c r="F414" s="12" t="s">
        <v>70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180</v>
      </c>
      <c r="X414" s="12">
        <v>0</v>
      </c>
      <c r="Y414" s="12">
        <v>0</v>
      </c>
      <c r="Z414" s="12">
        <v>0</v>
      </c>
      <c r="AA414" s="12"/>
      <c r="AC414" s="13">
        <f t="shared" si="116"/>
        <v>0</v>
      </c>
      <c r="AL414" s="14">
        <f t="shared" si="117"/>
        <v>0</v>
      </c>
    </row>
    <row r="415" spans="1:38" hidden="1" x14ac:dyDescent="0.25">
      <c r="A415" s="12" t="s">
        <v>86</v>
      </c>
      <c r="B415" s="12" t="s">
        <v>489</v>
      </c>
      <c r="C415" s="12" t="s">
        <v>308</v>
      </c>
      <c r="D415" s="12"/>
      <c r="E415" s="12">
        <f t="shared" si="115"/>
        <v>178</v>
      </c>
      <c r="F415" s="12" t="str">
        <f>VLOOKUP(B415,[1]lookup!A:B,2,FALSE)</f>
        <v>Term</v>
      </c>
      <c r="G415" s="12">
        <v>0</v>
      </c>
      <c r="H415" s="12">
        <v>178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/>
      <c r="AC415" s="13">
        <f t="shared" si="116"/>
        <v>0</v>
      </c>
      <c r="AF415" s="13">
        <f>H415*AF$2</f>
        <v>111072</v>
      </c>
      <c r="AG415" s="13">
        <f>H415*AG$2</f>
        <v>22784</v>
      </c>
      <c r="AH415" s="13">
        <f>H415*AH$2</f>
        <v>85440</v>
      </c>
      <c r="AI415" s="13">
        <f>H415*$AI$2</f>
        <v>35066</v>
      </c>
      <c r="AJ415" s="13">
        <f>AJ$2*H415</f>
        <v>106800</v>
      </c>
      <c r="AK415" s="15">
        <f>H415*AK$2</f>
        <v>21360</v>
      </c>
      <c r="AL415" s="14">
        <f t="shared" si="117"/>
        <v>382522</v>
      </c>
    </row>
    <row r="416" spans="1:38" hidden="1" x14ac:dyDescent="0.25">
      <c r="A416" s="12" t="s">
        <v>51</v>
      </c>
      <c r="B416" s="12" t="s">
        <v>490</v>
      </c>
      <c r="C416" s="12" t="s">
        <v>308</v>
      </c>
      <c r="D416" s="12"/>
      <c r="E416" s="12">
        <f t="shared" si="115"/>
        <v>178</v>
      </c>
      <c r="F416" s="12" t="s">
        <v>70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178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/>
      <c r="AC416" s="13">
        <f t="shared" si="116"/>
        <v>0</v>
      </c>
      <c r="AL416" s="14">
        <f t="shared" si="117"/>
        <v>0</v>
      </c>
    </row>
    <row r="417" spans="1:38" hidden="1" x14ac:dyDescent="0.25">
      <c r="A417" s="12" t="s">
        <v>64</v>
      </c>
      <c r="B417" s="12" t="s">
        <v>491</v>
      </c>
      <c r="C417" s="12" t="s">
        <v>308</v>
      </c>
      <c r="D417" s="12"/>
      <c r="E417" s="12">
        <f t="shared" si="115"/>
        <v>175</v>
      </c>
      <c r="F417" s="12" t="s">
        <v>70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175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/>
      <c r="AC417" s="13">
        <f t="shared" si="116"/>
        <v>0</v>
      </c>
      <c r="AL417" s="14">
        <f t="shared" si="117"/>
        <v>0</v>
      </c>
    </row>
    <row r="418" spans="1:38" hidden="1" x14ac:dyDescent="0.25">
      <c r="A418" s="12" t="s">
        <v>492</v>
      </c>
      <c r="B418" s="12" t="s">
        <v>198</v>
      </c>
      <c r="C418" s="12" t="s">
        <v>308</v>
      </c>
      <c r="D418" s="12"/>
      <c r="E418" s="12">
        <f t="shared" si="115"/>
        <v>175</v>
      </c>
      <c r="F418" s="12" t="str">
        <f>VLOOKUP(B418,[1]lookup!A:B,2,FALSE)</f>
        <v>Perpetual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175</v>
      </c>
      <c r="N418" s="12">
        <v>0</v>
      </c>
      <c r="O418" s="12">
        <v>175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/>
      <c r="AC418" s="13">
        <f t="shared" si="116"/>
        <v>42000</v>
      </c>
      <c r="AL418" s="14">
        <f t="shared" si="117"/>
        <v>42000</v>
      </c>
    </row>
    <row r="419" spans="1:38" hidden="1" x14ac:dyDescent="0.25">
      <c r="A419" s="12" t="s">
        <v>415</v>
      </c>
      <c r="B419" s="12" t="s">
        <v>493</v>
      </c>
      <c r="C419" s="12" t="s">
        <v>308</v>
      </c>
      <c r="D419" s="12"/>
      <c r="E419" s="12">
        <f t="shared" si="115"/>
        <v>175</v>
      </c>
      <c r="F419" s="12" t="str">
        <f>VLOOKUP(B419,[1]lookup!A:B,2,FALSE)</f>
        <v>SaaS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175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/>
      <c r="AC419" s="13">
        <f t="shared" si="116"/>
        <v>0</v>
      </c>
      <c r="AL419" s="14">
        <f t="shared" si="117"/>
        <v>0</v>
      </c>
    </row>
    <row r="420" spans="1:38" hidden="1" x14ac:dyDescent="0.25">
      <c r="A420" s="12" t="s">
        <v>51</v>
      </c>
      <c r="B420" s="12" t="s">
        <v>494</v>
      </c>
      <c r="C420" s="12" t="s">
        <v>308</v>
      </c>
      <c r="D420" s="12"/>
      <c r="E420" s="12">
        <f t="shared" si="115"/>
        <v>172</v>
      </c>
      <c r="F420" s="12" t="s">
        <v>70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172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/>
      <c r="AC420" s="13">
        <f t="shared" si="116"/>
        <v>0</v>
      </c>
      <c r="AL420" s="14">
        <f t="shared" si="117"/>
        <v>0</v>
      </c>
    </row>
    <row r="421" spans="1:38" hidden="1" x14ac:dyDescent="0.25">
      <c r="A421" s="12" t="s">
        <v>51</v>
      </c>
      <c r="B421" s="12" t="s">
        <v>495</v>
      </c>
      <c r="C421" s="12" t="s">
        <v>308</v>
      </c>
      <c r="D421" s="12"/>
      <c r="E421" s="12">
        <f t="shared" si="115"/>
        <v>171</v>
      </c>
      <c r="F421" s="12" t="s">
        <v>70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171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/>
      <c r="AC421" s="13">
        <f t="shared" si="116"/>
        <v>0</v>
      </c>
      <c r="AL421" s="14">
        <f t="shared" si="117"/>
        <v>0</v>
      </c>
    </row>
    <row r="422" spans="1:38" hidden="1" x14ac:dyDescent="0.25">
      <c r="A422" s="12" t="s">
        <v>288</v>
      </c>
      <c r="B422" s="12" t="s">
        <v>496</v>
      </c>
      <c r="C422" s="12" t="s">
        <v>308</v>
      </c>
      <c r="D422" s="12"/>
      <c r="E422" s="12">
        <f t="shared" si="115"/>
        <v>169</v>
      </c>
      <c r="F422" s="12" t="str">
        <f>VLOOKUP(B422,[1]lookup!A:B,2,FALSE)</f>
        <v>SaaS</v>
      </c>
      <c r="G422" s="12">
        <v>0</v>
      </c>
      <c r="H422" s="12">
        <v>169</v>
      </c>
      <c r="I422" s="12">
        <v>105</v>
      </c>
      <c r="J422" s="12">
        <v>169</v>
      </c>
      <c r="K422" s="12">
        <v>0</v>
      </c>
      <c r="L422" s="12">
        <v>105</v>
      </c>
      <c r="M422" s="12">
        <v>169</v>
      </c>
      <c r="N422" s="12">
        <v>0</v>
      </c>
      <c r="O422" s="12">
        <v>169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/>
      <c r="AC422" s="13">
        <f t="shared" si="116"/>
        <v>40560</v>
      </c>
      <c r="AD422" s="13">
        <f>J422*AD$2</f>
        <v>40560</v>
      </c>
      <c r="AE422" s="13">
        <f>J422*AE$2</f>
        <v>20280</v>
      </c>
      <c r="AF422" s="13">
        <f>H422*AF$2</f>
        <v>105456</v>
      </c>
      <c r="AL422" s="14">
        <f t="shared" si="117"/>
        <v>206856</v>
      </c>
    </row>
    <row r="423" spans="1:38" hidden="1" x14ac:dyDescent="0.25">
      <c r="A423" s="12" t="s">
        <v>86</v>
      </c>
      <c r="B423" s="12" t="s">
        <v>497</v>
      </c>
      <c r="C423" s="12" t="s">
        <v>308</v>
      </c>
      <c r="D423" s="12"/>
      <c r="E423" s="12">
        <f t="shared" si="115"/>
        <v>168</v>
      </c>
      <c r="F423" s="12" t="str">
        <f>VLOOKUP(B423,[1]lookup!A:B,2,FALSE)</f>
        <v>Term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168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/>
      <c r="AC423" s="13">
        <f t="shared" si="116"/>
        <v>0</v>
      </c>
      <c r="AL423" s="14">
        <f t="shared" si="117"/>
        <v>0</v>
      </c>
    </row>
    <row r="424" spans="1:38" hidden="1" x14ac:dyDescent="0.25">
      <c r="A424" s="12" t="s">
        <v>86</v>
      </c>
      <c r="B424" s="12" t="s">
        <v>498</v>
      </c>
      <c r="C424" s="12" t="s">
        <v>308</v>
      </c>
      <c r="D424" s="12"/>
      <c r="E424" s="12">
        <f t="shared" si="115"/>
        <v>166</v>
      </c>
      <c r="F424" s="12" t="str">
        <f>VLOOKUP(B424,[1]lookup!A:B,2,FALSE)</f>
        <v>SaaS</v>
      </c>
      <c r="G424" s="12">
        <v>166</v>
      </c>
      <c r="H424" s="12">
        <v>166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/>
      <c r="AC424" s="13">
        <f t="shared" si="116"/>
        <v>0</v>
      </c>
      <c r="AF424" s="13">
        <f t="shared" ref="AF424:AF425" si="132">H424*AF$2</f>
        <v>103584</v>
      </c>
      <c r="AL424" s="14">
        <f t="shared" si="117"/>
        <v>103584</v>
      </c>
    </row>
    <row r="425" spans="1:38" hidden="1" x14ac:dyDescent="0.25">
      <c r="A425" s="12" t="s">
        <v>86</v>
      </c>
      <c r="B425" s="12" t="s">
        <v>499</v>
      </c>
      <c r="C425" s="12" t="s">
        <v>308</v>
      </c>
      <c r="D425" s="12"/>
      <c r="E425" s="12">
        <f t="shared" si="115"/>
        <v>165</v>
      </c>
      <c r="F425" s="12" t="str">
        <f>VLOOKUP(B425,[1]lookup!A:B,2,FALSE)</f>
        <v>Term</v>
      </c>
      <c r="G425" s="12">
        <v>0</v>
      </c>
      <c r="H425" s="12">
        <v>165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/>
      <c r="AC425" s="13">
        <f t="shared" si="116"/>
        <v>0</v>
      </c>
      <c r="AF425" s="13">
        <f t="shared" si="132"/>
        <v>102960</v>
      </c>
      <c r="AG425" s="13">
        <f>H425*AG$2</f>
        <v>21120</v>
      </c>
      <c r="AH425" s="13">
        <f>H425*AH$2</f>
        <v>79200</v>
      </c>
      <c r="AI425" s="13">
        <f>H425*$AI$2</f>
        <v>32505</v>
      </c>
      <c r="AJ425" s="13">
        <f>AJ$2*H425</f>
        <v>99000</v>
      </c>
      <c r="AK425" s="15">
        <f>H425*AK$2</f>
        <v>19800</v>
      </c>
      <c r="AL425" s="14">
        <f t="shared" si="117"/>
        <v>354585</v>
      </c>
    </row>
    <row r="426" spans="1:38" hidden="1" x14ac:dyDescent="0.25">
      <c r="A426" s="12" t="s">
        <v>197</v>
      </c>
      <c r="B426" s="12" t="s">
        <v>500</v>
      </c>
      <c r="C426" s="12" t="s">
        <v>308</v>
      </c>
      <c r="D426" s="12"/>
      <c r="E426" s="12">
        <f t="shared" si="115"/>
        <v>161</v>
      </c>
      <c r="F426" s="12" t="s">
        <v>70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161</v>
      </c>
      <c r="X426" s="12">
        <v>0</v>
      </c>
      <c r="Y426" s="12">
        <v>0</v>
      </c>
      <c r="Z426" s="12">
        <v>0</v>
      </c>
      <c r="AA426" s="12"/>
      <c r="AC426" s="13">
        <f t="shared" si="116"/>
        <v>0</v>
      </c>
      <c r="AL426" s="14">
        <f t="shared" si="117"/>
        <v>0</v>
      </c>
    </row>
    <row r="427" spans="1:38" hidden="1" x14ac:dyDescent="0.25">
      <c r="A427" s="12" t="s">
        <v>296</v>
      </c>
      <c r="B427" s="12" t="s">
        <v>501</v>
      </c>
      <c r="C427" s="12" t="s">
        <v>308</v>
      </c>
      <c r="D427" s="12"/>
      <c r="E427" s="12">
        <f t="shared" si="115"/>
        <v>161</v>
      </c>
      <c r="F427" s="12" t="s">
        <v>70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161</v>
      </c>
      <c r="X427" s="12">
        <v>0</v>
      </c>
      <c r="Y427" s="12">
        <v>0</v>
      </c>
      <c r="Z427" s="12">
        <v>0</v>
      </c>
      <c r="AA427" s="12"/>
      <c r="AC427" s="13">
        <f t="shared" si="116"/>
        <v>0</v>
      </c>
      <c r="AL427" s="14">
        <f t="shared" si="117"/>
        <v>0</v>
      </c>
    </row>
    <row r="428" spans="1:38" hidden="1" x14ac:dyDescent="0.25">
      <c r="A428" s="12" t="s">
        <v>148</v>
      </c>
      <c r="B428" s="12" t="s">
        <v>500</v>
      </c>
      <c r="C428" s="12" t="s">
        <v>308</v>
      </c>
      <c r="D428" s="12"/>
      <c r="E428" s="12">
        <f t="shared" si="115"/>
        <v>161</v>
      </c>
      <c r="F428" s="12" t="s">
        <v>70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161</v>
      </c>
      <c r="X428" s="12">
        <v>0</v>
      </c>
      <c r="Y428" s="12">
        <v>0</v>
      </c>
      <c r="Z428" s="12">
        <v>0</v>
      </c>
      <c r="AA428" s="12"/>
      <c r="AC428" s="13">
        <f t="shared" si="116"/>
        <v>0</v>
      </c>
      <c r="AL428" s="14">
        <f t="shared" si="117"/>
        <v>0</v>
      </c>
    </row>
    <row r="429" spans="1:38" hidden="1" x14ac:dyDescent="0.25">
      <c r="A429" s="12" t="s">
        <v>173</v>
      </c>
      <c r="B429" s="12" t="s">
        <v>502</v>
      </c>
      <c r="C429" s="12" t="s">
        <v>308</v>
      </c>
      <c r="D429" s="12"/>
      <c r="E429" s="12">
        <f t="shared" si="115"/>
        <v>161</v>
      </c>
      <c r="F429" s="12" t="str">
        <f>VLOOKUP(B429,[1]lookup!A:B,2,FALSE)</f>
        <v>SaaS</v>
      </c>
      <c r="G429" s="12">
        <v>0</v>
      </c>
      <c r="H429" s="12">
        <v>0</v>
      </c>
      <c r="I429" s="12">
        <v>0</v>
      </c>
      <c r="J429" s="12">
        <v>161</v>
      </c>
      <c r="K429" s="12">
        <v>0</v>
      </c>
      <c r="L429" s="12">
        <v>0</v>
      </c>
      <c r="M429" s="12">
        <v>161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/>
      <c r="AC429" s="13">
        <f t="shared" si="116"/>
        <v>38640</v>
      </c>
      <c r="AD429" s="13">
        <f>J429*AD$2</f>
        <v>38640</v>
      </c>
      <c r="AE429" s="13">
        <f>J429*AE$2</f>
        <v>19320</v>
      </c>
      <c r="AL429" s="14">
        <f t="shared" si="117"/>
        <v>96600</v>
      </c>
    </row>
    <row r="430" spans="1:38" hidden="1" x14ac:dyDescent="0.25">
      <c r="A430" s="12" t="s">
        <v>503</v>
      </c>
      <c r="B430" s="12" t="s">
        <v>504</v>
      </c>
      <c r="C430" s="12" t="s">
        <v>308</v>
      </c>
      <c r="D430" s="12"/>
      <c r="E430" s="12">
        <f t="shared" si="115"/>
        <v>160</v>
      </c>
      <c r="F430" s="12" t="str">
        <f>VLOOKUP(B430,[1]lookup!A:B,2,FALSE)</f>
        <v>Term</v>
      </c>
      <c r="G430" s="12">
        <v>0</v>
      </c>
      <c r="H430" s="12">
        <v>160</v>
      </c>
      <c r="I430" s="12">
        <v>160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/>
      <c r="AC430" s="13">
        <f t="shared" si="116"/>
        <v>0</v>
      </c>
      <c r="AF430" s="13">
        <f>H430*AF$2</f>
        <v>99840</v>
      </c>
      <c r="AG430" s="13">
        <f>H430*AG$2</f>
        <v>20480</v>
      </c>
      <c r="AH430" s="13">
        <f>H430*AH$2</f>
        <v>76800</v>
      </c>
      <c r="AI430" s="13">
        <f>H430*$AI$2</f>
        <v>31520</v>
      </c>
      <c r="AJ430" s="13">
        <f>AJ$2*H430</f>
        <v>96000</v>
      </c>
      <c r="AL430" s="14">
        <f t="shared" si="117"/>
        <v>324640</v>
      </c>
    </row>
    <row r="431" spans="1:38" hidden="1" x14ac:dyDescent="0.25">
      <c r="A431" s="12" t="s">
        <v>148</v>
      </c>
      <c r="B431" s="12" t="s">
        <v>505</v>
      </c>
      <c r="C431" s="12" t="s">
        <v>308</v>
      </c>
      <c r="D431" s="12"/>
      <c r="E431" s="12">
        <f t="shared" si="115"/>
        <v>160</v>
      </c>
      <c r="F431" s="12" t="s">
        <v>70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160</v>
      </c>
      <c r="X431" s="12">
        <v>0</v>
      </c>
      <c r="Y431" s="12">
        <v>0</v>
      </c>
      <c r="Z431" s="12">
        <v>0</v>
      </c>
      <c r="AA431" s="12"/>
      <c r="AC431" s="13">
        <f t="shared" si="116"/>
        <v>0</v>
      </c>
      <c r="AL431" s="14">
        <f t="shared" si="117"/>
        <v>0</v>
      </c>
    </row>
    <row r="432" spans="1:38" hidden="1" x14ac:dyDescent="0.25">
      <c r="A432" s="12" t="s">
        <v>506</v>
      </c>
      <c r="B432" s="12" t="s">
        <v>507</v>
      </c>
      <c r="C432" s="12" t="s">
        <v>308</v>
      </c>
      <c r="D432" s="12"/>
      <c r="E432" s="12">
        <f t="shared" si="115"/>
        <v>158</v>
      </c>
      <c r="F432" s="12" t="s">
        <v>70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158</v>
      </c>
      <c r="X432" s="12">
        <v>0</v>
      </c>
      <c r="Y432" s="12">
        <v>0</v>
      </c>
      <c r="Z432" s="12">
        <v>0</v>
      </c>
      <c r="AA432" s="12"/>
      <c r="AC432" s="13">
        <f t="shared" si="116"/>
        <v>0</v>
      </c>
      <c r="AL432" s="14">
        <f t="shared" si="117"/>
        <v>0</v>
      </c>
    </row>
    <row r="433" spans="1:38" hidden="1" x14ac:dyDescent="0.25">
      <c r="A433" s="12" t="s">
        <v>222</v>
      </c>
      <c r="B433" s="12" t="s">
        <v>508</v>
      </c>
      <c r="C433" s="12" t="s">
        <v>308</v>
      </c>
      <c r="D433" s="12"/>
      <c r="E433" s="12">
        <f t="shared" si="115"/>
        <v>158</v>
      </c>
      <c r="F433" s="12" t="s">
        <v>70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158</v>
      </c>
      <c r="X433" s="12">
        <v>0</v>
      </c>
      <c r="Y433" s="12">
        <v>0</v>
      </c>
      <c r="Z433" s="12">
        <v>0</v>
      </c>
      <c r="AA433" s="12"/>
      <c r="AC433" s="13">
        <f t="shared" si="116"/>
        <v>0</v>
      </c>
      <c r="AL433" s="14">
        <f t="shared" si="117"/>
        <v>0</v>
      </c>
    </row>
    <row r="434" spans="1:38" hidden="1" x14ac:dyDescent="0.25">
      <c r="A434" s="12" t="s">
        <v>173</v>
      </c>
      <c r="B434" s="12" t="s">
        <v>509</v>
      </c>
      <c r="C434" s="12" t="s">
        <v>308</v>
      </c>
      <c r="D434" s="12"/>
      <c r="E434" s="12">
        <f t="shared" si="115"/>
        <v>158</v>
      </c>
      <c r="F434" s="12" t="str">
        <f>VLOOKUP(B434,[1]lookup!A:B,2,FALSE)</f>
        <v>SaaS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158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/>
      <c r="AC434" s="13">
        <f t="shared" si="116"/>
        <v>0</v>
      </c>
      <c r="AL434" s="14">
        <f t="shared" si="117"/>
        <v>0</v>
      </c>
    </row>
    <row r="435" spans="1:38" hidden="1" x14ac:dyDescent="0.25">
      <c r="A435" s="12" t="s">
        <v>506</v>
      </c>
      <c r="B435" s="12" t="s">
        <v>510</v>
      </c>
      <c r="C435" s="12" t="s">
        <v>308</v>
      </c>
      <c r="D435" s="12"/>
      <c r="E435" s="12">
        <f t="shared" si="115"/>
        <v>157</v>
      </c>
      <c r="F435" s="12" t="s">
        <v>70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157</v>
      </c>
      <c r="X435" s="12">
        <v>0</v>
      </c>
      <c r="Y435" s="12">
        <v>0</v>
      </c>
      <c r="Z435" s="12">
        <v>0</v>
      </c>
      <c r="AA435" s="12"/>
      <c r="AC435" s="13">
        <f t="shared" si="116"/>
        <v>0</v>
      </c>
      <c r="AL435" s="14">
        <f t="shared" si="117"/>
        <v>0</v>
      </c>
    </row>
    <row r="436" spans="1:38" hidden="1" x14ac:dyDescent="0.25">
      <c r="A436" s="12" t="s">
        <v>148</v>
      </c>
      <c r="B436" s="12" t="s">
        <v>511</v>
      </c>
      <c r="C436" s="12" t="s">
        <v>308</v>
      </c>
      <c r="D436" s="12"/>
      <c r="E436" s="12">
        <f t="shared" si="115"/>
        <v>157</v>
      </c>
      <c r="F436" s="12" t="s">
        <v>70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157</v>
      </c>
      <c r="X436" s="12">
        <v>0</v>
      </c>
      <c r="Y436" s="12">
        <v>0</v>
      </c>
      <c r="Z436" s="12">
        <v>0</v>
      </c>
      <c r="AA436" s="12"/>
      <c r="AC436" s="13">
        <f t="shared" si="116"/>
        <v>0</v>
      </c>
      <c r="AL436" s="14">
        <f t="shared" si="117"/>
        <v>0</v>
      </c>
    </row>
    <row r="437" spans="1:38" hidden="1" x14ac:dyDescent="0.25">
      <c r="A437" s="12" t="s">
        <v>173</v>
      </c>
      <c r="B437" s="12" t="s">
        <v>512</v>
      </c>
      <c r="C437" s="12" t="s">
        <v>308</v>
      </c>
      <c r="D437" s="12"/>
      <c r="E437" s="12">
        <f t="shared" si="115"/>
        <v>157</v>
      </c>
      <c r="F437" s="12" t="str">
        <f>VLOOKUP(B437,[1]lookup!A:B,2,FALSE)</f>
        <v>SaaS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157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/>
      <c r="AC437" s="13">
        <f t="shared" si="116"/>
        <v>0</v>
      </c>
      <c r="AL437" s="14">
        <f t="shared" si="117"/>
        <v>0</v>
      </c>
    </row>
    <row r="438" spans="1:38" hidden="1" x14ac:dyDescent="0.25">
      <c r="A438" s="12" t="s">
        <v>86</v>
      </c>
      <c r="B438" s="12" t="s">
        <v>513</v>
      </c>
      <c r="C438" s="12" t="s">
        <v>308</v>
      </c>
      <c r="D438" s="12"/>
      <c r="E438" s="12">
        <f t="shared" si="115"/>
        <v>156</v>
      </c>
      <c r="F438" s="12" t="str">
        <f>VLOOKUP(B438,[1]lookup!A:B,2,FALSE)</f>
        <v>Term</v>
      </c>
      <c r="G438" s="12">
        <v>0</v>
      </c>
      <c r="H438" s="12">
        <v>18</v>
      </c>
      <c r="I438" s="12">
        <v>0</v>
      </c>
      <c r="J438" s="12">
        <v>0</v>
      </c>
      <c r="K438" s="12">
        <v>0</v>
      </c>
      <c r="L438" s="12">
        <v>156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/>
      <c r="AC438" s="13">
        <f t="shared" si="116"/>
        <v>0</v>
      </c>
      <c r="AF438" s="13">
        <f>H438*AF$2</f>
        <v>11232</v>
      </c>
      <c r="AG438" s="13">
        <f>H438*AG$2</f>
        <v>2304</v>
      </c>
      <c r="AH438" s="13">
        <f>H438*AH$2</f>
        <v>8640</v>
      </c>
      <c r="AI438" s="13">
        <f>H438*$AI$2</f>
        <v>3546</v>
      </c>
      <c r="AJ438" s="13">
        <f>AJ$2*H438</f>
        <v>10800</v>
      </c>
      <c r="AK438" s="15">
        <f>H438*AK$2</f>
        <v>2160</v>
      </c>
      <c r="AL438" s="14">
        <f t="shared" si="117"/>
        <v>38682</v>
      </c>
    </row>
    <row r="439" spans="1:38" hidden="1" x14ac:dyDescent="0.25">
      <c r="A439" s="12" t="s">
        <v>51</v>
      </c>
      <c r="B439" s="12" t="s">
        <v>514</v>
      </c>
      <c r="C439" s="12" t="s">
        <v>308</v>
      </c>
      <c r="D439" s="12"/>
      <c r="E439" s="12">
        <f t="shared" si="115"/>
        <v>156</v>
      </c>
      <c r="F439" s="12" t="s">
        <v>70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156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/>
      <c r="AC439" s="13">
        <f t="shared" si="116"/>
        <v>0</v>
      </c>
      <c r="AL439" s="14">
        <f t="shared" si="117"/>
        <v>0</v>
      </c>
    </row>
    <row r="440" spans="1:38" hidden="1" x14ac:dyDescent="0.25">
      <c r="A440" s="12" t="s">
        <v>415</v>
      </c>
      <c r="B440" s="12" t="s">
        <v>515</v>
      </c>
      <c r="C440" s="12" t="s">
        <v>308</v>
      </c>
      <c r="D440" s="12"/>
      <c r="E440" s="12">
        <f t="shared" si="115"/>
        <v>156</v>
      </c>
      <c r="F440" s="12" t="str">
        <f>VLOOKUP(B440,[1]lookup!A:B,2,FALSE)</f>
        <v>SaaS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156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/>
      <c r="AC440" s="13">
        <f t="shared" si="116"/>
        <v>0</v>
      </c>
      <c r="AL440" s="14">
        <f t="shared" si="117"/>
        <v>0</v>
      </c>
    </row>
    <row r="441" spans="1:38" hidden="1" x14ac:dyDescent="0.25">
      <c r="A441" s="12" t="s">
        <v>60</v>
      </c>
      <c r="B441" s="12" t="s">
        <v>516</v>
      </c>
      <c r="C441" s="12" t="s">
        <v>308</v>
      </c>
      <c r="D441" s="12"/>
      <c r="E441" s="12">
        <f t="shared" si="115"/>
        <v>155</v>
      </c>
      <c r="F441" s="12" t="str">
        <f>VLOOKUP(B441,[1]lookup!A:B,2,FALSE)</f>
        <v>Term</v>
      </c>
      <c r="G441" s="12">
        <v>0</v>
      </c>
      <c r="H441" s="12">
        <v>155</v>
      </c>
      <c r="I441" s="12">
        <v>155</v>
      </c>
      <c r="J441" s="12">
        <v>155</v>
      </c>
      <c r="K441" s="12">
        <v>0</v>
      </c>
      <c r="L441" s="12">
        <v>90</v>
      </c>
      <c r="M441" s="12">
        <v>155</v>
      </c>
      <c r="N441" s="12">
        <v>0</v>
      </c>
      <c r="O441" s="12">
        <v>146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/>
      <c r="AC441" s="13">
        <f t="shared" si="116"/>
        <v>37200</v>
      </c>
      <c r="AD441" s="13">
        <f t="shared" ref="AD441:AD442" si="133">J441*AD$2</f>
        <v>37200</v>
      </c>
      <c r="AE441" s="13">
        <f t="shared" ref="AE441:AE442" si="134">J441*AE$2</f>
        <v>18600</v>
      </c>
      <c r="AF441" s="13">
        <f t="shared" ref="AF441:AF442" si="135">H441*AF$2</f>
        <v>96720</v>
      </c>
      <c r="AG441" s="13">
        <f t="shared" ref="AG441:AG442" si="136">H441*AG$2</f>
        <v>19840</v>
      </c>
      <c r="AH441" s="13">
        <f t="shared" ref="AH441:AH442" si="137">H441*AH$2</f>
        <v>74400</v>
      </c>
      <c r="AI441" s="13">
        <f t="shared" ref="AI441:AI442" si="138">H441*$AI$2</f>
        <v>30535</v>
      </c>
      <c r="AJ441" s="13">
        <f t="shared" ref="AJ441:AJ442" si="139">AJ$2*H441</f>
        <v>93000</v>
      </c>
      <c r="AL441" s="14">
        <f t="shared" si="117"/>
        <v>407495</v>
      </c>
    </row>
    <row r="442" spans="1:38" hidden="1" x14ac:dyDescent="0.25">
      <c r="A442" s="12" t="s">
        <v>46</v>
      </c>
      <c r="B442" s="12" t="s">
        <v>211</v>
      </c>
      <c r="C442" s="12" t="s">
        <v>308</v>
      </c>
      <c r="D442" s="12"/>
      <c r="E442" s="12">
        <f t="shared" si="115"/>
        <v>155</v>
      </c>
      <c r="F442" s="12" t="str">
        <f>VLOOKUP(B442,[1]lookup!A:B,2,FALSE)</f>
        <v>Perpetual</v>
      </c>
      <c r="G442" s="12">
        <v>0</v>
      </c>
      <c r="H442" s="12">
        <v>155</v>
      </c>
      <c r="I442" s="12">
        <v>155</v>
      </c>
      <c r="J442" s="12">
        <v>155</v>
      </c>
      <c r="K442" s="12">
        <v>0</v>
      </c>
      <c r="L442" s="12">
        <v>155</v>
      </c>
      <c r="M442" s="12">
        <v>155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/>
      <c r="AC442" s="13">
        <f t="shared" si="116"/>
        <v>37200</v>
      </c>
      <c r="AD442" s="13">
        <f t="shared" si="133"/>
        <v>37200</v>
      </c>
      <c r="AE442" s="13">
        <f t="shared" si="134"/>
        <v>18600</v>
      </c>
      <c r="AF442" s="13">
        <f t="shared" si="135"/>
        <v>96720</v>
      </c>
      <c r="AG442" s="13">
        <f t="shared" si="136"/>
        <v>19840</v>
      </c>
      <c r="AH442" s="13">
        <f t="shared" si="137"/>
        <v>74400</v>
      </c>
      <c r="AI442" s="13">
        <f t="shared" si="138"/>
        <v>30535</v>
      </c>
      <c r="AJ442" s="13">
        <f t="shared" si="139"/>
        <v>93000</v>
      </c>
      <c r="AL442" s="14">
        <f t="shared" si="117"/>
        <v>407495</v>
      </c>
    </row>
    <row r="443" spans="1:38" hidden="1" x14ac:dyDescent="0.25">
      <c r="A443" s="12" t="s">
        <v>51</v>
      </c>
      <c r="B443" s="12" t="s">
        <v>517</v>
      </c>
      <c r="C443" s="12" t="s">
        <v>308</v>
      </c>
      <c r="D443" s="12"/>
      <c r="E443" s="12">
        <f t="shared" si="115"/>
        <v>155</v>
      </c>
      <c r="F443" s="12" t="s">
        <v>70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155</v>
      </c>
      <c r="V443" s="12">
        <v>0</v>
      </c>
      <c r="W443" s="12">
        <v>0</v>
      </c>
      <c r="X443" s="12">
        <v>0</v>
      </c>
      <c r="Y443" s="12">
        <v>0</v>
      </c>
      <c r="Z443" s="12">
        <v>0</v>
      </c>
      <c r="AA443" s="12"/>
      <c r="AC443" s="13">
        <f t="shared" si="116"/>
        <v>0</v>
      </c>
      <c r="AL443" s="14">
        <f t="shared" si="117"/>
        <v>0</v>
      </c>
    </row>
    <row r="444" spans="1:38" hidden="1" x14ac:dyDescent="0.25">
      <c r="A444" s="12" t="s">
        <v>148</v>
      </c>
      <c r="B444" s="12" t="s">
        <v>518</v>
      </c>
      <c r="C444" s="12" t="s">
        <v>308</v>
      </c>
      <c r="D444" s="12"/>
      <c r="E444" s="12">
        <f t="shared" si="115"/>
        <v>155</v>
      </c>
      <c r="F444" s="12" t="s">
        <v>70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155</v>
      </c>
      <c r="X444" s="12">
        <v>0</v>
      </c>
      <c r="Y444" s="12">
        <v>0</v>
      </c>
      <c r="Z444" s="12">
        <v>0</v>
      </c>
      <c r="AA444" s="12"/>
      <c r="AC444" s="13">
        <f t="shared" si="116"/>
        <v>0</v>
      </c>
      <c r="AL444" s="14">
        <f t="shared" si="117"/>
        <v>0</v>
      </c>
    </row>
    <row r="445" spans="1:38" hidden="1" x14ac:dyDescent="0.25">
      <c r="A445" s="12" t="s">
        <v>148</v>
      </c>
      <c r="B445" s="12" t="s">
        <v>519</v>
      </c>
      <c r="C445" s="12" t="s">
        <v>308</v>
      </c>
      <c r="D445" s="12"/>
      <c r="E445" s="12">
        <f t="shared" si="115"/>
        <v>154</v>
      </c>
      <c r="F445" s="12" t="s">
        <v>70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154</v>
      </c>
      <c r="X445" s="12">
        <v>0</v>
      </c>
      <c r="Y445" s="12">
        <v>0</v>
      </c>
      <c r="Z445" s="12">
        <v>0</v>
      </c>
      <c r="AA445" s="12"/>
      <c r="AC445" s="13">
        <f t="shared" si="116"/>
        <v>0</v>
      </c>
      <c r="AL445" s="14">
        <f t="shared" si="117"/>
        <v>0</v>
      </c>
    </row>
    <row r="446" spans="1:38" hidden="1" x14ac:dyDescent="0.25">
      <c r="A446" s="12" t="s">
        <v>197</v>
      </c>
      <c r="B446" s="12" t="s">
        <v>520</v>
      </c>
      <c r="C446" s="12" t="s">
        <v>308</v>
      </c>
      <c r="D446" s="12"/>
      <c r="E446" s="12">
        <f t="shared" si="115"/>
        <v>152</v>
      </c>
      <c r="F446" s="12" t="s">
        <v>70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152</v>
      </c>
      <c r="X446" s="12">
        <v>0</v>
      </c>
      <c r="Y446" s="12">
        <v>0</v>
      </c>
      <c r="Z446" s="12">
        <v>0</v>
      </c>
      <c r="AA446" s="12"/>
      <c r="AC446" s="13">
        <f t="shared" si="116"/>
        <v>0</v>
      </c>
      <c r="AL446" s="14">
        <f t="shared" si="117"/>
        <v>0</v>
      </c>
    </row>
    <row r="447" spans="1:38" hidden="1" x14ac:dyDescent="0.25">
      <c r="A447" s="12" t="s">
        <v>46</v>
      </c>
      <c r="B447" s="12" t="s">
        <v>521</v>
      </c>
      <c r="C447" s="12" t="s">
        <v>308</v>
      </c>
      <c r="D447" s="12"/>
      <c r="E447" s="12">
        <f t="shared" si="115"/>
        <v>151</v>
      </c>
      <c r="F447" s="12" t="str">
        <f>VLOOKUP(B447,[1]lookup!A:B,2,FALSE)</f>
        <v>Term</v>
      </c>
      <c r="G447" s="12">
        <v>0</v>
      </c>
      <c r="H447" s="12">
        <v>150</v>
      </c>
      <c r="I447" s="12">
        <v>50</v>
      </c>
      <c r="J447" s="12">
        <v>150</v>
      </c>
      <c r="K447" s="12">
        <v>0</v>
      </c>
      <c r="L447" s="12">
        <v>0</v>
      </c>
      <c r="M447" s="12">
        <v>151</v>
      </c>
      <c r="N447" s="12">
        <v>0</v>
      </c>
      <c r="O447" s="12">
        <v>151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/>
      <c r="AC447" s="13">
        <f t="shared" si="116"/>
        <v>36240</v>
      </c>
      <c r="AD447" s="13">
        <f>J447*AD$2</f>
        <v>36000</v>
      </c>
      <c r="AE447" s="13">
        <f>J447*AE$2</f>
        <v>18000</v>
      </c>
      <c r="AF447" s="13">
        <f>H447*AF$2</f>
        <v>93600</v>
      </c>
      <c r="AG447" s="13">
        <f>H447*AG$2</f>
        <v>19200</v>
      </c>
      <c r="AH447" s="13">
        <f>H447*AH$2</f>
        <v>72000</v>
      </c>
      <c r="AI447" s="13">
        <f>H447*$AI$2</f>
        <v>29550</v>
      </c>
      <c r="AJ447" s="13">
        <f>AJ$2*H447</f>
        <v>90000</v>
      </c>
      <c r="AL447" s="14">
        <f t="shared" si="117"/>
        <v>394590</v>
      </c>
    </row>
    <row r="448" spans="1:38" hidden="1" x14ac:dyDescent="0.25">
      <c r="A448" s="12" t="s">
        <v>51</v>
      </c>
      <c r="B448" s="12" t="s">
        <v>522</v>
      </c>
      <c r="C448" s="12" t="s">
        <v>308</v>
      </c>
      <c r="D448" s="12"/>
      <c r="E448" s="12">
        <f t="shared" si="115"/>
        <v>151</v>
      </c>
      <c r="F448" s="12" t="s">
        <v>70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151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/>
      <c r="AC448" s="13">
        <f t="shared" si="116"/>
        <v>0</v>
      </c>
      <c r="AL448" s="14">
        <f t="shared" si="117"/>
        <v>0</v>
      </c>
    </row>
    <row r="449" spans="1:38" hidden="1" x14ac:dyDescent="0.25">
      <c r="A449" s="12" t="s">
        <v>51</v>
      </c>
      <c r="B449" s="12" t="s">
        <v>523</v>
      </c>
      <c r="C449" s="12" t="s">
        <v>308</v>
      </c>
      <c r="D449" s="12"/>
      <c r="E449" s="12">
        <f t="shared" si="115"/>
        <v>151</v>
      </c>
      <c r="F449" s="12" t="s">
        <v>70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151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/>
      <c r="AC449" s="13">
        <f t="shared" si="116"/>
        <v>0</v>
      </c>
      <c r="AL449" s="14">
        <f t="shared" si="117"/>
        <v>0</v>
      </c>
    </row>
    <row r="450" spans="1:38" hidden="1" x14ac:dyDescent="0.25">
      <c r="A450" s="12" t="s">
        <v>148</v>
      </c>
      <c r="B450" s="12" t="s">
        <v>524</v>
      </c>
      <c r="C450" s="12" t="s">
        <v>308</v>
      </c>
      <c r="D450" s="12"/>
      <c r="E450" s="12">
        <f t="shared" si="115"/>
        <v>151</v>
      </c>
      <c r="F450" s="12" t="s">
        <v>70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151</v>
      </c>
      <c r="X450" s="12">
        <v>0</v>
      </c>
      <c r="Y450" s="12">
        <v>0</v>
      </c>
      <c r="Z450" s="12">
        <v>0</v>
      </c>
      <c r="AA450" s="12"/>
      <c r="AC450" s="13">
        <f t="shared" si="116"/>
        <v>0</v>
      </c>
      <c r="AL450" s="14">
        <f t="shared" si="117"/>
        <v>0</v>
      </c>
    </row>
    <row r="451" spans="1:38" hidden="1" x14ac:dyDescent="0.25">
      <c r="A451" s="12" t="s">
        <v>86</v>
      </c>
      <c r="B451" s="12" t="s">
        <v>525</v>
      </c>
      <c r="C451" s="12" t="s">
        <v>308</v>
      </c>
      <c r="D451" s="12"/>
      <c r="E451" s="12">
        <f t="shared" si="115"/>
        <v>150</v>
      </c>
      <c r="F451" s="12" t="str">
        <f>VLOOKUP(B451,[1]lookup!A:B,2,FALSE)</f>
        <v>Term</v>
      </c>
      <c r="G451" s="12">
        <v>0</v>
      </c>
      <c r="H451" s="12">
        <v>150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/>
      <c r="AC451" s="13">
        <f t="shared" si="116"/>
        <v>0</v>
      </c>
      <c r="AF451" s="13">
        <f t="shared" ref="AF451:AF452" si="140">H451*AF$2</f>
        <v>93600</v>
      </c>
      <c r="AG451" s="13">
        <f t="shared" ref="AG451:AG452" si="141">H451*AG$2</f>
        <v>19200</v>
      </c>
      <c r="AH451" s="13">
        <f t="shared" ref="AH451:AH452" si="142">H451*AH$2</f>
        <v>72000</v>
      </c>
      <c r="AI451" s="13">
        <f t="shared" ref="AI451:AI452" si="143">H451*$AI$2</f>
        <v>29550</v>
      </c>
      <c r="AJ451" s="13">
        <f t="shared" ref="AJ451:AJ452" si="144">AJ$2*H451</f>
        <v>90000</v>
      </c>
      <c r="AK451" s="15">
        <f>H451*AK$2</f>
        <v>18000</v>
      </c>
      <c r="AL451" s="14">
        <f t="shared" si="117"/>
        <v>322350</v>
      </c>
    </row>
    <row r="452" spans="1:38" hidden="1" x14ac:dyDescent="0.25">
      <c r="A452" s="12" t="s">
        <v>86</v>
      </c>
      <c r="B452" s="12" t="s">
        <v>526</v>
      </c>
      <c r="C452" s="12" t="s">
        <v>308</v>
      </c>
      <c r="D452" s="12"/>
      <c r="E452" s="12">
        <f t="shared" si="115"/>
        <v>150</v>
      </c>
      <c r="F452" s="12" t="str">
        <f>VLOOKUP(B452,[1]lookup!A:B,2,FALSE)</f>
        <v>Term</v>
      </c>
      <c r="G452" s="12">
        <v>0</v>
      </c>
      <c r="H452" s="12">
        <v>150</v>
      </c>
      <c r="I452" s="12">
        <v>1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/>
      <c r="AC452" s="13">
        <f t="shared" si="116"/>
        <v>0</v>
      </c>
      <c r="AF452" s="13">
        <f t="shared" si="140"/>
        <v>93600</v>
      </c>
      <c r="AG452" s="13">
        <f t="shared" si="141"/>
        <v>19200</v>
      </c>
      <c r="AH452" s="13">
        <f t="shared" si="142"/>
        <v>72000</v>
      </c>
      <c r="AI452" s="13">
        <f t="shared" si="143"/>
        <v>29550</v>
      </c>
      <c r="AJ452" s="13">
        <f t="shared" si="144"/>
        <v>90000</v>
      </c>
      <c r="AL452" s="14">
        <f t="shared" si="117"/>
        <v>304350</v>
      </c>
    </row>
    <row r="453" spans="1:38" hidden="1" x14ac:dyDescent="0.25">
      <c r="A453" s="12" t="s">
        <v>86</v>
      </c>
      <c r="B453" s="12" t="s">
        <v>527</v>
      </c>
      <c r="C453" s="12" t="s">
        <v>308</v>
      </c>
      <c r="D453" s="12"/>
      <c r="E453" s="12">
        <f t="shared" ref="E453:E516" si="145">MAX(G453:Z453)</f>
        <v>150</v>
      </c>
      <c r="F453" s="12" t="str">
        <f>VLOOKUP(B453,[1]lookup!A:B,2,FALSE)</f>
        <v>Perpetual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150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/>
      <c r="AC453" s="13">
        <f t="shared" ref="AC453:AC516" si="146">M453*AC$2</f>
        <v>0</v>
      </c>
      <c r="AL453" s="14">
        <f t="shared" si="117"/>
        <v>0</v>
      </c>
    </row>
    <row r="454" spans="1:38" hidden="1" x14ac:dyDescent="0.25">
      <c r="A454" s="12" t="s">
        <v>86</v>
      </c>
      <c r="B454" s="12" t="s">
        <v>528</v>
      </c>
      <c r="C454" s="12" t="s">
        <v>308</v>
      </c>
      <c r="D454" s="12"/>
      <c r="E454" s="12">
        <f t="shared" si="145"/>
        <v>150</v>
      </c>
      <c r="F454" s="12" t="str">
        <f>VLOOKUP(B454,[1]lookup!A:B,2,FALSE)</f>
        <v>SaaS</v>
      </c>
      <c r="G454" s="12">
        <v>0</v>
      </c>
      <c r="H454" s="12">
        <v>0</v>
      </c>
      <c r="I454" s="12">
        <v>0</v>
      </c>
      <c r="J454" s="12">
        <v>150</v>
      </c>
      <c r="K454" s="12">
        <v>0</v>
      </c>
      <c r="L454" s="12">
        <v>0</v>
      </c>
      <c r="M454" s="12">
        <v>0</v>
      </c>
      <c r="N454" s="12">
        <v>150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/>
      <c r="AC454" s="13">
        <f t="shared" si="146"/>
        <v>0</v>
      </c>
      <c r="AD454" s="13">
        <f>J454*AD$2</f>
        <v>36000</v>
      </c>
      <c r="AE454" s="13">
        <f>J454*AE$2</f>
        <v>18000</v>
      </c>
      <c r="AL454" s="14">
        <f t="shared" ref="AL454:AL517" si="147">SUM(AC454:AK454)</f>
        <v>54000</v>
      </c>
    </row>
    <row r="455" spans="1:38" hidden="1" x14ac:dyDescent="0.25">
      <c r="A455" s="12" t="s">
        <v>51</v>
      </c>
      <c r="B455" s="12" t="s">
        <v>529</v>
      </c>
      <c r="C455" s="12" t="s">
        <v>308</v>
      </c>
      <c r="D455" s="12"/>
      <c r="E455" s="12">
        <f t="shared" si="145"/>
        <v>150</v>
      </c>
      <c r="F455" s="12" t="s">
        <v>70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150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/>
      <c r="AC455" s="13">
        <f t="shared" si="146"/>
        <v>0</v>
      </c>
      <c r="AL455" s="14">
        <f t="shared" si="147"/>
        <v>0</v>
      </c>
    </row>
    <row r="456" spans="1:38" hidden="1" x14ac:dyDescent="0.25">
      <c r="A456" s="12" t="s">
        <v>51</v>
      </c>
      <c r="B456" s="12" t="s">
        <v>530</v>
      </c>
      <c r="C456" s="12" t="s">
        <v>308</v>
      </c>
      <c r="D456" s="12"/>
      <c r="E456" s="12">
        <f t="shared" si="145"/>
        <v>150</v>
      </c>
      <c r="F456" s="12" t="s">
        <v>70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150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/>
      <c r="AC456" s="13">
        <f t="shared" si="146"/>
        <v>0</v>
      </c>
      <c r="AL456" s="14">
        <f t="shared" si="147"/>
        <v>0</v>
      </c>
    </row>
    <row r="457" spans="1:38" hidden="1" x14ac:dyDescent="0.25">
      <c r="A457" s="12" t="s">
        <v>51</v>
      </c>
      <c r="B457" s="12" t="s">
        <v>531</v>
      </c>
      <c r="C457" s="12" t="s">
        <v>308</v>
      </c>
      <c r="D457" s="12"/>
      <c r="E457" s="12">
        <f t="shared" si="145"/>
        <v>150</v>
      </c>
      <c r="F457" s="12" t="s">
        <v>70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150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/>
      <c r="AC457" s="13">
        <f t="shared" si="146"/>
        <v>0</v>
      </c>
      <c r="AL457" s="14">
        <f t="shared" si="147"/>
        <v>0</v>
      </c>
    </row>
    <row r="458" spans="1:38" hidden="1" x14ac:dyDescent="0.25">
      <c r="A458" s="12" t="s">
        <v>51</v>
      </c>
      <c r="B458" s="12" t="s">
        <v>532</v>
      </c>
      <c r="C458" s="12" t="s">
        <v>308</v>
      </c>
      <c r="D458" s="12"/>
      <c r="E458" s="12">
        <f t="shared" si="145"/>
        <v>150</v>
      </c>
      <c r="F458" s="12" t="s">
        <v>70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150</v>
      </c>
      <c r="V458" s="12">
        <v>0</v>
      </c>
      <c r="W458" s="12">
        <v>0</v>
      </c>
      <c r="X458" s="12">
        <v>0</v>
      </c>
      <c r="Y458" s="12">
        <v>0</v>
      </c>
      <c r="Z458" s="12">
        <v>0</v>
      </c>
      <c r="AA458" s="12"/>
      <c r="AC458" s="13">
        <f t="shared" si="146"/>
        <v>0</v>
      </c>
      <c r="AL458" s="14">
        <f t="shared" si="147"/>
        <v>0</v>
      </c>
    </row>
    <row r="459" spans="1:38" hidden="1" x14ac:dyDescent="0.25">
      <c r="A459" s="12" t="s">
        <v>533</v>
      </c>
      <c r="B459" s="12" t="s">
        <v>534</v>
      </c>
      <c r="C459" s="12" t="s">
        <v>308</v>
      </c>
      <c r="D459" s="12"/>
      <c r="E459" s="12">
        <f t="shared" si="145"/>
        <v>150</v>
      </c>
      <c r="F459" s="12" t="str">
        <f>VLOOKUP(B459,[1]lookup!A:B,2,FALSE)</f>
        <v>SaaS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150</v>
      </c>
      <c r="N459" s="12">
        <v>0</v>
      </c>
      <c r="O459" s="12">
        <v>150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/>
      <c r="AC459" s="13">
        <f t="shared" si="146"/>
        <v>36000</v>
      </c>
      <c r="AL459" s="14">
        <f t="shared" si="147"/>
        <v>36000</v>
      </c>
    </row>
    <row r="460" spans="1:38" hidden="1" x14ac:dyDescent="0.25">
      <c r="A460" s="12" t="s">
        <v>173</v>
      </c>
      <c r="B460" s="12" t="s">
        <v>535</v>
      </c>
      <c r="C460" s="12" t="s">
        <v>308</v>
      </c>
      <c r="D460" s="12"/>
      <c r="E460" s="12">
        <f t="shared" si="145"/>
        <v>150</v>
      </c>
      <c r="F460" s="12" t="str">
        <f>VLOOKUP(B460,[1]lookup!A:B,2,FALSE)</f>
        <v>SaaS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150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/>
      <c r="AC460" s="13">
        <f t="shared" si="146"/>
        <v>0</v>
      </c>
      <c r="AL460" s="14">
        <f t="shared" si="147"/>
        <v>0</v>
      </c>
    </row>
    <row r="461" spans="1:38" hidden="1" x14ac:dyDescent="0.25">
      <c r="A461" s="12" t="s">
        <v>173</v>
      </c>
      <c r="B461" s="12" t="s">
        <v>536</v>
      </c>
      <c r="C461" s="12" t="s">
        <v>308</v>
      </c>
      <c r="D461" s="12"/>
      <c r="E461" s="12">
        <f t="shared" si="145"/>
        <v>150</v>
      </c>
      <c r="F461" s="12" t="str">
        <f>VLOOKUP(B461,[1]lookup!A:B,2,FALSE)</f>
        <v>SaaS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150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/>
      <c r="AC461" s="13">
        <f t="shared" si="146"/>
        <v>0</v>
      </c>
      <c r="AL461" s="14">
        <f t="shared" si="147"/>
        <v>0</v>
      </c>
    </row>
    <row r="462" spans="1:38" hidden="1" x14ac:dyDescent="0.25">
      <c r="A462" s="12" t="s">
        <v>537</v>
      </c>
      <c r="B462" s="12" t="s">
        <v>538</v>
      </c>
      <c r="C462" s="12" t="s">
        <v>308</v>
      </c>
      <c r="D462" s="12"/>
      <c r="E462" s="12">
        <f t="shared" si="145"/>
        <v>150</v>
      </c>
      <c r="F462" s="12" t="str">
        <f>VLOOKUP(B462,[1]lookup!A:B,2,FALSE)</f>
        <v>SaaS</v>
      </c>
      <c r="G462" s="12">
        <v>0</v>
      </c>
      <c r="H462" s="12">
        <v>0</v>
      </c>
      <c r="I462" s="12">
        <v>0</v>
      </c>
      <c r="J462" s="12">
        <v>150</v>
      </c>
      <c r="K462" s="12">
        <v>0</v>
      </c>
      <c r="L462" s="12">
        <v>0</v>
      </c>
      <c r="M462" s="12">
        <v>0</v>
      </c>
      <c r="N462" s="12">
        <v>150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/>
      <c r="AC462" s="13">
        <f t="shared" si="146"/>
        <v>0</v>
      </c>
      <c r="AD462" s="13">
        <f>J462*AD$2</f>
        <v>36000</v>
      </c>
      <c r="AE462" s="13">
        <f>J462*AE$2</f>
        <v>18000</v>
      </c>
      <c r="AL462" s="14">
        <f t="shared" si="147"/>
        <v>54000</v>
      </c>
    </row>
    <row r="463" spans="1:38" hidden="1" x14ac:dyDescent="0.25">
      <c r="A463" s="12" t="s">
        <v>92</v>
      </c>
      <c r="B463" s="12" t="s">
        <v>519</v>
      </c>
      <c r="C463" s="12" t="s">
        <v>539</v>
      </c>
      <c r="D463" s="12"/>
      <c r="E463" s="12">
        <f t="shared" si="145"/>
        <v>146</v>
      </c>
      <c r="F463" s="12" t="s">
        <v>70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146</v>
      </c>
      <c r="X463" s="12">
        <v>0</v>
      </c>
      <c r="Y463" s="12">
        <v>0</v>
      </c>
      <c r="Z463" s="12">
        <v>0</v>
      </c>
      <c r="AA463" s="12"/>
      <c r="AC463" s="13">
        <f t="shared" si="146"/>
        <v>0</v>
      </c>
      <c r="AL463" s="14">
        <f t="shared" si="147"/>
        <v>0</v>
      </c>
    </row>
    <row r="464" spans="1:38" hidden="1" x14ac:dyDescent="0.25">
      <c r="A464" s="12" t="s">
        <v>86</v>
      </c>
      <c r="B464" s="12" t="s">
        <v>540</v>
      </c>
      <c r="C464" s="12" t="s">
        <v>539</v>
      </c>
      <c r="D464" s="12"/>
      <c r="E464" s="12">
        <f t="shared" si="145"/>
        <v>144</v>
      </c>
      <c r="F464" s="12" t="str">
        <f>VLOOKUP(B464,[1]lookup!A:B,2,FALSE)</f>
        <v>Term</v>
      </c>
      <c r="G464" s="12">
        <v>0</v>
      </c>
      <c r="H464" s="12">
        <v>144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/>
      <c r="AC464" s="13">
        <f t="shared" si="146"/>
        <v>0</v>
      </c>
      <c r="AK464" s="15">
        <f t="shared" ref="AK464:AK465" si="148">H464*AK$2</f>
        <v>17280</v>
      </c>
      <c r="AL464" s="14">
        <f t="shared" si="147"/>
        <v>17280</v>
      </c>
    </row>
    <row r="465" spans="1:38" hidden="1" x14ac:dyDescent="0.25">
      <c r="A465" s="12" t="s">
        <v>86</v>
      </c>
      <c r="B465" s="12" t="s">
        <v>541</v>
      </c>
      <c r="C465" s="12" t="s">
        <v>539</v>
      </c>
      <c r="D465" s="12"/>
      <c r="E465" s="12">
        <f t="shared" si="145"/>
        <v>144</v>
      </c>
      <c r="F465" s="12" t="str">
        <f>VLOOKUP(B465,[1]lookup!A:B,2,FALSE)</f>
        <v>Term</v>
      </c>
      <c r="G465" s="12">
        <v>0</v>
      </c>
      <c r="H465" s="12">
        <v>144</v>
      </c>
      <c r="I465" s="12">
        <v>0</v>
      </c>
      <c r="J465" s="12">
        <v>0</v>
      </c>
      <c r="K465" s="12">
        <v>0</v>
      </c>
      <c r="L465" s="12">
        <v>0</v>
      </c>
      <c r="M465" s="12">
        <v>0</v>
      </c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  <c r="Y465" s="12">
        <v>0</v>
      </c>
      <c r="Z465" s="12">
        <v>0</v>
      </c>
      <c r="AA465" s="12"/>
      <c r="AC465" s="13">
        <f t="shared" si="146"/>
        <v>0</v>
      </c>
      <c r="AK465" s="15">
        <f t="shared" si="148"/>
        <v>17280</v>
      </c>
      <c r="AL465" s="14">
        <f t="shared" si="147"/>
        <v>17280</v>
      </c>
    </row>
    <row r="466" spans="1:38" hidden="1" x14ac:dyDescent="0.25">
      <c r="A466" s="12" t="s">
        <v>86</v>
      </c>
      <c r="B466" s="12" t="s">
        <v>542</v>
      </c>
      <c r="C466" s="12" t="s">
        <v>539</v>
      </c>
      <c r="D466" s="12"/>
      <c r="E466" s="12">
        <f t="shared" si="145"/>
        <v>144</v>
      </c>
      <c r="F466" s="12" t="str">
        <f>VLOOKUP(B466,[1]lookup!A:B,2,FALSE)</f>
        <v>Term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144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58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/>
      <c r="AC466" s="13">
        <f t="shared" si="146"/>
        <v>0</v>
      </c>
      <c r="AL466" s="14">
        <f t="shared" si="147"/>
        <v>0</v>
      </c>
    </row>
    <row r="467" spans="1:38" hidden="1" x14ac:dyDescent="0.25">
      <c r="A467" s="12" t="s">
        <v>56</v>
      </c>
      <c r="B467" s="12" t="s">
        <v>543</v>
      </c>
      <c r="C467" s="12" t="s">
        <v>539</v>
      </c>
      <c r="D467" s="12"/>
      <c r="E467" s="12">
        <f t="shared" si="145"/>
        <v>144</v>
      </c>
      <c r="F467" s="12" t="s">
        <v>70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144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/>
      <c r="AC467" s="13">
        <f t="shared" si="146"/>
        <v>0</v>
      </c>
      <c r="AL467" s="14">
        <f t="shared" si="147"/>
        <v>0</v>
      </c>
    </row>
    <row r="468" spans="1:38" hidden="1" x14ac:dyDescent="0.25">
      <c r="A468" s="12" t="s">
        <v>86</v>
      </c>
      <c r="B468" s="12" t="s">
        <v>544</v>
      </c>
      <c r="C468" s="12" t="s">
        <v>539</v>
      </c>
      <c r="D468" s="12"/>
      <c r="E468" s="12">
        <f t="shared" si="145"/>
        <v>141</v>
      </c>
      <c r="F468" s="12" t="str">
        <f>VLOOKUP(B468,[1]lookup!A:B,2,FALSE)</f>
        <v>Term</v>
      </c>
      <c r="G468" s="12">
        <v>0</v>
      </c>
      <c r="H468" s="12">
        <v>141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/>
      <c r="AC468" s="13">
        <f t="shared" si="146"/>
        <v>0</v>
      </c>
      <c r="AK468" s="15">
        <f>H468*AK$2</f>
        <v>16920</v>
      </c>
      <c r="AL468" s="14">
        <f t="shared" si="147"/>
        <v>16920</v>
      </c>
    </row>
    <row r="469" spans="1:38" hidden="1" x14ac:dyDescent="0.25">
      <c r="A469" s="12" t="s">
        <v>86</v>
      </c>
      <c r="B469" s="12" t="s">
        <v>545</v>
      </c>
      <c r="C469" s="12" t="s">
        <v>539</v>
      </c>
      <c r="D469" s="12"/>
      <c r="E469" s="12">
        <f t="shared" si="145"/>
        <v>141</v>
      </c>
      <c r="F469" s="12" t="str">
        <f>VLOOKUP(B469,[1]lookup!A:B,2,FALSE)</f>
        <v>Perpetual</v>
      </c>
      <c r="G469" s="12">
        <v>0</v>
      </c>
      <c r="H469" s="12">
        <v>140</v>
      </c>
      <c r="I469" s="12">
        <v>141</v>
      </c>
      <c r="J469" s="12">
        <v>140</v>
      </c>
      <c r="K469" s="12">
        <v>0</v>
      </c>
      <c r="L469" s="12">
        <v>0</v>
      </c>
      <c r="M469" s="12">
        <v>40</v>
      </c>
      <c r="N469" s="12">
        <v>0</v>
      </c>
      <c r="O469" s="12">
        <v>0</v>
      </c>
      <c r="P469" s="12">
        <v>140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/>
      <c r="AC469" s="13">
        <f t="shared" si="146"/>
        <v>9600</v>
      </c>
      <c r="AD469" s="13">
        <f>J469*AD$2</f>
        <v>33600</v>
      </c>
      <c r="AL469" s="14">
        <f t="shared" si="147"/>
        <v>43200</v>
      </c>
    </row>
    <row r="470" spans="1:38" hidden="1" x14ac:dyDescent="0.25">
      <c r="A470" s="12" t="s">
        <v>86</v>
      </c>
      <c r="B470" s="12" t="s">
        <v>546</v>
      </c>
      <c r="C470" s="12" t="s">
        <v>539</v>
      </c>
      <c r="D470" s="12"/>
      <c r="E470" s="12">
        <f t="shared" si="145"/>
        <v>140</v>
      </c>
      <c r="F470" s="12" t="str">
        <f>VLOOKUP(B470,[1]lookup!A:B,2,FALSE)</f>
        <v>Term</v>
      </c>
      <c r="G470" s="12">
        <v>0</v>
      </c>
      <c r="H470" s="12">
        <v>140</v>
      </c>
      <c r="I470" s="12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/>
      <c r="AC470" s="13">
        <f t="shared" si="146"/>
        <v>0</v>
      </c>
      <c r="AL470" s="14">
        <f t="shared" si="147"/>
        <v>0</v>
      </c>
    </row>
    <row r="471" spans="1:38" hidden="1" x14ac:dyDescent="0.25">
      <c r="A471" s="12" t="s">
        <v>46</v>
      </c>
      <c r="B471" s="12" t="s">
        <v>547</v>
      </c>
      <c r="C471" s="12" t="s">
        <v>539</v>
      </c>
      <c r="D471" s="12"/>
      <c r="E471" s="12">
        <f t="shared" si="145"/>
        <v>140</v>
      </c>
      <c r="F471" s="12" t="str">
        <f>VLOOKUP(B471,[1]lookup!A:B,2,FALSE)</f>
        <v>SaaS</v>
      </c>
      <c r="G471" s="12">
        <v>0</v>
      </c>
      <c r="H471" s="12">
        <v>140</v>
      </c>
      <c r="I471" s="12">
        <v>0</v>
      </c>
      <c r="J471" s="12">
        <v>140</v>
      </c>
      <c r="K471" s="12">
        <v>140</v>
      </c>
      <c r="L471" s="12">
        <v>140</v>
      </c>
      <c r="M471" s="12">
        <v>140</v>
      </c>
      <c r="N471" s="12">
        <v>0</v>
      </c>
      <c r="O471" s="12">
        <v>140</v>
      </c>
      <c r="P471" s="12">
        <v>140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  <c r="Z471" s="12">
        <v>0</v>
      </c>
      <c r="AA471" s="12"/>
      <c r="AC471" s="13">
        <f t="shared" si="146"/>
        <v>33600</v>
      </c>
      <c r="AL471" s="14">
        <f t="shared" si="147"/>
        <v>33600</v>
      </c>
    </row>
    <row r="472" spans="1:38" hidden="1" x14ac:dyDescent="0.25">
      <c r="A472" s="12" t="s">
        <v>51</v>
      </c>
      <c r="B472" s="12" t="s">
        <v>548</v>
      </c>
      <c r="C472" s="12" t="s">
        <v>539</v>
      </c>
      <c r="D472" s="12"/>
      <c r="E472" s="12">
        <f t="shared" si="145"/>
        <v>140</v>
      </c>
      <c r="F472" s="12" t="s">
        <v>70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140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/>
      <c r="AC472" s="13">
        <f t="shared" si="146"/>
        <v>0</v>
      </c>
      <c r="AL472" s="14">
        <f t="shared" si="147"/>
        <v>0</v>
      </c>
    </row>
    <row r="473" spans="1:38" hidden="1" x14ac:dyDescent="0.25">
      <c r="A473" s="12" t="s">
        <v>173</v>
      </c>
      <c r="B473" s="12" t="s">
        <v>549</v>
      </c>
      <c r="C473" s="12" t="s">
        <v>539</v>
      </c>
      <c r="D473" s="12"/>
      <c r="E473" s="12">
        <f t="shared" si="145"/>
        <v>140</v>
      </c>
      <c r="F473" s="12" t="str">
        <f>VLOOKUP(B473,[1]lookup!A:B,2,FALSE)</f>
        <v>SaaS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140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/>
      <c r="AC473" s="13">
        <f t="shared" si="146"/>
        <v>0</v>
      </c>
      <c r="AL473" s="14">
        <f t="shared" si="147"/>
        <v>0</v>
      </c>
    </row>
    <row r="474" spans="1:38" hidden="1" x14ac:dyDescent="0.25">
      <c r="A474" s="12" t="s">
        <v>537</v>
      </c>
      <c r="B474" s="12" t="s">
        <v>550</v>
      </c>
      <c r="C474" s="12" t="s">
        <v>539</v>
      </c>
      <c r="D474" s="12"/>
      <c r="E474" s="12">
        <f t="shared" si="145"/>
        <v>140</v>
      </c>
      <c r="F474" s="12" t="str">
        <f>VLOOKUP(B474,[1]lookup!A:B,2,FALSE)</f>
        <v>SaaS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140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/>
      <c r="AC474" s="13">
        <f t="shared" si="146"/>
        <v>0</v>
      </c>
      <c r="AL474" s="14">
        <f t="shared" si="147"/>
        <v>0</v>
      </c>
    </row>
    <row r="475" spans="1:38" hidden="1" x14ac:dyDescent="0.25">
      <c r="A475" s="12" t="s">
        <v>92</v>
      </c>
      <c r="B475" s="12" t="s">
        <v>551</v>
      </c>
      <c r="C475" s="12" t="s">
        <v>539</v>
      </c>
      <c r="D475" s="12"/>
      <c r="E475" s="12">
        <f t="shared" si="145"/>
        <v>139</v>
      </c>
      <c r="F475" s="12" t="s">
        <v>70</v>
      </c>
      <c r="G475" s="12">
        <v>0</v>
      </c>
      <c r="H475" s="12">
        <v>0</v>
      </c>
      <c r="I475" s="12">
        <v>0</v>
      </c>
      <c r="J475" s="12">
        <v>0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139</v>
      </c>
      <c r="X475" s="12">
        <v>0</v>
      </c>
      <c r="Y475" s="12">
        <v>0</v>
      </c>
      <c r="Z475" s="12">
        <v>0</v>
      </c>
      <c r="AA475" s="12"/>
      <c r="AC475" s="13">
        <f t="shared" si="146"/>
        <v>0</v>
      </c>
      <c r="AL475" s="14">
        <f t="shared" si="147"/>
        <v>0</v>
      </c>
    </row>
    <row r="476" spans="1:38" hidden="1" x14ac:dyDescent="0.25">
      <c r="A476" s="12" t="s">
        <v>86</v>
      </c>
      <c r="B476" s="12" t="s">
        <v>552</v>
      </c>
      <c r="C476" s="12" t="s">
        <v>539</v>
      </c>
      <c r="D476" s="12"/>
      <c r="E476" s="12">
        <f t="shared" si="145"/>
        <v>138</v>
      </c>
      <c r="F476" s="12" t="str">
        <f>VLOOKUP(B476,[1]lookup!A:B,2,FALSE)</f>
        <v>Term</v>
      </c>
      <c r="G476" s="12">
        <v>0</v>
      </c>
      <c r="H476" s="12">
        <v>138</v>
      </c>
      <c r="I476" s="12">
        <v>1</v>
      </c>
      <c r="J476" s="12">
        <v>0</v>
      </c>
      <c r="K476" s="12">
        <v>0</v>
      </c>
      <c r="L476" s="12">
        <v>60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2"/>
      <c r="AC476" s="13">
        <f t="shared" si="146"/>
        <v>0</v>
      </c>
      <c r="AL476" s="14">
        <f t="shared" si="147"/>
        <v>0</v>
      </c>
    </row>
    <row r="477" spans="1:38" hidden="1" x14ac:dyDescent="0.25">
      <c r="A477" s="12" t="s">
        <v>197</v>
      </c>
      <c r="B477" s="12" t="s">
        <v>553</v>
      </c>
      <c r="C477" s="12" t="s">
        <v>539</v>
      </c>
      <c r="D477" s="12"/>
      <c r="E477" s="12">
        <f t="shared" si="145"/>
        <v>138</v>
      </c>
      <c r="F477" s="12" t="str">
        <f>VLOOKUP(B477,[1]lookup!A:B,2,FALSE)</f>
        <v>Perpetual</v>
      </c>
      <c r="G477" s="12">
        <v>0</v>
      </c>
      <c r="H477" s="12">
        <v>0</v>
      </c>
      <c r="I477" s="12">
        <v>0</v>
      </c>
      <c r="J477" s="12">
        <v>0</v>
      </c>
      <c r="K477" s="12">
        <v>20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138</v>
      </c>
      <c r="X477" s="12">
        <v>0</v>
      </c>
      <c r="Y477" s="12">
        <v>0</v>
      </c>
      <c r="Z477" s="12">
        <v>0</v>
      </c>
      <c r="AA477" s="12"/>
      <c r="AC477" s="13">
        <f t="shared" si="146"/>
        <v>0</v>
      </c>
      <c r="AL477" s="14">
        <f t="shared" si="147"/>
        <v>0</v>
      </c>
    </row>
    <row r="478" spans="1:38" hidden="1" x14ac:dyDescent="0.25">
      <c r="A478" s="12" t="s">
        <v>148</v>
      </c>
      <c r="B478" s="12" t="s">
        <v>553</v>
      </c>
      <c r="C478" s="12" t="s">
        <v>539</v>
      </c>
      <c r="D478" s="12"/>
      <c r="E478" s="12">
        <f t="shared" si="145"/>
        <v>138</v>
      </c>
      <c r="F478" s="12" t="str">
        <f>VLOOKUP(B478,[1]lookup!A:B,2,FALSE)</f>
        <v>Perpetual</v>
      </c>
      <c r="G478" s="12">
        <v>0</v>
      </c>
      <c r="H478" s="12">
        <v>0</v>
      </c>
      <c r="I478" s="12">
        <v>0</v>
      </c>
      <c r="J478" s="12">
        <v>0</v>
      </c>
      <c r="K478" s="12">
        <v>20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138</v>
      </c>
      <c r="X478" s="12">
        <v>0</v>
      </c>
      <c r="Y478" s="12">
        <v>0</v>
      </c>
      <c r="Z478" s="12">
        <v>0</v>
      </c>
      <c r="AA478" s="12"/>
      <c r="AC478" s="13">
        <f t="shared" si="146"/>
        <v>0</v>
      </c>
      <c r="AL478" s="14">
        <f t="shared" si="147"/>
        <v>0</v>
      </c>
    </row>
    <row r="479" spans="1:38" hidden="1" x14ac:dyDescent="0.25">
      <c r="A479" s="12" t="s">
        <v>51</v>
      </c>
      <c r="B479" s="12" t="s">
        <v>554</v>
      </c>
      <c r="C479" s="12" t="s">
        <v>539</v>
      </c>
      <c r="D479" s="12"/>
      <c r="E479" s="12">
        <f t="shared" si="145"/>
        <v>136</v>
      </c>
      <c r="F479" s="12" t="str">
        <f>VLOOKUP(B479,[1]lookup!A:B,2,FALSE)</f>
        <v>Perpetual</v>
      </c>
      <c r="G479" s="12">
        <v>0</v>
      </c>
      <c r="H479" s="12">
        <v>136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3</v>
      </c>
      <c r="X479" s="12">
        <v>0</v>
      </c>
      <c r="Y479" s="12">
        <v>0</v>
      </c>
      <c r="Z479" s="12">
        <v>0</v>
      </c>
      <c r="AA479" s="12"/>
      <c r="AC479" s="13">
        <f t="shared" si="146"/>
        <v>0</v>
      </c>
      <c r="AK479" s="15">
        <f>H479*AK$2</f>
        <v>16320</v>
      </c>
      <c r="AL479" s="14">
        <f t="shared" si="147"/>
        <v>16320</v>
      </c>
    </row>
    <row r="480" spans="1:38" hidden="1" x14ac:dyDescent="0.25">
      <c r="A480" s="12" t="s">
        <v>173</v>
      </c>
      <c r="B480" s="12" t="s">
        <v>555</v>
      </c>
      <c r="C480" s="12" t="s">
        <v>539</v>
      </c>
      <c r="D480" s="12"/>
      <c r="E480" s="12">
        <f t="shared" si="145"/>
        <v>136</v>
      </c>
      <c r="F480" s="12" t="str">
        <f>VLOOKUP(B480,[1]lookup!A:B,2,FALSE)</f>
        <v>SaaS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136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/>
      <c r="AC480" s="13">
        <f t="shared" si="146"/>
        <v>0</v>
      </c>
      <c r="AL480" s="14">
        <f t="shared" si="147"/>
        <v>0</v>
      </c>
    </row>
    <row r="481" spans="1:38" hidden="1" x14ac:dyDescent="0.25">
      <c r="A481" s="12" t="s">
        <v>199</v>
      </c>
      <c r="B481" s="12" t="s">
        <v>556</v>
      </c>
      <c r="C481" s="12" t="s">
        <v>539</v>
      </c>
      <c r="D481" s="12"/>
      <c r="E481" s="12">
        <f t="shared" si="145"/>
        <v>135</v>
      </c>
      <c r="F481" s="12" t="str">
        <f>VLOOKUP(B481,[1]lookup!A:B,2,FALSE)</f>
        <v>SaaS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135</v>
      </c>
      <c r="AA481" s="12"/>
      <c r="AC481" s="13">
        <f t="shared" si="146"/>
        <v>0</v>
      </c>
      <c r="AL481" s="14">
        <f t="shared" si="147"/>
        <v>0</v>
      </c>
    </row>
    <row r="482" spans="1:38" hidden="1" x14ac:dyDescent="0.25">
      <c r="A482" s="12" t="s">
        <v>148</v>
      </c>
      <c r="B482" s="12" t="s">
        <v>557</v>
      </c>
      <c r="C482" s="12" t="s">
        <v>539</v>
      </c>
      <c r="D482" s="12"/>
      <c r="E482" s="12">
        <f t="shared" si="145"/>
        <v>134</v>
      </c>
      <c r="F482" s="12" t="s">
        <v>70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134</v>
      </c>
      <c r="X482" s="12">
        <v>0</v>
      </c>
      <c r="Y482" s="12">
        <v>0</v>
      </c>
      <c r="Z482" s="12">
        <v>0</v>
      </c>
      <c r="AA482" s="12"/>
      <c r="AC482" s="13">
        <f t="shared" si="146"/>
        <v>0</v>
      </c>
      <c r="AL482" s="14">
        <f t="shared" si="147"/>
        <v>0</v>
      </c>
    </row>
    <row r="483" spans="1:38" hidden="1" x14ac:dyDescent="0.25">
      <c r="A483" s="12" t="s">
        <v>148</v>
      </c>
      <c r="B483" s="12" t="s">
        <v>558</v>
      </c>
      <c r="C483" s="12" t="s">
        <v>539</v>
      </c>
      <c r="D483" s="12"/>
      <c r="E483" s="12">
        <f t="shared" si="145"/>
        <v>134</v>
      </c>
      <c r="F483" s="12" t="s">
        <v>70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134</v>
      </c>
      <c r="X483" s="12">
        <v>0</v>
      </c>
      <c r="Y483" s="12">
        <v>0</v>
      </c>
      <c r="Z483" s="12">
        <v>0</v>
      </c>
      <c r="AA483" s="12"/>
      <c r="AC483" s="13">
        <f t="shared" si="146"/>
        <v>0</v>
      </c>
      <c r="AL483" s="14">
        <f t="shared" si="147"/>
        <v>0</v>
      </c>
    </row>
    <row r="484" spans="1:38" hidden="1" x14ac:dyDescent="0.25">
      <c r="A484" s="12" t="s">
        <v>222</v>
      </c>
      <c r="B484" s="12" t="s">
        <v>559</v>
      </c>
      <c r="C484" s="12" t="s">
        <v>539</v>
      </c>
      <c r="D484" s="12"/>
      <c r="E484" s="12">
        <f t="shared" si="145"/>
        <v>133</v>
      </c>
      <c r="F484" s="12" t="s">
        <v>70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133</v>
      </c>
      <c r="X484" s="12">
        <v>0</v>
      </c>
      <c r="Y484" s="12">
        <v>0</v>
      </c>
      <c r="Z484" s="12">
        <v>0</v>
      </c>
      <c r="AA484" s="12"/>
      <c r="AC484" s="13">
        <f t="shared" si="146"/>
        <v>0</v>
      </c>
      <c r="AL484" s="14">
        <f t="shared" si="147"/>
        <v>0</v>
      </c>
    </row>
    <row r="485" spans="1:38" hidden="1" x14ac:dyDescent="0.25">
      <c r="A485" s="12" t="s">
        <v>435</v>
      </c>
      <c r="B485" s="12" t="s">
        <v>559</v>
      </c>
      <c r="C485" s="12" t="s">
        <v>539</v>
      </c>
      <c r="D485" s="12"/>
      <c r="E485" s="12">
        <f t="shared" si="145"/>
        <v>133</v>
      </c>
      <c r="F485" s="12" t="s">
        <v>70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133</v>
      </c>
      <c r="X485" s="12">
        <v>0</v>
      </c>
      <c r="Y485" s="12">
        <v>0</v>
      </c>
      <c r="Z485" s="12">
        <v>0</v>
      </c>
      <c r="AA485" s="12"/>
      <c r="AC485" s="13">
        <f t="shared" si="146"/>
        <v>0</v>
      </c>
      <c r="AL485" s="14">
        <f t="shared" si="147"/>
        <v>0</v>
      </c>
    </row>
    <row r="486" spans="1:38" hidden="1" x14ac:dyDescent="0.25">
      <c r="A486" s="12" t="s">
        <v>86</v>
      </c>
      <c r="B486" s="12" t="s">
        <v>560</v>
      </c>
      <c r="C486" s="12" t="s">
        <v>539</v>
      </c>
      <c r="D486" s="12"/>
      <c r="E486" s="12">
        <f t="shared" si="145"/>
        <v>132</v>
      </c>
      <c r="F486" s="12" t="str">
        <f>VLOOKUP(B486,[1]lookup!A:B,2,FALSE)</f>
        <v>Term</v>
      </c>
      <c r="G486" s="12">
        <v>0</v>
      </c>
      <c r="H486" s="12">
        <v>132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2"/>
      <c r="AC486" s="13">
        <f t="shared" si="146"/>
        <v>0</v>
      </c>
      <c r="AK486" s="15">
        <f t="shared" ref="AK486:AK487" si="149">H486*AK$2</f>
        <v>15840</v>
      </c>
      <c r="AL486" s="14">
        <f t="shared" si="147"/>
        <v>15840</v>
      </c>
    </row>
    <row r="487" spans="1:38" hidden="1" x14ac:dyDescent="0.25">
      <c r="A487" s="12" t="s">
        <v>86</v>
      </c>
      <c r="B487" s="12" t="s">
        <v>561</v>
      </c>
      <c r="C487" s="12" t="s">
        <v>539</v>
      </c>
      <c r="D487" s="12"/>
      <c r="E487" s="12">
        <f t="shared" si="145"/>
        <v>130</v>
      </c>
      <c r="F487" s="12" t="str">
        <f>VLOOKUP(B487,[1]lookup!A:B,2,FALSE)</f>
        <v>Term</v>
      </c>
      <c r="G487" s="12">
        <v>0</v>
      </c>
      <c r="H487" s="12">
        <v>130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/>
      <c r="AC487" s="13">
        <f t="shared" si="146"/>
        <v>0</v>
      </c>
      <c r="AK487" s="15">
        <f t="shared" si="149"/>
        <v>15600</v>
      </c>
      <c r="AL487" s="14">
        <f t="shared" si="147"/>
        <v>15600</v>
      </c>
    </row>
    <row r="488" spans="1:38" hidden="1" x14ac:dyDescent="0.25">
      <c r="A488" s="12" t="s">
        <v>51</v>
      </c>
      <c r="B488" s="12" t="s">
        <v>562</v>
      </c>
      <c r="C488" s="12" t="s">
        <v>539</v>
      </c>
      <c r="D488" s="12"/>
      <c r="E488" s="12">
        <f t="shared" si="145"/>
        <v>130</v>
      </c>
      <c r="F488" s="12" t="s">
        <v>70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130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/>
      <c r="AC488" s="13">
        <f t="shared" si="146"/>
        <v>0</v>
      </c>
      <c r="AL488" s="14">
        <f t="shared" si="147"/>
        <v>0</v>
      </c>
    </row>
    <row r="489" spans="1:38" hidden="1" x14ac:dyDescent="0.25">
      <c r="A489" s="12" t="s">
        <v>386</v>
      </c>
      <c r="B489" s="12" t="s">
        <v>563</v>
      </c>
      <c r="C489" s="12" t="s">
        <v>539</v>
      </c>
      <c r="D489" s="12"/>
      <c r="E489" s="12">
        <f t="shared" si="145"/>
        <v>130</v>
      </c>
      <c r="F489" s="12" t="str">
        <f>VLOOKUP(B489,[1]lookup!A:B,2,FALSE)</f>
        <v>SaaS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130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/>
      <c r="AC489" s="13">
        <f t="shared" si="146"/>
        <v>31200</v>
      </c>
      <c r="AL489" s="14">
        <f t="shared" si="147"/>
        <v>31200</v>
      </c>
    </row>
    <row r="490" spans="1:38" hidden="1" x14ac:dyDescent="0.25">
      <c r="A490" s="12" t="s">
        <v>135</v>
      </c>
      <c r="B490" s="12" t="s">
        <v>564</v>
      </c>
      <c r="C490" s="12" t="s">
        <v>539</v>
      </c>
      <c r="D490" s="12"/>
      <c r="E490" s="12">
        <f t="shared" si="145"/>
        <v>129</v>
      </c>
      <c r="F490" s="12" t="s">
        <v>70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129</v>
      </c>
      <c r="X490" s="12">
        <v>0</v>
      </c>
      <c r="Y490" s="12">
        <v>0</v>
      </c>
      <c r="Z490" s="12">
        <v>0</v>
      </c>
      <c r="AA490" s="12"/>
      <c r="AC490" s="13">
        <f t="shared" si="146"/>
        <v>0</v>
      </c>
      <c r="AL490" s="14">
        <f t="shared" si="147"/>
        <v>0</v>
      </c>
    </row>
    <row r="491" spans="1:38" hidden="1" x14ac:dyDescent="0.25">
      <c r="A491" s="12" t="s">
        <v>51</v>
      </c>
      <c r="B491" s="12" t="s">
        <v>565</v>
      </c>
      <c r="C491" s="12" t="s">
        <v>539</v>
      </c>
      <c r="D491" s="12"/>
      <c r="E491" s="12">
        <f t="shared" si="145"/>
        <v>129</v>
      </c>
      <c r="F491" s="12" t="s">
        <v>70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129</v>
      </c>
      <c r="V491" s="12">
        <v>0</v>
      </c>
      <c r="W491" s="12">
        <v>0</v>
      </c>
      <c r="X491" s="12">
        <v>0</v>
      </c>
      <c r="Y491" s="12">
        <v>0</v>
      </c>
      <c r="Z491" s="12">
        <v>0</v>
      </c>
      <c r="AA491" s="12"/>
      <c r="AC491" s="13">
        <f t="shared" si="146"/>
        <v>0</v>
      </c>
      <c r="AL491" s="14">
        <f t="shared" si="147"/>
        <v>0</v>
      </c>
    </row>
    <row r="492" spans="1:38" hidden="1" x14ac:dyDescent="0.25">
      <c r="A492" s="12" t="s">
        <v>166</v>
      </c>
      <c r="B492" s="12" t="s">
        <v>566</v>
      </c>
      <c r="C492" s="12" t="s">
        <v>539</v>
      </c>
      <c r="D492" s="12"/>
      <c r="E492" s="12">
        <f t="shared" si="145"/>
        <v>129</v>
      </c>
      <c r="F492" s="12" t="str">
        <f>VLOOKUP(B492,[1]lookup!A:B,2,FALSE)</f>
        <v>Perpetual</v>
      </c>
      <c r="G492" s="12">
        <v>0</v>
      </c>
      <c r="H492" s="12">
        <v>129</v>
      </c>
      <c r="I492" s="12">
        <v>0</v>
      </c>
      <c r="J492" s="12">
        <v>129</v>
      </c>
      <c r="K492" s="12">
        <v>0</v>
      </c>
      <c r="L492" s="12">
        <v>0</v>
      </c>
      <c r="M492" s="12">
        <v>0</v>
      </c>
      <c r="N492" s="12">
        <v>0</v>
      </c>
      <c r="O492" s="12">
        <v>129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/>
      <c r="AC492" s="13">
        <f t="shared" si="146"/>
        <v>0</v>
      </c>
      <c r="AD492" s="13">
        <f>J492*AD$2</f>
        <v>30960</v>
      </c>
      <c r="AE492" s="13">
        <f>J492*AE$2</f>
        <v>15480</v>
      </c>
      <c r="AK492" s="15">
        <f>H492*AK$2</f>
        <v>15480</v>
      </c>
      <c r="AL492" s="14">
        <f t="shared" si="147"/>
        <v>61920</v>
      </c>
    </row>
    <row r="493" spans="1:38" hidden="1" x14ac:dyDescent="0.25">
      <c r="A493" s="12" t="s">
        <v>306</v>
      </c>
      <c r="B493" s="12" t="s">
        <v>564</v>
      </c>
      <c r="C493" s="12" t="s">
        <v>539</v>
      </c>
      <c r="D493" s="12"/>
      <c r="E493" s="12">
        <f t="shared" si="145"/>
        <v>129</v>
      </c>
      <c r="F493" s="12" t="s">
        <v>70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129</v>
      </c>
      <c r="X493" s="12">
        <v>0</v>
      </c>
      <c r="Y493" s="12">
        <v>0</v>
      </c>
      <c r="Z493" s="12">
        <v>0</v>
      </c>
      <c r="AA493" s="12"/>
      <c r="AC493" s="13">
        <f t="shared" si="146"/>
        <v>0</v>
      </c>
      <c r="AL493" s="14">
        <f t="shared" si="147"/>
        <v>0</v>
      </c>
    </row>
    <row r="494" spans="1:38" hidden="1" x14ac:dyDescent="0.25">
      <c r="A494" s="12" t="s">
        <v>222</v>
      </c>
      <c r="B494" s="12" t="s">
        <v>567</v>
      </c>
      <c r="C494" s="12" t="s">
        <v>539</v>
      </c>
      <c r="D494" s="12"/>
      <c r="E494" s="12">
        <f t="shared" si="145"/>
        <v>128</v>
      </c>
      <c r="F494" s="12" t="s">
        <v>70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2">
        <v>0</v>
      </c>
      <c r="W494" s="12">
        <v>128</v>
      </c>
      <c r="X494" s="12">
        <v>0</v>
      </c>
      <c r="Y494" s="12">
        <v>0</v>
      </c>
      <c r="Z494" s="12">
        <v>0</v>
      </c>
      <c r="AA494" s="12"/>
      <c r="AC494" s="13">
        <f t="shared" si="146"/>
        <v>0</v>
      </c>
      <c r="AL494" s="14">
        <f t="shared" si="147"/>
        <v>0</v>
      </c>
    </row>
    <row r="495" spans="1:38" hidden="1" x14ac:dyDescent="0.25">
      <c r="A495" s="12" t="s">
        <v>199</v>
      </c>
      <c r="B495" s="12" t="s">
        <v>568</v>
      </c>
      <c r="C495" s="12" t="s">
        <v>539</v>
      </c>
      <c r="D495" s="12"/>
      <c r="E495" s="12">
        <f t="shared" si="145"/>
        <v>128</v>
      </c>
      <c r="F495" s="12" t="str">
        <f>VLOOKUP(B495,[1]lookup!A:B,2,FALSE)</f>
        <v>Perpetual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128</v>
      </c>
      <c r="N495" s="12">
        <v>0</v>
      </c>
      <c r="O495" s="12">
        <v>128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/>
      <c r="AC495" s="13">
        <f t="shared" si="146"/>
        <v>30720</v>
      </c>
      <c r="AL495" s="14">
        <f t="shared" si="147"/>
        <v>30720</v>
      </c>
    </row>
    <row r="496" spans="1:38" hidden="1" x14ac:dyDescent="0.25">
      <c r="A496" s="12" t="s">
        <v>86</v>
      </c>
      <c r="B496" s="12" t="s">
        <v>569</v>
      </c>
      <c r="C496" s="12" t="s">
        <v>539</v>
      </c>
      <c r="D496" s="12"/>
      <c r="E496" s="12">
        <f t="shared" si="145"/>
        <v>126</v>
      </c>
      <c r="F496" s="12" t="str">
        <f>VLOOKUP(B496,[1]lookup!A:B,2,FALSE)</f>
        <v>Perpetual</v>
      </c>
      <c r="G496" s="12">
        <v>0</v>
      </c>
      <c r="H496" s="12">
        <v>126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/>
      <c r="AC496" s="13">
        <f t="shared" si="146"/>
        <v>0</v>
      </c>
      <c r="AK496" s="15">
        <f t="shared" ref="AK496:AK498" si="150">H496*AK$2</f>
        <v>15120</v>
      </c>
      <c r="AL496" s="14">
        <f t="shared" si="147"/>
        <v>15120</v>
      </c>
    </row>
    <row r="497" spans="1:38" hidden="1" x14ac:dyDescent="0.25">
      <c r="A497" s="12" t="s">
        <v>64</v>
      </c>
      <c r="B497" s="12" t="s">
        <v>569</v>
      </c>
      <c r="C497" s="12" t="s">
        <v>539</v>
      </c>
      <c r="D497" s="12"/>
      <c r="E497" s="12">
        <f t="shared" si="145"/>
        <v>126</v>
      </c>
      <c r="F497" s="12" t="str">
        <f>VLOOKUP(B497,[1]lookup!A:B,2,FALSE)</f>
        <v>Perpetual</v>
      </c>
      <c r="G497" s="12">
        <v>0</v>
      </c>
      <c r="H497" s="12">
        <v>126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0</v>
      </c>
      <c r="AA497" s="12"/>
      <c r="AC497" s="13">
        <f t="shared" si="146"/>
        <v>0</v>
      </c>
      <c r="AK497" s="15">
        <f t="shared" si="150"/>
        <v>15120</v>
      </c>
      <c r="AL497" s="14">
        <f t="shared" si="147"/>
        <v>15120</v>
      </c>
    </row>
    <row r="498" spans="1:38" hidden="1" x14ac:dyDescent="0.25">
      <c r="A498" s="12" t="s">
        <v>51</v>
      </c>
      <c r="B498" s="12" t="s">
        <v>570</v>
      </c>
      <c r="C498" s="12" t="s">
        <v>539</v>
      </c>
      <c r="D498" s="12"/>
      <c r="E498" s="12">
        <f t="shared" si="145"/>
        <v>126</v>
      </c>
      <c r="F498" s="12" t="str">
        <f>VLOOKUP(B498,[1]lookup!A:B,2,FALSE)</f>
        <v>Perpetual</v>
      </c>
      <c r="G498" s="12">
        <v>0</v>
      </c>
      <c r="H498" s="12">
        <v>126</v>
      </c>
      <c r="I498" s="12">
        <v>0</v>
      </c>
      <c r="J498" s="12">
        <v>50</v>
      </c>
      <c r="K498" s="12">
        <v>0</v>
      </c>
      <c r="L498" s="12">
        <v>0</v>
      </c>
      <c r="M498" s="12">
        <v>50</v>
      </c>
      <c r="N498" s="12">
        <v>0</v>
      </c>
      <c r="O498" s="12">
        <v>50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/>
      <c r="AC498" s="13">
        <f t="shared" si="146"/>
        <v>12000</v>
      </c>
      <c r="AD498" s="13">
        <f>J498*AD$2</f>
        <v>12000</v>
      </c>
      <c r="AE498" s="13">
        <f>J498*AE$2</f>
        <v>6000</v>
      </c>
      <c r="AK498" s="15">
        <f t="shared" si="150"/>
        <v>15120</v>
      </c>
      <c r="AL498" s="14">
        <f t="shared" si="147"/>
        <v>45120</v>
      </c>
    </row>
    <row r="499" spans="1:38" hidden="1" x14ac:dyDescent="0.25">
      <c r="A499" s="12" t="s">
        <v>148</v>
      </c>
      <c r="B499" s="12" t="s">
        <v>571</v>
      </c>
      <c r="C499" s="12" t="s">
        <v>539</v>
      </c>
      <c r="D499" s="12"/>
      <c r="E499" s="12">
        <f t="shared" si="145"/>
        <v>126</v>
      </c>
      <c r="F499" s="12" t="s">
        <v>70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126</v>
      </c>
      <c r="X499" s="12">
        <v>0</v>
      </c>
      <c r="Y499" s="12">
        <v>0</v>
      </c>
      <c r="Z499" s="12">
        <v>0</v>
      </c>
      <c r="AA499" s="12"/>
      <c r="AC499" s="13">
        <f t="shared" si="146"/>
        <v>0</v>
      </c>
      <c r="AL499" s="14">
        <f t="shared" si="147"/>
        <v>0</v>
      </c>
    </row>
    <row r="500" spans="1:38" hidden="1" x14ac:dyDescent="0.25">
      <c r="A500" s="12" t="s">
        <v>86</v>
      </c>
      <c r="B500" s="12" t="s">
        <v>570</v>
      </c>
      <c r="C500" s="12" t="s">
        <v>539</v>
      </c>
      <c r="D500" s="12"/>
      <c r="E500" s="12">
        <f t="shared" si="145"/>
        <v>125</v>
      </c>
      <c r="F500" s="12" t="str">
        <f>VLOOKUP(B500,[1]lookup!A:B,2,FALSE)</f>
        <v>Perpetual</v>
      </c>
      <c r="G500" s="12">
        <v>0</v>
      </c>
      <c r="H500" s="12">
        <v>125</v>
      </c>
      <c r="I500" s="12">
        <v>0</v>
      </c>
      <c r="J500" s="12">
        <v>50</v>
      </c>
      <c r="K500" s="12">
        <v>0</v>
      </c>
      <c r="L500" s="12">
        <v>0</v>
      </c>
      <c r="M500" s="12">
        <v>50</v>
      </c>
      <c r="N500" s="12">
        <v>0</v>
      </c>
      <c r="O500" s="12">
        <v>50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/>
      <c r="AC500" s="13">
        <f t="shared" si="146"/>
        <v>12000</v>
      </c>
      <c r="AD500" s="13">
        <f>J500*AD$2</f>
        <v>12000</v>
      </c>
      <c r="AE500" s="13">
        <f>J500*AE$2</f>
        <v>6000</v>
      </c>
      <c r="AK500" s="15">
        <f>H500*AK$2</f>
        <v>15000</v>
      </c>
      <c r="AL500" s="14">
        <f t="shared" si="147"/>
        <v>45000</v>
      </c>
    </row>
    <row r="501" spans="1:38" hidden="1" x14ac:dyDescent="0.25">
      <c r="A501" s="12" t="s">
        <v>64</v>
      </c>
      <c r="B501" s="12" t="s">
        <v>204</v>
      </c>
      <c r="C501" s="12" t="s">
        <v>539</v>
      </c>
      <c r="D501" s="12"/>
      <c r="E501" s="12">
        <f t="shared" si="145"/>
        <v>125</v>
      </c>
      <c r="F501" s="12" t="str">
        <f>VLOOKUP(B501,[1]lookup!A:B,2,FALSE)</f>
        <v>SaaS</v>
      </c>
      <c r="G501" s="12">
        <v>0</v>
      </c>
      <c r="H501" s="12">
        <v>125</v>
      </c>
      <c r="I501" s="12">
        <v>0</v>
      </c>
      <c r="J501" s="12">
        <v>125</v>
      </c>
      <c r="K501" s="12">
        <v>0</v>
      </c>
      <c r="L501" s="12">
        <v>125</v>
      </c>
      <c r="M501" s="12">
        <v>0</v>
      </c>
      <c r="N501" s="12">
        <v>0</v>
      </c>
      <c r="O501" s="12">
        <v>125</v>
      </c>
      <c r="P501" s="12">
        <v>125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/>
      <c r="AC501" s="13">
        <f t="shared" si="146"/>
        <v>0</v>
      </c>
      <c r="AD501" s="13">
        <f>J501*AD$2</f>
        <v>30000</v>
      </c>
      <c r="AL501" s="14">
        <f t="shared" si="147"/>
        <v>30000</v>
      </c>
    </row>
    <row r="502" spans="1:38" hidden="1" x14ac:dyDescent="0.25">
      <c r="A502" s="12" t="s">
        <v>64</v>
      </c>
      <c r="B502" s="12" t="s">
        <v>572</v>
      </c>
      <c r="C502" s="12" t="s">
        <v>539</v>
      </c>
      <c r="D502" s="12"/>
      <c r="E502" s="12">
        <f t="shared" si="145"/>
        <v>125</v>
      </c>
      <c r="F502" s="12" t="str">
        <f>VLOOKUP(B502,[1]lookup!A:B,2,FALSE)</f>
        <v>Term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125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/>
      <c r="AC502" s="13">
        <f t="shared" si="146"/>
        <v>30000</v>
      </c>
      <c r="AL502" s="14">
        <f t="shared" si="147"/>
        <v>30000</v>
      </c>
    </row>
    <row r="503" spans="1:38" hidden="1" x14ac:dyDescent="0.25">
      <c r="A503" s="12" t="s">
        <v>51</v>
      </c>
      <c r="B503" s="12" t="s">
        <v>573</v>
      </c>
      <c r="C503" s="12" t="s">
        <v>539</v>
      </c>
      <c r="D503" s="12"/>
      <c r="E503" s="12">
        <f t="shared" si="145"/>
        <v>125</v>
      </c>
      <c r="F503" s="12" t="s">
        <v>70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125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/>
      <c r="AC503" s="13">
        <f t="shared" si="146"/>
        <v>0</v>
      </c>
      <c r="AL503" s="14">
        <f t="shared" si="147"/>
        <v>0</v>
      </c>
    </row>
    <row r="504" spans="1:38" hidden="1" x14ac:dyDescent="0.25">
      <c r="A504" s="12" t="s">
        <v>296</v>
      </c>
      <c r="B504" s="12" t="s">
        <v>574</v>
      </c>
      <c r="C504" s="12" t="s">
        <v>539</v>
      </c>
      <c r="D504" s="12"/>
      <c r="E504" s="12">
        <f t="shared" si="145"/>
        <v>125</v>
      </c>
      <c r="F504" s="12" t="s">
        <v>70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125</v>
      </c>
      <c r="X504" s="12">
        <v>0</v>
      </c>
      <c r="Y504" s="12">
        <v>0</v>
      </c>
      <c r="Z504" s="12">
        <v>0</v>
      </c>
      <c r="AA504" s="12"/>
      <c r="AC504" s="13">
        <f t="shared" si="146"/>
        <v>0</v>
      </c>
      <c r="AL504" s="14">
        <f t="shared" si="147"/>
        <v>0</v>
      </c>
    </row>
    <row r="505" spans="1:38" hidden="1" x14ac:dyDescent="0.25">
      <c r="A505" s="12" t="s">
        <v>178</v>
      </c>
      <c r="B505" s="12" t="s">
        <v>575</v>
      </c>
      <c r="C505" s="12" t="s">
        <v>539</v>
      </c>
      <c r="D505" s="12"/>
      <c r="E505" s="12">
        <f t="shared" si="145"/>
        <v>123</v>
      </c>
      <c r="F505" s="12" t="s">
        <v>70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123</v>
      </c>
      <c r="X505" s="12">
        <v>0</v>
      </c>
      <c r="Y505" s="12">
        <v>0</v>
      </c>
      <c r="Z505" s="12">
        <v>0</v>
      </c>
      <c r="AA505" s="12"/>
      <c r="AC505" s="13">
        <f t="shared" si="146"/>
        <v>0</v>
      </c>
      <c r="AL505" s="14">
        <f t="shared" si="147"/>
        <v>0</v>
      </c>
    </row>
    <row r="506" spans="1:38" hidden="1" x14ac:dyDescent="0.25">
      <c r="A506" s="12" t="s">
        <v>92</v>
      </c>
      <c r="B506" s="12" t="s">
        <v>576</v>
      </c>
      <c r="C506" s="12" t="s">
        <v>539</v>
      </c>
      <c r="D506" s="12"/>
      <c r="E506" s="12">
        <f t="shared" si="145"/>
        <v>121</v>
      </c>
      <c r="F506" s="12" t="s">
        <v>70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121</v>
      </c>
      <c r="X506" s="12">
        <v>0</v>
      </c>
      <c r="Y506" s="12">
        <v>0</v>
      </c>
      <c r="Z506" s="12">
        <v>0</v>
      </c>
      <c r="AA506" s="12"/>
      <c r="AC506" s="13">
        <f t="shared" si="146"/>
        <v>0</v>
      </c>
      <c r="AL506" s="14">
        <f t="shared" si="147"/>
        <v>0</v>
      </c>
    </row>
    <row r="507" spans="1:38" hidden="1" x14ac:dyDescent="0.25">
      <c r="A507" s="12" t="s">
        <v>51</v>
      </c>
      <c r="B507" s="12" t="s">
        <v>577</v>
      </c>
      <c r="C507" s="12" t="s">
        <v>539</v>
      </c>
      <c r="D507" s="12"/>
      <c r="E507" s="12">
        <f t="shared" si="145"/>
        <v>121</v>
      </c>
      <c r="F507" s="12" t="s">
        <v>70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121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/>
      <c r="AC507" s="13">
        <f t="shared" si="146"/>
        <v>0</v>
      </c>
      <c r="AL507" s="14">
        <f t="shared" si="147"/>
        <v>0</v>
      </c>
    </row>
    <row r="508" spans="1:38" hidden="1" x14ac:dyDescent="0.25">
      <c r="A508" s="12" t="s">
        <v>51</v>
      </c>
      <c r="B508" s="12" t="s">
        <v>578</v>
      </c>
      <c r="C508" s="12" t="s">
        <v>539</v>
      </c>
      <c r="D508" s="12"/>
      <c r="E508" s="12">
        <f t="shared" si="145"/>
        <v>121</v>
      </c>
      <c r="F508" s="12" t="s">
        <v>70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121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/>
      <c r="AC508" s="13">
        <f t="shared" si="146"/>
        <v>0</v>
      </c>
      <c r="AL508" s="14">
        <f t="shared" si="147"/>
        <v>0</v>
      </c>
    </row>
    <row r="509" spans="1:38" hidden="1" x14ac:dyDescent="0.25">
      <c r="A509" s="12" t="s">
        <v>51</v>
      </c>
      <c r="B509" s="12" t="s">
        <v>579</v>
      </c>
      <c r="C509" s="12" t="s">
        <v>539</v>
      </c>
      <c r="D509" s="12"/>
      <c r="E509" s="12">
        <f t="shared" si="145"/>
        <v>121</v>
      </c>
      <c r="F509" s="12" t="s">
        <v>70</v>
      </c>
      <c r="G509" s="12">
        <v>0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121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/>
      <c r="AC509" s="13">
        <f t="shared" si="146"/>
        <v>0</v>
      </c>
      <c r="AL509" s="14">
        <f t="shared" si="147"/>
        <v>0</v>
      </c>
    </row>
    <row r="510" spans="1:38" hidden="1" x14ac:dyDescent="0.25">
      <c r="A510" s="12" t="s">
        <v>51</v>
      </c>
      <c r="B510" s="12" t="s">
        <v>580</v>
      </c>
      <c r="C510" s="12" t="s">
        <v>539</v>
      </c>
      <c r="D510" s="12"/>
      <c r="E510" s="12">
        <f t="shared" si="145"/>
        <v>121</v>
      </c>
      <c r="F510" s="12" t="s">
        <v>70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121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/>
      <c r="AC510" s="13">
        <f t="shared" si="146"/>
        <v>0</v>
      </c>
      <c r="AL510" s="14">
        <f t="shared" si="147"/>
        <v>0</v>
      </c>
    </row>
    <row r="511" spans="1:38" hidden="1" x14ac:dyDescent="0.25">
      <c r="A511" s="12" t="s">
        <v>394</v>
      </c>
      <c r="B511" s="12" t="s">
        <v>581</v>
      </c>
      <c r="C511" s="12" t="s">
        <v>539</v>
      </c>
      <c r="D511" s="12"/>
      <c r="E511" s="12">
        <f t="shared" si="145"/>
        <v>121</v>
      </c>
      <c r="F511" s="12" t="str">
        <f>VLOOKUP(B511,[1]lookup!A:B,2,FALSE)</f>
        <v>Perpetual</v>
      </c>
      <c r="G511" s="12">
        <v>0</v>
      </c>
      <c r="H511" s="12">
        <v>120</v>
      </c>
      <c r="I511" s="12">
        <v>121</v>
      </c>
      <c r="J511" s="12">
        <v>120</v>
      </c>
      <c r="K511" s="12">
        <v>0</v>
      </c>
      <c r="L511" s="12">
        <v>120</v>
      </c>
      <c r="M511" s="12">
        <v>110</v>
      </c>
      <c r="N511" s="12">
        <v>0</v>
      </c>
      <c r="O511" s="12">
        <v>120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12"/>
      <c r="AC511" s="13">
        <f t="shared" si="146"/>
        <v>26400</v>
      </c>
      <c r="AD511" s="13">
        <f>J511*AD$2</f>
        <v>28800</v>
      </c>
      <c r="AE511" s="13">
        <f>J511*AE$2</f>
        <v>14400</v>
      </c>
      <c r="AL511" s="14">
        <f t="shared" si="147"/>
        <v>69600</v>
      </c>
    </row>
    <row r="512" spans="1:38" hidden="1" x14ac:dyDescent="0.25">
      <c r="A512" s="12" t="s">
        <v>86</v>
      </c>
      <c r="B512" s="12" t="s">
        <v>582</v>
      </c>
      <c r="C512" s="12" t="s">
        <v>539</v>
      </c>
      <c r="D512" s="12"/>
      <c r="E512" s="12">
        <f t="shared" si="145"/>
        <v>120</v>
      </c>
      <c r="F512" s="12" t="str">
        <f>VLOOKUP(B512,[1]lookup!A:B,2,FALSE)</f>
        <v>Term</v>
      </c>
      <c r="G512" s="12">
        <v>0</v>
      </c>
      <c r="H512" s="12">
        <v>120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/>
      <c r="AC512" s="13">
        <f t="shared" si="146"/>
        <v>0</v>
      </c>
      <c r="AK512" s="15">
        <f t="shared" ref="AK512:AK513" si="151">H512*AK$2</f>
        <v>14400</v>
      </c>
      <c r="AL512" s="14">
        <f t="shared" si="147"/>
        <v>14400</v>
      </c>
    </row>
    <row r="513" spans="1:38" hidden="1" x14ac:dyDescent="0.25">
      <c r="A513" s="12" t="s">
        <v>86</v>
      </c>
      <c r="B513" s="12" t="s">
        <v>583</v>
      </c>
      <c r="C513" s="12" t="s">
        <v>539</v>
      </c>
      <c r="D513" s="12"/>
      <c r="E513" s="12">
        <f t="shared" si="145"/>
        <v>120</v>
      </c>
      <c r="F513" s="12" t="str">
        <f>VLOOKUP(B513,[1]lookup!A:B,2,FALSE)</f>
        <v>Term</v>
      </c>
      <c r="G513" s="12">
        <v>0</v>
      </c>
      <c r="H513" s="12">
        <v>120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/>
      <c r="AC513" s="13">
        <f t="shared" si="146"/>
        <v>0</v>
      </c>
      <c r="AK513" s="15">
        <f t="shared" si="151"/>
        <v>14400</v>
      </c>
      <c r="AL513" s="14">
        <f t="shared" si="147"/>
        <v>14400</v>
      </c>
    </row>
    <row r="514" spans="1:38" hidden="1" x14ac:dyDescent="0.25">
      <c r="A514" s="12" t="s">
        <v>86</v>
      </c>
      <c r="B514" s="12" t="s">
        <v>584</v>
      </c>
      <c r="C514" s="12" t="s">
        <v>539</v>
      </c>
      <c r="D514" s="12"/>
      <c r="E514" s="12">
        <f t="shared" si="145"/>
        <v>120</v>
      </c>
      <c r="F514" s="12" t="str">
        <f>VLOOKUP(B514,[1]lookup!A:B,2,FALSE)</f>
        <v>Term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120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/>
      <c r="AC514" s="13">
        <f t="shared" si="146"/>
        <v>0</v>
      </c>
      <c r="AL514" s="14">
        <f t="shared" si="147"/>
        <v>0</v>
      </c>
    </row>
    <row r="515" spans="1:38" hidden="1" x14ac:dyDescent="0.25">
      <c r="A515" s="12" t="s">
        <v>46</v>
      </c>
      <c r="B515" s="12" t="s">
        <v>581</v>
      </c>
      <c r="C515" s="12" t="s">
        <v>539</v>
      </c>
      <c r="D515" s="12"/>
      <c r="E515" s="12">
        <f t="shared" si="145"/>
        <v>120</v>
      </c>
      <c r="F515" s="12" t="str">
        <f>VLOOKUP(B515,[1]lookup!A:B,2,FALSE)</f>
        <v>Perpetual</v>
      </c>
      <c r="G515" s="12">
        <v>0</v>
      </c>
      <c r="H515" s="12">
        <v>0</v>
      </c>
      <c r="I515" s="12">
        <v>120</v>
      </c>
      <c r="J515" s="12">
        <v>120</v>
      </c>
      <c r="K515" s="12">
        <v>0</v>
      </c>
      <c r="L515" s="12">
        <v>120</v>
      </c>
      <c r="M515" s="12">
        <v>110</v>
      </c>
      <c r="N515" s="12">
        <v>0</v>
      </c>
      <c r="O515" s="12">
        <v>120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  <c r="Y515" s="12">
        <v>0</v>
      </c>
      <c r="Z515" s="12">
        <v>0</v>
      </c>
      <c r="AA515" s="12"/>
      <c r="AC515" s="13">
        <f t="shared" si="146"/>
        <v>26400</v>
      </c>
      <c r="AD515" s="13">
        <f>J515*AD$2</f>
        <v>28800</v>
      </c>
      <c r="AE515" s="13">
        <f>J515*AE$2</f>
        <v>14400</v>
      </c>
      <c r="AL515" s="14">
        <f t="shared" si="147"/>
        <v>69600</v>
      </c>
    </row>
    <row r="516" spans="1:38" hidden="1" x14ac:dyDescent="0.25">
      <c r="A516" s="12" t="s">
        <v>51</v>
      </c>
      <c r="B516" s="12" t="s">
        <v>585</v>
      </c>
      <c r="C516" s="12" t="s">
        <v>539</v>
      </c>
      <c r="D516" s="12"/>
      <c r="E516" s="12">
        <f t="shared" si="145"/>
        <v>120</v>
      </c>
      <c r="F516" s="12" t="s">
        <v>70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120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/>
      <c r="AC516" s="13">
        <f t="shared" si="146"/>
        <v>0</v>
      </c>
      <c r="AL516" s="14">
        <f t="shared" si="147"/>
        <v>0</v>
      </c>
    </row>
    <row r="517" spans="1:38" hidden="1" x14ac:dyDescent="0.25">
      <c r="A517" s="12" t="s">
        <v>386</v>
      </c>
      <c r="B517" s="12" t="s">
        <v>581</v>
      </c>
      <c r="C517" s="12" t="s">
        <v>539</v>
      </c>
      <c r="D517" s="12"/>
      <c r="E517" s="12">
        <f t="shared" ref="E517:E580" si="152">MAX(G517:Z517)</f>
        <v>120</v>
      </c>
      <c r="F517" s="12" t="str">
        <f>VLOOKUP(B517,[1]lookup!A:B,2,FALSE)</f>
        <v>Perpetual</v>
      </c>
      <c r="G517" s="12">
        <v>0</v>
      </c>
      <c r="H517" s="12">
        <v>120</v>
      </c>
      <c r="I517" s="12">
        <v>120</v>
      </c>
      <c r="J517" s="12">
        <v>120</v>
      </c>
      <c r="K517" s="12">
        <v>0</v>
      </c>
      <c r="L517" s="12">
        <v>120</v>
      </c>
      <c r="M517" s="12">
        <v>110</v>
      </c>
      <c r="N517" s="12">
        <v>0</v>
      </c>
      <c r="O517" s="12">
        <v>120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0</v>
      </c>
      <c r="Y517" s="12">
        <v>0</v>
      </c>
      <c r="Z517" s="12">
        <v>0</v>
      </c>
      <c r="AA517" s="12"/>
      <c r="AC517" s="13">
        <f t="shared" ref="AC517:AC580" si="153">M517*AC$2</f>
        <v>26400</v>
      </c>
      <c r="AD517" s="13">
        <f>J517*AD$2</f>
        <v>28800</v>
      </c>
      <c r="AE517" s="13">
        <f>J517*AE$2</f>
        <v>14400</v>
      </c>
      <c r="AL517" s="14">
        <f t="shared" si="147"/>
        <v>69600</v>
      </c>
    </row>
    <row r="518" spans="1:38" hidden="1" x14ac:dyDescent="0.25">
      <c r="A518" s="12" t="s">
        <v>86</v>
      </c>
      <c r="B518" s="12" t="s">
        <v>586</v>
      </c>
      <c r="C518" s="12" t="s">
        <v>539</v>
      </c>
      <c r="D518" s="12"/>
      <c r="E518" s="12">
        <f t="shared" si="152"/>
        <v>118</v>
      </c>
      <c r="F518" s="12" t="str">
        <f>VLOOKUP(B518,[1]lookup!A:B,2,FALSE)</f>
        <v>Perpetual</v>
      </c>
      <c r="G518" s="12">
        <v>0</v>
      </c>
      <c r="H518" s="12">
        <v>118</v>
      </c>
      <c r="I518" s="12">
        <v>118</v>
      </c>
      <c r="J518" s="12">
        <v>118</v>
      </c>
      <c r="K518" s="12">
        <v>118</v>
      </c>
      <c r="L518" s="12">
        <v>0</v>
      </c>
      <c r="M518" s="12">
        <v>0</v>
      </c>
      <c r="N518" s="12">
        <v>0</v>
      </c>
      <c r="O518" s="12">
        <v>118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  <c r="Y518" s="12">
        <v>0</v>
      </c>
      <c r="Z518" s="12">
        <v>0</v>
      </c>
      <c r="AA518" s="12"/>
      <c r="AC518" s="13">
        <f t="shared" si="153"/>
        <v>0</v>
      </c>
      <c r="AL518" s="14">
        <f t="shared" ref="AL518:AL581" si="154">SUM(AC518:AK518)</f>
        <v>0</v>
      </c>
    </row>
    <row r="519" spans="1:38" hidden="1" x14ac:dyDescent="0.25">
      <c r="A519" s="12" t="s">
        <v>140</v>
      </c>
      <c r="B519" s="12" t="s">
        <v>587</v>
      </c>
      <c r="C519" s="12" t="s">
        <v>539</v>
      </c>
      <c r="D519" s="12"/>
      <c r="E519" s="12">
        <f t="shared" si="152"/>
        <v>117</v>
      </c>
      <c r="F519" s="12" t="s">
        <v>70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117</v>
      </c>
      <c r="X519" s="12">
        <v>0</v>
      </c>
      <c r="Y519" s="12">
        <v>0</v>
      </c>
      <c r="Z519" s="12">
        <v>0</v>
      </c>
      <c r="AA519" s="12"/>
      <c r="AC519" s="13">
        <f t="shared" si="153"/>
        <v>0</v>
      </c>
      <c r="AL519" s="14">
        <f t="shared" si="154"/>
        <v>0</v>
      </c>
    </row>
    <row r="520" spans="1:38" hidden="1" x14ac:dyDescent="0.25">
      <c r="A520" s="12" t="s">
        <v>173</v>
      </c>
      <c r="B520" s="12" t="s">
        <v>588</v>
      </c>
      <c r="C520" s="12" t="s">
        <v>539</v>
      </c>
      <c r="D520" s="12"/>
      <c r="E520" s="12">
        <f t="shared" si="152"/>
        <v>116</v>
      </c>
      <c r="F520" s="12" t="str">
        <f>VLOOKUP(B520,[1]lookup!A:B,2,FALSE)</f>
        <v>SaaS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116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/>
      <c r="AC520" s="13">
        <f t="shared" si="153"/>
        <v>0</v>
      </c>
      <c r="AL520" s="14">
        <f t="shared" si="154"/>
        <v>0</v>
      </c>
    </row>
    <row r="521" spans="1:38" hidden="1" x14ac:dyDescent="0.25">
      <c r="A521" s="12" t="s">
        <v>173</v>
      </c>
      <c r="B521" s="12" t="s">
        <v>589</v>
      </c>
      <c r="C521" s="12" t="s">
        <v>539</v>
      </c>
      <c r="D521" s="12"/>
      <c r="E521" s="12">
        <f t="shared" si="152"/>
        <v>115</v>
      </c>
      <c r="F521" s="12" t="str">
        <f>VLOOKUP(B521,[1]lookup!A:B,2,FALSE)</f>
        <v>SaaS</v>
      </c>
      <c r="G521" s="12">
        <v>0</v>
      </c>
      <c r="H521" s="12">
        <v>0</v>
      </c>
      <c r="I521" s="12">
        <v>0</v>
      </c>
      <c r="J521" s="12">
        <v>0</v>
      </c>
      <c r="K521" s="12">
        <v>0</v>
      </c>
      <c r="L521" s="12">
        <v>0</v>
      </c>
      <c r="M521" s="12">
        <v>0</v>
      </c>
      <c r="N521" s="12">
        <v>115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/>
      <c r="AC521" s="13">
        <f t="shared" si="153"/>
        <v>0</v>
      </c>
      <c r="AL521" s="14">
        <f t="shared" si="154"/>
        <v>0</v>
      </c>
    </row>
    <row r="522" spans="1:38" hidden="1" x14ac:dyDescent="0.25">
      <c r="A522" s="12" t="s">
        <v>92</v>
      </c>
      <c r="B522" s="12" t="s">
        <v>590</v>
      </c>
      <c r="C522" s="12" t="s">
        <v>539</v>
      </c>
      <c r="D522" s="12"/>
      <c r="E522" s="12">
        <f t="shared" si="152"/>
        <v>114</v>
      </c>
      <c r="F522" s="12" t="s">
        <v>70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114</v>
      </c>
      <c r="X522" s="12">
        <v>0</v>
      </c>
      <c r="Y522" s="12">
        <v>0</v>
      </c>
      <c r="Z522" s="12">
        <v>0</v>
      </c>
      <c r="AA522" s="12"/>
      <c r="AC522" s="13">
        <f t="shared" si="153"/>
        <v>0</v>
      </c>
      <c r="AL522" s="14">
        <f t="shared" si="154"/>
        <v>0</v>
      </c>
    </row>
    <row r="523" spans="1:38" hidden="1" x14ac:dyDescent="0.25">
      <c r="A523" s="12" t="s">
        <v>92</v>
      </c>
      <c r="B523" s="12" t="s">
        <v>591</v>
      </c>
      <c r="C523" s="12" t="s">
        <v>539</v>
      </c>
      <c r="D523" s="12"/>
      <c r="E523" s="12">
        <f t="shared" si="152"/>
        <v>113</v>
      </c>
      <c r="F523" s="12" t="s">
        <v>70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113</v>
      </c>
      <c r="X523" s="12">
        <v>0</v>
      </c>
      <c r="Y523" s="12">
        <v>0</v>
      </c>
      <c r="Z523" s="12">
        <v>0</v>
      </c>
      <c r="AA523" s="12"/>
      <c r="AC523" s="13">
        <f t="shared" si="153"/>
        <v>0</v>
      </c>
      <c r="AL523" s="14">
        <f t="shared" si="154"/>
        <v>0</v>
      </c>
    </row>
    <row r="524" spans="1:38" hidden="1" x14ac:dyDescent="0.25">
      <c r="A524" s="12" t="s">
        <v>86</v>
      </c>
      <c r="B524" s="12" t="s">
        <v>592</v>
      </c>
      <c r="C524" s="12" t="s">
        <v>539</v>
      </c>
      <c r="D524" s="12"/>
      <c r="E524" s="12">
        <f t="shared" si="152"/>
        <v>111</v>
      </c>
      <c r="F524" s="12" t="str">
        <f>VLOOKUP(B524,[1]lookup!A:B,2,FALSE)</f>
        <v>Term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111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/>
      <c r="AC524" s="13">
        <f t="shared" si="153"/>
        <v>0</v>
      </c>
      <c r="AL524" s="14">
        <f t="shared" si="154"/>
        <v>0</v>
      </c>
    </row>
    <row r="525" spans="1:38" hidden="1" x14ac:dyDescent="0.25">
      <c r="A525" s="12" t="s">
        <v>51</v>
      </c>
      <c r="B525" s="12" t="s">
        <v>593</v>
      </c>
      <c r="C525" s="12" t="s">
        <v>539</v>
      </c>
      <c r="D525" s="12"/>
      <c r="E525" s="12">
        <f t="shared" si="152"/>
        <v>111</v>
      </c>
      <c r="F525" s="12" t="s">
        <v>70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111</v>
      </c>
      <c r="V525" s="12">
        <v>0</v>
      </c>
      <c r="W525" s="12">
        <v>0</v>
      </c>
      <c r="X525" s="12">
        <v>0</v>
      </c>
      <c r="Y525" s="12">
        <v>0</v>
      </c>
      <c r="Z525" s="12">
        <v>0</v>
      </c>
      <c r="AA525" s="12"/>
      <c r="AC525" s="13">
        <f t="shared" si="153"/>
        <v>0</v>
      </c>
      <c r="AL525" s="14">
        <f t="shared" si="154"/>
        <v>0</v>
      </c>
    </row>
    <row r="526" spans="1:38" hidden="1" x14ac:dyDescent="0.25">
      <c r="A526" s="12" t="s">
        <v>86</v>
      </c>
      <c r="B526" s="12" t="s">
        <v>594</v>
      </c>
      <c r="C526" s="12" t="s">
        <v>539</v>
      </c>
      <c r="D526" s="12"/>
      <c r="E526" s="12">
        <f t="shared" si="152"/>
        <v>110</v>
      </c>
      <c r="F526" s="12" t="str">
        <f>VLOOKUP(B526,[1]lookup!A:B,2,FALSE)</f>
        <v>Term</v>
      </c>
      <c r="G526" s="12">
        <v>0</v>
      </c>
      <c r="H526" s="12">
        <v>110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/>
      <c r="AC526" s="13">
        <f t="shared" si="153"/>
        <v>0</v>
      </c>
      <c r="AK526" s="15">
        <f>H526*AK$2</f>
        <v>13200</v>
      </c>
      <c r="AL526" s="14">
        <f t="shared" si="154"/>
        <v>13200</v>
      </c>
    </row>
    <row r="527" spans="1:38" hidden="1" x14ac:dyDescent="0.25">
      <c r="A527" s="12" t="s">
        <v>67</v>
      </c>
      <c r="B527" s="12" t="s">
        <v>595</v>
      </c>
      <c r="C527" s="12" t="s">
        <v>539</v>
      </c>
      <c r="D527" s="12"/>
      <c r="E527" s="12">
        <f t="shared" si="152"/>
        <v>110</v>
      </c>
      <c r="F527" s="12" t="str">
        <f>VLOOKUP(B527,[1]lookup!A:B,2,FALSE)</f>
        <v>SaaS</v>
      </c>
      <c r="G527" s="12">
        <v>0</v>
      </c>
      <c r="H527" s="12">
        <v>0</v>
      </c>
      <c r="I527" s="12">
        <v>0</v>
      </c>
      <c r="J527" s="12">
        <v>110</v>
      </c>
      <c r="K527" s="12">
        <v>0</v>
      </c>
      <c r="L527" s="12">
        <v>0</v>
      </c>
      <c r="M527" s="12">
        <v>0</v>
      </c>
      <c r="N527" s="12">
        <v>110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0</v>
      </c>
      <c r="Z527" s="12">
        <v>0</v>
      </c>
      <c r="AA527" s="12"/>
      <c r="AC527" s="13">
        <f t="shared" si="153"/>
        <v>0</v>
      </c>
      <c r="AD527" s="13">
        <f>J527*AD$2</f>
        <v>26400</v>
      </c>
      <c r="AE527" s="13">
        <f>J527*AE$2</f>
        <v>13200</v>
      </c>
      <c r="AL527" s="14">
        <f t="shared" si="154"/>
        <v>39600</v>
      </c>
    </row>
    <row r="528" spans="1:38" hidden="1" x14ac:dyDescent="0.25">
      <c r="A528" s="12" t="s">
        <v>51</v>
      </c>
      <c r="B528" s="12" t="s">
        <v>596</v>
      </c>
      <c r="C528" s="12" t="s">
        <v>539</v>
      </c>
      <c r="D528" s="12"/>
      <c r="E528" s="12">
        <f t="shared" si="152"/>
        <v>110</v>
      </c>
      <c r="F528" s="12" t="s">
        <v>70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110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/>
      <c r="AC528" s="13">
        <f t="shared" si="153"/>
        <v>0</v>
      </c>
      <c r="AL528" s="14">
        <f t="shared" si="154"/>
        <v>0</v>
      </c>
    </row>
    <row r="529" spans="1:38" hidden="1" x14ac:dyDescent="0.25">
      <c r="A529" s="12" t="s">
        <v>51</v>
      </c>
      <c r="B529" s="12" t="s">
        <v>597</v>
      </c>
      <c r="C529" s="12" t="s">
        <v>539</v>
      </c>
      <c r="D529" s="12"/>
      <c r="E529" s="12">
        <f t="shared" si="152"/>
        <v>110</v>
      </c>
      <c r="F529" s="12" t="s">
        <v>70</v>
      </c>
      <c r="G529" s="12">
        <v>0</v>
      </c>
      <c r="H529" s="12">
        <v>0</v>
      </c>
      <c r="I529" s="12">
        <v>0</v>
      </c>
      <c r="J529" s="12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110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/>
      <c r="AC529" s="13">
        <f t="shared" si="153"/>
        <v>0</v>
      </c>
      <c r="AL529" s="14">
        <f t="shared" si="154"/>
        <v>0</v>
      </c>
    </row>
    <row r="530" spans="1:38" hidden="1" x14ac:dyDescent="0.25">
      <c r="A530" s="12" t="s">
        <v>51</v>
      </c>
      <c r="B530" s="12" t="s">
        <v>598</v>
      </c>
      <c r="C530" s="12" t="s">
        <v>539</v>
      </c>
      <c r="D530" s="12"/>
      <c r="E530" s="12">
        <f t="shared" si="152"/>
        <v>110</v>
      </c>
      <c r="F530" s="12" t="s">
        <v>70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110</v>
      </c>
      <c r="V530" s="12">
        <v>0</v>
      </c>
      <c r="W530" s="12">
        <v>0</v>
      </c>
      <c r="X530" s="12">
        <v>0</v>
      </c>
      <c r="Y530" s="12">
        <v>0</v>
      </c>
      <c r="Z530" s="12">
        <v>0</v>
      </c>
      <c r="AA530" s="12"/>
      <c r="AC530" s="13">
        <f t="shared" si="153"/>
        <v>0</v>
      </c>
      <c r="AL530" s="14">
        <f t="shared" si="154"/>
        <v>0</v>
      </c>
    </row>
    <row r="531" spans="1:38" hidden="1" x14ac:dyDescent="0.25">
      <c r="A531" s="12" t="s">
        <v>148</v>
      </c>
      <c r="B531" s="12" t="s">
        <v>599</v>
      </c>
      <c r="C531" s="12" t="s">
        <v>539</v>
      </c>
      <c r="D531" s="12"/>
      <c r="E531" s="12">
        <f t="shared" si="152"/>
        <v>110</v>
      </c>
      <c r="F531" s="12" t="s">
        <v>70</v>
      </c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110</v>
      </c>
      <c r="X531" s="12">
        <v>0</v>
      </c>
      <c r="Y531" s="12">
        <v>0</v>
      </c>
      <c r="Z531" s="12">
        <v>0</v>
      </c>
      <c r="AA531" s="12"/>
      <c r="AC531" s="13">
        <f t="shared" si="153"/>
        <v>0</v>
      </c>
      <c r="AL531" s="14">
        <f t="shared" si="154"/>
        <v>0</v>
      </c>
    </row>
    <row r="532" spans="1:38" hidden="1" x14ac:dyDescent="0.25">
      <c r="A532" s="12" t="s">
        <v>173</v>
      </c>
      <c r="B532" s="12" t="s">
        <v>600</v>
      </c>
      <c r="C532" s="12" t="s">
        <v>539</v>
      </c>
      <c r="D532" s="12"/>
      <c r="E532" s="12">
        <f t="shared" si="152"/>
        <v>110</v>
      </c>
      <c r="F532" s="12" t="str">
        <f>VLOOKUP(B532,[1]lookup!A:B,2,FALSE)</f>
        <v>SaaS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110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/>
      <c r="AC532" s="13">
        <f t="shared" si="153"/>
        <v>0</v>
      </c>
      <c r="AL532" s="14">
        <f t="shared" si="154"/>
        <v>0</v>
      </c>
    </row>
    <row r="533" spans="1:38" hidden="1" x14ac:dyDescent="0.25">
      <c r="A533" s="12" t="s">
        <v>173</v>
      </c>
      <c r="B533" s="12" t="s">
        <v>601</v>
      </c>
      <c r="C533" s="12" t="s">
        <v>539</v>
      </c>
      <c r="D533" s="12"/>
      <c r="E533" s="12">
        <f t="shared" si="152"/>
        <v>110</v>
      </c>
      <c r="F533" s="12" t="str">
        <f>VLOOKUP(B533,[1]lookup!A:B,2,FALSE)</f>
        <v>SaaS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110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/>
      <c r="AC533" s="13">
        <f t="shared" si="153"/>
        <v>0</v>
      </c>
      <c r="AL533" s="14">
        <f t="shared" si="154"/>
        <v>0</v>
      </c>
    </row>
    <row r="534" spans="1:38" hidden="1" x14ac:dyDescent="0.25">
      <c r="A534" s="12" t="s">
        <v>51</v>
      </c>
      <c r="B534" s="12" t="s">
        <v>602</v>
      </c>
      <c r="C534" s="12" t="s">
        <v>539</v>
      </c>
      <c r="D534" s="12"/>
      <c r="E534" s="12">
        <f t="shared" si="152"/>
        <v>109</v>
      </c>
      <c r="F534" s="12" t="s">
        <v>70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109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/>
      <c r="AC534" s="13">
        <f t="shared" si="153"/>
        <v>0</v>
      </c>
      <c r="AL534" s="14">
        <f t="shared" si="154"/>
        <v>0</v>
      </c>
    </row>
    <row r="535" spans="1:38" hidden="1" x14ac:dyDescent="0.25">
      <c r="A535" s="12" t="s">
        <v>296</v>
      </c>
      <c r="B535" s="12" t="s">
        <v>603</v>
      </c>
      <c r="C535" s="12" t="s">
        <v>539</v>
      </c>
      <c r="D535" s="12"/>
      <c r="E535" s="12">
        <f t="shared" si="152"/>
        <v>109</v>
      </c>
      <c r="F535" s="12" t="s">
        <v>70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109</v>
      </c>
      <c r="X535" s="12">
        <v>0</v>
      </c>
      <c r="Y535" s="12">
        <v>0</v>
      </c>
      <c r="Z535" s="12">
        <v>0</v>
      </c>
      <c r="AA535" s="12"/>
      <c r="AC535" s="13">
        <f t="shared" si="153"/>
        <v>0</v>
      </c>
      <c r="AL535" s="14">
        <f t="shared" si="154"/>
        <v>0</v>
      </c>
    </row>
    <row r="536" spans="1:38" hidden="1" x14ac:dyDescent="0.25">
      <c r="A536" s="12" t="s">
        <v>537</v>
      </c>
      <c r="B536" s="12" t="s">
        <v>604</v>
      </c>
      <c r="C536" s="12" t="s">
        <v>539</v>
      </c>
      <c r="D536" s="12"/>
      <c r="E536" s="12">
        <f t="shared" si="152"/>
        <v>108</v>
      </c>
      <c r="F536" s="12" t="str">
        <f>VLOOKUP(B536,[1]lookup!A:B,2,FALSE)</f>
        <v>SaaS</v>
      </c>
      <c r="G536" s="12">
        <v>0</v>
      </c>
      <c r="H536" s="12">
        <v>0</v>
      </c>
      <c r="I536" s="12">
        <v>0</v>
      </c>
      <c r="J536" s="12">
        <v>108</v>
      </c>
      <c r="K536" s="12">
        <v>0</v>
      </c>
      <c r="L536" s="12">
        <v>0</v>
      </c>
      <c r="M536" s="12">
        <v>0</v>
      </c>
      <c r="N536" s="12">
        <v>108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/>
      <c r="AC536" s="13">
        <f t="shared" si="153"/>
        <v>0</v>
      </c>
      <c r="AD536" s="13">
        <f>J536*AD$2</f>
        <v>25920</v>
      </c>
      <c r="AE536" s="13">
        <f>J536*AE$2</f>
        <v>12960</v>
      </c>
      <c r="AL536" s="14">
        <f t="shared" si="154"/>
        <v>38880</v>
      </c>
    </row>
    <row r="537" spans="1:38" hidden="1" x14ac:dyDescent="0.25">
      <c r="A537" s="12" t="s">
        <v>49</v>
      </c>
      <c r="B537" s="12" t="s">
        <v>605</v>
      </c>
      <c r="C537" s="12" t="s">
        <v>539</v>
      </c>
      <c r="D537" s="12"/>
      <c r="E537" s="12">
        <f t="shared" si="152"/>
        <v>107</v>
      </c>
      <c r="F537" s="12" t="s">
        <v>70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107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/>
      <c r="AC537" s="13">
        <f t="shared" si="153"/>
        <v>0</v>
      </c>
      <c r="AL537" s="14">
        <f t="shared" si="154"/>
        <v>0</v>
      </c>
    </row>
    <row r="538" spans="1:38" hidden="1" x14ac:dyDescent="0.25">
      <c r="A538" s="12" t="s">
        <v>49</v>
      </c>
      <c r="B538" s="12" t="s">
        <v>606</v>
      </c>
      <c r="C538" s="12" t="s">
        <v>539</v>
      </c>
      <c r="D538" s="12"/>
      <c r="E538" s="12">
        <f t="shared" si="152"/>
        <v>106</v>
      </c>
      <c r="F538" s="12" t="str">
        <f>VLOOKUP(B538,[1]lookup!A:B,2,FALSE)</f>
        <v>SaaS</v>
      </c>
      <c r="G538" s="12">
        <v>106</v>
      </c>
      <c r="H538" s="12">
        <v>106</v>
      </c>
      <c r="I538" s="12">
        <v>0</v>
      </c>
      <c r="J538" s="12">
        <v>62</v>
      </c>
      <c r="K538" s="12">
        <v>62</v>
      </c>
      <c r="L538" s="12">
        <v>0</v>
      </c>
      <c r="M538" s="12">
        <v>0</v>
      </c>
      <c r="N538" s="12">
        <v>0</v>
      </c>
      <c r="O538" s="12">
        <v>0</v>
      </c>
      <c r="P538" s="12">
        <v>76</v>
      </c>
      <c r="Q538" s="12">
        <v>0</v>
      </c>
      <c r="R538" s="12">
        <v>62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/>
      <c r="AC538" s="13">
        <f t="shared" si="153"/>
        <v>0</v>
      </c>
      <c r="AL538" s="14">
        <f t="shared" si="154"/>
        <v>0</v>
      </c>
    </row>
    <row r="539" spans="1:38" hidden="1" x14ac:dyDescent="0.25">
      <c r="A539" s="12" t="s">
        <v>114</v>
      </c>
      <c r="B539" s="12" t="s">
        <v>607</v>
      </c>
      <c r="C539" s="12" t="s">
        <v>539</v>
      </c>
      <c r="D539" s="12"/>
      <c r="E539" s="12">
        <f t="shared" si="152"/>
        <v>105</v>
      </c>
      <c r="F539" s="12" t="str">
        <f>VLOOKUP(B539,[1]lookup!A:B,2,FALSE)</f>
        <v>Perpetual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105</v>
      </c>
      <c r="N539" s="12">
        <v>0</v>
      </c>
      <c r="O539" s="12">
        <v>74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/>
      <c r="AC539" s="13">
        <f t="shared" si="153"/>
        <v>25200</v>
      </c>
      <c r="AL539" s="14">
        <f t="shared" si="154"/>
        <v>25200</v>
      </c>
    </row>
    <row r="540" spans="1:38" hidden="1" x14ac:dyDescent="0.25">
      <c r="A540" s="12" t="s">
        <v>112</v>
      </c>
      <c r="B540" s="12" t="s">
        <v>608</v>
      </c>
      <c r="C540" s="12" t="s">
        <v>539</v>
      </c>
      <c r="D540" s="12"/>
      <c r="E540" s="12">
        <f t="shared" si="152"/>
        <v>105</v>
      </c>
      <c r="F540" s="12" t="str">
        <f>VLOOKUP(B540,[1]lookup!A:B,2,FALSE)</f>
        <v>Term</v>
      </c>
      <c r="G540" s="12">
        <v>0</v>
      </c>
      <c r="H540" s="12">
        <v>104</v>
      </c>
      <c r="I540" s="12">
        <v>105</v>
      </c>
      <c r="J540" s="12">
        <v>104</v>
      </c>
      <c r="K540" s="12">
        <v>0</v>
      </c>
      <c r="L540" s="12">
        <v>104</v>
      </c>
      <c r="M540" s="12">
        <v>0</v>
      </c>
      <c r="N540" s="12">
        <v>0</v>
      </c>
      <c r="O540" s="12">
        <v>104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/>
      <c r="AC540" s="13">
        <f t="shared" si="153"/>
        <v>0</v>
      </c>
      <c r="AD540" s="13">
        <f>J540*AD$2</f>
        <v>24960</v>
      </c>
      <c r="AE540" s="13">
        <f>J540*AE$2</f>
        <v>12480</v>
      </c>
      <c r="AL540" s="14">
        <f t="shared" si="154"/>
        <v>37440</v>
      </c>
    </row>
    <row r="541" spans="1:38" hidden="1" x14ac:dyDescent="0.25">
      <c r="A541" s="12" t="s">
        <v>140</v>
      </c>
      <c r="B541" s="12" t="s">
        <v>609</v>
      </c>
      <c r="C541" s="12" t="s">
        <v>539</v>
      </c>
      <c r="D541" s="12"/>
      <c r="E541" s="12">
        <f t="shared" si="152"/>
        <v>105</v>
      </c>
      <c r="F541" s="12" t="s">
        <v>70</v>
      </c>
      <c r="G541" s="12">
        <v>0</v>
      </c>
      <c r="H541" s="12">
        <v>0</v>
      </c>
      <c r="I541" s="12">
        <v>0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105</v>
      </c>
      <c r="X541" s="12">
        <v>0</v>
      </c>
      <c r="Y541" s="12">
        <v>0</v>
      </c>
      <c r="Z541" s="12">
        <v>0</v>
      </c>
      <c r="AA541" s="12"/>
      <c r="AC541" s="13">
        <f t="shared" si="153"/>
        <v>0</v>
      </c>
      <c r="AL541" s="14">
        <f t="shared" si="154"/>
        <v>0</v>
      </c>
    </row>
    <row r="542" spans="1:38" hidden="1" x14ac:dyDescent="0.25">
      <c r="A542" s="12" t="s">
        <v>140</v>
      </c>
      <c r="B542" s="12" t="s">
        <v>610</v>
      </c>
      <c r="C542" s="12" t="s">
        <v>539</v>
      </c>
      <c r="D542" s="12"/>
      <c r="E542" s="12">
        <f t="shared" si="152"/>
        <v>104</v>
      </c>
      <c r="F542" s="12" t="s">
        <v>70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  <c r="W542" s="12">
        <v>104</v>
      </c>
      <c r="X542" s="12">
        <v>0</v>
      </c>
      <c r="Y542" s="12">
        <v>0</v>
      </c>
      <c r="Z542" s="12">
        <v>0</v>
      </c>
      <c r="AA542" s="12"/>
      <c r="AC542" s="13">
        <f t="shared" si="153"/>
        <v>0</v>
      </c>
      <c r="AL542" s="14">
        <f t="shared" si="154"/>
        <v>0</v>
      </c>
    </row>
    <row r="543" spans="1:38" hidden="1" x14ac:dyDescent="0.25">
      <c r="A543" s="12" t="s">
        <v>537</v>
      </c>
      <c r="B543" s="12" t="s">
        <v>611</v>
      </c>
      <c r="C543" s="12" t="s">
        <v>539</v>
      </c>
      <c r="D543" s="12"/>
      <c r="E543" s="12">
        <f t="shared" si="152"/>
        <v>104</v>
      </c>
      <c r="F543" s="12" t="str">
        <f>VLOOKUP(B543,[1]lookup!A:B,2,FALSE)</f>
        <v>SaaS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104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/>
      <c r="AC543" s="13">
        <f t="shared" si="153"/>
        <v>0</v>
      </c>
      <c r="AL543" s="14">
        <f t="shared" si="154"/>
        <v>0</v>
      </c>
    </row>
    <row r="544" spans="1:38" hidden="1" x14ac:dyDescent="0.25">
      <c r="A544" s="12" t="s">
        <v>51</v>
      </c>
      <c r="B544" s="12" t="s">
        <v>612</v>
      </c>
      <c r="C544" s="12" t="s">
        <v>539</v>
      </c>
      <c r="D544" s="12"/>
      <c r="E544" s="12">
        <f t="shared" si="152"/>
        <v>103</v>
      </c>
      <c r="F544" s="12" t="s">
        <v>70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103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/>
      <c r="AC544" s="13">
        <f t="shared" si="153"/>
        <v>0</v>
      </c>
      <c r="AL544" s="14">
        <f t="shared" si="154"/>
        <v>0</v>
      </c>
    </row>
    <row r="545" spans="1:38" hidden="1" x14ac:dyDescent="0.25">
      <c r="A545" s="12" t="s">
        <v>86</v>
      </c>
      <c r="B545" s="12" t="s">
        <v>613</v>
      </c>
      <c r="C545" s="12" t="s">
        <v>539</v>
      </c>
      <c r="D545" s="12"/>
      <c r="E545" s="12">
        <f t="shared" si="152"/>
        <v>102</v>
      </c>
      <c r="F545" s="12" t="str">
        <f>VLOOKUP(B545,[1]lookup!A:B,2,FALSE)</f>
        <v>Term</v>
      </c>
      <c r="G545" s="12">
        <v>0</v>
      </c>
      <c r="H545" s="12">
        <v>102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/>
      <c r="AC545" s="13">
        <f t="shared" si="153"/>
        <v>0</v>
      </c>
      <c r="AK545" s="15">
        <f>H545*AK$2</f>
        <v>12240</v>
      </c>
      <c r="AL545" s="14">
        <f t="shared" si="154"/>
        <v>12240</v>
      </c>
    </row>
    <row r="546" spans="1:38" hidden="1" x14ac:dyDescent="0.25">
      <c r="A546" s="12" t="s">
        <v>614</v>
      </c>
      <c r="B546" s="12" t="s">
        <v>615</v>
      </c>
      <c r="C546" s="12" t="s">
        <v>539</v>
      </c>
      <c r="D546" s="12"/>
      <c r="E546" s="12">
        <f t="shared" si="152"/>
        <v>102</v>
      </c>
      <c r="F546" s="12" t="s">
        <v>70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102</v>
      </c>
      <c r="V546" s="12">
        <v>0</v>
      </c>
      <c r="W546" s="12">
        <v>0</v>
      </c>
      <c r="X546" s="12">
        <v>0</v>
      </c>
      <c r="Y546" s="12">
        <v>0</v>
      </c>
      <c r="Z546" s="12">
        <v>0</v>
      </c>
      <c r="AA546" s="12"/>
      <c r="AC546" s="13">
        <f t="shared" si="153"/>
        <v>0</v>
      </c>
      <c r="AL546" s="14">
        <f t="shared" si="154"/>
        <v>0</v>
      </c>
    </row>
    <row r="547" spans="1:38" hidden="1" x14ac:dyDescent="0.25">
      <c r="A547" s="12" t="s">
        <v>60</v>
      </c>
      <c r="B547" s="12" t="s">
        <v>521</v>
      </c>
      <c r="C547" s="12" t="s">
        <v>539</v>
      </c>
      <c r="D547" s="12"/>
      <c r="E547" s="12">
        <f t="shared" si="152"/>
        <v>101</v>
      </c>
      <c r="F547" s="12" t="str">
        <f>VLOOKUP(B547,[1]lookup!A:B,2,FALSE)</f>
        <v>Term</v>
      </c>
      <c r="G547" s="12">
        <v>0</v>
      </c>
      <c r="H547" s="12">
        <v>100</v>
      </c>
      <c r="I547" s="12">
        <v>0</v>
      </c>
      <c r="J547" s="12">
        <v>100</v>
      </c>
      <c r="K547" s="12">
        <v>0</v>
      </c>
      <c r="L547" s="12">
        <v>0</v>
      </c>
      <c r="M547" s="12">
        <v>101</v>
      </c>
      <c r="N547" s="12">
        <v>0</v>
      </c>
      <c r="O547" s="12">
        <v>101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/>
      <c r="AC547" s="13">
        <f t="shared" si="153"/>
        <v>24240</v>
      </c>
      <c r="AD547" s="13">
        <f>J547*AD$2</f>
        <v>24000</v>
      </c>
      <c r="AE547" s="13">
        <f>J547*AE$2</f>
        <v>12000</v>
      </c>
      <c r="AK547" s="15">
        <f>H547*AK$2</f>
        <v>12000</v>
      </c>
      <c r="AL547" s="14">
        <f t="shared" si="154"/>
        <v>72240</v>
      </c>
    </row>
    <row r="548" spans="1:38" hidden="1" x14ac:dyDescent="0.25">
      <c r="A548" s="12" t="s">
        <v>51</v>
      </c>
      <c r="B548" s="12" t="s">
        <v>616</v>
      </c>
      <c r="C548" s="12" t="s">
        <v>539</v>
      </c>
      <c r="D548" s="12"/>
      <c r="E548" s="12">
        <f t="shared" si="152"/>
        <v>101</v>
      </c>
      <c r="F548" s="12" t="s">
        <v>70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101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/>
      <c r="AC548" s="13">
        <f t="shared" si="153"/>
        <v>0</v>
      </c>
      <c r="AL548" s="14">
        <f t="shared" si="154"/>
        <v>0</v>
      </c>
    </row>
    <row r="549" spans="1:38" hidden="1" x14ac:dyDescent="0.25">
      <c r="A549" s="12" t="s">
        <v>51</v>
      </c>
      <c r="B549" s="12" t="s">
        <v>617</v>
      </c>
      <c r="C549" s="12" t="s">
        <v>539</v>
      </c>
      <c r="D549" s="12"/>
      <c r="E549" s="12">
        <f t="shared" si="152"/>
        <v>101</v>
      </c>
      <c r="F549" s="12" t="s">
        <v>70</v>
      </c>
      <c r="G549" s="12">
        <v>0</v>
      </c>
      <c r="H549" s="12">
        <v>0</v>
      </c>
      <c r="I549" s="12">
        <v>0</v>
      </c>
      <c r="J549" s="12">
        <v>0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101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/>
      <c r="AC549" s="13">
        <f t="shared" si="153"/>
        <v>0</v>
      </c>
      <c r="AL549" s="14">
        <f t="shared" si="154"/>
        <v>0</v>
      </c>
    </row>
    <row r="550" spans="1:38" hidden="1" x14ac:dyDescent="0.25">
      <c r="A550" s="12" t="s">
        <v>51</v>
      </c>
      <c r="B550" s="12" t="s">
        <v>618</v>
      </c>
      <c r="C550" s="12" t="s">
        <v>539</v>
      </c>
      <c r="D550" s="12"/>
      <c r="E550" s="12">
        <f t="shared" si="152"/>
        <v>101</v>
      </c>
      <c r="F550" s="12" t="s">
        <v>70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101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/>
      <c r="AC550" s="13">
        <f t="shared" si="153"/>
        <v>0</v>
      </c>
      <c r="AL550" s="14">
        <f t="shared" si="154"/>
        <v>0</v>
      </c>
    </row>
    <row r="551" spans="1:38" hidden="1" x14ac:dyDescent="0.25">
      <c r="A551" s="12" t="s">
        <v>178</v>
      </c>
      <c r="B551" s="12" t="s">
        <v>619</v>
      </c>
      <c r="C551" s="12" t="s">
        <v>539</v>
      </c>
      <c r="D551" s="12"/>
      <c r="E551" s="12">
        <f t="shared" si="152"/>
        <v>101</v>
      </c>
      <c r="F551" s="12" t="s">
        <v>70</v>
      </c>
      <c r="G551" s="12">
        <v>0</v>
      </c>
      <c r="H551" s="12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101</v>
      </c>
      <c r="X551" s="12">
        <v>0</v>
      </c>
      <c r="Y551" s="12">
        <v>0</v>
      </c>
      <c r="Z551" s="12">
        <v>0</v>
      </c>
      <c r="AA551" s="12"/>
      <c r="AC551" s="13">
        <f t="shared" si="153"/>
        <v>0</v>
      </c>
      <c r="AL551" s="14">
        <f t="shared" si="154"/>
        <v>0</v>
      </c>
    </row>
    <row r="552" spans="1:38" hidden="1" x14ac:dyDescent="0.25">
      <c r="A552" s="12" t="s">
        <v>86</v>
      </c>
      <c r="B552" s="12" t="s">
        <v>620</v>
      </c>
      <c r="C552" s="12" t="s">
        <v>539</v>
      </c>
      <c r="D552" s="12"/>
      <c r="E552" s="12">
        <f t="shared" si="152"/>
        <v>100</v>
      </c>
      <c r="F552" s="12" t="str">
        <f>VLOOKUP(B552,[1]lookup!A:B,2,FALSE)</f>
        <v>Term</v>
      </c>
      <c r="G552" s="12">
        <v>0</v>
      </c>
      <c r="H552" s="12">
        <v>100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2"/>
      <c r="AC552" s="13">
        <f t="shared" si="153"/>
        <v>0</v>
      </c>
      <c r="AK552" s="15">
        <f t="shared" ref="AK552:AK556" si="155">H552*AK$2</f>
        <v>12000</v>
      </c>
      <c r="AL552" s="14">
        <f t="shared" si="154"/>
        <v>12000</v>
      </c>
    </row>
    <row r="553" spans="1:38" hidden="1" x14ac:dyDescent="0.25">
      <c r="A553" s="12" t="s">
        <v>86</v>
      </c>
      <c r="B553" s="12" t="s">
        <v>621</v>
      </c>
      <c r="C553" s="12" t="s">
        <v>539</v>
      </c>
      <c r="D553" s="12"/>
      <c r="E553" s="12">
        <f t="shared" si="152"/>
        <v>100</v>
      </c>
      <c r="F553" s="12" t="str">
        <f>VLOOKUP(B553,[1]lookup!A:B,2,FALSE)</f>
        <v>Term</v>
      </c>
      <c r="G553" s="12">
        <v>0</v>
      </c>
      <c r="H553" s="12">
        <v>100</v>
      </c>
      <c r="I553" s="12">
        <v>0</v>
      </c>
      <c r="J553" s="12">
        <v>0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0</v>
      </c>
      <c r="Z553" s="12">
        <v>0</v>
      </c>
      <c r="AA553" s="12"/>
      <c r="AC553" s="13">
        <f t="shared" si="153"/>
        <v>0</v>
      </c>
      <c r="AK553" s="15">
        <f t="shared" si="155"/>
        <v>12000</v>
      </c>
      <c r="AL553" s="14">
        <f t="shared" si="154"/>
        <v>12000</v>
      </c>
    </row>
    <row r="554" spans="1:38" hidden="1" x14ac:dyDescent="0.25">
      <c r="A554" s="12" t="s">
        <v>86</v>
      </c>
      <c r="B554" s="12" t="s">
        <v>622</v>
      </c>
      <c r="C554" s="12" t="s">
        <v>539</v>
      </c>
      <c r="D554" s="12"/>
      <c r="E554" s="12">
        <f t="shared" si="152"/>
        <v>100</v>
      </c>
      <c r="F554" s="12" t="str">
        <f>VLOOKUP(B554,[1]lookup!A:B,2,FALSE)</f>
        <v>Perpetual</v>
      </c>
      <c r="G554" s="12">
        <v>0</v>
      </c>
      <c r="H554" s="12">
        <v>50</v>
      </c>
      <c r="I554" s="12">
        <v>0</v>
      </c>
      <c r="J554" s="12">
        <v>50</v>
      </c>
      <c r="K554" s="12">
        <v>0</v>
      </c>
      <c r="L554" s="12">
        <v>60</v>
      </c>
      <c r="M554" s="12">
        <v>0</v>
      </c>
      <c r="N554" s="12">
        <v>0</v>
      </c>
      <c r="O554" s="12">
        <v>100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2"/>
      <c r="AC554" s="13">
        <f t="shared" si="153"/>
        <v>0</v>
      </c>
      <c r="AD554" s="13">
        <f>J554*AD$2</f>
        <v>12000</v>
      </c>
      <c r="AE554" s="13">
        <f>J554*AE$2</f>
        <v>6000</v>
      </c>
      <c r="AK554" s="15">
        <f t="shared" si="155"/>
        <v>6000</v>
      </c>
      <c r="AL554" s="14">
        <f t="shared" si="154"/>
        <v>24000</v>
      </c>
    </row>
    <row r="555" spans="1:38" hidden="1" x14ac:dyDescent="0.25">
      <c r="A555" s="12" t="s">
        <v>56</v>
      </c>
      <c r="B555" s="12" t="s">
        <v>623</v>
      </c>
      <c r="C555" s="12" t="s">
        <v>539</v>
      </c>
      <c r="D555" s="12"/>
      <c r="E555" s="12">
        <f t="shared" si="152"/>
        <v>100</v>
      </c>
      <c r="F555" s="12" t="str">
        <f>VLOOKUP(B555,[1]lookup!A:B,2,FALSE)</f>
        <v>Perpetual</v>
      </c>
      <c r="G555" s="12">
        <v>0</v>
      </c>
      <c r="H555" s="12">
        <v>100</v>
      </c>
      <c r="I555" s="12">
        <v>0</v>
      </c>
      <c r="J555" s="12">
        <v>0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/>
      <c r="AC555" s="13">
        <f t="shared" si="153"/>
        <v>0</v>
      </c>
      <c r="AK555" s="15">
        <f t="shared" si="155"/>
        <v>12000</v>
      </c>
      <c r="AL555" s="14">
        <f t="shared" si="154"/>
        <v>12000</v>
      </c>
    </row>
    <row r="556" spans="1:38" hidden="1" x14ac:dyDescent="0.25">
      <c r="A556" s="12" t="s">
        <v>114</v>
      </c>
      <c r="B556" s="12" t="s">
        <v>521</v>
      </c>
      <c r="C556" s="12" t="s">
        <v>539</v>
      </c>
      <c r="D556" s="12"/>
      <c r="E556" s="12">
        <f t="shared" si="152"/>
        <v>100</v>
      </c>
      <c r="F556" s="12" t="str">
        <f>VLOOKUP(B556,[1]lookup!A:B,2,FALSE)</f>
        <v>Term</v>
      </c>
      <c r="G556" s="12">
        <v>0</v>
      </c>
      <c r="H556" s="12">
        <v>100</v>
      </c>
      <c r="I556" s="12">
        <v>0</v>
      </c>
      <c r="J556" s="12">
        <v>100</v>
      </c>
      <c r="K556" s="12">
        <v>0</v>
      </c>
      <c r="L556" s="12">
        <v>0</v>
      </c>
      <c r="M556" s="12">
        <v>100</v>
      </c>
      <c r="N556" s="12">
        <v>0</v>
      </c>
      <c r="O556" s="12">
        <v>100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/>
      <c r="AC556" s="13">
        <f t="shared" si="153"/>
        <v>24000</v>
      </c>
      <c r="AD556" s="13">
        <f>J556*AD$2</f>
        <v>24000</v>
      </c>
      <c r="AE556" s="13">
        <f>J556*AE$2</f>
        <v>12000</v>
      </c>
      <c r="AK556" s="15">
        <f t="shared" si="155"/>
        <v>12000</v>
      </c>
      <c r="AL556" s="14">
        <f t="shared" si="154"/>
        <v>72000</v>
      </c>
    </row>
    <row r="557" spans="1:38" hidden="1" x14ac:dyDescent="0.25">
      <c r="A557" s="12" t="s">
        <v>104</v>
      </c>
      <c r="B557" s="12" t="s">
        <v>624</v>
      </c>
      <c r="C557" s="12" t="s">
        <v>539</v>
      </c>
      <c r="D557" s="12"/>
      <c r="E557" s="12">
        <f t="shared" si="152"/>
        <v>100</v>
      </c>
      <c r="F557" s="12" t="s">
        <v>70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100</v>
      </c>
      <c r="Y557" s="12">
        <v>0</v>
      </c>
      <c r="Z557" s="12">
        <v>0</v>
      </c>
      <c r="AA557" s="12"/>
      <c r="AC557" s="13">
        <f t="shared" si="153"/>
        <v>0</v>
      </c>
      <c r="AL557" s="14">
        <f t="shared" si="154"/>
        <v>0</v>
      </c>
    </row>
    <row r="558" spans="1:38" hidden="1" x14ac:dyDescent="0.25">
      <c r="A558" s="12" t="s">
        <v>237</v>
      </c>
      <c r="B558" s="12" t="s">
        <v>625</v>
      </c>
      <c r="C558" s="12" t="s">
        <v>539</v>
      </c>
      <c r="D558" s="12"/>
      <c r="E558" s="12">
        <f t="shared" si="152"/>
        <v>100</v>
      </c>
      <c r="F558" s="12" t="str">
        <f>VLOOKUP(B558,[1]lookup!A:B,2,FALSE)</f>
        <v>SaaS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100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/>
      <c r="AC558" s="13">
        <f t="shared" si="153"/>
        <v>0</v>
      </c>
      <c r="AL558" s="14">
        <f t="shared" si="154"/>
        <v>0</v>
      </c>
    </row>
    <row r="559" spans="1:38" hidden="1" x14ac:dyDescent="0.25">
      <c r="A559" s="12" t="s">
        <v>51</v>
      </c>
      <c r="B559" s="12" t="s">
        <v>626</v>
      </c>
      <c r="C559" s="12" t="s">
        <v>539</v>
      </c>
      <c r="D559" s="12"/>
      <c r="E559" s="12">
        <f t="shared" si="152"/>
        <v>100</v>
      </c>
      <c r="F559" s="12" t="s">
        <v>70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100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/>
      <c r="AC559" s="13">
        <f t="shared" si="153"/>
        <v>0</v>
      </c>
      <c r="AL559" s="14">
        <f t="shared" si="154"/>
        <v>0</v>
      </c>
    </row>
    <row r="560" spans="1:38" hidden="1" x14ac:dyDescent="0.25">
      <c r="A560" s="12" t="s">
        <v>51</v>
      </c>
      <c r="B560" s="12" t="s">
        <v>627</v>
      </c>
      <c r="C560" s="12" t="s">
        <v>539</v>
      </c>
      <c r="D560" s="12"/>
      <c r="E560" s="12">
        <f t="shared" si="152"/>
        <v>100</v>
      </c>
      <c r="F560" s="12" t="s">
        <v>70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100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/>
      <c r="AC560" s="13">
        <f t="shared" si="153"/>
        <v>0</v>
      </c>
      <c r="AL560" s="14">
        <f t="shared" si="154"/>
        <v>0</v>
      </c>
    </row>
    <row r="561" spans="1:38" hidden="1" x14ac:dyDescent="0.25">
      <c r="A561" s="12" t="s">
        <v>199</v>
      </c>
      <c r="B561" s="12" t="s">
        <v>628</v>
      </c>
      <c r="C561" s="12" t="s">
        <v>539</v>
      </c>
      <c r="D561" s="12"/>
      <c r="E561" s="12">
        <f t="shared" si="152"/>
        <v>100</v>
      </c>
      <c r="F561" s="12" t="s">
        <v>70</v>
      </c>
      <c r="G561" s="12">
        <v>0</v>
      </c>
      <c r="H561" s="12">
        <v>0</v>
      </c>
      <c r="I561" s="12">
        <v>0</v>
      </c>
      <c r="J561" s="12">
        <v>0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100</v>
      </c>
      <c r="X561" s="12">
        <v>0</v>
      </c>
      <c r="Y561" s="12">
        <v>0</v>
      </c>
      <c r="Z561" s="12">
        <v>0</v>
      </c>
      <c r="AA561" s="12"/>
      <c r="AC561" s="13">
        <f t="shared" si="153"/>
        <v>0</v>
      </c>
      <c r="AL561" s="14">
        <f t="shared" si="154"/>
        <v>0</v>
      </c>
    </row>
    <row r="562" spans="1:38" hidden="1" x14ac:dyDescent="0.25">
      <c r="A562" s="12" t="s">
        <v>173</v>
      </c>
      <c r="B562" s="12" t="s">
        <v>629</v>
      </c>
      <c r="C562" s="12" t="s">
        <v>539</v>
      </c>
      <c r="D562" s="12"/>
      <c r="E562" s="12">
        <f t="shared" si="152"/>
        <v>100</v>
      </c>
      <c r="F562" s="12" t="str">
        <f>VLOOKUP(B562,[1]lookup!A:B,2,FALSE)</f>
        <v>SaaS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100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/>
      <c r="AC562" s="13">
        <f t="shared" si="153"/>
        <v>0</v>
      </c>
      <c r="AL562" s="14">
        <f t="shared" si="154"/>
        <v>0</v>
      </c>
    </row>
    <row r="563" spans="1:38" hidden="1" x14ac:dyDescent="0.25">
      <c r="A563" s="12" t="s">
        <v>454</v>
      </c>
      <c r="B563" s="12" t="s">
        <v>625</v>
      </c>
      <c r="C563" s="12" t="s">
        <v>539</v>
      </c>
      <c r="D563" s="12"/>
      <c r="E563" s="12">
        <f t="shared" si="152"/>
        <v>100</v>
      </c>
      <c r="F563" s="12" t="str">
        <f>VLOOKUP(B563,[1]lookup!A:B,2,FALSE)</f>
        <v>SaaS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100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/>
      <c r="AC563" s="13">
        <f t="shared" si="153"/>
        <v>0</v>
      </c>
      <c r="AL563" s="14">
        <f t="shared" si="154"/>
        <v>0</v>
      </c>
    </row>
    <row r="564" spans="1:38" hidden="1" x14ac:dyDescent="0.25">
      <c r="A564" s="12" t="s">
        <v>630</v>
      </c>
      <c r="B564" s="12" t="s">
        <v>468</v>
      </c>
      <c r="C564" s="12" t="s">
        <v>539</v>
      </c>
      <c r="D564" s="12"/>
      <c r="E564" s="12">
        <f t="shared" si="152"/>
        <v>100</v>
      </c>
      <c r="F564" s="12" t="str">
        <f>VLOOKUP(B564,[1]lookup!A:B,2,FALSE)</f>
        <v>SaaS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100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/>
      <c r="AC564" s="13">
        <f t="shared" si="153"/>
        <v>0</v>
      </c>
      <c r="AL564" s="14">
        <f t="shared" si="154"/>
        <v>0</v>
      </c>
    </row>
    <row r="565" spans="1:38" hidden="1" x14ac:dyDescent="0.25">
      <c r="A565" s="12" t="s">
        <v>537</v>
      </c>
      <c r="B565" s="12" t="s">
        <v>631</v>
      </c>
      <c r="C565" s="12" t="s">
        <v>539</v>
      </c>
      <c r="D565" s="12"/>
      <c r="E565" s="12">
        <f t="shared" si="152"/>
        <v>100</v>
      </c>
      <c r="F565" s="12" t="str">
        <f>VLOOKUP(B565,[1]lookup!A:B,2,FALSE)</f>
        <v>SaaS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100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/>
      <c r="AC565" s="13">
        <f t="shared" si="153"/>
        <v>24000</v>
      </c>
      <c r="AL565" s="14">
        <f t="shared" si="154"/>
        <v>24000</v>
      </c>
    </row>
    <row r="566" spans="1:38" hidden="1" x14ac:dyDescent="0.25">
      <c r="A566" s="12" t="s">
        <v>51</v>
      </c>
      <c r="B566" s="12" t="s">
        <v>632</v>
      </c>
      <c r="C566" s="12" t="s">
        <v>539</v>
      </c>
      <c r="D566" s="12"/>
      <c r="E566" s="12">
        <f t="shared" si="152"/>
        <v>98</v>
      </c>
      <c r="F566" s="12" t="s">
        <v>70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98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/>
      <c r="AC566" s="13">
        <f t="shared" si="153"/>
        <v>0</v>
      </c>
      <c r="AL566" s="14">
        <f t="shared" si="154"/>
        <v>0</v>
      </c>
    </row>
    <row r="567" spans="1:38" hidden="1" x14ac:dyDescent="0.25">
      <c r="A567" s="12" t="s">
        <v>296</v>
      </c>
      <c r="B567" s="12" t="s">
        <v>633</v>
      </c>
      <c r="C567" s="12" t="s">
        <v>539</v>
      </c>
      <c r="D567" s="12"/>
      <c r="E567" s="12">
        <f t="shared" si="152"/>
        <v>98</v>
      </c>
      <c r="F567" s="12" t="s">
        <v>70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98</v>
      </c>
      <c r="X567" s="12">
        <v>0</v>
      </c>
      <c r="Y567" s="12">
        <v>0</v>
      </c>
      <c r="Z567" s="12">
        <v>0</v>
      </c>
      <c r="AA567" s="12"/>
      <c r="AC567" s="13">
        <f t="shared" si="153"/>
        <v>0</v>
      </c>
      <c r="AL567" s="14">
        <f t="shared" si="154"/>
        <v>0</v>
      </c>
    </row>
    <row r="568" spans="1:38" hidden="1" x14ac:dyDescent="0.25">
      <c r="A568" s="12" t="s">
        <v>148</v>
      </c>
      <c r="B568" s="12" t="s">
        <v>634</v>
      </c>
      <c r="C568" s="12" t="s">
        <v>539</v>
      </c>
      <c r="D568" s="12"/>
      <c r="E568" s="12">
        <f t="shared" si="152"/>
        <v>98</v>
      </c>
      <c r="F568" s="12" t="s">
        <v>70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2">
        <v>0</v>
      </c>
      <c r="W568" s="12">
        <v>98</v>
      </c>
      <c r="X568" s="12">
        <v>0</v>
      </c>
      <c r="Y568" s="12">
        <v>0</v>
      </c>
      <c r="Z568" s="12">
        <v>0</v>
      </c>
      <c r="AA568" s="12"/>
      <c r="AC568" s="13">
        <f t="shared" si="153"/>
        <v>0</v>
      </c>
      <c r="AL568" s="14">
        <f t="shared" si="154"/>
        <v>0</v>
      </c>
    </row>
    <row r="569" spans="1:38" hidden="1" x14ac:dyDescent="0.25">
      <c r="A569" s="12" t="s">
        <v>112</v>
      </c>
      <c r="B569" s="12" t="s">
        <v>635</v>
      </c>
      <c r="C569" s="12" t="s">
        <v>539</v>
      </c>
      <c r="D569" s="12"/>
      <c r="E569" s="12">
        <f t="shared" si="152"/>
        <v>97</v>
      </c>
      <c r="F569" s="12" t="str">
        <f>VLOOKUP(B569,[1]lookup!A:B,2,FALSE)</f>
        <v>Perpetual</v>
      </c>
      <c r="G569" s="12">
        <v>0</v>
      </c>
      <c r="H569" s="12">
        <v>97</v>
      </c>
      <c r="I569" s="12">
        <v>0</v>
      </c>
      <c r="J569" s="12">
        <v>92</v>
      </c>
      <c r="K569" s="12">
        <v>0</v>
      </c>
      <c r="L569" s="12">
        <v>0</v>
      </c>
      <c r="M569" s="12">
        <v>92</v>
      </c>
      <c r="N569" s="12">
        <v>0</v>
      </c>
      <c r="O569" s="12">
        <v>92</v>
      </c>
      <c r="P569" s="12">
        <v>92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/>
      <c r="AC569" s="13">
        <f t="shared" si="153"/>
        <v>22080</v>
      </c>
      <c r="AD569" s="13">
        <f>J569*AD$2</f>
        <v>22080</v>
      </c>
      <c r="AK569" s="15">
        <f>H569*AK$2</f>
        <v>11640</v>
      </c>
      <c r="AL569" s="14">
        <f t="shared" si="154"/>
        <v>55800</v>
      </c>
    </row>
    <row r="570" spans="1:38" hidden="1" x14ac:dyDescent="0.25">
      <c r="A570" s="12" t="s">
        <v>140</v>
      </c>
      <c r="B570" s="12" t="s">
        <v>636</v>
      </c>
      <c r="C570" s="12" t="s">
        <v>539</v>
      </c>
      <c r="D570" s="12"/>
      <c r="E570" s="12">
        <f t="shared" si="152"/>
        <v>97</v>
      </c>
      <c r="F570" s="12" t="s">
        <v>70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97</v>
      </c>
      <c r="X570" s="12">
        <v>0</v>
      </c>
      <c r="Y570" s="12">
        <v>0</v>
      </c>
      <c r="Z570" s="12">
        <v>0</v>
      </c>
      <c r="AA570" s="12"/>
      <c r="AC570" s="13">
        <f t="shared" si="153"/>
        <v>0</v>
      </c>
      <c r="AL570" s="14">
        <f t="shared" si="154"/>
        <v>0</v>
      </c>
    </row>
    <row r="571" spans="1:38" hidden="1" x14ac:dyDescent="0.25">
      <c r="A571" s="12" t="s">
        <v>148</v>
      </c>
      <c r="B571" s="12" t="s">
        <v>636</v>
      </c>
      <c r="C571" s="12" t="s">
        <v>539</v>
      </c>
      <c r="D571" s="12"/>
      <c r="E571" s="12">
        <f t="shared" si="152"/>
        <v>97</v>
      </c>
      <c r="F571" s="12" t="s">
        <v>70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97</v>
      </c>
      <c r="X571" s="12">
        <v>0</v>
      </c>
      <c r="Y571" s="12">
        <v>0</v>
      </c>
      <c r="Z571" s="12">
        <v>0</v>
      </c>
      <c r="AA571" s="12"/>
      <c r="AC571" s="13">
        <f t="shared" si="153"/>
        <v>0</v>
      </c>
      <c r="AL571" s="14">
        <f t="shared" si="154"/>
        <v>0</v>
      </c>
    </row>
    <row r="572" spans="1:38" hidden="1" x14ac:dyDescent="0.25">
      <c r="A572" s="12" t="s">
        <v>233</v>
      </c>
      <c r="B572" s="12" t="s">
        <v>637</v>
      </c>
      <c r="C572" s="12" t="s">
        <v>539</v>
      </c>
      <c r="D572" s="12"/>
      <c r="E572" s="12">
        <f t="shared" si="152"/>
        <v>94</v>
      </c>
      <c r="F572" s="12" t="str">
        <f>VLOOKUP(B572,[1]lookup!A:B,2,FALSE)</f>
        <v>SaaS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94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/>
      <c r="AC572" s="13">
        <f t="shared" si="153"/>
        <v>0</v>
      </c>
      <c r="AL572" s="14">
        <f t="shared" si="154"/>
        <v>0</v>
      </c>
    </row>
    <row r="573" spans="1:38" hidden="1" x14ac:dyDescent="0.25">
      <c r="A573" s="12" t="s">
        <v>51</v>
      </c>
      <c r="B573" s="12" t="s">
        <v>638</v>
      </c>
      <c r="C573" s="12" t="s">
        <v>539</v>
      </c>
      <c r="D573" s="12"/>
      <c r="E573" s="12">
        <f t="shared" si="152"/>
        <v>93</v>
      </c>
      <c r="F573" s="12" t="s">
        <v>70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93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/>
      <c r="AC573" s="13">
        <f t="shared" si="153"/>
        <v>0</v>
      </c>
      <c r="AL573" s="14">
        <f t="shared" si="154"/>
        <v>0</v>
      </c>
    </row>
    <row r="574" spans="1:38" hidden="1" x14ac:dyDescent="0.25">
      <c r="A574" s="12" t="s">
        <v>51</v>
      </c>
      <c r="B574" s="12" t="s">
        <v>639</v>
      </c>
      <c r="C574" s="12" t="s">
        <v>539</v>
      </c>
      <c r="D574" s="12"/>
      <c r="E574" s="12">
        <f t="shared" si="152"/>
        <v>92</v>
      </c>
      <c r="F574" s="12" t="s">
        <v>70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92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/>
      <c r="AC574" s="13">
        <f t="shared" si="153"/>
        <v>0</v>
      </c>
      <c r="AL574" s="14">
        <f t="shared" si="154"/>
        <v>0</v>
      </c>
    </row>
    <row r="575" spans="1:38" hidden="1" x14ac:dyDescent="0.25">
      <c r="A575" s="12" t="s">
        <v>233</v>
      </c>
      <c r="B575" s="12" t="s">
        <v>640</v>
      </c>
      <c r="C575" s="12" t="s">
        <v>539</v>
      </c>
      <c r="D575" s="12"/>
      <c r="E575" s="12">
        <f t="shared" si="152"/>
        <v>92</v>
      </c>
      <c r="F575" s="12" t="str">
        <f>VLOOKUP(B575,[1]lookup!A:B,2,FALSE)</f>
        <v>SaaS</v>
      </c>
      <c r="G575" s="12">
        <v>0</v>
      </c>
      <c r="H575" s="12">
        <v>0</v>
      </c>
      <c r="I575" s="12">
        <v>0</v>
      </c>
      <c r="J575" s="12">
        <v>0</v>
      </c>
      <c r="K575" s="12">
        <v>0</v>
      </c>
      <c r="L575" s="12">
        <v>0</v>
      </c>
      <c r="M575" s="12">
        <v>0</v>
      </c>
      <c r="N575" s="12">
        <v>92</v>
      </c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  <c r="X575" s="12">
        <v>0</v>
      </c>
      <c r="Y575" s="12">
        <v>0</v>
      </c>
      <c r="Z575" s="12">
        <v>0</v>
      </c>
      <c r="AA575" s="12"/>
      <c r="AC575" s="13">
        <f t="shared" si="153"/>
        <v>0</v>
      </c>
      <c r="AL575" s="14">
        <f t="shared" si="154"/>
        <v>0</v>
      </c>
    </row>
    <row r="576" spans="1:38" hidden="1" x14ac:dyDescent="0.25">
      <c r="A576" s="12" t="s">
        <v>148</v>
      </c>
      <c r="B576" s="12" t="s">
        <v>641</v>
      </c>
      <c r="C576" s="12" t="s">
        <v>539</v>
      </c>
      <c r="D576" s="12"/>
      <c r="E576" s="12">
        <f t="shared" si="152"/>
        <v>92</v>
      </c>
      <c r="F576" s="12" t="s">
        <v>70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92</v>
      </c>
      <c r="X576" s="12">
        <v>0</v>
      </c>
      <c r="Y576" s="12">
        <v>0</v>
      </c>
      <c r="Z576" s="12">
        <v>0</v>
      </c>
      <c r="AA576" s="12"/>
      <c r="AC576" s="13">
        <f t="shared" si="153"/>
        <v>0</v>
      </c>
      <c r="AL576" s="14">
        <f t="shared" si="154"/>
        <v>0</v>
      </c>
    </row>
    <row r="577" spans="1:38" hidden="1" x14ac:dyDescent="0.25">
      <c r="A577" s="12" t="s">
        <v>51</v>
      </c>
      <c r="B577" s="12" t="s">
        <v>642</v>
      </c>
      <c r="C577" s="12" t="s">
        <v>539</v>
      </c>
      <c r="D577" s="12"/>
      <c r="E577" s="12">
        <f t="shared" si="152"/>
        <v>91</v>
      </c>
      <c r="F577" s="12" t="s">
        <v>70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91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12"/>
      <c r="AC577" s="13">
        <f t="shared" si="153"/>
        <v>0</v>
      </c>
      <c r="AL577" s="14">
        <f t="shared" si="154"/>
        <v>0</v>
      </c>
    </row>
    <row r="578" spans="1:38" hidden="1" x14ac:dyDescent="0.25">
      <c r="A578" s="12" t="s">
        <v>51</v>
      </c>
      <c r="B578" s="12" t="s">
        <v>643</v>
      </c>
      <c r="C578" s="12" t="s">
        <v>539</v>
      </c>
      <c r="D578" s="12"/>
      <c r="E578" s="12">
        <f t="shared" si="152"/>
        <v>91</v>
      </c>
      <c r="F578" s="12" t="s">
        <v>70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91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/>
      <c r="AC578" s="13">
        <f t="shared" si="153"/>
        <v>0</v>
      </c>
      <c r="AL578" s="14">
        <f t="shared" si="154"/>
        <v>0</v>
      </c>
    </row>
    <row r="579" spans="1:38" hidden="1" x14ac:dyDescent="0.25">
      <c r="A579" s="12" t="s">
        <v>51</v>
      </c>
      <c r="B579" s="12" t="s">
        <v>644</v>
      </c>
      <c r="C579" s="12" t="s">
        <v>539</v>
      </c>
      <c r="D579" s="12"/>
      <c r="E579" s="12">
        <f t="shared" si="152"/>
        <v>91</v>
      </c>
      <c r="F579" s="12" t="s">
        <v>70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91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/>
      <c r="AC579" s="13">
        <f t="shared" si="153"/>
        <v>0</v>
      </c>
      <c r="AL579" s="14">
        <f t="shared" si="154"/>
        <v>0</v>
      </c>
    </row>
    <row r="580" spans="1:38" hidden="1" x14ac:dyDescent="0.25">
      <c r="A580" s="12" t="s">
        <v>86</v>
      </c>
      <c r="B580" s="12" t="s">
        <v>645</v>
      </c>
      <c r="C580" s="12" t="s">
        <v>539</v>
      </c>
      <c r="D580" s="12"/>
      <c r="E580" s="12">
        <f t="shared" si="152"/>
        <v>90</v>
      </c>
      <c r="F580" s="12" t="str">
        <f>VLOOKUP(B580,[1]lookup!A:B,2,FALSE)</f>
        <v>Term</v>
      </c>
      <c r="G580" s="12">
        <v>0</v>
      </c>
      <c r="H580" s="12">
        <v>90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/>
      <c r="AC580" s="13">
        <f t="shared" si="153"/>
        <v>0</v>
      </c>
      <c r="AK580" s="15">
        <f t="shared" ref="AK580:AK581" si="156">H580*AK$2</f>
        <v>10800</v>
      </c>
      <c r="AL580" s="14">
        <f t="shared" si="154"/>
        <v>10800</v>
      </c>
    </row>
    <row r="581" spans="1:38" hidden="1" x14ac:dyDescent="0.25">
      <c r="A581" s="12" t="s">
        <v>86</v>
      </c>
      <c r="B581" s="12" t="s">
        <v>646</v>
      </c>
      <c r="C581" s="12" t="s">
        <v>539</v>
      </c>
      <c r="D581" s="12"/>
      <c r="E581" s="12">
        <f t="shared" ref="E581:E644" si="157">MAX(G581:Z581)</f>
        <v>90</v>
      </c>
      <c r="F581" s="12" t="str">
        <f>VLOOKUP(B581,[1]lookup!A:B,2,FALSE)</f>
        <v>Term</v>
      </c>
      <c r="G581" s="12">
        <v>0</v>
      </c>
      <c r="H581" s="12">
        <v>90</v>
      </c>
      <c r="I581" s="12">
        <v>0</v>
      </c>
      <c r="J581" s="12">
        <v>0</v>
      </c>
      <c r="K581" s="12">
        <v>0</v>
      </c>
      <c r="L581" s="12">
        <v>0</v>
      </c>
      <c r="M581" s="12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s="12">
        <v>0</v>
      </c>
      <c r="X581" s="12">
        <v>0</v>
      </c>
      <c r="Y581" s="12">
        <v>0</v>
      </c>
      <c r="Z581" s="12">
        <v>0</v>
      </c>
      <c r="AA581" s="12"/>
      <c r="AC581" s="13">
        <f t="shared" ref="AC581:AC644" si="158">M581*AC$2</f>
        <v>0</v>
      </c>
      <c r="AK581" s="15">
        <f t="shared" si="156"/>
        <v>10800</v>
      </c>
      <c r="AL581" s="14">
        <f t="shared" si="154"/>
        <v>10800</v>
      </c>
    </row>
    <row r="582" spans="1:38" hidden="1" x14ac:dyDescent="0.25">
      <c r="A582" s="12" t="s">
        <v>140</v>
      </c>
      <c r="B582" s="12" t="s">
        <v>647</v>
      </c>
      <c r="C582" s="12" t="s">
        <v>539</v>
      </c>
      <c r="D582" s="12"/>
      <c r="E582" s="12">
        <f t="shared" si="157"/>
        <v>90</v>
      </c>
      <c r="F582" s="12" t="s">
        <v>70</v>
      </c>
      <c r="G582" s="12">
        <v>0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90</v>
      </c>
      <c r="X582" s="12">
        <v>0</v>
      </c>
      <c r="Y582" s="12">
        <v>0</v>
      </c>
      <c r="Z582" s="12">
        <v>0</v>
      </c>
      <c r="AA582" s="12"/>
      <c r="AC582" s="13">
        <f t="shared" si="158"/>
        <v>0</v>
      </c>
      <c r="AL582" s="14">
        <f t="shared" ref="AL582:AL645" si="159">SUM(AC582:AK582)</f>
        <v>0</v>
      </c>
    </row>
    <row r="583" spans="1:38" hidden="1" x14ac:dyDescent="0.25">
      <c r="A583" s="12" t="s">
        <v>51</v>
      </c>
      <c r="B583" s="12" t="s">
        <v>648</v>
      </c>
      <c r="C583" s="12" t="s">
        <v>539</v>
      </c>
      <c r="D583" s="12"/>
      <c r="E583" s="12">
        <f t="shared" si="157"/>
        <v>90</v>
      </c>
      <c r="F583" s="12" t="s">
        <v>70</v>
      </c>
      <c r="G583" s="12">
        <v>0</v>
      </c>
      <c r="H583" s="12">
        <v>0</v>
      </c>
      <c r="I583" s="12">
        <v>0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90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12"/>
      <c r="AC583" s="13">
        <f t="shared" si="158"/>
        <v>0</v>
      </c>
      <c r="AL583" s="14">
        <f t="shared" si="159"/>
        <v>0</v>
      </c>
    </row>
    <row r="584" spans="1:38" hidden="1" x14ac:dyDescent="0.25">
      <c r="A584" s="12" t="s">
        <v>51</v>
      </c>
      <c r="B584" s="12" t="s">
        <v>649</v>
      </c>
      <c r="C584" s="12" t="s">
        <v>539</v>
      </c>
      <c r="D584" s="12"/>
      <c r="E584" s="12">
        <f t="shared" si="157"/>
        <v>90</v>
      </c>
      <c r="F584" s="12" t="s">
        <v>70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90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2"/>
      <c r="AC584" s="13">
        <f t="shared" si="158"/>
        <v>0</v>
      </c>
      <c r="AL584" s="14">
        <f t="shared" si="159"/>
        <v>0</v>
      </c>
    </row>
    <row r="585" spans="1:38" hidden="1" x14ac:dyDescent="0.25">
      <c r="A585" s="12" t="s">
        <v>537</v>
      </c>
      <c r="B585" s="12" t="s">
        <v>650</v>
      </c>
      <c r="C585" s="12" t="s">
        <v>539</v>
      </c>
      <c r="D585" s="12"/>
      <c r="E585" s="12">
        <f t="shared" si="157"/>
        <v>90</v>
      </c>
      <c r="F585" s="12" t="str">
        <f>VLOOKUP(B585,[1]lookup!A:B,2,FALSE)</f>
        <v>SaaS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0</v>
      </c>
      <c r="N585" s="12">
        <v>90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/>
      <c r="AC585" s="13">
        <f t="shared" si="158"/>
        <v>0</v>
      </c>
      <c r="AL585" s="14">
        <f t="shared" si="159"/>
        <v>0</v>
      </c>
    </row>
    <row r="586" spans="1:38" hidden="1" x14ac:dyDescent="0.25">
      <c r="A586" s="12" t="s">
        <v>51</v>
      </c>
      <c r="B586" s="12" t="s">
        <v>651</v>
      </c>
      <c r="C586" s="12" t="s">
        <v>539</v>
      </c>
      <c r="D586" s="12"/>
      <c r="E586" s="12">
        <f t="shared" si="157"/>
        <v>89</v>
      </c>
      <c r="F586" s="12" t="s">
        <v>70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89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/>
      <c r="AC586" s="13">
        <f t="shared" si="158"/>
        <v>0</v>
      </c>
      <c r="AL586" s="14">
        <f t="shared" si="159"/>
        <v>0</v>
      </c>
    </row>
    <row r="587" spans="1:38" hidden="1" x14ac:dyDescent="0.25">
      <c r="A587" s="12" t="s">
        <v>173</v>
      </c>
      <c r="B587" s="12" t="s">
        <v>652</v>
      </c>
      <c r="C587" s="12" t="s">
        <v>539</v>
      </c>
      <c r="D587" s="12"/>
      <c r="E587" s="12">
        <f t="shared" si="157"/>
        <v>89</v>
      </c>
      <c r="F587" s="12" t="str">
        <f>VLOOKUP(B587,[1]lookup!A:B,2,FALSE)</f>
        <v>SaaS</v>
      </c>
      <c r="G587" s="12">
        <v>0</v>
      </c>
      <c r="H587" s="12">
        <v>0</v>
      </c>
      <c r="I587" s="12">
        <v>0</v>
      </c>
      <c r="J587" s="12">
        <v>0</v>
      </c>
      <c r="K587" s="12">
        <v>0</v>
      </c>
      <c r="L587" s="12">
        <v>0</v>
      </c>
      <c r="M587" s="12">
        <v>0</v>
      </c>
      <c r="N587" s="12">
        <v>89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  <c r="X587" s="12">
        <v>0</v>
      </c>
      <c r="Y587" s="12">
        <v>0</v>
      </c>
      <c r="Z587" s="12">
        <v>0</v>
      </c>
      <c r="AA587" s="12"/>
      <c r="AC587" s="13">
        <f t="shared" si="158"/>
        <v>0</v>
      </c>
      <c r="AL587" s="14">
        <f t="shared" si="159"/>
        <v>0</v>
      </c>
    </row>
    <row r="588" spans="1:38" hidden="1" x14ac:dyDescent="0.25">
      <c r="A588" s="12" t="s">
        <v>51</v>
      </c>
      <c r="B588" s="12" t="s">
        <v>653</v>
      </c>
      <c r="C588" s="12" t="s">
        <v>539</v>
      </c>
      <c r="D588" s="12"/>
      <c r="E588" s="12">
        <f t="shared" si="157"/>
        <v>88</v>
      </c>
      <c r="F588" s="12" t="s">
        <v>70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88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/>
      <c r="AC588" s="13">
        <f t="shared" si="158"/>
        <v>0</v>
      </c>
      <c r="AL588" s="14">
        <f t="shared" si="159"/>
        <v>0</v>
      </c>
    </row>
    <row r="589" spans="1:38" hidden="1" x14ac:dyDescent="0.25">
      <c r="A589" s="12" t="s">
        <v>654</v>
      </c>
      <c r="B589" s="12" t="s">
        <v>655</v>
      </c>
      <c r="C589" s="12" t="s">
        <v>539</v>
      </c>
      <c r="D589" s="12"/>
      <c r="E589" s="12">
        <f t="shared" si="157"/>
        <v>88</v>
      </c>
      <c r="F589" s="12" t="str">
        <f>VLOOKUP(B589,[1]lookup!A:B,2,FALSE)</f>
        <v>SaaS</v>
      </c>
      <c r="G589" s="12">
        <v>0</v>
      </c>
      <c r="H589" s="12">
        <v>88</v>
      </c>
      <c r="I589" s="12">
        <v>0</v>
      </c>
      <c r="J589" s="12">
        <v>88</v>
      </c>
      <c r="K589" s="12">
        <v>88</v>
      </c>
      <c r="L589" s="12">
        <v>0</v>
      </c>
      <c r="M589" s="12">
        <v>88</v>
      </c>
      <c r="N589" s="12">
        <v>0</v>
      </c>
      <c r="O589" s="12">
        <v>88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  <c r="Z589" s="12">
        <v>0</v>
      </c>
      <c r="AA589" s="12"/>
      <c r="AC589" s="13">
        <f t="shared" si="158"/>
        <v>21120</v>
      </c>
      <c r="AL589" s="14">
        <f t="shared" si="159"/>
        <v>21120</v>
      </c>
    </row>
    <row r="590" spans="1:38" hidden="1" x14ac:dyDescent="0.25">
      <c r="A590" s="12" t="s">
        <v>51</v>
      </c>
      <c r="B590" s="12" t="s">
        <v>656</v>
      </c>
      <c r="C590" s="12" t="s">
        <v>539</v>
      </c>
      <c r="D590" s="12"/>
      <c r="E590" s="12">
        <f t="shared" si="157"/>
        <v>87</v>
      </c>
      <c r="F590" s="12" t="s">
        <v>70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87</v>
      </c>
      <c r="V590" s="12">
        <v>0</v>
      </c>
      <c r="W590" s="12">
        <v>0</v>
      </c>
      <c r="X590" s="12">
        <v>0</v>
      </c>
      <c r="Y590" s="12">
        <v>0</v>
      </c>
      <c r="Z590" s="12">
        <v>0</v>
      </c>
      <c r="AA590" s="12"/>
      <c r="AC590" s="13">
        <f t="shared" si="158"/>
        <v>0</v>
      </c>
      <c r="AL590" s="14">
        <f t="shared" si="159"/>
        <v>0</v>
      </c>
    </row>
    <row r="591" spans="1:38" hidden="1" x14ac:dyDescent="0.25">
      <c r="A591" s="12" t="s">
        <v>148</v>
      </c>
      <c r="B591" s="12" t="s">
        <v>657</v>
      </c>
      <c r="C591" s="12" t="s">
        <v>539</v>
      </c>
      <c r="D591" s="12"/>
      <c r="E591" s="12">
        <f t="shared" si="157"/>
        <v>87</v>
      </c>
      <c r="F591" s="12" t="s">
        <v>70</v>
      </c>
      <c r="G591" s="12">
        <v>0</v>
      </c>
      <c r="H591" s="12">
        <v>0</v>
      </c>
      <c r="I591" s="12">
        <v>0</v>
      </c>
      <c r="J591" s="12">
        <v>0</v>
      </c>
      <c r="K591" s="12">
        <v>0</v>
      </c>
      <c r="L591" s="12">
        <v>0</v>
      </c>
      <c r="M591" s="12">
        <v>0</v>
      </c>
      <c r="N591" s="12">
        <v>0</v>
      </c>
      <c r="O591" s="12">
        <v>0</v>
      </c>
      <c r="P591" s="12">
        <v>0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  <c r="W591" s="12">
        <v>87</v>
      </c>
      <c r="X591" s="12">
        <v>0</v>
      </c>
      <c r="Y591" s="12">
        <v>0</v>
      </c>
      <c r="Z591" s="12">
        <v>0</v>
      </c>
      <c r="AA591" s="12"/>
      <c r="AC591" s="13">
        <f t="shared" si="158"/>
        <v>0</v>
      </c>
      <c r="AL591" s="14">
        <f t="shared" si="159"/>
        <v>0</v>
      </c>
    </row>
    <row r="592" spans="1:38" hidden="1" x14ac:dyDescent="0.25">
      <c r="A592" s="12" t="s">
        <v>173</v>
      </c>
      <c r="B592" s="12" t="s">
        <v>658</v>
      </c>
      <c r="C592" s="12" t="s">
        <v>539</v>
      </c>
      <c r="D592" s="12"/>
      <c r="E592" s="12">
        <f t="shared" si="157"/>
        <v>87</v>
      </c>
      <c r="F592" s="12" t="str">
        <f>VLOOKUP(B592,[1]lookup!A:B,2,FALSE)</f>
        <v>SaaS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87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/>
      <c r="AC592" s="13">
        <f t="shared" si="158"/>
        <v>0</v>
      </c>
      <c r="AL592" s="14">
        <f t="shared" si="159"/>
        <v>0</v>
      </c>
    </row>
    <row r="593" spans="1:38" hidden="1" x14ac:dyDescent="0.25">
      <c r="A593" s="12" t="s">
        <v>86</v>
      </c>
      <c r="B593" s="12" t="s">
        <v>659</v>
      </c>
      <c r="C593" s="12" t="s">
        <v>539</v>
      </c>
      <c r="D593" s="12"/>
      <c r="E593" s="12">
        <f t="shared" si="157"/>
        <v>86</v>
      </c>
      <c r="F593" s="12" t="str">
        <f>VLOOKUP(B593,[1]lookup!A:B,2,FALSE)</f>
        <v>Term</v>
      </c>
      <c r="G593" s="12">
        <v>0</v>
      </c>
      <c r="H593" s="12">
        <v>86</v>
      </c>
      <c r="I593" s="12">
        <v>0</v>
      </c>
      <c r="J593" s="12">
        <v>0</v>
      </c>
      <c r="K593" s="12">
        <v>0</v>
      </c>
      <c r="L593" s="12">
        <v>0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0</v>
      </c>
      <c r="W593" s="12">
        <v>0</v>
      </c>
      <c r="X593" s="12">
        <v>0</v>
      </c>
      <c r="Y593" s="12">
        <v>0</v>
      </c>
      <c r="Z593" s="12">
        <v>0</v>
      </c>
      <c r="AA593" s="12"/>
      <c r="AC593" s="13">
        <f t="shared" si="158"/>
        <v>0</v>
      </c>
      <c r="AK593" s="15">
        <f>H593*AK$2</f>
        <v>10320</v>
      </c>
      <c r="AL593" s="14">
        <f t="shared" si="159"/>
        <v>10320</v>
      </c>
    </row>
    <row r="594" spans="1:38" hidden="1" x14ac:dyDescent="0.25">
      <c r="A594" s="12" t="s">
        <v>197</v>
      </c>
      <c r="B594" s="12" t="s">
        <v>660</v>
      </c>
      <c r="C594" s="12" t="s">
        <v>539</v>
      </c>
      <c r="D594" s="12"/>
      <c r="E594" s="12">
        <f t="shared" si="157"/>
        <v>86</v>
      </c>
      <c r="F594" s="12" t="s">
        <v>70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86</v>
      </c>
      <c r="X594" s="12">
        <v>0</v>
      </c>
      <c r="Y594" s="12">
        <v>0</v>
      </c>
      <c r="Z594" s="12">
        <v>0</v>
      </c>
      <c r="AA594" s="12"/>
      <c r="AC594" s="13">
        <f t="shared" si="158"/>
        <v>0</v>
      </c>
      <c r="AL594" s="14">
        <f t="shared" si="159"/>
        <v>0</v>
      </c>
    </row>
    <row r="595" spans="1:38" hidden="1" x14ac:dyDescent="0.25">
      <c r="A595" s="12" t="s">
        <v>86</v>
      </c>
      <c r="B595" s="12" t="s">
        <v>661</v>
      </c>
      <c r="C595" s="12" t="s">
        <v>539</v>
      </c>
      <c r="D595" s="12"/>
      <c r="E595" s="12">
        <f t="shared" si="157"/>
        <v>85</v>
      </c>
      <c r="F595" s="12" t="str">
        <f>VLOOKUP(B595,[1]lookup!A:B,2,FALSE)</f>
        <v>Term</v>
      </c>
      <c r="G595" s="12">
        <v>0</v>
      </c>
      <c r="H595" s="12">
        <v>85</v>
      </c>
      <c r="I595" s="12">
        <v>0</v>
      </c>
      <c r="J595" s="12">
        <v>0</v>
      </c>
      <c r="K595" s="12">
        <v>0</v>
      </c>
      <c r="L595" s="12">
        <v>0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0</v>
      </c>
      <c r="Y595" s="12">
        <v>0</v>
      </c>
      <c r="Z595" s="12">
        <v>0</v>
      </c>
      <c r="AA595" s="12"/>
      <c r="AC595" s="13">
        <f t="shared" si="158"/>
        <v>0</v>
      </c>
      <c r="AK595" s="15">
        <f>H595*AK$2</f>
        <v>10200</v>
      </c>
      <c r="AL595" s="14">
        <f t="shared" si="159"/>
        <v>10200</v>
      </c>
    </row>
    <row r="596" spans="1:38" hidden="1" x14ac:dyDescent="0.25">
      <c r="A596" s="12" t="s">
        <v>537</v>
      </c>
      <c r="B596" s="12" t="s">
        <v>662</v>
      </c>
      <c r="C596" s="12" t="s">
        <v>539</v>
      </c>
      <c r="D596" s="12"/>
      <c r="E596" s="12">
        <f t="shared" si="157"/>
        <v>85</v>
      </c>
      <c r="F596" s="12" t="str">
        <f>VLOOKUP(B596,[1]lookup!A:B,2,FALSE)</f>
        <v>SaaS</v>
      </c>
      <c r="G596" s="12">
        <v>0</v>
      </c>
      <c r="H596" s="12">
        <v>0</v>
      </c>
      <c r="I596" s="12">
        <v>0</v>
      </c>
      <c r="J596" s="12">
        <v>85</v>
      </c>
      <c r="K596" s="12">
        <v>0</v>
      </c>
      <c r="L596" s="12">
        <v>0</v>
      </c>
      <c r="M596" s="12">
        <v>0</v>
      </c>
      <c r="N596" s="12">
        <v>85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2"/>
      <c r="AC596" s="13">
        <f t="shared" si="158"/>
        <v>0</v>
      </c>
      <c r="AD596" s="13">
        <f>J596*AD$2</f>
        <v>20400</v>
      </c>
      <c r="AE596" s="13">
        <f>J596*AE$2</f>
        <v>10200</v>
      </c>
      <c r="AL596" s="14">
        <f t="shared" si="159"/>
        <v>30600</v>
      </c>
    </row>
    <row r="597" spans="1:38" hidden="1" x14ac:dyDescent="0.25">
      <c r="A597" s="12" t="s">
        <v>86</v>
      </c>
      <c r="B597" s="12" t="s">
        <v>663</v>
      </c>
      <c r="C597" s="12" t="s">
        <v>539</v>
      </c>
      <c r="D597" s="12"/>
      <c r="E597" s="12">
        <f t="shared" si="157"/>
        <v>84</v>
      </c>
      <c r="F597" s="12" t="str">
        <f>VLOOKUP(B597,[1]lookup!A:B,2,FALSE)</f>
        <v>Term</v>
      </c>
      <c r="G597" s="12">
        <v>0</v>
      </c>
      <c r="H597" s="12">
        <v>84</v>
      </c>
      <c r="I597" s="12">
        <v>0</v>
      </c>
      <c r="J597" s="12">
        <v>0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0</v>
      </c>
      <c r="Z597" s="12">
        <v>0</v>
      </c>
      <c r="AA597" s="12"/>
      <c r="AC597" s="13">
        <f t="shared" si="158"/>
        <v>0</v>
      </c>
      <c r="AK597" s="15">
        <f t="shared" ref="AK597:AK598" si="160">H597*AK$2</f>
        <v>10080</v>
      </c>
      <c r="AL597" s="14">
        <f t="shared" si="159"/>
        <v>10080</v>
      </c>
    </row>
    <row r="598" spans="1:38" hidden="1" x14ac:dyDescent="0.25">
      <c r="A598" s="12" t="s">
        <v>86</v>
      </c>
      <c r="B598" s="12" t="s">
        <v>664</v>
      </c>
      <c r="C598" s="12" t="s">
        <v>539</v>
      </c>
      <c r="D598" s="12"/>
      <c r="E598" s="12">
        <f t="shared" si="157"/>
        <v>84</v>
      </c>
      <c r="F598" s="12" t="str">
        <f>VLOOKUP(B598,[1]lookup!A:B,2,FALSE)</f>
        <v>Term</v>
      </c>
      <c r="G598" s="12">
        <v>0</v>
      </c>
      <c r="H598" s="12">
        <v>84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/>
      <c r="AC598" s="13">
        <f t="shared" si="158"/>
        <v>0</v>
      </c>
      <c r="AK598" s="15">
        <f t="shared" si="160"/>
        <v>10080</v>
      </c>
      <c r="AL598" s="14">
        <f t="shared" si="159"/>
        <v>10080</v>
      </c>
    </row>
    <row r="599" spans="1:38" hidden="1" x14ac:dyDescent="0.25">
      <c r="A599" s="12" t="s">
        <v>148</v>
      </c>
      <c r="B599" s="12" t="s">
        <v>665</v>
      </c>
      <c r="C599" s="12" t="s">
        <v>539</v>
      </c>
      <c r="D599" s="12"/>
      <c r="E599" s="12">
        <f t="shared" si="157"/>
        <v>84</v>
      </c>
      <c r="F599" s="12" t="s">
        <v>70</v>
      </c>
      <c r="G599" s="12">
        <v>0</v>
      </c>
      <c r="H599" s="12">
        <v>0</v>
      </c>
      <c r="I599" s="12">
        <v>0</v>
      </c>
      <c r="J599" s="12">
        <v>0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84</v>
      </c>
      <c r="X599" s="12">
        <v>0</v>
      </c>
      <c r="Y599" s="12">
        <v>0</v>
      </c>
      <c r="Z599" s="12">
        <v>0</v>
      </c>
      <c r="AA599" s="12"/>
      <c r="AC599" s="13">
        <f t="shared" si="158"/>
        <v>0</v>
      </c>
      <c r="AL599" s="14">
        <f t="shared" si="159"/>
        <v>0</v>
      </c>
    </row>
    <row r="600" spans="1:38" hidden="1" x14ac:dyDescent="0.25">
      <c r="A600" s="12" t="s">
        <v>148</v>
      </c>
      <c r="B600" s="12" t="s">
        <v>666</v>
      </c>
      <c r="C600" s="12" t="s">
        <v>539</v>
      </c>
      <c r="D600" s="12"/>
      <c r="E600" s="12">
        <f t="shared" si="157"/>
        <v>83</v>
      </c>
      <c r="F600" s="12" t="s">
        <v>70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  <c r="W600" s="12">
        <v>83</v>
      </c>
      <c r="X600" s="12">
        <v>0</v>
      </c>
      <c r="Y600" s="12">
        <v>0</v>
      </c>
      <c r="Z600" s="12">
        <v>0</v>
      </c>
      <c r="AA600" s="12"/>
      <c r="AC600" s="13">
        <f t="shared" si="158"/>
        <v>0</v>
      </c>
      <c r="AL600" s="14">
        <f t="shared" si="159"/>
        <v>0</v>
      </c>
    </row>
    <row r="601" spans="1:38" hidden="1" x14ac:dyDescent="0.25">
      <c r="A601" s="12" t="s">
        <v>222</v>
      </c>
      <c r="B601" s="12" t="s">
        <v>667</v>
      </c>
      <c r="C601" s="12" t="s">
        <v>539</v>
      </c>
      <c r="D601" s="12"/>
      <c r="E601" s="12">
        <f t="shared" si="157"/>
        <v>82</v>
      </c>
      <c r="F601" s="12" t="s">
        <v>70</v>
      </c>
      <c r="G601" s="12">
        <v>0</v>
      </c>
      <c r="H601" s="12">
        <v>0</v>
      </c>
      <c r="I601" s="12">
        <v>0</v>
      </c>
      <c r="J601" s="12">
        <v>0</v>
      </c>
      <c r="K601" s="12">
        <v>0</v>
      </c>
      <c r="L601" s="12">
        <v>0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82</v>
      </c>
      <c r="X601" s="12">
        <v>0</v>
      </c>
      <c r="Y601" s="12">
        <v>0</v>
      </c>
      <c r="Z601" s="12">
        <v>0</v>
      </c>
      <c r="AA601" s="12"/>
      <c r="AC601" s="13">
        <f t="shared" si="158"/>
        <v>0</v>
      </c>
      <c r="AL601" s="14">
        <f t="shared" si="159"/>
        <v>0</v>
      </c>
    </row>
    <row r="602" spans="1:38" hidden="1" x14ac:dyDescent="0.25">
      <c r="A602" s="12" t="s">
        <v>148</v>
      </c>
      <c r="B602" s="12" t="s">
        <v>668</v>
      </c>
      <c r="C602" s="12" t="s">
        <v>539</v>
      </c>
      <c r="D602" s="12"/>
      <c r="E602" s="12">
        <f t="shared" si="157"/>
        <v>82</v>
      </c>
      <c r="F602" s="12" t="s">
        <v>70</v>
      </c>
      <c r="G602" s="12">
        <v>0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82</v>
      </c>
      <c r="X602" s="12">
        <v>0</v>
      </c>
      <c r="Y602" s="12">
        <v>0</v>
      </c>
      <c r="Z602" s="12">
        <v>0</v>
      </c>
      <c r="AA602" s="12"/>
      <c r="AC602" s="13">
        <f t="shared" si="158"/>
        <v>0</v>
      </c>
      <c r="AL602" s="14">
        <f t="shared" si="159"/>
        <v>0</v>
      </c>
    </row>
    <row r="603" spans="1:38" hidden="1" x14ac:dyDescent="0.25">
      <c r="A603" s="12" t="s">
        <v>148</v>
      </c>
      <c r="B603" s="12" t="s">
        <v>200</v>
      </c>
      <c r="C603" s="12" t="s">
        <v>539</v>
      </c>
      <c r="D603" s="12"/>
      <c r="E603" s="12">
        <f t="shared" si="157"/>
        <v>82</v>
      </c>
      <c r="F603" s="12" t="s">
        <v>70</v>
      </c>
      <c r="G603" s="12">
        <v>0</v>
      </c>
      <c r="H603" s="12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0</v>
      </c>
      <c r="N603" s="12">
        <v>0</v>
      </c>
      <c r="O603" s="12">
        <v>0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0</v>
      </c>
      <c r="W603" s="12">
        <v>82</v>
      </c>
      <c r="X603" s="12">
        <v>0</v>
      </c>
      <c r="Y603" s="12">
        <v>0</v>
      </c>
      <c r="Z603" s="12">
        <v>0</v>
      </c>
      <c r="AA603" s="12"/>
      <c r="AC603" s="13">
        <f t="shared" si="158"/>
        <v>0</v>
      </c>
      <c r="AL603" s="14">
        <f t="shared" si="159"/>
        <v>0</v>
      </c>
    </row>
    <row r="604" spans="1:38" hidden="1" x14ac:dyDescent="0.25">
      <c r="A604" s="12" t="s">
        <v>51</v>
      </c>
      <c r="B604" s="12" t="s">
        <v>669</v>
      </c>
      <c r="C604" s="12" t="s">
        <v>539</v>
      </c>
      <c r="D604" s="12"/>
      <c r="E604" s="12">
        <f t="shared" si="157"/>
        <v>81</v>
      </c>
      <c r="F604" s="12" t="s">
        <v>70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81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/>
      <c r="AC604" s="13">
        <f t="shared" si="158"/>
        <v>0</v>
      </c>
      <c r="AL604" s="14">
        <f t="shared" si="159"/>
        <v>0</v>
      </c>
    </row>
    <row r="605" spans="1:38" hidden="1" x14ac:dyDescent="0.25">
      <c r="A605" s="12" t="s">
        <v>51</v>
      </c>
      <c r="B605" s="12" t="s">
        <v>670</v>
      </c>
      <c r="C605" s="12" t="s">
        <v>539</v>
      </c>
      <c r="D605" s="12"/>
      <c r="E605" s="12">
        <f t="shared" si="157"/>
        <v>81</v>
      </c>
      <c r="F605" s="12" t="s">
        <v>70</v>
      </c>
      <c r="G605" s="12">
        <v>0</v>
      </c>
      <c r="H605" s="12">
        <v>0</v>
      </c>
      <c r="I605" s="12">
        <v>0</v>
      </c>
      <c r="J605" s="12">
        <v>0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81</v>
      </c>
      <c r="V605" s="12">
        <v>0</v>
      </c>
      <c r="W605" s="12">
        <v>0</v>
      </c>
      <c r="X605" s="12">
        <v>0</v>
      </c>
      <c r="Y605" s="12">
        <v>0</v>
      </c>
      <c r="Z605" s="12">
        <v>0</v>
      </c>
      <c r="AA605" s="12"/>
      <c r="AC605" s="13">
        <f t="shared" si="158"/>
        <v>0</v>
      </c>
      <c r="AL605" s="14">
        <f t="shared" si="159"/>
        <v>0</v>
      </c>
    </row>
    <row r="606" spans="1:38" hidden="1" x14ac:dyDescent="0.25">
      <c r="A606" s="12" t="s">
        <v>222</v>
      </c>
      <c r="B606" s="12" t="s">
        <v>671</v>
      </c>
      <c r="C606" s="12" t="s">
        <v>539</v>
      </c>
      <c r="D606" s="12"/>
      <c r="E606" s="12">
        <f t="shared" si="157"/>
        <v>81</v>
      </c>
      <c r="F606" s="12" t="s">
        <v>70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0</v>
      </c>
      <c r="W606" s="12">
        <v>81</v>
      </c>
      <c r="X606" s="12">
        <v>0</v>
      </c>
      <c r="Y606" s="12">
        <v>0</v>
      </c>
      <c r="Z606" s="12">
        <v>0</v>
      </c>
      <c r="AA606" s="12"/>
      <c r="AC606" s="13">
        <f t="shared" si="158"/>
        <v>0</v>
      </c>
      <c r="AL606" s="14">
        <f t="shared" si="159"/>
        <v>0</v>
      </c>
    </row>
    <row r="607" spans="1:38" hidden="1" x14ac:dyDescent="0.25">
      <c r="A607" s="12" t="s">
        <v>435</v>
      </c>
      <c r="B607" s="12" t="s">
        <v>671</v>
      </c>
      <c r="C607" s="12" t="s">
        <v>539</v>
      </c>
      <c r="D607" s="12"/>
      <c r="E607" s="12">
        <f t="shared" si="157"/>
        <v>81</v>
      </c>
      <c r="F607" s="12" t="s">
        <v>70</v>
      </c>
      <c r="G607" s="12">
        <v>0</v>
      </c>
      <c r="H607" s="12">
        <v>0</v>
      </c>
      <c r="I607" s="12">
        <v>0</v>
      </c>
      <c r="J607" s="12">
        <v>0</v>
      </c>
      <c r="K607" s="12">
        <v>0</v>
      </c>
      <c r="L607" s="12">
        <v>0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81</v>
      </c>
      <c r="X607" s="12">
        <v>0</v>
      </c>
      <c r="Y607" s="12">
        <v>0</v>
      </c>
      <c r="Z607" s="12">
        <v>0</v>
      </c>
      <c r="AA607" s="12"/>
      <c r="AC607" s="13">
        <f t="shared" si="158"/>
        <v>0</v>
      </c>
      <c r="AL607" s="14">
        <f t="shared" si="159"/>
        <v>0</v>
      </c>
    </row>
    <row r="608" spans="1:38" hidden="1" x14ac:dyDescent="0.25">
      <c r="A608" s="12" t="s">
        <v>173</v>
      </c>
      <c r="B608" s="12" t="s">
        <v>672</v>
      </c>
      <c r="C608" s="12" t="s">
        <v>539</v>
      </c>
      <c r="D608" s="12"/>
      <c r="E608" s="12">
        <f t="shared" si="157"/>
        <v>81</v>
      </c>
      <c r="F608" s="12" t="str">
        <f>VLOOKUP(B608,[1]lookup!A:B,2,FALSE)</f>
        <v>SaaS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81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/>
      <c r="AC608" s="13">
        <f t="shared" si="158"/>
        <v>0</v>
      </c>
      <c r="AL608" s="14">
        <f t="shared" si="159"/>
        <v>0</v>
      </c>
    </row>
    <row r="609" spans="1:38" hidden="1" x14ac:dyDescent="0.25">
      <c r="A609" s="12" t="s">
        <v>86</v>
      </c>
      <c r="B609" s="12" t="s">
        <v>673</v>
      </c>
      <c r="C609" s="12" t="s">
        <v>539</v>
      </c>
      <c r="D609" s="12"/>
      <c r="E609" s="12">
        <f t="shared" si="157"/>
        <v>80</v>
      </c>
      <c r="F609" s="12" t="str">
        <f>VLOOKUP(B609,[1]lookup!A:B,2,FALSE)</f>
        <v>Term</v>
      </c>
      <c r="G609" s="12">
        <v>0</v>
      </c>
      <c r="H609" s="12">
        <v>80</v>
      </c>
      <c r="I609" s="12">
        <v>0</v>
      </c>
      <c r="J609" s="12">
        <v>0</v>
      </c>
      <c r="K609" s="12">
        <v>0</v>
      </c>
      <c r="L609" s="12">
        <v>0</v>
      </c>
      <c r="M609" s="12">
        <v>0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0</v>
      </c>
      <c r="Y609" s="12">
        <v>0</v>
      </c>
      <c r="Z609" s="12">
        <v>0</v>
      </c>
      <c r="AA609" s="12"/>
      <c r="AC609" s="13">
        <f t="shared" si="158"/>
        <v>0</v>
      </c>
      <c r="AK609" s="15">
        <f t="shared" ref="AK609:AK610" si="161">H609*AK$2</f>
        <v>9600</v>
      </c>
      <c r="AL609" s="14">
        <f t="shared" si="159"/>
        <v>9600</v>
      </c>
    </row>
    <row r="610" spans="1:38" hidden="1" x14ac:dyDescent="0.25">
      <c r="A610" s="12" t="s">
        <v>86</v>
      </c>
      <c r="B610" s="12" t="s">
        <v>674</v>
      </c>
      <c r="C610" s="12" t="s">
        <v>539</v>
      </c>
      <c r="D610" s="12"/>
      <c r="E610" s="12">
        <f t="shared" si="157"/>
        <v>80</v>
      </c>
      <c r="F610" s="12" t="str">
        <f>VLOOKUP(B610,[1]lookup!A:B,2,FALSE)</f>
        <v>Perpetual</v>
      </c>
      <c r="G610" s="12">
        <v>0</v>
      </c>
      <c r="H610" s="12">
        <v>80</v>
      </c>
      <c r="I610" s="12">
        <v>0</v>
      </c>
      <c r="J610" s="12">
        <v>80</v>
      </c>
      <c r="K610" s="12">
        <v>0</v>
      </c>
      <c r="L610" s="12">
        <v>0</v>
      </c>
      <c r="M610" s="12">
        <v>0</v>
      </c>
      <c r="N610" s="12">
        <v>0</v>
      </c>
      <c r="O610" s="12">
        <v>80</v>
      </c>
      <c r="P610" s="12">
        <v>0</v>
      </c>
      <c r="Q610" s="12">
        <v>0</v>
      </c>
      <c r="R610" s="12">
        <v>0</v>
      </c>
      <c r="S610" s="12">
        <v>30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/>
      <c r="AC610" s="13">
        <f t="shared" si="158"/>
        <v>0</v>
      </c>
      <c r="AD610" s="13">
        <f t="shared" ref="AD610:AD612" si="162">J610*AD$2</f>
        <v>19200</v>
      </c>
      <c r="AE610" s="13">
        <f t="shared" ref="AE610:AE612" si="163">J610*AE$2</f>
        <v>9600</v>
      </c>
      <c r="AK610" s="15">
        <f t="shared" si="161"/>
        <v>9600</v>
      </c>
      <c r="AL610" s="14">
        <f t="shared" si="159"/>
        <v>38400</v>
      </c>
    </row>
    <row r="611" spans="1:38" hidden="1" x14ac:dyDescent="0.25">
      <c r="A611" s="12" t="s">
        <v>97</v>
      </c>
      <c r="B611" s="12" t="s">
        <v>675</v>
      </c>
      <c r="C611" s="12" t="s">
        <v>539</v>
      </c>
      <c r="D611" s="12"/>
      <c r="E611" s="12">
        <f t="shared" si="157"/>
        <v>80</v>
      </c>
      <c r="F611" s="12" t="str">
        <f>VLOOKUP(B611,[1]lookup!A:B,2,FALSE)</f>
        <v>SaaS</v>
      </c>
      <c r="G611" s="12">
        <v>0</v>
      </c>
      <c r="H611" s="12">
        <v>0</v>
      </c>
      <c r="I611" s="12">
        <v>0</v>
      </c>
      <c r="J611" s="12">
        <v>80</v>
      </c>
      <c r="K611" s="12">
        <v>0</v>
      </c>
      <c r="L611" s="12">
        <v>0</v>
      </c>
      <c r="M611" s="12">
        <v>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  <c r="X611" s="12">
        <v>0</v>
      </c>
      <c r="Y611" s="12">
        <v>0</v>
      </c>
      <c r="Z611" s="12">
        <v>0</v>
      </c>
      <c r="AA611" s="12"/>
      <c r="AC611" s="13">
        <f t="shared" si="158"/>
        <v>0</v>
      </c>
      <c r="AD611" s="13">
        <f t="shared" si="162"/>
        <v>19200</v>
      </c>
      <c r="AE611" s="13">
        <f t="shared" si="163"/>
        <v>9600</v>
      </c>
      <c r="AL611" s="14">
        <f t="shared" si="159"/>
        <v>28800</v>
      </c>
    </row>
    <row r="612" spans="1:38" hidden="1" x14ac:dyDescent="0.25">
      <c r="A612" s="12" t="s">
        <v>67</v>
      </c>
      <c r="B612" s="12" t="s">
        <v>676</v>
      </c>
      <c r="C612" s="12" t="s">
        <v>539</v>
      </c>
      <c r="D612" s="12"/>
      <c r="E612" s="12">
        <f t="shared" si="157"/>
        <v>80</v>
      </c>
      <c r="F612" s="12" t="str">
        <f>VLOOKUP(B612,[1]lookup!A:B,2,FALSE)</f>
        <v>SaaS</v>
      </c>
      <c r="G612" s="12">
        <v>0</v>
      </c>
      <c r="H612" s="12">
        <v>0</v>
      </c>
      <c r="I612" s="12">
        <v>0</v>
      </c>
      <c r="J612" s="12">
        <v>80</v>
      </c>
      <c r="K612" s="12">
        <v>0</v>
      </c>
      <c r="L612" s="12">
        <v>0</v>
      </c>
      <c r="M612" s="12">
        <v>0</v>
      </c>
      <c r="N612" s="12">
        <v>80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/>
      <c r="AC612" s="13">
        <f t="shared" si="158"/>
        <v>0</v>
      </c>
      <c r="AD612" s="13">
        <f t="shared" si="162"/>
        <v>19200</v>
      </c>
      <c r="AE612" s="13">
        <f t="shared" si="163"/>
        <v>9600</v>
      </c>
      <c r="AL612" s="14">
        <f t="shared" si="159"/>
        <v>28800</v>
      </c>
    </row>
    <row r="613" spans="1:38" hidden="1" x14ac:dyDescent="0.25">
      <c r="A613" s="12" t="s">
        <v>677</v>
      </c>
      <c r="B613" s="12" t="s">
        <v>678</v>
      </c>
      <c r="C613" s="12" t="s">
        <v>539</v>
      </c>
      <c r="D613" s="12"/>
      <c r="E613" s="12">
        <f t="shared" si="157"/>
        <v>80</v>
      </c>
      <c r="F613" s="12" t="str">
        <f>VLOOKUP(B613,[1]lookup!A:B,2,FALSE)</f>
        <v>Term</v>
      </c>
      <c r="G613" s="12">
        <v>0</v>
      </c>
      <c r="H613" s="12">
        <v>80</v>
      </c>
      <c r="I613" s="12">
        <v>0</v>
      </c>
      <c r="J613" s="12">
        <v>0</v>
      </c>
      <c r="K613" s="12">
        <v>0</v>
      </c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0</v>
      </c>
      <c r="Y613" s="12">
        <v>0</v>
      </c>
      <c r="Z613" s="12">
        <v>0</v>
      </c>
      <c r="AA613" s="12"/>
      <c r="AC613" s="13">
        <f t="shared" si="158"/>
        <v>0</v>
      </c>
      <c r="AK613" s="15">
        <f>H613*AK$2</f>
        <v>9600</v>
      </c>
      <c r="AL613" s="14">
        <f t="shared" si="159"/>
        <v>9600</v>
      </c>
    </row>
    <row r="614" spans="1:38" hidden="1" x14ac:dyDescent="0.25">
      <c r="A614" s="12" t="s">
        <v>148</v>
      </c>
      <c r="B614" s="12" t="s">
        <v>679</v>
      </c>
      <c r="C614" s="12" t="s">
        <v>539</v>
      </c>
      <c r="D614" s="12"/>
      <c r="E614" s="12">
        <f t="shared" si="157"/>
        <v>80</v>
      </c>
      <c r="F614" s="12" t="s">
        <v>70</v>
      </c>
      <c r="G614" s="12">
        <v>0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80</v>
      </c>
      <c r="X614" s="12">
        <v>0</v>
      </c>
      <c r="Y614" s="12">
        <v>0</v>
      </c>
      <c r="Z614" s="12">
        <v>0</v>
      </c>
      <c r="AA614" s="12"/>
      <c r="AC614" s="13">
        <f t="shared" si="158"/>
        <v>0</v>
      </c>
      <c r="AL614" s="14">
        <f t="shared" si="159"/>
        <v>0</v>
      </c>
    </row>
    <row r="615" spans="1:38" hidden="1" x14ac:dyDescent="0.25">
      <c r="A615" s="12" t="s">
        <v>537</v>
      </c>
      <c r="B615" s="12" t="s">
        <v>680</v>
      </c>
      <c r="C615" s="12" t="s">
        <v>539</v>
      </c>
      <c r="D615" s="12"/>
      <c r="E615" s="12">
        <f t="shared" si="157"/>
        <v>80</v>
      </c>
      <c r="F615" s="12" t="str">
        <f>VLOOKUP(B615,[1]lookup!A:B,2,FALSE)</f>
        <v>SaaS</v>
      </c>
      <c r="G615" s="12">
        <v>0</v>
      </c>
      <c r="H615" s="12">
        <v>0</v>
      </c>
      <c r="I615" s="12">
        <v>0</v>
      </c>
      <c r="J615" s="12">
        <v>80</v>
      </c>
      <c r="K615" s="12">
        <v>0</v>
      </c>
      <c r="L615" s="12">
        <v>0</v>
      </c>
      <c r="M615" s="12">
        <v>0</v>
      </c>
      <c r="N615" s="12">
        <v>80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  <c r="X615" s="12">
        <v>0</v>
      </c>
      <c r="Y615" s="12">
        <v>0</v>
      </c>
      <c r="Z615" s="12">
        <v>0</v>
      </c>
      <c r="AA615" s="12"/>
      <c r="AC615" s="13">
        <f t="shared" si="158"/>
        <v>0</v>
      </c>
      <c r="AD615" s="13">
        <f>J615*AD$2</f>
        <v>19200</v>
      </c>
      <c r="AE615" s="13">
        <f>J615*AE$2</f>
        <v>9600</v>
      </c>
      <c r="AL615" s="14">
        <f t="shared" si="159"/>
        <v>28800</v>
      </c>
    </row>
    <row r="616" spans="1:38" hidden="1" x14ac:dyDescent="0.25">
      <c r="A616" s="12" t="s">
        <v>173</v>
      </c>
      <c r="B616" s="12" t="s">
        <v>681</v>
      </c>
      <c r="C616" s="12" t="s">
        <v>539</v>
      </c>
      <c r="D616" s="12"/>
      <c r="E616" s="12">
        <f t="shared" si="157"/>
        <v>78</v>
      </c>
      <c r="F616" s="12" t="str">
        <f>VLOOKUP(B616,[1]lookup!A:B,2,FALSE)</f>
        <v>SaaS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78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2"/>
      <c r="AC616" s="13">
        <f t="shared" si="158"/>
        <v>0</v>
      </c>
      <c r="AL616" s="14">
        <f t="shared" si="159"/>
        <v>0</v>
      </c>
    </row>
    <row r="617" spans="1:38" hidden="1" x14ac:dyDescent="0.25">
      <c r="A617" s="12" t="s">
        <v>140</v>
      </c>
      <c r="B617" s="12" t="s">
        <v>682</v>
      </c>
      <c r="C617" s="12" t="s">
        <v>539</v>
      </c>
      <c r="D617" s="12"/>
      <c r="E617" s="12">
        <f t="shared" si="157"/>
        <v>77</v>
      </c>
      <c r="F617" s="12" t="s">
        <v>70</v>
      </c>
      <c r="G617" s="12">
        <v>0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2">
        <v>77</v>
      </c>
      <c r="X617" s="12">
        <v>0</v>
      </c>
      <c r="Y617" s="12">
        <v>0</v>
      </c>
      <c r="Z617" s="12">
        <v>0</v>
      </c>
      <c r="AA617" s="12"/>
      <c r="AC617" s="13">
        <f t="shared" si="158"/>
        <v>0</v>
      </c>
      <c r="AL617" s="14">
        <f t="shared" si="159"/>
        <v>0</v>
      </c>
    </row>
    <row r="618" spans="1:38" hidden="1" x14ac:dyDescent="0.25">
      <c r="A618" s="12" t="s">
        <v>51</v>
      </c>
      <c r="B618" s="12" t="s">
        <v>683</v>
      </c>
      <c r="C618" s="12" t="s">
        <v>539</v>
      </c>
      <c r="D618" s="12"/>
      <c r="E618" s="12">
        <f t="shared" si="157"/>
        <v>77</v>
      </c>
      <c r="F618" s="12" t="s">
        <v>70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77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2"/>
      <c r="AC618" s="13">
        <f t="shared" si="158"/>
        <v>0</v>
      </c>
      <c r="AL618" s="14">
        <f t="shared" si="159"/>
        <v>0</v>
      </c>
    </row>
    <row r="619" spans="1:38" hidden="1" x14ac:dyDescent="0.25">
      <c r="A619" s="12" t="s">
        <v>51</v>
      </c>
      <c r="B619" s="12" t="s">
        <v>684</v>
      </c>
      <c r="C619" s="12" t="s">
        <v>539</v>
      </c>
      <c r="D619" s="12"/>
      <c r="E619" s="12">
        <f t="shared" si="157"/>
        <v>77</v>
      </c>
      <c r="F619" s="12" t="s">
        <v>70</v>
      </c>
      <c r="G619" s="12">
        <v>0</v>
      </c>
      <c r="H619" s="12">
        <v>0</v>
      </c>
      <c r="I619" s="12">
        <v>0</v>
      </c>
      <c r="J619" s="12">
        <v>0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77</v>
      </c>
      <c r="V619" s="12">
        <v>0</v>
      </c>
      <c r="W619" s="12">
        <v>0</v>
      </c>
      <c r="X619" s="12">
        <v>0</v>
      </c>
      <c r="Y619" s="12">
        <v>0</v>
      </c>
      <c r="Z619" s="12">
        <v>0</v>
      </c>
      <c r="AA619" s="12"/>
      <c r="AC619" s="13">
        <f t="shared" si="158"/>
        <v>0</v>
      </c>
      <c r="AL619" s="14">
        <f t="shared" si="159"/>
        <v>0</v>
      </c>
    </row>
    <row r="620" spans="1:38" hidden="1" x14ac:dyDescent="0.25">
      <c r="A620" s="12" t="s">
        <v>148</v>
      </c>
      <c r="B620" s="12" t="s">
        <v>685</v>
      </c>
      <c r="C620" s="12" t="s">
        <v>539</v>
      </c>
      <c r="D620" s="12"/>
      <c r="E620" s="12">
        <f t="shared" si="157"/>
        <v>77</v>
      </c>
      <c r="F620" s="12" t="s">
        <v>70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2">
        <v>0</v>
      </c>
      <c r="W620" s="12">
        <v>77</v>
      </c>
      <c r="X620" s="12">
        <v>0</v>
      </c>
      <c r="Y620" s="12">
        <v>0</v>
      </c>
      <c r="Z620" s="12">
        <v>0</v>
      </c>
      <c r="AA620" s="12"/>
      <c r="AC620" s="13">
        <f t="shared" si="158"/>
        <v>0</v>
      </c>
      <c r="AL620" s="14">
        <f t="shared" si="159"/>
        <v>0</v>
      </c>
    </row>
    <row r="621" spans="1:38" hidden="1" x14ac:dyDescent="0.25">
      <c r="A621" s="12" t="s">
        <v>86</v>
      </c>
      <c r="B621" s="12" t="s">
        <v>686</v>
      </c>
      <c r="C621" s="12" t="s">
        <v>539</v>
      </c>
      <c r="D621" s="12"/>
      <c r="E621" s="12">
        <f t="shared" si="157"/>
        <v>76</v>
      </c>
      <c r="F621" s="12" t="str">
        <f>VLOOKUP(B621,[1]lookup!A:B,2,FALSE)</f>
        <v>Term</v>
      </c>
      <c r="G621" s="12">
        <v>0</v>
      </c>
      <c r="H621" s="12">
        <v>76</v>
      </c>
      <c r="I621" s="12">
        <v>0</v>
      </c>
      <c r="J621" s="12">
        <v>0</v>
      </c>
      <c r="K621" s="12">
        <v>0</v>
      </c>
      <c r="L621" s="12">
        <v>0</v>
      </c>
      <c r="M621" s="12">
        <v>0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  <c r="W621" s="12">
        <v>0</v>
      </c>
      <c r="X621" s="12">
        <v>0</v>
      </c>
      <c r="Y621" s="12">
        <v>0</v>
      </c>
      <c r="Z621" s="12">
        <v>0</v>
      </c>
      <c r="AA621" s="12"/>
      <c r="AC621" s="13">
        <f t="shared" si="158"/>
        <v>0</v>
      </c>
      <c r="AK621" s="15">
        <f t="shared" ref="AK621:AK622" si="164">H621*AK$2</f>
        <v>9120</v>
      </c>
      <c r="AL621" s="14">
        <f t="shared" si="159"/>
        <v>9120</v>
      </c>
    </row>
    <row r="622" spans="1:38" hidden="1" x14ac:dyDescent="0.25">
      <c r="A622" s="12" t="s">
        <v>86</v>
      </c>
      <c r="B622" s="12" t="s">
        <v>687</v>
      </c>
      <c r="C622" s="12" t="s">
        <v>539</v>
      </c>
      <c r="D622" s="12"/>
      <c r="E622" s="12">
        <f t="shared" si="157"/>
        <v>76</v>
      </c>
      <c r="F622" s="12" t="str">
        <f>VLOOKUP(B622,[1]lookup!A:B,2,FALSE)</f>
        <v>Term</v>
      </c>
      <c r="G622" s="12">
        <v>0</v>
      </c>
      <c r="H622" s="12">
        <v>76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  <c r="X622" s="12">
        <v>0</v>
      </c>
      <c r="Y622" s="12">
        <v>0</v>
      </c>
      <c r="Z622" s="12">
        <v>0</v>
      </c>
      <c r="AA622" s="12"/>
      <c r="AC622" s="13">
        <f t="shared" si="158"/>
        <v>0</v>
      </c>
      <c r="AK622" s="15">
        <f t="shared" si="164"/>
        <v>9120</v>
      </c>
      <c r="AL622" s="14">
        <f t="shared" si="159"/>
        <v>9120</v>
      </c>
    </row>
    <row r="623" spans="1:38" hidden="1" x14ac:dyDescent="0.25">
      <c r="A623" s="12" t="s">
        <v>51</v>
      </c>
      <c r="B623" s="12" t="s">
        <v>688</v>
      </c>
      <c r="C623" s="12" t="s">
        <v>539</v>
      </c>
      <c r="D623" s="12"/>
      <c r="E623" s="12">
        <f t="shared" si="157"/>
        <v>76</v>
      </c>
      <c r="F623" s="12" t="s">
        <v>70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76</v>
      </c>
      <c r="V623" s="12">
        <v>0</v>
      </c>
      <c r="W623" s="12">
        <v>0</v>
      </c>
      <c r="X623" s="12">
        <v>0</v>
      </c>
      <c r="Y623" s="12">
        <v>0</v>
      </c>
      <c r="Z623" s="12">
        <v>0</v>
      </c>
      <c r="AA623" s="12"/>
      <c r="AC623" s="13">
        <f t="shared" si="158"/>
        <v>0</v>
      </c>
      <c r="AL623" s="14">
        <f t="shared" si="159"/>
        <v>0</v>
      </c>
    </row>
    <row r="624" spans="1:38" hidden="1" x14ac:dyDescent="0.25">
      <c r="A624" s="12" t="s">
        <v>51</v>
      </c>
      <c r="B624" s="12" t="s">
        <v>689</v>
      </c>
      <c r="C624" s="12" t="s">
        <v>539</v>
      </c>
      <c r="D624" s="12"/>
      <c r="E624" s="12">
        <f t="shared" si="157"/>
        <v>76</v>
      </c>
      <c r="F624" s="12" t="s">
        <v>70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76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2"/>
      <c r="AC624" s="13">
        <f t="shared" si="158"/>
        <v>0</v>
      </c>
      <c r="AL624" s="14">
        <f t="shared" si="159"/>
        <v>0</v>
      </c>
    </row>
    <row r="625" spans="1:38" hidden="1" x14ac:dyDescent="0.25">
      <c r="A625" s="12" t="s">
        <v>51</v>
      </c>
      <c r="B625" s="12" t="s">
        <v>690</v>
      </c>
      <c r="C625" s="12" t="s">
        <v>539</v>
      </c>
      <c r="D625" s="12"/>
      <c r="E625" s="12">
        <f t="shared" si="157"/>
        <v>76</v>
      </c>
      <c r="F625" s="12" t="s">
        <v>70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76</v>
      </c>
      <c r="V625" s="12">
        <v>0</v>
      </c>
      <c r="W625" s="12">
        <v>0</v>
      </c>
      <c r="X625" s="12">
        <v>0</v>
      </c>
      <c r="Y625" s="12">
        <v>0</v>
      </c>
      <c r="Z625" s="12">
        <v>0</v>
      </c>
      <c r="AA625" s="12"/>
      <c r="AC625" s="13">
        <f t="shared" si="158"/>
        <v>0</v>
      </c>
      <c r="AL625" s="14">
        <f t="shared" si="159"/>
        <v>0</v>
      </c>
    </row>
    <row r="626" spans="1:38" hidden="1" x14ac:dyDescent="0.25">
      <c r="A626" s="12" t="s">
        <v>691</v>
      </c>
      <c r="B626" s="12" t="s">
        <v>84</v>
      </c>
      <c r="C626" s="12" t="s">
        <v>539</v>
      </c>
      <c r="D626" s="12"/>
      <c r="E626" s="12">
        <f t="shared" si="157"/>
        <v>76</v>
      </c>
      <c r="F626" s="12" t="str">
        <f>VLOOKUP(B626,[1]lookup!A:B,2,FALSE)</f>
        <v>Term</v>
      </c>
      <c r="G626" s="12">
        <v>0</v>
      </c>
      <c r="H626" s="12">
        <v>34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0</v>
      </c>
      <c r="W626" s="12">
        <v>76</v>
      </c>
      <c r="X626" s="12">
        <v>0</v>
      </c>
      <c r="Y626" s="12">
        <v>0</v>
      </c>
      <c r="Z626" s="12">
        <v>0</v>
      </c>
      <c r="AA626" s="12"/>
      <c r="AC626" s="13">
        <f t="shared" si="158"/>
        <v>0</v>
      </c>
      <c r="AK626" s="15">
        <f>H626*AK$2</f>
        <v>4080</v>
      </c>
      <c r="AL626" s="14">
        <f t="shared" si="159"/>
        <v>4080</v>
      </c>
    </row>
    <row r="627" spans="1:38" hidden="1" x14ac:dyDescent="0.25">
      <c r="A627" s="12" t="s">
        <v>296</v>
      </c>
      <c r="B627" s="12" t="s">
        <v>692</v>
      </c>
      <c r="C627" s="12" t="s">
        <v>539</v>
      </c>
      <c r="D627" s="12"/>
      <c r="E627" s="12">
        <f t="shared" si="157"/>
        <v>76</v>
      </c>
      <c r="F627" s="12" t="s">
        <v>70</v>
      </c>
      <c r="G627" s="12">
        <v>0</v>
      </c>
      <c r="H627" s="12">
        <v>0</v>
      </c>
      <c r="I627" s="12">
        <v>0</v>
      </c>
      <c r="J627" s="12">
        <v>0</v>
      </c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76</v>
      </c>
      <c r="X627" s="12">
        <v>0</v>
      </c>
      <c r="Y627" s="12">
        <v>0</v>
      </c>
      <c r="Z627" s="12">
        <v>0</v>
      </c>
      <c r="AA627" s="12"/>
      <c r="AC627" s="13">
        <f t="shared" si="158"/>
        <v>0</v>
      </c>
      <c r="AL627" s="14">
        <f t="shared" si="159"/>
        <v>0</v>
      </c>
    </row>
    <row r="628" spans="1:38" hidden="1" x14ac:dyDescent="0.25">
      <c r="A628" s="12" t="s">
        <v>148</v>
      </c>
      <c r="B628" s="12" t="s">
        <v>693</v>
      </c>
      <c r="C628" s="12" t="s">
        <v>539</v>
      </c>
      <c r="D628" s="12"/>
      <c r="E628" s="12">
        <f t="shared" si="157"/>
        <v>76</v>
      </c>
      <c r="F628" s="12" t="s">
        <v>70</v>
      </c>
      <c r="G628" s="12">
        <v>0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  <c r="W628" s="12">
        <v>76</v>
      </c>
      <c r="X628" s="12">
        <v>0</v>
      </c>
      <c r="Y628" s="12">
        <v>0</v>
      </c>
      <c r="Z628" s="12">
        <v>0</v>
      </c>
      <c r="AA628" s="12"/>
      <c r="AC628" s="13">
        <f t="shared" si="158"/>
        <v>0</v>
      </c>
      <c r="AL628" s="14">
        <f t="shared" si="159"/>
        <v>0</v>
      </c>
    </row>
    <row r="629" spans="1:38" hidden="1" x14ac:dyDescent="0.25">
      <c r="A629" s="12" t="s">
        <v>173</v>
      </c>
      <c r="B629" s="12" t="s">
        <v>694</v>
      </c>
      <c r="C629" s="12" t="s">
        <v>539</v>
      </c>
      <c r="D629" s="12"/>
      <c r="E629" s="12">
        <f t="shared" si="157"/>
        <v>76</v>
      </c>
      <c r="F629" s="12" t="str">
        <f>VLOOKUP(B629,[1]lookup!A:B,2,FALSE)</f>
        <v>SaaS</v>
      </c>
      <c r="G629" s="12">
        <v>0</v>
      </c>
      <c r="H629" s="12">
        <v>0</v>
      </c>
      <c r="I629" s="12">
        <v>0</v>
      </c>
      <c r="J629" s="12">
        <v>0</v>
      </c>
      <c r="K629" s="12">
        <v>0</v>
      </c>
      <c r="L629" s="12">
        <v>0</v>
      </c>
      <c r="M629" s="12">
        <v>0</v>
      </c>
      <c r="N629" s="12">
        <v>76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  <c r="X629" s="12">
        <v>0</v>
      </c>
      <c r="Y629" s="12">
        <v>0</v>
      </c>
      <c r="Z629" s="12">
        <v>0</v>
      </c>
      <c r="AA629" s="12"/>
      <c r="AC629" s="13">
        <f t="shared" si="158"/>
        <v>0</v>
      </c>
      <c r="AL629" s="14">
        <f t="shared" si="159"/>
        <v>0</v>
      </c>
    </row>
    <row r="630" spans="1:38" hidden="1" x14ac:dyDescent="0.25">
      <c r="A630" s="12" t="s">
        <v>86</v>
      </c>
      <c r="B630" s="12" t="s">
        <v>695</v>
      </c>
      <c r="C630" s="12" t="s">
        <v>539</v>
      </c>
      <c r="D630" s="12"/>
      <c r="E630" s="12">
        <f t="shared" si="157"/>
        <v>75</v>
      </c>
      <c r="F630" s="12" t="str">
        <f>VLOOKUP(B630,[1]lookup!A:B,2,FALSE)</f>
        <v>Perpetual</v>
      </c>
      <c r="G630" s="12">
        <v>0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75</v>
      </c>
      <c r="N630" s="12">
        <v>0</v>
      </c>
      <c r="O630" s="12">
        <v>75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  <c r="X630" s="12">
        <v>0</v>
      </c>
      <c r="Y630" s="12">
        <v>0</v>
      </c>
      <c r="Z630" s="12">
        <v>0</v>
      </c>
      <c r="AA630" s="12"/>
      <c r="AC630" s="13">
        <f t="shared" si="158"/>
        <v>18000</v>
      </c>
      <c r="AL630" s="14">
        <f t="shared" si="159"/>
        <v>18000</v>
      </c>
    </row>
    <row r="631" spans="1:38" hidden="1" x14ac:dyDescent="0.25">
      <c r="A631" s="12" t="s">
        <v>51</v>
      </c>
      <c r="B631" s="12" t="s">
        <v>696</v>
      </c>
      <c r="C631" s="12" t="s">
        <v>539</v>
      </c>
      <c r="D631" s="12"/>
      <c r="E631" s="12">
        <f t="shared" si="157"/>
        <v>75</v>
      </c>
      <c r="F631" s="12" t="s">
        <v>70</v>
      </c>
      <c r="G631" s="12">
        <v>0</v>
      </c>
      <c r="H631" s="12">
        <v>0</v>
      </c>
      <c r="I631" s="12">
        <v>0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75</v>
      </c>
      <c r="V631" s="12">
        <v>0</v>
      </c>
      <c r="W631" s="12">
        <v>0</v>
      </c>
      <c r="X631" s="12">
        <v>0</v>
      </c>
      <c r="Y631" s="12">
        <v>0</v>
      </c>
      <c r="Z631" s="12">
        <v>0</v>
      </c>
      <c r="AA631" s="12"/>
      <c r="AC631" s="13">
        <f t="shared" si="158"/>
        <v>0</v>
      </c>
      <c r="AL631" s="14">
        <f t="shared" si="159"/>
        <v>0</v>
      </c>
    </row>
    <row r="632" spans="1:38" hidden="1" x14ac:dyDescent="0.25">
      <c r="A632" s="12" t="s">
        <v>697</v>
      </c>
      <c r="B632" s="12" t="s">
        <v>698</v>
      </c>
      <c r="C632" s="12" t="s">
        <v>539</v>
      </c>
      <c r="D632" s="12"/>
      <c r="E632" s="12">
        <f t="shared" si="157"/>
        <v>75</v>
      </c>
      <c r="F632" s="12" t="str">
        <f>VLOOKUP(B632,[1]lookup!A:B,2,FALSE)</f>
        <v>Term</v>
      </c>
      <c r="G632" s="12">
        <v>0</v>
      </c>
      <c r="H632" s="12">
        <v>75</v>
      </c>
      <c r="I632" s="12">
        <v>0</v>
      </c>
      <c r="J632" s="12">
        <v>75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/>
      <c r="AC632" s="13">
        <f t="shared" si="158"/>
        <v>0</v>
      </c>
      <c r="AD632" s="13">
        <f>J632*AD$2</f>
        <v>18000</v>
      </c>
      <c r="AE632" s="13">
        <f>J632*AE$2</f>
        <v>9000</v>
      </c>
      <c r="AK632" s="15">
        <f>H632*AK$2</f>
        <v>9000</v>
      </c>
      <c r="AL632" s="14">
        <f t="shared" si="159"/>
        <v>36000</v>
      </c>
    </row>
    <row r="633" spans="1:38" hidden="1" x14ac:dyDescent="0.25">
      <c r="A633" s="12" t="s">
        <v>148</v>
      </c>
      <c r="B633" s="12" t="s">
        <v>699</v>
      </c>
      <c r="C633" s="12" t="s">
        <v>539</v>
      </c>
      <c r="D633" s="12"/>
      <c r="E633" s="12">
        <f t="shared" si="157"/>
        <v>75</v>
      </c>
      <c r="F633" s="12" t="s">
        <v>70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75</v>
      </c>
      <c r="X633" s="12">
        <v>0</v>
      </c>
      <c r="Y633" s="12">
        <v>0</v>
      </c>
      <c r="Z633" s="12">
        <v>0</v>
      </c>
      <c r="AA633" s="12"/>
      <c r="AC633" s="13">
        <f t="shared" si="158"/>
        <v>0</v>
      </c>
      <c r="AL633" s="14">
        <f t="shared" si="159"/>
        <v>0</v>
      </c>
    </row>
    <row r="634" spans="1:38" hidden="1" x14ac:dyDescent="0.25">
      <c r="A634" s="12" t="s">
        <v>537</v>
      </c>
      <c r="B634" s="12" t="s">
        <v>700</v>
      </c>
      <c r="C634" s="12" t="s">
        <v>539</v>
      </c>
      <c r="D634" s="12"/>
      <c r="E634" s="12">
        <f t="shared" si="157"/>
        <v>75</v>
      </c>
      <c r="F634" s="12" t="str">
        <f>VLOOKUP(B634,[1]lookup!A:B,2,FALSE)</f>
        <v>SaaS</v>
      </c>
      <c r="G634" s="12">
        <v>0</v>
      </c>
      <c r="H634" s="12">
        <v>0</v>
      </c>
      <c r="I634" s="12">
        <v>0</v>
      </c>
      <c r="J634" s="12">
        <v>75</v>
      </c>
      <c r="K634" s="12">
        <v>0</v>
      </c>
      <c r="L634" s="12">
        <v>0</v>
      </c>
      <c r="M634" s="12">
        <v>0</v>
      </c>
      <c r="N634" s="12">
        <v>75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2"/>
      <c r="AC634" s="13">
        <f t="shared" si="158"/>
        <v>0</v>
      </c>
      <c r="AD634" s="13">
        <f>J634*AD$2</f>
        <v>18000</v>
      </c>
      <c r="AE634" s="13">
        <f>J634*AE$2</f>
        <v>9000</v>
      </c>
      <c r="AL634" s="14">
        <f t="shared" si="159"/>
        <v>27000</v>
      </c>
    </row>
    <row r="635" spans="1:38" hidden="1" x14ac:dyDescent="0.25">
      <c r="A635" s="12" t="s">
        <v>86</v>
      </c>
      <c r="B635" s="12" t="s">
        <v>701</v>
      </c>
      <c r="C635" s="12" t="s">
        <v>539</v>
      </c>
      <c r="D635" s="12"/>
      <c r="E635" s="12">
        <f t="shared" si="157"/>
        <v>74</v>
      </c>
      <c r="F635" s="12" t="str">
        <f>VLOOKUP(B635,[1]lookup!A:B,2,FALSE)</f>
        <v>Term</v>
      </c>
      <c r="G635" s="12">
        <v>0</v>
      </c>
      <c r="H635" s="12">
        <v>74</v>
      </c>
      <c r="I635" s="12">
        <v>0</v>
      </c>
      <c r="J635" s="12">
        <v>0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  <c r="X635" s="12">
        <v>0</v>
      </c>
      <c r="Y635" s="12">
        <v>0</v>
      </c>
      <c r="Z635" s="12">
        <v>0</v>
      </c>
      <c r="AA635" s="12"/>
      <c r="AC635" s="13">
        <f t="shared" si="158"/>
        <v>0</v>
      </c>
      <c r="AK635" s="15">
        <f t="shared" ref="AK635:AK636" si="165">H635*AK$2</f>
        <v>8880</v>
      </c>
      <c r="AL635" s="14">
        <f t="shared" si="159"/>
        <v>8880</v>
      </c>
    </row>
    <row r="636" spans="1:38" hidden="1" x14ac:dyDescent="0.25">
      <c r="A636" s="12" t="s">
        <v>86</v>
      </c>
      <c r="B636" s="12" t="s">
        <v>702</v>
      </c>
      <c r="C636" s="12" t="s">
        <v>539</v>
      </c>
      <c r="D636" s="12"/>
      <c r="E636" s="12">
        <f t="shared" si="157"/>
        <v>74</v>
      </c>
      <c r="F636" s="12" t="str">
        <f>VLOOKUP(B636,[1]lookup!A:B,2,FALSE)</f>
        <v>Perpetual</v>
      </c>
      <c r="G636" s="12">
        <v>0</v>
      </c>
      <c r="H636" s="12">
        <v>74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2"/>
      <c r="AC636" s="13">
        <f t="shared" si="158"/>
        <v>0</v>
      </c>
      <c r="AK636" s="15">
        <f t="shared" si="165"/>
        <v>8880</v>
      </c>
      <c r="AL636" s="14">
        <f t="shared" si="159"/>
        <v>8880</v>
      </c>
    </row>
    <row r="637" spans="1:38" hidden="1" x14ac:dyDescent="0.25">
      <c r="A637" s="12" t="s">
        <v>92</v>
      </c>
      <c r="B637" s="12" t="s">
        <v>703</v>
      </c>
      <c r="C637" s="12" t="s">
        <v>539</v>
      </c>
      <c r="D637" s="12"/>
      <c r="E637" s="12">
        <f t="shared" si="157"/>
        <v>74</v>
      </c>
      <c r="F637" s="12" t="s">
        <v>70</v>
      </c>
      <c r="G637" s="12">
        <v>0</v>
      </c>
      <c r="H637" s="12">
        <v>0</v>
      </c>
      <c r="I637" s="12">
        <v>0</v>
      </c>
      <c r="J637" s="12">
        <v>0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0</v>
      </c>
      <c r="V637" s="12">
        <v>0</v>
      </c>
      <c r="W637" s="12">
        <v>74</v>
      </c>
      <c r="X637" s="12">
        <v>0</v>
      </c>
      <c r="Y637" s="12">
        <v>0</v>
      </c>
      <c r="Z637" s="12">
        <v>0</v>
      </c>
      <c r="AA637" s="12"/>
      <c r="AC637" s="13">
        <f t="shared" si="158"/>
        <v>0</v>
      </c>
      <c r="AL637" s="14">
        <f t="shared" si="159"/>
        <v>0</v>
      </c>
    </row>
    <row r="638" spans="1:38" hidden="1" x14ac:dyDescent="0.25">
      <c r="A638" s="12" t="s">
        <v>222</v>
      </c>
      <c r="B638" s="12" t="s">
        <v>111</v>
      </c>
      <c r="C638" s="12" t="s">
        <v>539</v>
      </c>
      <c r="D638" s="12"/>
      <c r="E638" s="12">
        <f t="shared" si="157"/>
        <v>74</v>
      </c>
      <c r="F638" s="12" t="str">
        <f>VLOOKUP(B638,[1]lookup!A:B,2,FALSE)</f>
        <v>Perpetual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74</v>
      </c>
      <c r="X638" s="12">
        <v>0</v>
      </c>
      <c r="Y638" s="12">
        <v>0</v>
      </c>
      <c r="Z638" s="12">
        <v>0</v>
      </c>
      <c r="AA638" s="12"/>
      <c r="AC638" s="13">
        <f t="shared" si="158"/>
        <v>0</v>
      </c>
      <c r="AL638" s="14">
        <f t="shared" si="159"/>
        <v>0</v>
      </c>
    </row>
    <row r="639" spans="1:38" hidden="1" x14ac:dyDescent="0.25">
      <c r="A639" s="12" t="s">
        <v>222</v>
      </c>
      <c r="B639" s="12" t="s">
        <v>704</v>
      </c>
      <c r="C639" s="12" t="s">
        <v>539</v>
      </c>
      <c r="D639" s="12"/>
      <c r="E639" s="12">
        <f t="shared" si="157"/>
        <v>74</v>
      </c>
      <c r="F639" s="12" t="s">
        <v>70</v>
      </c>
      <c r="G639" s="12">
        <v>0</v>
      </c>
      <c r="H639" s="12">
        <v>0</v>
      </c>
      <c r="I639" s="12">
        <v>0</v>
      </c>
      <c r="J639" s="12">
        <v>0</v>
      </c>
      <c r="K639" s="12">
        <v>0</v>
      </c>
      <c r="L639" s="12">
        <v>0</v>
      </c>
      <c r="M639" s="12">
        <v>0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74</v>
      </c>
      <c r="X639" s="12">
        <v>0</v>
      </c>
      <c r="Y639" s="12">
        <v>0</v>
      </c>
      <c r="Z639" s="12">
        <v>0</v>
      </c>
      <c r="AA639" s="12"/>
      <c r="AC639" s="13">
        <f t="shared" si="158"/>
        <v>0</v>
      </c>
      <c r="AL639" s="14">
        <f t="shared" si="159"/>
        <v>0</v>
      </c>
    </row>
    <row r="640" spans="1:38" hidden="1" x14ac:dyDescent="0.25">
      <c r="A640" s="12" t="s">
        <v>435</v>
      </c>
      <c r="B640" s="12" t="s">
        <v>704</v>
      </c>
      <c r="C640" s="12" t="s">
        <v>539</v>
      </c>
      <c r="D640" s="12"/>
      <c r="E640" s="12">
        <f t="shared" si="157"/>
        <v>74</v>
      </c>
      <c r="F640" s="12" t="s">
        <v>70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74</v>
      </c>
      <c r="X640" s="12">
        <v>0</v>
      </c>
      <c r="Y640" s="12">
        <v>0</v>
      </c>
      <c r="Z640" s="12">
        <v>0</v>
      </c>
      <c r="AA640" s="12"/>
      <c r="AC640" s="13">
        <f t="shared" si="158"/>
        <v>0</v>
      </c>
      <c r="AL640" s="14">
        <f t="shared" si="159"/>
        <v>0</v>
      </c>
    </row>
    <row r="641" spans="1:38" hidden="1" x14ac:dyDescent="0.25">
      <c r="A641" s="12" t="s">
        <v>92</v>
      </c>
      <c r="B641" s="12" t="s">
        <v>705</v>
      </c>
      <c r="C641" s="12" t="s">
        <v>539</v>
      </c>
      <c r="D641" s="12"/>
      <c r="E641" s="12">
        <f t="shared" si="157"/>
        <v>73</v>
      </c>
      <c r="F641" s="12" t="s">
        <v>70</v>
      </c>
      <c r="G641" s="12">
        <v>0</v>
      </c>
      <c r="H641" s="12">
        <v>0</v>
      </c>
      <c r="I641" s="12">
        <v>0</v>
      </c>
      <c r="J641" s="12">
        <v>0</v>
      </c>
      <c r="K641" s="12">
        <v>0</v>
      </c>
      <c r="L641" s="12">
        <v>0</v>
      </c>
      <c r="M641" s="12">
        <v>0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73</v>
      </c>
      <c r="X641" s="12">
        <v>0</v>
      </c>
      <c r="Y641" s="12">
        <v>0</v>
      </c>
      <c r="Z641" s="12">
        <v>0</v>
      </c>
      <c r="AA641" s="12"/>
      <c r="AC641" s="13">
        <f t="shared" si="158"/>
        <v>0</v>
      </c>
      <c r="AL641" s="14">
        <f t="shared" si="159"/>
        <v>0</v>
      </c>
    </row>
    <row r="642" spans="1:38" hidden="1" x14ac:dyDescent="0.25">
      <c r="A642" s="12" t="s">
        <v>51</v>
      </c>
      <c r="B642" s="12" t="s">
        <v>706</v>
      </c>
      <c r="C642" s="12" t="s">
        <v>539</v>
      </c>
      <c r="D642" s="12"/>
      <c r="E642" s="12">
        <f t="shared" si="157"/>
        <v>73</v>
      </c>
      <c r="F642" s="12" t="s">
        <v>70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73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12"/>
      <c r="AC642" s="13">
        <f t="shared" si="158"/>
        <v>0</v>
      </c>
      <c r="AL642" s="14">
        <f t="shared" si="159"/>
        <v>0</v>
      </c>
    </row>
    <row r="643" spans="1:38" hidden="1" x14ac:dyDescent="0.25">
      <c r="A643" s="12" t="s">
        <v>148</v>
      </c>
      <c r="B643" s="12" t="s">
        <v>707</v>
      </c>
      <c r="C643" s="12" t="s">
        <v>539</v>
      </c>
      <c r="D643" s="12"/>
      <c r="E643" s="12">
        <f t="shared" si="157"/>
        <v>73</v>
      </c>
      <c r="F643" s="12" t="s">
        <v>70</v>
      </c>
      <c r="G643" s="12">
        <v>0</v>
      </c>
      <c r="H643" s="12">
        <v>0</v>
      </c>
      <c r="I643" s="12">
        <v>0</v>
      </c>
      <c r="J643" s="12">
        <v>0</v>
      </c>
      <c r="K643" s="12">
        <v>0</v>
      </c>
      <c r="L643" s="12">
        <v>0</v>
      </c>
      <c r="M643" s="12">
        <v>0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73</v>
      </c>
      <c r="X643" s="12">
        <v>0</v>
      </c>
      <c r="Y643" s="12">
        <v>0</v>
      </c>
      <c r="Z643" s="12">
        <v>0</v>
      </c>
      <c r="AA643" s="12"/>
      <c r="AC643" s="13">
        <f t="shared" si="158"/>
        <v>0</v>
      </c>
      <c r="AL643" s="14">
        <f t="shared" si="159"/>
        <v>0</v>
      </c>
    </row>
    <row r="644" spans="1:38" hidden="1" x14ac:dyDescent="0.25">
      <c r="A644" s="12" t="s">
        <v>86</v>
      </c>
      <c r="B644" s="12" t="s">
        <v>708</v>
      </c>
      <c r="C644" s="12" t="s">
        <v>539</v>
      </c>
      <c r="D644" s="12"/>
      <c r="E644" s="12">
        <f t="shared" si="157"/>
        <v>72</v>
      </c>
      <c r="F644" s="12" t="str">
        <f>VLOOKUP(B644,[1]lookup!A:B,2,FALSE)</f>
        <v>Term</v>
      </c>
      <c r="G644" s="12">
        <v>0</v>
      </c>
      <c r="H644" s="12">
        <v>30</v>
      </c>
      <c r="I644" s="12">
        <v>0</v>
      </c>
      <c r="J644" s="12">
        <v>0</v>
      </c>
      <c r="K644" s="12">
        <v>0</v>
      </c>
      <c r="L644" s="12">
        <v>72</v>
      </c>
      <c r="M644" s="12">
        <v>0</v>
      </c>
      <c r="N644" s="12">
        <v>0</v>
      </c>
      <c r="O644" s="12">
        <v>0</v>
      </c>
      <c r="P644" s="12">
        <v>72</v>
      </c>
      <c r="Q644" s="12">
        <v>0</v>
      </c>
      <c r="R644" s="12">
        <v>0</v>
      </c>
      <c r="S644" s="12">
        <v>72</v>
      </c>
      <c r="T644" s="12">
        <v>0</v>
      </c>
      <c r="U644" s="12">
        <v>0</v>
      </c>
      <c r="V644" s="12">
        <v>0</v>
      </c>
      <c r="W644" s="12">
        <v>0</v>
      </c>
      <c r="X644" s="12">
        <v>0</v>
      </c>
      <c r="Y644" s="12">
        <v>0</v>
      </c>
      <c r="Z644" s="12">
        <v>0</v>
      </c>
      <c r="AA644" s="12"/>
      <c r="AC644" s="13">
        <f t="shared" si="158"/>
        <v>0</v>
      </c>
      <c r="AK644" s="15">
        <f>H644*AK$2</f>
        <v>3600</v>
      </c>
      <c r="AL644" s="14">
        <f t="shared" si="159"/>
        <v>3600</v>
      </c>
    </row>
    <row r="645" spans="1:38" hidden="1" x14ac:dyDescent="0.25">
      <c r="A645" s="12" t="s">
        <v>51</v>
      </c>
      <c r="B645" s="12" t="s">
        <v>709</v>
      </c>
      <c r="C645" s="12" t="s">
        <v>539</v>
      </c>
      <c r="D645" s="12"/>
      <c r="E645" s="12">
        <f t="shared" ref="E645:E708" si="166">MAX(G645:Z645)</f>
        <v>72</v>
      </c>
      <c r="F645" s="12" t="s">
        <v>70</v>
      </c>
      <c r="G645" s="12">
        <v>0</v>
      </c>
      <c r="H645" s="12">
        <v>0</v>
      </c>
      <c r="I645" s="12">
        <v>0</v>
      </c>
      <c r="J645" s="12">
        <v>0</v>
      </c>
      <c r="K645" s="12">
        <v>0</v>
      </c>
      <c r="L645" s="12">
        <v>0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72</v>
      </c>
      <c r="V645" s="12">
        <v>0</v>
      </c>
      <c r="W645" s="12">
        <v>0</v>
      </c>
      <c r="X645" s="12">
        <v>0</v>
      </c>
      <c r="Y645" s="12">
        <v>0</v>
      </c>
      <c r="Z645" s="12">
        <v>0</v>
      </c>
      <c r="AA645" s="12"/>
      <c r="AC645" s="13">
        <f t="shared" ref="AC645:AC708" si="167">M645*AC$2</f>
        <v>0</v>
      </c>
      <c r="AL645" s="14">
        <f t="shared" si="159"/>
        <v>0</v>
      </c>
    </row>
    <row r="646" spans="1:38" hidden="1" x14ac:dyDescent="0.25">
      <c r="A646" s="12" t="s">
        <v>51</v>
      </c>
      <c r="B646" s="12" t="s">
        <v>710</v>
      </c>
      <c r="C646" s="12" t="s">
        <v>539</v>
      </c>
      <c r="D646" s="12"/>
      <c r="E646" s="12">
        <f t="shared" si="166"/>
        <v>72</v>
      </c>
      <c r="F646" s="12" t="s">
        <v>70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72</v>
      </c>
      <c r="V646" s="12">
        <v>0</v>
      </c>
      <c r="W646" s="12">
        <v>0</v>
      </c>
      <c r="X646" s="12">
        <v>0</v>
      </c>
      <c r="Y646" s="12">
        <v>0</v>
      </c>
      <c r="Z646" s="12">
        <v>0</v>
      </c>
      <c r="AA646" s="12"/>
      <c r="AC646" s="13">
        <f t="shared" si="167"/>
        <v>0</v>
      </c>
      <c r="AL646" s="14">
        <f t="shared" ref="AL646:AL709" si="168">SUM(AC646:AK646)</f>
        <v>0</v>
      </c>
    </row>
    <row r="647" spans="1:38" hidden="1" x14ac:dyDescent="0.25">
      <c r="A647" s="12" t="s">
        <v>148</v>
      </c>
      <c r="B647" s="12" t="s">
        <v>711</v>
      </c>
      <c r="C647" s="12" t="s">
        <v>539</v>
      </c>
      <c r="D647" s="12"/>
      <c r="E647" s="12">
        <f t="shared" si="166"/>
        <v>72</v>
      </c>
      <c r="F647" s="12" t="s">
        <v>70</v>
      </c>
      <c r="G647" s="12">
        <v>0</v>
      </c>
      <c r="H647" s="12">
        <v>0</v>
      </c>
      <c r="I647" s="12">
        <v>0</v>
      </c>
      <c r="J647" s="12">
        <v>0</v>
      </c>
      <c r="K647" s="12">
        <v>0</v>
      </c>
      <c r="L647" s="12">
        <v>0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2">
        <v>0</v>
      </c>
      <c r="W647" s="12">
        <v>72</v>
      </c>
      <c r="X647" s="12">
        <v>0</v>
      </c>
      <c r="Y647" s="12">
        <v>0</v>
      </c>
      <c r="Z647" s="12">
        <v>0</v>
      </c>
      <c r="AA647" s="12"/>
      <c r="AC647" s="13">
        <f t="shared" si="167"/>
        <v>0</v>
      </c>
      <c r="AL647" s="14">
        <f t="shared" si="168"/>
        <v>0</v>
      </c>
    </row>
    <row r="648" spans="1:38" hidden="1" x14ac:dyDescent="0.25">
      <c r="A648" s="12" t="s">
        <v>173</v>
      </c>
      <c r="B648" s="12" t="s">
        <v>712</v>
      </c>
      <c r="C648" s="12" t="s">
        <v>539</v>
      </c>
      <c r="D648" s="12"/>
      <c r="E648" s="12">
        <f t="shared" si="166"/>
        <v>72</v>
      </c>
      <c r="F648" s="12" t="str">
        <f>VLOOKUP(B648,[1]lookup!A:B,2,FALSE)</f>
        <v>SaaS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72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2"/>
      <c r="AC648" s="13">
        <f t="shared" si="167"/>
        <v>0</v>
      </c>
      <c r="AL648" s="14">
        <f t="shared" si="168"/>
        <v>0</v>
      </c>
    </row>
    <row r="649" spans="1:38" hidden="1" x14ac:dyDescent="0.25">
      <c r="A649" s="12" t="s">
        <v>51</v>
      </c>
      <c r="B649" s="12" t="s">
        <v>713</v>
      </c>
      <c r="C649" s="12" t="s">
        <v>539</v>
      </c>
      <c r="D649" s="12"/>
      <c r="E649" s="12">
        <f t="shared" si="166"/>
        <v>71</v>
      </c>
      <c r="F649" s="12" t="s">
        <v>70</v>
      </c>
      <c r="G649" s="12">
        <v>0</v>
      </c>
      <c r="H649" s="12">
        <v>0</v>
      </c>
      <c r="I649" s="12">
        <v>0</v>
      </c>
      <c r="J649" s="12">
        <v>0</v>
      </c>
      <c r="K649" s="12">
        <v>0</v>
      </c>
      <c r="L649" s="12">
        <v>0</v>
      </c>
      <c r="M649" s="12">
        <v>0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71</v>
      </c>
      <c r="V649" s="12">
        <v>0</v>
      </c>
      <c r="W649" s="12">
        <v>0</v>
      </c>
      <c r="X649" s="12">
        <v>0</v>
      </c>
      <c r="Y649" s="12">
        <v>0</v>
      </c>
      <c r="Z649" s="12">
        <v>0</v>
      </c>
      <c r="AA649" s="12"/>
      <c r="AC649" s="13">
        <f t="shared" si="167"/>
        <v>0</v>
      </c>
      <c r="AL649" s="14">
        <f t="shared" si="168"/>
        <v>0</v>
      </c>
    </row>
    <row r="650" spans="1:38" hidden="1" x14ac:dyDescent="0.25">
      <c r="A650" s="12" t="s">
        <v>51</v>
      </c>
      <c r="B650" s="12" t="s">
        <v>714</v>
      </c>
      <c r="C650" s="12" t="s">
        <v>539</v>
      </c>
      <c r="D650" s="12"/>
      <c r="E650" s="12">
        <f t="shared" si="166"/>
        <v>71</v>
      </c>
      <c r="F650" s="12" t="s">
        <v>70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71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/>
      <c r="AC650" s="13">
        <f t="shared" si="167"/>
        <v>0</v>
      </c>
      <c r="AL650" s="14">
        <f t="shared" si="168"/>
        <v>0</v>
      </c>
    </row>
    <row r="651" spans="1:38" hidden="1" x14ac:dyDescent="0.25">
      <c r="A651" s="12" t="s">
        <v>506</v>
      </c>
      <c r="B651" s="12" t="s">
        <v>715</v>
      </c>
      <c r="C651" s="12" t="s">
        <v>539</v>
      </c>
      <c r="D651" s="12"/>
      <c r="E651" s="12">
        <f t="shared" si="166"/>
        <v>71</v>
      </c>
      <c r="F651" s="12" t="s">
        <v>70</v>
      </c>
      <c r="G651" s="12">
        <v>0</v>
      </c>
      <c r="H651" s="12">
        <v>0</v>
      </c>
      <c r="I651" s="12">
        <v>0</v>
      </c>
      <c r="J651" s="12">
        <v>0</v>
      </c>
      <c r="K651" s="12">
        <v>0</v>
      </c>
      <c r="L651" s="12">
        <v>0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71</v>
      </c>
      <c r="X651" s="12">
        <v>0</v>
      </c>
      <c r="Y651" s="12">
        <v>0</v>
      </c>
      <c r="Z651" s="12">
        <v>0</v>
      </c>
      <c r="AA651" s="12"/>
      <c r="AC651" s="13">
        <f t="shared" si="167"/>
        <v>0</v>
      </c>
      <c r="AL651" s="14">
        <f t="shared" si="168"/>
        <v>0</v>
      </c>
    </row>
    <row r="652" spans="1:38" hidden="1" x14ac:dyDescent="0.25">
      <c r="A652" s="12" t="s">
        <v>296</v>
      </c>
      <c r="B652" s="12" t="s">
        <v>716</v>
      </c>
      <c r="C652" s="12" t="s">
        <v>539</v>
      </c>
      <c r="D652" s="12"/>
      <c r="E652" s="12">
        <f t="shared" si="166"/>
        <v>71</v>
      </c>
      <c r="F652" s="12" t="s">
        <v>70</v>
      </c>
      <c r="G652" s="12">
        <v>0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</v>
      </c>
      <c r="V652" s="12">
        <v>0</v>
      </c>
      <c r="W652" s="12">
        <v>71</v>
      </c>
      <c r="X652" s="12">
        <v>0</v>
      </c>
      <c r="Y652" s="12">
        <v>0</v>
      </c>
      <c r="Z652" s="12">
        <v>0</v>
      </c>
      <c r="AA652" s="12"/>
      <c r="AC652" s="13">
        <f t="shared" si="167"/>
        <v>0</v>
      </c>
      <c r="AL652" s="14">
        <f t="shared" si="168"/>
        <v>0</v>
      </c>
    </row>
    <row r="653" spans="1:38" hidden="1" x14ac:dyDescent="0.25">
      <c r="A653" s="12" t="s">
        <v>86</v>
      </c>
      <c r="B653" s="12" t="s">
        <v>717</v>
      </c>
      <c r="C653" s="12" t="s">
        <v>539</v>
      </c>
      <c r="D653" s="12"/>
      <c r="E653" s="12">
        <f t="shared" si="166"/>
        <v>70</v>
      </c>
      <c r="F653" s="12" t="str">
        <f>VLOOKUP(B653,[1]lookup!A:B,2,FALSE)</f>
        <v>Term</v>
      </c>
      <c r="G653" s="12">
        <v>0</v>
      </c>
      <c r="H653" s="12">
        <v>70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  <c r="X653" s="12">
        <v>0</v>
      </c>
      <c r="Y653" s="12">
        <v>0</v>
      </c>
      <c r="Z653" s="12">
        <v>0</v>
      </c>
      <c r="AA653" s="12"/>
      <c r="AC653" s="13">
        <f t="shared" si="167"/>
        <v>0</v>
      </c>
      <c r="AK653" s="15">
        <f>H653*AK$2</f>
        <v>8400</v>
      </c>
      <c r="AL653" s="14">
        <f t="shared" si="168"/>
        <v>8400</v>
      </c>
    </row>
    <row r="654" spans="1:38" hidden="1" x14ac:dyDescent="0.25">
      <c r="A654" s="12" t="s">
        <v>51</v>
      </c>
      <c r="B654" s="12" t="s">
        <v>718</v>
      </c>
      <c r="C654" s="12" t="s">
        <v>539</v>
      </c>
      <c r="D654" s="12"/>
      <c r="E654" s="12">
        <f t="shared" si="166"/>
        <v>70</v>
      </c>
      <c r="F654" s="12" t="s">
        <v>70</v>
      </c>
      <c r="G654" s="12">
        <v>0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70</v>
      </c>
      <c r="V654" s="12">
        <v>0</v>
      </c>
      <c r="W654" s="12">
        <v>0</v>
      </c>
      <c r="X654" s="12">
        <v>0</v>
      </c>
      <c r="Y654" s="12">
        <v>0</v>
      </c>
      <c r="Z654" s="12">
        <v>0</v>
      </c>
      <c r="AA654" s="12"/>
      <c r="AC654" s="13">
        <f t="shared" si="167"/>
        <v>0</v>
      </c>
      <c r="AL654" s="14">
        <f t="shared" si="168"/>
        <v>0</v>
      </c>
    </row>
    <row r="655" spans="1:38" hidden="1" x14ac:dyDescent="0.25">
      <c r="A655" s="12" t="s">
        <v>506</v>
      </c>
      <c r="B655" s="12" t="s">
        <v>719</v>
      </c>
      <c r="C655" s="12" t="s">
        <v>539</v>
      </c>
      <c r="D655" s="12"/>
      <c r="E655" s="12">
        <f t="shared" si="166"/>
        <v>70</v>
      </c>
      <c r="F655" s="12" t="s">
        <v>70</v>
      </c>
      <c r="G655" s="12">
        <v>0</v>
      </c>
      <c r="H655" s="12">
        <v>0</v>
      </c>
      <c r="I655" s="12">
        <v>0</v>
      </c>
      <c r="J655" s="12">
        <v>0</v>
      </c>
      <c r="K655" s="12">
        <v>0</v>
      </c>
      <c r="L655" s="12">
        <v>0</v>
      </c>
      <c r="M655" s="12">
        <v>0</v>
      </c>
      <c r="N655" s="12">
        <v>0</v>
      </c>
      <c r="O655" s="12">
        <v>0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2">
        <v>0</v>
      </c>
      <c r="W655" s="12">
        <v>70</v>
      </c>
      <c r="X655" s="12">
        <v>0</v>
      </c>
      <c r="Y655" s="12">
        <v>0</v>
      </c>
      <c r="Z655" s="12">
        <v>0</v>
      </c>
      <c r="AA655" s="12"/>
      <c r="AC655" s="13">
        <f t="shared" si="167"/>
        <v>0</v>
      </c>
      <c r="AL655" s="14">
        <f t="shared" si="168"/>
        <v>0</v>
      </c>
    </row>
    <row r="656" spans="1:38" hidden="1" x14ac:dyDescent="0.25">
      <c r="A656" s="12" t="s">
        <v>173</v>
      </c>
      <c r="B656" s="12" t="s">
        <v>720</v>
      </c>
      <c r="C656" s="12" t="s">
        <v>539</v>
      </c>
      <c r="D656" s="12"/>
      <c r="E656" s="12">
        <f t="shared" si="166"/>
        <v>70</v>
      </c>
      <c r="F656" s="12" t="str">
        <f>VLOOKUP(B656,[1]lookup!A:B,2,FALSE)</f>
        <v>SaaS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70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2"/>
      <c r="AC656" s="13">
        <f t="shared" si="167"/>
        <v>0</v>
      </c>
      <c r="AL656" s="14">
        <f t="shared" si="168"/>
        <v>0</v>
      </c>
    </row>
    <row r="657" spans="1:38" hidden="1" x14ac:dyDescent="0.25">
      <c r="A657" s="12" t="s">
        <v>173</v>
      </c>
      <c r="B657" s="12" t="s">
        <v>721</v>
      </c>
      <c r="C657" s="12" t="s">
        <v>539</v>
      </c>
      <c r="D657" s="12"/>
      <c r="E657" s="12">
        <f t="shared" si="166"/>
        <v>69</v>
      </c>
      <c r="F657" s="12" t="str">
        <f>VLOOKUP(B657,[1]lookup!A:B,2,FALSE)</f>
        <v>SaaS</v>
      </c>
      <c r="G657" s="12">
        <v>0</v>
      </c>
      <c r="H657" s="12">
        <v>0</v>
      </c>
      <c r="I657" s="12">
        <v>0</v>
      </c>
      <c r="J657" s="12">
        <v>0</v>
      </c>
      <c r="K657" s="12">
        <v>0</v>
      </c>
      <c r="L657" s="12">
        <v>0</v>
      </c>
      <c r="M657" s="12">
        <v>0</v>
      </c>
      <c r="N657" s="12">
        <v>69</v>
      </c>
      <c r="O657" s="12">
        <v>0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0</v>
      </c>
      <c r="V657" s="12">
        <v>0</v>
      </c>
      <c r="W657" s="12">
        <v>0</v>
      </c>
      <c r="X657" s="12">
        <v>0</v>
      </c>
      <c r="Y657" s="12">
        <v>0</v>
      </c>
      <c r="Z657" s="12">
        <v>0</v>
      </c>
      <c r="AA657" s="12"/>
      <c r="AC657" s="13">
        <f t="shared" si="167"/>
        <v>0</v>
      </c>
      <c r="AL657" s="14">
        <f t="shared" si="168"/>
        <v>0</v>
      </c>
    </row>
    <row r="658" spans="1:38" hidden="1" x14ac:dyDescent="0.25">
      <c r="A658" s="12" t="s">
        <v>537</v>
      </c>
      <c r="B658" s="12" t="s">
        <v>722</v>
      </c>
      <c r="C658" s="12" t="s">
        <v>539</v>
      </c>
      <c r="D658" s="12"/>
      <c r="E658" s="12">
        <f t="shared" si="166"/>
        <v>69</v>
      </c>
      <c r="F658" s="12" t="str">
        <f>VLOOKUP(B658,[1]lookup!A:B,2,FALSE)</f>
        <v>SaaS</v>
      </c>
      <c r="G658" s="12">
        <v>0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69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0</v>
      </c>
      <c r="V658" s="12">
        <v>0</v>
      </c>
      <c r="W658" s="12">
        <v>0</v>
      </c>
      <c r="X658" s="12">
        <v>0</v>
      </c>
      <c r="Y658" s="12">
        <v>0</v>
      </c>
      <c r="Z658" s="12">
        <v>0</v>
      </c>
      <c r="AA658" s="12"/>
      <c r="AC658" s="13">
        <f t="shared" si="167"/>
        <v>0</v>
      </c>
      <c r="AL658" s="14">
        <f t="shared" si="168"/>
        <v>0</v>
      </c>
    </row>
    <row r="659" spans="1:38" hidden="1" x14ac:dyDescent="0.25">
      <c r="A659" s="12" t="s">
        <v>506</v>
      </c>
      <c r="B659" s="12" t="s">
        <v>723</v>
      </c>
      <c r="C659" s="12" t="s">
        <v>539</v>
      </c>
      <c r="D659" s="12"/>
      <c r="E659" s="12">
        <f t="shared" si="166"/>
        <v>68</v>
      </c>
      <c r="F659" s="12" t="s">
        <v>70</v>
      </c>
      <c r="G659" s="12">
        <v>0</v>
      </c>
      <c r="H659" s="12">
        <v>0</v>
      </c>
      <c r="I659" s="12">
        <v>0</v>
      </c>
      <c r="J659" s="12">
        <v>0</v>
      </c>
      <c r="K659" s="12">
        <v>0</v>
      </c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0</v>
      </c>
      <c r="W659" s="12">
        <v>68</v>
      </c>
      <c r="X659" s="12">
        <v>0</v>
      </c>
      <c r="Y659" s="12">
        <v>0</v>
      </c>
      <c r="Z659" s="12">
        <v>0</v>
      </c>
      <c r="AA659" s="12"/>
      <c r="AC659" s="13">
        <f t="shared" si="167"/>
        <v>0</v>
      </c>
      <c r="AL659" s="14">
        <f t="shared" si="168"/>
        <v>0</v>
      </c>
    </row>
    <row r="660" spans="1:38" hidden="1" x14ac:dyDescent="0.25">
      <c r="A660" s="12" t="s">
        <v>80</v>
      </c>
      <c r="B660" s="12" t="s">
        <v>724</v>
      </c>
      <c r="C660" s="12" t="s">
        <v>539</v>
      </c>
      <c r="D660" s="12"/>
      <c r="E660" s="12">
        <f t="shared" si="166"/>
        <v>66</v>
      </c>
      <c r="F660" s="12" t="s">
        <v>70</v>
      </c>
      <c r="G660" s="12">
        <v>0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66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2"/>
      <c r="AC660" s="13">
        <f t="shared" si="167"/>
        <v>0</v>
      </c>
      <c r="AL660" s="14">
        <f t="shared" si="168"/>
        <v>0</v>
      </c>
    </row>
    <row r="661" spans="1:38" hidden="1" x14ac:dyDescent="0.25">
      <c r="A661" s="12" t="s">
        <v>51</v>
      </c>
      <c r="B661" s="12" t="s">
        <v>725</v>
      </c>
      <c r="C661" s="12" t="s">
        <v>539</v>
      </c>
      <c r="D661" s="12"/>
      <c r="E661" s="12">
        <f t="shared" si="166"/>
        <v>66</v>
      </c>
      <c r="F661" s="12" t="s">
        <v>70</v>
      </c>
      <c r="G661" s="12">
        <v>0</v>
      </c>
      <c r="H661" s="12">
        <v>0</v>
      </c>
      <c r="I661" s="12">
        <v>0</v>
      </c>
      <c r="J661" s="12">
        <v>0</v>
      </c>
      <c r="K661" s="12">
        <v>0</v>
      </c>
      <c r="L661" s="12">
        <v>0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66</v>
      </c>
      <c r="V661" s="12">
        <v>0</v>
      </c>
      <c r="W661" s="12">
        <v>0</v>
      </c>
      <c r="X661" s="12">
        <v>0</v>
      </c>
      <c r="Y661" s="12">
        <v>0</v>
      </c>
      <c r="Z661" s="12">
        <v>0</v>
      </c>
      <c r="AA661" s="12"/>
      <c r="AC661" s="13">
        <f t="shared" si="167"/>
        <v>0</v>
      </c>
      <c r="AL661" s="14">
        <f t="shared" si="168"/>
        <v>0</v>
      </c>
    </row>
    <row r="662" spans="1:38" hidden="1" x14ac:dyDescent="0.25">
      <c r="A662" s="12" t="s">
        <v>49</v>
      </c>
      <c r="B662" s="12" t="s">
        <v>726</v>
      </c>
      <c r="C662" s="12" t="s">
        <v>539</v>
      </c>
      <c r="D662" s="12"/>
      <c r="E662" s="12">
        <f t="shared" si="166"/>
        <v>65</v>
      </c>
      <c r="F662" s="12" t="str">
        <f>VLOOKUP(B662,[1]lookup!A:B,2,FALSE)</f>
        <v>Perpetual</v>
      </c>
      <c r="G662" s="12">
        <v>0</v>
      </c>
      <c r="H662" s="12">
        <v>65</v>
      </c>
      <c r="I662" s="12">
        <v>0</v>
      </c>
      <c r="J662" s="12">
        <v>65</v>
      </c>
      <c r="K662" s="12">
        <v>0</v>
      </c>
      <c r="L662" s="12">
        <v>65</v>
      </c>
      <c r="M662" s="12">
        <v>65</v>
      </c>
      <c r="N662" s="12">
        <v>0</v>
      </c>
      <c r="O662" s="12">
        <v>65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  <c r="W662" s="12">
        <v>0</v>
      </c>
      <c r="X662" s="12">
        <v>0</v>
      </c>
      <c r="Y662" s="12">
        <v>0</v>
      </c>
      <c r="Z662" s="12">
        <v>0</v>
      </c>
      <c r="AA662" s="12"/>
      <c r="AC662" s="13">
        <f t="shared" si="167"/>
        <v>15600</v>
      </c>
      <c r="AD662" s="13">
        <f t="shared" ref="AD662:AD663" si="169">J662*AD$2</f>
        <v>15600</v>
      </c>
      <c r="AE662" s="13">
        <f t="shared" ref="AE662:AE663" si="170">J662*AE$2</f>
        <v>7800</v>
      </c>
      <c r="AK662" s="15">
        <f>H662*AK$2</f>
        <v>7800</v>
      </c>
      <c r="AL662" s="14">
        <f t="shared" si="168"/>
        <v>46800</v>
      </c>
    </row>
    <row r="663" spans="1:38" hidden="1" x14ac:dyDescent="0.25">
      <c r="A663" s="12" t="s">
        <v>78</v>
      </c>
      <c r="B663" s="12" t="s">
        <v>727</v>
      </c>
      <c r="C663" s="12" t="s">
        <v>539</v>
      </c>
      <c r="D663" s="12"/>
      <c r="E663" s="12">
        <f t="shared" si="166"/>
        <v>65</v>
      </c>
      <c r="F663" s="12" t="str">
        <f>VLOOKUP(B663,[1]lookup!A:B,2,FALSE)</f>
        <v>Perpetual</v>
      </c>
      <c r="G663" s="12">
        <v>0</v>
      </c>
      <c r="H663" s="12">
        <v>0</v>
      </c>
      <c r="I663" s="12">
        <v>0</v>
      </c>
      <c r="J663" s="12">
        <v>65</v>
      </c>
      <c r="K663" s="12">
        <v>0</v>
      </c>
      <c r="L663" s="12">
        <v>0</v>
      </c>
      <c r="M663" s="12">
        <v>1</v>
      </c>
      <c r="N663" s="12">
        <v>0</v>
      </c>
      <c r="O663" s="12">
        <v>1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2">
        <v>0</v>
      </c>
      <c r="W663" s="12">
        <v>0</v>
      </c>
      <c r="X663" s="12">
        <v>0</v>
      </c>
      <c r="Y663" s="12">
        <v>0</v>
      </c>
      <c r="Z663" s="12">
        <v>0</v>
      </c>
      <c r="AA663" s="12"/>
      <c r="AC663" s="13">
        <f t="shared" si="167"/>
        <v>240</v>
      </c>
      <c r="AD663" s="13">
        <f t="shared" si="169"/>
        <v>15600</v>
      </c>
      <c r="AE663" s="13">
        <f t="shared" si="170"/>
        <v>7800</v>
      </c>
      <c r="AL663" s="14">
        <f t="shared" si="168"/>
        <v>23640</v>
      </c>
    </row>
    <row r="664" spans="1:38" hidden="1" x14ac:dyDescent="0.25">
      <c r="A664" s="12" t="s">
        <v>51</v>
      </c>
      <c r="B664" s="12" t="s">
        <v>728</v>
      </c>
      <c r="C664" s="12" t="s">
        <v>539</v>
      </c>
      <c r="D664" s="12"/>
      <c r="E664" s="12">
        <f t="shared" si="166"/>
        <v>65</v>
      </c>
      <c r="F664" s="12" t="s">
        <v>70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65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2"/>
      <c r="AC664" s="13">
        <f t="shared" si="167"/>
        <v>0</v>
      </c>
      <c r="AL664" s="14">
        <f t="shared" si="168"/>
        <v>0</v>
      </c>
    </row>
    <row r="665" spans="1:38" hidden="1" x14ac:dyDescent="0.25">
      <c r="A665" s="12" t="s">
        <v>51</v>
      </c>
      <c r="B665" s="12" t="s">
        <v>729</v>
      </c>
      <c r="C665" s="12" t="s">
        <v>539</v>
      </c>
      <c r="D665" s="12"/>
      <c r="E665" s="12">
        <f t="shared" si="166"/>
        <v>65</v>
      </c>
      <c r="F665" s="12" t="s">
        <v>70</v>
      </c>
      <c r="G665" s="12">
        <v>0</v>
      </c>
      <c r="H665" s="12">
        <v>0</v>
      </c>
      <c r="I665" s="12">
        <v>0</v>
      </c>
      <c r="J665" s="12">
        <v>0</v>
      </c>
      <c r="K665" s="12">
        <v>0</v>
      </c>
      <c r="L665" s="12">
        <v>0</v>
      </c>
      <c r="M665" s="12">
        <v>0</v>
      </c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65</v>
      </c>
      <c r="V665" s="12">
        <v>0</v>
      </c>
      <c r="W665" s="12">
        <v>0</v>
      </c>
      <c r="X665" s="12">
        <v>0</v>
      </c>
      <c r="Y665" s="12">
        <v>0</v>
      </c>
      <c r="Z665" s="12">
        <v>0</v>
      </c>
      <c r="AA665" s="12"/>
      <c r="AC665" s="13">
        <f t="shared" si="167"/>
        <v>0</v>
      </c>
      <c r="AL665" s="14">
        <f t="shared" si="168"/>
        <v>0</v>
      </c>
    </row>
    <row r="666" spans="1:38" hidden="1" x14ac:dyDescent="0.25">
      <c r="A666" s="12" t="s">
        <v>51</v>
      </c>
      <c r="B666" s="12" t="s">
        <v>730</v>
      </c>
      <c r="C666" s="12" t="s">
        <v>539</v>
      </c>
      <c r="D666" s="12"/>
      <c r="E666" s="12">
        <f t="shared" si="166"/>
        <v>65</v>
      </c>
      <c r="F666" s="12" t="s">
        <v>70</v>
      </c>
      <c r="G666" s="12">
        <v>0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65</v>
      </c>
      <c r="V666" s="12">
        <v>0</v>
      </c>
      <c r="W666" s="12">
        <v>0</v>
      </c>
      <c r="X666" s="12">
        <v>0</v>
      </c>
      <c r="Y666" s="12">
        <v>0</v>
      </c>
      <c r="Z666" s="12">
        <v>0</v>
      </c>
      <c r="AA666" s="12"/>
      <c r="AC666" s="13">
        <f t="shared" si="167"/>
        <v>0</v>
      </c>
      <c r="AL666" s="14">
        <f t="shared" si="168"/>
        <v>0</v>
      </c>
    </row>
    <row r="667" spans="1:38" hidden="1" x14ac:dyDescent="0.25">
      <c r="A667" s="12" t="s">
        <v>233</v>
      </c>
      <c r="B667" s="12" t="s">
        <v>731</v>
      </c>
      <c r="C667" s="12" t="s">
        <v>539</v>
      </c>
      <c r="D667" s="12"/>
      <c r="E667" s="12">
        <f t="shared" si="166"/>
        <v>65</v>
      </c>
      <c r="F667" s="12" t="str">
        <f>VLOOKUP(B667,[1]lookup!A:B,2,FALSE)</f>
        <v>SaaS</v>
      </c>
      <c r="G667" s="12">
        <v>0</v>
      </c>
      <c r="H667" s="12">
        <v>0</v>
      </c>
      <c r="I667" s="12">
        <v>0</v>
      </c>
      <c r="J667" s="12">
        <v>0</v>
      </c>
      <c r="K667" s="12">
        <v>0</v>
      </c>
      <c r="L667" s="12">
        <v>0</v>
      </c>
      <c r="M667" s="12">
        <v>0</v>
      </c>
      <c r="N667" s="12">
        <v>65</v>
      </c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0</v>
      </c>
      <c r="W667" s="12">
        <v>0</v>
      </c>
      <c r="X667" s="12">
        <v>0</v>
      </c>
      <c r="Y667" s="12">
        <v>0</v>
      </c>
      <c r="Z667" s="12">
        <v>0</v>
      </c>
      <c r="AA667" s="12"/>
      <c r="AC667" s="13">
        <f t="shared" si="167"/>
        <v>0</v>
      </c>
      <c r="AL667" s="14">
        <f t="shared" si="168"/>
        <v>0</v>
      </c>
    </row>
    <row r="668" spans="1:38" hidden="1" x14ac:dyDescent="0.25">
      <c r="A668" s="12" t="s">
        <v>199</v>
      </c>
      <c r="B668" s="12" t="s">
        <v>732</v>
      </c>
      <c r="C668" s="12" t="s">
        <v>539</v>
      </c>
      <c r="D668" s="12"/>
      <c r="E668" s="12">
        <f t="shared" si="166"/>
        <v>65</v>
      </c>
      <c r="F668" s="12" t="str">
        <f>VLOOKUP(B668,[1]lookup!A:B,2,FALSE)</f>
        <v>Perpetual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  <c r="L668" s="12">
        <v>18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12">
        <v>65</v>
      </c>
      <c r="X668" s="12">
        <v>0</v>
      </c>
      <c r="Y668" s="12">
        <v>0</v>
      </c>
      <c r="Z668" s="12">
        <v>0</v>
      </c>
      <c r="AA668" s="12"/>
      <c r="AC668" s="13">
        <f t="shared" si="167"/>
        <v>0</v>
      </c>
      <c r="AL668" s="14">
        <f t="shared" si="168"/>
        <v>0</v>
      </c>
    </row>
    <row r="669" spans="1:38" hidden="1" x14ac:dyDescent="0.25">
      <c r="A669" s="12" t="s">
        <v>173</v>
      </c>
      <c r="B669" s="12" t="s">
        <v>733</v>
      </c>
      <c r="C669" s="12" t="s">
        <v>539</v>
      </c>
      <c r="D669" s="12"/>
      <c r="E669" s="12">
        <f t="shared" si="166"/>
        <v>65</v>
      </c>
      <c r="F669" s="12" t="str">
        <f>VLOOKUP(B669,[1]lookup!A:B,2,FALSE)</f>
        <v>SaaS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0</v>
      </c>
      <c r="M669" s="12">
        <v>0</v>
      </c>
      <c r="N669" s="12">
        <v>65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  <c r="X669" s="12">
        <v>0</v>
      </c>
      <c r="Y669" s="12">
        <v>0</v>
      </c>
      <c r="Z669" s="12">
        <v>0</v>
      </c>
      <c r="AA669" s="12"/>
      <c r="AC669" s="13">
        <f t="shared" si="167"/>
        <v>0</v>
      </c>
      <c r="AL669" s="14">
        <f t="shared" si="168"/>
        <v>0</v>
      </c>
    </row>
    <row r="670" spans="1:38" hidden="1" x14ac:dyDescent="0.25">
      <c r="A670" s="12" t="s">
        <v>135</v>
      </c>
      <c r="B670" s="12" t="s">
        <v>734</v>
      </c>
      <c r="C670" s="12" t="s">
        <v>539</v>
      </c>
      <c r="D670" s="12"/>
      <c r="E670" s="12">
        <f t="shared" si="166"/>
        <v>64</v>
      </c>
      <c r="F670" s="12" t="s">
        <v>70</v>
      </c>
      <c r="G670" s="12">
        <v>0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0</v>
      </c>
      <c r="V670" s="12">
        <v>0</v>
      </c>
      <c r="W670" s="12">
        <v>64</v>
      </c>
      <c r="X670" s="12">
        <v>0</v>
      </c>
      <c r="Y670" s="12">
        <v>0</v>
      </c>
      <c r="Z670" s="12">
        <v>0</v>
      </c>
      <c r="AA670" s="12"/>
      <c r="AC670" s="13">
        <f t="shared" si="167"/>
        <v>0</v>
      </c>
      <c r="AL670" s="14">
        <f t="shared" si="168"/>
        <v>0</v>
      </c>
    </row>
    <row r="671" spans="1:38" hidden="1" x14ac:dyDescent="0.25">
      <c r="A671" s="12" t="s">
        <v>51</v>
      </c>
      <c r="B671" s="12" t="s">
        <v>735</v>
      </c>
      <c r="C671" s="12" t="s">
        <v>539</v>
      </c>
      <c r="D671" s="12"/>
      <c r="E671" s="12">
        <f t="shared" si="166"/>
        <v>64</v>
      </c>
      <c r="F671" s="12" t="str">
        <f>VLOOKUP(B671,[1]lookup!A:B,2,FALSE)</f>
        <v>SaaS</v>
      </c>
      <c r="G671" s="12">
        <v>0</v>
      </c>
      <c r="H671" s="12">
        <v>0</v>
      </c>
      <c r="I671" s="12">
        <v>0</v>
      </c>
      <c r="J671" s="12">
        <v>64</v>
      </c>
      <c r="K671" s="12">
        <v>0</v>
      </c>
      <c r="L671" s="12">
        <v>0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2">
        <v>0</v>
      </c>
      <c r="W671" s="12">
        <v>0</v>
      </c>
      <c r="X671" s="12">
        <v>0</v>
      </c>
      <c r="Y671" s="12">
        <v>0</v>
      </c>
      <c r="Z671" s="12">
        <v>0</v>
      </c>
      <c r="AA671" s="12"/>
      <c r="AC671" s="13">
        <f t="shared" si="167"/>
        <v>0</v>
      </c>
      <c r="AD671" s="13">
        <f>J671*AD$2</f>
        <v>15360</v>
      </c>
      <c r="AE671" s="13">
        <f>J671*AE$2</f>
        <v>7680</v>
      </c>
      <c r="AL671" s="14">
        <f t="shared" si="168"/>
        <v>23040</v>
      </c>
    </row>
    <row r="672" spans="1:38" hidden="1" x14ac:dyDescent="0.25">
      <c r="A672" s="12" t="s">
        <v>197</v>
      </c>
      <c r="B672" s="12" t="s">
        <v>736</v>
      </c>
      <c r="C672" s="12" t="s">
        <v>539</v>
      </c>
      <c r="D672" s="12"/>
      <c r="E672" s="12">
        <f t="shared" si="166"/>
        <v>64</v>
      </c>
      <c r="F672" s="12" t="s">
        <v>70</v>
      </c>
      <c r="G672" s="12">
        <v>0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0</v>
      </c>
      <c r="W672" s="12">
        <v>64</v>
      </c>
      <c r="X672" s="12">
        <v>0</v>
      </c>
      <c r="Y672" s="12">
        <v>0</v>
      </c>
      <c r="Z672" s="12">
        <v>0</v>
      </c>
      <c r="AA672" s="12"/>
      <c r="AC672" s="13">
        <f t="shared" si="167"/>
        <v>0</v>
      </c>
      <c r="AL672" s="14">
        <f t="shared" si="168"/>
        <v>0</v>
      </c>
    </row>
    <row r="673" spans="1:38" hidden="1" x14ac:dyDescent="0.25">
      <c r="A673" s="12" t="s">
        <v>140</v>
      </c>
      <c r="B673" s="12" t="s">
        <v>737</v>
      </c>
      <c r="C673" s="12" t="s">
        <v>539</v>
      </c>
      <c r="D673" s="12"/>
      <c r="E673" s="12">
        <f t="shared" si="166"/>
        <v>63</v>
      </c>
      <c r="F673" s="12" t="s">
        <v>70</v>
      </c>
      <c r="G673" s="12">
        <v>0</v>
      </c>
      <c r="H673" s="12">
        <v>0</v>
      </c>
      <c r="I673" s="12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63</v>
      </c>
      <c r="X673" s="12">
        <v>0</v>
      </c>
      <c r="Y673" s="12">
        <v>0</v>
      </c>
      <c r="Z673" s="12">
        <v>0</v>
      </c>
      <c r="AA673" s="12"/>
      <c r="AC673" s="13">
        <f t="shared" si="167"/>
        <v>0</v>
      </c>
      <c r="AL673" s="14">
        <f t="shared" si="168"/>
        <v>0</v>
      </c>
    </row>
    <row r="674" spans="1:38" hidden="1" x14ac:dyDescent="0.25">
      <c r="A674" s="12" t="s">
        <v>296</v>
      </c>
      <c r="B674" s="12" t="s">
        <v>738</v>
      </c>
      <c r="C674" s="12" t="s">
        <v>539</v>
      </c>
      <c r="D674" s="12"/>
      <c r="E674" s="12">
        <f t="shared" si="166"/>
        <v>63</v>
      </c>
      <c r="F674" s="12" t="s">
        <v>70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2">
        <v>0</v>
      </c>
      <c r="W674" s="12">
        <v>63</v>
      </c>
      <c r="X674" s="12">
        <v>0</v>
      </c>
      <c r="Y674" s="12">
        <v>0</v>
      </c>
      <c r="Z674" s="12">
        <v>0</v>
      </c>
      <c r="AA674" s="12"/>
      <c r="AC674" s="13">
        <f t="shared" si="167"/>
        <v>0</v>
      </c>
      <c r="AL674" s="14">
        <f t="shared" si="168"/>
        <v>0</v>
      </c>
    </row>
    <row r="675" spans="1:38" hidden="1" x14ac:dyDescent="0.25">
      <c r="A675" s="12" t="s">
        <v>148</v>
      </c>
      <c r="B675" s="12" t="s">
        <v>703</v>
      </c>
      <c r="C675" s="12" t="s">
        <v>539</v>
      </c>
      <c r="D675" s="12"/>
      <c r="E675" s="12">
        <f t="shared" si="166"/>
        <v>63</v>
      </c>
      <c r="F675" s="12" t="s">
        <v>70</v>
      </c>
      <c r="G675" s="12">
        <v>0</v>
      </c>
      <c r="H675" s="12">
        <v>0</v>
      </c>
      <c r="I675" s="12">
        <v>0</v>
      </c>
      <c r="J675" s="12">
        <v>0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0</v>
      </c>
      <c r="W675" s="12">
        <v>63</v>
      </c>
      <c r="X675" s="12">
        <v>0</v>
      </c>
      <c r="Y675" s="12">
        <v>0</v>
      </c>
      <c r="Z675" s="12">
        <v>0</v>
      </c>
      <c r="AA675" s="12"/>
      <c r="AC675" s="13">
        <f t="shared" si="167"/>
        <v>0</v>
      </c>
      <c r="AL675" s="14">
        <f t="shared" si="168"/>
        <v>0</v>
      </c>
    </row>
    <row r="676" spans="1:38" hidden="1" x14ac:dyDescent="0.25">
      <c r="A676" s="12" t="s">
        <v>173</v>
      </c>
      <c r="B676" s="12" t="s">
        <v>739</v>
      </c>
      <c r="C676" s="12" t="s">
        <v>539</v>
      </c>
      <c r="D676" s="12"/>
      <c r="E676" s="12">
        <f t="shared" si="166"/>
        <v>63</v>
      </c>
      <c r="F676" s="12" t="str">
        <f>VLOOKUP(B676,[1]lookup!A:B,2,FALSE)</f>
        <v>SaaS</v>
      </c>
      <c r="G676" s="12">
        <v>0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63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  <c r="X676" s="12">
        <v>0</v>
      </c>
      <c r="Y676" s="12">
        <v>0</v>
      </c>
      <c r="Z676" s="12">
        <v>0</v>
      </c>
      <c r="AA676" s="12"/>
      <c r="AC676" s="13">
        <f t="shared" si="167"/>
        <v>0</v>
      </c>
      <c r="AL676" s="14">
        <f t="shared" si="168"/>
        <v>0</v>
      </c>
    </row>
    <row r="677" spans="1:38" hidden="1" x14ac:dyDescent="0.25">
      <c r="A677" s="12" t="s">
        <v>140</v>
      </c>
      <c r="B677" s="12" t="s">
        <v>740</v>
      </c>
      <c r="C677" s="12" t="s">
        <v>539</v>
      </c>
      <c r="D677" s="12"/>
      <c r="E677" s="12">
        <f t="shared" si="166"/>
        <v>62</v>
      </c>
      <c r="F677" s="12" t="s">
        <v>70</v>
      </c>
      <c r="G677" s="12">
        <v>0</v>
      </c>
      <c r="H677" s="12">
        <v>0</v>
      </c>
      <c r="I677" s="12">
        <v>0</v>
      </c>
      <c r="J677" s="12">
        <v>0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2">
        <v>0</v>
      </c>
      <c r="W677" s="12">
        <v>62</v>
      </c>
      <c r="X677" s="12">
        <v>0</v>
      </c>
      <c r="Y677" s="12">
        <v>0</v>
      </c>
      <c r="Z677" s="12">
        <v>0</v>
      </c>
      <c r="AA677" s="12"/>
      <c r="AC677" s="13">
        <f t="shared" si="167"/>
        <v>0</v>
      </c>
      <c r="AL677" s="14">
        <f t="shared" si="168"/>
        <v>0</v>
      </c>
    </row>
    <row r="678" spans="1:38" hidden="1" x14ac:dyDescent="0.25">
      <c r="A678" s="12" t="s">
        <v>415</v>
      </c>
      <c r="B678" s="12" t="s">
        <v>741</v>
      </c>
      <c r="C678" s="12" t="s">
        <v>539</v>
      </c>
      <c r="D678" s="12"/>
      <c r="E678" s="12">
        <f t="shared" si="166"/>
        <v>62</v>
      </c>
      <c r="F678" s="12" t="str">
        <f>VLOOKUP(B678,[1]lookup!A:B,2,FALSE)</f>
        <v>SaaS</v>
      </c>
      <c r="G678" s="12">
        <v>0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62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0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2"/>
      <c r="AC678" s="13">
        <f t="shared" si="167"/>
        <v>0</v>
      </c>
      <c r="AL678" s="14">
        <f t="shared" si="168"/>
        <v>0</v>
      </c>
    </row>
    <row r="679" spans="1:38" hidden="1" x14ac:dyDescent="0.25">
      <c r="A679" s="12" t="s">
        <v>148</v>
      </c>
      <c r="B679" s="12" t="s">
        <v>742</v>
      </c>
      <c r="C679" s="12" t="s">
        <v>539</v>
      </c>
      <c r="D679" s="12"/>
      <c r="E679" s="12">
        <f t="shared" si="166"/>
        <v>62</v>
      </c>
      <c r="F679" s="12" t="s">
        <v>70</v>
      </c>
      <c r="G679" s="12">
        <v>0</v>
      </c>
      <c r="H679" s="12">
        <v>0</v>
      </c>
      <c r="I679" s="12">
        <v>0</v>
      </c>
      <c r="J679" s="12">
        <v>0</v>
      </c>
      <c r="K679" s="12">
        <v>0</v>
      </c>
      <c r="L679" s="12">
        <v>0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62</v>
      </c>
      <c r="X679" s="12">
        <v>0</v>
      </c>
      <c r="Y679" s="12">
        <v>0</v>
      </c>
      <c r="Z679" s="12">
        <v>0</v>
      </c>
      <c r="AA679" s="12"/>
      <c r="AC679" s="13">
        <f t="shared" si="167"/>
        <v>0</v>
      </c>
      <c r="AL679" s="14">
        <f t="shared" si="168"/>
        <v>0</v>
      </c>
    </row>
    <row r="680" spans="1:38" hidden="1" x14ac:dyDescent="0.25">
      <c r="A680" s="12" t="s">
        <v>148</v>
      </c>
      <c r="B680" s="12" t="s">
        <v>743</v>
      </c>
      <c r="C680" s="12" t="s">
        <v>539</v>
      </c>
      <c r="D680" s="12"/>
      <c r="E680" s="12">
        <f t="shared" si="166"/>
        <v>62</v>
      </c>
      <c r="F680" s="12" t="s">
        <v>70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  <c r="W680" s="12">
        <v>62</v>
      </c>
      <c r="X680" s="12">
        <v>0</v>
      </c>
      <c r="Y680" s="12">
        <v>0</v>
      </c>
      <c r="Z680" s="12">
        <v>0</v>
      </c>
      <c r="AA680" s="12"/>
      <c r="AC680" s="13">
        <f t="shared" si="167"/>
        <v>0</v>
      </c>
      <c r="AL680" s="14">
        <f t="shared" si="168"/>
        <v>0</v>
      </c>
    </row>
    <row r="681" spans="1:38" hidden="1" x14ac:dyDescent="0.25">
      <c r="A681" s="12" t="s">
        <v>135</v>
      </c>
      <c r="B681" s="12" t="s">
        <v>744</v>
      </c>
      <c r="C681" s="12" t="s">
        <v>539</v>
      </c>
      <c r="D681" s="12"/>
      <c r="E681" s="12">
        <f t="shared" si="166"/>
        <v>61</v>
      </c>
      <c r="F681" s="12" t="s">
        <v>70</v>
      </c>
      <c r="G681" s="12">
        <v>0</v>
      </c>
      <c r="H681" s="12">
        <v>0</v>
      </c>
      <c r="I681" s="12">
        <v>0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0</v>
      </c>
      <c r="V681" s="12">
        <v>0</v>
      </c>
      <c r="W681" s="12">
        <v>61</v>
      </c>
      <c r="X681" s="12">
        <v>0</v>
      </c>
      <c r="Y681" s="12">
        <v>0</v>
      </c>
      <c r="Z681" s="12">
        <v>0</v>
      </c>
      <c r="AA681" s="12"/>
      <c r="AC681" s="13">
        <f t="shared" si="167"/>
        <v>0</v>
      </c>
      <c r="AL681" s="14">
        <f t="shared" si="168"/>
        <v>0</v>
      </c>
    </row>
    <row r="682" spans="1:38" hidden="1" x14ac:dyDescent="0.25">
      <c r="A682" s="12" t="s">
        <v>399</v>
      </c>
      <c r="B682" s="12" t="s">
        <v>745</v>
      </c>
      <c r="C682" s="12" t="s">
        <v>539</v>
      </c>
      <c r="D682" s="12"/>
      <c r="E682" s="12">
        <f t="shared" si="166"/>
        <v>61</v>
      </c>
      <c r="F682" s="12" t="str">
        <f>VLOOKUP(B682,[1]lookup!A:B,2,FALSE)</f>
        <v>Perpetual</v>
      </c>
      <c r="G682" s="12">
        <v>0</v>
      </c>
      <c r="H682" s="12">
        <v>61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/>
      <c r="AC682" s="13">
        <f t="shared" si="167"/>
        <v>0</v>
      </c>
      <c r="AK682" s="15">
        <f>H682*AK$2</f>
        <v>7320</v>
      </c>
      <c r="AL682" s="14">
        <f t="shared" si="168"/>
        <v>7320</v>
      </c>
    </row>
    <row r="683" spans="1:38" hidden="1" x14ac:dyDescent="0.25">
      <c r="A683" s="12" t="s">
        <v>51</v>
      </c>
      <c r="B683" s="12" t="s">
        <v>746</v>
      </c>
      <c r="C683" s="12" t="s">
        <v>539</v>
      </c>
      <c r="D683" s="12"/>
      <c r="E683" s="12">
        <f t="shared" si="166"/>
        <v>61</v>
      </c>
      <c r="F683" s="12" t="s">
        <v>70</v>
      </c>
      <c r="G683" s="12">
        <v>0</v>
      </c>
      <c r="H683" s="12">
        <v>0</v>
      </c>
      <c r="I683" s="12">
        <v>0</v>
      </c>
      <c r="J683" s="12">
        <v>0</v>
      </c>
      <c r="K683" s="12">
        <v>0</v>
      </c>
      <c r="L683" s="12">
        <v>0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61</v>
      </c>
      <c r="V683" s="12">
        <v>0</v>
      </c>
      <c r="W683" s="12">
        <v>0</v>
      </c>
      <c r="X683" s="12">
        <v>0</v>
      </c>
      <c r="Y683" s="12">
        <v>0</v>
      </c>
      <c r="Z683" s="12">
        <v>0</v>
      </c>
      <c r="AA683" s="12"/>
      <c r="AC683" s="13">
        <f t="shared" si="167"/>
        <v>0</v>
      </c>
      <c r="AL683" s="14">
        <f t="shared" si="168"/>
        <v>0</v>
      </c>
    </row>
    <row r="684" spans="1:38" hidden="1" x14ac:dyDescent="0.25">
      <c r="A684" s="12" t="s">
        <v>51</v>
      </c>
      <c r="B684" s="12" t="s">
        <v>747</v>
      </c>
      <c r="C684" s="12" t="s">
        <v>539</v>
      </c>
      <c r="D684" s="12"/>
      <c r="E684" s="12">
        <f t="shared" si="166"/>
        <v>61</v>
      </c>
      <c r="F684" s="12" t="s">
        <v>70</v>
      </c>
      <c r="G684" s="12">
        <v>0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61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/>
      <c r="AC684" s="13">
        <f t="shared" si="167"/>
        <v>0</v>
      </c>
      <c r="AL684" s="14">
        <f t="shared" si="168"/>
        <v>0</v>
      </c>
    </row>
    <row r="685" spans="1:38" hidden="1" x14ac:dyDescent="0.25">
      <c r="A685" s="12" t="s">
        <v>222</v>
      </c>
      <c r="B685" s="12" t="s">
        <v>748</v>
      </c>
      <c r="C685" s="12" t="s">
        <v>539</v>
      </c>
      <c r="D685" s="12"/>
      <c r="E685" s="12">
        <f t="shared" si="166"/>
        <v>61</v>
      </c>
      <c r="F685" s="12" t="s">
        <v>70</v>
      </c>
      <c r="G685" s="12">
        <v>0</v>
      </c>
      <c r="H685" s="12">
        <v>0</v>
      </c>
      <c r="I685" s="12">
        <v>0</v>
      </c>
      <c r="J685" s="12">
        <v>0</v>
      </c>
      <c r="K685" s="12">
        <v>0</v>
      </c>
      <c r="L685" s="12">
        <v>0</v>
      </c>
      <c r="M685" s="12">
        <v>0</v>
      </c>
      <c r="N685" s="12">
        <v>0</v>
      </c>
      <c r="O685" s="12">
        <v>0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12">
        <v>61</v>
      </c>
      <c r="X685" s="12">
        <v>0</v>
      </c>
      <c r="Y685" s="12">
        <v>0</v>
      </c>
      <c r="Z685" s="12">
        <v>0</v>
      </c>
      <c r="AA685" s="12"/>
      <c r="AC685" s="13">
        <f t="shared" si="167"/>
        <v>0</v>
      </c>
      <c r="AL685" s="14">
        <f t="shared" si="168"/>
        <v>0</v>
      </c>
    </row>
    <row r="686" spans="1:38" hidden="1" x14ac:dyDescent="0.25">
      <c r="A686" s="12" t="s">
        <v>86</v>
      </c>
      <c r="B686" s="12" t="s">
        <v>749</v>
      </c>
      <c r="C686" s="12" t="s">
        <v>539</v>
      </c>
      <c r="D686" s="12"/>
      <c r="E686" s="12">
        <f t="shared" si="166"/>
        <v>60</v>
      </c>
      <c r="F686" s="12" t="str">
        <f>VLOOKUP(B686,[1]lookup!A:B,2,FALSE)</f>
        <v>Term</v>
      </c>
      <c r="G686" s="12">
        <v>0</v>
      </c>
      <c r="H686" s="12">
        <v>60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2">
        <v>0</v>
      </c>
      <c r="W686" s="12">
        <v>0</v>
      </c>
      <c r="X686" s="12">
        <v>0</v>
      </c>
      <c r="Y686" s="12">
        <v>0</v>
      </c>
      <c r="Z686" s="12">
        <v>0</v>
      </c>
      <c r="AA686" s="12"/>
      <c r="AC686" s="13">
        <f t="shared" si="167"/>
        <v>0</v>
      </c>
      <c r="AK686" s="15">
        <f t="shared" ref="AK686:AK692" si="171">H686*AK$2</f>
        <v>7200</v>
      </c>
      <c r="AL686" s="14">
        <f t="shared" si="168"/>
        <v>7200</v>
      </c>
    </row>
    <row r="687" spans="1:38" hidden="1" x14ac:dyDescent="0.25">
      <c r="A687" s="12" t="s">
        <v>86</v>
      </c>
      <c r="B687" s="12" t="s">
        <v>750</v>
      </c>
      <c r="C687" s="12" t="s">
        <v>539</v>
      </c>
      <c r="D687" s="12"/>
      <c r="E687" s="12">
        <f t="shared" si="166"/>
        <v>60</v>
      </c>
      <c r="F687" s="12" t="str">
        <f>VLOOKUP(B687,[1]lookup!A:B,2,FALSE)</f>
        <v>Term</v>
      </c>
      <c r="G687" s="12">
        <v>0</v>
      </c>
      <c r="H687" s="12">
        <v>60</v>
      </c>
      <c r="I687" s="12">
        <v>0</v>
      </c>
      <c r="J687" s="12">
        <v>0</v>
      </c>
      <c r="K687" s="12">
        <v>0</v>
      </c>
      <c r="L687" s="12">
        <v>0</v>
      </c>
      <c r="M687" s="12">
        <v>0</v>
      </c>
      <c r="N687" s="12">
        <v>0</v>
      </c>
      <c r="O687" s="12">
        <v>0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0</v>
      </c>
      <c r="V687" s="12">
        <v>0</v>
      </c>
      <c r="W687" s="12">
        <v>0</v>
      </c>
      <c r="X687" s="12">
        <v>0</v>
      </c>
      <c r="Y687" s="12">
        <v>0</v>
      </c>
      <c r="Z687" s="12">
        <v>0</v>
      </c>
      <c r="AA687" s="12"/>
      <c r="AC687" s="13">
        <f t="shared" si="167"/>
        <v>0</v>
      </c>
      <c r="AK687" s="15">
        <f t="shared" si="171"/>
        <v>7200</v>
      </c>
      <c r="AL687" s="14">
        <f t="shared" si="168"/>
        <v>7200</v>
      </c>
    </row>
    <row r="688" spans="1:38" hidden="1" x14ac:dyDescent="0.25">
      <c r="A688" s="12" t="s">
        <v>86</v>
      </c>
      <c r="B688" s="12" t="s">
        <v>751</v>
      </c>
      <c r="C688" s="12" t="s">
        <v>539</v>
      </c>
      <c r="D688" s="12"/>
      <c r="E688" s="12">
        <f t="shared" si="166"/>
        <v>60</v>
      </c>
      <c r="F688" s="12" t="str">
        <f>VLOOKUP(B688,[1]lookup!A:B,2,FALSE)</f>
        <v>Term</v>
      </c>
      <c r="G688" s="12">
        <v>0</v>
      </c>
      <c r="H688" s="12">
        <v>60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0</v>
      </c>
      <c r="W688" s="12">
        <v>0</v>
      </c>
      <c r="X688" s="12">
        <v>0</v>
      </c>
      <c r="Y688" s="12">
        <v>0</v>
      </c>
      <c r="Z688" s="12">
        <v>0</v>
      </c>
      <c r="AA688" s="12"/>
      <c r="AC688" s="13">
        <f t="shared" si="167"/>
        <v>0</v>
      </c>
      <c r="AK688" s="15">
        <f t="shared" si="171"/>
        <v>7200</v>
      </c>
      <c r="AL688" s="14">
        <f t="shared" si="168"/>
        <v>7200</v>
      </c>
    </row>
    <row r="689" spans="1:38" hidden="1" x14ac:dyDescent="0.25">
      <c r="A689" s="12" t="s">
        <v>86</v>
      </c>
      <c r="B689" s="12" t="s">
        <v>752</v>
      </c>
      <c r="C689" s="12" t="s">
        <v>539</v>
      </c>
      <c r="D689" s="12"/>
      <c r="E689" s="12">
        <f t="shared" si="166"/>
        <v>60</v>
      </c>
      <c r="F689" s="12" t="str">
        <f>VLOOKUP(B689,[1]lookup!A:B,2,FALSE)</f>
        <v>Term</v>
      </c>
      <c r="G689" s="12">
        <v>0</v>
      </c>
      <c r="H689" s="12">
        <v>60</v>
      </c>
      <c r="I689" s="12">
        <v>0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0</v>
      </c>
      <c r="V689" s="12">
        <v>0</v>
      </c>
      <c r="W689" s="12">
        <v>0</v>
      </c>
      <c r="X689" s="12">
        <v>0</v>
      </c>
      <c r="Y689" s="12">
        <v>0</v>
      </c>
      <c r="Z689" s="12">
        <v>0</v>
      </c>
      <c r="AA689" s="12"/>
      <c r="AC689" s="13">
        <f t="shared" si="167"/>
        <v>0</v>
      </c>
      <c r="AK689" s="15">
        <f t="shared" si="171"/>
        <v>7200</v>
      </c>
      <c r="AL689" s="14">
        <f t="shared" si="168"/>
        <v>7200</v>
      </c>
    </row>
    <row r="690" spans="1:38" hidden="1" x14ac:dyDescent="0.25">
      <c r="A690" s="12" t="s">
        <v>86</v>
      </c>
      <c r="B690" s="12" t="s">
        <v>753</v>
      </c>
      <c r="C690" s="12" t="s">
        <v>539</v>
      </c>
      <c r="D690" s="12"/>
      <c r="E690" s="12">
        <f t="shared" si="166"/>
        <v>60</v>
      </c>
      <c r="F690" s="12" t="str">
        <f>VLOOKUP(B690,[1]lookup!A:B,2,FALSE)</f>
        <v>Perpetual</v>
      </c>
      <c r="G690" s="12">
        <v>0</v>
      </c>
      <c r="H690" s="12">
        <v>60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2"/>
      <c r="AC690" s="13">
        <f t="shared" si="167"/>
        <v>0</v>
      </c>
      <c r="AK690" s="15">
        <f t="shared" si="171"/>
        <v>7200</v>
      </c>
      <c r="AL690" s="14">
        <f t="shared" si="168"/>
        <v>7200</v>
      </c>
    </row>
    <row r="691" spans="1:38" hidden="1" x14ac:dyDescent="0.25">
      <c r="A691" s="12" t="s">
        <v>86</v>
      </c>
      <c r="B691" s="12" t="s">
        <v>754</v>
      </c>
      <c r="C691" s="12" t="s">
        <v>539</v>
      </c>
      <c r="D691" s="12"/>
      <c r="E691" s="12">
        <f t="shared" si="166"/>
        <v>60</v>
      </c>
      <c r="F691" s="12" t="str">
        <f>VLOOKUP(B691,[1]lookup!A:B,2,FALSE)</f>
        <v>Term</v>
      </c>
      <c r="G691" s="12">
        <v>0</v>
      </c>
      <c r="H691" s="12">
        <v>60</v>
      </c>
      <c r="I691" s="12">
        <v>0</v>
      </c>
      <c r="J691" s="12">
        <v>0</v>
      </c>
      <c r="K691" s="12">
        <v>0</v>
      </c>
      <c r="L691" s="12">
        <v>0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  <c r="X691" s="12">
        <v>0</v>
      </c>
      <c r="Y691" s="12">
        <v>0</v>
      </c>
      <c r="Z691" s="12">
        <v>0</v>
      </c>
      <c r="AA691" s="12"/>
      <c r="AC691" s="13">
        <f t="shared" si="167"/>
        <v>0</v>
      </c>
      <c r="AK691" s="15">
        <f t="shared" si="171"/>
        <v>7200</v>
      </c>
      <c r="AL691" s="14">
        <f t="shared" si="168"/>
        <v>7200</v>
      </c>
    </row>
    <row r="692" spans="1:38" hidden="1" x14ac:dyDescent="0.25">
      <c r="A692" s="12" t="s">
        <v>86</v>
      </c>
      <c r="B692" s="12" t="s">
        <v>755</v>
      </c>
      <c r="C692" s="12" t="s">
        <v>539</v>
      </c>
      <c r="D692" s="12"/>
      <c r="E692" s="12">
        <f t="shared" si="166"/>
        <v>60</v>
      </c>
      <c r="F692" s="12" t="str">
        <f>VLOOKUP(B692,[1]lookup!A:B,2,FALSE)</f>
        <v>Perpetual</v>
      </c>
      <c r="G692" s="12">
        <v>0</v>
      </c>
      <c r="H692" s="12">
        <v>60</v>
      </c>
      <c r="I692" s="12">
        <v>0</v>
      </c>
      <c r="J692" s="12">
        <v>60</v>
      </c>
      <c r="K692" s="12">
        <v>60</v>
      </c>
      <c r="L692" s="12">
        <v>0</v>
      </c>
      <c r="M692" s="12">
        <v>0</v>
      </c>
      <c r="N692" s="12">
        <v>0</v>
      </c>
      <c r="O692" s="12">
        <v>60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2"/>
      <c r="AC692" s="13">
        <f t="shared" si="167"/>
        <v>0</v>
      </c>
      <c r="AK692" s="15">
        <f t="shared" si="171"/>
        <v>7200</v>
      </c>
      <c r="AL692" s="14">
        <f t="shared" si="168"/>
        <v>7200</v>
      </c>
    </row>
    <row r="693" spans="1:38" hidden="1" x14ac:dyDescent="0.25">
      <c r="A693" s="12" t="s">
        <v>78</v>
      </c>
      <c r="B693" s="12" t="s">
        <v>756</v>
      </c>
      <c r="C693" s="12" t="s">
        <v>539</v>
      </c>
      <c r="D693" s="12"/>
      <c r="E693" s="12">
        <f t="shared" si="166"/>
        <v>60</v>
      </c>
      <c r="F693" s="12" t="str">
        <f>VLOOKUP(B693,[1]lookup!A:B,2,FALSE)</f>
        <v>SaaS</v>
      </c>
      <c r="G693" s="12">
        <v>0</v>
      </c>
      <c r="H693" s="12">
        <v>0</v>
      </c>
      <c r="I693" s="12">
        <v>0</v>
      </c>
      <c r="J693" s="12">
        <v>0</v>
      </c>
      <c r="K693" s="12">
        <v>0</v>
      </c>
      <c r="L693" s="12">
        <v>0</v>
      </c>
      <c r="M693" s="12">
        <v>60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2">
        <v>0</v>
      </c>
      <c r="X693" s="12">
        <v>0</v>
      </c>
      <c r="Y693" s="12">
        <v>0</v>
      </c>
      <c r="Z693" s="12">
        <v>0</v>
      </c>
      <c r="AA693" s="12"/>
      <c r="AC693" s="13">
        <f t="shared" si="167"/>
        <v>14400</v>
      </c>
      <c r="AL693" s="14">
        <f t="shared" si="168"/>
        <v>14400</v>
      </c>
    </row>
    <row r="694" spans="1:38" hidden="1" x14ac:dyDescent="0.25">
      <c r="A694" s="12" t="s">
        <v>51</v>
      </c>
      <c r="B694" s="12" t="s">
        <v>757</v>
      </c>
      <c r="C694" s="12" t="s">
        <v>539</v>
      </c>
      <c r="D694" s="12"/>
      <c r="E694" s="12">
        <f t="shared" si="166"/>
        <v>60</v>
      </c>
      <c r="F694" s="12" t="s">
        <v>70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60</v>
      </c>
      <c r="V694" s="12">
        <v>0</v>
      </c>
      <c r="W694" s="12">
        <v>0</v>
      </c>
      <c r="X694" s="12">
        <v>0</v>
      </c>
      <c r="Y694" s="12">
        <v>0</v>
      </c>
      <c r="Z694" s="12">
        <v>0</v>
      </c>
      <c r="AA694" s="12"/>
      <c r="AC694" s="13">
        <f t="shared" si="167"/>
        <v>0</v>
      </c>
      <c r="AL694" s="14">
        <f t="shared" si="168"/>
        <v>0</v>
      </c>
    </row>
    <row r="695" spans="1:38" hidden="1" x14ac:dyDescent="0.25">
      <c r="A695" s="12" t="s">
        <v>51</v>
      </c>
      <c r="B695" s="12" t="s">
        <v>758</v>
      </c>
      <c r="C695" s="12" t="s">
        <v>539</v>
      </c>
      <c r="D695" s="12"/>
      <c r="E695" s="12">
        <f t="shared" si="166"/>
        <v>60</v>
      </c>
      <c r="F695" s="12" t="s">
        <v>70</v>
      </c>
      <c r="G695" s="12">
        <v>0</v>
      </c>
      <c r="H695" s="12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60</v>
      </c>
      <c r="V695" s="12">
        <v>0</v>
      </c>
      <c r="W695" s="12">
        <v>0</v>
      </c>
      <c r="X695" s="12">
        <v>0</v>
      </c>
      <c r="Y695" s="12">
        <v>0</v>
      </c>
      <c r="Z695" s="12">
        <v>0</v>
      </c>
      <c r="AA695" s="12"/>
      <c r="AC695" s="13">
        <f t="shared" si="167"/>
        <v>0</v>
      </c>
      <c r="AL695" s="14">
        <f t="shared" si="168"/>
        <v>0</v>
      </c>
    </row>
    <row r="696" spans="1:38" hidden="1" x14ac:dyDescent="0.25">
      <c r="A696" s="12" t="s">
        <v>51</v>
      </c>
      <c r="B696" s="12" t="s">
        <v>759</v>
      </c>
      <c r="C696" s="12" t="s">
        <v>539</v>
      </c>
      <c r="D696" s="12"/>
      <c r="E696" s="12">
        <f t="shared" si="166"/>
        <v>60</v>
      </c>
      <c r="F696" s="12" t="s">
        <v>70</v>
      </c>
      <c r="G696" s="12">
        <v>0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60</v>
      </c>
      <c r="V696" s="12">
        <v>0</v>
      </c>
      <c r="W696" s="12">
        <v>0</v>
      </c>
      <c r="X696" s="12">
        <v>0</v>
      </c>
      <c r="Y696" s="12">
        <v>0</v>
      </c>
      <c r="Z696" s="12">
        <v>0</v>
      </c>
      <c r="AA696" s="12"/>
      <c r="AC696" s="13">
        <f t="shared" si="167"/>
        <v>0</v>
      </c>
      <c r="AL696" s="14">
        <f t="shared" si="168"/>
        <v>0</v>
      </c>
    </row>
    <row r="697" spans="1:38" hidden="1" x14ac:dyDescent="0.25">
      <c r="A697" s="12" t="s">
        <v>691</v>
      </c>
      <c r="B697" s="12" t="s">
        <v>321</v>
      </c>
      <c r="C697" s="12" t="s">
        <v>539</v>
      </c>
      <c r="D697" s="12"/>
      <c r="E697" s="12">
        <f t="shared" si="166"/>
        <v>60</v>
      </c>
      <c r="F697" s="12" t="str">
        <f>VLOOKUP(B697,[1]lookup!A:B,2,FALSE)</f>
        <v>Perpetual</v>
      </c>
      <c r="G697" s="12">
        <v>0</v>
      </c>
      <c r="H697" s="12">
        <v>0</v>
      </c>
      <c r="I697" s="12">
        <v>0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60</v>
      </c>
      <c r="V697" s="12">
        <v>0</v>
      </c>
      <c r="W697" s="12">
        <v>0</v>
      </c>
      <c r="X697" s="12">
        <v>0</v>
      </c>
      <c r="Y697" s="12">
        <v>0</v>
      </c>
      <c r="Z697" s="12">
        <v>0</v>
      </c>
      <c r="AA697" s="12"/>
      <c r="AC697" s="13">
        <f t="shared" si="167"/>
        <v>0</v>
      </c>
      <c r="AL697" s="14">
        <f t="shared" si="168"/>
        <v>0</v>
      </c>
    </row>
    <row r="698" spans="1:38" hidden="1" x14ac:dyDescent="0.25">
      <c r="A698" s="12" t="s">
        <v>222</v>
      </c>
      <c r="B698" s="12" t="s">
        <v>760</v>
      </c>
      <c r="C698" s="12" t="s">
        <v>539</v>
      </c>
      <c r="D698" s="12"/>
      <c r="E698" s="12">
        <f t="shared" si="166"/>
        <v>60</v>
      </c>
      <c r="F698" s="12" t="s">
        <v>70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60</v>
      </c>
      <c r="X698" s="12">
        <v>0</v>
      </c>
      <c r="Y698" s="12">
        <v>0</v>
      </c>
      <c r="Z698" s="12">
        <v>0</v>
      </c>
      <c r="AA698" s="12"/>
      <c r="AC698" s="13">
        <f t="shared" si="167"/>
        <v>0</v>
      </c>
      <c r="AL698" s="14">
        <f t="shared" si="168"/>
        <v>0</v>
      </c>
    </row>
    <row r="699" spans="1:38" hidden="1" x14ac:dyDescent="0.25">
      <c r="A699" s="12" t="s">
        <v>435</v>
      </c>
      <c r="B699" s="12" t="s">
        <v>760</v>
      </c>
      <c r="C699" s="12" t="s">
        <v>539</v>
      </c>
      <c r="D699" s="12"/>
      <c r="E699" s="12">
        <f t="shared" si="166"/>
        <v>60</v>
      </c>
      <c r="F699" s="12" t="s">
        <v>70</v>
      </c>
      <c r="G699" s="12">
        <v>0</v>
      </c>
      <c r="H699" s="12">
        <v>0</v>
      </c>
      <c r="I699" s="12">
        <v>0</v>
      </c>
      <c r="J699" s="12">
        <v>0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0</v>
      </c>
      <c r="W699" s="12">
        <v>60</v>
      </c>
      <c r="X699" s="12">
        <v>0</v>
      </c>
      <c r="Y699" s="12">
        <v>0</v>
      </c>
      <c r="Z699" s="12">
        <v>0</v>
      </c>
      <c r="AA699" s="12"/>
      <c r="AC699" s="13">
        <f t="shared" si="167"/>
        <v>0</v>
      </c>
      <c r="AL699" s="14">
        <f t="shared" si="168"/>
        <v>0</v>
      </c>
    </row>
    <row r="700" spans="1:38" hidden="1" x14ac:dyDescent="0.25">
      <c r="A700" s="12" t="s">
        <v>761</v>
      </c>
      <c r="B700" s="12" t="s">
        <v>744</v>
      </c>
      <c r="C700" s="12" t="s">
        <v>539</v>
      </c>
      <c r="D700" s="12"/>
      <c r="E700" s="12">
        <f t="shared" si="166"/>
        <v>60</v>
      </c>
      <c r="F700" s="12" t="s">
        <v>70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0</v>
      </c>
      <c r="W700" s="12">
        <v>60</v>
      </c>
      <c r="X700" s="12">
        <v>0</v>
      </c>
      <c r="Y700" s="12">
        <v>0</v>
      </c>
      <c r="Z700" s="12">
        <v>0</v>
      </c>
      <c r="AA700" s="12"/>
      <c r="AC700" s="13">
        <f t="shared" si="167"/>
        <v>0</v>
      </c>
      <c r="AL700" s="14">
        <f t="shared" si="168"/>
        <v>0</v>
      </c>
    </row>
    <row r="701" spans="1:38" hidden="1" x14ac:dyDescent="0.25">
      <c r="A701" s="12" t="s">
        <v>762</v>
      </c>
      <c r="B701" s="12" t="s">
        <v>763</v>
      </c>
      <c r="C701" s="12" t="s">
        <v>539</v>
      </c>
      <c r="D701" s="12"/>
      <c r="E701" s="12">
        <f t="shared" si="166"/>
        <v>60</v>
      </c>
      <c r="F701" s="12" t="s">
        <v>70</v>
      </c>
      <c r="G701" s="12">
        <v>0</v>
      </c>
      <c r="H701" s="12">
        <v>0</v>
      </c>
      <c r="I701" s="12">
        <v>0</v>
      </c>
      <c r="J701" s="12">
        <v>0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60</v>
      </c>
      <c r="V701" s="12">
        <v>0</v>
      </c>
      <c r="W701" s="12">
        <v>0</v>
      </c>
      <c r="X701" s="12">
        <v>0</v>
      </c>
      <c r="Y701" s="12">
        <v>0</v>
      </c>
      <c r="Z701" s="12">
        <v>0</v>
      </c>
      <c r="AA701" s="12"/>
      <c r="AC701" s="13">
        <f t="shared" si="167"/>
        <v>0</v>
      </c>
      <c r="AL701" s="14">
        <f t="shared" si="168"/>
        <v>0</v>
      </c>
    </row>
    <row r="702" spans="1:38" hidden="1" x14ac:dyDescent="0.25">
      <c r="A702" s="12" t="s">
        <v>163</v>
      </c>
      <c r="B702" s="12" t="s">
        <v>764</v>
      </c>
      <c r="C702" s="12" t="s">
        <v>539</v>
      </c>
      <c r="D702" s="12"/>
      <c r="E702" s="12">
        <f t="shared" si="166"/>
        <v>60</v>
      </c>
      <c r="F702" s="12" t="str">
        <f>VLOOKUP(B702,[1]lookup!A:B,2,FALSE)</f>
        <v>Term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2">
        <v>60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2"/>
      <c r="AC702" s="13">
        <f t="shared" si="167"/>
        <v>0</v>
      </c>
      <c r="AL702" s="14">
        <f t="shared" si="168"/>
        <v>0</v>
      </c>
    </row>
    <row r="703" spans="1:38" hidden="1" x14ac:dyDescent="0.25">
      <c r="A703" s="12" t="s">
        <v>148</v>
      </c>
      <c r="B703" s="12" t="s">
        <v>765</v>
      </c>
      <c r="C703" s="12" t="s">
        <v>539</v>
      </c>
      <c r="D703" s="12"/>
      <c r="E703" s="12">
        <f t="shared" si="166"/>
        <v>60</v>
      </c>
      <c r="F703" s="12" t="s">
        <v>70</v>
      </c>
      <c r="G703" s="12">
        <v>0</v>
      </c>
      <c r="H703" s="12">
        <v>0</v>
      </c>
      <c r="I703" s="12">
        <v>0</v>
      </c>
      <c r="J703" s="12">
        <v>0</v>
      </c>
      <c r="K703" s="12">
        <v>0</v>
      </c>
      <c r="L703" s="12">
        <v>0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60</v>
      </c>
      <c r="X703" s="12">
        <v>0</v>
      </c>
      <c r="Y703" s="12">
        <v>0</v>
      </c>
      <c r="Z703" s="12">
        <v>0</v>
      </c>
      <c r="AA703" s="12"/>
      <c r="AC703" s="13">
        <f t="shared" si="167"/>
        <v>0</v>
      </c>
      <c r="AL703" s="14">
        <f t="shared" si="168"/>
        <v>0</v>
      </c>
    </row>
    <row r="704" spans="1:38" hidden="1" x14ac:dyDescent="0.25">
      <c r="A704" s="12" t="s">
        <v>173</v>
      </c>
      <c r="B704" s="12" t="s">
        <v>766</v>
      </c>
      <c r="C704" s="12" t="s">
        <v>539</v>
      </c>
      <c r="D704" s="12"/>
      <c r="E704" s="12">
        <f t="shared" si="166"/>
        <v>60</v>
      </c>
      <c r="F704" s="12" t="str">
        <f>VLOOKUP(B704,[1]lookup!A:B,2,FALSE)</f>
        <v>SaaS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60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2"/>
      <c r="AC704" s="13">
        <f t="shared" si="167"/>
        <v>0</v>
      </c>
      <c r="AL704" s="14">
        <f t="shared" si="168"/>
        <v>0</v>
      </c>
    </row>
    <row r="705" spans="1:38" hidden="1" x14ac:dyDescent="0.25">
      <c r="A705" s="12" t="s">
        <v>173</v>
      </c>
      <c r="B705" s="12" t="s">
        <v>767</v>
      </c>
      <c r="C705" s="12" t="s">
        <v>539</v>
      </c>
      <c r="D705" s="12"/>
      <c r="E705" s="12">
        <f t="shared" si="166"/>
        <v>60</v>
      </c>
      <c r="F705" s="12" t="str">
        <f>VLOOKUP(B705,[1]lookup!A:B,2,FALSE)</f>
        <v>SaaS</v>
      </c>
      <c r="G705" s="12">
        <v>0</v>
      </c>
      <c r="H705" s="12">
        <v>0</v>
      </c>
      <c r="I705" s="12">
        <v>0</v>
      </c>
      <c r="J705" s="12">
        <v>0</v>
      </c>
      <c r="K705" s="12">
        <v>0</v>
      </c>
      <c r="L705" s="12">
        <v>0</v>
      </c>
      <c r="M705" s="12">
        <v>0</v>
      </c>
      <c r="N705" s="12">
        <v>60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0</v>
      </c>
      <c r="W705" s="12">
        <v>0</v>
      </c>
      <c r="X705" s="12">
        <v>0</v>
      </c>
      <c r="Y705" s="12">
        <v>0</v>
      </c>
      <c r="Z705" s="12">
        <v>0</v>
      </c>
      <c r="AA705" s="12"/>
      <c r="AC705" s="13">
        <f t="shared" si="167"/>
        <v>0</v>
      </c>
      <c r="AL705" s="14">
        <f t="shared" si="168"/>
        <v>0</v>
      </c>
    </row>
    <row r="706" spans="1:38" hidden="1" x14ac:dyDescent="0.25">
      <c r="A706" s="12" t="s">
        <v>92</v>
      </c>
      <c r="B706" s="12" t="s">
        <v>768</v>
      </c>
      <c r="C706" s="12" t="s">
        <v>539</v>
      </c>
      <c r="D706" s="12"/>
      <c r="E706" s="12">
        <f t="shared" si="166"/>
        <v>59</v>
      </c>
      <c r="F706" s="12" t="s">
        <v>70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59</v>
      </c>
      <c r="X706" s="12">
        <v>0</v>
      </c>
      <c r="Y706" s="12">
        <v>0</v>
      </c>
      <c r="Z706" s="12">
        <v>0</v>
      </c>
      <c r="AA706" s="12"/>
      <c r="AC706" s="13">
        <f t="shared" si="167"/>
        <v>0</v>
      </c>
      <c r="AL706" s="14">
        <f t="shared" si="168"/>
        <v>0</v>
      </c>
    </row>
    <row r="707" spans="1:38" hidden="1" x14ac:dyDescent="0.25">
      <c r="A707" s="12" t="s">
        <v>51</v>
      </c>
      <c r="B707" s="12" t="s">
        <v>769</v>
      </c>
      <c r="C707" s="12" t="s">
        <v>539</v>
      </c>
      <c r="D707" s="12"/>
      <c r="E707" s="12">
        <f t="shared" si="166"/>
        <v>58</v>
      </c>
      <c r="F707" s="12" t="s">
        <v>70</v>
      </c>
      <c r="G707" s="12">
        <v>0</v>
      </c>
      <c r="H707" s="12">
        <v>0</v>
      </c>
      <c r="I707" s="12">
        <v>0</v>
      </c>
      <c r="J707" s="12">
        <v>0</v>
      </c>
      <c r="K707" s="12">
        <v>0</v>
      </c>
      <c r="L707" s="12">
        <v>0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58</v>
      </c>
      <c r="V707" s="12">
        <v>0</v>
      </c>
      <c r="W707" s="12">
        <v>0</v>
      </c>
      <c r="X707" s="12">
        <v>0</v>
      </c>
      <c r="Y707" s="12">
        <v>0</v>
      </c>
      <c r="Z707" s="12">
        <v>0</v>
      </c>
      <c r="AA707" s="12"/>
      <c r="AC707" s="13">
        <f t="shared" si="167"/>
        <v>0</v>
      </c>
      <c r="AL707" s="14">
        <f t="shared" si="168"/>
        <v>0</v>
      </c>
    </row>
    <row r="708" spans="1:38" hidden="1" x14ac:dyDescent="0.25">
      <c r="A708" s="12" t="s">
        <v>222</v>
      </c>
      <c r="B708" s="12" t="s">
        <v>770</v>
      </c>
      <c r="C708" s="12" t="s">
        <v>539</v>
      </c>
      <c r="D708" s="12"/>
      <c r="E708" s="12">
        <f t="shared" si="166"/>
        <v>58</v>
      </c>
      <c r="F708" s="12" t="s">
        <v>70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0</v>
      </c>
      <c r="V708" s="12">
        <v>0</v>
      </c>
      <c r="W708" s="12">
        <v>58</v>
      </c>
      <c r="X708" s="12">
        <v>0</v>
      </c>
      <c r="Y708" s="12">
        <v>0</v>
      </c>
      <c r="Z708" s="12">
        <v>0</v>
      </c>
      <c r="AA708" s="12"/>
      <c r="AC708" s="13">
        <f t="shared" si="167"/>
        <v>0</v>
      </c>
      <c r="AL708" s="14">
        <f t="shared" si="168"/>
        <v>0</v>
      </c>
    </row>
    <row r="709" spans="1:38" hidden="1" x14ac:dyDescent="0.25">
      <c r="A709" s="12" t="s">
        <v>92</v>
      </c>
      <c r="B709" s="12" t="s">
        <v>771</v>
      </c>
      <c r="C709" s="12" t="s">
        <v>539</v>
      </c>
      <c r="D709" s="12"/>
      <c r="E709" s="12">
        <f t="shared" ref="E709:E772" si="172">MAX(G709:Z709)</f>
        <v>57</v>
      </c>
      <c r="F709" s="12" t="s">
        <v>70</v>
      </c>
      <c r="G709" s="12">
        <v>0</v>
      </c>
      <c r="H709" s="12">
        <v>0</v>
      </c>
      <c r="I709" s="12">
        <v>0</v>
      </c>
      <c r="J709" s="12">
        <v>0</v>
      </c>
      <c r="K709" s="12">
        <v>0</v>
      </c>
      <c r="L709" s="12">
        <v>0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2">
        <v>0</v>
      </c>
      <c r="W709" s="12">
        <v>57</v>
      </c>
      <c r="X709" s="12">
        <v>0</v>
      </c>
      <c r="Y709" s="12">
        <v>0</v>
      </c>
      <c r="Z709" s="12">
        <v>0</v>
      </c>
      <c r="AA709" s="12"/>
      <c r="AC709" s="13">
        <f t="shared" ref="AC709:AC772" si="173">M709*AC$2</f>
        <v>0</v>
      </c>
      <c r="AL709" s="14">
        <f t="shared" si="168"/>
        <v>0</v>
      </c>
    </row>
    <row r="710" spans="1:38" hidden="1" x14ac:dyDescent="0.25">
      <c r="A710" s="12" t="s">
        <v>51</v>
      </c>
      <c r="B710" s="12" t="s">
        <v>641</v>
      </c>
      <c r="C710" s="12" t="s">
        <v>539</v>
      </c>
      <c r="D710" s="12"/>
      <c r="E710" s="12">
        <f t="shared" si="172"/>
        <v>57</v>
      </c>
      <c r="F710" s="12" t="s">
        <v>70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57</v>
      </c>
      <c r="V710" s="12">
        <v>0</v>
      </c>
      <c r="W710" s="12">
        <v>0</v>
      </c>
      <c r="X710" s="12">
        <v>0</v>
      </c>
      <c r="Y710" s="12">
        <v>0</v>
      </c>
      <c r="Z710" s="12">
        <v>0</v>
      </c>
      <c r="AA710" s="12"/>
      <c r="AC710" s="13">
        <f t="shared" si="173"/>
        <v>0</v>
      </c>
      <c r="AL710" s="14">
        <f t="shared" ref="AL710:AL773" si="174">SUM(AC710:AK710)</f>
        <v>0</v>
      </c>
    </row>
    <row r="711" spans="1:38" hidden="1" x14ac:dyDescent="0.25">
      <c r="A711" s="12" t="s">
        <v>399</v>
      </c>
      <c r="B711" s="12" t="s">
        <v>132</v>
      </c>
      <c r="C711" s="12" t="s">
        <v>539</v>
      </c>
      <c r="D711" s="12"/>
      <c r="E711" s="12">
        <f t="shared" si="172"/>
        <v>56</v>
      </c>
      <c r="F711" s="12" t="str">
        <f>VLOOKUP(B711,[1]lookup!A:B,2,FALSE)</f>
        <v>SaaS</v>
      </c>
      <c r="G711" s="12">
        <v>0</v>
      </c>
      <c r="H711" s="12">
        <v>56</v>
      </c>
      <c r="I711" s="12">
        <v>0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  <c r="X711" s="12">
        <v>0</v>
      </c>
      <c r="Y711" s="12">
        <v>0</v>
      </c>
      <c r="Z711" s="12">
        <v>0</v>
      </c>
      <c r="AA711" s="12"/>
      <c r="AC711" s="13">
        <f t="shared" si="173"/>
        <v>0</v>
      </c>
      <c r="AL711" s="14">
        <f t="shared" si="174"/>
        <v>0</v>
      </c>
    </row>
    <row r="712" spans="1:38" hidden="1" x14ac:dyDescent="0.25">
      <c r="A712" s="12" t="s">
        <v>51</v>
      </c>
      <c r="B712" s="12" t="s">
        <v>772</v>
      </c>
      <c r="C712" s="12" t="s">
        <v>539</v>
      </c>
      <c r="D712" s="12"/>
      <c r="E712" s="12">
        <f t="shared" si="172"/>
        <v>56</v>
      </c>
      <c r="F712" s="12" t="s">
        <v>70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56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2"/>
      <c r="AC712" s="13">
        <f t="shared" si="173"/>
        <v>0</v>
      </c>
      <c r="AL712" s="14">
        <f t="shared" si="174"/>
        <v>0</v>
      </c>
    </row>
    <row r="713" spans="1:38" hidden="1" x14ac:dyDescent="0.25">
      <c r="A713" s="12" t="s">
        <v>267</v>
      </c>
      <c r="B713" s="12" t="s">
        <v>773</v>
      </c>
      <c r="C713" s="12" t="s">
        <v>539</v>
      </c>
      <c r="D713" s="12"/>
      <c r="E713" s="12">
        <f t="shared" si="172"/>
        <v>56</v>
      </c>
      <c r="F713" s="12" t="s">
        <v>70</v>
      </c>
      <c r="G713" s="12">
        <v>0</v>
      </c>
      <c r="H713" s="12">
        <v>0</v>
      </c>
      <c r="I713" s="12">
        <v>0</v>
      </c>
      <c r="J713" s="12">
        <v>0</v>
      </c>
      <c r="K713" s="12">
        <v>0</v>
      </c>
      <c r="L713" s="12">
        <v>0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0</v>
      </c>
      <c r="V713" s="12">
        <v>0</v>
      </c>
      <c r="W713" s="12">
        <v>56</v>
      </c>
      <c r="X713" s="12">
        <v>0</v>
      </c>
      <c r="Y713" s="12">
        <v>0</v>
      </c>
      <c r="Z713" s="12">
        <v>0</v>
      </c>
      <c r="AA713" s="12"/>
      <c r="AC713" s="13">
        <f t="shared" si="173"/>
        <v>0</v>
      </c>
      <c r="AL713" s="14">
        <f t="shared" si="174"/>
        <v>0</v>
      </c>
    </row>
    <row r="714" spans="1:38" hidden="1" x14ac:dyDescent="0.25">
      <c r="A714" s="12" t="s">
        <v>86</v>
      </c>
      <c r="B714" s="12" t="s">
        <v>774</v>
      </c>
      <c r="C714" s="12" t="s">
        <v>539</v>
      </c>
      <c r="D714" s="12"/>
      <c r="E714" s="12">
        <f t="shared" si="172"/>
        <v>55</v>
      </c>
      <c r="F714" s="12" t="str">
        <f>VLOOKUP(B714,[1]lookup!A:B,2,FALSE)</f>
        <v>Term</v>
      </c>
      <c r="G714" s="12">
        <v>0</v>
      </c>
      <c r="H714" s="12">
        <v>55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  <c r="X714" s="12">
        <v>0</v>
      </c>
      <c r="Y714" s="12">
        <v>0</v>
      </c>
      <c r="Z714" s="12">
        <v>0</v>
      </c>
      <c r="AA714" s="12"/>
      <c r="AC714" s="13">
        <f t="shared" si="173"/>
        <v>0</v>
      </c>
      <c r="AK714" s="15">
        <f>H714*AK$2</f>
        <v>6600</v>
      </c>
      <c r="AL714" s="14">
        <f t="shared" si="174"/>
        <v>6600</v>
      </c>
    </row>
    <row r="715" spans="1:38" hidden="1" x14ac:dyDescent="0.25">
      <c r="A715" s="12" t="s">
        <v>64</v>
      </c>
      <c r="B715" s="12" t="s">
        <v>775</v>
      </c>
      <c r="C715" s="12" t="s">
        <v>539</v>
      </c>
      <c r="D715" s="12"/>
      <c r="E715" s="12">
        <f t="shared" si="172"/>
        <v>55</v>
      </c>
      <c r="F715" s="12" t="str">
        <f>VLOOKUP(B715,[1]lookup!A:B,2,FALSE)</f>
        <v>Perpetual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  <c r="L715" s="12">
        <v>0</v>
      </c>
      <c r="M715" s="12">
        <v>55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  <c r="X715" s="12">
        <v>0</v>
      </c>
      <c r="Y715" s="12">
        <v>0</v>
      </c>
      <c r="Z715" s="12">
        <v>0</v>
      </c>
      <c r="AA715" s="12"/>
      <c r="AC715" s="13">
        <f t="shared" si="173"/>
        <v>13200</v>
      </c>
      <c r="AL715" s="14">
        <f t="shared" si="174"/>
        <v>13200</v>
      </c>
    </row>
    <row r="716" spans="1:38" hidden="1" x14ac:dyDescent="0.25">
      <c r="A716" s="12" t="s">
        <v>51</v>
      </c>
      <c r="B716" s="12" t="s">
        <v>776</v>
      </c>
      <c r="C716" s="12" t="s">
        <v>539</v>
      </c>
      <c r="D716" s="12"/>
      <c r="E716" s="12">
        <f t="shared" si="172"/>
        <v>55</v>
      </c>
      <c r="F716" s="12" t="s">
        <v>70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55</v>
      </c>
      <c r="V716" s="12">
        <v>0</v>
      </c>
      <c r="W716" s="12">
        <v>0</v>
      </c>
      <c r="X716" s="12">
        <v>0</v>
      </c>
      <c r="Y716" s="12">
        <v>0</v>
      </c>
      <c r="Z716" s="12">
        <v>0</v>
      </c>
      <c r="AA716" s="12"/>
      <c r="AC716" s="13">
        <f t="shared" si="173"/>
        <v>0</v>
      </c>
      <c r="AL716" s="14">
        <f t="shared" si="174"/>
        <v>0</v>
      </c>
    </row>
    <row r="717" spans="1:38" hidden="1" x14ac:dyDescent="0.25">
      <c r="A717" s="12" t="s">
        <v>173</v>
      </c>
      <c r="B717" s="12" t="s">
        <v>777</v>
      </c>
      <c r="C717" s="12" t="s">
        <v>539</v>
      </c>
      <c r="D717" s="12"/>
      <c r="E717" s="12">
        <f t="shared" si="172"/>
        <v>55</v>
      </c>
      <c r="F717" s="12" t="str">
        <f>VLOOKUP(B717,[1]lookup!A:B,2,FALSE)</f>
        <v>SaaS</v>
      </c>
      <c r="G717" s="12">
        <v>0</v>
      </c>
      <c r="H717" s="12">
        <v>0</v>
      </c>
      <c r="I717" s="12">
        <v>0</v>
      </c>
      <c r="J717" s="12">
        <v>0</v>
      </c>
      <c r="K717" s="12">
        <v>0</v>
      </c>
      <c r="L717" s="12">
        <v>0</v>
      </c>
      <c r="M717" s="12">
        <v>0</v>
      </c>
      <c r="N717" s="12">
        <v>55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0</v>
      </c>
      <c r="V717" s="12">
        <v>0</v>
      </c>
      <c r="W717" s="12">
        <v>0</v>
      </c>
      <c r="X717" s="12">
        <v>0</v>
      </c>
      <c r="Y717" s="12">
        <v>0</v>
      </c>
      <c r="Z717" s="12">
        <v>0</v>
      </c>
      <c r="AA717" s="12"/>
      <c r="AC717" s="13">
        <f t="shared" si="173"/>
        <v>0</v>
      </c>
      <c r="AL717" s="14">
        <f t="shared" si="174"/>
        <v>0</v>
      </c>
    </row>
    <row r="718" spans="1:38" hidden="1" x14ac:dyDescent="0.25">
      <c r="A718" s="12" t="s">
        <v>86</v>
      </c>
      <c r="B718" s="12" t="s">
        <v>778</v>
      </c>
      <c r="C718" s="12" t="s">
        <v>539</v>
      </c>
      <c r="D718" s="12"/>
      <c r="E718" s="12">
        <f t="shared" si="172"/>
        <v>54</v>
      </c>
      <c r="F718" s="12" t="str">
        <f>VLOOKUP(B718,[1]lookup!A:B,2,FALSE)</f>
        <v>Term</v>
      </c>
      <c r="G718" s="12">
        <v>0</v>
      </c>
      <c r="H718" s="12">
        <v>54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0</v>
      </c>
      <c r="W718" s="12">
        <v>0</v>
      </c>
      <c r="X718" s="12">
        <v>0</v>
      </c>
      <c r="Y718" s="12">
        <v>0</v>
      </c>
      <c r="Z718" s="12">
        <v>0</v>
      </c>
      <c r="AA718" s="12"/>
      <c r="AC718" s="13">
        <f t="shared" si="173"/>
        <v>0</v>
      </c>
      <c r="AK718" s="15">
        <f t="shared" ref="AK718:AK719" si="175">H718*AK$2</f>
        <v>6480</v>
      </c>
      <c r="AL718" s="14">
        <f t="shared" si="174"/>
        <v>6480</v>
      </c>
    </row>
    <row r="719" spans="1:38" hidden="1" x14ac:dyDescent="0.25">
      <c r="A719" s="12" t="s">
        <v>86</v>
      </c>
      <c r="B719" s="12" t="s">
        <v>779</v>
      </c>
      <c r="C719" s="12" t="s">
        <v>539</v>
      </c>
      <c r="D719" s="12"/>
      <c r="E719" s="12">
        <f t="shared" si="172"/>
        <v>54</v>
      </c>
      <c r="F719" s="12" t="str">
        <f>VLOOKUP(B719,[1]lookup!A:B,2,FALSE)</f>
        <v>Term</v>
      </c>
      <c r="G719" s="12">
        <v>0</v>
      </c>
      <c r="H719" s="12">
        <v>12</v>
      </c>
      <c r="I719" s="12">
        <v>0</v>
      </c>
      <c r="J719" s="12">
        <v>0</v>
      </c>
      <c r="K719" s="12">
        <v>0</v>
      </c>
      <c r="L719" s="12">
        <v>0</v>
      </c>
      <c r="M719" s="12">
        <v>0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54</v>
      </c>
      <c r="T719" s="12">
        <v>0</v>
      </c>
      <c r="U719" s="12">
        <v>0</v>
      </c>
      <c r="V719" s="12">
        <v>0</v>
      </c>
      <c r="W719" s="12">
        <v>0</v>
      </c>
      <c r="X719" s="12">
        <v>0</v>
      </c>
      <c r="Y719" s="12">
        <v>0</v>
      </c>
      <c r="Z719" s="12">
        <v>0</v>
      </c>
      <c r="AA719" s="12"/>
      <c r="AC719" s="13">
        <f t="shared" si="173"/>
        <v>0</v>
      </c>
      <c r="AK719" s="15">
        <f t="shared" si="175"/>
        <v>1440</v>
      </c>
      <c r="AL719" s="14">
        <f t="shared" si="174"/>
        <v>1440</v>
      </c>
    </row>
    <row r="720" spans="1:38" hidden="1" x14ac:dyDescent="0.25">
      <c r="A720" s="12" t="s">
        <v>328</v>
      </c>
      <c r="B720" s="12" t="s">
        <v>732</v>
      </c>
      <c r="C720" s="12" t="s">
        <v>539</v>
      </c>
      <c r="D720" s="12"/>
      <c r="E720" s="12">
        <f t="shared" si="172"/>
        <v>54</v>
      </c>
      <c r="F720" s="12" t="str">
        <f>VLOOKUP(B720,[1]lookup!A:B,2,FALSE)</f>
        <v>Perpetual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2">
        <v>18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0</v>
      </c>
      <c r="W720" s="12">
        <v>54</v>
      </c>
      <c r="X720" s="12">
        <v>0</v>
      </c>
      <c r="Y720" s="12">
        <v>0</v>
      </c>
      <c r="Z720" s="12">
        <v>0</v>
      </c>
      <c r="AA720" s="12"/>
      <c r="AC720" s="13">
        <f t="shared" si="173"/>
        <v>0</v>
      </c>
      <c r="AL720" s="14">
        <f t="shared" si="174"/>
        <v>0</v>
      </c>
    </row>
    <row r="721" spans="1:38" hidden="1" x14ac:dyDescent="0.25">
      <c r="A721" s="12" t="s">
        <v>148</v>
      </c>
      <c r="B721" s="12" t="s">
        <v>780</v>
      </c>
      <c r="C721" s="12" t="s">
        <v>539</v>
      </c>
      <c r="D721" s="12"/>
      <c r="E721" s="12">
        <f t="shared" si="172"/>
        <v>54</v>
      </c>
      <c r="F721" s="12" t="s">
        <v>70</v>
      </c>
      <c r="G721" s="12">
        <v>0</v>
      </c>
      <c r="H721" s="12">
        <v>0</v>
      </c>
      <c r="I721" s="12">
        <v>0</v>
      </c>
      <c r="J721" s="12">
        <v>0</v>
      </c>
      <c r="K721" s="12">
        <v>0</v>
      </c>
      <c r="L721" s="12">
        <v>0</v>
      </c>
      <c r="M721" s="12">
        <v>0</v>
      </c>
      <c r="N721" s="12">
        <v>0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0</v>
      </c>
      <c r="W721" s="12">
        <v>54</v>
      </c>
      <c r="X721" s="12">
        <v>0</v>
      </c>
      <c r="Y721" s="12">
        <v>0</v>
      </c>
      <c r="Z721" s="12">
        <v>0</v>
      </c>
      <c r="AA721" s="12"/>
      <c r="AC721" s="13">
        <f t="shared" si="173"/>
        <v>0</v>
      </c>
      <c r="AL721" s="14">
        <f t="shared" si="174"/>
        <v>0</v>
      </c>
    </row>
    <row r="722" spans="1:38" hidden="1" x14ac:dyDescent="0.25">
      <c r="A722" s="12" t="s">
        <v>51</v>
      </c>
      <c r="B722" s="12" t="s">
        <v>781</v>
      </c>
      <c r="C722" s="12" t="s">
        <v>539</v>
      </c>
      <c r="D722" s="12"/>
      <c r="E722" s="12">
        <f t="shared" si="172"/>
        <v>53</v>
      </c>
      <c r="F722" s="12" t="s">
        <v>70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53</v>
      </c>
      <c r="V722" s="12">
        <v>0</v>
      </c>
      <c r="W722" s="12">
        <v>0</v>
      </c>
      <c r="X722" s="12">
        <v>0</v>
      </c>
      <c r="Y722" s="12">
        <v>0</v>
      </c>
      <c r="Z722" s="12">
        <v>0</v>
      </c>
      <c r="AA722" s="12"/>
      <c r="AC722" s="13">
        <f t="shared" si="173"/>
        <v>0</v>
      </c>
      <c r="AL722" s="14">
        <f t="shared" si="174"/>
        <v>0</v>
      </c>
    </row>
    <row r="723" spans="1:38" hidden="1" x14ac:dyDescent="0.25">
      <c r="A723" s="12" t="s">
        <v>222</v>
      </c>
      <c r="B723" s="12" t="s">
        <v>782</v>
      </c>
      <c r="C723" s="12" t="s">
        <v>539</v>
      </c>
      <c r="D723" s="12"/>
      <c r="E723" s="12">
        <f t="shared" si="172"/>
        <v>53</v>
      </c>
      <c r="F723" s="12" t="s">
        <v>70</v>
      </c>
      <c r="G723" s="12">
        <v>0</v>
      </c>
      <c r="H723" s="12">
        <v>0</v>
      </c>
      <c r="I723" s="12">
        <v>0</v>
      </c>
      <c r="J723" s="12">
        <v>0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53</v>
      </c>
      <c r="X723" s="12">
        <v>0</v>
      </c>
      <c r="Y723" s="12">
        <v>0</v>
      </c>
      <c r="Z723" s="12">
        <v>0</v>
      </c>
      <c r="AA723" s="12"/>
      <c r="AC723" s="13">
        <f t="shared" si="173"/>
        <v>0</v>
      </c>
      <c r="AL723" s="14">
        <f t="shared" si="174"/>
        <v>0</v>
      </c>
    </row>
    <row r="724" spans="1:38" hidden="1" x14ac:dyDescent="0.25">
      <c r="A724" s="12" t="s">
        <v>178</v>
      </c>
      <c r="B724" s="12" t="s">
        <v>783</v>
      </c>
      <c r="C724" s="12" t="s">
        <v>539</v>
      </c>
      <c r="D724" s="12"/>
      <c r="E724" s="12">
        <f t="shared" si="172"/>
        <v>52</v>
      </c>
      <c r="F724" s="12" t="s">
        <v>70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0</v>
      </c>
      <c r="W724" s="12">
        <v>52</v>
      </c>
      <c r="X724" s="12">
        <v>0</v>
      </c>
      <c r="Y724" s="12">
        <v>0</v>
      </c>
      <c r="Z724" s="12">
        <v>0</v>
      </c>
      <c r="AA724" s="12"/>
      <c r="AC724" s="13">
        <f t="shared" si="173"/>
        <v>0</v>
      </c>
      <c r="AL724" s="14">
        <f t="shared" si="174"/>
        <v>0</v>
      </c>
    </row>
    <row r="725" spans="1:38" hidden="1" x14ac:dyDescent="0.25">
      <c r="A725" s="12" t="s">
        <v>222</v>
      </c>
      <c r="B725" s="12" t="s">
        <v>784</v>
      </c>
      <c r="C725" s="12" t="s">
        <v>539</v>
      </c>
      <c r="D725" s="12"/>
      <c r="E725" s="12">
        <f t="shared" si="172"/>
        <v>52</v>
      </c>
      <c r="F725" s="12" t="s">
        <v>70</v>
      </c>
      <c r="G725" s="12">
        <v>0</v>
      </c>
      <c r="H725" s="12">
        <v>0</v>
      </c>
      <c r="I725" s="12">
        <v>0</v>
      </c>
      <c r="J725" s="12">
        <v>0</v>
      </c>
      <c r="K725" s="12">
        <v>0</v>
      </c>
      <c r="L725" s="12">
        <v>0</v>
      </c>
      <c r="M725" s="12">
        <v>0</v>
      </c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  <c r="W725" s="12">
        <v>52</v>
      </c>
      <c r="X725" s="12">
        <v>0</v>
      </c>
      <c r="Y725" s="12">
        <v>0</v>
      </c>
      <c r="Z725" s="12">
        <v>0</v>
      </c>
      <c r="AA725" s="12"/>
      <c r="AC725" s="13">
        <f t="shared" si="173"/>
        <v>0</v>
      </c>
      <c r="AL725" s="14">
        <f t="shared" si="174"/>
        <v>0</v>
      </c>
    </row>
    <row r="726" spans="1:38" hidden="1" x14ac:dyDescent="0.25">
      <c r="A726" s="12" t="s">
        <v>148</v>
      </c>
      <c r="B726" s="12" t="s">
        <v>785</v>
      </c>
      <c r="C726" s="12" t="s">
        <v>539</v>
      </c>
      <c r="D726" s="12"/>
      <c r="E726" s="12">
        <f t="shared" si="172"/>
        <v>52</v>
      </c>
      <c r="F726" s="12" t="s">
        <v>70</v>
      </c>
      <c r="G726" s="12">
        <v>0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0</v>
      </c>
      <c r="V726" s="12">
        <v>0</v>
      </c>
      <c r="W726" s="12">
        <v>52</v>
      </c>
      <c r="X726" s="12">
        <v>0</v>
      </c>
      <c r="Y726" s="12">
        <v>0</v>
      </c>
      <c r="Z726" s="12">
        <v>0</v>
      </c>
      <c r="AA726" s="12"/>
      <c r="AC726" s="13">
        <f t="shared" si="173"/>
        <v>0</v>
      </c>
      <c r="AL726" s="14">
        <f t="shared" si="174"/>
        <v>0</v>
      </c>
    </row>
    <row r="727" spans="1:38" hidden="1" x14ac:dyDescent="0.25">
      <c r="A727" s="12" t="s">
        <v>148</v>
      </c>
      <c r="B727" s="12" t="s">
        <v>786</v>
      </c>
      <c r="C727" s="12" t="s">
        <v>539</v>
      </c>
      <c r="D727" s="12"/>
      <c r="E727" s="12">
        <f t="shared" si="172"/>
        <v>52</v>
      </c>
      <c r="F727" s="12" t="s">
        <v>70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0</v>
      </c>
      <c r="V727" s="12">
        <v>0</v>
      </c>
      <c r="W727" s="12">
        <v>52</v>
      </c>
      <c r="X727" s="12">
        <v>0</v>
      </c>
      <c r="Y727" s="12">
        <v>0</v>
      </c>
      <c r="Z727" s="12">
        <v>0</v>
      </c>
      <c r="AA727" s="12"/>
      <c r="AC727" s="13">
        <f t="shared" si="173"/>
        <v>0</v>
      </c>
      <c r="AL727" s="14">
        <f t="shared" si="174"/>
        <v>0</v>
      </c>
    </row>
    <row r="728" spans="1:38" hidden="1" x14ac:dyDescent="0.25">
      <c r="A728" s="12" t="s">
        <v>148</v>
      </c>
      <c r="B728" s="12" t="s">
        <v>787</v>
      </c>
      <c r="C728" s="12" t="s">
        <v>539</v>
      </c>
      <c r="D728" s="12"/>
      <c r="E728" s="12">
        <f t="shared" si="172"/>
        <v>52</v>
      </c>
      <c r="F728" s="12" t="s">
        <v>70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2">
        <v>52</v>
      </c>
      <c r="X728" s="12">
        <v>0</v>
      </c>
      <c r="Y728" s="12">
        <v>0</v>
      </c>
      <c r="Z728" s="12">
        <v>0</v>
      </c>
      <c r="AA728" s="12"/>
      <c r="AC728" s="13">
        <f t="shared" si="173"/>
        <v>0</v>
      </c>
      <c r="AL728" s="14">
        <f t="shared" si="174"/>
        <v>0</v>
      </c>
    </row>
    <row r="729" spans="1:38" hidden="1" x14ac:dyDescent="0.25">
      <c r="A729" s="12" t="s">
        <v>80</v>
      </c>
      <c r="B729" s="12" t="s">
        <v>788</v>
      </c>
      <c r="C729" s="12" t="s">
        <v>539</v>
      </c>
      <c r="D729" s="12"/>
      <c r="E729" s="12">
        <f t="shared" si="172"/>
        <v>51</v>
      </c>
      <c r="F729" s="12" t="s">
        <v>70</v>
      </c>
      <c r="G729" s="12">
        <v>0</v>
      </c>
      <c r="H729" s="12">
        <v>0</v>
      </c>
      <c r="I729" s="12">
        <v>0</v>
      </c>
      <c r="J729" s="12">
        <v>0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51</v>
      </c>
      <c r="V729" s="12">
        <v>0</v>
      </c>
      <c r="W729" s="12">
        <v>0</v>
      </c>
      <c r="X729" s="12">
        <v>0</v>
      </c>
      <c r="Y729" s="12">
        <v>0</v>
      </c>
      <c r="Z729" s="12">
        <v>0</v>
      </c>
      <c r="AA729" s="12"/>
      <c r="AC729" s="13">
        <f t="shared" si="173"/>
        <v>0</v>
      </c>
      <c r="AL729" s="14">
        <f t="shared" si="174"/>
        <v>0</v>
      </c>
    </row>
    <row r="730" spans="1:38" hidden="1" x14ac:dyDescent="0.25">
      <c r="A730" s="12" t="s">
        <v>51</v>
      </c>
      <c r="B730" s="12" t="s">
        <v>789</v>
      </c>
      <c r="C730" s="12" t="s">
        <v>539</v>
      </c>
      <c r="D730" s="12"/>
      <c r="E730" s="12">
        <f t="shared" si="172"/>
        <v>51</v>
      </c>
      <c r="F730" s="12" t="s">
        <v>70</v>
      </c>
      <c r="G730" s="12">
        <v>0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51</v>
      </c>
      <c r="V730" s="12">
        <v>0</v>
      </c>
      <c r="W730" s="12">
        <v>0</v>
      </c>
      <c r="X730" s="12">
        <v>0</v>
      </c>
      <c r="Y730" s="12">
        <v>0</v>
      </c>
      <c r="Z730" s="12">
        <v>0</v>
      </c>
      <c r="AA730" s="12"/>
      <c r="AC730" s="13">
        <f t="shared" si="173"/>
        <v>0</v>
      </c>
      <c r="AL730" s="14">
        <f t="shared" si="174"/>
        <v>0</v>
      </c>
    </row>
    <row r="731" spans="1:38" hidden="1" x14ac:dyDescent="0.25">
      <c r="A731" s="12" t="s">
        <v>51</v>
      </c>
      <c r="B731" s="12" t="s">
        <v>790</v>
      </c>
      <c r="C731" s="12" t="s">
        <v>539</v>
      </c>
      <c r="D731" s="12"/>
      <c r="E731" s="12">
        <f t="shared" si="172"/>
        <v>51</v>
      </c>
      <c r="F731" s="12" t="s">
        <v>70</v>
      </c>
      <c r="G731" s="12">
        <v>0</v>
      </c>
      <c r="H731" s="12">
        <v>0</v>
      </c>
      <c r="I731" s="12">
        <v>0</v>
      </c>
      <c r="J731" s="12">
        <v>0</v>
      </c>
      <c r="K731" s="12">
        <v>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51</v>
      </c>
      <c r="V731" s="12">
        <v>0</v>
      </c>
      <c r="W731" s="12">
        <v>0</v>
      </c>
      <c r="X731" s="12">
        <v>0</v>
      </c>
      <c r="Y731" s="12">
        <v>0</v>
      </c>
      <c r="Z731" s="12">
        <v>0</v>
      </c>
      <c r="AA731" s="12"/>
      <c r="AC731" s="13">
        <f t="shared" si="173"/>
        <v>0</v>
      </c>
      <c r="AL731" s="14">
        <f t="shared" si="174"/>
        <v>0</v>
      </c>
    </row>
    <row r="732" spans="1:38" hidden="1" x14ac:dyDescent="0.25">
      <c r="A732" s="12" t="s">
        <v>222</v>
      </c>
      <c r="B732" s="12" t="s">
        <v>791</v>
      </c>
      <c r="C732" s="12" t="s">
        <v>539</v>
      </c>
      <c r="D732" s="12"/>
      <c r="E732" s="12">
        <f t="shared" si="172"/>
        <v>51</v>
      </c>
      <c r="F732" s="12" t="s">
        <v>70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0</v>
      </c>
      <c r="V732" s="12">
        <v>0</v>
      </c>
      <c r="W732" s="12">
        <v>51</v>
      </c>
      <c r="X732" s="12">
        <v>0</v>
      </c>
      <c r="Y732" s="12">
        <v>0</v>
      </c>
      <c r="Z732" s="12">
        <v>0</v>
      </c>
      <c r="AA732" s="12"/>
      <c r="AC732" s="13">
        <f t="shared" si="173"/>
        <v>0</v>
      </c>
      <c r="AL732" s="14">
        <f t="shared" si="174"/>
        <v>0</v>
      </c>
    </row>
    <row r="733" spans="1:38" hidden="1" x14ac:dyDescent="0.25">
      <c r="A733" s="12" t="s">
        <v>415</v>
      </c>
      <c r="B733" s="12" t="s">
        <v>792</v>
      </c>
      <c r="C733" s="12" t="s">
        <v>539</v>
      </c>
      <c r="D733" s="12"/>
      <c r="E733" s="12">
        <f t="shared" si="172"/>
        <v>51</v>
      </c>
      <c r="F733" s="12" t="str">
        <f>VLOOKUP(B733,[1]lookup!A:B,2,FALSE)</f>
        <v>SaaS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51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0</v>
      </c>
      <c r="Y733" s="12">
        <v>0</v>
      </c>
      <c r="Z733" s="12">
        <v>0</v>
      </c>
      <c r="AA733" s="12"/>
      <c r="AC733" s="13">
        <f t="shared" si="173"/>
        <v>0</v>
      </c>
      <c r="AL733" s="14">
        <f t="shared" si="174"/>
        <v>0</v>
      </c>
    </row>
    <row r="734" spans="1:38" hidden="1" x14ac:dyDescent="0.25">
      <c r="A734" s="12" t="s">
        <v>86</v>
      </c>
      <c r="B734" s="12" t="s">
        <v>793</v>
      </c>
      <c r="C734" s="12" t="s">
        <v>539</v>
      </c>
      <c r="D734" s="12"/>
      <c r="E734" s="12">
        <f t="shared" si="172"/>
        <v>50</v>
      </c>
      <c r="F734" s="12" t="str">
        <f>VLOOKUP(B734,[1]lookup!A:B,2,FALSE)</f>
        <v>Perpetual</v>
      </c>
      <c r="G734" s="12">
        <v>0</v>
      </c>
      <c r="H734" s="12">
        <v>50</v>
      </c>
      <c r="I734" s="12">
        <v>0</v>
      </c>
      <c r="J734" s="12">
        <v>50</v>
      </c>
      <c r="K734" s="12">
        <v>50</v>
      </c>
      <c r="L734" s="12">
        <v>0</v>
      </c>
      <c r="M734" s="12">
        <v>0</v>
      </c>
      <c r="N734" s="12">
        <v>0</v>
      </c>
      <c r="O734" s="12">
        <v>50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0</v>
      </c>
      <c r="W734" s="12">
        <v>0</v>
      </c>
      <c r="X734" s="12">
        <v>0</v>
      </c>
      <c r="Y734" s="12">
        <v>0</v>
      </c>
      <c r="Z734" s="12">
        <v>0</v>
      </c>
      <c r="AA734" s="12"/>
      <c r="AC734" s="13">
        <f t="shared" si="173"/>
        <v>0</v>
      </c>
      <c r="AK734" s="15">
        <f t="shared" ref="AK734:AK735" si="176">H734*AK$2</f>
        <v>6000</v>
      </c>
      <c r="AL734" s="14">
        <f t="shared" si="174"/>
        <v>6000</v>
      </c>
    </row>
    <row r="735" spans="1:38" hidden="1" x14ac:dyDescent="0.25">
      <c r="A735" s="12" t="s">
        <v>86</v>
      </c>
      <c r="B735" s="12" t="s">
        <v>794</v>
      </c>
      <c r="C735" s="12" t="s">
        <v>539</v>
      </c>
      <c r="D735" s="12"/>
      <c r="E735" s="12">
        <f t="shared" si="172"/>
        <v>50</v>
      </c>
      <c r="F735" s="12" t="str">
        <f>VLOOKUP(B735,[1]lookup!A:B,2,FALSE)</f>
        <v>Perpetual</v>
      </c>
      <c r="G735" s="12">
        <v>0</v>
      </c>
      <c r="H735" s="12">
        <v>50</v>
      </c>
      <c r="I735" s="12">
        <v>0</v>
      </c>
      <c r="J735" s="12">
        <v>0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0</v>
      </c>
      <c r="V735" s="12">
        <v>0</v>
      </c>
      <c r="W735" s="12">
        <v>0</v>
      </c>
      <c r="X735" s="12">
        <v>0</v>
      </c>
      <c r="Y735" s="12">
        <v>0</v>
      </c>
      <c r="Z735" s="12">
        <v>0</v>
      </c>
      <c r="AA735" s="12"/>
      <c r="AC735" s="13">
        <f t="shared" si="173"/>
        <v>0</v>
      </c>
      <c r="AK735" s="15">
        <f t="shared" si="176"/>
        <v>6000</v>
      </c>
      <c r="AL735" s="14">
        <f t="shared" si="174"/>
        <v>6000</v>
      </c>
    </row>
    <row r="736" spans="1:38" hidden="1" x14ac:dyDescent="0.25">
      <c r="A736" s="12" t="s">
        <v>86</v>
      </c>
      <c r="B736" s="12" t="s">
        <v>795</v>
      </c>
      <c r="C736" s="12" t="s">
        <v>539</v>
      </c>
      <c r="D736" s="12"/>
      <c r="E736" s="12">
        <f t="shared" si="172"/>
        <v>50</v>
      </c>
      <c r="F736" s="12" t="str">
        <f>VLOOKUP(B736,[1]lookup!A:B,2,FALSE)</f>
        <v>Term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50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  <c r="X736" s="12">
        <v>0</v>
      </c>
      <c r="Y736" s="12">
        <v>0</v>
      </c>
      <c r="Z736" s="12">
        <v>0</v>
      </c>
      <c r="AA736" s="12"/>
      <c r="AC736" s="13">
        <f t="shared" si="173"/>
        <v>0</v>
      </c>
      <c r="AL736" s="14">
        <f t="shared" si="174"/>
        <v>0</v>
      </c>
    </row>
    <row r="737" spans="1:38" hidden="1" x14ac:dyDescent="0.25">
      <c r="A737" s="12" t="s">
        <v>86</v>
      </c>
      <c r="B737" s="12" t="s">
        <v>796</v>
      </c>
      <c r="C737" s="12" t="s">
        <v>539</v>
      </c>
      <c r="D737" s="12"/>
      <c r="E737" s="12">
        <f t="shared" si="172"/>
        <v>50</v>
      </c>
      <c r="F737" s="12" t="str">
        <f>VLOOKUP(B737,[1]lookup!A:B,2,FALSE)</f>
        <v>Term</v>
      </c>
      <c r="G737" s="12">
        <v>0</v>
      </c>
      <c r="H737" s="12">
        <v>0</v>
      </c>
      <c r="I737" s="12">
        <v>0</v>
      </c>
      <c r="J737" s="12">
        <v>0</v>
      </c>
      <c r="K737" s="12">
        <v>0</v>
      </c>
      <c r="L737" s="12">
        <v>50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  <c r="X737" s="12">
        <v>0</v>
      </c>
      <c r="Y737" s="12">
        <v>0</v>
      </c>
      <c r="Z737" s="12">
        <v>0</v>
      </c>
      <c r="AA737" s="12"/>
      <c r="AC737" s="13">
        <f t="shared" si="173"/>
        <v>0</v>
      </c>
      <c r="AL737" s="14">
        <f t="shared" si="174"/>
        <v>0</v>
      </c>
    </row>
    <row r="738" spans="1:38" hidden="1" x14ac:dyDescent="0.25">
      <c r="A738" s="12" t="s">
        <v>86</v>
      </c>
      <c r="B738" s="12" t="s">
        <v>797</v>
      </c>
      <c r="C738" s="12" t="s">
        <v>539</v>
      </c>
      <c r="D738" s="12"/>
      <c r="E738" s="12">
        <f t="shared" si="172"/>
        <v>50</v>
      </c>
      <c r="F738" s="12" t="str">
        <f>VLOOKUP(B738,[1]lookup!A:B,2,FALSE)</f>
        <v>SaaS</v>
      </c>
      <c r="G738" s="12">
        <v>50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2">
        <v>0</v>
      </c>
      <c r="X738" s="12">
        <v>0</v>
      </c>
      <c r="Y738" s="12">
        <v>0</v>
      </c>
      <c r="Z738" s="12">
        <v>0</v>
      </c>
      <c r="AA738" s="12"/>
      <c r="AC738" s="13">
        <f t="shared" si="173"/>
        <v>0</v>
      </c>
      <c r="AL738" s="14">
        <f t="shared" si="174"/>
        <v>0</v>
      </c>
    </row>
    <row r="739" spans="1:38" hidden="1" x14ac:dyDescent="0.25">
      <c r="A739" s="12" t="s">
        <v>46</v>
      </c>
      <c r="B739" s="12" t="s">
        <v>798</v>
      </c>
      <c r="C739" s="12" t="s">
        <v>539</v>
      </c>
      <c r="D739" s="12"/>
      <c r="E739" s="12">
        <f t="shared" si="172"/>
        <v>50</v>
      </c>
      <c r="F739" s="12" t="s">
        <v>70</v>
      </c>
      <c r="G739" s="12">
        <v>0</v>
      </c>
      <c r="H739" s="12">
        <v>0</v>
      </c>
      <c r="I739" s="12">
        <v>0</v>
      </c>
      <c r="J739" s="12">
        <v>0</v>
      </c>
      <c r="K739" s="12">
        <v>0</v>
      </c>
      <c r="L739" s="12">
        <v>0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50</v>
      </c>
      <c r="V739" s="12">
        <v>0</v>
      </c>
      <c r="W739" s="12">
        <v>0</v>
      </c>
      <c r="X739" s="12">
        <v>0</v>
      </c>
      <c r="Y739" s="12">
        <v>0</v>
      </c>
      <c r="Z739" s="12">
        <v>0</v>
      </c>
      <c r="AA739" s="12"/>
      <c r="AC739" s="13">
        <f t="shared" si="173"/>
        <v>0</v>
      </c>
      <c r="AL739" s="14">
        <f t="shared" si="174"/>
        <v>0</v>
      </c>
    </row>
    <row r="740" spans="1:38" hidden="1" x14ac:dyDescent="0.25">
      <c r="A740" s="12" t="s">
        <v>56</v>
      </c>
      <c r="B740" s="12" t="s">
        <v>799</v>
      </c>
      <c r="C740" s="12" t="s">
        <v>539</v>
      </c>
      <c r="D740" s="12"/>
      <c r="E740" s="12">
        <f t="shared" si="172"/>
        <v>50</v>
      </c>
      <c r="F740" s="12" t="s">
        <v>70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50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2"/>
      <c r="AC740" s="13">
        <f t="shared" si="173"/>
        <v>0</v>
      </c>
      <c r="AL740" s="14">
        <f t="shared" si="174"/>
        <v>0</v>
      </c>
    </row>
    <row r="741" spans="1:38" hidden="1" x14ac:dyDescent="0.25">
      <c r="A741" s="12" t="s">
        <v>92</v>
      </c>
      <c r="B741" s="12" t="s">
        <v>800</v>
      </c>
      <c r="C741" s="12" t="s">
        <v>539</v>
      </c>
      <c r="D741" s="12"/>
      <c r="E741" s="12">
        <f t="shared" si="172"/>
        <v>50</v>
      </c>
      <c r="F741" s="12" t="s">
        <v>70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  <c r="W741" s="12">
        <v>50</v>
      </c>
      <c r="X741" s="12">
        <v>0</v>
      </c>
      <c r="Y741" s="12">
        <v>0</v>
      </c>
      <c r="Z741" s="12">
        <v>0</v>
      </c>
      <c r="AA741" s="12"/>
      <c r="AC741" s="13">
        <f t="shared" si="173"/>
        <v>0</v>
      </c>
      <c r="AL741" s="14">
        <f t="shared" si="174"/>
        <v>0</v>
      </c>
    </row>
    <row r="742" spans="1:38" hidden="1" x14ac:dyDescent="0.25">
      <c r="A742" s="12" t="s">
        <v>399</v>
      </c>
      <c r="B742" s="12" t="s">
        <v>801</v>
      </c>
      <c r="C742" s="12" t="s">
        <v>539</v>
      </c>
      <c r="D742" s="12"/>
      <c r="E742" s="12">
        <f t="shared" si="172"/>
        <v>50</v>
      </c>
      <c r="F742" s="12" t="str">
        <f>VLOOKUP(B742,[1]lookup!A:B,2,FALSE)</f>
        <v>Perpetual</v>
      </c>
      <c r="G742" s="12">
        <v>0</v>
      </c>
      <c r="H742" s="12">
        <v>40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50</v>
      </c>
      <c r="V742" s="12">
        <v>0</v>
      </c>
      <c r="W742" s="12">
        <v>0</v>
      </c>
      <c r="X742" s="12">
        <v>0</v>
      </c>
      <c r="Y742" s="12">
        <v>0</v>
      </c>
      <c r="Z742" s="12">
        <v>0</v>
      </c>
      <c r="AA742" s="12"/>
      <c r="AC742" s="13">
        <f t="shared" si="173"/>
        <v>0</v>
      </c>
      <c r="AK742" s="15">
        <f>H742*AK$2</f>
        <v>4800</v>
      </c>
      <c r="AL742" s="14">
        <f t="shared" si="174"/>
        <v>4800</v>
      </c>
    </row>
    <row r="743" spans="1:38" hidden="1" x14ac:dyDescent="0.25">
      <c r="A743" s="12" t="s">
        <v>51</v>
      </c>
      <c r="B743" s="12" t="s">
        <v>802</v>
      </c>
      <c r="C743" s="12" t="s">
        <v>539</v>
      </c>
      <c r="D743" s="12"/>
      <c r="E743" s="12">
        <f t="shared" si="172"/>
        <v>50</v>
      </c>
      <c r="F743" s="12" t="s">
        <v>70</v>
      </c>
      <c r="G743" s="12">
        <v>0</v>
      </c>
      <c r="H743" s="12">
        <v>0</v>
      </c>
      <c r="I743" s="12">
        <v>0</v>
      </c>
      <c r="J743" s="12">
        <v>0</v>
      </c>
      <c r="K743" s="12">
        <v>0</v>
      </c>
      <c r="L743" s="12">
        <v>0</v>
      </c>
      <c r="M743" s="12">
        <v>0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50</v>
      </c>
      <c r="V743" s="12">
        <v>0</v>
      </c>
      <c r="W743" s="12">
        <v>0</v>
      </c>
      <c r="X743" s="12">
        <v>0</v>
      </c>
      <c r="Y743" s="12">
        <v>0</v>
      </c>
      <c r="Z743" s="12">
        <v>0</v>
      </c>
      <c r="AA743" s="12"/>
      <c r="AC743" s="13">
        <f t="shared" si="173"/>
        <v>0</v>
      </c>
      <c r="AL743" s="14">
        <f t="shared" si="174"/>
        <v>0</v>
      </c>
    </row>
    <row r="744" spans="1:38" hidden="1" x14ac:dyDescent="0.25">
      <c r="A744" s="12" t="s">
        <v>51</v>
      </c>
      <c r="B744" s="12" t="s">
        <v>803</v>
      </c>
      <c r="C744" s="12" t="s">
        <v>539</v>
      </c>
      <c r="D744" s="12"/>
      <c r="E744" s="12">
        <f t="shared" si="172"/>
        <v>50</v>
      </c>
      <c r="F744" s="12" t="s">
        <v>70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50</v>
      </c>
      <c r="V744" s="12">
        <v>0</v>
      </c>
      <c r="W744" s="12">
        <v>0</v>
      </c>
      <c r="X744" s="12">
        <v>0</v>
      </c>
      <c r="Y744" s="12">
        <v>0</v>
      </c>
      <c r="Z744" s="12">
        <v>0</v>
      </c>
      <c r="AA744" s="12"/>
      <c r="AC744" s="13">
        <f t="shared" si="173"/>
        <v>0</v>
      </c>
      <c r="AL744" s="14">
        <f t="shared" si="174"/>
        <v>0</v>
      </c>
    </row>
    <row r="745" spans="1:38" hidden="1" x14ac:dyDescent="0.25">
      <c r="A745" s="12" t="s">
        <v>51</v>
      </c>
      <c r="B745" s="12" t="s">
        <v>804</v>
      </c>
      <c r="C745" s="12" t="s">
        <v>539</v>
      </c>
      <c r="D745" s="12"/>
      <c r="E745" s="12">
        <f t="shared" si="172"/>
        <v>50</v>
      </c>
      <c r="F745" s="12" t="s">
        <v>70</v>
      </c>
      <c r="G745" s="12">
        <v>0</v>
      </c>
      <c r="H745" s="12">
        <v>0</v>
      </c>
      <c r="I745" s="12">
        <v>0</v>
      </c>
      <c r="J745" s="12">
        <v>0</v>
      </c>
      <c r="K745" s="12">
        <v>0</v>
      </c>
      <c r="L745" s="12">
        <v>0</v>
      </c>
      <c r="M745" s="12">
        <v>0</v>
      </c>
      <c r="N745" s="12">
        <v>0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2">
        <v>50</v>
      </c>
      <c r="V745" s="12">
        <v>0</v>
      </c>
      <c r="W745" s="12">
        <v>0</v>
      </c>
      <c r="X745" s="12">
        <v>0</v>
      </c>
      <c r="Y745" s="12">
        <v>0</v>
      </c>
      <c r="Z745" s="12">
        <v>0</v>
      </c>
      <c r="AA745" s="12"/>
      <c r="AC745" s="13">
        <f t="shared" si="173"/>
        <v>0</v>
      </c>
      <c r="AL745" s="14">
        <f t="shared" si="174"/>
        <v>0</v>
      </c>
    </row>
    <row r="746" spans="1:38" hidden="1" x14ac:dyDescent="0.25">
      <c r="A746" s="12" t="s">
        <v>51</v>
      </c>
      <c r="B746" s="12" t="s">
        <v>805</v>
      </c>
      <c r="C746" s="12" t="s">
        <v>539</v>
      </c>
      <c r="D746" s="12"/>
      <c r="E746" s="12">
        <f t="shared" si="172"/>
        <v>50</v>
      </c>
      <c r="F746" s="12" t="s">
        <v>70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50</v>
      </c>
      <c r="V746" s="12">
        <v>0</v>
      </c>
      <c r="W746" s="12">
        <v>0</v>
      </c>
      <c r="X746" s="12">
        <v>0</v>
      </c>
      <c r="Y746" s="12">
        <v>0</v>
      </c>
      <c r="Z746" s="12">
        <v>0</v>
      </c>
      <c r="AA746" s="12"/>
      <c r="AC746" s="13">
        <f t="shared" si="173"/>
        <v>0</v>
      </c>
      <c r="AL746" s="14">
        <f t="shared" si="174"/>
        <v>0</v>
      </c>
    </row>
    <row r="747" spans="1:38" hidden="1" x14ac:dyDescent="0.25">
      <c r="A747" s="12" t="s">
        <v>222</v>
      </c>
      <c r="B747" s="12" t="s">
        <v>806</v>
      </c>
      <c r="C747" s="12" t="s">
        <v>539</v>
      </c>
      <c r="D747" s="12"/>
      <c r="E747" s="12">
        <f t="shared" si="172"/>
        <v>50</v>
      </c>
      <c r="F747" s="12" t="s">
        <v>70</v>
      </c>
      <c r="G747" s="12">
        <v>0</v>
      </c>
      <c r="H747" s="12">
        <v>0</v>
      </c>
      <c r="I747" s="12">
        <v>0</v>
      </c>
      <c r="J747" s="12">
        <v>0</v>
      </c>
      <c r="K747" s="12">
        <v>0</v>
      </c>
      <c r="L747" s="12">
        <v>0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0</v>
      </c>
      <c r="W747" s="12">
        <v>50</v>
      </c>
      <c r="X747" s="12">
        <v>0</v>
      </c>
      <c r="Y747" s="12">
        <v>0</v>
      </c>
      <c r="Z747" s="12">
        <v>0</v>
      </c>
      <c r="AA747" s="12"/>
      <c r="AC747" s="13">
        <f t="shared" si="173"/>
        <v>0</v>
      </c>
      <c r="AL747" s="14">
        <f t="shared" si="174"/>
        <v>0</v>
      </c>
    </row>
    <row r="748" spans="1:38" hidden="1" x14ac:dyDescent="0.25">
      <c r="A748" s="12" t="s">
        <v>296</v>
      </c>
      <c r="B748" s="12" t="s">
        <v>807</v>
      </c>
      <c r="C748" s="12" t="s">
        <v>539</v>
      </c>
      <c r="D748" s="12"/>
      <c r="E748" s="12">
        <f t="shared" si="172"/>
        <v>50</v>
      </c>
      <c r="F748" s="12" t="s">
        <v>70</v>
      </c>
      <c r="G748" s="12">
        <v>0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2">
        <v>0</v>
      </c>
      <c r="W748" s="12">
        <v>50</v>
      </c>
      <c r="X748" s="12">
        <v>0</v>
      </c>
      <c r="Y748" s="12">
        <v>0</v>
      </c>
      <c r="Z748" s="12">
        <v>0</v>
      </c>
      <c r="AA748" s="12"/>
      <c r="AC748" s="13">
        <f t="shared" si="173"/>
        <v>0</v>
      </c>
      <c r="AL748" s="14">
        <f t="shared" si="174"/>
        <v>0</v>
      </c>
    </row>
    <row r="749" spans="1:38" hidden="1" x14ac:dyDescent="0.25">
      <c r="A749" s="12" t="s">
        <v>173</v>
      </c>
      <c r="B749" s="12" t="s">
        <v>808</v>
      </c>
      <c r="C749" s="12" t="s">
        <v>539</v>
      </c>
      <c r="D749" s="12"/>
      <c r="E749" s="12">
        <f t="shared" si="172"/>
        <v>50</v>
      </c>
      <c r="F749" s="12" t="str">
        <f>VLOOKUP(B749,[1]lookup!A:B,2,FALSE)</f>
        <v>SaaS</v>
      </c>
      <c r="G749" s="12">
        <v>0</v>
      </c>
      <c r="H749" s="12">
        <v>0</v>
      </c>
      <c r="I749" s="12">
        <v>0</v>
      </c>
      <c r="J749" s="12">
        <v>0</v>
      </c>
      <c r="K749" s="12">
        <v>0</v>
      </c>
      <c r="L749" s="12">
        <v>0</v>
      </c>
      <c r="M749" s="12">
        <v>0</v>
      </c>
      <c r="N749" s="12">
        <v>50</v>
      </c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0</v>
      </c>
      <c r="U749" s="12">
        <v>0</v>
      </c>
      <c r="V749" s="12">
        <v>0</v>
      </c>
      <c r="W749" s="12">
        <v>0</v>
      </c>
      <c r="X749" s="12">
        <v>0</v>
      </c>
      <c r="Y749" s="12">
        <v>0</v>
      </c>
      <c r="Z749" s="12">
        <v>0</v>
      </c>
      <c r="AA749" s="12"/>
      <c r="AC749" s="13">
        <f t="shared" si="173"/>
        <v>0</v>
      </c>
      <c r="AL749" s="14">
        <f t="shared" si="174"/>
        <v>0</v>
      </c>
    </row>
    <row r="750" spans="1:38" hidden="1" x14ac:dyDescent="0.25">
      <c r="A750" s="12" t="s">
        <v>537</v>
      </c>
      <c r="B750" s="12" t="s">
        <v>809</v>
      </c>
      <c r="C750" s="12" t="s">
        <v>539</v>
      </c>
      <c r="D750" s="12"/>
      <c r="E750" s="12">
        <f t="shared" si="172"/>
        <v>50</v>
      </c>
      <c r="F750" s="12" t="str">
        <f>VLOOKUP(B750,[1]lookup!A:B,2,FALSE)</f>
        <v>SaaS</v>
      </c>
      <c r="G750" s="12">
        <v>0</v>
      </c>
      <c r="H750" s="12">
        <v>0</v>
      </c>
      <c r="I750" s="12">
        <v>0</v>
      </c>
      <c r="J750" s="12">
        <v>50</v>
      </c>
      <c r="K750" s="12">
        <v>0</v>
      </c>
      <c r="L750" s="12">
        <v>0</v>
      </c>
      <c r="M750" s="12">
        <v>0</v>
      </c>
      <c r="N750" s="12">
        <v>50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12">
        <v>0</v>
      </c>
      <c r="U750" s="12">
        <v>0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2"/>
      <c r="AC750" s="13">
        <f t="shared" si="173"/>
        <v>0</v>
      </c>
      <c r="AD750" s="13">
        <f>J750*AD$2</f>
        <v>12000</v>
      </c>
      <c r="AE750" s="13">
        <f>J750*AE$2</f>
        <v>6000</v>
      </c>
      <c r="AL750" s="14">
        <f t="shared" si="174"/>
        <v>18000</v>
      </c>
    </row>
    <row r="751" spans="1:38" hidden="1" x14ac:dyDescent="0.25">
      <c r="A751" s="12" t="s">
        <v>537</v>
      </c>
      <c r="B751" s="12" t="s">
        <v>810</v>
      </c>
      <c r="C751" s="12" t="s">
        <v>539</v>
      </c>
      <c r="D751" s="12"/>
      <c r="E751" s="12">
        <f t="shared" si="172"/>
        <v>50</v>
      </c>
      <c r="F751" s="12" t="str">
        <f>VLOOKUP(B751,[1]lookup!A:B,2,FALSE)</f>
        <v>SaaS</v>
      </c>
      <c r="G751" s="12">
        <v>0</v>
      </c>
      <c r="H751" s="12">
        <v>0</v>
      </c>
      <c r="I751" s="12">
        <v>0</v>
      </c>
      <c r="J751" s="12">
        <v>0</v>
      </c>
      <c r="K751" s="12">
        <v>0</v>
      </c>
      <c r="L751" s="12">
        <v>0</v>
      </c>
      <c r="M751" s="12">
        <v>0</v>
      </c>
      <c r="N751" s="12">
        <v>50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2">
        <v>0</v>
      </c>
      <c r="X751" s="12">
        <v>0</v>
      </c>
      <c r="Y751" s="12">
        <v>0</v>
      </c>
      <c r="Z751" s="12">
        <v>0</v>
      </c>
      <c r="AA751" s="12"/>
      <c r="AC751" s="13">
        <f t="shared" si="173"/>
        <v>0</v>
      </c>
      <c r="AL751" s="14">
        <f t="shared" si="174"/>
        <v>0</v>
      </c>
    </row>
    <row r="752" spans="1:38" hidden="1" x14ac:dyDescent="0.25">
      <c r="A752" s="12" t="s">
        <v>92</v>
      </c>
      <c r="B752" s="12" t="s">
        <v>811</v>
      </c>
      <c r="C752" s="12" t="s">
        <v>539</v>
      </c>
      <c r="D752" s="12"/>
      <c r="E752" s="12">
        <f t="shared" si="172"/>
        <v>49</v>
      </c>
      <c r="F752" s="12" t="s">
        <v>70</v>
      </c>
      <c r="G752" s="12">
        <v>0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0</v>
      </c>
      <c r="W752" s="12">
        <v>49</v>
      </c>
      <c r="X752" s="12">
        <v>0</v>
      </c>
      <c r="Y752" s="12">
        <v>0</v>
      </c>
      <c r="Z752" s="12">
        <v>0</v>
      </c>
      <c r="AA752" s="12"/>
      <c r="AC752" s="13">
        <f t="shared" si="173"/>
        <v>0</v>
      </c>
      <c r="AL752" s="14">
        <f t="shared" si="174"/>
        <v>0</v>
      </c>
    </row>
    <row r="753" spans="1:38" hidden="1" x14ac:dyDescent="0.25">
      <c r="A753" s="12" t="s">
        <v>135</v>
      </c>
      <c r="B753" s="12" t="s">
        <v>812</v>
      </c>
      <c r="C753" s="12" t="s">
        <v>539</v>
      </c>
      <c r="D753" s="12"/>
      <c r="E753" s="12">
        <f t="shared" si="172"/>
        <v>49</v>
      </c>
      <c r="F753" s="12" t="s">
        <v>70</v>
      </c>
      <c r="G753" s="12">
        <v>0</v>
      </c>
      <c r="H753" s="12">
        <v>0</v>
      </c>
      <c r="I753" s="12">
        <v>0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  <c r="W753" s="12">
        <v>49</v>
      </c>
      <c r="X753" s="12">
        <v>0</v>
      </c>
      <c r="Y753" s="12">
        <v>0</v>
      </c>
      <c r="Z753" s="12">
        <v>0</v>
      </c>
      <c r="AA753" s="12"/>
      <c r="AC753" s="13">
        <f t="shared" si="173"/>
        <v>0</v>
      </c>
      <c r="AL753" s="14">
        <f t="shared" si="174"/>
        <v>0</v>
      </c>
    </row>
    <row r="754" spans="1:38" hidden="1" x14ac:dyDescent="0.25">
      <c r="A754" s="12" t="s">
        <v>537</v>
      </c>
      <c r="B754" s="12" t="s">
        <v>813</v>
      </c>
      <c r="C754" s="12" t="s">
        <v>539</v>
      </c>
      <c r="D754" s="12"/>
      <c r="E754" s="12">
        <f t="shared" si="172"/>
        <v>49</v>
      </c>
      <c r="F754" s="12" t="str">
        <f>VLOOKUP(B754,[1]lookup!A:B,2,FALSE)</f>
        <v>SaaS</v>
      </c>
      <c r="G754" s="12">
        <v>0</v>
      </c>
      <c r="H754" s="12">
        <v>0</v>
      </c>
      <c r="I754" s="12">
        <v>0</v>
      </c>
      <c r="J754" s="12">
        <v>49</v>
      </c>
      <c r="K754" s="12">
        <v>0</v>
      </c>
      <c r="L754" s="12">
        <v>0</v>
      </c>
      <c r="M754" s="12">
        <v>0</v>
      </c>
      <c r="N754" s="12">
        <v>49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  <c r="X754" s="12">
        <v>0</v>
      </c>
      <c r="Y754" s="12">
        <v>0</v>
      </c>
      <c r="Z754" s="12">
        <v>0</v>
      </c>
      <c r="AA754" s="12"/>
      <c r="AC754" s="13">
        <f t="shared" si="173"/>
        <v>0</v>
      </c>
      <c r="AD754" s="13">
        <f>J754*AD$2</f>
        <v>11760</v>
      </c>
      <c r="AE754" s="13">
        <f>J754*AE$2</f>
        <v>5880</v>
      </c>
      <c r="AL754" s="14">
        <f t="shared" si="174"/>
        <v>17640</v>
      </c>
    </row>
    <row r="755" spans="1:38" hidden="1" x14ac:dyDescent="0.25">
      <c r="A755" s="12" t="s">
        <v>148</v>
      </c>
      <c r="B755" s="12" t="s">
        <v>814</v>
      </c>
      <c r="C755" s="12" t="s">
        <v>539</v>
      </c>
      <c r="D755" s="12"/>
      <c r="E755" s="12">
        <f t="shared" si="172"/>
        <v>48</v>
      </c>
      <c r="F755" s="12" t="s">
        <v>70</v>
      </c>
      <c r="G755" s="12">
        <v>0</v>
      </c>
      <c r="H755" s="12">
        <v>0</v>
      </c>
      <c r="I755" s="12">
        <v>0</v>
      </c>
      <c r="J755" s="12">
        <v>0</v>
      </c>
      <c r="K755" s="12">
        <v>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2">
        <v>48</v>
      </c>
      <c r="X755" s="12">
        <v>0</v>
      </c>
      <c r="Y755" s="12">
        <v>0</v>
      </c>
      <c r="Z755" s="12">
        <v>0</v>
      </c>
      <c r="AA755" s="12"/>
      <c r="AC755" s="13">
        <f t="shared" si="173"/>
        <v>0</v>
      </c>
      <c r="AL755" s="14">
        <f t="shared" si="174"/>
        <v>0</v>
      </c>
    </row>
    <row r="756" spans="1:38" hidden="1" x14ac:dyDescent="0.25">
      <c r="A756" s="12" t="s">
        <v>173</v>
      </c>
      <c r="B756" s="12" t="s">
        <v>815</v>
      </c>
      <c r="C756" s="12" t="s">
        <v>539</v>
      </c>
      <c r="D756" s="12"/>
      <c r="E756" s="12">
        <f t="shared" si="172"/>
        <v>48</v>
      </c>
      <c r="F756" s="12" t="str">
        <f>VLOOKUP(B756,[1]lookup!A:B,2,FALSE)</f>
        <v>SaaS</v>
      </c>
      <c r="G756" s="12">
        <v>0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48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0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2"/>
      <c r="AC756" s="13">
        <f t="shared" si="173"/>
        <v>0</v>
      </c>
      <c r="AL756" s="14">
        <f t="shared" si="174"/>
        <v>0</v>
      </c>
    </row>
    <row r="757" spans="1:38" hidden="1" x14ac:dyDescent="0.25">
      <c r="A757" s="12" t="s">
        <v>537</v>
      </c>
      <c r="B757" s="12" t="s">
        <v>816</v>
      </c>
      <c r="C757" s="12" t="s">
        <v>539</v>
      </c>
      <c r="D757" s="12"/>
      <c r="E757" s="12">
        <f t="shared" si="172"/>
        <v>48</v>
      </c>
      <c r="F757" s="12" t="str">
        <f>VLOOKUP(B757,[1]lookup!A:B,2,FALSE)</f>
        <v>SaaS</v>
      </c>
      <c r="G757" s="12">
        <v>0</v>
      </c>
      <c r="H757" s="12">
        <v>0</v>
      </c>
      <c r="I757" s="12">
        <v>0</v>
      </c>
      <c r="J757" s="12">
        <v>0</v>
      </c>
      <c r="K757" s="12">
        <v>0</v>
      </c>
      <c r="L757" s="12">
        <v>0</v>
      </c>
      <c r="M757" s="12">
        <v>0</v>
      </c>
      <c r="N757" s="12">
        <v>48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  <c r="X757" s="12">
        <v>0</v>
      </c>
      <c r="Y757" s="12">
        <v>0</v>
      </c>
      <c r="Z757" s="12">
        <v>0</v>
      </c>
      <c r="AA757" s="12"/>
      <c r="AC757" s="13">
        <f t="shared" si="173"/>
        <v>0</v>
      </c>
      <c r="AL757" s="14">
        <f t="shared" si="174"/>
        <v>0</v>
      </c>
    </row>
    <row r="758" spans="1:38" hidden="1" x14ac:dyDescent="0.25">
      <c r="A758" s="12" t="s">
        <v>222</v>
      </c>
      <c r="B758" s="12" t="s">
        <v>817</v>
      </c>
      <c r="C758" s="12" t="s">
        <v>539</v>
      </c>
      <c r="D758" s="12"/>
      <c r="E758" s="12">
        <f t="shared" si="172"/>
        <v>47</v>
      </c>
      <c r="F758" s="12" t="s">
        <v>70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0</v>
      </c>
      <c r="W758" s="12">
        <v>47</v>
      </c>
      <c r="X758" s="12">
        <v>0</v>
      </c>
      <c r="Y758" s="12">
        <v>0</v>
      </c>
      <c r="Z758" s="12">
        <v>0</v>
      </c>
      <c r="AA758" s="12"/>
      <c r="AC758" s="13">
        <f t="shared" si="173"/>
        <v>0</v>
      </c>
      <c r="AL758" s="14">
        <f t="shared" si="174"/>
        <v>0</v>
      </c>
    </row>
    <row r="759" spans="1:38" hidden="1" x14ac:dyDescent="0.25">
      <c r="A759" s="12" t="s">
        <v>86</v>
      </c>
      <c r="B759" s="12" t="s">
        <v>818</v>
      </c>
      <c r="C759" s="12" t="s">
        <v>539</v>
      </c>
      <c r="D759" s="12"/>
      <c r="E759" s="12">
        <f t="shared" si="172"/>
        <v>46</v>
      </c>
      <c r="F759" s="12" t="str">
        <f>VLOOKUP(B759,[1]lookup!A:B,2,FALSE)</f>
        <v>Term</v>
      </c>
      <c r="G759" s="12">
        <v>0</v>
      </c>
      <c r="H759" s="12">
        <v>46</v>
      </c>
      <c r="I759" s="12">
        <v>0</v>
      </c>
      <c r="J759" s="12">
        <v>0</v>
      </c>
      <c r="K759" s="12">
        <v>0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2">
        <v>0</v>
      </c>
      <c r="W759" s="12">
        <v>0</v>
      </c>
      <c r="X759" s="12">
        <v>0</v>
      </c>
      <c r="Y759" s="12">
        <v>0</v>
      </c>
      <c r="Z759" s="12">
        <v>0</v>
      </c>
      <c r="AA759" s="12"/>
      <c r="AC759" s="13">
        <f t="shared" si="173"/>
        <v>0</v>
      </c>
      <c r="AK759" s="15">
        <f>H759*AK$2</f>
        <v>5520</v>
      </c>
      <c r="AL759" s="14">
        <f t="shared" si="174"/>
        <v>5520</v>
      </c>
    </row>
    <row r="760" spans="1:38" hidden="1" x14ac:dyDescent="0.25">
      <c r="A760" s="12" t="s">
        <v>64</v>
      </c>
      <c r="B760" s="12" t="s">
        <v>432</v>
      </c>
      <c r="C760" s="12" t="s">
        <v>539</v>
      </c>
      <c r="D760" s="12"/>
      <c r="E760" s="12">
        <f t="shared" si="172"/>
        <v>46</v>
      </c>
      <c r="F760" s="12" t="str">
        <f>VLOOKUP(B760,[1]lookup!A:B,2,FALSE)</f>
        <v>Term</v>
      </c>
      <c r="G760" s="12">
        <v>0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0</v>
      </c>
      <c r="V760" s="12">
        <v>0</v>
      </c>
      <c r="W760" s="12">
        <v>46</v>
      </c>
      <c r="X760" s="12">
        <v>0</v>
      </c>
      <c r="Y760" s="12">
        <v>0</v>
      </c>
      <c r="Z760" s="12">
        <v>0</v>
      </c>
      <c r="AA760" s="12"/>
      <c r="AC760" s="13">
        <f t="shared" si="173"/>
        <v>0</v>
      </c>
      <c r="AL760" s="14">
        <f t="shared" si="174"/>
        <v>0</v>
      </c>
    </row>
    <row r="761" spans="1:38" hidden="1" x14ac:dyDescent="0.25">
      <c r="A761" s="12" t="s">
        <v>140</v>
      </c>
      <c r="B761" s="12" t="s">
        <v>819</v>
      </c>
      <c r="C761" s="12" t="s">
        <v>539</v>
      </c>
      <c r="D761" s="12"/>
      <c r="E761" s="12">
        <f t="shared" si="172"/>
        <v>46</v>
      </c>
      <c r="F761" s="12" t="s">
        <v>70</v>
      </c>
      <c r="G761" s="12">
        <v>0</v>
      </c>
      <c r="H761" s="12">
        <v>0</v>
      </c>
      <c r="I761" s="12">
        <v>0</v>
      </c>
      <c r="J761" s="12">
        <v>0</v>
      </c>
      <c r="K761" s="12">
        <v>0</v>
      </c>
      <c r="L761" s="12">
        <v>0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46</v>
      </c>
      <c r="X761" s="12">
        <v>0</v>
      </c>
      <c r="Y761" s="12">
        <v>0</v>
      </c>
      <c r="Z761" s="12">
        <v>0</v>
      </c>
      <c r="AA761" s="12"/>
      <c r="AC761" s="13">
        <f t="shared" si="173"/>
        <v>0</v>
      </c>
      <c r="AL761" s="14">
        <f t="shared" si="174"/>
        <v>0</v>
      </c>
    </row>
    <row r="762" spans="1:38" hidden="1" x14ac:dyDescent="0.25">
      <c r="A762" s="12" t="s">
        <v>51</v>
      </c>
      <c r="B762" s="12" t="s">
        <v>820</v>
      </c>
      <c r="C762" s="12" t="s">
        <v>539</v>
      </c>
      <c r="D762" s="12"/>
      <c r="E762" s="12">
        <f t="shared" si="172"/>
        <v>46</v>
      </c>
      <c r="F762" s="12" t="s">
        <v>70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46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2"/>
      <c r="AC762" s="13">
        <f t="shared" si="173"/>
        <v>0</v>
      </c>
      <c r="AL762" s="14">
        <f t="shared" si="174"/>
        <v>0</v>
      </c>
    </row>
    <row r="763" spans="1:38" hidden="1" x14ac:dyDescent="0.25">
      <c r="A763" s="12" t="s">
        <v>56</v>
      </c>
      <c r="B763" s="12" t="s">
        <v>821</v>
      </c>
      <c r="C763" s="12" t="s">
        <v>539</v>
      </c>
      <c r="D763" s="12"/>
      <c r="E763" s="12">
        <f t="shared" si="172"/>
        <v>45</v>
      </c>
      <c r="F763" s="12" t="s">
        <v>70</v>
      </c>
      <c r="G763" s="12">
        <v>0</v>
      </c>
      <c r="H763" s="12">
        <v>0</v>
      </c>
      <c r="I763" s="12">
        <v>0</v>
      </c>
      <c r="J763" s="12">
        <v>0</v>
      </c>
      <c r="K763" s="12">
        <v>0</v>
      </c>
      <c r="L763" s="12">
        <v>0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45</v>
      </c>
      <c r="V763" s="12">
        <v>0</v>
      </c>
      <c r="W763" s="12">
        <v>0</v>
      </c>
      <c r="X763" s="12">
        <v>0</v>
      </c>
      <c r="Y763" s="12">
        <v>0</v>
      </c>
      <c r="Z763" s="12">
        <v>0</v>
      </c>
      <c r="AA763" s="12"/>
      <c r="AC763" s="13">
        <f t="shared" si="173"/>
        <v>0</v>
      </c>
      <c r="AL763" s="14">
        <f t="shared" si="174"/>
        <v>0</v>
      </c>
    </row>
    <row r="764" spans="1:38" hidden="1" x14ac:dyDescent="0.25">
      <c r="A764" s="12" t="s">
        <v>78</v>
      </c>
      <c r="B764" s="12" t="s">
        <v>775</v>
      </c>
      <c r="C764" s="12" t="s">
        <v>539</v>
      </c>
      <c r="D764" s="12"/>
      <c r="E764" s="12">
        <f t="shared" si="172"/>
        <v>45</v>
      </c>
      <c r="F764" s="12" t="str">
        <f>VLOOKUP(B764,[1]lookup!A:B,2,FALSE)</f>
        <v>Perpetual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45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12">
        <v>0</v>
      </c>
      <c r="U764" s="12">
        <v>0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12"/>
      <c r="AC764" s="13">
        <f t="shared" si="173"/>
        <v>10800</v>
      </c>
      <c r="AL764" s="14">
        <f t="shared" si="174"/>
        <v>10800</v>
      </c>
    </row>
    <row r="765" spans="1:38" hidden="1" x14ac:dyDescent="0.25">
      <c r="A765" s="12" t="s">
        <v>80</v>
      </c>
      <c r="B765" s="12" t="s">
        <v>822</v>
      </c>
      <c r="C765" s="12" t="s">
        <v>539</v>
      </c>
      <c r="D765" s="12"/>
      <c r="E765" s="12">
        <f t="shared" si="172"/>
        <v>45</v>
      </c>
      <c r="F765" s="12" t="s">
        <v>70</v>
      </c>
      <c r="G765" s="12">
        <v>0</v>
      </c>
      <c r="H765" s="12">
        <v>0</v>
      </c>
      <c r="I765" s="12">
        <v>0</v>
      </c>
      <c r="J765" s="12">
        <v>0</v>
      </c>
      <c r="K765" s="12">
        <v>0</v>
      </c>
      <c r="L765" s="12">
        <v>0</v>
      </c>
      <c r="M765" s="12">
        <v>0</v>
      </c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45</v>
      </c>
      <c r="V765" s="12">
        <v>0</v>
      </c>
      <c r="W765" s="12">
        <v>0</v>
      </c>
      <c r="X765" s="12">
        <v>0</v>
      </c>
      <c r="Y765" s="12">
        <v>0</v>
      </c>
      <c r="Z765" s="12">
        <v>0</v>
      </c>
      <c r="AA765" s="12"/>
      <c r="AC765" s="13">
        <f t="shared" si="173"/>
        <v>0</v>
      </c>
      <c r="AL765" s="14">
        <f t="shared" si="174"/>
        <v>0</v>
      </c>
    </row>
    <row r="766" spans="1:38" hidden="1" x14ac:dyDescent="0.25">
      <c r="A766" s="12" t="s">
        <v>51</v>
      </c>
      <c r="B766" s="12" t="s">
        <v>823</v>
      </c>
      <c r="C766" s="12" t="s">
        <v>539</v>
      </c>
      <c r="D766" s="12"/>
      <c r="E766" s="12">
        <f t="shared" si="172"/>
        <v>45</v>
      </c>
      <c r="F766" s="12" t="s">
        <v>70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45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2"/>
      <c r="AC766" s="13">
        <f t="shared" si="173"/>
        <v>0</v>
      </c>
      <c r="AL766" s="14">
        <f t="shared" si="174"/>
        <v>0</v>
      </c>
    </row>
    <row r="767" spans="1:38" hidden="1" x14ac:dyDescent="0.25">
      <c r="A767" s="12" t="s">
        <v>148</v>
      </c>
      <c r="B767" s="12" t="s">
        <v>824</v>
      </c>
      <c r="C767" s="12" t="s">
        <v>539</v>
      </c>
      <c r="D767" s="12"/>
      <c r="E767" s="12">
        <f t="shared" si="172"/>
        <v>45</v>
      </c>
      <c r="F767" s="12" t="s">
        <v>70</v>
      </c>
      <c r="G767" s="12">
        <v>0</v>
      </c>
      <c r="H767" s="12">
        <v>0</v>
      </c>
      <c r="I767" s="12">
        <v>0</v>
      </c>
      <c r="J767" s="12">
        <v>0</v>
      </c>
      <c r="K767" s="12">
        <v>0</v>
      </c>
      <c r="L767" s="12">
        <v>0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45</v>
      </c>
      <c r="X767" s="12">
        <v>0</v>
      </c>
      <c r="Y767" s="12">
        <v>0</v>
      </c>
      <c r="Z767" s="12">
        <v>0</v>
      </c>
      <c r="AA767" s="12"/>
      <c r="AC767" s="13">
        <f t="shared" si="173"/>
        <v>0</v>
      </c>
      <c r="AL767" s="14">
        <f t="shared" si="174"/>
        <v>0</v>
      </c>
    </row>
    <row r="768" spans="1:38" hidden="1" x14ac:dyDescent="0.25">
      <c r="A768" s="12" t="s">
        <v>537</v>
      </c>
      <c r="B768" s="12" t="s">
        <v>825</v>
      </c>
      <c r="C768" s="12" t="s">
        <v>539</v>
      </c>
      <c r="D768" s="12"/>
      <c r="E768" s="12">
        <f t="shared" si="172"/>
        <v>45</v>
      </c>
      <c r="F768" s="12" t="str">
        <f>VLOOKUP(B768,[1]lookup!A:B,2,FALSE)</f>
        <v>SaaS</v>
      </c>
      <c r="G768" s="12">
        <v>0</v>
      </c>
      <c r="H768" s="12">
        <v>0</v>
      </c>
      <c r="I768" s="12">
        <v>0</v>
      </c>
      <c r="J768" s="12">
        <v>45</v>
      </c>
      <c r="K768" s="12">
        <v>0</v>
      </c>
      <c r="L768" s="12">
        <v>0</v>
      </c>
      <c r="M768" s="12">
        <v>0</v>
      </c>
      <c r="N768" s="12">
        <v>45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2"/>
      <c r="AC768" s="13">
        <f t="shared" si="173"/>
        <v>0</v>
      </c>
      <c r="AD768" s="13">
        <f>J768*AD$2</f>
        <v>10800</v>
      </c>
      <c r="AE768" s="13">
        <f>J768*AE$2</f>
        <v>5400</v>
      </c>
      <c r="AL768" s="14">
        <f t="shared" si="174"/>
        <v>16200</v>
      </c>
    </row>
    <row r="769" spans="1:38" hidden="1" x14ac:dyDescent="0.25">
      <c r="A769" s="12" t="s">
        <v>399</v>
      </c>
      <c r="B769" s="12" t="s">
        <v>826</v>
      </c>
      <c r="C769" s="12" t="s">
        <v>539</v>
      </c>
      <c r="D769" s="12"/>
      <c r="E769" s="12">
        <f t="shared" si="172"/>
        <v>44</v>
      </c>
      <c r="F769" s="12" t="s">
        <v>70</v>
      </c>
      <c r="G769" s="12">
        <v>0</v>
      </c>
      <c r="H769" s="12">
        <v>0</v>
      </c>
      <c r="I769" s="12">
        <v>0</v>
      </c>
      <c r="J769" s="12">
        <v>0</v>
      </c>
      <c r="K769" s="12">
        <v>0</v>
      </c>
      <c r="L769" s="12">
        <v>0</v>
      </c>
      <c r="M769" s="12">
        <v>0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44</v>
      </c>
      <c r="V769" s="12">
        <v>0</v>
      </c>
      <c r="W769" s="12">
        <v>0</v>
      </c>
      <c r="X769" s="12">
        <v>0</v>
      </c>
      <c r="Y769" s="12">
        <v>0</v>
      </c>
      <c r="Z769" s="12">
        <v>0</v>
      </c>
      <c r="AA769" s="12"/>
      <c r="AC769" s="13">
        <f t="shared" si="173"/>
        <v>0</v>
      </c>
      <c r="AL769" s="14">
        <f t="shared" si="174"/>
        <v>0</v>
      </c>
    </row>
    <row r="770" spans="1:38" hidden="1" x14ac:dyDescent="0.25">
      <c r="A770" s="12" t="s">
        <v>51</v>
      </c>
      <c r="B770" s="12" t="s">
        <v>827</v>
      </c>
      <c r="C770" s="12" t="s">
        <v>539</v>
      </c>
      <c r="D770" s="12"/>
      <c r="E770" s="12">
        <f t="shared" si="172"/>
        <v>44</v>
      </c>
      <c r="F770" s="12" t="s">
        <v>70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44</v>
      </c>
      <c r="V770" s="12">
        <v>0</v>
      </c>
      <c r="W770" s="12">
        <v>0</v>
      </c>
      <c r="X770" s="12">
        <v>0</v>
      </c>
      <c r="Y770" s="12">
        <v>0</v>
      </c>
      <c r="Z770" s="12">
        <v>0</v>
      </c>
      <c r="AA770" s="12"/>
      <c r="AC770" s="13">
        <f t="shared" si="173"/>
        <v>0</v>
      </c>
      <c r="AL770" s="14">
        <f t="shared" si="174"/>
        <v>0</v>
      </c>
    </row>
    <row r="771" spans="1:38" hidden="1" x14ac:dyDescent="0.25">
      <c r="A771" s="12" t="s">
        <v>762</v>
      </c>
      <c r="B771" s="12" t="s">
        <v>828</v>
      </c>
      <c r="C771" s="12" t="s">
        <v>539</v>
      </c>
      <c r="D771" s="12"/>
      <c r="E771" s="12">
        <f t="shared" si="172"/>
        <v>44</v>
      </c>
      <c r="F771" s="12" t="s">
        <v>70</v>
      </c>
      <c r="G771" s="12">
        <v>0</v>
      </c>
      <c r="H771" s="12">
        <v>0</v>
      </c>
      <c r="I771" s="12">
        <v>0</v>
      </c>
      <c r="J771" s="12">
        <v>0</v>
      </c>
      <c r="K771" s="12">
        <v>0</v>
      </c>
      <c r="L771" s="12">
        <v>0</v>
      </c>
      <c r="M771" s="12">
        <v>0</v>
      </c>
      <c r="N771" s="12">
        <v>0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44</v>
      </c>
      <c r="V771" s="12">
        <v>0</v>
      </c>
      <c r="W771" s="12">
        <v>0</v>
      </c>
      <c r="X771" s="12">
        <v>0</v>
      </c>
      <c r="Y771" s="12">
        <v>0</v>
      </c>
      <c r="Z771" s="12">
        <v>0</v>
      </c>
      <c r="AA771" s="12"/>
      <c r="AC771" s="13">
        <f t="shared" si="173"/>
        <v>0</v>
      </c>
      <c r="AL771" s="14">
        <f t="shared" si="174"/>
        <v>0</v>
      </c>
    </row>
    <row r="772" spans="1:38" hidden="1" x14ac:dyDescent="0.25">
      <c r="A772" s="12" t="s">
        <v>86</v>
      </c>
      <c r="B772" s="12" t="s">
        <v>829</v>
      </c>
      <c r="C772" s="12" t="s">
        <v>539</v>
      </c>
      <c r="D772" s="12"/>
      <c r="E772" s="12">
        <f t="shared" si="172"/>
        <v>43</v>
      </c>
      <c r="F772" s="12" t="str">
        <f>VLOOKUP(B772,[1]lookup!A:B,2,FALSE)</f>
        <v>Perpetual</v>
      </c>
      <c r="G772" s="12">
        <v>0</v>
      </c>
      <c r="H772" s="12">
        <v>43</v>
      </c>
      <c r="I772" s="12">
        <v>5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9</v>
      </c>
      <c r="Q772" s="12">
        <v>0</v>
      </c>
      <c r="R772" s="12">
        <v>0</v>
      </c>
      <c r="S772" s="12">
        <v>0</v>
      </c>
      <c r="T772" s="12">
        <v>0</v>
      </c>
      <c r="U772" s="12">
        <v>0</v>
      </c>
      <c r="V772" s="12">
        <v>0</v>
      </c>
      <c r="W772" s="12">
        <v>0</v>
      </c>
      <c r="X772" s="12">
        <v>0</v>
      </c>
      <c r="Y772" s="12">
        <v>0</v>
      </c>
      <c r="Z772" s="12">
        <v>0</v>
      </c>
      <c r="AA772" s="12"/>
      <c r="AC772" s="13">
        <f t="shared" si="173"/>
        <v>0</v>
      </c>
      <c r="AL772" s="14">
        <f t="shared" si="174"/>
        <v>0</v>
      </c>
    </row>
    <row r="773" spans="1:38" hidden="1" x14ac:dyDescent="0.25">
      <c r="A773" s="12" t="s">
        <v>51</v>
      </c>
      <c r="B773" s="12" t="s">
        <v>830</v>
      </c>
      <c r="C773" s="12" t="s">
        <v>539</v>
      </c>
      <c r="D773" s="12"/>
      <c r="E773" s="12">
        <f t="shared" ref="E773:E836" si="177">MAX(G773:Z773)</f>
        <v>43</v>
      </c>
      <c r="F773" s="12" t="s">
        <v>70</v>
      </c>
      <c r="G773" s="12">
        <v>0</v>
      </c>
      <c r="H773" s="12">
        <v>0</v>
      </c>
      <c r="I773" s="12">
        <v>0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43</v>
      </c>
      <c r="V773" s="12">
        <v>0</v>
      </c>
      <c r="W773" s="12">
        <v>0</v>
      </c>
      <c r="X773" s="12">
        <v>0</v>
      </c>
      <c r="Y773" s="12">
        <v>0</v>
      </c>
      <c r="Z773" s="12">
        <v>0</v>
      </c>
      <c r="AA773" s="12"/>
      <c r="AC773" s="13">
        <f t="shared" ref="AC773:AC836" si="178">M773*AC$2</f>
        <v>0</v>
      </c>
      <c r="AL773" s="14">
        <f t="shared" si="174"/>
        <v>0</v>
      </c>
    </row>
    <row r="774" spans="1:38" hidden="1" x14ac:dyDescent="0.25">
      <c r="A774" s="12" t="s">
        <v>222</v>
      </c>
      <c r="B774" s="12" t="s">
        <v>831</v>
      </c>
      <c r="C774" s="12" t="s">
        <v>539</v>
      </c>
      <c r="D774" s="12"/>
      <c r="E774" s="12">
        <f t="shared" si="177"/>
        <v>43</v>
      </c>
      <c r="F774" s="12" t="s">
        <v>70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43</v>
      </c>
      <c r="X774" s="12">
        <v>0</v>
      </c>
      <c r="Y774" s="12">
        <v>0</v>
      </c>
      <c r="Z774" s="12">
        <v>0</v>
      </c>
      <c r="AA774" s="12"/>
      <c r="AC774" s="13">
        <f t="shared" si="178"/>
        <v>0</v>
      </c>
      <c r="AL774" s="14">
        <f t="shared" ref="AL774:AL837" si="179">SUM(AC774:AK774)</f>
        <v>0</v>
      </c>
    </row>
    <row r="775" spans="1:38" hidden="1" x14ac:dyDescent="0.25">
      <c r="A775" s="12" t="s">
        <v>86</v>
      </c>
      <c r="B775" s="12" t="s">
        <v>832</v>
      </c>
      <c r="C775" s="12" t="s">
        <v>539</v>
      </c>
      <c r="D775" s="12"/>
      <c r="E775" s="12">
        <f t="shared" si="177"/>
        <v>42</v>
      </c>
      <c r="F775" s="12" t="str">
        <f>VLOOKUP(B775,[1]lookup!A:B,2,FALSE)</f>
        <v>Term</v>
      </c>
      <c r="G775" s="12">
        <v>0</v>
      </c>
      <c r="H775" s="12">
        <v>42</v>
      </c>
      <c r="I775" s="12">
        <v>0</v>
      </c>
      <c r="J775" s="12">
        <v>0</v>
      </c>
      <c r="K775" s="12">
        <v>0</v>
      </c>
      <c r="L775" s="12">
        <v>0</v>
      </c>
      <c r="M775" s="12">
        <v>0</v>
      </c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2">
        <v>0</v>
      </c>
      <c r="W775" s="12">
        <v>0</v>
      </c>
      <c r="X775" s="12">
        <v>0</v>
      </c>
      <c r="Y775" s="12">
        <v>0</v>
      </c>
      <c r="Z775" s="12">
        <v>0</v>
      </c>
      <c r="AA775" s="12"/>
      <c r="AC775" s="13">
        <f t="shared" si="178"/>
        <v>0</v>
      </c>
      <c r="AK775" s="15">
        <f t="shared" ref="AK775:AK777" si="180">H775*AK$2</f>
        <v>5040</v>
      </c>
      <c r="AL775" s="14">
        <f t="shared" si="179"/>
        <v>5040</v>
      </c>
    </row>
    <row r="776" spans="1:38" hidden="1" x14ac:dyDescent="0.25">
      <c r="A776" s="12" t="s">
        <v>86</v>
      </c>
      <c r="B776" s="12" t="s">
        <v>833</v>
      </c>
      <c r="C776" s="12" t="s">
        <v>539</v>
      </c>
      <c r="D776" s="12"/>
      <c r="E776" s="12">
        <f t="shared" si="177"/>
        <v>42</v>
      </c>
      <c r="F776" s="12" t="str">
        <f>VLOOKUP(B776,[1]lookup!A:B,2,FALSE)</f>
        <v>Term</v>
      </c>
      <c r="G776" s="12">
        <v>0</v>
      </c>
      <c r="H776" s="12">
        <v>42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0</v>
      </c>
      <c r="V776" s="12">
        <v>0</v>
      </c>
      <c r="W776" s="12">
        <v>0</v>
      </c>
      <c r="X776" s="12">
        <v>0</v>
      </c>
      <c r="Y776" s="12">
        <v>0</v>
      </c>
      <c r="Z776" s="12">
        <v>0</v>
      </c>
      <c r="AA776" s="12"/>
      <c r="AC776" s="13">
        <f t="shared" si="178"/>
        <v>0</v>
      </c>
      <c r="AK776" s="15">
        <f t="shared" si="180"/>
        <v>5040</v>
      </c>
      <c r="AL776" s="14">
        <f t="shared" si="179"/>
        <v>5040</v>
      </c>
    </row>
    <row r="777" spans="1:38" hidden="1" x14ac:dyDescent="0.25">
      <c r="A777" s="12" t="s">
        <v>86</v>
      </c>
      <c r="B777" s="12" t="s">
        <v>834</v>
      </c>
      <c r="C777" s="12" t="s">
        <v>539</v>
      </c>
      <c r="D777" s="12"/>
      <c r="E777" s="12">
        <f t="shared" si="177"/>
        <v>42</v>
      </c>
      <c r="F777" s="12" t="str">
        <f>VLOOKUP(B777,[1]lookup!A:B,2,FALSE)</f>
        <v>Term</v>
      </c>
      <c r="G777" s="12">
        <v>0</v>
      </c>
      <c r="H777" s="12">
        <v>42</v>
      </c>
      <c r="I777" s="12">
        <v>0</v>
      </c>
      <c r="J777" s="12">
        <v>0</v>
      </c>
      <c r="K777" s="12">
        <v>0</v>
      </c>
      <c r="L777" s="12">
        <v>0</v>
      </c>
      <c r="M777" s="12">
        <v>0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0</v>
      </c>
      <c r="W777" s="12">
        <v>0</v>
      </c>
      <c r="X777" s="12">
        <v>0</v>
      </c>
      <c r="Y777" s="12">
        <v>0</v>
      </c>
      <c r="Z777" s="12">
        <v>0</v>
      </c>
      <c r="AA777" s="12"/>
      <c r="AC777" s="13">
        <f t="shared" si="178"/>
        <v>0</v>
      </c>
      <c r="AK777" s="15">
        <f t="shared" si="180"/>
        <v>5040</v>
      </c>
      <c r="AL777" s="14">
        <f t="shared" si="179"/>
        <v>5040</v>
      </c>
    </row>
    <row r="778" spans="1:38" hidden="1" x14ac:dyDescent="0.25">
      <c r="A778" s="12" t="s">
        <v>140</v>
      </c>
      <c r="B778" s="12" t="s">
        <v>835</v>
      </c>
      <c r="C778" s="12" t="s">
        <v>539</v>
      </c>
      <c r="D778" s="12"/>
      <c r="E778" s="12">
        <f t="shared" si="177"/>
        <v>42</v>
      </c>
      <c r="F778" s="12" t="s">
        <v>70</v>
      </c>
      <c r="G778" s="12">
        <v>0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  <c r="W778" s="12">
        <v>42</v>
      </c>
      <c r="X778" s="12">
        <v>0</v>
      </c>
      <c r="Y778" s="12">
        <v>0</v>
      </c>
      <c r="Z778" s="12">
        <v>0</v>
      </c>
      <c r="AA778" s="12"/>
      <c r="AC778" s="13">
        <f t="shared" si="178"/>
        <v>0</v>
      </c>
      <c r="AL778" s="14">
        <f t="shared" si="179"/>
        <v>0</v>
      </c>
    </row>
    <row r="779" spans="1:38" hidden="1" x14ac:dyDescent="0.25">
      <c r="A779" s="12" t="s">
        <v>51</v>
      </c>
      <c r="B779" s="12" t="s">
        <v>836</v>
      </c>
      <c r="C779" s="12" t="s">
        <v>539</v>
      </c>
      <c r="D779" s="12"/>
      <c r="E779" s="12">
        <f t="shared" si="177"/>
        <v>42</v>
      </c>
      <c r="F779" s="12" t="s">
        <v>70</v>
      </c>
      <c r="G779" s="12">
        <v>0</v>
      </c>
      <c r="H779" s="12">
        <v>0</v>
      </c>
      <c r="I779" s="12">
        <v>0</v>
      </c>
      <c r="J779" s="12">
        <v>0</v>
      </c>
      <c r="K779" s="12">
        <v>0</v>
      </c>
      <c r="L779" s="12">
        <v>0</v>
      </c>
      <c r="M779" s="12">
        <v>0</v>
      </c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42</v>
      </c>
      <c r="V779" s="12">
        <v>0</v>
      </c>
      <c r="W779" s="12">
        <v>0</v>
      </c>
      <c r="X779" s="12">
        <v>0</v>
      </c>
      <c r="Y779" s="12">
        <v>0</v>
      </c>
      <c r="Z779" s="12">
        <v>0</v>
      </c>
      <c r="AA779" s="12"/>
      <c r="AC779" s="13">
        <f t="shared" si="178"/>
        <v>0</v>
      </c>
      <c r="AL779" s="14">
        <f t="shared" si="179"/>
        <v>0</v>
      </c>
    </row>
    <row r="780" spans="1:38" hidden="1" x14ac:dyDescent="0.25">
      <c r="A780" s="12" t="s">
        <v>222</v>
      </c>
      <c r="B780" s="12" t="s">
        <v>837</v>
      </c>
      <c r="C780" s="12" t="s">
        <v>539</v>
      </c>
      <c r="D780" s="12"/>
      <c r="E780" s="12">
        <f t="shared" si="177"/>
        <v>42</v>
      </c>
      <c r="F780" s="12" t="s">
        <v>70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42</v>
      </c>
      <c r="X780" s="12">
        <v>0</v>
      </c>
      <c r="Y780" s="12">
        <v>0</v>
      </c>
      <c r="Z780" s="12">
        <v>0</v>
      </c>
      <c r="AA780" s="12"/>
      <c r="AC780" s="13">
        <f t="shared" si="178"/>
        <v>0</v>
      </c>
      <c r="AL780" s="14">
        <f t="shared" si="179"/>
        <v>0</v>
      </c>
    </row>
    <row r="781" spans="1:38" hidden="1" x14ac:dyDescent="0.25">
      <c r="A781" s="12" t="s">
        <v>92</v>
      </c>
      <c r="B781" s="12" t="s">
        <v>838</v>
      </c>
      <c r="C781" s="12" t="s">
        <v>539</v>
      </c>
      <c r="D781" s="12"/>
      <c r="E781" s="12">
        <f t="shared" si="177"/>
        <v>41</v>
      </c>
      <c r="F781" s="12" t="s">
        <v>70</v>
      </c>
      <c r="G781" s="12">
        <v>0</v>
      </c>
      <c r="H781" s="12">
        <v>0</v>
      </c>
      <c r="I781" s="12">
        <v>0</v>
      </c>
      <c r="J781" s="12">
        <v>0</v>
      </c>
      <c r="K781" s="12">
        <v>0</v>
      </c>
      <c r="L781" s="12">
        <v>0</v>
      </c>
      <c r="M781" s="12">
        <v>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41</v>
      </c>
      <c r="X781" s="12">
        <v>0</v>
      </c>
      <c r="Y781" s="12">
        <v>0</v>
      </c>
      <c r="Z781" s="12">
        <v>0</v>
      </c>
      <c r="AA781" s="12"/>
      <c r="AC781" s="13">
        <f t="shared" si="178"/>
        <v>0</v>
      </c>
      <c r="AL781" s="14">
        <f t="shared" si="179"/>
        <v>0</v>
      </c>
    </row>
    <row r="782" spans="1:38" hidden="1" x14ac:dyDescent="0.25">
      <c r="A782" s="12" t="s">
        <v>92</v>
      </c>
      <c r="B782" s="12" t="s">
        <v>839</v>
      </c>
      <c r="C782" s="12" t="s">
        <v>539</v>
      </c>
      <c r="D782" s="12"/>
      <c r="E782" s="12">
        <f t="shared" si="177"/>
        <v>41</v>
      </c>
      <c r="F782" s="12" t="s">
        <v>70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41</v>
      </c>
      <c r="X782" s="12">
        <v>0</v>
      </c>
      <c r="Y782" s="12">
        <v>0</v>
      </c>
      <c r="Z782" s="12">
        <v>0</v>
      </c>
      <c r="AA782" s="12"/>
      <c r="AC782" s="13">
        <f t="shared" si="178"/>
        <v>0</v>
      </c>
      <c r="AL782" s="14">
        <f t="shared" si="179"/>
        <v>0</v>
      </c>
    </row>
    <row r="783" spans="1:38" hidden="1" x14ac:dyDescent="0.25">
      <c r="A783" s="12" t="s">
        <v>140</v>
      </c>
      <c r="B783" s="12" t="s">
        <v>840</v>
      </c>
      <c r="C783" s="12" t="s">
        <v>539</v>
      </c>
      <c r="D783" s="12"/>
      <c r="E783" s="12">
        <f t="shared" si="177"/>
        <v>41</v>
      </c>
      <c r="F783" s="12" t="s">
        <v>70</v>
      </c>
      <c r="G783" s="12">
        <v>0</v>
      </c>
      <c r="H783" s="12">
        <v>0</v>
      </c>
      <c r="I783" s="12">
        <v>0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2">
        <v>0</v>
      </c>
      <c r="W783" s="12">
        <v>41</v>
      </c>
      <c r="X783" s="12">
        <v>0</v>
      </c>
      <c r="Y783" s="12">
        <v>0</v>
      </c>
      <c r="Z783" s="12">
        <v>0</v>
      </c>
      <c r="AA783" s="12"/>
      <c r="AC783" s="13">
        <f t="shared" si="178"/>
        <v>0</v>
      </c>
      <c r="AL783" s="14">
        <f t="shared" si="179"/>
        <v>0</v>
      </c>
    </row>
    <row r="784" spans="1:38" hidden="1" x14ac:dyDescent="0.25">
      <c r="A784" s="12" t="s">
        <v>140</v>
      </c>
      <c r="B784" s="12" t="s">
        <v>841</v>
      </c>
      <c r="C784" s="12" t="s">
        <v>539</v>
      </c>
      <c r="D784" s="12"/>
      <c r="E784" s="12">
        <f t="shared" si="177"/>
        <v>41</v>
      </c>
      <c r="F784" s="12" t="s">
        <v>70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41</v>
      </c>
      <c r="X784" s="12">
        <v>0</v>
      </c>
      <c r="Y784" s="12">
        <v>0</v>
      </c>
      <c r="Z784" s="12">
        <v>0</v>
      </c>
      <c r="AA784" s="12"/>
      <c r="AC784" s="13">
        <f t="shared" si="178"/>
        <v>0</v>
      </c>
      <c r="AL784" s="14">
        <f t="shared" si="179"/>
        <v>0</v>
      </c>
    </row>
    <row r="785" spans="1:38" hidden="1" x14ac:dyDescent="0.25">
      <c r="A785" s="12" t="s">
        <v>140</v>
      </c>
      <c r="B785" s="12" t="s">
        <v>842</v>
      </c>
      <c r="C785" s="12" t="s">
        <v>539</v>
      </c>
      <c r="D785" s="12"/>
      <c r="E785" s="12">
        <f t="shared" si="177"/>
        <v>41</v>
      </c>
      <c r="F785" s="12" t="s">
        <v>70</v>
      </c>
      <c r="G785" s="12">
        <v>0</v>
      </c>
      <c r="H785" s="12">
        <v>0</v>
      </c>
      <c r="I785" s="12">
        <v>0</v>
      </c>
      <c r="J785" s="12">
        <v>0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41</v>
      </c>
      <c r="X785" s="12">
        <v>0</v>
      </c>
      <c r="Y785" s="12">
        <v>0</v>
      </c>
      <c r="Z785" s="12">
        <v>0</v>
      </c>
      <c r="AA785" s="12"/>
      <c r="AC785" s="13">
        <f t="shared" si="178"/>
        <v>0</v>
      </c>
      <c r="AL785" s="14">
        <f t="shared" si="179"/>
        <v>0</v>
      </c>
    </row>
    <row r="786" spans="1:38" hidden="1" x14ac:dyDescent="0.25">
      <c r="A786" s="12" t="s">
        <v>51</v>
      </c>
      <c r="B786" s="12" t="s">
        <v>843</v>
      </c>
      <c r="C786" s="12" t="s">
        <v>539</v>
      </c>
      <c r="D786" s="12"/>
      <c r="E786" s="12">
        <f t="shared" si="177"/>
        <v>41</v>
      </c>
      <c r="F786" s="12" t="s">
        <v>70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41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2"/>
      <c r="AC786" s="13">
        <f t="shared" si="178"/>
        <v>0</v>
      </c>
      <c r="AL786" s="14">
        <f t="shared" si="179"/>
        <v>0</v>
      </c>
    </row>
    <row r="787" spans="1:38" hidden="1" x14ac:dyDescent="0.25">
      <c r="A787" s="12" t="s">
        <v>222</v>
      </c>
      <c r="B787" s="12" t="s">
        <v>844</v>
      </c>
      <c r="C787" s="12" t="s">
        <v>539</v>
      </c>
      <c r="D787" s="12"/>
      <c r="E787" s="12">
        <f t="shared" si="177"/>
        <v>41</v>
      </c>
      <c r="F787" s="12" t="s">
        <v>70</v>
      </c>
      <c r="G787" s="12">
        <v>0</v>
      </c>
      <c r="H787" s="12">
        <v>0</v>
      </c>
      <c r="I787" s="12">
        <v>0</v>
      </c>
      <c r="J787" s="12">
        <v>0</v>
      </c>
      <c r="K787" s="12">
        <v>0</v>
      </c>
      <c r="L787" s="12">
        <v>0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41</v>
      </c>
      <c r="X787" s="12">
        <v>0</v>
      </c>
      <c r="Y787" s="12">
        <v>0</v>
      </c>
      <c r="Z787" s="12">
        <v>0</v>
      </c>
      <c r="AA787" s="12"/>
      <c r="AC787" s="13">
        <f t="shared" si="178"/>
        <v>0</v>
      </c>
      <c r="AL787" s="14">
        <f t="shared" si="179"/>
        <v>0</v>
      </c>
    </row>
    <row r="788" spans="1:38" hidden="1" x14ac:dyDescent="0.25">
      <c r="A788" s="12" t="s">
        <v>222</v>
      </c>
      <c r="B788" s="12" t="s">
        <v>845</v>
      </c>
      <c r="C788" s="12" t="s">
        <v>539</v>
      </c>
      <c r="D788" s="12"/>
      <c r="E788" s="12">
        <f t="shared" si="177"/>
        <v>41</v>
      </c>
      <c r="F788" s="12" t="s">
        <v>70</v>
      </c>
      <c r="G788" s="12">
        <v>0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2">
        <v>41</v>
      </c>
      <c r="X788" s="12">
        <v>0</v>
      </c>
      <c r="Y788" s="12">
        <v>0</v>
      </c>
      <c r="Z788" s="12">
        <v>0</v>
      </c>
      <c r="AA788" s="12"/>
      <c r="AC788" s="13">
        <f t="shared" si="178"/>
        <v>0</v>
      </c>
      <c r="AL788" s="14">
        <f t="shared" si="179"/>
        <v>0</v>
      </c>
    </row>
    <row r="789" spans="1:38" hidden="1" x14ac:dyDescent="0.25">
      <c r="A789" s="12" t="s">
        <v>148</v>
      </c>
      <c r="B789" s="12" t="s">
        <v>846</v>
      </c>
      <c r="C789" s="12" t="s">
        <v>539</v>
      </c>
      <c r="D789" s="12"/>
      <c r="E789" s="12">
        <f t="shared" si="177"/>
        <v>41</v>
      </c>
      <c r="F789" s="12" t="s">
        <v>70</v>
      </c>
      <c r="G789" s="12">
        <v>0</v>
      </c>
      <c r="H789" s="12">
        <v>0</v>
      </c>
      <c r="I789" s="12">
        <v>0</v>
      </c>
      <c r="J789" s="12">
        <v>0</v>
      </c>
      <c r="K789" s="12">
        <v>0</v>
      </c>
      <c r="L789" s="12">
        <v>0</v>
      </c>
      <c r="M789" s="12">
        <v>0</v>
      </c>
      <c r="N789" s="12">
        <v>0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2">
        <v>0</v>
      </c>
      <c r="W789" s="12">
        <v>41</v>
      </c>
      <c r="X789" s="12">
        <v>0</v>
      </c>
      <c r="Y789" s="12">
        <v>0</v>
      </c>
      <c r="Z789" s="12">
        <v>0</v>
      </c>
      <c r="AA789" s="12"/>
      <c r="AC789" s="13">
        <f t="shared" si="178"/>
        <v>0</v>
      </c>
      <c r="AL789" s="14">
        <f t="shared" si="179"/>
        <v>0</v>
      </c>
    </row>
    <row r="790" spans="1:38" hidden="1" x14ac:dyDescent="0.25">
      <c r="A790" s="12" t="s">
        <v>537</v>
      </c>
      <c r="B790" s="12" t="s">
        <v>847</v>
      </c>
      <c r="C790" s="12" t="s">
        <v>539</v>
      </c>
      <c r="D790" s="12"/>
      <c r="E790" s="12">
        <f t="shared" si="177"/>
        <v>41</v>
      </c>
      <c r="F790" s="12" t="str">
        <f>VLOOKUP(B790,[1]lookup!A:B,2,FALSE)</f>
        <v>SaaS</v>
      </c>
      <c r="G790" s="12">
        <v>0</v>
      </c>
      <c r="H790" s="12">
        <v>0</v>
      </c>
      <c r="I790" s="12">
        <v>0</v>
      </c>
      <c r="J790" s="12">
        <v>41</v>
      </c>
      <c r="K790" s="12">
        <v>0</v>
      </c>
      <c r="L790" s="12">
        <v>0</v>
      </c>
      <c r="M790" s="12">
        <v>0</v>
      </c>
      <c r="N790" s="12">
        <v>41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12"/>
      <c r="AC790" s="13">
        <f t="shared" si="178"/>
        <v>0</v>
      </c>
      <c r="AD790" s="13">
        <f>J790*AD$2</f>
        <v>9840</v>
      </c>
      <c r="AE790" s="13">
        <f>J790*AE$2</f>
        <v>4920</v>
      </c>
      <c r="AL790" s="14">
        <f t="shared" si="179"/>
        <v>14760</v>
      </c>
    </row>
    <row r="791" spans="1:38" hidden="1" x14ac:dyDescent="0.25">
      <c r="A791" s="12" t="s">
        <v>86</v>
      </c>
      <c r="B791" s="12" t="s">
        <v>848</v>
      </c>
      <c r="C791" s="12" t="s">
        <v>539</v>
      </c>
      <c r="D791" s="12"/>
      <c r="E791" s="12">
        <f t="shared" si="177"/>
        <v>40</v>
      </c>
      <c r="F791" s="12" t="str">
        <f>VLOOKUP(B791,[1]lookup!A:B,2,FALSE)</f>
        <v>Term</v>
      </c>
      <c r="G791" s="12">
        <v>0</v>
      </c>
      <c r="H791" s="12">
        <v>40</v>
      </c>
      <c r="I791" s="12">
        <v>0</v>
      </c>
      <c r="J791" s="12">
        <v>0</v>
      </c>
      <c r="K791" s="12">
        <v>0</v>
      </c>
      <c r="L791" s="12">
        <v>0</v>
      </c>
      <c r="M791" s="12">
        <v>0</v>
      </c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  <c r="W791" s="12">
        <v>0</v>
      </c>
      <c r="X791" s="12">
        <v>0</v>
      </c>
      <c r="Y791" s="12">
        <v>0</v>
      </c>
      <c r="Z791" s="12">
        <v>0</v>
      </c>
      <c r="AA791" s="12"/>
      <c r="AC791" s="13">
        <f t="shared" si="178"/>
        <v>0</v>
      </c>
      <c r="AK791" s="15">
        <f t="shared" ref="AK791:AK793" si="181">H791*AK$2</f>
        <v>4800</v>
      </c>
      <c r="AL791" s="14">
        <f t="shared" si="179"/>
        <v>4800</v>
      </c>
    </row>
    <row r="792" spans="1:38" hidden="1" x14ac:dyDescent="0.25">
      <c r="A792" s="12" t="s">
        <v>86</v>
      </c>
      <c r="B792" s="12" t="s">
        <v>362</v>
      </c>
      <c r="C792" s="12" t="s">
        <v>539</v>
      </c>
      <c r="D792" s="12"/>
      <c r="E792" s="12">
        <f t="shared" si="177"/>
        <v>40</v>
      </c>
      <c r="F792" s="12" t="str">
        <f>VLOOKUP(B792,[1]lookup!A:B,2,FALSE)</f>
        <v>Perpetual</v>
      </c>
      <c r="G792" s="12">
        <v>0</v>
      </c>
      <c r="H792" s="12">
        <v>40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2"/>
      <c r="AC792" s="13">
        <f t="shared" si="178"/>
        <v>0</v>
      </c>
      <c r="AK792" s="15">
        <f t="shared" si="181"/>
        <v>4800</v>
      </c>
      <c r="AL792" s="14">
        <f t="shared" si="179"/>
        <v>4800</v>
      </c>
    </row>
    <row r="793" spans="1:38" hidden="1" x14ac:dyDescent="0.25">
      <c r="A793" s="12" t="s">
        <v>86</v>
      </c>
      <c r="B793" s="12" t="s">
        <v>849</v>
      </c>
      <c r="C793" s="12" t="s">
        <v>539</v>
      </c>
      <c r="D793" s="12"/>
      <c r="E793" s="12">
        <f t="shared" si="177"/>
        <v>40</v>
      </c>
      <c r="F793" s="12" t="str">
        <f>VLOOKUP(B793,[1]lookup!A:B,2,FALSE)</f>
        <v>Perpetual</v>
      </c>
      <c r="G793" s="12">
        <v>0</v>
      </c>
      <c r="H793" s="12">
        <v>40</v>
      </c>
      <c r="I793" s="12">
        <v>0</v>
      </c>
      <c r="J793" s="12">
        <v>0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0</v>
      </c>
      <c r="Y793" s="12">
        <v>0</v>
      </c>
      <c r="Z793" s="12">
        <v>0</v>
      </c>
      <c r="AA793" s="12"/>
      <c r="AC793" s="13">
        <f t="shared" si="178"/>
        <v>0</v>
      </c>
      <c r="AK793" s="15">
        <f t="shared" si="181"/>
        <v>4800</v>
      </c>
      <c r="AL793" s="14">
        <f t="shared" si="179"/>
        <v>4800</v>
      </c>
    </row>
    <row r="794" spans="1:38" hidden="1" x14ac:dyDescent="0.25">
      <c r="A794" s="12" t="s">
        <v>86</v>
      </c>
      <c r="B794" s="12" t="s">
        <v>850</v>
      </c>
      <c r="C794" s="12" t="s">
        <v>539</v>
      </c>
      <c r="D794" s="12"/>
      <c r="E794" s="12">
        <f t="shared" si="177"/>
        <v>40</v>
      </c>
      <c r="F794" s="12" t="str">
        <f>VLOOKUP(B794,[1]lookup!A:B,2,FALSE)</f>
        <v>SaaS</v>
      </c>
      <c r="G794" s="12">
        <v>40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2"/>
      <c r="AC794" s="13">
        <f t="shared" si="178"/>
        <v>0</v>
      </c>
      <c r="AL794" s="14">
        <f t="shared" si="179"/>
        <v>0</v>
      </c>
    </row>
    <row r="795" spans="1:38" hidden="1" x14ac:dyDescent="0.25">
      <c r="A795" s="12" t="s">
        <v>86</v>
      </c>
      <c r="B795" s="12" t="s">
        <v>851</v>
      </c>
      <c r="C795" s="12" t="s">
        <v>539</v>
      </c>
      <c r="D795" s="12"/>
      <c r="E795" s="12">
        <f t="shared" si="177"/>
        <v>40</v>
      </c>
      <c r="F795" s="12" t="str">
        <f>VLOOKUP(B795,[1]lookup!A:B,2,FALSE)</f>
        <v>SaaS</v>
      </c>
      <c r="G795" s="12">
        <v>40</v>
      </c>
      <c r="H795" s="12">
        <v>0</v>
      </c>
      <c r="I795" s="12">
        <v>0</v>
      </c>
      <c r="J795" s="12">
        <v>0</v>
      </c>
      <c r="K795" s="12">
        <v>0</v>
      </c>
      <c r="L795" s="12">
        <v>0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  <c r="X795" s="12">
        <v>0</v>
      </c>
      <c r="Y795" s="12">
        <v>0</v>
      </c>
      <c r="Z795" s="12">
        <v>0</v>
      </c>
      <c r="AA795" s="12"/>
      <c r="AC795" s="13">
        <f t="shared" si="178"/>
        <v>0</v>
      </c>
      <c r="AL795" s="14">
        <f t="shared" si="179"/>
        <v>0</v>
      </c>
    </row>
    <row r="796" spans="1:38" hidden="1" x14ac:dyDescent="0.25">
      <c r="A796" s="12" t="s">
        <v>97</v>
      </c>
      <c r="B796" s="12" t="s">
        <v>598</v>
      </c>
      <c r="C796" s="12" t="s">
        <v>539</v>
      </c>
      <c r="D796" s="12"/>
      <c r="E796" s="12">
        <f t="shared" si="177"/>
        <v>40</v>
      </c>
      <c r="F796" s="12" t="s">
        <v>70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40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2"/>
      <c r="AC796" s="13">
        <f t="shared" si="178"/>
        <v>0</v>
      </c>
      <c r="AL796" s="14">
        <f t="shared" si="179"/>
        <v>0</v>
      </c>
    </row>
    <row r="797" spans="1:38" hidden="1" x14ac:dyDescent="0.25">
      <c r="A797" s="12" t="s">
        <v>92</v>
      </c>
      <c r="B797" s="12" t="s">
        <v>852</v>
      </c>
      <c r="C797" s="12" t="s">
        <v>539</v>
      </c>
      <c r="D797" s="12"/>
      <c r="E797" s="12">
        <f t="shared" si="177"/>
        <v>40</v>
      </c>
      <c r="F797" s="12" t="str">
        <f>VLOOKUP(B797,[1]lookup!A:B,2,FALSE)</f>
        <v>SaaS</v>
      </c>
      <c r="G797" s="12">
        <v>40</v>
      </c>
      <c r="H797" s="12">
        <v>0</v>
      </c>
      <c r="I797" s="12">
        <v>0</v>
      </c>
      <c r="J797" s="12">
        <v>0</v>
      </c>
      <c r="K797" s="12">
        <v>0</v>
      </c>
      <c r="L797" s="12">
        <v>0</v>
      </c>
      <c r="M797" s="12">
        <v>0</v>
      </c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  <c r="X797" s="12">
        <v>0</v>
      </c>
      <c r="Y797" s="12">
        <v>0</v>
      </c>
      <c r="Z797" s="12">
        <v>0</v>
      </c>
      <c r="AA797" s="12"/>
      <c r="AC797" s="13">
        <f t="shared" si="178"/>
        <v>0</v>
      </c>
      <c r="AL797" s="14">
        <f t="shared" si="179"/>
        <v>0</v>
      </c>
    </row>
    <row r="798" spans="1:38" hidden="1" x14ac:dyDescent="0.25">
      <c r="A798" s="12" t="s">
        <v>92</v>
      </c>
      <c r="B798" s="12" t="s">
        <v>853</v>
      </c>
      <c r="C798" s="12" t="s">
        <v>539</v>
      </c>
      <c r="D798" s="12"/>
      <c r="E798" s="12">
        <f t="shared" si="177"/>
        <v>40</v>
      </c>
      <c r="F798" s="12" t="s">
        <v>70</v>
      </c>
      <c r="G798" s="12">
        <v>0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0</v>
      </c>
      <c r="V798" s="12">
        <v>0</v>
      </c>
      <c r="W798" s="12">
        <v>40</v>
      </c>
      <c r="X798" s="12">
        <v>0</v>
      </c>
      <c r="Y798" s="12">
        <v>0</v>
      </c>
      <c r="Z798" s="12">
        <v>0</v>
      </c>
      <c r="AA798" s="12"/>
      <c r="AC798" s="13">
        <f t="shared" si="178"/>
        <v>0</v>
      </c>
      <c r="AL798" s="14">
        <f t="shared" si="179"/>
        <v>0</v>
      </c>
    </row>
    <row r="799" spans="1:38" hidden="1" x14ac:dyDescent="0.25">
      <c r="A799" s="12" t="s">
        <v>51</v>
      </c>
      <c r="B799" s="12" t="s">
        <v>854</v>
      </c>
      <c r="C799" s="12" t="s">
        <v>539</v>
      </c>
      <c r="D799" s="12"/>
      <c r="E799" s="12">
        <f t="shared" si="177"/>
        <v>40</v>
      </c>
      <c r="F799" s="12" t="s">
        <v>70</v>
      </c>
      <c r="G799" s="12">
        <v>0</v>
      </c>
      <c r="H799" s="12">
        <v>0</v>
      </c>
      <c r="I799" s="12">
        <v>0</v>
      </c>
      <c r="J799" s="12">
        <v>0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40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/>
      <c r="AC799" s="13">
        <f t="shared" si="178"/>
        <v>0</v>
      </c>
      <c r="AL799" s="14">
        <f t="shared" si="179"/>
        <v>0</v>
      </c>
    </row>
    <row r="800" spans="1:38" hidden="1" x14ac:dyDescent="0.25">
      <c r="A800" s="12" t="s">
        <v>51</v>
      </c>
      <c r="B800" s="12" t="s">
        <v>855</v>
      </c>
      <c r="C800" s="12" t="s">
        <v>539</v>
      </c>
      <c r="D800" s="12"/>
      <c r="E800" s="12">
        <f t="shared" si="177"/>
        <v>40</v>
      </c>
      <c r="F800" s="12" t="s">
        <v>70</v>
      </c>
      <c r="G800" s="12">
        <v>0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40</v>
      </c>
      <c r="V800" s="12">
        <v>0</v>
      </c>
      <c r="W800" s="12">
        <v>0</v>
      </c>
      <c r="X800" s="12">
        <v>0</v>
      </c>
      <c r="Y800" s="12">
        <v>0</v>
      </c>
      <c r="Z800" s="12">
        <v>0</v>
      </c>
      <c r="AA800" s="12"/>
      <c r="AC800" s="13">
        <f t="shared" si="178"/>
        <v>0</v>
      </c>
      <c r="AL800" s="14">
        <f t="shared" si="179"/>
        <v>0</v>
      </c>
    </row>
    <row r="801" spans="1:38" hidden="1" x14ac:dyDescent="0.25">
      <c r="A801" s="12" t="s">
        <v>51</v>
      </c>
      <c r="B801" s="12" t="s">
        <v>856</v>
      </c>
      <c r="C801" s="12" t="s">
        <v>539</v>
      </c>
      <c r="D801" s="12"/>
      <c r="E801" s="12">
        <f t="shared" si="177"/>
        <v>40</v>
      </c>
      <c r="F801" s="12" t="s">
        <v>70</v>
      </c>
      <c r="G801" s="12">
        <v>0</v>
      </c>
      <c r="H801" s="12">
        <v>0</v>
      </c>
      <c r="I801" s="12">
        <v>0</v>
      </c>
      <c r="J801" s="12">
        <v>0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40</v>
      </c>
      <c r="V801" s="12">
        <v>0</v>
      </c>
      <c r="W801" s="12">
        <v>0</v>
      </c>
      <c r="X801" s="12">
        <v>0</v>
      </c>
      <c r="Y801" s="12">
        <v>0</v>
      </c>
      <c r="Z801" s="12">
        <v>0</v>
      </c>
      <c r="AA801" s="12"/>
      <c r="AC801" s="13">
        <f t="shared" si="178"/>
        <v>0</v>
      </c>
      <c r="AL801" s="14">
        <f t="shared" si="179"/>
        <v>0</v>
      </c>
    </row>
    <row r="802" spans="1:38" hidden="1" x14ac:dyDescent="0.25">
      <c r="A802" s="12" t="s">
        <v>51</v>
      </c>
      <c r="B802" s="12" t="s">
        <v>857</v>
      </c>
      <c r="C802" s="12" t="s">
        <v>539</v>
      </c>
      <c r="D802" s="12"/>
      <c r="E802" s="12">
        <f t="shared" si="177"/>
        <v>40</v>
      </c>
      <c r="F802" s="12" t="s">
        <v>70</v>
      </c>
      <c r="G802" s="12">
        <v>0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40</v>
      </c>
      <c r="V802" s="12">
        <v>0</v>
      </c>
      <c r="W802" s="12">
        <v>0</v>
      </c>
      <c r="X802" s="12">
        <v>0</v>
      </c>
      <c r="Y802" s="12">
        <v>0</v>
      </c>
      <c r="Z802" s="12">
        <v>0</v>
      </c>
      <c r="AA802" s="12"/>
      <c r="AC802" s="13">
        <f t="shared" si="178"/>
        <v>0</v>
      </c>
      <c r="AL802" s="14">
        <f t="shared" si="179"/>
        <v>0</v>
      </c>
    </row>
    <row r="803" spans="1:38" hidden="1" x14ac:dyDescent="0.25">
      <c r="A803" s="12" t="s">
        <v>178</v>
      </c>
      <c r="B803" s="12" t="s">
        <v>858</v>
      </c>
      <c r="C803" s="12" t="s">
        <v>539</v>
      </c>
      <c r="D803" s="12"/>
      <c r="E803" s="12">
        <f t="shared" si="177"/>
        <v>40</v>
      </c>
      <c r="F803" s="12" t="s">
        <v>70</v>
      </c>
      <c r="G803" s="12">
        <v>0</v>
      </c>
      <c r="H803" s="12">
        <v>0</v>
      </c>
      <c r="I803" s="12">
        <v>0</v>
      </c>
      <c r="J803" s="12">
        <v>0</v>
      </c>
      <c r="K803" s="12">
        <v>0</v>
      </c>
      <c r="L803" s="12">
        <v>0</v>
      </c>
      <c r="M803" s="12">
        <v>0</v>
      </c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  <c r="U803" s="12">
        <v>0</v>
      </c>
      <c r="V803" s="12">
        <v>0</v>
      </c>
      <c r="W803" s="12">
        <v>40</v>
      </c>
      <c r="X803" s="12">
        <v>0</v>
      </c>
      <c r="Y803" s="12">
        <v>0</v>
      </c>
      <c r="Z803" s="12">
        <v>0</v>
      </c>
      <c r="AA803" s="12"/>
      <c r="AC803" s="13">
        <f t="shared" si="178"/>
        <v>0</v>
      </c>
      <c r="AL803" s="14">
        <f t="shared" si="179"/>
        <v>0</v>
      </c>
    </row>
    <row r="804" spans="1:38" hidden="1" x14ac:dyDescent="0.25">
      <c r="A804" s="12" t="s">
        <v>197</v>
      </c>
      <c r="B804" s="12" t="s">
        <v>859</v>
      </c>
      <c r="C804" s="12" t="s">
        <v>539</v>
      </c>
      <c r="D804" s="12"/>
      <c r="E804" s="12">
        <f t="shared" si="177"/>
        <v>40</v>
      </c>
      <c r="F804" s="12" t="s">
        <v>70</v>
      </c>
      <c r="G804" s="12">
        <v>0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2">
        <v>0</v>
      </c>
      <c r="W804" s="12">
        <v>40</v>
      </c>
      <c r="X804" s="12">
        <v>0</v>
      </c>
      <c r="Y804" s="12">
        <v>0</v>
      </c>
      <c r="Z804" s="12">
        <v>0</v>
      </c>
      <c r="AA804" s="12"/>
      <c r="AC804" s="13">
        <f t="shared" si="178"/>
        <v>0</v>
      </c>
      <c r="AL804" s="14">
        <f t="shared" si="179"/>
        <v>0</v>
      </c>
    </row>
    <row r="805" spans="1:38" hidden="1" x14ac:dyDescent="0.25">
      <c r="A805" s="12" t="s">
        <v>415</v>
      </c>
      <c r="B805" s="12" t="s">
        <v>860</v>
      </c>
      <c r="C805" s="12" t="s">
        <v>539</v>
      </c>
      <c r="D805" s="12"/>
      <c r="E805" s="12">
        <f t="shared" si="177"/>
        <v>40</v>
      </c>
      <c r="F805" s="12" t="str">
        <f>VLOOKUP(B805,[1]lookup!A:B,2,FALSE)</f>
        <v>SaaS</v>
      </c>
      <c r="G805" s="12">
        <v>0</v>
      </c>
      <c r="H805" s="12">
        <v>0</v>
      </c>
      <c r="I805" s="12">
        <v>0</v>
      </c>
      <c r="J805" s="12">
        <v>0</v>
      </c>
      <c r="K805" s="12">
        <v>0</v>
      </c>
      <c r="L805" s="12">
        <v>0</v>
      </c>
      <c r="M805" s="12">
        <v>0</v>
      </c>
      <c r="N805" s="12">
        <v>40</v>
      </c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0</v>
      </c>
      <c r="V805" s="12">
        <v>0</v>
      </c>
      <c r="W805" s="12">
        <v>0</v>
      </c>
      <c r="X805" s="12">
        <v>0</v>
      </c>
      <c r="Y805" s="12">
        <v>0</v>
      </c>
      <c r="Z805" s="12">
        <v>0</v>
      </c>
      <c r="AA805" s="12"/>
      <c r="AC805" s="13">
        <f t="shared" si="178"/>
        <v>0</v>
      </c>
      <c r="AL805" s="14">
        <f t="shared" si="179"/>
        <v>0</v>
      </c>
    </row>
    <row r="806" spans="1:38" hidden="1" x14ac:dyDescent="0.25">
      <c r="A806" s="12" t="s">
        <v>861</v>
      </c>
      <c r="B806" s="12" t="s">
        <v>862</v>
      </c>
      <c r="C806" s="12" t="s">
        <v>539</v>
      </c>
      <c r="D806" s="12"/>
      <c r="E806" s="12">
        <f t="shared" si="177"/>
        <v>40</v>
      </c>
      <c r="F806" s="12" t="str">
        <f>VLOOKUP(B806,[1]lookup!A:B,2,FALSE)</f>
        <v>SaaS</v>
      </c>
      <c r="G806" s="12">
        <v>0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40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0</v>
      </c>
      <c r="X806" s="12">
        <v>0</v>
      </c>
      <c r="Y806" s="12">
        <v>0</v>
      </c>
      <c r="Z806" s="12">
        <v>0</v>
      </c>
      <c r="AA806" s="12"/>
      <c r="AC806" s="13">
        <f t="shared" si="178"/>
        <v>9600</v>
      </c>
      <c r="AL806" s="14">
        <f t="shared" si="179"/>
        <v>9600</v>
      </c>
    </row>
    <row r="807" spans="1:38" hidden="1" x14ac:dyDescent="0.25">
      <c r="A807" s="12" t="s">
        <v>148</v>
      </c>
      <c r="B807" s="12" t="s">
        <v>859</v>
      </c>
      <c r="C807" s="12" t="s">
        <v>539</v>
      </c>
      <c r="D807" s="12"/>
      <c r="E807" s="12">
        <f t="shared" si="177"/>
        <v>40</v>
      </c>
      <c r="F807" s="12" t="s">
        <v>70</v>
      </c>
      <c r="G807" s="12">
        <v>0</v>
      </c>
      <c r="H807" s="12">
        <v>0</v>
      </c>
      <c r="I807" s="12">
        <v>0</v>
      </c>
      <c r="J807" s="12">
        <v>0</v>
      </c>
      <c r="K807" s="12">
        <v>0</v>
      </c>
      <c r="L807" s="12">
        <v>0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0</v>
      </c>
      <c r="W807" s="12">
        <v>40</v>
      </c>
      <c r="X807" s="12">
        <v>0</v>
      </c>
      <c r="Y807" s="12">
        <v>0</v>
      </c>
      <c r="Z807" s="12">
        <v>0</v>
      </c>
      <c r="AA807" s="12"/>
      <c r="AC807" s="13">
        <f t="shared" si="178"/>
        <v>0</v>
      </c>
      <c r="AL807" s="14">
        <f t="shared" si="179"/>
        <v>0</v>
      </c>
    </row>
    <row r="808" spans="1:38" hidden="1" x14ac:dyDescent="0.25">
      <c r="A808" s="12" t="s">
        <v>86</v>
      </c>
      <c r="B808" s="12" t="s">
        <v>863</v>
      </c>
      <c r="C808" s="12" t="s">
        <v>539</v>
      </c>
      <c r="D808" s="12"/>
      <c r="E808" s="12">
        <f t="shared" si="177"/>
        <v>39</v>
      </c>
      <c r="F808" s="12" t="str">
        <f>VLOOKUP(B808,[1]lookup!A:B,2,FALSE)</f>
        <v>Perpetual</v>
      </c>
      <c r="G808" s="12">
        <v>0</v>
      </c>
      <c r="H808" s="12">
        <v>39</v>
      </c>
      <c r="I808" s="12">
        <v>0</v>
      </c>
      <c r="J808" s="12">
        <v>0</v>
      </c>
      <c r="K808" s="12">
        <v>0</v>
      </c>
      <c r="L808" s="12">
        <v>24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0</v>
      </c>
      <c r="X808" s="12">
        <v>0</v>
      </c>
      <c r="Y808" s="12">
        <v>0</v>
      </c>
      <c r="Z808" s="12">
        <v>0</v>
      </c>
      <c r="AA808" s="12"/>
      <c r="AC808" s="13">
        <f t="shared" si="178"/>
        <v>0</v>
      </c>
      <c r="AK808" s="15">
        <f>H808*AK$2</f>
        <v>4680</v>
      </c>
      <c r="AL808" s="14">
        <f t="shared" si="179"/>
        <v>4680</v>
      </c>
    </row>
    <row r="809" spans="1:38" hidden="1" x14ac:dyDescent="0.25">
      <c r="A809" s="12" t="s">
        <v>140</v>
      </c>
      <c r="B809" s="12" t="s">
        <v>864</v>
      </c>
      <c r="C809" s="12" t="s">
        <v>539</v>
      </c>
      <c r="D809" s="12"/>
      <c r="E809" s="12">
        <f t="shared" si="177"/>
        <v>39</v>
      </c>
      <c r="F809" s="12" t="s">
        <v>70</v>
      </c>
      <c r="G809" s="12">
        <v>0</v>
      </c>
      <c r="H809" s="12">
        <v>0</v>
      </c>
      <c r="I809" s="12">
        <v>0</v>
      </c>
      <c r="J809" s="12">
        <v>0</v>
      </c>
      <c r="K809" s="12">
        <v>0</v>
      </c>
      <c r="L809" s="12">
        <v>0</v>
      </c>
      <c r="M809" s="12">
        <v>0</v>
      </c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0</v>
      </c>
      <c r="W809" s="12">
        <v>39</v>
      </c>
      <c r="X809" s="12">
        <v>0</v>
      </c>
      <c r="Y809" s="12">
        <v>0</v>
      </c>
      <c r="Z809" s="12">
        <v>0</v>
      </c>
      <c r="AA809" s="12"/>
      <c r="AC809" s="13">
        <f t="shared" si="178"/>
        <v>0</v>
      </c>
      <c r="AL809" s="14">
        <f t="shared" si="179"/>
        <v>0</v>
      </c>
    </row>
    <row r="810" spans="1:38" hidden="1" x14ac:dyDescent="0.25">
      <c r="A810" s="12" t="s">
        <v>92</v>
      </c>
      <c r="B810" s="12" t="s">
        <v>865</v>
      </c>
      <c r="C810" s="12" t="s">
        <v>539</v>
      </c>
      <c r="D810" s="12"/>
      <c r="E810" s="12">
        <f t="shared" si="177"/>
        <v>38</v>
      </c>
      <c r="F810" s="12" t="str">
        <f>VLOOKUP(B810,[1]lookup!A:B,2,FALSE)</f>
        <v>Perpetual</v>
      </c>
      <c r="G810" s="12">
        <v>0</v>
      </c>
      <c r="H810" s="12">
        <v>1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  <c r="W810" s="12">
        <v>38</v>
      </c>
      <c r="X810" s="12">
        <v>0</v>
      </c>
      <c r="Y810" s="12">
        <v>0</v>
      </c>
      <c r="Z810" s="12">
        <v>0</v>
      </c>
      <c r="AA810" s="12"/>
      <c r="AC810" s="13">
        <f t="shared" si="178"/>
        <v>0</v>
      </c>
      <c r="AK810" s="15">
        <f>H810*AK$2</f>
        <v>120</v>
      </c>
      <c r="AL810" s="14">
        <f t="shared" si="179"/>
        <v>120</v>
      </c>
    </row>
    <row r="811" spans="1:38" hidden="1" x14ac:dyDescent="0.25">
      <c r="A811" s="12" t="s">
        <v>51</v>
      </c>
      <c r="B811" s="12" t="s">
        <v>866</v>
      </c>
      <c r="C811" s="12" t="s">
        <v>539</v>
      </c>
      <c r="D811" s="12"/>
      <c r="E811" s="12">
        <f t="shared" si="177"/>
        <v>38</v>
      </c>
      <c r="F811" s="12" t="s">
        <v>70</v>
      </c>
      <c r="G811" s="12">
        <v>0</v>
      </c>
      <c r="H811" s="12">
        <v>0</v>
      </c>
      <c r="I811" s="12">
        <v>0</v>
      </c>
      <c r="J811" s="12">
        <v>0</v>
      </c>
      <c r="K811" s="12">
        <v>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38</v>
      </c>
      <c r="V811" s="12">
        <v>0</v>
      </c>
      <c r="W811" s="12">
        <v>0</v>
      </c>
      <c r="X811" s="12">
        <v>0</v>
      </c>
      <c r="Y811" s="12">
        <v>0</v>
      </c>
      <c r="Z811" s="12">
        <v>0</v>
      </c>
      <c r="AA811" s="12"/>
      <c r="AC811" s="13">
        <f t="shared" si="178"/>
        <v>0</v>
      </c>
      <c r="AL811" s="14">
        <f t="shared" si="179"/>
        <v>0</v>
      </c>
    </row>
    <row r="812" spans="1:38" hidden="1" x14ac:dyDescent="0.25">
      <c r="A812" s="12" t="s">
        <v>51</v>
      </c>
      <c r="B812" s="12" t="s">
        <v>867</v>
      </c>
      <c r="C812" s="12" t="s">
        <v>539</v>
      </c>
      <c r="D812" s="12"/>
      <c r="E812" s="12">
        <f t="shared" si="177"/>
        <v>38</v>
      </c>
      <c r="F812" s="12" t="s">
        <v>70</v>
      </c>
      <c r="G812" s="12">
        <v>0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38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2"/>
      <c r="AC812" s="13">
        <f t="shared" si="178"/>
        <v>0</v>
      </c>
      <c r="AL812" s="14">
        <f t="shared" si="179"/>
        <v>0</v>
      </c>
    </row>
    <row r="813" spans="1:38" hidden="1" x14ac:dyDescent="0.25">
      <c r="A813" s="12" t="s">
        <v>51</v>
      </c>
      <c r="B813" s="12" t="s">
        <v>868</v>
      </c>
      <c r="C813" s="12" t="s">
        <v>539</v>
      </c>
      <c r="D813" s="12"/>
      <c r="E813" s="12">
        <f t="shared" si="177"/>
        <v>38</v>
      </c>
      <c r="F813" s="12" t="s">
        <v>70</v>
      </c>
      <c r="G813" s="12">
        <v>0</v>
      </c>
      <c r="H813" s="12">
        <v>0</v>
      </c>
      <c r="I813" s="12">
        <v>0</v>
      </c>
      <c r="J813" s="12">
        <v>0</v>
      </c>
      <c r="K813" s="12">
        <v>0</v>
      </c>
      <c r="L813" s="12">
        <v>0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38</v>
      </c>
      <c r="V813" s="12">
        <v>0</v>
      </c>
      <c r="W813" s="12">
        <v>0</v>
      </c>
      <c r="X813" s="12">
        <v>0</v>
      </c>
      <c r="Y813" s="12">
        <v>0</v>
      </c>
      <c r="Z813" s="12">
        <v>0</v>
      </c>
      <c r="AA813" s="12"/>
      <c r="AC813" s="13">
        <f t="shared" si="178"/>
        <v>0</v>
      </c>
      <c r="AL813" s="14">
        <f t="shared" si="179"/>
        <v>0</v>
      </c>
    </row>
    <row r="814" spans="1:38" hidden="1" x14ac:dyDescent="0.25">
      <c r="A814" s="12" t="s">
        <v>92</v>
      </c>
      <c r="B814" s="12" t="s">
        <v>869</v>
      </c>
      <c r="C814" s="12" t="s">
        <v>539</v>
      </c>
      <c r="D814" s="12"/>
      <c r="E814" s="12">
        <f t="shared" si="177"/>
        <v>37</v>
      </c>
      <c r="F814" s="12" t="s">
        <v>70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0</v>
      </c>
      <c r="V814" s="12">
        <v>0</v>
      </c>
      <c r="W814" s="12">
        <v>37</v>
      </c>
      <c r="X814" s="12">
        <v>0</v>
      </c>
      <c r="Y814" s="12">
        <v>0</v>
      </c>
      <c r="Z814" s="12">
        <v>0</v>
      </c>
      <c r="AA814" s="12"/>
      <c r="AC814" s="13">
        <f t="shared" si="178"/>
        <v>0</v>
      </c>
      <c r="AL814" s="14">
        <f t="shared" si="179"/>
        <v>0</v>
      </c>
    </row>
    <row r="815" spans="1:38" hidden="1" x14ac:dyDescent="0.25">
      <c r="A815" s="12" t="s">
        <v>51</v>
      </c>
      <c r="B815" s="12" t="s">
        <v>870</v>
      </c>
      <c r="C815" s="12" t="s">
        <v>539</v>
      </c>
      <c r="D815" s="12"/>
      <c r="E815" s="12">
        <f t="shared" si="177"/>
        <v>37</v>
      </c>
      <c r="F815" s="12" t="s">
        <v>70</v>
      </c>
      <c r="G815" s="12">
        <v>0</v>
      </c>
      <c r="H815" s="12">
        <v>0</v>
      </c>
      <c r="I815" s="12">
        <v>0</v>
      </c>
      <c r="J815" s="12">
        <v>0</v>
      </c>
      <c r="K815" s="12">
        <v>0</v>
      </c>
      <c r="L815" s="12">
        <v>0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37</v>
      </c>
      <c r="V815" s="12">
        <v>0</v>
      </c>
      <c r="W815" s="12">
        <v>0</v>
      </c>
      <c r="X815" s="12">
        <v>0</v>
      </c>
      <c r="Y815" s="12">
        <v>0</v>
      </c>
      <c r="Z815" s="12">
        <v>0</v>
      </c>
      <c r="AA815" s="12"/>
      <c r="AC815" s="13">
        <f t="shared" si="178"/>
        <v>0</v>
      </c>
      <c r="AL815" s="14">
        <f t="shared" si="179"/>
        <v>0</v>
      </c>
    </row>
    <row r="816" spans="1:38" hidden="1" x14ac:dyDescent="0.25">
      <c r="A816" s="12" t="s">
        <v>178</v>
      </c>
      <c r="B816" s="12" t="s">
        <v>871</v>
      </c>
      <c r="C816" s="12" t="s">
        <v>539</v>
      </c>
      <c r="D816" s="12"/>
      <c r="E816" s="12">
        <f t="shared" si="177"/>
        <v>37</v>
      </c>
      <c r="F816" s="12" t="s">
        <v>70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0</v>
      </c>
      <c r="V816" s="12">
        <v>0</v>
      </c>
      <c r="W816" s="12">
        <v>37</v>
      </c>
      <c r="X816" s="12">
        <v>0</v>
      </c>
      <c r="Y816" s="12">
        <v>0</v>
      </c>
      <c r="Z816" s="12">
        <v>0</v>
      </c>
      <c r="AA816" s="12"/>
      <c r="AC816" s="13">
        <f t="shared" si="178"/>
        <v>0</v>
      </c>
      <c r="AL816" s="14">
        <f t="shared" si="179"/>
        <v>0</v>
      </c>
    </row>
    <row r="817" spans="1:38" hidden="1" x14ac:dyDescent="0.25">
      <c r="A817" s="12" t="s">
        <v>178</v>
      </c>
      <c r="B817" s="12" t="s">
        <v>872</v>
      </c>
      <c r="C817" s="12" t="s">
        <v>539</v>
      </c>
      <c r="D817" s="12"/>
      <c r="E817" s="12">
        <f t="shared" si="177"/>
        <v>37</v>
      </c>
      <c r="F817" s="12" t="s">
        <v>70</v>
      </c>
      <c r="G817" s="12">
        <v>0</v>
      </c>
      <c r="H817" s="12">
        <v>0</v>
      </c>
      <c r="I817" s="12">
        <v>0</v>
      </c>
      <c r="J817" s="12">
        <v>0</v>
      </c>
      <c r="K817" s="12">
        <v>0</v>
      </c>
      <c r="L817" s="12">
        <v>0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2">
        <v>0</v>
      </c>
      <c r="W817" s="12">
        <v>37</v>
      </c>
      <c r="X817" s="12">
        <v>0</v>
      </c>
      <c r="Y817" s="12">
        <v>0</v>
      </c>
      <c r="Z817" s="12">
        <v>0</v>
      </c>
      <c r="AA817" s="12"/>
      <c r="AC817" s="13">
        <f t="shared" si="178"/>
        <v>0</v>
      </c>
      <c r="AL817" s="14">
        <f t="shared" si="179"/>
        <v>0</v>
      </c>
    </row>
    <row r="818" spans="1:38" hidden="1" x14ac:dyDescent="0.25">
      <c r="A818" s="12" t="s">
        <v>222</v>
      </c>
      <c r="B818" s="12" t="s">
        <v>873</v>
      </c>
      <c r="C818" s="12" t="s">
        <v>539</v>
      </c>
      <c r="D818" s="12"/>
      <c r="E818" s="12">
        <f t="shared" si="177"/>
        <v>37</v>
      </c>
      <c r="F818" s="12" t="s">
        <v>70</v>
      </c>
      <c r="G818" s="12">
        <v>0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  <c r="V818" s="12">
        <v>0</v>
      </c>
      <c r="W818" s="12">
        <v>37</v>
      </c>
      <c r="X818" s="12">
        <v>0</v>
      </c>
      <c r="Y818" s="12">
        <v>0</v>
      </c>
      <c r="Z818" s="12">
        <v>0</v>
      </c>
      <c r="AA818" s="12"/>
      <c r="AC818" s="13">
        <f t="shared" si="178"/>
        <v>0</v>
      </c>
      <c r="AL818" s="14">
        <f t="shared" si="179"/>
        <v>0</v>
      </c>
    </row>
    <row r="819" spans="1:38" hidden="1" x14ac:dyDescent="0.25">
      <c r="A819" s="12" t="s">
        <v>86</v>
      </c>
      <c r="B819" s="12" t="s">
        <v>874</v>
      </c>
      <c r="C819" s="12" t="s">
        <v>539</v>
      </c>
      <c r="D819" s="12"/>
      <c r="E819" s="12">
        <f t="shared" si="177"/>
        <v>36</v>
      </c>
      <c r="F819" s="12" t="str">
        <f>VLOOKUP(B819,[1]lookup!A:B,2,FALSE)</f>
        <v>Term</v>
      </c>
      <c r="G819" s="12">
        <v>0</v>
      </c>
      <c r="H819" s="12">
        <v>36</v>
      </c>
      <c r="I819" s="12">
        <v>0</v>
      </c>
      <c r="J819" s="12">
        <v>0</v>
      </c>
      <c r="K819" s="12">
        <v>0</v>
      </c>
      <c r="L819" s="12">
        <v>0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2">
        <v>0</v>
      </c>
      <c r="W819" s="12">
        <v>0</v>
      </c>
      <c r="X819" s="12">
        <v>0</v>
      </c>
      <c r="Y819" s="12">
        <v>0</v>
      </c>
      <c r="Z819" s="12">
        <v>0</v>
      </c>
      <c r="AA819" s="12"/>
      <c r="AC819" s="13">
        <f t="shared" si="178"/>
        <v>0</v>
      </c>
      <c r="AK819" s="15">
        <f>H819*AK$2</f>
        <v>4320</v>
      </c>
      <c r="AL819" s="14">
        <f t="shared" si="179"/>
        <v>4320</v>
      </c>
    </row>
    <row r="820" spans="1:38" hidden="1" x14ac:dyDescent="0.25">
      <c r="A820" s="12" t="s">
        <v>51</v>
      </c>
      <c r="B820" s="12" t="s">
        <v>875</v>
      </c>
      <c r="C820" s="12" t="s">
        <v>539</v>
      </c>
      <c r="D820" s="12"/>
      <c r="E820" s="12">
        <f t="shared" si="177"/>
        <v>36</v>
      </c>
      <c r="F820" s="12" t="s">
        <v>70</v>
      </c>
      <c r="G820" s="12">
        <v>0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36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2"/>
      <c r="AC820" s="13">
        <f t="shared" si="178"/>
        <v>0</v>
      </c>
      <c r="AL820" s="14">
        <f t="shared" si="179"/>
        <v>0</v>
      </c>
    </row>
    <row r="821" spans="1:38" hidden="1" x14ac:dyDescent="0.25">
      <c r="A821" s="12" t="s">
        <v>51</v>
      </c>
      <c r="B821" s="12" t="s">
        <v>876</v>
      </c>
      <c r="C821" s="12" t="s">
        <v>539</v>
      </c>
      <c r="D821" s="12"/>
      <c r="E821" s="12">
        <f t="shared" si="177"/>
        <v>36</v>
      </c>
      <c r="F821" s="12" t="s">
        <v>70</v>
      </c>
      <c r="G821" s="12">
        <v>0</v>
      </c>
      <c r="H821" s="12">
        <v>0</v>
      </c>
      <c r="I821" s="12">
        <v>0</v>
      </c>
      <c r="J821" s="12">
        <v>0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36</v>
      </c>
      <c r="V821" s="12">
        <v>0</v>
      </c>
      <c r="W821" s="12">
        <v>0</v>
      </c>
      <c r="X821" s="12">
        <v>0</v>
      </c>
      <c r="Y821" s="12">
        <v>0</v>
      </c>
      <c r="Z821" s="12">
        <v>0</v>
      </c>
      <c r="AA821" s="12"/>
      <c r="AC821" s="13">
        <f t="shared" si="178"/>
        <v>0</v>
      </c>
      <c r="AL821" s="14">
        <f t="shared" si="179"/>
        <v>0</v>
      </c>
    </row>
    <row r="822" spans="1:38" hidden="1" x14ac:dyDescent="0.25">
      <c r="A822" s="12" t="s">
        <v>166</v>
      </c>
      <c r="B822" s="12" t="s">
        <v>330</v>
      </c>
      <c r="C822" s="12" t="s">
        <v>539</v>
      </c>
      <c r="D822" s="12"/>
      <c r="E822" s="12">
        <f t="shared" si="177"/>
        <v>36</v>
      </c>
      <c r="F822" s="12" t="str">
        <f>VLOOKUP(B822,[1]lookup!A:B,2,FALSE)</f>
        <v>Perpetual</v>
      </c>
      <c r="G822" s="12">
        <v>0</v>
      </c>
      <c r="H822" s="12">
        <v>36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2">
        <v>0</v>
      </c>
      <c r="W822" s="12">
        <v>0</v>
      </c>
      <c r="X822" s="12">
        <v>0</v>
      </c>
      <c r="Y822" s="12">
        <v>0</v>
      </c>
      <c r="Z822" s="12">
        <v>0</v>
      </c>
      <c r="AA822" s="12"/>
      <c r="AC822" s="13">
        <f t="shared" si="178"/>
        <v>0</v>
      </c>
      <c r="AK822" s="15">
        <f t="shared" ref="AK822:AK823" si="182">H822*AK$2</f>
        <v>4320</v>
      </c>
      <c r="AL822" s="14">
        <f t="shared" si="179"/>
        <v>4320</v>
      </c>
    </row>
    <row r="823" spans="1:38" hidden="1" x14ac:dyDescent="0.25">
      <c r="A823" s="12" t="s">
        <v>86</v>
      </c>
      <c r="B823" s="12" t="s">
        <v>877</v>
      </c>
      <c r="C823" s="12" t="s">
        <v>539</v>
      </c>
      <c r="D823" s="12"/>
      <c r="E823" s="12">
        <f t="shared" si="177"/>
        <v>35</v>
      </c>
      <c r="F823" s="12" t="str">
        <f>VLOOKUP(B823,[1]lookup!A:B,2,FALSE)</f>
        <v>Term</v>
      </c>
      <c r="G823" s="12">
        <v>0</v>
      </c>
      <c r="H823" s="12">
        <v>35</v>
      </c>
      <c r="I823" s="12">
        <v>0</v>
      </c>
      <c r="J823" s="12">
        <v>0</v>
      </c>
      <c r="K823" s="12">
        <v>0</v>
      </c>
      <c r="L823" s="12">
        <v>0</v>
      </c>
      <c r="M823" s="12">
        <v>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  <c r="W823" s="12">
        <v>0</v>
      </c>
      <c r="X823" s="12">
        <v>0</v>
      </c>
      <c r="Y823" s="12">
        <v>0</v>
      </c>
      <c r="Z823" s="12">
        <v>0</v>
      </c>
      <c r="AA823" s="12"/>
      <c r="AC823" s="13">
        <f t="shared" si="178"/>
        <v>0</v>
      </c>
      <c r="AK823" s="15">
        <f t="shared" si="182"/>
        <v>4200</v>
      </c>
      <c r="AL823" s="14">
        <f t="shared" si="179"/>
        <v>4200</v>
      </c>
    </row>
    <row r="824" spans="1:38" hidden="1" x14ac:dyDescent="0.25">
      <c r="A824" s="12" t="s">
        <v>92</v>
      </c>
      <c r="B824" s="12" t="s">
        <v>878</v>
      </c>
      <c r="C824" s="12" t="s">
        <v>539</v>
      </c>
      <c r="D824" s="12"/>
      <c r="E824" s="12">
        <f t="shared" si="177"/>
        <v>35</v>
      </c>
      <c r="F824" s="12" t="s">
        <v>70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2">
        <v>0</v>
      </c>
      <c r="W824" s="12">
        <v>35</v>
      </c>
      <c r="X824" s="12">
        <v>0</v>
      </c>
      <c r="Y824" s="12">
        <v>0</v>
      </c>
      <c r="Z824" s="12">
        <v>0</v>
      </c>
      <c r="AA824" s="12"/>
      <c r="AC824" s="13">
        <f t="shared" si="178"/>
        <v>0</v>
      </c>
      <c r="AL824" s="14">
        <f t="shared" si="179"/>
        <v>0</v>
      </c>
    </row>
    <row r="825" spans="1:38" hidden="1" x14ac:dyDescent="0.25">
      <c r="A825" s="12" t="s">
        <v>140</v>
      </c>
      <c r="B825" s="12" t="s">
        <v>879</v>
      </c>
      <c r="C825" s="12" t="s">
        <v>539</v>
      </c>
      <c r="D825" s="12"/>
      <c r="E825" s="12">
        <f t="shared" si="177"/>
        <v>35</v>
      </c>
      <c r="F825" s="12" t="s">
        <v>70</v>
      </c>
      <c r="G825" s="12">
        <v>0</v>
      </c>
      <c r="H825" s="12">
        <v>0</v>
      </c>
      <c r="I825" s="12">
        <v>0</v>
      </c>
      <c r="J825" s="12">
        <v>0</v>
      </c>
      <c r="K825" s="12">
        <v>0</v>
      </c>
      <c r="L825" s="12">
        <v>0</v>
      </c>
      <c r="M825" s="12">
        <v>0</v>
      </c>
      <c r="N825" s="12">
        <v>0</v>
      </c>
      <c r="O825" s="12">
        <v>0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0</v>
      </c>
      <c r="V825" s="12">
        <v>0</v>
      </c>
      <c r="W825" s="12">
        <v>35</v>
      </c>
      <c r="X825" s="12">
        <v>0</v>
      </c>
      <c r="Y825" s="12">
        <v>0</v>
      </c>
      <c r="Z825" s="12">
        <v>0</v>
      </c>
      <c r="AA825" s="12"/>
      <c r="AC825" s="13">
        <f t="shared" si="178"/>
        <v>0</v>
      </c>
      <c r="AL825" s="14">
        <f t="shared" si="179"/>
        <v>0</v>
      </c>
    </row>
    <row r="826" spans="1:38" hidden="1" x14ac:dyDescent="0.25">
      <c r="A826" s="12" t="s">
        <v>51</v>
      </c>
      <c r="B826" s="12" t="s">
        <v>880</v>
      </c>
      <c r="C826" s="12" t="s">
        <v>539</v>
      </c>
      <c r="D826" s="12"/>
      <c r="E826" s="12">
        <f t="shared" si="177"/>
        <v>35</v>
      </c>
      <c r="F826" s="12" t="s">
        <v>70</v>
      </c>
      <c r="G826" s="12">
        <v>0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35</v>
      </c>
      <c r="V826" s="12">
        <v>0</v>
      </c>
      <c r="W826" s="12">
        <v>0</v>
      </c>
      <c r="X826" s="12">
        <v>0</v>
      </c>
      <c r="Y826" s="12">
        <v>0</v>
      </c>
      <c r="Z826" s="12">
        <v>0</v>
      </c>
      <c r="AA826" s="12"/>
      <c r="AC826" s="13">
        <f t="shared" si="178"/>
        <v>0</v>
      </c>
      <c r="AL826" s="14">
        <f t="shared" si="179"/>
        <v>0</v>
      </c>
    </row>
    <row r="827" spans="1:38" hidden="1" x14ac:dyDescent="0.25">
      <c r="A827" s="12" t="s">
        <v>51</v>
      </c>
      <c r="B827" s="12" t="s">
        <v>881</v>
      </c>
      <c r="C827" s="12" t="s">
        <v>539</v>
      </c>
      <c r="D827" s="12"/>
      <c r="E827" s="12">
        <f t="shared" si="177"/>
        <v>35</v>
      </c>
      <c r="F827" s="12" t="s">
        <v>70</v>
      </c>
      <c r="G827" s="12">
        <v>0</v>
      </c>
      <c r="H827" s="12">
        <v>0</v>
      </c>
      <c r="I827" s="12">
        <v>0</v>
      </c>
      <c r="J827" s="12">
        <v>0</v>
      </c>
      <c r="K827" s="12">
        <v>0</v>
      </c>
      <c r="L827" s="12">
        <v>0</v>
      </c>
      <c r="M827" s="12">
        <v>0</v>
      </c>
      <c r="N827" s="12">
        <v>0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35</v>
      </c>
      <c r="V827" s="12">
        <v>0</v>
      </c>
      <c r="W827" s="12">
        <v>0</v>
      </c>
      <c r="X827" s="12">
        <v>0</v>
      </c>
      <c r="Y827" s="12">
        <v>0</v>
      </c>
      <c r="Z827" s="12">
        <v>0</v>
      </c>
      <c r="AA827" s="12"/>
      <c r="AC827" s="13">
        <f t="shared" si="178"/>
        <v>0</v>
      </c>
      <c r="AL827" s="14">
        <f t="shared" si="179"/>
        <v>0</v>
      </c>
    </row>
    <row r="828" spans="1:38" hidden="1" x14ac:dyDescent="0.25">
      <c r="A828" s="12" t="s">
        <v>51</v>
      </c>
      <c r="B828" s="12" t="s">
        <v>882</v>
      </c>
      <c r="C828" s="12" t="s">
        <v>539</v>
      </c>
      <c r="D828" s="12"/>
      <c r="E828" s="12">
        <f t="shared" si="177"/>
        <v>35</v>
      </c>
      <c r="F828" s="12" t="s">
        <v>70</v>
      </c>
      <c r="G828" s="12">
        <v>0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35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2"/>
      <c r="AC828" s="13">
        <f t="shared" si="178"/>
        <v>0</v>
      </c>
      <c r="AL828" s="14">
        <f t="shared" si="179"/>
        <v>0</v>
      </c>
    </row>
    <row r="829" spans="1:38" hidden="1" x14ac:dyDescent="0.25">
      <c r="A829" s="12" t="s">
        <v>148</v>
      </c>
      <c r="B829" s="12" t="s">
        <v>883</v>
      </c>
      <c r="C829" s="12" t="s">
        <v>539</v>
      </c>
      <c r="D829" s="12"/>
      <c r="E829" s="12">
        <f t="shared" si="177"/>
        <v>35</v>
      </c>
      <c r="F829" s="12" t="s">
        <v>70</v>
      </c>
      <c r="G829" s="12">
        <v>0</v>
      </c>
      <c r="H829" s="12">
        <v>0</v>
      </c>
      <c r="I829" s="12">
        <v>0</v>
      </c>
      <c r="J829" s="12">
        <v>0</v>
      </c>
      <c r="K829" s="12">
        <v>0</v>
      </c>
      <c r="L829" s="12">
        <v>0</v>
      </c>
      <c r="M829" s="12">
        <v>0</v>
      </c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2">
        <v>0</v>
      </c>
      <c r="W829" s="12">
        <v>35</v>
      </c>
      <c r="X829" s="12">
        <v>0</v>
      </c>
      <c r="Y829" s="12">
        <v>0</v>
      </c>
      <c r="Z829" s="12">
        <v>0</v>
      </c>
      <c r="AA829" s="12"/>
      <c r="AC829" s="13">
        <f t="shared" si="178"/>
        <v>0</v>
      </c>
      <c r="AL829" s="14">
        <f t="shared" si="179"/>
        <v>0</v>
      </c>
    </row>
    <row r="830" spans="1:38" hidden="1" x14ac:dyDescent="0.25">
      <c r="A830" s="12" t="s">
        <v>148</v>
      </c>
      <c r="B830" s="12" t="s">
        <v>884</v>
      </c>
      <c r="C830" s="12" t="s">
        <v>539</v>
      </c>
      <c r="D830" s="12"/>
      <c r="E830" s="12">
        <f t="shared" si="177"/>
        <v>35</v>
      </c>
      <c r="F830" s="12" t="s">
        <v>70</v>
      </c>
      <c r="G830" s="12">
        <v>0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12">
        <v>0</v>
      </c>
      <c r="U830" s="12">
        <v>0</v>
      </c>
      <c r="V830" s="12">
        <v>0</v>
      </c>
      <c r="W830" s="12">
        <v>35</v>
      </c>
      <c r="X830" s="12">
        <v>0</v>
      </c>
      <c r="Y830" s="12">
        <v>0</v>
      </c>
      <c r="Z830" s="12">
        <v>0</v>
      </c>
      <c r="AA830" s="12"/>
      <c r="AC830" s="13">
        <f t="shared" si="178"/>
        <v>0</v>
      </c>
      <c r="AL830" s="14">
        <f t="shared" si="179"/>
        <v>0</v>
      </c>
    </row>
    <row r="831" spans="1:38" hidden="1" x14ac:dyDescent="0.25">
      <c r="A831" s="12" t="s">
        <v>92</v>
      </c>
      <c r="B831" s="12" t="s">
        <v>885</v>
      </c>
      <c r="C831" s="12" t="s">
        <v>539</v>
      </c>
      <c r="D831" s="12"/>
      <c r="E831" s="12">
        <f t="shared" si="177"/>
        <v>34</v>
      </c>
      <c r="F831" s="12" t="s">
        <v>70</v>
      </c>
      <c r="G831" s="12">
        <v>0</v>
      </c>
      <c r="H831" s="12">
        <v>0</v>
      </c>
      <c r="I831" s="12">
        <v>0</v>
      </c>
      <c r="J831" s="12">
        <v>0</v>
      </c>
      <c r="K831" s="12">
        <v>0</v>
      </c>
      <c r="L831" s="12">
        <v>0</v>
      </c>
      <c r="M831" s="12">
        <v>0</v>
      </c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0</v>
      </c>
      <c r="V831" s="12">
        <v>0</v>
      </c>
      <c r="W831" s="12">
        <v>34</v>
      </c>
      <c r="X831" s="12">
        <v>0</v>
      </c>
      <c r="Y831" s="12">
        <v>0</v>
      </c>
      <c r="Z831" s="12">
        <v>0</v>
      </c>
      <c r="AA831" s="12"/>
      <c r="AC831" s="13">
        <f t="shared" si="178"/>
        <v>0</v>
      </c>
      <c r="AL831" s="14">
        <f t="shared" si="179"/>
        <v>0</v>
      </c>
    </row>
    <row r="832" spans="1:38" hidden="1" x14ac:dyDescent="0.25">
      <c r="A832" s="12" t="s">
        <v>140</v>
      </c>
      <c r="B832" s="12" t="s">
        <v>886</v>
      </c>
      <c r="C832" s="12" t="s">
        <v>539</v>
      </c>
      <c r="D832" s="12"/>
      <c r="E832" s="12">
        <f t="shared" si="177"/>
        <v>34</v>
      </c>
      <c r="F832" s="12" t="s">
        <v>70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  <c r="W832" s="12">
        <v>34</v>
      </c>
      <c r="X832" s="12">
        <v>0</v>
      </c>
      <c r="Y832" s="12">
        <v>0</v>
      </c>
      <c r="Z832" s="12">
        <v>0</v>
      </c>
      <c r="AA832" s="12"/>
      <c r="AC832" s="13">
        <f t="shared" si="178"/>
        <v>0</v>
      </c>
      <c r="AL832" s="14">
        <f t="shared" si="179"/>
        <v>0</v>
      </c>
    </row>
    <row r="833" spans="1:38" hidden="1" x14ac:dyDescent="0.25">
      <c r="A833" s="12" t="s">
        <v>399</v>
      </c>
      <c r="B833" s="12" t="s">
        <v>887</v>
      </c>
      <c r="C833" s="12" t="s">
        <v>539</v>
      </c>
      <c r="D833" s="12"/>
      <c r="E833" s="12">
        <f t="shared" si="177"/>
        <v>34</v>
      </c>
      <c r="F833" s="12" t="str">
        <f>VLOOKUP(B833,[1]lookup!A:B,2,FALSE)</f>
        <v>Perpetual</v>
      </c>
      <c r="G833" s="12">
        <v>0</v>
      </c>
      <c r="H833" s="12">
        <v>34</v>
      </c>
      <c r="I833" s="12">
        <v>0</v>
      </c>
      <c r="J833" s="12">
        <v>0</v>
      </c>
      <c r="K833" s="12">
        <v>0</v>
      </c>
      <c r="L833" s="12">
        <v>0</v>
      </c>
      <c r="M833" s="12">
        <v>0</v>
      </c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0</v>
      </c>
      <c r="U833" s="12">
        <v>0</v>
      </c>
      <c r="V833" s="12">
        <v>0</v>
      </c>
      <c r="W833" s="12">
        <v>0</v>
      </c>
      <c r="X833" s="12">
        <v>0</v>
      </c>
      <c r="Y833" s="12">
        <v>0</v>
      </c>
      <c r="Z833" s="12">
        <v>0</v>
      </c>
      <c r="AA833" s="12"/>
      <c r="AC833" s="13">
        <f t="shared" si="178"/>
        <v>0</v>
      </c>
      <c r="AK833" s="15">
        <f>H833*AK$2</f>
        <v>4080</v>
      </c>
      <c r="AL833" s="14">
        <f t="shared" si="179"/>
        <v>4080</v>
      </c>
    </row>
    <row r="834" spans="1:38" hidden="1" x14ac:dyDescent="0.25">
      <c r="A834" s="12" t="s">
        <v>222</v>
      </c>
      <c r="B834" s="12" t="s">
        <v>888</v>
      </c>
      <c r="C834" s="12" t="s">
        <v>539</v>
      </c>
      <c r="D834" s="12"/>
      <c r="E834" s="12">
        <f t="shared" si="177"/>
        <v>34</v>
      </c>
      <c r="F834" s="12" t="s">
        <v>70</v>
      </c>
      <c r="G834" s="12">
        <v>0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2">
        <v>0</v>
      </c>
      <c r="V834" s="12">
        <v>0</v>
      </c>
      <c r="W834" s="12">
        <v>34</v>
      </c>
      <c r="X834" s="12">
        <v>0</v>
      </c>
      <c r="Y834" s="12">
        <v>0</v>
      </c>
      <c r="Z834" s="12">
        <v>0</v>
      </c>
      <c r="AA834" s="12"/>
      <c r="AC834" s="13">
        <f t="shared" si="178"/>
        <v>0</v>
      </c>
      <c r="AL834" s="14">
        <f t="shared" si="179"/>
        <v>0</v>
      </c>
    </row>
    <row r="835" spans="1:38" hidden="1" x14ac:dyDescent="0.25">
      <c r="A835" s="12" t="s">
        <v>222</v>
      </c>
      <c r="B835" s="12" t="s">
        <v>889</v>
      </c>
      <c r="C835" s="12" t="s">
        <v>539</v>
      </c>
      <c r="D835" s="12"/>
      <c r="E835" s="12">
        <f t="shared" si="177"/>
        <v>34</v>
      </c>
      <c r="F835" s="12" t="s">
        <v>70</v>
      </c>
      <c r="G835" s="12">
        <v>0</v>
      </c>
      <c r="H835" s="12">
        <v>0</v>
      </c>
      <c r="I835" s="12">
        <v>0</v>
      </c>
      <c r="J835" s="12">
        <v>0</v>
      </c>
      <c r="K835" s="12">
        <v>0</v>
      </c>
      <c r="L835" s="12">
        <v>0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2">
        <v>0</v>
      </c>
      <c r="W835" s="12">
        <v>34</v>
      </c>
      <c r="X835" s="12">
        <v>0</v>
      </c>
      <c r="Y835" s="12">
        <v>0</v>
      </c>
      <c r="Z835" s="12">
        <v>0</v>
      </c>
      <c r="AA835" s="12"/>
      <c r="AC835" s="13">
        <f t="shared" si="178"/>
        <v>0</v>
      </c>
      <c r="AL835" s="14">
        <f t="shared" si="179"/>
        <v>0</v>
      </c>
    </row>
    <row r="836" spans="1:38" hidden="1" x14ac:dyDescent="0.25">
      <c r="A836" s="12" t="s">
        <v>890</v>
      </c>
      <c r="B836" s="12" t="s">
        <v>885</v>
      </c>
      <c r="C836" s="12" t="s">
        <v>539</v>
      </c>
      <c r="D836" s="12"/>
      <c r="E836" s="12">
        <f t="shared" si="177"/>
        <v>34</v>
      </c>
      <c r="F836" s="12" t="s">
        <v>70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0</v>
      </c>
      <c r="V836" s="12">
        <v>0</v>
      </c>
      <c r="W836" s="12">
        <v>34</v>
      </c>
      <c r="X836" s="12">
        <v>0</v>
      </c>
      <c r="Y836" s="12">
        <v>0</v>
      </c>
      <c r="Z836" s="12">
        <v>0</v>
      </c>
      <c r="AA836" s="12"/>
      <c r="AC836" s="13">
        <f t="shared" si="178"/>
        <v>0</v>
      </c>
      <c r="AL836" s="14">
        <f t="shared" si="179"/>
        <v>0</v>
      </c>
    </row>
    <row r="837" spans="1:38" hidden="1" x14ac:dyDescent="0.25">
      <c r="A837" s="12" t="s">
        <v>92</v>
      </c>
      <c r="B837" s="12" t="s">
        <v>891</v>
      </c>
      <c r="C837" s="12" t="s">
        <v>539</v>
      </c>
      <c r="D837" s="12"/>
      <c r="E837" s="12">
        <f t="shared" ref="E837:E900" si="183">MAX(G837:Z837)</f>
        <v>33</v>
      </c>
      <c r="F837" s="12" t="s">
        <v>70</v>
      </c>
      <c r="G837" s="12">
        <v>0</v>
      </c>
      <c r="H837" s="12">
        <v>0</v>
      </c>
      <c r="I837" s="12">
        <v>0</v>
      </c>
      <c r="J837" s="12">
        <v>0</v>
      </c>
      <c r="K837" s="12">
        <v>0</v>
      </c>
      <c r="L837" s="12">
        <v>0</v>
      </c>
      <c r="M837" s="12">
        <v>0</v>
      </c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0</v>
      </c>
      <c r="V837" s="12">
        <v>0</v>
      </c>
      <c r="W837" s="12">
        <v>33</v>
      </c>
      <c r="X837" s="12">
        <v>0</v>
      </c>
      <c r="Y837" s="12">
        <v>0</v>
      </c>
      <c r="Z837" s="12">
        <v>0</v>
      </c>
      <c r="AA837" s="12"/>
      <c r="AC837" s="13">
        <f t="shared" ref="AC837:AC900" si="184">M837*AC$2</f>
        <v>0</v>
      </c>
      <c r="AL837" s="14">
        <f t="shared" si="179"/>
        <v>0</v>
      </c>
    </row>
    <row r="838" spans="1:38" hidden="1" x14ac:dyDescent="0.25">
      <c r="A838" s="12" t="s">
        <v>140</v>
      </c>
      <c r="B838" s="12" t="s">
        <v>892</v>
      </c>
      <c r="C838" s="12" t="s">
        <v>539</v>
      </c>
      <c r="D838" s="12"/>
      <c r="E838" s="12">
        <f t="shared" si="183"/>
        <v>33</v>
      </c>
      <c r="F838" s="12" t="s">
        <v>70</v>
      </c>
      <c r="G838" s="12">
        <v>0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2">
        <v>0</v>
      </c>
      <c r="W838" s="12">
        <v>33</v>
      </c>
      <c r="X838" s="12">
        <v>0</v>
      </c>
      <c r="Y838" s="12">
        <v>0</v>
      </c>
      <c r="Z838" s="12">
        <v>0</v>
      </c>
      <c r="AA838" s="12"/>
      <c r="AC838" s="13">
        <f t="shared" si="184"/>
        <v>0</v>
      </c>
      <c r="AL838" s="14">
        <f t="shared" ref="AL838:AL901" si="185">SUM(AC838:AK838)</f>
        <v>0</v>
      </c>
    </row>
    <row r="839" spans="1:38" hidden="1" x14ac:dyDescent="0.25">
      <c r="A839" s="12" t="s">
        <v>222</v>
      </c>
      <c r="B839" s="12" t="s">
        <v>892</v>
      </c>
      <c r="C839" s="12" t="s">
        <v>539</v>
      </c>
      <c r="D839" s="12"/>
      <c r="E839" s="12">
        <f t="shared" si="183"/>
        <v>33</v>
      </c>
      <c r="F839" s="12" t="s">
        <v>70</v>
      </c>
      <c r="G839" s="12">
        <v>0</v>
      </c>
      <c r="H839" s="12">
        <v>0</v>
      </c>
      <c r="I839" s="12">
        <v>0</v>
      </c>
      <c r="J839" s="12">
        <v>0</v>
      </c>
      <c r="K839" s="12">
        <v>0</v>
      </c>
      <c r="L839" s="12">
        <v>0</v>
      </c>
      <c r="M839" s="12">
        <v>0</v>
      </c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33</v>
      </c>
      <c r="X839" s="12">
        <v>0</v>
      </c>
      <c r="Y839" s="12">
        <v>0</v>
      </c>
      <c r="Z839" s="12">
        <v>0</v>
      </c>
      <c r="AA839" s="12"/>
      <c r="AC839" s="13">
        <f t="shared" si="184"/>
        <v>0</v>
      </c>
      <c r="AL839" s="14">
        <f t="shared" si="185"/>
        <v>0</v>
      </c>
    </row>
    <row r="840" spans="1:38" hidden="1" x14ac:dyDescent="0.25">
      <c r="A840" s="12" t="s">
        <v>296</v>
      </c>
      <c r="B840" s="12" t="s">
        <v>893</v>
      </c>
      <c r="C840" s="12" t="s">
        <v>539</v>
      </c>
      <c r="D840" s="12"/>
      <c r="E840" s="12">
        <f t="shared" si="183"/>
        <v>33</v>
      </c>
      <c r="F840" s="12" t="s">
        <v>70</v>
      </c>
      <c r="G840" s="12">
        <v>0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0</v>
      </c>
      <c r="W840" s="12">
        <v>33</v>
      </c>
      <c r="X840" s="12">
        <v>0</v>
      </c>
      <c r="Y840" s="12">
        <v>0</v>
      </c>
      <c r="Z840" s="12">
        <v>0</v>
      </c>
      <c r="AA840" s="12"/>
      <c r="AC840" s="13">
        <f t="shared" si="184"/>
        <v>0</v>
      </c>
      <c r="AL840" s="14">
        <f t="shared" si="185"/>
        <v>0</v>
      </c>
    </row>
    <row r="841" spans="1:38" hidden="1" x14ac:dyDescent="0.25">
      <c r="A841" s="12" t="s">
        <v>537</v>
      </c>
      <c r="B841" s="12" t="s">
        <v>894</v>
      </c>
      <c r="C841" s="12" t="s">
        <v>539</v>
      </c>
      <c r="D841" s="12"/>
      <c r="E841" s="12">
        <f t="shared" si="183"/>
        <v>33</v>
      </c>
      <c r="F841" s="12" t="str">
        <f>VLOOKUP(B841,[1]lookup!A:B,2,FALSE)</f>
        <v>SaaS</v>
      </c>
      <c r="G841" s="12">
        <v>0</v>
      </c>
      <c r="H841" s="12">
        <v>0</v>
      </c>
      <c r="I841" s="12">
        <v>0</v>
      </c>
      <c r="J841" s="12">
        <v>33</v>
      </c>
      <c r="K841" s="12">
        <v>0</v>
      </c>
      <c r="L841" s="12">
        <v>0</v>
      </c>
      <c r="M841" s="12">
        <v>0</v>
      </c>
      <c r="N841" s="12">
        <v>33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0</v>
      </c>
      <c r="Y841" s="12">
        <v>0</v>
      </c>
      <c r="Z841" s="12">
        <v>0</v>
      </c>
      <c r="AA841" s="12"/>
      <c r="AC841" s="13">
        <f t="shared" si="184"/>
        <v>0</v>
      </c>
      <c r="AD841" s="13">
        <f>J841*AD$2</f>
        <v>7920</v>
      </c>
      <c r="AE841" s="13">
        <f>J841*AE$2</f>
        <v>3960</v>
      </c>
      <c r="AL841" s="14">
        <f t="shared" si="185"/>
        <v>11880</v>
      </c>
    </row>
    <row r="842" spans="1:38" hidden="1" x14ac:dyDescent="0.25">
      <c r="A842" s="12" t="s">
        <v>135</v>
      </c>
      <c r="B842" s="12" t="s">
        <v>895</v>
      </c>
      <c r="C842" s="12" t="s">
        <v>539</v>
      </c>
      <c r="D842" s="12"/>
      <c r="E842" s="12">
        <f t="shared" si="183"/>
        <v>32</v>
      </c>
      <c r="F842" s="12" t="s">
        <v>70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  <c r="W842" s="12">
        <v>32</v>
      </c>
      <c r="X842" s="12">
        <v>0</v>
      </c>
      <c r="Y842" s="12">
        <v>0</v>
      </c>
      <c r="Z842" s="12">
        <v>0</v>
      </c>
      <c r="AA842" s="12"/>
      <c r="AC842" s="13">
        <f t="shared" si="184"/>
        <v>0</v>
      </c>
      <c r="AL842" s="14">
        <f t="shared" si="185"/>
        <v>0</v>
      </c>
    </row>
    <row r="843" spans="1:38" hidden="1" x14ac:dyDescent="0.25">
      <c r="A843" s="12" t="s">
        <v>51</v>
      </c>
      <c r="B843" s="12" t="s">
        <v>896</v>
      </c>
      <c r="C843" s="12" t="s">
        <v>539</v>
      </c>
      <c r="D843" s="12"/>
      <c r="E843" s="12">
        <f t="shared" si="183"/>
        <v>32</v>
      </c>
      <c r="F843" s="12" t="s">
        <v>70</v>
      </c>
      <c r="G843" s="12">
        <v>0</v>
      </c>
      <c r="H843" s="12">
        <v>0</v>
      </c>
      <c r="I843" s="12">
        <v>0</v>
      </c>
      <c r="J843" s="12">
        <v>0</v>
      </c>
      <c r="K843" s="12">
        <v>0</v>
      </c>
      <c r="L843" s="12">
        <v>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32</v>
      </c>
      <c r="V843" s="12">
        <v>0</v>
      </c>
      <c r="W843" s="12">
        <v>0</v>
      </c>
      <c r="X843" s="12">
        <v>0</v>
      </c>
      <c r="Y843" s="12">
        <v>0</v>
      </c>
      <c r="Z843" s="12">
        <v>0</v>
      </c>
      <c r="AA843" s="12"/>
      <c r="AC843" s="13">
        <f t="shared" si="184"/>
        <v>0</v>
      </c>
      <c r="AL843" s="14">
        <f t="shared" si="185"/>
        <v>0</v>
      </c>
    </row>
    <row r="844" spans="1:38" hidden="1" x14ac:dyDescent="0.25">
      <c r="A844" s="12" t="s">
        <v>51</v>
      </c>
      <c r="B844" s="12" t="s">
        <v>897</v>
      </c>
      <c r="C844" s="12" t="s">
        <v>539</v>
      </c>
      <c r="D844" s="12"/>
      <c r="E844" s="12">
        <f t="shared" si="183"/>
        <v>32</v>
      </c>
      <c r="F844" s="12" t="s">
        <v>70</v>
      </c>
      <c r="G844" s="12">
        <v>0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32</v>
      </c>
      <c r="V844" s="12">
        <v>0</v>
      </c>
      <c r="W844" s="12">
        <v>0</v>
      </c>
      <c r="X844" s="12">
        <v>0</v>
      </c>
      <c r="Y844" s="12">
        <v>0</v>
      </c>
      <c r="Z844" s="12">
        <v>0</v>
      </c>
      <c r="AA844" s="12"/>
      <c r="AC844" s="13">
        <f t="shared" si="184"/>
        <v>0</v>
      </c>
      <c r="AL844" s="14">
        <f t="shared" si="185"/>
        <v>0</v>
      </c>
    </row>
    <row r="845" spans="1:38" hidden="1" x14ac:dyDescent="0.25">
      <c r="A845" s="12" t="s">
        <v>51</v>
      </c>
      <c r="B845" s="12" t="s">
        <v>898</v>
      </c>
      <c r="C845" s="12" t="s">
        <v>539</v>
      </c>
      <c r="D845" s="12"/>
      <c r="E845" s="12">
        <f t="shared" si="183"/>
        <v>31</v>
      </c>
      <c r="F845" s="12" t="s">
        <v>70</v>
      </c>
      <c r="G845" s="12">
        <v>0</v>
      </c>
      <c r="H845" s="12">
        <v>0</v>
      </c>
      <c r="I845" s="12">
        <v>0</v>
      </c>
      <c r="J845" s="12">
        <v>0</v>
      </c>
      <c r="K845" s="12">
        <v>0</v>
      </c>
      <c r="L845" s="12">
        <v>0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31</v>
      </c>
      <c r="V845" s="12">
        <v>0</v>
      </c>
      <c r="W845" s="12">
        <v>0</v>
      </c>
      <c r="X845" s="12">
        <v>0</v>
      </c>
      <c r="Y845" s="12">
        <v>0</v>
      </c>
      <c r="Z845" s="12">
        <v>0</v>
      </c>
      <c r="AA845" s="12"/>
      <c r="AC845" s="13">
        <f t="shared" si="184"/>
        <v>0</v>
      </c>
      <c r="AL845" s="14">
        <f t="shared" si="185"/>
        <v>0</v>
      </c>
    </row>
    <row r="846" spans="1:38" hidden="1" x14ac:dyDescent="0.25">
      <c r="A846" s="12" t="s">
        <v>51</v>
      </c>
      <c r="B846" s="12" t="s">
        <v>899</v>
      </c>
      <c r="C846" s="12" t="s">
        <v>539</v>
      </c>
      <c r="D846" s="12"/>
      <c r="E846" s="12">
        <f t="shared" si="183"/>
        <v>31</v>
      </c>
      <c r="F846" s="12" t="s">
        <v>70</v>
      </c>
      <c r="G846" s="12">
        <v>0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12">
        <v>0</v>
      </c>
      <c r="U846" s="12">
        <v>31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2"/>
      <c r="AC846" s="13">
        <f t="shared" si="184"/>
        <v>0</v>
      </c>
      <c r="AL846" s="14">
        <f t="shared" si="185"/>
        <v>0</v>
      </c>
    </row>
    <row r="847" spans="1:38" hidden="1" x14ac:dyDescent="0.25">
      <c r="A847" s="12" t="s">
        <v>51</v>
      </c>
      <c r="B847" s="12" t="s">
        <v>900</v>
      </c>
      <c r="C847" s="12" t="s">
        <v>539</v>
      </c>
      <c r="D847" s="12"/>
      <c r="E847" s="12">
        <f t="shared" si="183"/>
        <v>31</v>
      </c>
      <c r="F847" s="12" t="s">
        <v>70</v>
      </c>
      <c r="G847" s="12">
        <v>0</v>
      </c>
      <c r="H847" s="12">
        <v>0</v>
      </c>
      <c r="I847" s="12">
        <v>0</v>
      </c>
      <c r="J847" s="12">
        <v>0</v>
      </c>
      <c r="K847" s="12">
        <v>0</v>
      </c>
      <c r="L847" s="12">
        <v>0</v>
      </c>
      <c r="M847" s="12">
        <v>0</v>
      </c>
      <c r="N847" s="12">
        <v>0</v>
      </c>
      <c r="O847" s="12">
        <v>0</v>
      </c>
      <c r="P847" s="12">
        <v>0</v>
      </c>
      <c r="Q847" s="12">
        <v>0</v>
      </c>
      <c r="R847" s="12">
        <v>0</v>
      </c>
      <c r="S847" s="12">
        <v>0</v>
      </c>
      <c r="T847" s="12">
        <v>0</v>
      </c>
      <c r="U847" s="12">
        <v>31</v>
      </c>
      <c r="V847" s="12">
        <v>0</v>
      </c>
      <c r="W847" s="12">
        <v>0</v>
      </c>
      <c r="X847" s="12">
        <v>0</v>
      </c>
      <c r="Y847" s="12">
        <v>0</v>
      </c>
      <c r="Z847" s="12">
        <v>0</v>
      </c>
      <c r="AA847" s="12"/>
      <c r="AC847" s="13">
        <f t="shared" si="184"/>
        <v>0</v>
      </c>
      <c r="AL847" s="14">
        <f t="shared" si="185"/>
        <v>0</v>
      </c>
    </row>
    <row r="848" spans="1:38" hidden="1" x14ac:dyDescent="0.25">
      <c r="A848" s="12" t="s">
        <v>51</v>
      </c>
      <c r="B848" s="12" t="s">
        <v>901</v>
      </c>
      <c r="C848" s="12" t="s">
        <v>539</v>
      </c>
      <c r="D848" s="12"/>
      <c r="E848" s="12">
        <f t="shared" si="183"/>
        <v>31</v>
      </c>
      <c r="F848" s="12" t="s">
        <v>70</v>
      </c>
      <c r="G848" s="12">
        <v>0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0</v>
      </c>
      <c r="U848" s="12">
        <v>31</v>
      </c>
      <c r="V848" s="12">
        <v>0</v>
      </c>
      <c r="W848" s="12">
        <v>0</v>
      </c>
      <c r="X848" s="12">
        <v>0</v>
      </c>
      <c r="Y848" s="12">
        <v>0</v>
      </c>
      <c r="Z848" s="12">
        <v>0</v>
      </c>
      <c r="AA848" s="12"/>
      <c r="AC848" s="13">
        <f t="shared" si="184"/>
        <v>0</v>
      </c>
      <c r="AL848" s="14">
        <f t="shared" si="185"/>
        <v>0</v>
      </c>
    </row>
    <row r="849" spans="1:38" hidden="1" x14ac:dyDescent="0.25">
      <c r="A849" s="12" t="s">
        <v>51</v>
      </c>
      <c r="B849" s="12" t="s">
        <v>902</v>
      </c>
      <c r="C849" s="12" t="s">
        <v>539</v>
      </c>
      <c r="D849" s="12"/>
      <c r="E849" s="12">
        <f t="shared" si="183"/>
        <v>31</v>
      </c>
      <c r="F849" s="12" t="s">
        <v>70</v>
      </c>
      <c r="G849" s="12">
        <v>0</v>
      </c>
      <c r="H849" s="12">
        <v>0</v>
      </c>
      <c r="I849" s="12">
        <v>0</v>
      </c>
      <c r="J849" s="12">
        <v>0</v>
      </c>
      <c r="K849" s="12">
        <v>0</v>
      </c>
      <c r="L849" s="12">
        <v>0</v>
      </c>
      <c r="M849" s="12">
        <v>0</v>
      </c>
      <c r="N849" s="12">
        <v>0</v>
      </c>
      <c r="O849" s="12">
        <v>0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31</v>
      </c>
      <c r="V849" s="12">
        <v>0</v>
      </c>
      <c r="W849" s="12">
        <v>0</v>
      </c>
      <c r="X849" s="12">
        <v>0</v>
      </c>
      <c r="Y849" s="12">
        <v>0</v>
      </c>
      <c r="Z849" s="12">
        <v>0</v>
      </c>
      <c r="AA849" s="12"/>
      <c r="AC849" s="13">
        <f t="shared" si="184"/>
        <v>0</v>
      </c>
      <c r="AL849" s="14">
        <f t="shared" si="185"/>
        <v>0</v>
      </c>
    </row>
    <row r="850" spans="1:38" hidden="1" x14ac:dyDescent="0.25">
      <c r="A850" s="12" t="s">
        <v>51</v>
      </c>
      <c r="B850" s="12" t="s">
        <v>903</v>
      </c>
      <c r="C850" s="12" t="s">
        <v>539</v>
      </c>
      <c r="D850" s="12"/>
      <c r="E850" s="12">
        <f t="shared" si="183"/>
        <v>31</v>
      </c>
      <c r="F850" s="12" t="s">
        <v>70</v>
      </c>
      <c r="G850" s="12">
        <v>0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31</v>
      </c>
      <c r="V850" s="12">
        <v>0</v>
      </c>
      <c r="W850" s="12">
        <v>0</v>
      </c>
      <c r="X850" s="12">
        <v>0</v>
      </c>
      <c r="Y850" s="12">
        <v>0</v>
      </c>
      <c r="Z850" s="12">
        <v>0</v>
      </c>
      <c r="AA850" s="12"/>
      <c r="AC850" s="13">
        <f t="shared" si="184"/>
        <v>0</v>
      </c>
      <c r="AL850" s="14">
        <f t="shared" si="185"/>
        <v>0</v>
      </c>
    </row>
    <row r="851" spans="1:38" hidden="1" x14ac:dyDescent="0.25">
      <c r="A851" s="12" t="s">
        <v>222</v>
      </c>
      <c r="B851" s="12" t="s">
        <v>904</v>
      </c>
      <c r="C851" s="12" t="s">
        <v>539</v>
      </c>
      <c r="D851" s="12"/>
      <c r="E851" s="12">
        <f t="shared" si="183"/>
        <v>31</v>
      </c>
      <c r="F851" s="12" t="s">
        <v>70</v>
      </c>
      <c r="G851" s="12">
        <v>0</v>
      </c>
      <c r="H851" s="12">
        <v>0</v>
      </c>
      <c r="I851" s="12">
        <v>0</v>
      </c>
      <c r="J851" s="12">
        <v>0</v>
      </c>
      <c r="K851" s="12">
        <v>0</v>
      </c>
      <c r="L851" s="12">
        <v>0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  <c r="W851" s="12">
        <v>31</v>
      </c>
      <c r="X851" s="12">
        <v>0</v>
      </c>
      <c r="Y851" s="12">
        <v>0</v>
      </c>
      <c r="Z851" s="12">
        <v>0</v>
      </c>
      <c r="AA851" s="12"/>
      <c r="AC851" s="13">
        <f t="shared" si="184"/>
        <v>0</v>
      </c>
      <c r="AL851" s="14">
        <f t="shared" si="185"/>
        <v>0</v>
      </c>
    </row>
    <row r="852" spans="1:38" hidden="1" x14ac:dyDescent="0.25">
      <c r="A852" s="12" t="s">
        <v>296</v>
      </c>
      <c r="B852" s="12" t="s">
        <v>905</v>
      </c>
      <c r="C852" s="12" t="s">
        <v>539</v>
      </c>
      <c r="D852" s="12"/>
      <c r="E852" s="12">
        <f t="shared" si="183"/>
        <v>31</v>
      </c>
      <c r="F852" s="12" t="s">
        <v>70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0</v>
      </c>
      <c r="U852" s="12">
        <v>0</v>
      </c>
      <c r="V852" s="12">
        <v>0</v>
      </c>
      <c r="W852" s="12">
        <v>31</v>
      </c>
      <c r="X852" s="12">
        <v>0</v>
      </c>
      <c r="Y852" s="12">
        <v>0</v>
      </c>
      <c r="Z852" s="12">
        <v>0</v>
      </c>
      <c r="AA852" s="12"/>
      <c r="AC852" s="13">
        <f t="shared" si="184"/>
        <v>0</v>
      </c>
      <c r="AL852" s="14">
        <f t="shared" si="185"/>
        <v>0</v>
      </c>
    </row>
    <row r="853" spans="1:38" hidden="1" x14ac:dyDescent="0.25">
      <c r="A853" s="12" t="s">
        <v>148</v>
      </c>
      <c r="B853" s="12" t="s">
        <v>906</v>
      </c>
      <c r="C853" s="12" t="s">
        <v>539</v>
      </c>
      <c r="D853" s="12"/>
      <c r="E853" s="12">
        <f t="shared" si="183"/>
        <v>31</v>
      </c>
      <c r="F853" s="12" t="s">
        <v>70</v>
      </c>
      <c r="G853" s="12">
        <v>0</v>
      </c>
      <c r="H853" s="12">
        <v>0</v>
      </c>
      <c r="I853" s="12">
        <v>0</v>
      </c>
      <c r="J853" s="12">
        <v>0</v>
      </c>
      <c r="K853" s="12">
        <v>0</v>
      </c>
      <c r="L853" s="12">
        <v>0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0</v>
      </c>
      <c r="V853" s="12">
        <v>0</v>
      </c>
      <c r="W853" s="12">
        <v>31</v>
      </c>
      <c r="X853" s="12">
        <v>0</v>
      </c>
      <c r="Y853" s="12">
        <v>0</v>
      </c>
      <c r="Z853" s="12">
        <v>0</v>
      </c>
      <c r="AA853" s="12"/>
      <c r="AC853" s="13">
        <f t="shared" si="184"/>
        <v>0</v>
      </c>
      <c r="AL853" s="14">
        <f t="shared" si="185"/>
        <v>0</v>
      </c>
    </row>
    <row r="854" spans="1:38" hidden="1" x14ac:dyDescent="0.25">
      <c r="A854" s="12" t="s">
        <v>86</v>
      </c>
      <c r="B854" s="12" t="s">
        <v>907</v>
      </c>
      <c r="C854" s="12" t="s">
        <v>539</v>
      </c>
      <c r="D854" s="12"/>
      <c r="E854" s="12">
        <f t="shared" si="183"/>
        <v>30</v>
      </c>
      <c r="F854" s="12" t="str">
        <f>VLOOKUP(B854,[1]lookup!A:B,2,FALSE)</f>
        <v>Term</v>
      </c>
      <c r="G854" s="12">
        <v>0</v>
      </c>
      <c r="H854" s="12">
        <v>30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  <c r="V854" s="12">
        <v>0</v>
      </c>
      <c r="W854" s="12">
        <v>0</v>
      </c>
      <c r="X854" s="12">
        <v>0</v>
      </c>
      <c r="Y854" s="12">
        <v>0</v>
      </c>
      <c r="Z854" s="12">
        <v>0</v>
      </c>
      <c r="AA854" s="12"/>
      <c r="AC854" s="13">
        <f t="shared" si="184"/>
        <v>0</v>
      </c>
      <c r="AK854" s="15">
        <f>H854*AK$2</f>
        <v>3600</v>
      </c>
      <c r="AL854" s="14">
        <f t="shared" si="185"/>
        <v>3600</v>
      </c>
    </row>
    <row r="855" spans="1:38" hidden="1" x14ac:dyDescent="0.25">
      <c r="A855" s="12" t="s">
        <v>86</v>
      </c>
      <c r="B855" s="12" t="s">
        <v>908</v>
      </c>
      <c r="C855" s="12" t="s">
        <v>539</v>
      </c>
      <c r="D855" s="12"/>
      <c r="E855" s="12">
        <f t="shared" si="183"/>
        <v>30</v>
      </c>
      <c r="F855" s="12" t="str">
        <f>VLOOKUP(B855,[1]lookup!A:B,2,FALSE)</f>
        <v>Term</v>
      </c>
      <c r="G855" s="12">
        <v>0</v>
      </c>
      <c r="H855" s="12">
        <v>30</v>
      </c>
      <c r="I855" s="12">
        <v>1</v>
      </c>
      <c r="J855" s="12">
        <v>0</v>
      </c>
      <c r="K855" s="12">
        <v>0</v>
      </c>
      <c r="L855" s="12">
        <v>0</v>
      </c>
      <c r="M855" s="12">
        <v>0</v>
      </c>
      <c r="N855" s="12">
        <v>0</v>
      </c>
      <c r="O855" s="12">
        <v>0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  <c r="X855" s="12">
        <v>0</v>
      </c>
      <c r="Y855" s="12">
        <v>0</v>
      </c>
      <c r="Z855" s="12">
        <v>0</v>
      </c>
      <c r="AA855" s="12"/>
      <c r="AC855" s="13">
        <f t="shared" si="184"/>
        <v>0</v>
      </c>
      <c r="AL855" s="14">
        <f t="shared" si="185"/>
        <v>0</v>
      </c>
    </row>
    <row r="856" spans="1:38" hidden="1" x14ac:dyDescent="0.25">
      <c r="A856" s="12" t="s">
        <v>86</v>
      </c>
      <c r="B856" s="12" t="s">
        <v>909</v>
      </c>
      <c r="C856" s="12" t="s">
        <v>539</v>
      </c>
      <c r="D856" s="12"/>
      <c r="E856" s="12">
        <f t="shared" si="183"/>
        <v>30</v>
      </c>
      <c r="F856" s="12" t="str">
        <f>VLOOKUP(B856,[1]lookup!A:B,2,FALSE)</f>
        <v>Perpetual</v>
      </c>
      <c r="G856" s="12">
        <v>0</v>
      </c>
      <c r="H856" s="12">
        <v>30</v>
      </c>
      <c r="I856" s="12">
        <v>0</v>
      </c>
      <c r="J856" s="12">
        <v>30</v>
      </c>
      <c r="K856" s="12">
        <v>0</v>
      </c>
      <c r="L856" s="12">
        <v>0</v>
      </c>
      <c r="M856" s="12">
        <v>30</v>
      </c>
      <c r="N856" s="12">
        <v>0</v>
      </c>
      <c r="O856" s="12">
        <v>30</v>
      </c>
      <c r="P856" s="12">
        <v>0</v>
      </c>
      <c r="Q856" s="12">
        <v>0</v>
      </c>
      <c r="R856" s="12">
        <v>0</v>
      </c>
      <c r="S856" s="12">
        <v>0</v>
      </c>
      <c r="T856" s="12">
        <v>0</v>
      </c>
      <c r="U856" s="12">
        <v>0</v>
      </c>
      <c r="V856" s="12">
        <v>0</v>
      </c>
      <c r="W856" s="12">
        <v>0</v>
      </c>
      <c r="X856" s="12">
        <v>0</v>
      </c>
      <c r="Y856" s="12">
        <v>0</v>
      </c>
      <c r="Z856" s="12">
        <v>0</v>
      </c>
      <c r="AA856" s="12"/>
      <c r="AC856" s="13">
        <f t="shared" si="184"/>
        <v>7200</v>
      </c>
      <c r="AD856" s="13">
        <f>J856*AD$2</f>
        <v>7200</v>
      </c>
      <c r="AE856" s="13">
        <f>J856*AE$2</f>
        <v>3600</v>
      </c>
      <c r="AK856" s="15">
        <f t="shared" ref="AK856:AK858" si="186">H856*AK$2</f>
        <v>3600</v>
      </c>
      <c r="AL856" s="14">
        <f t="shared" si="185"/>
        <v>21600</v>
      </c>
    </row>
    <row r="857" spans="1:38" hidden="1" x14ac:dyDescent="0.25">
      <c r="A857" s="12" t="s">
        <v>86</v>
      </c>
      <c r="B857" s="12" t="s">
        <v>910</v>
      </c>
      <c r="C857" s="12" t="s">
        <v>539</v>
      </c>
      <c r="D857" s="12"/>
      <c r="E857" s="12">
        <f t="shared" si="183"/>
        <v>30</v>
      </c>
      <c r="F857" s="12" t="str">
        <f>VLOOKUP(B857,[1]lookup!A:B,2,FALSE)</f>
        <v>Perpetual</v>
      </c>
      <c r="G857" s="12">
        <v>0</v>
      </c>
      <c r="H857" s="12">
        <v>30</v>
      </c>
      <c r="I857" s="12">
        <v>0</v>
      </c>
      <c r="J857" s="12">
        <v>0</v>
      </c>
      <c r="K857" s="12">
        <v>0</v>
      </c>
      <c r="L857" s="12">
        <v>0</v>
      </c>
      <c r="M857" s="12">
        <v>0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0</v>
      </c>
      <c r="V857" s="12">
        <v>0</v>
      </c>
      <c r="W857" s="12">
        <v>0</v>
      </c>
      <c r="X857" s="12">
        <v>0</v>
      </c>
      <c r="Y857" s="12">
        <v>0</v>
      </c>
      <c r="Z857" s="12">
        <v>0</v>
      </c>
      <c r="AA857" s="12"/>
      <c r="AC857" s="13">
        <f t="shared" si="184"/>
        <v>0</v>
      </c>
      <c r="AK857" s="15">
        <f t="shared" si="186"/>
        <v>3600</v>
      </c>
      <c r="AL857" s="14">
        <f t="shared" si="185"/>
        <v>3600</v>
      </c>
    </row>
    <row r="858" spans="1:38" hidden="1" x14ac:dyDescent="0.25">
      <c r="A858" s="12" t="s">
        <v>86</v>
      </c>
      <c r="B858" s="12" t="s">
        <v>911</v>
      </c>
      <c r="C858" s="12" t="s">
        <v>539</v>
      </c>
      <c r="D858" s="12"/>
      <c r="E858" s="12">
        <f t="shared" si="183"/>
        <v>30</v>
      </c>
      <c r="F858" s="12" t="str">
        <f>VLOOKUP(B858,[1]lookup!A:B,2,FALSE)</f>
        <v>Term</v>
      </c>
      <c r="G858" s="12">
        <v>0</v>
      </c>
      <c r="H858" s="12">
        <v>30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0</v>
      </c>
      <c r="W858" s="12">
        <v>0</v>
      </c>
      <c r="X858" s="12">
        <v>0</v>
      </c>
      <c r="Y858" s="12">
        <v>0</v>
      </c>
      <c r="Z858" s="12">
        <v>0</v>
      </c>
      <c r="AA858" s="12"/>
      <c r="AC858" s="13">
        <f t="shared" si="184"/>
        <v>0</v>
      </c>
      <c r="AK858" s="15">
        <f t="shared" si="186"/>
        <v>3600</v>
      </c>
      <c r="AL858" s="14">
        <f t="shared" si="185"/>
        <v>3600</v>
      </c>
    </row>
    <row r="859" spans="1:38" hidden="1" x14ac:dyDescent="0.25">
      <c r="A859" s="12" t="s">
        <v>86</v>
      </c>
      <c r="B859" s="12" t="s">
        <v>912</v>
      </c>
      <c r="C859" s="12" t="s">
        <v>539</v>
      </c>
      <c r="D859" s="12"/>
      <c r="E859" s="12">
        <f t="shared" si="183"/>
        <v>30</v>
      </c>
      <c r="F859" s="12" t="str">
        <f>VLOOKUP(B859,[1]lookup!A:B,2,FALSE)</f>
        <v>SaaS</v>
      </c>
      <c r="G859" s="12">
        <v>30</v>
      </c>
      <c r="H859" s="12">
        <v>0</v>
      </c>
      <c r="I859" s="12">
        <v>0</v>
      </c>
      <c r="J859" s="12">
        <v>0</v>
      </c>
      <c r="K859" s="12">
        <v>0</v>
      </c>
      <c r="L859" s="12">
        <v>0</v>
      </c>
      <c r="M859" s="12">
        <v>0</v>
      </c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0</v>
      </c>
      <c r="V859" s="12">
        <v>0</v>
      </c>
      <c r="W859" s="12">
        <v>0</v>
      </c>
      <c r="X859" s="12">
        <v>0</v>
      </c>
      <c r="Y859" s="12">
        <v>0</v>
      </c>
      <c r="Z859" s="12">
        <v>0</v>
      </c>
      <c r="AA859" s="12"/>
      <c r="AC859" s="13">
        <f t="shared" si="184"/>
        <v>0</v>
      </c>
      <c r="AL859" s="14">
        <f t="shared" si="185"/>
        <v>0</v>
      </c>
    </row>
    <row r="860" spans="1:38" hidden="1" x14ac:dyDescent="0.25">
      <c r="A860" s="12" t="s">
        <v>64</v>
      </c>
      <c r="B860" s="12" t="s">
        <v>913</v>
      </c>
      <c r="C860" s="12" t="s">
        <v>539</v>
      </c>
      <c r="D860" s="12"/>
      <c r="E860" s="12">
        <f t="shared" si="183"/>
        <v>30</v>
      </c>
      <c r="F860" s="12" t="str">
        <f>VLOOKUP(B860,[1]lookup!A:B,2,FALSE)</f>
        <v>Perpetual</v>
      </c>
      <c r="G860" s="12">
        <v>0</v>
      </c>
      <c r="H860" s="12">
        <v>30</v>
      </c>
      <c r="I860" s="12">
        <v>0</v>
      </c>
      <c r="J860" s="12">
        <v>30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2"/>
      <c r="AC860" s="13">
        <f t="shared" si="184"/>
        <v>0</v>
      </c>
      <c r="AD860" s="13">
        <f>J860*AD$2</f>
        <v>7200</v>
      </c>
      <c r="AE860" s="13">
        <f>J860*AE$2</f>
        <v>3600</v>
      </c>
      <c r="AK860" s="15">
        <f>H860*AK$2</f>
        <v>3600</v>
      </c>
      <c r="AL860" s="14">
        <f t="shared" si="185"/>
        <v>14400</v>
      </c>
    </row>
    <row r="861" spans="1:38" hidden="1" x14ac:dyDescent="0.25">
      <c r="A861" s="12" t="s">
        <v>135</v>
      </c>
      <c r="B861" s="12" t="s">
        <v>914</v>
      </c>
      <c r="C861" s="12" t="s">
        <v>539</v>
      </c>
      <c r="D861" s="12"/>
      <c r="E861" s="12">
        <f t="shared" si="183"/>
        <v>30</v>
      </c>
      <c r="F861" s="12" t="str">
        <f>VLOOKUP(B861,[1]lookup!A:B,2,FALSE)</f>
        <v>Perpetual</v>
      </c>
      <c r="G861" s="12">
        <v>0</v>
      </c>
      <c r="H861" s="12">
        <v>0</v>
      </c>
      <c r="I861" s="12">
        <v>0</v>
      </c>
      <c r="J861" s="12">
        <v>0</v>
      </c>
      <c r="K861" s="12">
        <v>0</v>
      </c>
      <c r="L861" s="12">
        <v>0</v>
      </c>
      <c r="M861" s="12">
        <v>0</v>
      </c>
      <c r="N861" s="12">
        <v>0</v>
      </c>
      <c r="O861" s="12">
        <v>0</v>
      </c>
      <c r="P861" s="12">
        <v>6</v>
      </c>
      <c r="Q861" s="12">
        <v>0</v>
      </c>
      <c r="R861" s="12">
        <v>0</v>
      </c>
      <c r="S861" s="12">
        <v>0</v>
      </c>
      <c r="T861" s="12">
        <v>0</v>
      </c>
      <c r="U861" s="12">
        <v>0</v>
      </c>
      <c r="V861" s="12">
        <v>0</v>
      </c>
      <c r="W861" s="12">
        <v>30</v>
      </c>
      <c r="X861" s="12">
        <v>0</v>
      </c>
      <c r="Y861" s="12">
        <v>0</v>
      </c>
      <c r="Z861" s="12">
        <v>0</v>
      </c>
      <c r="AA861" s="12"/>
      <c r="AC861" s="13">
        <f t="shared" si="184"/>
        <v>0</v>
      </c>
      <c r="AL861" s="14">
        <f t="shared" si="185"/>
        <v>0</v>
      </c>
    </row>
    <row r="862" spans="1:38" hidden="1" x14ac:dyDescent="0.25">
      <c r="A862" s="12" t="s">
        <v>140</v>
      </c>
      <c r="B862" s="12" t="s">
        <v>915</v>
      </c>
      <c r="C862" s="12" t="s">
        <v>539</v>
      </c>
      <c r="D862" s="12"/>
      <c r="E862" s="12">
        <f t="shared" si="183"/>
        <v>30</v>
      </c>
      <c r="F862" s="12" t="s">
        <v>70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30</v>
      </c>
      <c r="X862" s="12">
        <v>0</v>
      </c>
      <c r="Y862" s="12">
        <v>0</v>
      </c>
      <c r="Z862" s="12">
        <v>0</v>
      </c>
      <c r="AA862" s="12"/>
      <c r="AC862" s="13">
        <f t="shared" si="184"/>
        <v>0</v>
      </c>
      <c r="AL862" s="14">
        <f t="shared" si="185"/>
        <v>0</v>
      </c>
    </row>
    <row r="863" spans="1:38" hidden="1" x14ac:dyDescent="0.25">
      <c r="A863" s="12" t="s">
        <v>80</v>
      </c>
      <c r="B863" s="12" t="s">
        <v>916</v>
      </c>
      <c r="C863" s="12" t="s">
        <v>539</v>
      </c>
      <c r="D863" s="12"/>
      <c r="E863" s="12">
        <f t="shared" si="183"/>
        <v>30</v>
      </c>
      <c r="F863" s="12" t="s">
        <v>70</v>
      </c>
      <c r="G863" s="12">
        <v>0</v>
      </c>
      <c r="H863" s="12">
        <v>0</v>
      </c>
      <c r="I863" s="12">
        <v>0</v>
      </c>
      <c r="J863" s="12">
        <v>0</v>
      </c>
      <c r="K863" s="12">
        <v>0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30</v>
      </c>
      <c r="V863" s="12">
        <v>0</v>
      </c>
      <c r="W863" s="12">
        <v>0</v>
      </c>
      <c r="X863" s="12">
        <v>0</v>
      </c>
      <c r="Y863" s="12">
        <v>0</v>
      </c>
      <c r="Z863" s="12">
        <v>0</v>
      </c>
      <c r="AA863" s="12"/>
      <c r="AC863" s="13">
        <f t="shared" si="184"/>
        <v>0</v>
      </c>
      <c r="AL863" s="14">
        <f t="shared" si="185"/>
        <v>0</v>
      </c>
    </row>
    <row r="864" spans="1:38" hidden="1" x14ac:dyDescent="0.25">
      <c r="A864" s="12" t="s">
        <v>51</v>
      </c>
      <c r="B864" s="12" t="s">
        <v>917</v>
      </c>
      <c r="C864" s="12" t="s">
        <v>539</v>
      </c>
      <c r="D864" s="12"/>
      <c r="E864" s="12">
        <f t="shared" si="183"/>
        <v>30</v>
      </c>
      <c r="F864" s="12" t="s">
        <v>70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30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2"/>
      <c r="AC864" s="13">
        <f t="shared" si="184"/>
        <v>0</v>
      </c>
      <c r="AL864" s="14">
        <f t="shared" si="185"/>
        <v>0</v>
      </c>
    </row>
    <row r="865" spans="1:38" hidden="1" x14ac:dyDescent="0.25">
      <c r="A865" s="12" t="s">
        <v>51</v>
      </c>
      <c r="B865" s="12" t="s">
        <v>918</v>
      </c>
      <c r="C865" s="12" t="s">
        <v>539</v>
      </c>
      <c r="D865" s="12"/>
      <c r="E865" s="12">
        <f t="shared" si="183"/>
        <v>30</v>
      </c>
      <c r="F865" s="12" t="s">
        <v>70</v>
      </c>
      <c r="G865" s="12">
        <v>0</v>
      </c>
      <c r="H865" s="12">
        <v>0</v>
      </c>
      <c r="I865" s="12">
        <v>0</v>
      </c>
      <c r="J865" s="12">
        <v>0</v>
      </c>
      <c r="K865" s="12">
        <v>0</v>
      </c>
      <c r="L865" s="12">
        <v>0</v>
      </c>
      <c r="M865" s="12">
        <v>0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30</v>
      </c>
      <c r="V865" s="12">
        <v>0</v>
      </c>
      <c r="W865" s="12">
        <v>0</v>
      </c>
      <c r="X865" s="12">
        <v>0</v>
      </c>
      <c r="Y865" s="12">
        <v>0</v>
      </c>
      <c r="Z865" s="12">
        <v>0</v>
      </c>
      <c r="AA865" s="12"/>
      <c r="AC865" s="13">
        <f t="shared" si="184"/>
        <v>0</v>
      </c>
      <c r="AL865" s="14">
        <f t="shared" si="185"/>
        <v>0</v>
      </c>
    </row>
    <row r="866" spans="1:38" hidden="1" x14ac:dyDescent="0.25">
      <c r="A866" s="12" t="s">
        <v>51</v>
      </c>
      <c r="B866" s="12" t="s">
        <v>919</v>
      </c>
      <c r="C866" s="12" t="s">
        <v>539</v>
      </c>
      <c r="D866" s="12"/>
      <c r="E866" s="12">
        <f t="shared" si="183"/>
        <v>30</v>
      </c>
      <c r="F866" s="12" t="s">
        <v>70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30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2"/>
      <c r="AC866" s="13">
        <f t="shared" si="184"/>
        <v>0</v>
      </c>
      <c r="AL866" s="14">
        <f t="shared" si="185"/>
        <v>0</v>
      </c>
    </row>
    <row r="867" spans="1:38" hidden="1" x14ac:dyDescent="0.25">
      <c r="A867" s="12" t="s">
        <v>51</v>
      </c>
      <c r="B867" s="12" t="s">
        <v>920</v>
      </c>
      <c r="C867" s="12" t="s">
        <v>539</v>
      </c>
      <c r="D867" s="12"/>
      <c r="E867" s="12">
        <f t="shared" si="183"/>
        <v>30</v>
      </c>
      <c r="F867" s="12" t="s">
        <v>70</v>
      </c>
      <c r="G867" s="12">
        <v>0</v>
      </c>
      <c r="H867" s="12">
        <v>0</v>
      </c>
      <c r="I867" s="12">
        <v>0</v>
      </c>
      <c r="J867" s="12">
        <v>0</v>
      </c>
      <c r="K867" s="12">
        <v>0</v>
      </c>
      <c r="L867" s="12">
        <v>0</v>
      </c>
      <c r="M867" s="12">
        <v>0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0</v>
      </c>
      <c r="U867" s="12">
        <v>30</v>
      </c>
      <c r="V867" s="12">
        <v>0</v>
      </c>
      <c r="W867" s="12">
        <v>0</v>
      </c>
      <c r="X867" s="12">
        <v>0</v>
      </c>
      <c r="Y867" s="12">
        <v>0</v>
      </c>
      <c r="Z867" s="12">
        <v>0</v>
      </c>
      <c r="AA867" s="12"/>
      <c r="AC867" s="13">
        <f t="shared" si="184"/>
        <v>0</v>
      </c>
      <c r="AL867" s="14">
        <f t="shared" si="185"/>
        <v>0</v>
      </c>
    </row>
    <row r="868" spans="1:38" hidden="1" x14ac:dyDescent="0.25">
      <c r="A868" s="12" t="s">
        <v>222</v>
      </c>
      <c r="B868" s="12" t="s">
        <v>921</v>
      </c>
      <c r="C868" s="12" t="s">
        <v>539</v>
      </c>
      <c r="D868" s="12"/>
      <c r="E868" s="12">
        <f t="shared" si="183"/>
        <v>30</v>
      </c>
      <c r="F868" s="12" t="s">
        <v>70</v>
      </c>
      <c r="G868" s="12">
        <v>0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  <c r="W868" s="12">
        <v>30</v>
      </c>
      <c r="X868" s="12">
        <v>0</v>
      </c>
      <c r="Y868" s="12">
        <v>0</v>
      </c>
      <c r="Z868" s="12">
        <v>0</v>
      </c>
      <c r="AA868" s="12"/>
      <c r="AC868" s="13">
        <f t="shared" si="184"/>
        <v>0</v>
      </c>
      <c r="AL868" s="14">
        <f t="shared" si="185"/>
        <v>0</v>
      </c>
    </row>
    <row r="869" spans="1:38" hidden="1" x14ac:dyDescent="0.25">
      <c r="A869" s="12" t="s">
        <v>435</v>
      </c>
      <c r="B869" s="12" t="s">
        <v>921</v>
      </c>
      <c r="C869" s="12" t="s">
        <v>539</v>
      </c>
      <c r="D869" s="12"/>
      <c r="E869" s="12">
        <f t="shared" si="183"/>
        <v>30</v>
      </c>
      <c r="F869" s="12" t="s">
        <v>70</v>
      </c>
      <c r="G869" s="12">
        <v>0</v>
      </c>
      <c r="H869" s="12">
        <v>0</v>
      </c>
      <c r="I869" s="12">
        <v>0</v>
      </c>
      <c r="J869" s="12">
        <v>0</v>
      </c>
      <c r="K869" s="12">
        <v>0</v>
      </c>
      <c r="L869" s="12">
        <v>0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  <c r="W869" s="12">
        <v>30</v>
      </c>
      <c r="X869" s="12">
        <v>0</v>
      </c>
      <c r="Y869" s="12">
        <v>0</v>
      </c>
      <c r="Z869" s="12">
        <v>0</v>
      </c>
      <c r="AA869" s="12"/>
      <c r="AC869" s="13">
        <f t="shared" si="184"/>
        <v>0</v>
      </c>
      <c r="AL869" s="14">
        <f t="shared" si="185"/>
        <v>0</v>
      </c>
    </row>
    <row r="870" spans="1:38" hidden="1" x14ac:dyDescent="0.25">
      <c r="A870" s="12" t="s">
        <v>762</v>
      </c>
      <c r="B870" s="12" t="s">
        <v>922</v>
      </c>
      <c r="C870" s="12" t="s">
        <v>539</v>
      </c>
      <c r="D870" s="12"/>
      <c r="E870" s="12">
        <f t="shared" si="183"/>
        <v>30</v>
      </c>
      <c r="F870" s="12" t="s">
        <v>70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30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2"/>
      <c r="AC870" s="13">
        <f t="shared" si="184"/>
        <v>0</v>
      </c>
      <c r="AL870" s="14">
        <f t="shared" si="185"/>
        <v>0</v>
      </c>
    </row>
    <row r="871" spans="1:38" hidden="1" x14ac:dyDescent="0.25">
      <c r="A871" s="12" t="s">
        <v>148</v>
      </c>
      <c r="B871" s="12" t="s">
        <v>923</v>
      </c>
      <c r="C871" s="12" t="s">
        <v>539</v>
      </c>
      <c r="D871" s="12"/>
      <c r="E871" s="12">
        <f t="shared" si="183"/>
        <v>30</v>
      </c>
      <c r="F871" s="12" t="str">
        <f>VLOOKUP(B871,[1]lookup!A:B,2,FALSE)</f>
        <v>Perpetual</v>
      </c>
      <c r="G871" s="12">
        <v>0</v>
      </c>
      <c r="H871" s="12">
        <v>0</v>
      </c>
      <c r="I871" s="12">
        <v>0</v>
      </c>
      <c r="J871" s="12">
        <v>0</v>
      </c>
      <c r="K871" s="12">
        <v>30</v>
      </c>
      <c r="L871" s="12">
        <v>0</v>
      </c>
      <c r="M871" s="12">
        <v>0</v>
      </c>
      <c r="N871" s="12">
        <v>0</v>
      </c>
      <c r="O871" s="12">
        <v>30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2">
        <v>0</v>
      </c>
      <c r="X871" s="12">
        <v>0</v>
      </c>
      <c r="Y871" s="12">
        <v>0</v>
      </c>
      <c r="Z871" s="12">
        <v>0</v>
      </c>
      <c r="AA871" s="12"/>
      <c r="AC871" s="13">
        <f t="shared" si="184"/>
        <v>0</v>
      </c>
      <c r="AL871" s="14">
        <f t="shared" si="185"/>
        <v>0</v>
      </c>
    </row>
    <row r="872" spans="1:38" hidden="1" x14ac:dyDescent="0.25">
      <c r="A872" s="12" t="s">
        <v>537</v>
      </c>
      <c r="B872" s="12" t="s">
        <v>924</v>
      </c>
      <c r="C872" s="12" t="s">
        <v>539</v>
      </c>
      <c r="D872" s="12"/>
      <c r="E872" s="12">
        <f t="shared" si="183"/>
        <v>30</v>
      </c>
      <c r="F872" s="12" t="str">
        <f>VLOOKUP(B872,[1]lookup!A:B,2,FALSE)</f>
        <v>SaaS</v>
      </c>
      <c r="G872" s="12">
        <v>0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30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0</v>
      </c>
      <c r="V872" s="12">
        <v>0</v>
      </c>
      <c r="W872" s="12">
        <v>0</v>
      </c>
      <c r="X872" s="12">
        <v>0</v>
      </c>
      <c r="Y872" s="12">
        <v>0</v>
      </c>
      <c r="Z872" s="12">
        <v>0</v>
      </c>
      <c r="AA872" s="12"/>
      <c r="AC872" s="13">
        <f t="shared" si="184"/>
        <v>0</v>
      </c>
      <c r="AL872" s="14">
        <f t="shared" si="185"/>
        <v>0</v>
      </c>
    </row>
    <row r="873" spans="1:38" hidden="1" x14ac:dyDescent="0.25">
      <c r="A873" s="12" t="s">
        <v>537</v>
      </c>
      <c r="B873" s="12" t="s">
        <v>925</v>
      </c>
      <c r="C873" s="12" t="s">
        <v>539</v>
      </c>
      <c r="D873" s="12"/>
      <c r="E873" s="12">
        <f t="shared" si="183"/>
        <v>30</v>
      </c>
      <c r="F873" s="12" t="str">
        <f>VLOOKUP(B873,[1]lookup!A:B,2,FALSE)</f>
        <v>SaaS</v>
      </c>
      <c r="G873" s="12">
        <v>0</v>
      </c>
      <c r="H873" s="12">
        <v>0</v>
      </c>
      <c r="I873" s="12">
        <v>0</v>
      </c>
      <c r="J873" s="12">
        <v>30</v>
      </c>
      <c r="K873" s="12">
        <v>0</v>
      </c>
      <c r="L873" s="12">
        <v>0</v>
      </c>
      <c r="M873" s="12">
        <v>0</v>
      </c>
      <c r="N873" s="12">
        <v>30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  <c r="X873" s="12">
        <v>0</v>
      </c>
      <c r="Y873" s="12">
        <v>0</v>
      </c>
      <c r="Z873" s="12">
        <v>0</v>
      </c>
      <c r="AA873" s="12"/>
      <c r="AC873" s="13">
        <f t="shared" si="184"/>
        <v>0</v>
      </c>
      <c r="AD873" s="13">
        <f>J873*AD$2</f>
        <v>7200</v>
      </c>
      <c r="AE873" s="13">
        <f>J873*AE$2</f>
        <v>3600</v>
      </c>
      <c r="AL873" s="14">
        <f t="shared" si="185"/>
        <v>10800</v>
      </c>
    </row>
    <row r="874" spans="1:38" hidden="1" x14ac:dyDescent="0.25">
      <c r="A874" s="12" t="s">
        <v>140</v>
      </c>
      <c r="B874" s="12" t="s">
        <v>926</v>
      </c>
      <c r="C874" s="12" t="s">
        <v>539</v>
      </c>
      <c r="D874" s="12"/>
      <c r="E874" s="12">
        <f t="shared" si="183"/>
        <v>29</v>
      </c>
      <c r="F874" s="12" t="s">
        <v>70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29</v>
      </c>
      <c r="X874" s="12">
        <v>0</v>
      </c>
      <c r="Y874" s="12">
        <v>0</v>
      </c>
      <c r="Z874" s="12">
        <v>0</v>
      </c>
      <c r="AA874" s="12"/>
      <c r="AC874" s="13">
        <f t="shared" si="184"/>
        <v>0</v>
      </c>
      <c r="AL874" s="14">
        <f t="shared" si="185"/>
        <v>0</v>
      </c>
    </row>
    <row r="875" spans="1:38" hidden="1" x14ac:dyDescent="0.25">
      <c r="A875" s="12" t="s">
        <v>222</v>
      </c>
      <c r="B875" s="12" t="s">
        <v>927</v>
      </c>
      <c r="C875" s="12" t="s">
        <v>539</v>
      </c>
      <c r="D875" s="12"/>
      <c r="E875" s="12">
        <f t="shared" si="183"/>
        <v>29</v>
      </c>
      <c r="F875" s="12" t="s">
        <v>70</v>
      </c>
      <c r="G875" s="12">
        <v>0</v>
      </c>
      <c r="H875" s="12">
        <v>0</v>
      </c>
      <c r="I875" s="12">
        <v>0</v>
      </c>
      <c r="J875" s="12">
        <v>0</v>
      </c>
      <c r="K875" s="12">
        <v>0</v>
      </c>
      <c r="L875" s="12">
        <v>0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29</v>
      </c>
      <c r="X875" s="12">
        <v>0</v>
      </c>
      <c r="Y875" s="12">
        <v>0</v>
      </c>
      <c r="Z875" s="12">
        <v>0</v>
      </c>
      <c r="AA875" s="12"/>
      <c r="AC875" s="13">
        <f t="shared" si="184"/>
        <v>0</v>
      </c>
      <c r="AL875" s="14">
        <f t="shared" si="185"/>
        <v>0</v>
      </c>
    </row>
    <row r="876" spans="1:38" hidden="1" x14ac:dyDescent="0.25">
      <c r="A876" s="12" t="s">
        <v>222</v>
      </c>
      <c r="B876" s="12" t="s">
        <v>928</v>
      </c>
      <c r="C876" s="12" t="s">
        <v>539</v>
      </c>
      <c r="D876" s="12"/>
      <c r="E876" s="12">
        <f t="shared" si="183"/>
        <v>29</v>
      </c>
      <c r="F876" s="12" t="s">
        <v>70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29</v>
      </c>
      <c r="X876" s="12">
        <v>0</v>
      </c>
      <c r="Y876" s="12">
        <v>0</v>
      </c>
      <c r="Z876" s="12">
        <v>0</v>
      </c>
      <c r="AA876" s="12"/>
      <c r="AC876" s="13">
        <f t="shared" si="184"/>
        <v>0</v>
      </c>
      <c r="AL876" s="14">
        <f t="shared" si="185"/>
        <v>0</v>
      </c>
    </row>
    <row r="877" spans="1:38" hidden="1" x14ac:dyDescent="0.25">
      <c r="A877" s="12" t="s">
        <v>296</v>
      </c>
      <c r="B877" s="12" t="s">
        <v>929</v>
      </c>
      <c r="C877" s="12" t="s">
        <v>539</v>
      </c>
      <c r="D877" s="12"/>
      <c r="E877" s="12">
        <f t="shared" si="183"/>
        <v>29</v>
      </c>
      <c r="F877" s="12" t="s">
        <v>70</v>
      </c>
      <c r="G877" s="12">
        <v>0</v>
      </c>
      <c r="H877" s="12">
        <v>0</v>
      </c>
      <c r="I877" s="12">
        <v>0</v>
      </c>
      <c r="J877" s="12">
        <v>0</v>
      </c>
      <c r="K877" s="12">
        <v>0</v>
      </c>
      <c r="L877" s="12">
        <v>0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  <c r="W877" s="12">
        <v>29</v>
      </c>
      <c r="X877" s="12">
        <v>0</v>
      </c>
      <c r="Y877" s="12">
        <v>0</v>
      </c>
      <c r="Z877" s="12">
        <v>0</v>
      </c>
      <c r="AA877" s="12"/>
      <c r="AC877" s="13">
        <f t="shared" si="184"/>
        <v>0</v>
      </c>
      <c r="AL877" s="14">
        <f t="shared" si="185"/>
        <v>0</v>
      </c>
    </row>
    <row r="878" spans="1:38" hidden="1" x14ac:dyDescent="0.25">
      <c r="A878" s="12" t="s">
        <v>148</v>
      </c>
      <c r="B878" s="12" t="s">
        <v>930</v>
      </c>
      <c r="C878" s="12" t="s">
        <v>539</v>
      </c>
      <c r="D878" s="12"/>
      <c r="E878" s="12">
        <f t="shared" si="183"/>
        <v>29</v>
      </c>
      <c r="F878" s="12" t="s">
        <v>70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29</v>
      </c>
      <c r="X878" s="12">
        <v>0</v>
      </c>
      <c r="Y878" s="12">
        <v>0</v>
      </c>
      <c r="Z878" s="12">
        <v>0</v>
      </c>
      <c r="AA878" s="12"/>
      <c r="AC878" s="13">
        <f t="shared" si="184"/>
        <v>0</v>
      </c>
      <c r="AL878" s="14">
        <f t="shared" si="185"/>
        <v>0</v>
      </c>
    </row>
    <row r="879" spans="1:38" hidden="1" x14ac:dyDescent="0.25">
      <c r="A879" s="12" t="s">
        <v>537</v>
      </c>
      <c r="B879" s="12" t="s">
        <v>931</v>
      </c>
      <c r="C879" s="12" t="s">
        <v>539</v>
      </c>
      <c r="D879" s="12"/>
      <c r="E879" s="12">
        <f t="shared" si="183"/>
        <v>29</v>
      </c>
      <c r="F879" s="12" t="str">
        <f>VLOOKUP(B879,[1]lookup!A:B,2,FALSE)</f>
        <v>SaaS</v>
      </c>
      <c r="G879" s="12">
        <v>0</v>
      </c>
      <c r="H879" s="12">
        <v>0</v>
      </c>
      <c r="I879" s="12">
        <v>0</v>
      </c>
      <c r="J879" s="12">
        <v>0</v>
      </c>
      <c r="K879" s="12">
        <v>0</v>
      </c>
      <c r="L879" s="12">
        <v>0</v>
      </c>
      <c r="M879" s="12">
        <v>0</v>
      </c>
      <c r="N879" s="12">
        <v>29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  <c r="X879" s="12">
        <v>0</v>
      </c>
      <c r="Y879" s="12">
        <v>0</v>
      </c>
      <c r="Z879" s="12">
        <v>0</v>
      </c>
      <c r="AA879" s="12"/>
      <c r="AC879" s="13">
        <f t="shared" si="184"/>
        <v>0</v>
      </c>
      <c r="AL879" s="14">
        <f t="shared" si="185"/>
        <v>0</v>
      </c>
    </row>
    <row r="880" spans="1:38" hidden="1" x14ac:dyDescent="0.25">
      <c r="A880" s="12" t="s">
        <v>92</v>
      </c>
      <c r="B880" s="12" t="s">
        <v>147</v>
      </c>
      <c r="C880" s="12" t="s">
        <v>539</v>
      </c>
      <c r="D880" s="12"/>
      <c r="E880" s="12">
        <f t="shared" si="183"/>
        <v>28</v>
      </c>
      <c r="F880" s="12" t="str">
        <f>VLOOKUP(B880,[1]lookup!A:B,2,FALSE)</f>
        <v>Perpetual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  <c r="W880" s="12">
        <v>28</v>
      </c>
      <c r="X880" s="12">
        <v>0</v>
      </c>
      <c r="Y880" s="12">
        <v>0</v>
      </c>
      <c r="Z880" s="12">
        <v>0</v>
      </c>
      <c r="AA880" s="12"/>
      <c r="AC880" s="13">
        <f t="shared" si="184"/>
        <v>0</v>
      </c>
      <c r="AL880" s="14">
        <f t="shared" si="185"/>
        <v>0</v>
      </c>
    </row>
    <row r="881" spans="1:38" hidden="1" x14ac:dyDescent="0.25">
      <c r="A881" s="12" t="s">
        <v>222</v>
      </c>
      <c r="B881" s="12" t="s">
        <v>932</v>
      </c>
      <c r="C881" s="12" t="s">
        <v>539</v>
      </c>
      <c r="D881" s="12"/>
      <c r="E881" s="12">
        <f t="shared" si="183"/>
        <v>28</v>
      </c>
      <c r="F881" s="12" t="s">
        <v>70</v>
      </c>
      <c r="G881" s="12">
        <v>0</v>
      </c>
      <c r="H881" s="12">
        <v>0</v>
      </c>
      <c r="I881" s="12">
        <v>0</v>
      </c>
      <c r="J881" s="12">
        <v>0</v>
      </c>
      <c r="K881" s="12">
        <v>0</v>
      </c>
      <c r="L881" s="12">
        <v>0</v>
      </c>
      <c r="M881" s="12">
        <v>0</v>
      </c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2">
        <v>28</v>
      </c>
      <c r="X881" s="12">
        <v>0</v>
      </c>
      <c r="Y881" s="12">
        <v>0</v>
      </c>
      <c r="Z881" s="12">
        <v>0</v>
      </c>
      <c r="AA881" s="12"/>
      <c r="AC881" s="13">
        <f t="shared" si="184"/>
        <v>0</v>
      </c>
      <c r="AL881" s="14">
        <f t="shared" si="185"/>
        <v>0</v>
      </c>
    </row>
    <row r="882" spans="1:38" hidden="1" x14ac:dyDescent="0.25">
      <c r="A882" s="12" t="s">
        <v>148</v>
      </c>
      <c r="B882" s="12" t="s">
        <v>933</v>
      </c>
      <c r="C882" s="12" t="s">
        <v>539</v>
      </c>
      <c r="D882" s="12"/>
      <c r="E882" s="12">
        <f t="shared" si="183"/>
        <v>28</v>
      </c>
      <c r="F882" s="12" t="s">
        <v>70</v>
      </c>
      <c r="G882" s="12">
        <v>0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  <c r="W882" s="12">
        <v>28</v>
      </c>
      <c r="X882" s="12">
        <v>0</v>
      </c>
      <c r="Y882" s="12">
        <v>0</v>
      </c>
      <c r="Z882" s="12">
        <v>0</v>
      </c>
      <c r="AA882" s="12"/>
      <c r="AC882" s="13">
        <f t="shared" si="184"/>
        <v>0</v>
      </c>
      <c r="AL882" s="14">
        <f t="shared" si="185"/>
        <v>0</v>
      </c>
    </row>
    <row r="883" spans="1:38" hidden="1" x14ac:dyDescent="0.25">
      <c r="A883" s="12" t="s">
        <v>537</v>
      </c>
      <c r="B883" s="12" t="s">
        <v>934</v>
      </c>
      <c r="C883" s="12" t="s">
        <v>539</v>
      </c>
      <c r="D883" s="12"/>
      <c r="E883" s="12">
        <f t="shared" si="183"/>
        <v>28</v>
      </c>
      <c r="F883" s="12" t="str">
        <f>VLOOKUP(B883,[1]lookup!A:B,2,FALSE)</f>
        <v>SaaS</v>
      </c>
      <c r="G883" s="12">
        <v>0</v>
      </c>
      <c r="H883" s="12">
        <v>0</v>
      </c>
      <c r="I883" s="12">
        <v>0</v>
      </c>
      <c r="J883" s="12">
        <v>28</v>
      </c>
      <c r="K883" s="12">
        <v>0</v>
      </c>
      <c r="L883" s="12">
        <v>0</v>
      </c>
      <c r="M883" s="12">
        <v>0</v>
      </c>
      <c r="N883" s="12">
        <v>28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  <c r="Y883" s="12">
        <v>0</v>
      </c>
      <c r="Z883" s="12">
        <v>0</v>
      </c>
      <c r="AA883" s="12"/>
      <c r="AC883" s="13">
        <f t="shared" si="184"/>
        <v>0</v>
      </c>
      <c r="AD883" s="13">
        <f>J883*AD$2</f>
        <v>6720</v>
      </c>
      <c r="AE883" s="13">
        <f>J883*AE$2</f>
        <v>3360</v>
      </c>
      <c r="AL883" s="14">
        <f t="shared" si="185"/>
        <v>10080</v>
      </c>
    </row>
    <row r="884" spans="1:38" hidden="1" x14ac:dyDescent="0.25">
      <c r="A884" s="12" t="s">
        <v>86</v>
      </c>
      <c r="B884" s="12" t="s">
        <v>935</v>
      </c>
      <c r="C884" s="12" t="s">
        <v>539</v>
      </c>
      <c r="D884" s="12"/>
      <c r="E884" s="12">
        <f t="shared" si="183"/>
        <v>27</v>
      </c>
      <c r="F884" s="12" t="str">
        <f>VLOOKUP(B884,[1]lookup!A:B,2,FALSE)</f>
        <v>Perpetual</v>
      </c>
      <c r="G884" s="12">
        <v>0</v>
      </c>
      <c r="H884" s="12">
        <v>27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2">
        <v>0</v>
      </c>
      <c r="Y884" s="12">
        <v>0</v>
      </c>
      <c r="Z884" s="12">
        <v>0</v>
      </c>
      <c r="AA884" s="12"/>
      <c r="AC884" s="13">
        <f t="shared" si="184"/>
        <v>0</v>
      </c>
      <c r="AK884" s="15">
        <f t="shared" ref="AK884:AK885" si="187">H884*AK$2</f>
        <v>3240</v>
      </c>
      <c r="AL884" s="14">
        <f t="shared" si="185"/>
        <v>3240</v>
      </c>
    </row>
    <row r="885" spans="1:38" hidden="1" x14ac:dyDescent="0.25">
      <c r="A885" s="12" t="s">
        <v>86</v>
      </c>
      <c r="B885" s="12" t="s">
        <v>936</v>
      </c>
      <c r="C885" s="12" t="s">
        <v>539</v>
      </c>
      <c r="D885" s="12"/>
      <c r="E885" s="12">
        <f t="shared" si="183"/>
        <v>27</v>
      </c>
      <c r="F885" s="12" t="str">
        <f>VLOOKUP(B885,[1]lookup!A:B,2,FALSE)</f>
        <v>Perpetual</v>
      </c>
      <c r="G885" s="12">
        <v>0</v>
      </c>
      <c r="H885" s="12">
        <v>27</v>
      </c>
      <c r="I885" s="12">
        <v>0</v>
      </c>
      <c r="J885" s="12">
        <v>0</v>
      </c>
      <c r="K885" s="12">
        <v>0</v>
      </c>
      <c r="L885" s="12">
        <v>0</v>
      </c>
      <c r="M885" s="12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  <c r="W885" s="12">
        <v>0</v>
      </c>
      <c r="X885" s="12">
        <v>0</v>
      </c>
      <c r="Y885" s="12">
        <v>0</v>
      </c>
      <c r="Z885" s="12">
        <v>0</v>
      </c>
      <c r="AA885" s="12"/>
      <c r="AC885" s="13">
        <f t="shared" si="184"/>
        <v>0</v>
      </c>
      <c r="AK885" s="15">
        <f t="shared" si="187"/>
        <v>3240</v>
      </c>
      <c r="AL885" s="14">
        <f t="shared" si="185"/>
        <v>3240</v>
      </c>
    </row>
    <row r="886" spans="1:38" hidden="1" x14ac:dyDescent="0.25">
      <c r="A886" s="12" t="s">
        <v>92</v>
      </c>
      <c r="B886" s="12" t="s">
        <v>937</v>
      </c>
      <c r="C886" s="12" t="s">
        <v>539</v>
      </c>
      <c r="D886" s="12"/>
      <c r="E886" s="12">
        <f t="shared" si="183"/>
        <v>27</v>
      </c>
      <c r="F886" s="12" t="str">
        <f>VLOOKUP(B886,[1]lookup!A:B,2,FALSE)</f>
        <v>Perpetual</v>
      </c>
      <c r="G886" s="12">
        <v>0</v>
      </c>
      <c r="H886" s="12">
        <v>26</v>
      </c>
      <c r="I886" s="12">
        <v>27</v>
      </c>
      <c r="J886" s="12">
        <v>26</v>
      </c>
      <c r="K886" s="12">
        <v>0</v>
      </c>
      <c r="L886" s="12">
        <v>0</v>
      </c>
      <c r="M886" s="12">
        <v>0</v>
      </c>
      <c r="N886" s="12">
        <v>0</v>
      </c>
      <c r="O886" s="12">
        <v>26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2">
        <v>0</v>
      </c>
      <c r="V886" s="12">
        <v>0</v>
      </c>
      <c r="W886" s="12">
        <v>0</v>
      </c>
      <c r="X886" s="12">
        <v>0</v>
      </c>
      <c r="Y886" s="12">
        <v>0</v>
      </c>
      <c r="Z886" s="12">
        <v>0</v>
      </c>
      <c r="AA886" s="12"/>
      <c r="AC886" s="13">
        <f t="shared" si="184"/>
        <v>0</v>
      </c>
      <c r="AD886" s="13">
        <f>J886*AD$2</f>
        <v>6240</v>
      </c>
      <c r="AE886" s="13">
        <f>J886*AE$2</f>
        <v>3120</v>
      </c>
      <c r="AL886" s="14">
        <f t="shared" si="185"/>
        <v>9360</v>
      </c>
    </row>
    <row r="887" spans="1:38" hidden="1" x14ac:dyDescent="0.25">
      <c r="A887" s="12" t="s">
        <v>140</v>
      </c>
      <c r="B887" s="12" t="s">
        <v>938</v>
      </c>
      <c r="C887" s="12" t="s">
        <v>539</v>
      </c>
      <c r="D887" s="12"/>
      <c r="E887" s="12">
        <f t="shared" si="183"/>
        <v>27</v>
      </c>
      <c r="F887" s="12" t="s">
        <v>70</v>
      </c>
      <c r="G887" s="12">
        <v>0</v>
      </c>
      <c r="H887" s="12">
        <v>0</v>
      </c>
      <c r="I887" s="12">
        <v>0</v>
      </c>
      <c r="J887" s="12">
        <v>0</v>
      </c>
      <c r="K887" s="12">
        <v>0</v>
      </c>
      <c r="L887" s="12">
        <v>0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0</v>
      </c>
      <c r="W887" s="12">
        <v>27</v>
      </c>
      <c r="X887" s="12">
        <v>0</v>
      </c>
      <c r="Y887" s="12">
        <v>0</v>
      </c>
      <c r="Z887" s="12">
        <v>0</v>
      </c>
      <c r="AA887" s="12"/>
      <c r="AC887" s="13">
        <f t="shared" si="184"/>
        <v>0</v>
      </c>
      <c r="AL887" s="14">
        <f t="shared" si="185"/>
        <v>0</v>
      </c>
    </row>
    <row r="888" spans="1:38" hidden="1" x14ac:dyDescent="0.25">
      <c r="A888" s="12" t="s">
        <v>51</v>
      </c>
      <c r="B888" s="12" t="s">
        <v>939</v>
      </c>
      <c r="C888" s="12" t="s">
        <v>539</v>
      </c>
      <c r="D888" s="12"/>
      <c r="E888" s="12">
        <f t="shared" si="183"/>
        <v>27</v>
      </c>
      <c r="F888" s="12" t="s">
        <v>70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27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2"/>
      <c r="AC888" s="13">
        <f t="shared" si="184"/>
        <v>0</v>
      </c>
      <c r="AL888" s="14">
        <f t="shared" si="185"/>
        <v>0</v>
      </c>
    </row>
    <row r="889" spans="1:38" hidden="1" x14ac:dyDescent="0.25">
      <c r="A889" s="12" t="s">
        <v>51</v>
      </c>
      <c r="B889" s="12" t="s">
        <v>940</v>
      </c>
      <c r="C889" s="12" t="s">
        <v>539</v>
      </c>
      <c r="D889" s="12"/>
      <c r="E889" s="12">
        <f t="shared" si="183"/>
        <v>27</v>
      </c>
      <c r="F889" s="12" t="s">
        <v>70</v>
      </c>
      <c r="G889" s="12">
        <v>0</v>
      </c>
      <c r="H889" s="12">
        <v>0</v>
      </c>
      <c r="I889" s="12">
        <v>0</v>
      </c>
      <c r="J889" s="12">
        <v>0</v>
      </c>
      <c r="K889" s="12">
        <v>0</v>
      </c>
      <c r="L889" s="12">
        <v>0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27</v>
      </c>
      <c r="V889" s="12">
        <v>0</v>
      </c>
      <c r="W889" s="12">
        <v>0</v>
      </c>
      <c r="X889" s="12">
        <v>0</v>
      </c>
      <c r="Y889" s="12">
        <v>0</v>
      </c>
      <c r="Z889" s="12">
        <v>0</v>
      </c>
      <c r="AA889" s="12"/>
      <c r="AC889" s="13">
        <f t="shared" si="184"/>
        <v>0</v>
      </c>
      <c r="AL889" s="14">
        <f t="shared" si="185"/>
        <v>0</v>
      </c>
    </row>
    <row r="890" spans="1:38" hidden="1" x14ac:dyDescent="0.25">
      <c r="A890" s="12" t="s">
        <v>222</v>
      </c>
      <c r="B890" s="12" t="s">
        <v>941</v>
      </c>
      <c r="C890" s="12" t="s">
        <v>539</v>
      </c>
      <c r="D890" s="12"/>
      <c r="E890" s="12">
        <f t="shared" si="183"/>
        <v>27</v>
      </c>
      <c r="F890" s="12" t="s">
        <v>70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  <c r="W890" s="12">
        <v>27</v>
      </c>
      <c r="X890" s="12">
        <v>0</v>
      </c>
      <c r="Y890" s="12">
        <v>0</v>
      </c>
      <c r="Z890" s="12">
        <v>0</v>
      </c>
      <c r="AA890" s="12"/>
      <c r="AC890" s="13">
        <f t="shared" si="184"/>
        <v>0</v>
      </c>
      <c r="AL890" s="14">
        <f t="shared" si="185"/>
        <v>0</v>
      </c>
    </row>
    <row r="891" spans="1:38" hidden="1" x14ac:dyDescent="0.25">
      <c r="A891" s="12" t="s">
        <v>222</v>
      </c>
      <c r="B891" s="12" t="s">
        <v>942</v>
      </c>
      <c r="C891" s="12" t="s">
        <v>539</v>
      </c>
      <c r="D891" s="12"/>
      <c r="E891" s="12">
        <f t="shared" si="183"/>
        <v>27</v>
      </c>
      <c r="F891" s="12" t="s">
        <v>70</v>
      </c>
      <c r="G891" s="12">
        <v>0</v>
      </c>
      <c r="H891" s="12">
        <v>0</v>
      </c>
      <c r="I891" s="12">
        <v>0</v>
      </c>
      <c r="J891" s="12">
        <v>0</v>
      </c>
      <c r="K891" s="12">
        <v>0</v>
      </c>
      <c r="L891" s="12">
        <v>0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27</v>
      </c>
      <c r="X891" s="12">
        <v>0</v>
      </c>
      <c r="Y891" s="12">
        <v>0</v>
      </c>
      <c r="Z891" s="12">
        <v>0</v>
      </c>
      <c r="AA891" s="12"/>
      <c r="AC891" s="13">
        <f t="shared" si="184"/>
        <v>0</v>
      </c>
      <c r="AL891" s="14">
        <f t="shared" si="185"/>
        <v>0</v>
      </c>
    </row>
    <row r="892" spans="1:38" hidden="1" x14ac:dyDescent="0.25">
      <c r="A892" s="12" t="s">
        <v>140</v>
      </c>
      <c r="B892" s="12" t="s">
        <v>943</v>
      </c>
      <c r="C892" s="12" t="s">
        <v>539</v>
      </c>
      <c r="D892" s="12"/>
      <c r="E892" s="12">
        <f t="shared" si="183"/>
        <v>26</v>
      </c>
      <c r="F892" s="12" t="s">
        <v>70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26</v>
      </c>
      <c r="X892" s="12">
        <v>0</v>
      </c>
      <c r="Y892" s="12">
        <v>0</v>
      </c>
      <c r="Z892" s="12">
        <v>0</v>
      </c>
      <c r="AA892" s="12"/>
      <c r="AC892" s="13">
        <f t="shared" si="184"/>
        <v>0</v>
      </c>
      <c r="AL892" s="14">
        <f t="shared" si="185"/>
        <v>0</v>
      </c>
    </row>
    <row r="893" spans="1:38" hidden="1" x14ac:dyDescent="0.25">
      <c r="A893" s="12" t="s">
        <v>140</v>
      </c>
      <c r="B893" s="12" t="s">
        <v>944</v>
      </c>
      <c r="C893" s="12" t="s">
        <v>539</v>
      </c>
      <c r="D893" s="12"/>
      <c r="E893" s="12">
        <f t="shared" si="183"/>
        <v>26</v>
      </c>
      <c r="F893" s="12" t="s">
        <v>70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0</v>
      </c>
      <c r="V893" s="12">
        <v>0</v>
      </c>
      <c r="W893" s="12">
        <v>26</v>
      </c>
      <c r="X893" s="12">
        <v>0</v>
      </c>
      <c r="Y893" s="12">
        <v>0</v>
      </c>
      <c r="Z893" s="12">
        <v>0</v>
      </c>
      <c r="AA893" s="12"/>
      <c r="AC893" s="13">
        <f t="shared" si="184"/>
        <v>0</v>
      </c>
      <c r="AL893" s="14">
        <f t="shared" si="185"/>
        <v>0</v>
      </c>
    </row>
    <row r="894" spans="1:38" hidden="1" x14ac:dyDescent="0.25">
      <c r="A894" s="12" t="s">
        <v>51</v>
      </c>
      <c r="B894" s="12" t="s">
        <v>945</v>
      </c>
      <c r="C894" s="12" t="s">
        <v>539</v>
      </c>
      <c r="D894" s="12"/>
      <c r="E894" s="12">
        <f t="shared" si="183"/>
        <v>26</v>
      </c>
      <c r="F894" s="12" t="s">
        <v>70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26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2"/>
      <c r="AC894" s="13">
        <f t="shared" si="184"/>
        <v>0</v>
      </c>
      <c r="AL894" s="14">
        <f t="shared" si="185"/>
        <v>0</v>
      </c>
    </row>
    <row r="895" spans="1:38" hidden="1" x14ac:dyDescent="0.25">
      <c r="A895" s="12" t="s">
        <v>51</v>
      </c>
      <c r="B895" s="12" t="s">
        <v>946</v>
      </c>
      <c r="C895" s="12" t="s">
        <v>539</v>
      </c>
      <c r="D895" s="12"/>
      <c r="E895" s="12">
        <f t="shared" si="183"/>
        <v>26</v>
      </c>
      <c r="F895" s="12" t="s">
        <v>70</v>
      </c>
      <c r="G895" s="12">
        <v>0</v>
      </c>
      <c r="H895" s="12">
        <v>0</v>
      </c>
      <c r="I895" s="12">
        <v>0</v>
      </c>
      <c r="J895" s="12">
        <v>0</v>
      </c>
      <c r="K895" s="12">
        <v>0</v>
      </c>
      <c r="L895" s="12">
        <v>0</v>
      </c>
      <c r="M895" s="12">
        <v>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26</v>
      </c>
      <c r="V895" s="12">
        <v>0</v>
      </c>
      <c r="W895" s="12">
        <v>0</v>
      </c>
      <c r="X895" s="12">
        <v>0</v>
      </c>
      <c r="Y895" s="12">
        <v>0</v>
      </c>
      <c r="Z895" s="12">
        <v>0</v>
      </c>
      <c r="AA895" s="12"/>
      <c r="AC895" s="13">
        <f t="shared" si="184"/>
        <v>0</v>
      </c>
      <c r="AL895" s="14">
        <f t="shared" si="185"/>
        <v>0</v>
      </c>
    </row>
    <row r="896" spans="1:38" hidden="1" x14ac:dyDescent="0.25">
      <c r="A896" s="12" t="s">
        <v>51</v>
      </c>
      <c r="B896" s="12" t="s">
        <v>947</v>
      </c>
      <c r="C896" s="12" t="s">
        <v>539</v>
      </c>
      <c r="D896" s="12"/>
      <c r="E896" s="12">
        <f t="shared" si="183"/>
        <v>26</v>
      </c>
      <c r="F896" s="12" t="s">
        <v>70</v>
      </c>
      <c r="G896" s="12">
        <v>0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26</v>
      </c>
      <c r="V896" s="12">
        <v>0</v>
      </c>
      <c r="W896" s="12">
        <v>0</v>
      </c>
      <c r="X896" s="12">
        <v>0</v>
      </c>
      <c r="Y896" s="12">
        <v>0</v>
      </c>
      <c r="Z896" s="12">
        <v>0</v>
      </c>
      <c r="AA896" s="12"/>
      <c r="AC896" s="13">
        <f t="shared" si="184"/>
        <v>0</v>
      </c>
      <c r="AL896" s="14">
        <f t="shared" si="185"/>
        <v>0</v>
      </c>
    </row>
    <row r="897" spans="1:38" hidden="1" x14ac:dyDescent="0.25">
      <c r="A897" s="12" t="s">
        <v>51</v>
      </c>
      <c r="B897" s="12" t="s">
        <v>948</v>
      </c>
      <c r="C897" s="12" t="s">
        <v>539</v>
      </c>
      <c r="D897" s="12"/>
      <c r="E897" s="12">
        <f t="shared" si="183"/>
        <v>26</v>
      </c>
      <c r="F897" s="12" t="s">
        <v>70</v>
      </c>
      <c r="G897" s="12">
        <v>0</v>
      </c>
      <c r="H897" s="12">
        <v>0</v>
      </c>
      <c r="I897" s="12">
        <v>0</v>
      </c>
      <c r="J897" s="12">
        <v>0</v>
      </c>
      <c r="K897" s="12">
        <v>0</v>
      </c>
      <c r="L897" s="12">
        <v>0</v>
      </c>
      <c r="M897" s="12">
        <v>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26</v>
      </c>
      <c r="V897" s="12">
        <v>0</v>
      </c>
      <c r="W897" s="12">
        <v>0</v>
      </c>
      <c r="X897" s="12">
        <v>0</v>
      </c>
      <c r="Y897" s="12">
        <v>0</v>
      </c>
      <c r="Z897" s="12">
        <v>0</v>
      </c>
      <c r="AA897" s="12"/>
      <c r="AC897" s="13">
        <f t="shared" si="184"/>
        <v>0</v>
      </c>
      <c r="AL897" s="14">
        <f t="shared" si="185"/>
        <v>0</v>
      </c>
    </row>
    <row r="898" spans="1:38" hidden="1" x14ac:dyDescent="0.25">
      <c r="A898" s="12" t="s">
        <v>51</v>
      </c>
      <c r="B898" s="12" t="s">
        <v>949</v>
      </c>
      <c r="C898" s="12" t="s">
        <v>539</v>
      </c>
      <c r="D898" s="12"/>
      <c r="E898" s="12">
        <f t="shared" si="183"/>
        <v>26</v>
      </c>
      <c r="F898" s="12" t="s">
        <v>70</v>
      </c>
      <c r="G898" s="12">
        <v>0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26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2"/>
      <c r="AC898" s="13">
        <f t="shared" si="184"/>
        <v>0</v>
      </c>
      <c r="AL898" s="14">
        <f t="shared" si="185"/>
        <v>0</v>
      </c>
    </row>
    <row r="899" spans="1:38" hidden="1" x14ac:dyDescent="0.25">
      <c r="A899" s="12" t="s">
        <v>86</v>
      </c>
      <c r="B899" s="12" t="s">
        <v>950</v>
      </c>
      <c r="C899" s="12" t="s">
        <v>539</v>
      </c>
      <c r="D899" s="12"/>
      <c r="E899" s="12">
        <f t="shared" si="183"/>
        <v>25</v>
      </c>
      <c r="F899" s="12" t="str">
        <f>VLOOKUP(B899,[1]lookup!A:B,2,FALSE)</f>
        <v>Term</v>
      </c>
      <c r="G899" s="12">
        <v>0</v>
      </c>
      <c r="H899" s="12">
        <v>25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12">
        <v>0</v>
      </c>
      <c r="Y899" s="12">
        <v>0</v>
      </c>
      <c r="Z899" s="12">
        <v>0</v>
      </c>
      <c r="AA899" s="12"/>
      <c r="AC899" s="13">
        <f t="shared" si="184"/>
        <v>0</v>
      </c>
      <c r="AK899" s="15">
        <f t="shared" ref="AK899:AK902" si="188">H899*AK$2</f>
        <v>3000</v>
      </c>
      <c r="AL899" s="14">
        <f t="shared" si="185"/>
        <v>3000</v>
      </c>
    </row>
    <row r="900" spans="1:38" hidden="1" x14ac:dyDescent="0.25">
      <c r="A900" s="12" t="s">
        <v>86</v>
      </c>
      <c r="B900" s="12" t="s">
        <v>951</v>
      </c>
      <c r="C900" s="12" t="s">
        <v>539</v>
      </c>
      <c r="D900" s="12"/>
      <c r="E900" s="12">
        <f t="shared" si="183"/>
        <v>25</v>
      </c>
      <c r="F900" s="12" t="str">
        <f>VLOOKUP(B900,[1]lookup!A:B,2,FALSE)</f>
        <v>Perpetual</v>
      </c>
      <c r="G900" s="12">
        <v>0</v>
      </c>
      <c r="H900" s="12">
        <v>25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12">
        <v>0</v>
      </c>
      <c r="Y900" s="12">
        <v>0</v>
      </c>
      <c r="Z900" s="12">
        <v>0</v>
      </c>
      <c r="AA900" s="12"/>
      <c r="AC900" s="13">
        <f t="shared" si="184"/>
        <v>0</v>
      </c>
      <c r="AK900" s="15">
        <f t="shared" si="188"/>
        <v>3000</v>
      </c>
      <c r="AL900" s="14">
        <f t="shared" si="185"/>
        <v>3000</v>
      </c>
    </row>
    <row r="901" spans="1:38" hidden="1" x14ac:dyDescent="0.25">
      <c r="A901" s="12" t="s">
        <v>86</v>
      </c>
      <c r="B901" s="12" t="s">
        <v>952</v>
      </c>
      <c r="C901" s="12" t="s">
        <v>539</v>
      </c>
      <c r="D901" s="12"/>
      <c r="E901" s="12">
        <f t="shared" ref="E901:E964" si="189">MAX(G901:Z901)</f>
        <v>25</v>
      </c>
      <c r="F901" s="12" t="str">
        <f>VLOOKUP(B901,[1]lookup!A:B,2,FALSE)</f>
        <v>Term</v>
      </c>
      <c r="G901" s="12">
        <v>0</v>
      </c>
      <c r="H901" s="12">
        <v>25</v>
      </c>
      <c r="I901" s="12">
        <v>0</v>
      </c>
      <c r="J901" s="12">
        <v>0</v>
      </c>
      <c r="K901" s="12">
        <v>0</v>
      </c>
      <c r="L901" s="12">
        <v>0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0</v>
      </c>
      <c r="W901" s="12">
        <v>0</v>
      </c>
      <c r="X901" s="12">
        <v>0</v>
      </c>
      <c r="Y901" s="12">
        <v>0</v>
      </c>
      <c r="Z901" s="12">
        <v>0</v>
      </c>
      <c r="AA901" s="12"/>
      <c r="AC901" s="13">
        <f t="shared" ref="AC901:AC964" si="190">M901*AC$2</f>
        <v>0</v>
      </c>
      <c r="AK901" s="15">
        <f t="shared" si="188"/>
        <v>3000</v>
      </c>
      <c r="AL901" s="14">
        <f t="shared" si="185"/>
        <v>3000</v>
      </c>
    </row>
    <row r="902" spans="1:38" hidden="1" x14ac:dyDescent="0.25">
      <c r="A902" s="12" t="s">
        <v>86</v>
      </c>
      <c r="B902" s="12" t="s">
        <v>953</v>
      </c>
      <c r="C902" s="12" t="s">
        <v>539</v>
      </c>
      <c r="D902" s="12"/>
      <c r="E902" s="12">
        <f t="shared" si="189"/>
        <v>25</v>
      </c>
      <c r="F902" s="12" t="str">
        <f>VLOOKUP(B902,[1]lookup!A:B,2,FALSE)</f>
        <v>Perpetual</v>
      </c>
      <c r="G902" s="12">
        <v>0</v>
      </c>
      <c r="H902" s="12">
        <v>25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12">
        <v>0</v>
      </c>
      <c r="Y902" s="12">
        <v>0</v>
      </c>
      <c r="Z902" s="12">
        <v>0</v>
      </c>
      <c r="AA902" s="12"/>
      <c r="AC902" s="13">
        <f t="shared" si="190"/>
        <v>0</v>
      </c>
      <c r="AK902" s="15">
        <f t="shared" si="188"/>
        <v>3000</v>
      </c>
      <c r="AL902" s="14">
        <f t="shared" ref="AL902:AL965" si="191">SUM(AC902:AK902)</f>
        <v>3000</v>
      </c>
    </row>
    <row r="903" spans="1:38" hidden="1" x14ac:dyDescent="0.25">
      <c r="A903" s="12" t="s">
        <v>86</v>
      </c>
      <c r="B903" s="12" t="s">
        <v>954</v>
      </c>
      <c r="C903" s="12" t="s">
        <v>539</v>
      </c>
      <c r="D903" s="12"/>
      <c r="E903" s="12">
        <f t="shared" si="189"/>
        <v>25</v>
      </c>
      <c r="F903" s="12" t="str">
        <f>VLOOKUP(B903,[1]lookup!A:B,2,FALSE)</f>
        <v>SaaS</v>
      </c>
      <c r="G903" s="12">
        <v>25</v>
      </c>
      <c r="H903" s="12">
        <v>0</v>
      </c>
      <c r="I903" s="12">
        <v>0</v>
      </c>
      <c r="J903" s="12">
        <v>0</v>
      </c>
      <c r="K903" s="12">
        <v>0</v>
      </c>
      <c r="L903" s="12">
        <v>0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  <c r="W903" s="12">
        <v>0</v>
      </c>
      <c r="X903" s="12">
        <v>0</v>
      </c>
      <c r="Y903" s="12">
        <v>0</v>
      </c>
      <c r="Z903" s="12">
        <v>0</v>
      </c>
      <c r="AA903" s="12"/>
      <c r="AC903" s="13">
        <f t="shared" si="190"/>
        <v>0</v>
      </c>
      <c r="AL903" s="14">
        <f t="shared" si="191"/>
        <v>0</v>
      </c>
    </row>
    <row r="904" spans="1:38" hidden="1" x14ac:dyDescent="0.25">
      <c r="A904" s="12" t="s">
        <v>92</v>
      </c>
      <c r="B904" s="12" t="s">
        <v>955</v>
      </c>
      <c r="C904" s="12" t="s">
        <v>539</v>
      </c>
      <c r="D904" s="12"/>
      <c r="E904" s="12">
        <f t="shared" si="189"/>
        <v>25</v>
      </c>
      <c r="F904" s="12" t="str">
        <f>VLOOKUP(B904,[1]lookup!A:B,2,FALSE)</f>
        <v>Perpetual</v>
      </c>
      <c r="G904" s="12">
        <v>0</v>
      </c>
      <c r="H904" s="12">
        <v>0</v>
      </c>
      <c r="I904" s="12">
        <v>0</v>
      </c>
      <c r="J904" s="12">
        <v>0</v>
      </c>
      <c r="K904" s="12">
        <v>0</v>
      </c>
      <c r="L904" s="12">
        <v>25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/>
      <c r="AC904" s="13">
        <f t="shared" si="190"/>
        <v>0</v>
      </c>
      <c r="AL904" s="14">
        <f t="shared" si="191"/>
        <v>0</v>
      </c>
    </row>
    <row r="905" spans="1:38" hidden="1" x14ac:dyDescent="0.25">
      <c r="A905" s="12" t="s">
        <v>92</v>
      </c>
      <c r="B905" s="12" t="s">
        <v>956</v>
      </c>
      <c r="C905" s="12" t="s">
        <v>539</v>
      </c>
      <c r="D905" s="12"/>
      <c r="E905" s="12">
        <f t="shared" si="189"/>
        <v>25</v>
      </c>
      <c r="F905" s="12" t="s">
        <v>70</v>
      </c>
      <c r="G905" s="12">
        <v>0</v>
      </c>
      <c r="H905" s="12">
        <v>0</v>
      </c>
      <c r="I905" s="12">
        <v>0</v>
      </c>
      <c r="J905" s="12">
        <v>0</v>
      </c>
      <c r="K905" s="12">
        <v>0</v>
      </c>
      <c r="L905" s="12">
        <v>0</v>
      </c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0</v>
      </c>
      <c r="V905" s="12">
        <v>0</v>
      </c>
      <c r="W905" s="12">
        <v>25</v>
      </c>
      <c r="X905" s="12">
        <v>0</v>
      </c>
      <c r="Y905" s="12">
        <v>0</v>
      </c>
      <c r="Z905" s="12">
        <v>0</v>
      </c>
      <c r="AA905" s="12"/>
      <c r="AC905" s="13">
        <f t="shared" si="190"/>
        <v>0</v>
      </c>
      <c r="AL905" s="14">
        <f t="shared" si="191"/>
        <v>0</v>
      </c>
    </row>
    <row r="906" spans="1:38" hidden="1" x14ac:dyDescent="0.25">
      <c r="A906" s="12" t="s">
        <v>92</v>
      </c>
      <c r="B906" s="12" t="s">
        <v>957</v>
      </c>
      <c r="C906" s="12" t="s">
        <v>539</v>
      </c>
      <c r="D906" s="12"/>
      <c r="E906" s="12">
        <f t="shared" si="189"/>
        <v>25</v>
      </c>
      <c r="F906" s="12" t="s">
        <v>70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25</v>
      </c>
      <c r="X906" s="12">
        <v>0</v>
      </c>
      <c r="Y906" s="12">
        <v>0</v>
      </c>
      <c r="Z906" s="12">
        <v>0</v>
      </c>
      <c r="AA906" s="12"/>
      <c r="AC906" s="13">
        <f t="shared" si="190"/>
        <v>0</v>
      </c>
      <c r="AL906" s="14">
        <f t="shared" si="191"/>
        <v>0</v>
      </c>
    </row>
    <row r="907" spans="1:38" hidden="1" x14ac:dyDescent="0.25">
      <c r="A907" s="12" t="s">
        <v>135</v>
      </c>
      <c r="B907" s="12" t="s">
        <v>958</v>
      </c>
      <c r="C907" s="12" t="s">
        <v>539</v>
      </c>
      <c r="D907" s="12"/>
      <c r="E907" s="12">
        <f t="shared" si="189"/>
        <v>25</v>
      </c>
      <c r="F907" s="12" t="s">
        <v>70</v>
      </c>
      <c r="G907" s="12">
        <v>0</v>
      </c>
      <c r="H907" s="12">
        <v>0</v>
      </c>
      <c r="I907" s="12">
        <v>0</v>
      </c>
      <c r="J907" s="12">
        <v>0</v>
      </c>
      <c r="K907" s="12">
        <v>0</v>
      </c>
      <c r="L907" s="12">
        <v>0</v>
      </c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25</v>
      </c>
      <c r="X907" s="12">
        <v>0</v>
      </c>
      <c r="Y907" s="12">
        <v>0</v>
      </c>
      <c r="Z907" s="12">
        <v>0</v>
      </c>
      <c r="AA907" s="12"/>
      <c r="AC907" s="13">
        <f t="shared" si="190"/>
        <v>0</v>
      </c>
      <c r="AL907" s="14">
        <f t="shared" si="191"/>
        <v>0</v>
      </c>
    </row>
    <row r="908" spans="1:38" hidden="1" x14ac:dyDescent="0.25">
      <c r="A908" s="12" t="s">
        <v>140</v>
      </c>
      <c r="B908" s="12" t="s">
        <v>959</v>
      </c>
      <c r="C908" s="12" t="s">
        <v>539</v>
      </c>
      <c r="D908" s="12"/>
      <c r="E908" s="12">
        <f t="shared" si="189"/>
        <v>25</v>
      </c>
      <c r="F908" s="12" t="s">
        <v>70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25</v>
      </c>
      <c r="X908" s="12">
        <v>0</v>
      </c>
      <c r="Y908" s="12">
        <v>0</v>
      </c>
      <c r="Z908" s="12">
        <v>0</v>
      </c>
      <c r="AA908" s="12"/>
      <c r="AC908" s="13">
        <f t="shared" si="190"/>
        <v>0</v>
      </c>
      <c r="AL908" s="14">
        <f t="shared" si="191"/>
        <v>0</v>
      </c>
    </row>
    <row r="909" spans="1:38" hidden="1" x14ac:dyDescent="0.25">
      <c r="A909" s="12" t="s">
        <v>399</v>
      </c>
      <c r="B909" s="12" t="s">
        <v>960</v>
      </c>
      <c r="C909" s="12" t="s">
        <v>539</v>
      </c>
      <c r="D909" s="12"/>
      <c r="E909" s="12">
        <f t="shared" si="189"/>
        <v>25</v>
      </c>
      <c r="F909" s="12" t="s">
        <v>70</v>
      </c>
      <c r="G909" s="12">
        <v>0</v>
      </c>
      <c r="H909" s="12">
        <v>0</v>
      </c>
      <c r="I909" s="12">
        <v>0</v>
      </c>
      <c r="J909" s="12">
        <v>0</v>
      </c>
      <c r="K909" s="12">
        <v>0</v>
      </c>
      <c r="L909" s="12">
        <v>0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25</v>
      </c>
      <c r="V909" s="12">
        <v>0</v>
      </c>
      <c r="W909" s="12">
        <v>0</v>
      </c>
      <c r="X909" s="12">
        <v>0</v>
      </c>
      <c r="Y909" s="12">
        <v>0</v>
      </c>
      <c r="Z909" s="12">
        <v>0</v>
      </c>
      <c r="AA909" s="12"/>
      <c r="AC909" s="13">
        <f t="shared" si="190"/>
        <v>0</v>
      </c>
      <c r="AL909" s="14">
        <f t="shared" si="191"/>
        <v>0</v>
      </c>
    </row>
    <row r="910" spans="1:38" hidden="1" x14ac:dyDescent="0.25">
      <c r="A910" s="12" t="s">
        <v>51</v>
      </c>
      <c r="B910" s="12" t="s">
        <v>961</v>
      </c>
      <c r="C910" s="12" t="s">
        <v>539</v>
      </c>
      <c r="D910" s="12"/>
      <c r="E910" s="12">
        <f t="shared" si="189"/>
        <v>25</v>
      </c>
      <c r="F910" s="12" t="s">
        <v>70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25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2"/>
      <c r="AC910" s="13">
        <f t="shared" si="190"/>
        <v>0</v>
      </c>
      <c r="AL910" s="14">
        <f t="shared" si="191"/>
        <v>0</v>
      </c>
    </row>
    <row r="911" spans="1:38" hidden="1" x14ac:dyDescent="0.25">
      <c r="A911" s="12" t="s">
        <v>178</v>
      </c>
      <c r="B911" s="12" t="s">
        <v>962</v>
      </c>
      <c r="C911" s="12" t="s">
        <v>539</v>
      </c>
      <c r="D911" s="12"/>
      <c r="E911" s="12">
        <f t="shared" si="189"/>
        <v>25</v>
      </c>
      <c r="F911" s="12" t="s">
        <v>70</v>
      </c>
      <c r="G911" s="12">
        <v>0</v>
      </c>
      <c r="H911" s="12">
        <v>0</v>
      </c>
      <c r="I911" s="12">
        <v>0</v>
      </c>
      <c r="J911" s="12">
        <v>0</v>
      </c>
      <c r="K911" s="12">
        <v>0</v>
      </c>
      <c r="L911" s="12">
        <v>0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25</v>
      </c>
      <c r="X911" s="12">
        <v>0</v>
      </c>
      <c r="Y911" s="12">
        <v>0</v>
      </c>
      <c r="Z911" s="12">
        <v>0</v>
      </c>
      <c r="AA911" s="12"/>
      <c r="AC911" s="13">
        <f t="shared" si="190"/>
        <v>0</v>
      </c>
      <c r="AL911" s="14">
        <f t="shared" si="191"/>
        <v>0</v>
      </c>
    </row>
    <row r="912" spans="1:38" hidden="1" x14ac:dyDescent="0.25">
      <c r="A912" s="12" t="s">
        <v>178</v>
      </c>
      <c r="B912" s="12" t="s">
        <v>963</v>
      </c>
      <c r="C912" s="12" t="s">
        <v>539</v>
      </c>
      <c r="D912" s="12"/>
      <c r="E912" s="12">
        <f t="shared" si="189"/>
        <v>25</v>
      </c>
      <c r="F912" s="12" t="s">
        <v>70</v>
      </c>
      <c r="G912" s="12">
        <v>0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25</v>
      </c>
      <c r="X912" s="12">
        <v>0</v>
      </c>
      <c r="Y912" s="12">
        <v>0</v>
      </c>
      <c r="Z912" s="12">
        <v>0</v>
      </c>
      <c r="AA912" s="12"/>
      <c r="AC912" s="13">
        <f t="shared" si="190"/>
        <v>0</v>
      </c>
      <c r="AL912" s="14">
        <f t="shared" si="191"/>
        <v>0</v>
      </c>
    </row>
    <row r="913" spans="1:38" hidden="1" x14ac:dyDescent="0.25">
      <c r="A913" s="12" t="s">
        <v>178</v>
      </c>
      <c r="B913" s="12" t="s">
        <v>964</v>
      </c>
      <c r="C913" s="12" t="s">
        <v>539</v>
      </c>
      <c r="D913" s="12"/>
      <c r="E913" s="12">
        <f t="shared" si="189"/>
        <v>25</v>
      </c>
      <c r="F913" s="12" t="s">
        <v>70</v>
      </c>
      <c r="G913" s="12">
        <v>0</v>
      </c>
      <c r="H913" s="12">
        <v>0</v>
      </c>
      <c r="I913" s="12">
        <v>0</v>
      </c>
      <c r="J913" s="12">
        <v>0</v>
      </c>
      <c r="K913" s="12">
        <v>0</v>
      </c>
      <c r="L913" s="12">
        <v>0</v>
      </c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0</v>
      </c>
      <c r="W913" s="12">
        <v>25</v>
      </c>
      <c r="X913" s="12">
        <v>0</v>
      </c>
      <c r="Y913" s="12">
        <v>0</v>
      </c>
      <c r="Z913" s="12">
        <v>0</v>
      </c>
      <c r="AA913" s="12"/>
      <c r="AC913" s="13">
        <f t="shared" si="190"/>
        <v>0</v>
      </c>
      <c r="AL913" s="14">
        <f t="shared" si="191"/>
        <v>0</v>
      </c>
    </row>
    <row r="914" spans="1:38" hidden="1" x14ac:dyDescent="0.25">
      <c r="A914" s="12" t="s">
        <v>178</v>
      </c>
      <c r="B914" s="12" t="s">
        <v>965</v>
      </c>
      <c r="C914" s="12" t="s">
        <v>539</v>
      </c>
      <c r="D914" s="12"/>
      <c r="E914" s="12">
        <f t="shared" si="189"/>
        <v>25</v>
      </c>
      <c r="F914" s="12" t="s">
        <v>70</v>
      </c>
      <c r="G914" s="12">
        <v>0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0</v>
      </c>
      <c r="W914" s="12">
        <v>25</v>
      </c>
      <c r="X914" s="12">
        <v>0</v>
      </c>
      <c r="Y914" s="12">
        <v>0</v>
      </c>
      <c r="Z914" s="12">
        <v>0</v>
      </c>
      <c r="AA914" s="12"/>
      <c r="AC914" s="13">
        <f t="shared" si="190"/>
        <v>0</v>
      </c>
      <c r="AL914" s="14">
        <f t="shared" si="191"/>
        <v>0</v>
      </c>
    </row>
    <row r="915" spans="1:38" hidden="1" x14ac:dyDescent="0.25">
      <c r="A915" s="12" t="s">
        <v>222</v>
      </c>
      <c r="B915" s="12" t="s">
        <v>966</v>
      </c>
      <c r="C915" s="12" t="s">
        <v>539</v>
      </c>
      <c r="D915" s="12"/>
      <c r="E915" s="12">
        <f t="shared" si="189"/>
        <v>25</v>
      </c>
      <c r="F915" s="12" t="s">
        <v>70</v>
      </c>
      <c r="G915" s="12">
        <v>0</v>
      </c>
      <c r="H915" s="12">
        <v>0</v>
      </c>
      <c r="I915" s="12">
        <v>0</v>
      </c>
      <c r="J915" s="12">
        <v>0</v>
      </c>
      <c r="K915" s="12">
        <v>0</v>
      </c>
      <c r="L915" s="12">
        <v>0</v>
      </c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0</v>
      </c>
      <c r="V915" s="12">
        <v>0</v>
      </c>
      <c r="W915" s="12">
        <v>25</v>
      </c>
      <c r="X915" s="12">
        <v>0</v>
      </c>
      <c r="Y915" s="12">
        <v>0</v>
      </c>
      <c r="Z915" s="12">
        <v>0</v>
      </c>
      <c r="AA915" s="12"/>
      <c r="AC915" s="13">
        <f t="shared" si="190"/>
        <v>0</v>
      </c>
      <c r="AL915" s="14">
        <f t="shared" si="191"/>
        <v>0</v>
      </c>
    </row>
    <row r="916" spans="1:38" hidden="1" x14ac:dyDescent="0.25">
      <c r="A916" s="12" t="s">
        <v>222</v>
      </c>
      <c r="B916" s="12" t="s">
        <v>967</v>
      </c>
      <c r="C916" s="12" t="s">
        <v>539</v>
      </c>
      <c r="D916" s="12"/>
      <c r="E916" s="12">
        <f t="shared" si="189"/>
        <v>25</v>
      </c>
      <c r="F916" s="12" t="s">
        <v>70</v>
      </c>
      <c r="G916" s="12">
        <v>0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0</v>
      </c>
      <c r="W916" s="12">
        <v>25</v>
      </c>
      <c r="X916" s="12">
        <v>0</v>
      </c>
      <c r="Y916" s="12">
        <v>0</v>
      </c>
      <c r="Z916" s="12">
        <v>0</v>
      </c>
      <c r="AA916" s="12"/>
      <c r="AC916" s="13">
        <f t="shared" si="190"/>
        <v>0</v>
      </c>
      <c r="AL916" s="14">
        <f t="shared" si="191"/>
        <v>0</v>
      </c>
    </row>
    <row r="917" spans="1:38" hidden="1" x14ac:dyDescent="0.25">
      <c r="A917" s="12" t="s">
        <v>222</v>
      </c>
      <c r="B917" s="12" t="s">
        <v>968</v>
      </c>
      <c r="C917" s="12" t="s">
        <v>539</v>
      </c>
      <c r="D917" s="12"/>
      <c r="E917" s="12">
        <f t="shared" si="189"/>
        <v>25</v>
      </c>
      <c r="F917" s="12" t="s">
        <v>70</v>
      </c>
      <c r="G917" s="12">
        <v>0</v>
      </c>
      <c r="H917" s="12">
        <v>0</v>
      </c>
      <c r="I917" s="12">
        <v>0</v>
      </c>
      <c r="J917" s="12">
        <v>0</v>
      </c>
      <c r="K917" s="12">
        <v>0</v>
      </c>
      <c r="L917" s="12">
        <v>0</v>
      </c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25</v>
      </c>
      <c r="X917" s="12">
        <v>0</v>
      </c>
      <c r="Y917" s="12">
        <v>0</v>
      </c>
      <c r="Z917" s="12">
        <v>0</v>
      </c>
      <c r="AA917" s="12"/>
      <c r="AC917" s="13">
        <f t="shared" si="190"/>
        <v>0</v>
      </c>
      <c r="AL917" s="14">
        <f t="shared" si="191"/>
        <v>0</v>
      </c>
    </row>
    <row r="918" spans="1:38" hidden="1" x14ac:dyDescent="0.25">
      <c r="A918" s="12" t="s">
        <v>222</v>
      </c>
      <c r="B918" s="12" t="s">
        <v>969</v>
      </c>
      <c r="C918" s="12" t="s">
        <v>539</v>
      </c>
      <c r="D918" s="12"/>
      <c r="E918" s="12">
        <f t="shared" si="189"/>
        <v>25</v>
      </c>
      <c r="F918" s="12" t="s">
        <v>70</v>
      </c>
      <c r="G918" s="12">
        <v>0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25</v>
      </c>
      <c r="X918" s="12">
        <v>0</v>
      </c>
      <c r="Y918" s="12">
        <v>0</v>
      </c>
      <c r="Z918" s="12">
        <v>0</v>
      </c>
      <c r="AA918" s="12"/>
      <c r="AC918" s="13">
        <f t="shared" si="190"/>
        <v>0</v>
      </c>
      <c r="AL918" s="14">
        <f t="shared" si="191"/>
        <v>0</v>
      </c>
    </row>
    <row r="919" spans="1:38" hidden="1" x14ac:dyDescent="0.25">
      <c r="A919" s="12" t="s">
        <v>222</v>
      </c>
      <c r="B919" s="12" t="s">
        <v>970</v>
      </c>
      <c r="C919" s="12" t="s">
        <v>539</v>
      </c>
      <c r="D919" s="12"/>
      <c r="E919" s="12">
        <f t="shared" si="189"/>
        <v>25</v>
      </c>
      <c r="F919" s="12" t="s">
        <v>70</v>
      </c>
      <c r="G919" s="12">
        <v>0</v>
      </c>
      <c r="H919" s="12">
        <v>0</v>
      </c>
      <c r="I919" s="12">
        <v>0</v>
      </c>
      <c r="J919" s="12">
        <v>0</v>
      </c>
      <c r="K919" s="12">
        <v>0</v>
      </c>
      <c r="L919" s="12">
        <v>0</v>
      </c>
      <c r="M919" s="12">
        <v>0</v>
      </c>
      <c r="N919" s="12">
        <v>0</v>
      </c>
      <c r="O919" s="12">
        <v>0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  <c r="W919" s="12">
        <v>25</v>
      </c>
      <c r="X919" s="12">
        <v>0</v>
      </c>
      <c r="Y919" s="12">
        <v>0</v>
      </c>
      <c r="Z919" s="12">
        <v>0</v>
      </c>
      <c r="AA919" s="12"/>
      <c r="AC919" s="13">
        <f t="shared" si="190"/>
        <v>0</v>
      </c>
      <c r="AL919" s="14">
        <f t="shared" si="191"/>
        <v>0</v>
      </c>
    </row>
    <row r="920" spans="1:38" hidden="1" x14ac:dyDescent="0.25">
      <c r="A920" s="12" t="s">
        <v>222</v>
      </c>
      <c r="B920" s="12" t="s">
        <v>971</v>
      </c>
      <c r="C920" s="12" t="s">
        <v>539</v>
      </c>
      <c r="D920" s="12"/>
      <c r="E920" s="12">
        <f t="shared" si="189"/>
        <v>25</v>
      </c>
      <c r="F920" s="12" t="s">
        <v>70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0</v>
      </c>
      <c r="V920" s="12">
        <v>0</v>
      </c>
      <c r="W920" s="12">
        <v>25</v>
      </c>
      <c r="X920" s="12">
        <v>0</v>
      </c>
      <c r="Y920" s="12">
        <v>0</v>
      </c>
      <c r="Z920" s="12">
        <v>0</v>
      </c>
      <c r="AA920" s="12"/>
      <c r="AC920" s="13">
        <f t="shared" si="190"/>
        <v>0</v>
      </c>
      <c r="AL920" s="14">
        <f t="shared" si="191"/>
        <v>0</v>
      </c>
    </row>
    <row r="921" spans="1:38" hidden="1" x14ac:dyDescent="0.25">
      <c r="A921" s="12" t="s">
        <v>222</v>
      </c>
      <c r="B921" s="12" t="s">
        <v>972</v>
      </c>
      <c r="C921" s="12" t="s">
        <v>539</v>
      </c>
      <c r="D921" s="12"/>
      <c r="E921" s="12">
        <f t="shared" si="189"/>
        <v>25</v>
      </c>
      <c r="F921" s="12" t="s">
        <v>70</v>
      </c>
      <c r="G921" s="12">
        <v>0</v>
      </c>
      <c r="H921" s="12">
        <v>0</v>
      </c>
      <c r="I921" s="12">
        <v>0</v>
      </c>
      <c r="J921" s="12">
        <v>0</v>
      </c>
      <c r="K921" s="12">
        <v>0</v>
      </c>
      <c r="L921" s="12">
        <v>0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0</v>
      </c>
      <c r="V921" s="12">
        <v>0</v>
      </c>
      <c r="W921" s="12">
        <v>25</v>
      </c>
      <c r="X921" s="12">
        <v>0</v>
      </c>
      <c r="Y921" s="12">
        <v>0</v>
      </c>
      <c r="Z921" s="12">
        <v>0</v>
      </c>
      <c r="AA921" s="12"/>
      <c r="AC921" s="13">
        <f t="shared" si="190"/>
        <v>0</v>
      </c>
      <c r="AL921" s="14">
        <f t="shared" si="191"/>
        <v>0</v>
      </c>
    </row>
    <row r="922" spans="1:38" hidden="1" x14ac:dyDescent="0.25">
      <c r="A922" s="12" t="s">
        <v>222</v>
      </c>
      <c r="B922" s="12" t="s">
        <v>973</v>
      </c>
      <c r="C922" s="12" t="s">
        <v>539</v>
      </c>
      <c r="D922" s="12"/>
      <c r="E922" s="12">
        <f t="shared" si="189"/>
        <v>25</v>
      </c>
      <c r="F922" s="12" t="s">
        <v>70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0</v>
      </c>
      <c r="W922" s="12">
        <v>25</v>
      </c>
      <c r="X922" s="12">
        <v>0</v>
      </c>
      <c r="Y922" s="12">
        <v>0</v>
      </c>
      <c r="Z922" s="12">
        <v>0</v>
      </c>
      <c r="AA922" s="12"/>
      <c r="AC922" s="13">
        <f t="shared" si="190"/>
        <v>0</v>
      </c>
      <c r="AL922" s="14">
        <f t="shared" si="191"/>
        <v>0</v>
      </c>
    </row>
    <row r="923" spans="1:38" hidden="1" x14ac:dyDescent="0.25">
      <c r="A923" s="12" t="s">
        <v>222</v>
      </c>
      <c r="B923" s="12" t="s">
        <v>974</v>
      </c>
      <c r="C923" s="12" t="s">
        <v>539</v>
      </c>
      <c r="D923" s="12"/>
      <c r="E923" s="12">
        <f t="shared" si="189"/>
        <v>25</v>
      </c>
      <c r="F923" s="12" t="s">
        <v>70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0</v>
      </c>
      <c r="V923" s="12">
        <v>0</v>
      </c>
      <c r="W923" s="12">
        <v>25</v>
      </c>
      <c r="X923" s="12">
        <v>0</v>
      </c>
      <c r="Y923" s="12">
        <v>0</v>
      </c>
      <c r="Z923" s="12">
        <v>0</v>
      </c>
      <c r="AA923" s="12"/>
      <c r="AC923" s="13">
        <f t="shared" si="190"/>
        <v>0</v>
      </c>
      <c r="AL923" s="14">
        <f t="shared" si="191"/>
        <v>0</v>
      </c>
    </row>
    <row r="924" spans="1:38" hidden="1" x14ac:dyDescent="0.25">
      <c r="A924" s="12" t="s">
        <v>222</v>
      </c>
      <c r="B924" s="12" t="s">
        <v>975</v>
      </c>
      <c r="C924" s="12" t="s">
        <v>539</v>
      </c>
      <c r="D924" s="12"/>
      <c r="E924" s="12">
        <f t="shared" si="189"/>
        <v>25</v>
      </c>
      <c r="F924" s="12" t="s">
        <v>70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  <c r="W924" s="12">
        <v>25</v>
      </c>
      <c r="X924" s="12">
        <v>0</v>
      </c>
      <c r="Y924" s="12">
        <v>0</v>
      </c>
      <c r="Z924" s="12">
        <v>0</v>
      </c>
      <c r="AA924" s="12"/>
      <c r="AC924" s="13">
        <f t="shared" si="190"/>
        <v>0</v>
      </c>
      <c r="AL924" s="14">
        <f t="shared" si="191"/>
        <v>0</v>
      </c>
    </row>
    <row r="925" spans="1:38" hidden="1" x14ac:dyDescent="0.25">
      <c r="A925" s="12" t="s">
        <v>435</v>
      </c>
      <c r="B925" s="12" t="s">
        <v>974</v>
      </c>
      <c r="C925" s="12" t="s">
        <v>539</v>
      </c>
      <c r="D925" s="12"/>
      <c r="E925" s="12">
        <f t="shared" si="189"/>
        <v>25</v>
      </c>
      <c r="F925" s="12" t="s">
        <v>70</v>
      </c>
      <c r="G925" s="12">
        <v>0</v>
      </c>
      <c r="H925" s="12">
        <v>0</v>
      </c>
      <c r="I925" s="12">
        <v>0</v>
      </c>
      <c r="J925" s="12">
        <v>0</v>
      </c>
      <c r="K925" s="12">
        <v>0</v>
      </c>
      <c r="L925" s="12">
        <v>0</v>
      </c>
      <c r="M925" s="12">
        <v>0</v>
      </c>
      <c r="N925" s="12">
        <v>0</v>
      </c>
      <c r="O925" s="12">
        <v>0</v>
      </c>
      <c r="P925" s="12">
        <v>0</v>
      </c>
      <c r="Q925" s="12">
        <v>0</v>
      </c>
      <c r="R925" s="12">
        <v>0</v>
      </c>
      <c r="S925" s="12">
        <v>0</v>
      </c>
      <c r="T925" s="12">
        <v>0</v>
      </c>
      <c r="U925" s="12">
        <v>0</v>
      </c>
      <c r="V925" s="12">
        <v>0</v>
      </c>
      <c r="W925" s="12">
        <v>25</v>
      </c>
      <c r="X925" s="12">
        <v>0</v>
      </c>
      <c r="Y925" s="12">
        <v>0</v>
      </c>
      <c r="Z925" s="12">
        <v>0</v>
      </c>
      <c r="AA925" s="12"/>
      <c r="AC925" s="13">
        <f t="shared" si="190"/>
        <v>0</v>
      </c>
      <c r="AL925" s="14">
        <f t="shared" si="191"/>
        <v>0</v>
      </c>
    </row>
    <row r="926" spans="1:38" hidden="1" x14ac:dyDescent="0.25">
      <c r="A926" s="12" t="s">
        <v>435</v>
      </c>
      <c r="B926" s="12" t="s">
        <v>972</v>
      </c>
      <c r="C926" s="12" t="s">
        <v>539</v>
      </c>
      <c r="D926" s="12"/>
      <c r="E926" s="12">
        <f t="shared" si="189"/>
        <v>25</v>
      </c>
      <c r="F926" s="12" t="s">
        <v>70</v>
      </c>
      <c r="G926" s="12">
        <v>0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12">
        <v>0</v>
      </c>
      <c r="U926" s="12">
        <v>0</v>
      </c>
      <c r="V926" s="12">
        <v>0</v>
      </c>
      <c r="W926" s="12">
        <v>25</v>
      </c>
      <c r="X926" s="12">
        <v>0</v>
      </c>
      <c r="Y926" s="12">
        <v>0</v>
      </c>
      <c r="Z926" s="12">
        <v>0</v>
      </c>
      <c r="AA926" s="12"/>
      <c r="AC926" s="13">
        <f t="shared" si="190"/>
        <v>0</v>
      </c>
      <c r="AL926" s="14">
        <f t="shared" si="191"/>
        <v>0</v>
      </c>
    </row>
    <row r="927" spans="1:38" hidden="1" x14ac:dyDescent="0.25">
      <c r="A927" s="12" t="s">
        <v>435</v>
      </c>
      <c r="B927" s="12" t="s">
        <v>966</v>
      </c>
      <c r="C927" s="12" t="s">
        <v>539</v>
      </c>
      <c r="D927" s="12"/>
      <c r="E927" s="12">
        <f t="shared" si="189"/>
        <v>25</v>
      </c>
      <c r="F927" s="12" t="s">
        <v>70</v>
      </c>
      <c r="G927" s="12">
        <v>0</v>
      </c>
      <c r="H927" s="12">
        <v>0</v>
      </c>
      <c r="I927" s="12">
        <v>0</v>
      </c>
      <c r="J927" s="12">
        <v>0</v>
      </c>
      <c r="K927" s="12">
        <v>0</v>
      </c>
      <c r="L927" s="12">
        <v>0</v>
      </c>
      <c r="M927" s="12">
        <v>0</v>
      </c>
      <c r="N927" s="12">
        <v>0</v>
      </c>
      <c r="O927" s="12">
        <v>0</v>
      </c>
      <c r="P927" s="12">
        <v>0</v>
      </c>
      <c r="Q927" s="12">
        <v>0</v>
      </c>
      <c r="R927" s="12">
        <v>0</v>
      </c>
      <c r="S927" s="12">
        <v>0</v>
      </c>
      <c r="T927" s="12">
        <v>0</v>
      </c>
      <c r="U927" s="12">
        <v>0</v>
      </c>
      <c r="V927" s="12">
        <v>0</v>
      </c>
      <c r="W927" s="12">
        <v>25</v>
      </c>
      <c r="X927" s="12">
        <v>0</v>
      </c>
      <c r="Y927" s="12">
        <v>0</v>
      </c>
      <c r="Z927" s="12">
        <v>0</v>
      </c>
      <c r="AA927" s="12"/>
      <c r="AC927" s="13">
        <f t="shared" si="190"/>
        <v>0</v>
      </c>
      <c r="AL927" s="14">
        <f t="shared" si="191"/>
        <v>0</v>
      </c>
    </row>
    <row r="928" spans="1:38" hidden="1" x14ac:dyDescent="0.25">
      <c r="A928" s="12" t="s">
        <v>306</v>
      </c>
      <c r="B928" s="12" t="s">
        <v>976</v>
      </c>
      <c r="C928" s="12" t="s">
        <v>539</v>
      </c>
      <c r="D928" s="12"/>
      <c r="E928" s="12">
        <f t="shared" si="189"/>
        <v>25</v>
      </c>
      <c r="F928" s="12" t="s">
        <v>70</v>
      </c>
      <c r="G928" s="12">
        <v>0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12">
        <v>0</v>
      </c>
      <c r="U928" s="12">
        <v>0</v>
      </c>
      <c r="V928" s="12">
        <v>0</v>
      </c>
      <c r="W928" s="12">
        <v>25</v>
      </c>
      <c r="X928" s="12">
        <v>0</v>
      </c>
      <c r="Y928" s="12">
        <v>0</v>
      </c>
      <c r="Z928" s="12">
        <v>0</v>
      </c>
      <c r="AA928" s="12"/>
      <c r="AC928" s="13">
        <f t="shared" si="190"/>
        <v>0</v>
      </c>
      <c r="AL928" s="14">
        <f t="shared" si="191"/>
        <v>0</v>
      </c>
    </row>
    <row r="929" spans="1:38" hidden="1" x14ac:dyDescent="0.25">
      <c r="A929" s="12" t="s">
        <v>296</v>
      </c>
      <c r="B929" s="12" t="s">
        <v>977</v>
      </c>
      <c r="C929" s="12" t="s">
        <v>539</v>
      </c>
      <c r="D929" s="12"/>
      <c r="E929" s="12">
        <f t="shared" si="189"/>
        <v>25</v>
      </c>
      <c r="F929" s="12" t="s">
        <v>70</v>
      </c>
      <c r="G929" s="12">
        <v>0</v>
      </c>
      <c r="H929" s="12">
        <v>0</v>
      </c>
      <c r="I929" s="12">
        <v>0</v>
      </c>
      <c r="J929" s="12">
        <v>0</v>
      </c>
      <c r="K929" s="12">
        <v>0</v>
      </c>
      <c r="L929" s="12">
        <v>0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  <c r="R929" s="12">
        <v>0</v>
      </c>
      <c r="S929" s="12">
        <v>0</v>
      </c>
      <c r="T929" s="12">
        <v>0</v>
      </c>
      <c r="U929" s="12">
        <v>0</v>
      </c>
      <c r="V929" s="12">
        <v>0</v>
      </c>
      <c r="W929" s="12">
        <v>25</v>
      </c>
      <c r="X929" s="12">
        <v>0</v>
      </c>
      <c r="Y929" s="12">
        <v>0</v>
      </c>
      <c r="Z929" s="12">
        <v>0</v>
      </c>
      <c r="AA929" s="12"/>
      <c r="AC929" s="13">
        <f t="shared" si="190"/>
        <v>0</v>
      </c>
      <c r="AL929" s="14">
        <f t="shared" si="191"/>
        <v>0</v>
      </c>
    </row>
    <row r="930" spans="1:38" hidden="1" x14ac:dyDescent="0.25">
      <c r="A930" s="12" t="s">
        <v>296</v>
      </c>
      <c r="B930" s="12" t="s">
        <v>978</v>
      </c>
      <c r="C930" s="12" t="s">
        <v>539</v>
      </c>
      <c r="D930" s="12"/>
      <c r="E930" s="12">
        <f t="shared" si="189"/>
        <v>25</v>
      </c>
      <c r="F930" s="12" t="s">
        <v>70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0</v>
      </c>
      <c r="W930" s="12">
        <v>25</v>
      </c>
      <c r="X930" s="12">
        <v>0</v>
      </c>
      <c r="Y930" s="12">
        <v>0</v>
      </c>
      <c r="Z930" s="12">
        <v>0</v>
      </c>
      <c r="AA930" s="12"/>
      <c r="AC930" s="13">
        <f t="shared" si="190"/>
        <v>0</v>
      </c>
      <c r="AL930" s="14">
        <f t="shared" si="191"/>
        <v>0</v>
      </c>
    </row>
    <row r="931" spans="1:38" hidden="1" x14ac:dyDescent="0.25">
      <c r="A931" s="12" t="s">
        <v>296</v>
      </c>
      <c r="B931" s="12" t="s">
        <v>979</v>
      </c>
      <c r="C931" s="12" t="s">
        <v>539</v>
      </c>
      <c r="D931" s="12"/>
      <c r="E931" s="12">
        <f t="shared" si="189"/>
        <v>25</v>
      </c>
      <c r="F931" s="12" t="s">
        <v>70</v>
      </c>
      <c r="G931" s="12">
        <v>0</v>
      </c>
      <c r="H931" s="12">
        <v>0</v>
      </c>
      <c r="I931" s="12">
        <v>0</v>
      </c>
      <c r="J931" s="12">
        <v>0</v>
      </c>
      <c r="K931" s="12">
        <v>0</v>
      </c>
      <c r="L931" s="12">
        <v>0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0</v>
      </c>
      <c r="V931" s="12">
        <v>0</v>
      </c>
      <c r="W931" s="12">
        <v>25</v>
      </c>
      <c r="X931" s="12">
        <v>0</v>
      </c>
      <c r="Y931" s="12">
        <v>0</v>
      </c>
      <c r="Z931" s="12">
        <v>0</v>
      </c>
      <c r="AA931" s="12"/>
      <c r="AC931" s="13">
        <f t="shared" si="190"/>
        <v>0</v>
      </c>
      <c r="AL931" s="14">
        <f t="shared" si="191"/>
        <v>0</v>
      </c>
    </row>
    <row r="932" spans="1:38" hidden="1" x14ac:dyDescent="0.25">
      <c r="A932" s="12" t="s">
        <v>537</v>
      </c>
      <c r="B932" s="12" t="s">
        <v>980</v>
      </c>
      <c r="C932" s="12" t="s">
        <v>539</v>
      </c>
      <c r="D932" s="12"/>
      <c r="E932" s="12">
        <f t="shared" si="189"/>
        <v>25</v>
      </c>
      <c r="F932" s="12" t="str">
        <f>VLOOKUP(B932,[1]lookup!A:B,2,FALSE)</f>
        <v>SaaS</v>
      </c>
      <c r="G932" s="12">
        <v>0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25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12">
        <v>0</v>
      </c>
      <c r="U932" s="12">
        <v>0</v>
      </c>
      <c r="V932" s="12">
        <v>0</v>
      </c>
      <c r="W932" s="12">
        <v>0</v>
      </c>
      <c r="X932" s="12">
        <v>0</v>
      </c>
      <c r="Y932" s="12">
        <v>0</v>
      </c>
      <c r="Z932" s="12">
        <v>0</v>
      </c>
      <c r="AA932" s="12"/>
      <c r="AC932" s="13">
        <f t="shared" si="190"/>
        <v>0</v>
      </c>
      <c r="AL932" s="14">
        <f t="shared" si="191"/>
        <v>0</v>
      </c>
    </row>
    <row r="933" spans="1:38" hidden="1" x14ac:dyDescent="0.25">
      <c r="A933" s="12" t="s">
        <v>537</v>
      </c>
      <c r="B933" s="12" t="s">
        <v>981</v>
      </c>
      <c r="C933" s="12" t="s">
        <v>539</v>
      </c>
      <c r="D933" s="12"/>
      <c r="E933" s="12">
        <f t="shared" si="189"/>
        <v>25</v>
      </c>
      <c r="F933" s="12" t="str">
        <f>VLOOKUP(B933,[1]lookup!A:B,2,FALSE)</f>
        <v>SaaS</v>
      </c>
      <c r="G933" s="12">
        <v>0</v>
      </c>
      <c r="H933" s="12">
        <v>0</v>
      </c>
      <c r="I933" s="12">
        <v>0</v>
      </c>
      <c r="J933" s="12">
        <v>25</v>
      </c>
      <c r="K933" s="12">
        <v>0</v>
      </c>
      <c r="L933" s="12">
        <v>0</v>
      </c>
      <c r="M933" s="12">
        <v>0</v>
      </c>
      <c r="N933" s="12">
        <v>25</v>
      </c>
      <c r="O933" s="12">
        <v>0</v>
      </c>
      <c r="P933" s="12">
        <v>0</v>
      </c>
      <c r="Q933" s="12">
        <v>0</v>
      </c>
      <c r="R933" s="12">
        <v>0</v>
      </c>
      <c r="S933" s="12">
        <v>0</v>
      </c>
      <c r="T933" s="12">
        <v>0</v>
      </c>
      <c r="U933" s="12">
        <v>0</v>
      </c>
      <c r="V933" s="12">
        <v>0</v>
      </c>
      <c r="W933" s="12">
        <v>0</v>
      </c>
      <c r="X933" s="12">
        <v>0</v>
      </c>
      <c r="Y933" s="12">
        <v>0</v>
      </c>
      <c r="Z933" s="12">
        <v>0</v>
      </c>
      <c r="AA933" s="12"/>
      <c r="AC933" s="13">
        <f t="shared" si="190"/>
        <v>0</v>
      </c>
      <c r="AD933" s="13">
        <f t="shared" ref="AD933:AD934" si="192">J933*AD$2</f>
        <v>6000</v>
      </c>
      <c r="AE933" s="13">
        <f t="shared" ref="AE933:AE934" si="193">J933*AE$2</f>
        <v>3000</v>
      </c>
      <c r="AL933" s="14">
        <f t="shared" si="191"/>
        <v>9000</v>
      </c>
    </row>
    <row r="934" spans="1:38" hidden="1" x14ac:dyDescent="0.25">
      <c r="A934" s="12" t="s">
        <v>537</v>
      </c>
      <c r="B934" s="12" t="s">
        <v>982</v>
      </c>
      <c r="C934" s="12" t="s">
        <v>539</v>
      </c>
      <c r="D934" s="12"/>
      <c r="E934" s="12">
        <f t="shared" si="189"/>
        <v>25</v>
      </c>
      <c r="F934" s="12" t="str">
        <f>VLOOKUP(B934,[1]lookup!A:B,2,FALSE)</f>
        <v>SaaS</v>
      </c>
      <c r="G934" s="12">
        <v>0</v>
      </c>
      <c r="H934" s="12">
        <v>0</v>
      </c>
      <c r="I934" s="12">
        <v>0</v>
      </c>
      <c r="J934" s="12">
        <v>25</v>
      </c>
      <c r="K934" s="12">
        <v>0</v>
      </c>
      <c r="L934" s="12">
        <v>0</v>
      </c>
      <c r="M934" s="12">
        <v>0</v>
      </c>
      <c r="N934" s="12">
        <v>25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12">
        <v>0</v>
      </c>
      <c r="U934" s="12">
        <v>0</v>
      </c>
      <c r="V934" s="12">
        <v>0</v>
      </c>
      <c r="W934" s="12">
        <v>0</v>
      </c>
      <c r="X934" s="12">
        <v>0</v>
      </c>
      <c r="Y934" s="12">
        <v>0</v>
      </c>
      <c r="Z934" s="12">
        <v>0</v>
      </c>
      <c r="AA934" s="12"/>
      <c r="AC934" s="13">
        <f t="shared" si="190"/>
        <v>0</v>
      </c>
      <c r="AD934" s="13">
        <f t="shared" si="192"/>
        <v>6000</v>
      </c>
      <c r="AE934" s="13">
        <f t="shared" si="193"/>
        <v>3000</v>
      </c>
      <c r="AL934" s="14">
        <f t="shared" si="191"/>
        <v>9000</v>
      </c>
    </row>
    <row r="935" spans="1:38" hidden="1" x14ac:dyDescent="0.25">
      <c r="A935" s="12" t="s">
        <v>537</v>
      </c>
      <c r="B935" s="12" t="s">
        <v>983</v>
      </c>
      <c r="C935" s="12" t="s">
        <v>539</v>
      </c>
      <c r="D935" s="12"/>
      <c r="E935" s="12">
        <f t="shared" si="189"/>
        <v>25</v>
      </c>
      <c r="F935" s="12" t="str">
        <f>VLOOKUP(B935,[1]lookup!A:B,2,FALSE)</f>
        <v>SaaS</v>
      </c>
      <c r="G935" s="12">
        <v>0</v>
      </c>
      <c r="H935" s="12">
        <v>0</v>
      </c>
      <c r="I935" s="12">
        <v>0</v>
      </c>
      <c r="J935" s="12">
        <v>0</v>
      </c>
      <c r="K935" s="12">
        <v>0</v>
      </c>
      <c r="L935" s="12">
        <v>0</v>
      </c>
      <c r="M935" s="12">
        <v>0</v>
      </c>
      <c r="N935" s="12">
        <v>25</v>
      </c>
      <c r="O935" s="12">
        <v>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0</v>
      </c>
      <c r="V935" s="12">
        <v>0</v>
      </c>
      <c r="W935" s="12">
        <v>0</v>
      </c>
      <c r="X935" s="12">
        <v>0</v>
      </c>
      <c r="Y935" s="12">
        <v>0</v>
      </c>
      <c r="Z935" s="12">
        <v>0</v>
      </c>
      <c r="AA935" s="12"/>
      <c r="AC935" s="13">
        <f t="shared" si="190"/>
        <v>0</v>
      </c>
      <c r="AL935" s="14">
        <f t="shared" si="191"/>
        <v>0</v>
      </c>
    </row>
    <row r="936" spans="1:38" hidden="1" x14ac:dyDescent="0.25">
      <c r="A936" s="12" t="s">
        <v>86</v>
      </c>
      <c r="B936" s="12" t="s">
        <v>984</v>
      </c>
      <c r="C936" s="12" t="s">
        <v>539</v>
      </c>
      <c r="D936" s="12"/>
      <c r="E936" s="12">
        <f t="shared" si="189"/>
        <v>24</v>
      </c>
      <c r="F936" s="12" t="str">
        <f>VLOOKUP(B936,[1]lookup!A:B,2,FALSE)</f>
        <v>Term</v>
      </c>
      <c r="G936" s="12">
        <v>0</v>
      </c>
      <c r="H936" s="12">
        <v>24</v>
      </c>
      <c r="I936" s="12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2">
        <v>0</v>
      </c>
      <c r="V936" s="12">
        <v>0</v>
      </c>
      <c r="W936" s="12">
        <v>0</v>
      </c>
      <c r="X936" s="12">
        <v>0</v>
      </c>
      <c r="Y936" s="12">
        <v>0</v>
      </c>
      <c r="Z936" s="12">
        <v>0</v>
      </c>
      <c r="AA936" s="12"/>
      <c r="AC936" s="13">
        <f t="shared" si="190"/>
        <v>0</v>
      </c>
      <c r="AL936" s="14">
        <f t="shared" si="191"/>
        <v>0</v>
      </c>
    </row>
    <row r="937" spans="1:38" hidden="1" x14ac:dyDescent="0.25">
      <c r="A937" s="12" t="s">
        <v>86</v>
      </c>
      <c r="B937" s="12" t="s">
        <v>985</v>
      </c>
      <c r="C937" s="12" t="s">
        <v>539</v>
      </c>
      <c r="D937" s="12"/>
      <c r="E937" s="12">
        <f t="shared" si="189"/>
        <v>24</v>
      </c>
      <c r="F937" s="12" t="str">
        <f>VLOOKUP(B937,[1]lookup!A:B,2,FALSE)</f>
        <v>Term</v>
      </c>
      <c r="G937" s="12">
        <v>0</v>
      </c>
      <c r="H937" s="12">
        <v>24</v>
      </c>
      <c r="I937" s="12">
        <v>0</v>
      </c>
      <c r="J937" s="12">
        <v>0</v>
      </c>
      <c r="K937" s="12">
        <v>0</v>
      </c>
      <c r="L937" s="12">
        <v>0</v>
      </c>
      <c r="M937" s="12">
        <v>0</v>
      </c>
      <c r="N937" s="12">
        <v>0</v>
      </c>
      <c r="O937" s="12">
        <v>0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2">
        <v>0</v>
      </c>
      <c r="V937" s="12">
        <v>0</v>
      </c>
      <c r="W937" s="12">
        <v>0</v>
      </c>
      <c r="X937" s="12">
        <v>0</v>
      </c>
      <c r="Y937" s="12">
        <v>0</v>
      </c>
      <c r="Z937" s="12">
        <v>0</v>
      </c>
      <c r="AA937" s="12"/>
      <c r="AC937" s="13">
        <f t="shared" si="190"/>
        <v>0</v>
      </c>
      <c r="AK937" s="15">
        <f t="shared" ref="AK937:AK939" si="194">H937*AK$2</f>
        <v>2880</v>
      </c>
      <c r="AL937" s="14">
        <f t="shared" si="191"/>
        <v>2880</v>
      </c>
    </row>
    <row r="938" spans="1:38" hidden="1" x14ac:dyDescent="0.25">
      <c r="A938" s="12" t="s">
        <v>86</v>
      </c>
      <c r="B938" s="12" t="s">
        <v>986</v>
      </c>
      <c r="C938" s="12" t="s">
        <v>539</v>
      </c>
      <c r="D938" s="12"/>
      <c r="E938" s="12">
        <f t="shared" si="189"/>
        <v>24</v>
      </c>
      <c r="F938" s="12" t="str">
        <f>VLOOKUP(B938,[1]lookup!A:B,2,FALSE)</f>
        <v>Term</v>
      </c>
      <c r="G938" s="12">
        <v>0</v>
      </c>
      <c r="H938" s="12">
        <v>24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12">
        <v>0</v>
      </c>
      <c r="U938" s="12">
        <v>0</v>
      </c>
      <c r="V938" s="12">
        <v>0</v>
      </c>
      <c r="W938" s="12">
        <v>0</v>
      </c>
      <c r="X938" s="12">
        <v>0</v>
      </c>
      <c r="Y938" s="12">
        <v>0</v>
      </c>
      <c r="Z938" s="12">
        <v>0</v>
      </c>
      <c r="AA938" s="12"/>
      <c r="AC938" s="13">
        <f t="shared" si="190"/>
        <v>0</v>
      </c>
      <c r="AK938" s="15">
        <f t="shared" si="194"/>
        <v>2880</v>
      </c>
      <c r="AL938" s="14">
        <f t="shared" si="191"/>
        <v>2880</v>
      </c>
    </row>
    <row r="939" spans="1:38" hidden="1" x14ac:dyDescent="0.25">
      <c r="A939" s="12" t="s">
        <v>86</v>
      </c>
      <c r="B939" s="12" t="s">
        <v>987</v>
      </c>
      <c r="C939" s="12" t="s">
        <v>539</v>
      </c>
      <c r="D939" s="12"/>
      <c r="E939" s="12">
        <f t="shared" si="189"/>
        <v>24</v>
      </c>
      <c r="F939" s="12" t="str">
        <f>VLOOKUP(B939,[1]lookup!A:B,2,FALSE)</f>
        <v>Term</v>
      </c>
      <c r="G939" s="12">
        <v>0</v>
      </c>
      <c r="H939" s="12">
        <v>24</v>
      </c>
      <c r="I939" s="12">
        <v>0</v>
      </c>
      <c r="J939" s="12">
        <v>0</v>
      </c>
      <c r="K939" s="12">
        <v>0</v>
      </c>
      <c r="L939" s="12">
        <v>0</v>
      </c>
      <c r="M939" s="12">
        <v>0</v>
      </c>
      <c r="N939" s="12">
        <v>0</v>
      </c>
      <c r="O939" s="12">
        <v>0</v>
      </c>
      <c r="P939" s="12">
        <v>0</v>
      </c>
      <c r="Q939" s="12">
        <v>0</v>
      </c>
      <c r="R939" s="12">
        <v>0</v>
      </c>
      <c r="S939" s="12">
        <v>0</v>
      </c>
      <c r="T939" s="12">
        <v>0</v>
      </c>
      <c r="U939" s="12">
        <v>0</v>
      </c>
      <c r="V939" s="12">
        <v>0</v>
      </c>
      <c r="W939" s="12">
        <v>0</v>
      </c>
      <c r="X939" s="12">
        <v>0</v>
      </c>
      <c r="Y939" s="12">
        <v>0</v>
      </c>
      <c r="Z939" s="12">
        <v>0</v>
      </c>
      <c r="AA939" s="12"/>
      <c r="AC939" s="13">
        <f t="shared" si="190"/>
        <v>0</v>
      </c>
      <c r="AK939" s="15">
        <f t="shared" si="194"/>
        <v>2880</v>
      </c>
      <c r="AL939" s="14">
        <f t="shared" si="191"/>
        <v>2880</v>
      </c>
    </row>
    <row r="940" spans="1:38" hidden="1" x14ac:dyDescent="0.25">
      <c r="A940" s="12" t="s">
        <v>135</v>
      </c>
      <c r="B940" s="12" t="s">
        <v>988</v>
      </c>
      <c r="C940" s="12" t="s">
        <v>539</v>
      </c>
      <c r="D940" s="12"/>
      <c r="E940" s="12">
        <f t="shared" si="189"/>
        <v>24</v>
      </c>
      <c r="F940" s="12" t="s">
        <v>70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0</v>
      </c>
      <c r="W940" s="12">
        <v>24</v>
      </c>
      <c r="X940" s="12">
        <v>0</v>
      </c>
      <c r="Y940" s="12">
        <v>0</v>
      </c>
      <c r="Z940" s="12">
        <v>0</v>
      </c>
      <c r="AA940" s="12"/>
      <c r="AC940" s="13">
        <f t="shared" si="190"/>
        <v>0</v>
      </c>
      <c r="AL940" s="14">
        <f t="shared" si="191"/>
        <v>0</v>
      </c>
    </row>
    <row r="941" spans="1:38" hidden="1" x14ac:dyDescent="0.25">
      <c r="A941" s="12" t="s">
        <v>51</v>
      </c>
      <c r="B941" s="12" t="s">
        <v>989</v>
      </c>
      <c r="C941" s="12" t="s">
        <v>539</v>
      </c>
      <c r="D941" s="12"/>
      <c r="E941" s="12">
        <f t="shared" si="189"/>
        <v>24</v>
      </c>
      <c r="F941" s="12" t="s">
        <v>70</v>
      </c>
      <c r="G941" s="12">
        <v>0</v>
      </c>
      <c r="H941" s="12">
        <v>0</v>
      </c>
      <c r="I941" s="12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24</v>
      </c>
      <c r="V941" s="12">
        <v>0</v>
      </c>
      <c r="W941" s="12">
        <v>0</v>
      </c>
      <c r="X941" s="12">
        <v>0</v>
      </c>
      <c r="Y941" s="12">
        <v>0</v>
      </c>
      <c r="Z941" s="12">
        <v>0</v>
      </c>
      <c r="AA941" s="12"/>
      <c r="AC941" s="13">
        <f t="shared" si="190"/>
        <v>0</v>
      </c>
      <c r="AL941" s="14">
        <f t="shared" si="191"/>
        <v>0</v>
      </c>
    </row>
    <row r="942" spans="1:38" hidden="1" x14ac:dyDescent="0.25">
      <c r="A942" s="12" t="s">
        <v>267</v>
      </c>
      <c r="B942" s="12" t="s">
        <v>990</v>
      </c>
      <c r="C942" s="12" t="s">
        <v>539</v>
      </c>
      <c r="D942" s="12"/>
      <c r="E942" s="12">
        <f t="shared" si="189"/>
        <v>24</v>
      </c>
      <c r="F942" s="12" t="s">
        <v>70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0</v>
      </c>
      <c r="V942" s="12">
        <v>0</v>
      </c>
      <c r="W942" s="12">
        <v>24</v>
      </c>
      <c r="X942" s="12">
        <v>0</v>
      </c>
      <c r="Y942" s="12">
        <v>0</v>
      </c>
      <c r="Z942" s="12">
        <v>0</v>
      </c>
      <c r="AA942" s="12"/>
      <c r="AC942" s="13">
        <f t="shared" si="190"/>
        <v>0</v>
      </c>
      <c r="AL942" s="14">
        <f t="shared" si="191"/>
        <v>0</v>
      </c>
    </row>
    <row r="943" spans="1:38" hidden="1" x14ac:dyDescent="0.25">
      <c r="A943" s="12" t="s">
        <v>178</v>
      </c>
      <c r="B943" s="12" t="s">
        <v>991</v>
      </c>
      <c r="C943" s="12" t="s">
        <v>539</v>
      </c>
      <c r="D943" s="12"/>
      <c r="E943" s="12">
        <f t="shared" si="189"/>
        <v>24</v>
      </c>
      <c r="F943" s="12" t="s">
        <v>70</v>
      </c>
      <c r="G943" s="12">
        <v>0</v>
      </c>
      <c r="H943" s="12">
        <v>0</v>
      </c>
      <c r="I943" s="12">
        <v>0</v>
      </c>
      <c r="J943" s="12">
        <v>0</v>
      </c>
      <c r="K943" s="12">
        <v>0</v>
      </c>
      <c r="L943" s="12">
        <v>0</v>
      </c>
      <c r="M943" s="12">
        <v>0</v>
      </c>
      <c r="N943" s="12">
        <v>0</v>
      </c>
      <c r="O943" s="12">
        <v>0</v>
      </c>
      <c r="P943" s="12">
        <v>0</v>
      </c>
      <c r="Q943" s="12">
        <v>0</v>
      </c>
      <c r="R943" s="12">
        <v>0</v>
      </c>
      <c r="S943" s="12">
        <v>0</v>
      </c>
      <c r="T943" s="12">
        <v>0</v>
      </c>
      <c r="U943" s="12">
        <v>0</v>
      </c>
      <c r="V943" s="12">
        <v>0</v>
      </c>
      <c r="W943" s="12">
        <v>24</v>
      </c>
      <c r="X943" s="12">
        <v>0</v>
      </c>
      <c r="Y943" s="12">
        <v>0</v>
      </c>
      <c r="Z943" s="12">
        <v>0</v>
      </c>
      <c r="AA943" s="12"/>
      <c r="AC943" s="13">
        <f t="shared" si="190"/>
        <v>0</v>
      </c>
      <c r="AL943" s="14">
        <f t="shared" si="191"/>
        <v>0</v>
      </c>
    </row>
    <row r="944" spans="1:38" hidden="1" x14ac:dyDescent="0.25">
      <c r="A944" s="12" t="s">
        <v>762</v>
      </c>
      <c r="B944" s="12" t="s">
        <v>992</v>
      </c>
      <c r="C944" s="12" t="s">
        <v>539</v>
      </c>
      <c r="D944" s="12"/>
      <c r="E944" s="12">
        <f t="shared" si="189"/>
        <v>24</v>
      </c>
      <c r="F944" s="12" t="s">
        <v>70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12">
        <v>0</v>
      </c>
      <c r="U944" s="12">
        <v>24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2"/>
      <c r="AC944" s="13">
        <f t="shared" si="190"/>
        <v>0</v>
      </c>
      <c r="AL944" s="14">
        <f t="shared" si="191"/>
        <v>0</v>
      </c>
    </row>
    <row r="945" spans="1:38" hidden="1" x14ac:dyDescent="0.25">
      <c r="A945" s="12" t="s">
        <v>86</v>
      </c>
      <c r="B945" s="12" t="s">
        <v>993</v>
      </c>
      <c r="C945" s="12" t="s">
        <v>539</v>
      </c>
      <c r="D945" s="12"/>
      <c r="E945" s="12">
        <f t="shared" si="189"/>
        <v>23</v>
      </c>
      <c r="F945" s="12" t="str">
        <f>VLOOKUP(B945,[1]lookup!A:B,2,FALSE)</f>
        <v>Term</v>
      </c>
      <c r="G945" s="12">
        <v>0</v>
      </c>
      <c r="H945" s="12">
        <v>23</v>
      </c>
      <c r="I945" s="12">
        <v>0</v>
      </c>
      <c r="J945" s="12">
        <v>0</v>
      </c>
      <c r="K945" s="12">
        <v>0</v>
      </c>
      <c r="L945" s="12">
        <v>0</v>
      </c>
      <c r="M945" s="12">
        <v>0</v>
      </c>
      <c r="N945" s="12">
        <v>0</v>
      </c>
      <c r="O945" s="12">
        <v>0</v>
      </c>
      <c r="P945" s="12">
        <v>0</v>
      </c>
      <c r="Q945" s="12">
        <v>0</v>
      </c>
      <c r="R945" s="12">
        <v>0</v>
      </c>
      <c r="S945" s="12">
        <v>0</v>
      </c>
      <c r="T945" s="12">
        <v>0</v>
      </c>
      <c r="U945" s="12">
        <v>0</v>
      </c>
      <c r="V945" s="12">
        <v>0</v>
      </c>
      <c r="W945" s="12">
        <v>0</v>
      </c>
      <c r="X945" s="12">
        <v>0</v>
      </c>
      <c r="Y945" s="12">
        <v>0</v>
      </c>
      <c r="Z945" s="12">
        <v>0</v>
      </c>
      <c r="AA945" s="12"/>
      <c r="AC945" s="13">
        <f t="shared" si="190"/>
        <v>0</v>
      </c>
      <c r="AK945" s="15">
        <f t="shared" ref="AK945:AK946" si="195">H945*AK$2</f>
        <v>2760</v>
      </c>
      <c r="AL945" s="14">
        <f t="shared" si="191"/>
        <v>2760</v>
      </c>
    </row>
    <row r="946" spans="1:38" hidden="1" x14ac:dyDescent="0.25">
      <c r="A946" s="12" t="s">
        <v>86</v>
      </c>
      <c r="B946" s="12" t="s">
        <v>994</v>
      </c>
      <c r="C946" s="12" t="s">
        <v>539</v>
      </c>
      <c r="D946" s="12"/>
      <c r="E946" s="12">
        <f t="shared" si="189"/>
        <v>23</v>
      </c>
      <c r="F946" s="12" t="str">
        <f>VLOOKUP(B946,[1]lookup!A:B,2,FALSE)</f>
        <v>Term</v>
      </c>
      <c r="G946" s="12">
        <v>0</v>
      </c>
      <c r="H946" s="12">
        <v>23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12">
        <v>0</v>
      </c>
      <c r="U946" s="12">
        <v>0</v>
      </c>
      <c r="V946" s="12">
        <v>0</v>
      </c>
      <c r="W946" s="12">
        <v>0</v>
      </c>
      <c r="X946" s="12">
        <v>0</v>
      </c>
      <c r="Y946" s="12">
        <v>0</v>
      </c>
      <c r="Z946" s="12">
        <v>0</v>
      </c>
      <c r="AA946" s="12"/>
      <c r="AC946" s="13">
        <f t="shared" si="190"/>
        <v>0</v>
      </c>
      <c r="AK946" s="15">
        <f t="shared" si="195"/>
        <v>2760</v>
      </c>
      <c r="AL946" s="14">
        <f t="shared" si="191"/>
        <v>2760</v>
      </c>
    </row>
    <row r="947" spans="1:38" hidden="1" x14ac:dyDescent="0.25">
      <c r="A947" s="12" t="s">
        <v>135</v>
      </c>
      <c r="B947" s="12" t="s">
        <v>995</v>
      </c>
      <c r="C947" s="12" t="s">
        <v>539</v>
      </c>
      <c r="D947" s="12"/>
      <c r="E947" s="12">
        <f t="shared" si="189"/>
        <v>23</v>
      </c>
      <c r="F947" s="12" t="str">
        <f>VLOOKUP(B947,[1]lookup!A:B,2,FALSE)</f>
        <v>Perpetual</v>
      </c>
      <c r="G947" s="12">
        <v>0</v>
      </c>
      <c r="H947" s="12">
        <v>0</v>
      </c>
      <c r="I947" s="12">
        <v>1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  <c r="P947" s="12">
        <v>0</v>
      </c>
      <c r="Q947" s="12">
        <v>0</v>
      </c>
      <c r="R947" s="12">
        <v>0</v>
      </c>
      <c r="S947" s="12">
        <v>0</v>
      </c>
      <c r="T947" s="12">
        <v>0</v>
      </c>
      <c r="U947" s="12">
        <v>0</v>
      </c>
      <c r="V947" s="12">
        <v>0</v>
      </c>
      <c r="W947" s="12">
        <v>23</v>
      </c>
      <c r="X947" s="12">
        <v>0</v>
      </c>
      <c r="Y947" s="12">
        <v>0</v>
      </c>
      <c r="Z947" s="12">
        <v>0</v>
      </c>
      <c r="AA947" s="12"/>
      <c r="AC947" s="13">
        <f t="shared" si="190"/>
        <v>0</v>
      </c>
      <c r="AL947" s="14">
        <f t="shared" si="191"/>
        <v>0</v>
      </c>
    </row>
    <row r="948" spans="1:38" hidden="1" x14ac:dyDescent="0.25">
      <c r="A948" s="12" t="s">
        <v>267</v>
      </c>
      <c r="B948" s="12" t="s">
        <v>996</v>
      </c>
      <c r="C948" s="12" t="s">
        <v>539</v>
      </c>
      <c r="D948" s="12"/>
      <c r="E948" s="12">
        <f t="shared" si="189"/>
        <v>23</v>
      </c>
      <c r="F948" s="12" t="s">
        <v>70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0</v>
      </c>
      <c r="V948" s="12">
        <v>0</v>
      </c>
      <c r="W948" s="12">
        <v>23</v>
      </c>
      <c r="X948" s="12">
        <v>0</v>
      </c>
      <c r="Y948" s="12">
        <v>0</v>
      </c>
      <c r="Z948" s="12">
        <v>0</v>
      </c>
      <c r="AA948" s="12"/>
      <c r="AC948" s="13">
        <f t="shared" si="190"/>
        <v>0</v>
      </c>
      <c r="AL948" s="14">
        <f t="shared" si="191"/>
        <v>0</v>
      </c>
    </row>
    <row r="949" spans="1:38" hidden="1" x14ac:dyDescent="0.25">
      <c r="A949" s="12" t="s">
        <v>86</v>
      </c>
      <c r="B949" s="12" t="s">
        <v>997</v>
      </c>
      <c r="C949" s="12" t="s">
        <v>539</v>
      </c>
      <c r="D949" s="12"/>
      <c r="E949" s="12">
        <f t="shared" si="189"/>
        <v>22</v>
      </c>
      <c r="F949" s="12" t="str">
        <f>VLOOKUP(B949,[1]lookup!A:B,2,FALSE)</f>
        <v>SaaS</v>
      </c>
      <c r="G949" s="12">
        <v>22</v>
      </c>
      <c r="H949" s="12">
        <v>0</v>
      </c>
      <c r="I949" s="12">
        <v>0</v>
      </c>
      <c r="J949" s="12">
        <v>0</v>
      </c>
      <c r="K949" s="12">
        <v>0</v>
      </c>
      <c r="L949" s="12">
        <v>0</v>
      </c>
      <c r="M949" s="12">
        <v>0</v>
      </c>
      <c r="N949" s="12">
        <v>0</v>
      </c>
      <c r="O949" s="12">
        <v>0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0</v>
      </c>
      <c r="V949" s="12">
        <v>0</v>
      </c>
      <c r="W949" s="12">
        <v>0</v>
      </c>
      <c r="X949" s="12">
        <v>0</v>
      </c>
      <c r="Y949" s="12">
        <v>0</v>
      </c>
      <c r="Z949" s="12">
        <v>0</v>
      </c>
      <c r="AA949" s="12"/>
      <c r="AC949" s="13">
        <f t="shared" si="190"/>
        <v>0</v>
      </c>
      <c r="AL949" s="14">
        <f t="shared" si="191"/>
        <v>0</v>
      </c>
    </row>
    <row r="950" spans="1:38" hidden="1" x14ac:dyDescent="0.25">
      <c r="A950" s="12" t="s">
        <v>140</v>
      </c>
      <c r="B950" s="12" t="s">
        <v>998</v>
      </c>
      <c r="C950" s="12" t="s">
        <v>539</v>
      </c>
      <c r="D950" s="12"/>
      <c r="E950" s="12">
        <f t="shared" si="189"/>
        <v>22</v>
      </c>
      <c r="F950" s="12" t="s">
        <v>70</v>
      </c>
      <c r="G950" s="12">
        <v>0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12">
        <v>0</v>
      </c>
      <c r="U950" s="12">
        <v>0</v>
      </c>
      <c r="V950" s="12">
        <v>0</v>
      </c>
      <c r="W950" s="12">
        <v>22</v>
      </c>
      <c r="X950" s="12">
        <v>0</v>
      </c>
      <c r="Y950" s="12">
        <v>0</v>
      </c>
      <c r="Z950" s="12">
        <v>0</v>
      </c>
      <c r="AA950" s="12"/>
      <c r="AC950" s="13">
        <f t="shared" si="190"/>
        <v>0</v>
      </c>
      <c r="AL950" s="14">
        <f t="shared" si="191"/>
        <v>0</v>
      </c>
    </row>
    <row r="951" spans="1:38" hidden="1" x14ac:dyDescent="0.25">
      <c r="A951" s="12" t="s">
        <v>399</v>
      </c>
      <c r="B951" s="12" t="s">
        <v>999</v>
      </c>
      <c r="C951" s="12" t="s">
        <v>539</v>
      </c>
      <c r="D951" s="12"/>
      <c r="E951" s="12">
        <f t="shared" si="189"/>
        <v>22</v>
      </c>
      <c r="F951" s="12" t="str">
        <f>VLOOKUP(B951,[1]lookup!A:B,2,FALSE)</f>
        <v>Perpetual</v>
      </c>
      <c r="G951" s="12">
        <v>0</v>
      </c>
      <c r="H951" s="12">
        <v>22</v>
      </c>
      <c r="I951" s="12">
        <v>0</v>
      </c>
      <c r="J951" s="12">
        <v>0</v>
      </c>
      <c r="K951" s="12">
        <v>0</v>
      </c>
      <c r="L951" s="12">
        <v>0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0</v>
      </c>
      <c r="S951" s="12">
        <v>0</v>
      </c>
      <c r="T951" s="12">
        <v>0</v>
      </c>
      <c r="U951" s="12">
        <v>0</v>
      </c>
      <c r="V951" s="12">
        <v>0</v>
      </c>
      <c r="W951" s="12">
        <v>0</v>
      </c>
      <c r="X951" s="12">
        <v>0</v>
      </c>
      <c r="Y951" s="12">
        <v>0</v>
      </c>
      <c r="Z951" s="12">
        <v>0</v>
      </c>
      <c r="AA951" s="12"/>
      <c r="AC951" s="13">
        <f t="shared" si="190"/>
        <v>0</v>
      </c>
      <c r="AK951" s="15">
        <f>H951*AK$2</f>
        <v>2640</v>
      </c>
      <c r="AL951" s="14">
        <f t="shared" si="191"/>
        <v>2640</v>
      </c>
    </row>
    <row r="952" spans="1:38" hidden="1" x14ac:dyDescent="0.25">
      <c r="A952" s="12" t="s">
        <v>51</v>
      </c>
      <c r="B952" s="12" t="s">
        <v>1000</v>
      </c>
      <c r="C952" s="12" t="s">
        <v>539</v>
      </c>
      <c r="D952" s="12"/>
      <c r="E952" s="12">
        <f t="shared" si="189"/>
        <v>22</v>
      </c>
      <c r="F952" s="12" t="s">
        <v>70</v>
      </c>
      <c r="G952" s="12">
        <v>0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0</v>
      </c>
      <c r="U952" s="12">
        <v>22</v>
      </c>
      <c r="V952" s="12">
        <v>0</v>
      </c>
      <c r="W952" s="12">
        <v>0</v>
      </c>
      <c r="X952" s="12">
        <v>0</v>
      </c>
      <c r="Y952" s="12">
        <v>0</v>
      </c>
      <c r="Z952" s="12">
        <v>0</v>
      </c>
      <c r="AA952" s="12"/>
      <c r="AC952" s="13">
        <f t="shared" si="190"/>
        <v>0</v>
      </c>
      <c r="AL952" s="14">
        <f t="shared" si="191"/>
        <v>0</v>
      </c>
    </row>
    <row r="953" spans="1:38" hidden="1" x14ac:dyDescent="0.25">
      <c r="A953" s="12" t="s">
        <v>51</v>
      </c>
      <c r="B953" s="12" t="s">
        <v>1001</v>
      </c>
      <c r="C953" s="12" t="s">
        <v>539</v>
      </c>
      <c r="D953" s="12"/>
      <c r="E953" s="12">
        <f t="shared" si="189"/>
        <v>22</v>
      </c>
      <c r="F953" s="12" t="s">
        <v>70</v>
      </c>
      <c r="G953" s="12">
        <v>0</v>
      </c>
      <c r="H953" s="12">
        <v>0</v>
      </c>
      <c r="I953" s="12">
        <v>0</v>
      </c>
      <c r="J953" s="12">
        <v>0</v>
      </c>
      <c r="K953" s="12">
        <v>0</v>
      </c>
      <c r="L953" s="12">
        <v>0</v>
      </c>
      <c r="M953" s="12">
        <v>0</v>
      </c>
      <c r="N953" s="12">
        <v>0</v>
      </c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22</v>
      </c>
      <c r="V953" s="12">
        <v>0</v>
      </c>
      <c r="W953" s="12">
        <v>0</v>
      </c>
      <c r="X953" s="12">
        <v>0</v>
      </c>
      <c r="Y953" s="12">
        <v>0</v>
      </c>
      <c r="Z953" s="12">
        <v>0</v>
      </c>
      <c r="AA953" s="12"/>
      <c r="AC953" s="13">
        <f t="shared" si="190"/>
        <v>0</v>
      </c>
      <c r="AL953" s="14">
        <f t="shared" si="191"/>
        <v>0</v>
      </c>
    </row>
    <row r="954" spans="1:38" hidden="1" x14ac:dyDescent="0.25">
      <c r="A954" s="12" t="s">
        <v>92</v>
      </c>
      <c r="B954" s="12" t="s">
        <v>1002</v>
      </c>
      <c r="C954" s="12" t="s">
        <v>539</v>
      </c>
      <c r="D954" s="12"/>
      <c r="E954" s="12">
        <f t="shared" si="189"/>
        <v>21</v>
      </c>
      <c r="F954" s="12" t="s">
        <v>70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2">
        <v>0</v>
      </c>
      <c r="W954" s="12">
        <v>21</v>
      </c>
      <c r="X954" s="12">
        <v>0</v>
      </c>
      <c r="Y954" s="12">
        <v>0</v>
      </c>
      <c r="Z954" s="12">
        <v>0</v>
      </c>
      <c r="AA954" s="12"/>
      <c r="AC954" s="13">
        <f t="shared" si="190"/>
        <v>0</v>
      </c>
      <c r="AL954" s="14">
        <f t="shared" si="191"/>
        <v>0</v>
      </c>
    </row>
    <row r="955" spans="1:38" hidden="1" x14ac:dyDescent="0.25">
      <c r="A955" s="12" t="s">
        <v>140</v>
      </c>
      <c r="B955" s="12" t="s">
        <v>1003</v>
      </c>
      <c r="C955" s="12" t="s">
        <v>539</v>
      </c>
      <c r="D955" s="12"/>
      <c r="E955" s="12">
        <f t="shared" si="189"/>
        <v>21</v>
      </c>
      <c r="F955" s="12" t="s">
        <v>70</v>
      </c>
      <c r="G955" s="12">
        <v>0</v>
      </c>
      <c r="H955" s="12">
        <v>0</v>
      </c>
      <c r="I955" s="12">
        <v>0</v>
      </c>
      <c r="J955" s="12">
        <v>0</v>
      </c>
      <c r="K955" s="12">
        <v>0</v>
      </c>
      <c r="L955" s="12">
        <v>0</v>
      </c>
      <c r="M955" s="12">
        <v>0</v>
      </c>
      <c r="N955" s="12">
        <v>0</v>
      </c>
      <c r="O955" s="12">
        <v>0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0</v>
      </c>
      <c r="V955" s="12">
        <v>0</v>
      </c>
      <c r="W955" s="12">
        <v>21</v>
      </c>
      <c r="X955" s="12">
        <v>0</v>
      </c>
      <c r="Y955" s="12">
        <v>0</v>
      </c>
      <c r="Z955" s="12">
        <v>0</v>
      </c>
      <c r="AA955" s="12"/>
      <c r="AC955" s="13">
        <f t="shared" si="190"/>
        <v>0</v>
      </c>
      <c r="AL955" s="14">
        <f t="shared" si="191"/>
        <v>0</v>
      </c>
    </row>
    <row r="956" spans="1:38" hidden="1" x14ac:dyDescent="0.25">
      <c r="A956" s="12" t="s">
        <v>140</v>
      </c>
      <c r="B956" s="12" t="s">
        <v>1004</v>
      </c>
      <c r="C956" s="12" t="s">
        <v>539</v>
      </c>
      <c r="D956" s="12"/>
      <c r="E956" s="12">
        <f t="shared" si="189"/>
        <v>21</v>
      </c>
      <c r="F956" s="12" t="s">
        <v>70</v>
      </c>
      <c r="G956" s="12">
        <v>0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0</v>
      </c>
      <c r="V956" s="12">
        <v>0</v>
      </c>
      <c r="W956" s="12">
        <v>21</v>
      </c>
      <c r="X956" s="12">
        <v>0</v>
      </c>
      <c r="Y956" s="12">
        <v>0</v>
      </c>
      <c r="Z956" s="12">
        <v>0</v>
      </c>
      <c r="AA956" s="12"/>
      <c r="AC956" s="13">
        <f t="shared" si="190"/>
        <v>0</v>
      </c>
      <c r="AL956" s="14">
        <f t="shared" si="191"/>
        <v>0</v>
      </c>
    </row>
    <row r="957" spans="1:38" hidden="1" x14ac:dyDescent="0.25">
      <c r="A957" s="12" t="s">
        <v>140</v>
      </c>
      <c r="B957" s="12" t="s">
        <v>1005</v>
      </c>
      <c r="C957" s="12" t="s">
        <v>539</v>
      </c>
      <c r="D957" s="12"/>
      <c r="E957" s="12">
        <f t="shared" si="189"/>
        <v>21</v>
      </c>
      <c r="F957" s="12" t="s">
        <v>70</v>
      </c>
      <c r="G957" s="12">
        <v>0</v>
      </c>
      <c r="H957" s="12">
        <v>0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21</v>
      </c>
      <c r="X957" s="12">
        <v>0</v>
      </c>
      <c r="Y957" s="12">
        <v>0</v>
      </c>
      <c r="Z957" s="12">
        <v>0</v>
      </c>
      <c r="AA957" s="12"/>
      <c r="AC957" s="13">
        <f t="shared" si="190"/>
        <v>0</v>
      </c>
      <c r="AL957" s="14">
        <f t="shared" si="191"/>
        <v>0</v>
      </c>
    </row>
    <row r="958" spans="1:38" hidden="1" x14ac:dyDescent="0.25">
      <c r="A958" s="12" t="s">
        <v>399</v>
      </c>
      <c r="B958" s="12" t="s">
        <v>1006</v>
      </c>
      <c r="C958" s="12" t="s">
        <v>539</v>
      </c>
      <c r="D958" s="12"/>
      <c r="E958" s="12">
        <f t="shared" si="189"/>
        <v>21</v>
      </c>
      <c r="F958" s="12" t="str">
        <f>VLOOKUP(B958,[1]lookup!A:B,2,FALSE)</f>
        <v>Perpetual</v>
      </c>
      <c r="G958" s="12">
        <v>0</v>
      </c>
      <c r="H958" s="12">
        <v>21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0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2"/>
      <c r="AC958" s="13">
        <f t="shared" si="190"/>
        <v>0</v>
      </c>
      <c r="AK958" s="15">
        <f>H958*AK$2</f>
        <v>2520</v>
      </c>
      <c r="AL958" s="14">
        <f t="shared" si="191"/>
        <v>2520</v>
      </c>
    </row>
    <row r="959" spans="1:38" hidden="1" x14ac:dyDescent="0.25">
      <c r="A959" s="12" t="s">
        <v>51</v>
      </c>
      <c r="B959" s="12" t="s">
        <v>1007</v>
      </c>
      <c r="C959" s="12" t="s">
        <v>539</v>
      </c>
      <c r="D959" s="12"/>
      <c r="E959" s="12">
        <f t="shared" si="189"/>
        <v>21</v>
      </c>
      <c r="F959" s="12" t="s">
        <v>70</v>
      </c>
      <c r="G959" s="12">
        <v>0</v>
      </c>
      <c r="H959" s="12">
        <v>0</v>
      </c>
      <c r="I959" s="12">
        <v>0</v>
      </c>
      <c r="J959" s="12">
        <v>0</v>
      </c>
      <c r="K959" s="12">
        <v>0</v>
      </c>
      <c r="L959" s="12">
        <v>0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21</v>
      </c>
      <c r="V959" s="12">
        <v>0</v>
      </c>
      <c r="W959" s="12">
        <v>0</v>
      </c>
      <c r="X959" s="12">
        <v>0</v>
      </c>
      <c r="Y959" s="12">
        <v>0</v>
      </c>
      <c r="Z959" s="12">
        <v>0</v>
      </c>
      <c r="AA959" s="12"/>
      <c r="AC959" s="13">
        <f t="shared" si="190"/>
        <v>0</v>
      </c>
      <c r="AL959" s="14">
        <f t="shared" si="191"/>
        <v>0</v>
      </c>
    </row>
    <row r="960" spans="1:38" hidden="1" x14ac:dyDescent="0.25">
      <c r="A960" s="12" t="s">
        <v>51</v>
      </c>
      <c r="B960" s="12" t="s">
        <v>1008</v>
      </c>
      <c r="C960" s="12" t="s">
        <v>539</v>
      </c>
      <c r="D960" s="12"/>
      <c r="E960" s="12">
        <f t="shared" si="189"/>
        <v>21</v>
      </c>
      <c r="F960" s="12" t="s">
        <v>70</v>
      </c>
      <c r="G960" s="12">
        <v>0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21</v>
      </c>
      <c r="V960" s="12">
        <v>0</v>
      </c>
      <c r="W960" s="12">
        <v>0</v>
      </c>
      <c r="X960" s="12">
        <v>0</v>
      </c>
      <c r="Y960" s="12">
        <v>0</v>
      </c>
      <c r="Z960" s="12">
        <v>0</v>
      </c>
      <c r="AA960" s="12"/>
      <c r="AC960" s="13">
        <f t="shared" si="190"/>
        <v>0</v>
      </c>
      <c r="AL960" s="14">
        <f t="shared" si="191"/>
        <v>0</v>
      </c>
    </row>
    <row r="961" spans="1:38" hidden="1" x14ac:dyDescent="0.25">
      <c r="A961" s="12" t="s">
        <v>51</v>
      </c>
      <c r="B961" s="12" t="s">
        <v>1009</v>
      </c>
      <c r="C961" s="12" t="s">
        <v>539</v>
      </c>
      <c r="D961" s="12"/>
      <c r="E961" s="12">
        <f t="shared" si="189"/>
        <v>21</v>
      </c>
      <c r="F961" s="12" t="s">
        <v>70</v>
      </c>
      <c r="G961" s="12">
        <v>0</v>
      </c>
      <c r="H961" s="12">
        <v>0</v>
      </c>
      <c r="I961" s="12">
        <v>0</v>
      </c>
      <c r="J961" s="12">
        <v>0</v>
      </c>
      <c r="K961" s="12">
        <v>0</v>
      </c>
      <c r="L961" s="12">
        <v>0</v>
      </c>
      <c r="M961" s="12">
        <v>0</v>
      </c>
      <c r="N961" s="12">
        <v>0</v>
      </c>
      <c r="O961" s="12">
        <v>0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21</v>
      </c>
      <c r="V961" s="12">
        <v>0</v>
      </c>
      <c r="W961" s="12">
        <v>0</v>
      </c>
      <c r="X961" s="12">
        <v>0</v>
      </c>
      <c r="Y961" s="12">
        <v>0</v>
      </c>
      <c r="Z961" s="12">
        <v>0</v>
      </c>
      <c r="AA961" s="12"/>
      <c r="AC961" s="13">
        <f t="shared" si="190"/>
        <v>0</v>
      </c>
      <c r="AL961" s="14">
        <f t="shared" si="191"/>
        <v>0</v>
      </c>
    </row>
    <row r="962" spans="1:38" hidden="1" x14ac:dyDescent="0.25">
      <c r="A962" s="12" t="s">
        <v>51</v>
      </c>
      <c r="B962" s="12" t="s">
        <v>1010</v>
      </c>
      <c r="C962" s="12" t="s">
        <v>539</v>
      </c>
      <c r="D962" s="12"/>
      <c r="E962" s="12">
        <f t="shared" si="189"/>
        <v>21</v>
      </c>
      <c r="F962" s="12" t="s">
        <v>70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21</v>
      </c>
      <c r="V962" s="12">
        <v>0</v>
      </c>
      <c r="W962" s="12">
        <v>0</v>
      </c>
      <c r="X962" s="12">
        <v>0</v>
      </c>
      <c r="Y962" s="12">
        <v>0</v>
      </c>
      <c r="Z962" s="12">
        <v>0</v>
      </c>
      <c r="AA962" s="12"/>
      <c r="AC962" s="13">
        <f t="shared" si="190"/>
        <v>0</v>
      </c>
      <c r="AL962" s="14">
        <f t="shared" si="191"/>
        <v>0</v>
      </c>
    </row>
    <row r="963" spans="1:38" hidden="1" x14ac:dyDescent="0.25">
      <c r="A963" s="12" t="s">
        <v>51</v>
      </c>
      <c r="B963" s="12" t="s">
        <v>1011</v>
      </c>
      <c r="C963" s="12" t="s">
        <v>539</v>
      </c>
      <c r="D963" s="12"/>
      <c r="E963" s="12">
        <f t="shared" si="189"/>
        <v>21</v>
      </c>
      <c r="F963" s="12" t="s">
        <v>70</v>
      </c>
      <c r="G963" s="12">
        <v>0</v>
      </c>
      <c r="H963" s="12">
        <v>0</v>
      </c>
      <c r="I963" s="12">
        <v>0</v>
      </c>
      <c r="J963" s="12">
        <v>0</v>
      </c>
      <c r="K963" s="12">
        <v>0</v>
      </c>
      <c r="L963" s="12">
        <v>0</v>
      </c>
      <c r="M963" s="12">
        <v>0</v>
      </c>
      <c r="N963" s="12">
        <v>0</v>
      </c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2">
        <v>21</v>
      </c>
      <c r="V963" s="12">
        <v>0</v>
      </c>
      <c r="W963" s="12">
        <v>0</v>
      </c>
      <c r="X963" s="12">
        <v>0</v>
      </c>
      <c r="Y963" s="12">
        <v>0</v>
      </c>
      <c r="Z963" s="12">
        <v>0</v>
      </c>
      <c r="AA963" s="12"/>
      <c r="AC963" s="13">
        <f t="shared" si="190"/>
        <v>0</v>
      </c>
      <c r="AL963" s="14">
        <f t="shared" si="191"/>
        <v>0</v>
      </c>
    </row>
    <row r="964" spans="1:38" hidden="1" x14ac:dyDescent="0.25">
      <c r="A964" s="12" t="s">
        <v>51</v>
      </c>
      <c r="B964" s="12" t="s">
        <v>1012</v>
      </c>
      <c r="C964" s="12" t="s">
        <v>539</v>
      </c>
      <c r="D964" s="12"/>
      <c r="E964" s="12">
        <f t="shared" si="189"/>
        <v>21</v>
      </c>
      <c r="F964" s="12" t="s">
        <v>70</v>
      </c>
      <c r="G964" s="12">
        <v>0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12">
        <v>0</v>
      </c>
      <c r="U964" s="12">
        <v>21</v>
      </c>
      <c r="V964" s="12">
        <v>0</v>
      </c>
      <c r="W964" s="12">
        <v>0</v>
      </c>
      <c r="X964" s="12">
        <v>0</v>
      </c>
      <c r="Y964" s="12">
        <v>0</v>
      </c>
      <c r="Z964" s="12">
        <v>0</v>
      </c>
      <c r="AA964" s="12"/>
      <c r="AC964" s="13">
        <f t="shared" si="190"/>
        <v>0</v>
      </c>
      <c r="AL964" s="14">
        <f t="shared" si="191"/>
        <v>0</v>
      </c>
    </row>
    <row r="965" spans="1:38" hidden="1" x14ac:dyDescent="0.25">
      <c r="A965" s="12" t="s">
        <v>51</v>
      </c>
      <c r="B965" s="12" t="s">
        <v>1013</v>
      </c>
      <c r="C965" s="12" t="s">
        <v>539</v>
      </c>
      <c r="D965" s="12"/>
      <c r="E965" s="12">
        <f t="shared" ref="E965:E1028" si="196">MAX(G965:Z965)</f>
        <v>21</v>
      </c>
      <c r="F965" s="12" t="s">
        <v>70</v>
      </c>
      <c r="G965" s="12">
        <v>0</v>
      </c>
      <c r="H965" s="12">
        <v>0</v>
      </c>
      <c r="I965" s="12">
        <v>0</v>
      </c>
      <c r="J965" s="12">
        <v>0</v>
      </c>
      <c r="K965" s="12">
        <v>0</v>
      </c>
      <c r="L965" s="12">
        <v>0</v>
      </c>
      <c r="M965" s="12">
        <v>0</v>
      </c>
      <c r="N965" s="12">
        <v>0</v>
      </c>
      <c r="O965" s="12">
        <v>0</v>
      </c>
      <c r="P965" s="12">
        <v>0</v>
      </c>
      <c r="Q965" s="12">
        <v>0</v>
      </c>
      <c r="R965" s="12">
        <v>0</v>
      </c>
      <c r="S965" s="12">
        <v>0</v>
      </c>
      <c r="T965" s="12">
        <v>0</v>
      </c>
      <c r="U965" s="12">
        <v>21</v>
      </c>
      <c r="V965" s="12">
        <v>0</v>
      </c>
      <c r="W965" s="12">
        <v>0</v>
      </c>
      <c r="X965" s="12">
        <v>0</v>
      </c>
      <c r="Y965" s="12">
        <v>0</v>
      </c>
      <c r="Z965" s="12">
        <v>0</v>
      </c>
      <c r="AA965" s="12"/>
      <c r="AC965" s="13">
        <f t="shared" ref="AC965:AC1028" si="197">M965*AC$2</f>
        <v>0</v>
      </c>
      <c r="AL965" s="14">
        <f t="shared" si="191"/>
        <v>0</v>
      </c>
    </row>
    <row r="966" spans="1:38" hidden="1" x14ac:dyDescent="0.25">
      <c r="A966" s="12" t="s">
        <v>222</v>
      </c>
      <c r="B966" s="12" t="s">
        <v>1014</v>
      </c>
      <c r="C966" s="12" t="s">
        <v>539</v>
      </c>
      <c r="D966" s="12"/>
      <c r="E966" s="12">
        <f t="shared" si="196"/>
        <v>21</v>
      </c>
      <c r="F966" s="12" t="s">
        <v>70</v>
      </c>
      <c r="G966" s="12">
        <v>0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12">
        <v>0</v>
      </c>
      <c r="U966" s="12">
        <v>0</v>
      </c>
      <c r="V966" s="12">
        <v>0</v>
      </c>
      <c r="W966" s="12">
        <v>21</v>
      </c>
      <c r="X966" s="12">
        <v>0</v>
      </c>
      <c r="Y966" s="12">
        <v>0</v>
      </c>
      <c r="Z966" s="12">
        <v>0</v>
      </c>
      <c r="AA966" s="12"/>
      <c r="AC966" s="13">
        <f t="shared" si="197"/>
        <v>0</v>
      </c>
      <c r="AL966" s="14">
        <f t="shared" ref="AL966:AL1029" si="198">SUM(AC966:AK966)</f>
        <v>0</v>
      </c>
    </row>
    <row r="967" spans="1:38" hidden="1" x14ac:dyDescent="0.25">
      <c r="A967" s="12" t="s">
        <v>415</v>
      </c>
      <c r="B967" s="12" t="s">
        <v>1015</v>
      </c>
      <c r="C967" s="12" t="s">
        <v>539</v>
      </c>
      <c r="D967" s="12"/>
      <c r="E967" s="12">
        <f t="shared" si="196"/>
        <v>21</v>
      </c>
      <c r="F967" s="12" t="str">
        <f>VLOOKUP(B967,[1]lookup!A:B,2,FALSE)</f>
        <v>SaaS</v>
      </c>
      <c r="G967" s="12">
        <v>0</v>
      </c>
      <c r="H967" s="12">
        <v>0</v>
      </c>
      <c r="I967" s="12">
        <v>0</v>
      </c>
      <c r="J967" s="12">
        <v>0</v>
      </c>
      <c r="K967" s="12">
        <v>0</v>
      </c>
      <c r="L967" s="12">
        <v>0</v>
      </c>
      <c r="M967" s="12">
        <v>0</v>
      </c>
      <c r="N967" s="12">
        <v>21</v>
      </c>
      <c r="O967" s="12">
        <v>0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0</v>
      </c>
      <c r="V967" s="12">
        <v>0</v>
      </c>
      <c r="W967" s="12">
        <v>0</v>
      </c>
      <c r="X967" s="12">
        <v>0</v>
      </c>
      <c r="Y967" s="12">
        <v>0</v>
      </c>
      <c r="Z967" s="12">
        <v>0</v>
      </c>
      <c r="AA967" s="12"/>
      <c r="AC967" s="13">
        <f t="shared" si="197"/>
        <v>0</v>
      </c>
      <c r="AL967" s="14">
        <f t="shared" si="198"/>
        <v>0</v>
      </c>
    </row>
    <row r="968" spans="1:38" hidden="1" x14ac:dyDescent="0.25">
      <c r="A968" s="12" t="s">
        <v>86</v>
      </c>
      <c r="B968" s="12" t="s">
        <v>1016</v>
      </c>
      <c r="C968" s="12" t="s">
        <v>539</v>
      </c>
      <c r="D968" s="12"/>
      <c r="E968" s="12">
        <f t="shared" si="196"/>
        <v>20</v>
      </c>
      <c r="F968" s="12" t="str">
        <f>VLOOKUP(B968,[1]lookup!A:B,2,FALSE)</f>
        <v>Term</v>
      </c>
      <c r="G968" s="12">
        <v>0</v>
      </c>
      <c r="H968" s="12">
        <v>20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12">
        <v>0</v>
      </c>
      <c r="U968" s="12">
        <v>0</v>
      </c>
      <c r="V968" s="12">
        <v>0</v>
      </c>
      <c r="W968" s="12">
        <v>0</v>
      </c>
      <c r="X968" s="12">
        <v>0</v>
      </c>
      <c r="Y968" s="12">
        <v>0</v>
      </c>
      <c r="Z968" s="12">
        <v>0</v>
      </c>
      <c r="AA968" s="12"/>
      <c r="AC968" s="13">
        <f t="shared" si="197"/>
        <v>0</v>
      </c>
      <c r="AK968" s="15">
        <f t="shared" ref="AK968:AK972" si="199">H968*AK$2</f>
        <v>2400</v>
      </c>
      <c r="AL968" s="14">
        <f t="shared" si="198"/>
        <v>2400</v>
      </c>
    </row>
    <row r="969" spans="1:38" hidden="1" x14ac:dyDescent="0.25">
      <c r="A969" s="12" t="s">
        <v>86</v>
      </c>
      <c r="B969" s="12" t="s">
        <v>1017</v>
      </c>
      <c r="C969" s="12" t="s">
        <v>539</v>
      </c>
      <c r="D969" s="12"/>
      <c r="E969" s="12">
        <f t="shared" si="196"/>
        <v>20</v>
      </c>
      <c r="F969" s="12" t="str">
        <f>VLOOKUP(B969,[1]lookup!A:B,2,FALSE)</f>
        <v>Perpetual</v>
      </c>
      <c r="G969" s="12">
        <v>0</v>
      </c>
      <c r="H969" s="12">
        <v>20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2">
        <v>0</v>
      </c>
      <c r="W969" s="12">
        <v>0</v>
      </c>
      <c r="X969" s="12">
        <v>0</v>
      </c>
      <c r="Y969" s="12">
        <v>0</v>
      </c>
      <c r="Z969" s="12">
        <v>0</v>
      </c>
      <c r="AA969" s="12"/>
      <c r="AC969" s="13">
        <f t="shared" si="197"/>
        <v>0</v>
      </c>
      <c r="AK969" s="15">
        <f t="shared" si="199"/>
        <v>2400</v>
      </c>
      <c r="AL969" s="14">
        <f t="shared" si="198"/>
        <v>2400</v>
      </c>
    </row>
    <row r="970" spans="1:38" hidden="1" x14ac:dyDescent="0.25">
      <c r="A970" s="12" t="s">
        <v>86</v>
      </c>
      <c r="B970" s="12" t="s">
        <v>1018</v>
      </c>
      <c r="C970" s="12" t="s">
        <v>539</v>
      </c>
      <c r="D970" s="12"/>
      <c r="E970" s="12">
        <f t="shared" si="196"/>
        <v>20</v>
      </c>
      <c r="F970" s="12" t="str">
        <f>VLOOKUP(B970,[1]lookup!A:B,2,FALSE)</f>
        <v>Term</v>
      </c>
      <c r="G970" s="12">
        <v>0</v>
      </c>
      <c r="H970" s="12">
        <v>20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0</v>
      </c>
      <c r="V970" s="12">
        <v>0</v>
      </c>
      <c r="W970" s="12">
        <v>0</v>
      </c>
      <c r="X970" s="12">
        <v>0</v>
      </c>
      <c r="Y970" s="12">
        <v>0</v>
      </c>
      <c r="Z970" s="12">
        <v>0</v>
      </c>
      <c r="AA970" s="12"/>
      <c r="AC970" s="13">
        <f t="shared" si="197"/>
        <v>0</v>
      </c>
      <c r="AK970" s="15">
        <f t="shared" si="199"/>
        <v>2400</v>
      </c>
      <c r="AL970" s="14">
        <f t="shared" si="198"/>
        <v>2400</v>
      </c>
    </row>
    <row r="971" spans="1:38" hidden="1" x14ac:dyDescent="0.25">
      <c r="A971" s="12" t="s">
        <v>86</v>
      </c>
      <c r="B971" s="12" t="s">
        <v>1019</v>
      </c>
      <c r="C971" s="12" t="s">
        <v>539</v>
      </c>
      <c r="D971" s="12"/>
      <c r="E971" s="12">
        <f t="shared" si="196"/>
        <v>20</v>
      </c>
      <c r="F971" s="12" t="str">
        <f>VLOOKUP(B971,[1]lookup!A:B,2,FALSE)</f>
        <v>Perpetual</v>
      </c>
      <c r="G971" s="12">
        <v>0</v>
      </c>
      <c r="H971" s="12">
        <v>20</v>
      </c>
      <c r="I971" s="12">
        <v>0</v>
      </c>
      <c r="J971" s="12">
        <v>0</v>
      </c>
      <c r="K971" s="12">
        <v>0</v>
      </c>
      <c r="L971" s="12">
        <v>0</v>
      </c>
      <c r="M971" s="12">
        <v>0</v>
      </c>
      <c r="N971" s="12">
        <v>0</v>
      </c>
      <c r="O971" s="12">
        <v>0</v>
      </c>
      <c r="P971" s="12">
        <v>0</v>
      </c>
      <c r="Q971" s="12">
        <v>0</v>
      </c>
      <c r="R971" s="12">
        <v>0</v>
      </c>
      <c r="S971" s="12">
        <v>0</v>
      </c>
      <c r="T971" s="12">
        <v>0</v>
      </c>
      <c r="U971" s="12">
        <v>0</v>
      </c>
      <c r="V971" s="12">
        <v>0</v>
      </c>
      <c r="W971" s="12">
        <v>0</v>
      </c>
      <c r="X971" s="12">
        <v>0</v>
      </c>
      <c r="Y971" s="12">
        <v>0</v>
      </c>
      <c r="Z971" s="12">
        <v>0</v>
      </c>
      <c r="AA971" s="12"/>
      <c r="AC971" s="13">
        <f t="shared" si="197"/>
        <v>0</v>
      </c>
      <c r="AK971" s="15">
        <f t="shared" si="199"/>
        <v>2400</v>
      </c>
      <c r="AL971" s="14">
        <f t="shared" si="198"/>
        <v>2400</v>
      </c>
    </row>
    <row r="972" spans="1:38" hidden="1" x14ac:dyDescent="0.25">
      <c r="A972" s="12" t="s">
        <v>86</v>
      </c>
      <c r="B972" s="12" t="s">
        <v>1020</v>
      </c>
      <c r="C972" s="12" t="s">
        <v>539</v>
      </c>
      <c r="D972" s="12"/>
      <c r="E972" s="12">
        <f t="shared" si="196"/>
        <v>20</v>
      </c>
      <c r="F972" s="12" t="str">
        <f>VLOOKUP(B972,[1]lookup!A:B,2,FALSE)</f>
        <v>Perpetual</v>
      </c>
      <c r="G972" s="12">
        <v>0</v>
      </c>
      <c r="H972" s="12">
        <v>20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2">
        <v>0</v>
      </c>
      <c r="W972" s="12">
        <v>0</v>
      </c>
      <c r="X972" s="12">
        <v>0</v>
      </c>
      <c r="Y972" s="12">
        <v>0</v>
      </c>
      <c r="Z972" s="12">
        <v>0</v>
      </c>
      <c r="AA972" s="12"/>
      <c r="AC972" s="13">
        <f t="shared" si="197"/>
        <v>0</v>
      </c>
      <c r="AK972" s="15">
        <f t="shared" si="199"/>
        <v>2400</v>
      </c>
      <c r="AL972" s="14">
        <f t="shared" si="198"/>
        <v>2400</v>
      </c>
    </row>
    <row r="973" spans="1:38" hidden="1" x14ac:dyDescent="0.25">
      <c r="A973" s="12" t="s">
        <v>86</v>
      </c>
      <c r="B973" s="12" t="s">
        <v>1021</v>
      </c>
      <c r="C973" s="12" t="s">
        <v>539</v>
      </c>
      <c r="D973" s="12"/>
      <c r="E973" s="12">
        <f t="shared" si="196"/>
        <v>20</v>
      </c>
      <c r="F973" s="12" t="str">
        <f>VLOOKUP(B973,[1]lookup!A:B,2,FALSE)</f>
        <v>SaaS</v>
      </c>
      <c r="G973" s="12">
        <v>20</v>
      </c>
      <c r="H973" s="12">
        <v>0</v>
      </c>
      <c r="I973" s="12">
        <v>0</v>
      </c>
      <c r="J973" s="12">
        <v>0</v>
      </c>
      <c r="K973" s="12">
        <v>0</v>
      </c>
      <c r="L973" s="12">
        <v>0</v>
      </c>
      <c r="M973" s="12">
        <v>0</v>
      </c>
      <c r="N973" s="12">
        <v>0</v>
      </c>
      <c r="O973" s="12">
        <v>0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0</v>
      </c>
      <c r="V973" s="12">
        <v>0</v>
      </c>
      <c r="W973" s="12">
        <v>0</v>
      </c>
      <c r="X973" s="12">
        <v>0</v>
      </c>
      <c r="Y973" s="12">
        <v>0</v>
      </c>
      <c r="Z973" s="12">
        <v>0</v>
      </c>
      <c r="AA973" s="12"/>
      <c r="AC973" s="13">
        <f t="shared" si="197"/>
        <v>0</v>
      </c>
      <c r="AL973" s="14">
        <f t="shared" si="198"/>
        <v>0</v>
      </c>
    </row>
    <row r="974" spans="1:38" hidden="1" x14ac:dyDescent="0.25">
      <c r="A974" s="12" t="s">
        <v>86</v>
      </c>
      <c r="B974" s="12" t="s">
        <v>1022</v>
      </c>
      <c r="C974" s="12" t="s">
        <v>539</v>
      </c>
      <c r="D974" s="12"/>
      <c r="E974" s="12">
        <f t="shared" si="196"/>
        <v>20</v>
      </c>
      <c r="F974" s="12" t="str">
        <f>VLOOKUP(B974,[1]lookup!A:B,2,FALSE)</f>
        <v>SaaS</v>
      </c>
      <c r="G974" s="12">
        <v>20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0</v>
      </c>
      <c r="U974" s="12">
        <v>0</v>
      </c>
      <c r="V974" s="12">
        <v>0</v>
      </c>
      <c r="W974" s="12">
        <v>0</v>
      </c>
      <c r="X974" s="12">
        <v>0</v>
      </c>
      <c r="Y974" s="12">
        <v>0</v>
      </c>
      <c r="Z974" s="12">
        <v>0</v>
      </c>
      <c r="AA974" s="12"/>
      <c r="AC974" s="13">
        <f t="shared" si="197"/>
        <v>0</v>
      </c>
      <c r="AL974" s="14">
        <f t="shared" si="198"/>
        <v>0</v>
      </c>
    </row>
    <row r="975" spans="1:38" hidden="1" x14ac:dyDescent="0.25">
      <c r="A975" s="12" t="s">
        <v>64</v>
      </c>
      <c r="B975" s="12" t="s">
        <v>1023</v>
      </c>
      <c r="C975" s="12" t="s">
        <v>539</v>
      </c>
      <c r="D975" s="12"/>
      <c r="E975" s="12">
        <f t="shared" si="196"/>
        <v>20</v>
      </c>
      <c r="F975" s="12" t="str">
        <f>VLOOKUP(B975,[1]lookup!A:B,2,FALSE)</f>
        <v>Perpetual</v>
      </c>
      <c r="G975" s="12">
        <v>0</v>
      </c>
      <c r="H975" s="12">
        <v>20</v>
      </c>
      <c r="I975" s="12">
        <v>0</v>
      </c>
      <c r="J975" s="12">
        <v>0</v>
      </c>
      <c r="K975" s="12">
        <v>0</v>
      </c>
      <c r="L975" s="12">
        <v>0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2">
        <v>0</v>
      </c>
      <c r="V975" s="12">
        <v>0</v>
      </c>
      <c r="W975" s="12">
        <v>0</v>
      </c>
      <c r="X975" s="12">
        <v>0</v>
      </c>
      <c r="Y975" s="12">
        <v>0</v>
      </c>
      <c r="Z975" s="12">
        <v>0</v>
      </c>
      <c r="AA975" s="12"/>
      <c r="AC975" s="13">
        <f t="shared" si="197"/>
        <v>0</v>
      </c>
      <c r="AK975" s="15">
        <f t="shared" ref="AK975:AK976" si="200">H975*AK$2</f>
        <v>2400</v>
      </c>
      <c r="AL975" s="14">
        <f t="shared" si="198"/>
        <v>2400</v>
      </c>
    </row>
    <row r="976" spans="1:38" hidden="1" x14ac:dyDescent="0.25">
      <c r="A976" s="12" t="s">
        <v>62</v>
      </c>
      <c r="B976" s="12" t="s">
        <v>1024</v>
      </c>
      <c r="C976" s="12" t="s">
        <v>539</v>
      </c>
      <c r="D976" s="12"/>
      <c r="E976" s="12">
        <f t="shared" si="196"/>
        <v>20</v>
      </c>
      <c r="F976" s="12" t="str">
        <f>VLOOKUP(B976,[1]lookup!A:B,2,FALSE)</f>
        <v>Term</v>
      </c>
      <c r="G976" s="12">
        <v>0</v>
      </c>
      <c r="H976" s="12">
        <v>10</v>
      </c>
      <c r="I976" s="12">
        <v>0</v>
      </c>
      <c r="J976" s="12">
        <v>10</v>
      </c>
      <c r="K976" s="12">
        <v>0</v>
      </c>
      <c r="L976" s="12">
        <v>10</v>
      </c>
      <c r="M976" s="12">
        <v>0</v>
      </c>
      <c r="N976" s="12">
        <v>0</v>
      </c>
      <c r="O976" s="12">
        <v>0</v>
      </c>
      <c r="P976" s="12">
        <v>20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2"/>
      <c r="AC976" s="13">
        <f t="shared" si="197"/>
        <v>0</v>
      </c>
      <c r="AD976" s="13">
        <f>J976*AD$2</f>
        <v>2400</v>
      </c>
      <c r="AK976" s="15">
        <f t="shared" si="200"/>
        <v>1200</v>
      </c>
      <c r="AL976" s="14">
        <f t="shared" si="198"/>
        <v>3600</v>
      </c>
    </row>
    <row r="977" spans="1:38" hidden="1" x14ac:dyDescent="0.25">
      <c r="A977" s="12" t="s">
        <v>49</v>
      </c>
      <c r="B977" s="12" t="s">
        <v>1025</v>
      </c>
      <c r="C977" s="12" t="s">
        <v>539</v>
      </c>
      <c r="D977" s="12"/>
      <c r="E977" s="12">
        <f t="shared" si="196"/>
        <v>20</v>
      </c>
      <c r="F977" s="12" t="s">
        <v>70</v>
      </c>
      <c r="G977" s="12">
        <v>0</v>
      </c>
      <c r="H977" s="12">
        <v>0</v>
      </c>
      <c r="I977" s="12">
        <v>0</v>
      </c>
      <c r="J977" s="12">
        <v>0</v>
      </c>
      <c r="K977" s="12">
        <v>0</v>
      </c>
      <c r="L977" s="12">
        <v>0</v>
      </c>
      <c r="M977" s="12">
        <v>0</v>
      </c>
      <c r="N977" s="12">
        <v>0</v>
      </c>
      <c r="O977" s="12">
        <v>0</v>
      </c>
      <c r="P977" s="12">
        <v>0</v>
      </c>
      <c r="Q977" s="12">
        <v>0</v>
      </c>
      <c r="R977" s="12">
        <v>0</v>
      </c>
      <c r="S977" s="12">
        <v>0</v>
      </c>
      <c r="T977" s="12">
        <v>0</v>
      </c>
      <c r="U977" s="12">
        <v>20</v>
      </c>
      <c r="V977" s="12">
        <v>0</v>
      </c>
      <c r="W977" s="12">
        <v>0</v>
      </c>
      <c r="X977" s="12">
        <v>0</v>
      </c>
      <c r="Y977" s="12">
        <v>0</v>
      </c>
      <c r="Z977" s="12">
        <v>0</v>
      </c>
      <c r="AA977" s="12"/>
      <c r="AC977" s="13">
        <f t="shared" si="197"/>
        <v>0</v>
      </c>
      <c r="AL977" s="14">
        <f t="shared" si="198"/>
        <v>0</v>
      </c>
    </row>
    <row r="978" spans="1:38" hidden="1" x14ac:dyDescent="0.25">
      <c r="A978" s="12" t="s">
        <v>56</v>
      </c>
      <c r="B978" s="12" t="s">
        <v>1026</v>
      </c>
      <c r="C978" s="12" t="s">
        <v>539</v>
      </c>
      <c r="D978" s="12"/>
      <c r="E978" s="12">
        <f t="shared" si="196"/>
        <v>20</v>
      </c>
      <c r="F978" s="12" t="s">
        <v>70</v>
      </c>
      <c r="G978" s="12">
        <v>0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20</v>
      </c>
      <c r="V978" s="12">
        <v>0</v>
      </c>
      <c r="W978" s="12">
        <v>0</v>
      </c>
      <c r="X978" s="12">
        <v>0</v>
      </c>
      <c r="Y978" s="12">
        <v>0</v>
      </c>
      <c r="Z978" s="12">
        <v>0</v>
      </c>
      <c r="AA978" s="12"/>
      <c r="AC978" s="13">
        <f t="shared" si="197"/>
        <v>0</v>
      </c>
      <c r="AL978" s="14">
        <f t="shared" si="198"/>
        <v>0</v>
      </c>
    </row>
    <row r="979" spans="1:38" hidden="1" x14ac:dyDescent="0.25">
      <c r="A979" s="12" t="s">
        <v>92</v>
      </c>
      <c r="B979" s="12" t="s">
        <v>1027</v>
      </c>
      <c r="C979" s="12" t="s">
        <v>539</v>
      </c>
      <c r="D979" s="12"/>
      <c r="E979" s="12">
        <f t="shared" si="196"/>
        <v>20</v>
      </c>
      <c r="F979" s="12" t="s">
        <v>70</v>
      </c>
      <c r="G979" s="12">
        <v>0</v>
      </c>
      <c r="H979" s="12">
        <v>0</v>
      </c>
      <c r="I979" s="12">
        <v>0</v>
      </c>
      <c r="J979" s="12">
        <v>0</v>
      </c>
      <c r="K979" s="12">
        <v>0</v>
      </c>
      <c r="L979" s="12">
        <v>0</v>
      </c>
      <c r="M979" s="12">
        <v>0</v>
      </c>
      <c r="N979" s="12">
        <v>0</v>
      </c>
      <c r="O979" s="12">
        <v>0</v>
      </c>
      <c r="P979" s="12">
        <v>0</v>
      </c>
      <c r="Q979" s="12">
        <v>0</v>
      </c>
      <c r="R979" s="12">
        <v>0</v>
      </c>
      <c r="S979" s="12">
        <v>0</v>
      </c>
      <c r="T979" s="12">
        <v>0</v>
      </c>
      <c r="U979" s="12">
        <v>0</v>
      </c>
      <c r="V979" s="12">
        <v>0</v>
      </c>
      <c r="W979" s="12">
        <v>20</v>
      </c>
      <c r="X979" s="12">
        <v>0</v>
      </c>
      <c r="Y979" s="12">
        <v>0</v>
      </c>
      <c r="Z979" s="12">
        <v>0</v>
      </c>
      <c r="AA979" s="12"/>
      <c r="AC979" s="13">
        <f t="shared" si="197"/>
        <v>0</v>
      </c>
      <c r="AL979" s="14">
        <f t="shared" si="198"/>
        <v>0</v>
      </c>
    </row>
    <row r="980" spans="1:38" hidden="1" x14ac:dyDescent="0.25">
      <c r="A980" s="12" t="s">
        <v>140</v>
      </c>
      <c r="B980" s="12" t="s">
        <v>1028</v>
      </c>
      <c r="C980" s="12" t="s">
        <v>539</v>
      </c>
      <c r="D980" s="12"/>
      <c r="E980" s="12">
        <f t="shared" si="196"/>
        <v>20</v>
      </c>
      <c r="F980" s="12" t="s">
        <v>70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12">
        <v>0</v>
      </c>
      <c r="U980" s="12">
        <v>0</v>
      </c>
      <c r="V980" s="12">
        <v>0</v>
      </c>
      <c r="W980" s="12">
        <v>20</v>
      </c>
      <c r="X980" s="12">
        <v>0</v>
      </c>
      <c r="Y980" s="12">
        <v>0</v>
      </c>
      <c r="Z980" s="12">
        <v>0</v>
      </c>
      <c r="AA980" s="12"/>
      <c r="AC980" s="13">
        <f t="shared" si="197"/>
        <v>0</v>
      </c>
      <c r="AL980" s="14">
        <f t="shared" si="198"/>
        <v>0</v>
      </c>
    </row>
    <row r="981" spans="1:38" hidden="1" x14ac:dyDescent="0.25">
      <c r="A981" s="12" t="s">
        <v>216</v>
      </c>
      <c r="B981" s="12" t="s">
        <v>1029</v>
      </c>
      <c r="C981" s="12" t="s">
        <v>539</v>
      </c>
      <c r="D981" s="12"/>
      <c r="E981" s="12">
        <f t="shared" si="196"/>
        <v>20</v>
      </c>
      <c r="F981" s="12" t="str">
        <f>VLOOKUP(B981,[1]lookup!A:B,2,FALSE)</f>
        <v>Perpetual</v>
      </c>
      <c r="G981" s="12">
        <v>0</v>
      </c>
      <c r="H981" s="12">
        <v>20</v>
      </c>
      <c r="I981" s="12">
        <v>20</v>
      </c>
      <c r="J981" s="12">
        <v>20</v>
      </c>
      <c r="K981" s="12">
        <v>0</v>
      </c>
      <c r="L981" s="12">
        <v>0</v>
      </c>
      <c r="M981" s="12">
        <v>20</v>
      </c>
      <c r="N981" s="12">
        <v>0</v>
      </c>
      <c r="O981" s="12">
        <v>20</v>
      </c>
      <c r="P981" s="12">
        <v>0</v>
      </c>
      <c r="Q981" s="12">
        <v>0</v>
      </c>
      <c r="R981" s="12">
        <v>0</v>
      </c>
      <c r="S981" s="12">
        <v>0</v>
      </c>
      <c r="T981" s="12">
        <v>0</v>
      </c>
      <c r="U981" s="12">
        <v>0</v>
      </c>
      <c r="V981" s="12">
        <v>0</v>
      </c>
      <c r="W981" s="12">
        <v>0</v>
      </c>
      <c r="X981" s="12">
        <v>0</v>
      </c>
      <c r="Y981" s="12">
        <v>0</v>
      </c>
      <c r="Z981" s="12">
        <v>0</v>
      </c>
      <c r="AA981" s="12"/>
      <c r="AC981" s="13">
        <f t="shared" si="197"/>
        <v>4800</v>
      </c>
      <c r="AD981" s="13">
        <f>J981*AD$2</f>
        <v>4800</v>
      </c>
      <c r="AE981" s="13">
        <f>J981*AE$2</f>
        <v>2400</v>
      </c>
      <c r="AL981" s="14">
        <f t="shared" si="198"/>
        <v>12000</v>
      </c>
    </row>
    <row r="982" spans="1:38" hidden="1" x14ac:dyDescent="0.25">
      <c r="A982" s="12" t="s">
        <v>51</v>
      </c>
      <c r="B982" s="12" t="s">
        <v>1030</v>
      </c>
      <c r="C982" s="12" t="s">
        <v>539</v>
      </c>
      <c r="D982" s="12"/>
      <c r="E982" s="12">
        <f t="shared" si="196"/>
        <v>20</v>
      </c>
      <c r="F982" s="12" t="s">
        <v>70</v>
      </c>
      <c r="G982" s="12">
        <v>0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12">
        <v>0</v>
      </c>
      <c r="U982" s="12">
        <v>20</v>
      </c>
      <c r="V982" s="12">
        <v>0</v>
      </c>
      <c r="W982" s="12">
        <v>0</v>
      </c>
      <c r="X982" s="12">
        <v>0</v>
      </c>
      <c r="Y982" s="12">
        <v>0</v>
      </c>
      <c r="Z982" s="12">
        <v>0</v>
      </c>
      <c r="AA982" s="12"/>
      <c r="AC982" s="13">
        <f t="shared" si="197"/>
        <v>0</v>
      </c>
      <c r="AL982" s="14">
        <f t="shared" si="198"/>
        <v>0</v>
      </c>
    </row>
    <row r="983" spans="1:38" hidden="1" x14ac:dyDescent="0.25">
      <c r="A983" s="12" t="s">
        <v>51</v>
      </c>
      <c r="B983" s="12" t="s">
        <v>1031</v>
      </c>
      <c r="C983" s="12" t="s">
        <v>539</v>
      </c>
      <c r="D983" s="12"/>
      <c r="E983" s="12">
        <f t="shared" si="196"/>
        <v>20</v>
      </c>
      <c r="F983" s="12" t="s">
        <v>70</v>
      </c>
      <c r="G983" s="12">
        <v>0</v>
      </c>
      <c r="H983" s="12">
        <v>0</v>
      </c>
      <c r="I983" s="12">
        <v>0</v>
      </c>
      <c r="J983" s="12">
        <v>0</v>
      </c>
      <c r="K983" s="12">
        <v>0</v>
      </c>
      <c r="L983" s="12">
        <v>0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20</v>
      </c>
      <c r="V983" s="12">
        <v>0</v>
      </c>
      <c r="W983" s="12">
        <v>0</v>
      </c>
      <c r="X983" s="12">
        <v>0</v>
      </c>
      <c r="Y983" s="12">
        <v>0</v>
      </c>
      <c r="Z983" s="12">
        <v>0</v>
      </c>
      <c r="AA983" s="12"/>
      <c r="AC983" s="13">
        <f t="shared" si="197"/>
        <v>0</v>
      </c>
      <c r="AL983" s="14">
        <f t="shared" si="198"/>
        <v>0</v>
      </c>
    </row>
    <row r="984" spans="1:38" hidden="1" x14ac:dyDescent="0.25">
      <c r="A984" s="12" t="s">
        <v>51</v>
      </c>
      <c r="B984" s="12" t="s">
        <v>1032</v>
      </c>
      <c r="C984" s="12" t="s">
        <v>539</v>
      </c>
      <c r="D984" s="12"/>
      <c r="E984" s="12">
        <f t="shared" si="196"/>
        <v>20</v>
      </c>
      <c r="F984" s="12" t="s">
        <v>70</v>
      </c>
      <c r="G984" s="12">
        <v>0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0</v>
      </c>
      <c r="U984" s="12">
        <v>20</v>
      </c>
      <c r="V984" s="12">
        <v>0</v>
      </c>
      <c r="W984" s="12">
        <v>0</v>
      </c>
      <c r="X984" s="12">
        <v>0</v>
      </c>
      <c r="Y984" s="12">
        <v>0</v>
      </c>
      <c r="Z984" s="12">
        <v>0</v>
      </c>
      <c r="AA984" s="12"/>
      <c r="AC984" s="13">
        <f t="shared" si="197"/>
        <v>0</v>
      </c>
      <c r="AL984" s="14">
        <f t="shared" si="198"/>
        <v>0</v>
      </c>
    </row>
    <row r="985" spans="1:38" hidden="1" x14ac:dyDescent="0.25">
      <c r="A985" s="12" t="s">
        <v>51</v>
      </c>
      <c r="B985" s="12" t="s">
        <v>1033</v>
      </c>
      <c r="C985" s="12" t="s">
        <v>539</v>
      </c>
      <c r="D985" s="12"/>
      <c r="E985" s="12">
        <f t="shared" si="196"/>
        <v>20</v>
      </c>
      <c r="F985" s="12" t="s">
        <v>70</v>
      </c>
      <c r="G985" s="12">
        <v>0</v>
      </c>
      <c r="H985" s="12">
        <v>0</v>
      </c>
      <c r="I985" s="12">
        <v>0</v>
      </c>
      <c r="J985" s="12">
        <v>0</v>
      </c>
      <c r="K985" s="12">
        <v>0</v>
      </c>
      <c r="L985" s="12">
        <v>0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  <c r="R985" s="12">
        <v>0</v>
      </c>
      <c r="S985" s="12">
        <v>0</v>
      </c>
      <c r="T985" s="12">
        <v>0</v>
      </c>
      <c r="U985" s="12">
        <v>20</v>
      </c>
      <c r="V985" s="12">
        <v>0</v>
      </c>
      <c r="W985" s="12">
        <v>0</v>
      </c>
      <c r="X985" s="12">
        <v>0</v>
      </c>
      <c r="Y985" s="12">
        <v>0</v>
      </c>
      <c r="Z985" s="12">
        <v>0</v>
      </c>
      <c r="AA985" s="12"/>
      <c r="AC985" s="13">
        <f t="shared" si="197"/>
        <v>0</v>
      </c>
      <c r="AL985" s="14">
        <f t="shared" si="198"/>
        <v>0</v>
      </c>
    </row>
    <row r="986" spans="1:38" hidden="1" x14ac:dyDescent="0.25">
      <c r="A986" s="12" t="s">
        <v>173</v>
      </c>
      <c r="B986" s="12" t="s">
        <v>1034</v>
      </c>
      <c r="C986" s="12" t="s">
        <v>539</v>
      </c>
      <c r="D986" s="12"/>
      <c r="E986" s="12">
        <f t="shared" si="196"/>
        <v>20</v>
      </c>
      <c r="F986" s="12" t="str">
        <f>VLOOKUP(B986,[1]lookup!A:B,2,FALSE)</f>
        <v>SaaS</v>
      </c>
      <c r="G986" s="12">
        <v>0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20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0</v>
      </c>
      <c r="U986" s="12">
        <v>0</v>
      </c>
      <c r="V986" s="12">
        <v>0</v>
      </c>
      <c r="W986" s="12">
        <v>0</v>
      </c>
      <c r="X986" s="12">
        <v>0</v>
      </c>
      <c r="Y986" s="12">
        <v>0</v>
      </c>
      <c r="Z986" s="12">
        <v>0</v>
      </c>
      <c r="AA986" s="12"/>
      <c r="AC986" s="13">
        <f t="shared" si="197"/>
        <v>0</v>
      </c>
      <c r="AL986" s="14">
        <f t="shared" si="198"/>
        <v>0</v>
      </c>
    </row>
    <row r="987" spans="1:38" hidden="1" x14ac:dyDescent="0.25">
      <c r="A987" s="12" t="s">
        <v>140</v>
      </c>
      <c r="B987" s="12" t="s">
        <v>1035</v>
      </c>
      <c r="C987" s="12" t="s">
        <v>539</v>
      </c>
      <c r="D987" s="12"/>
      <c r="E987" s="12">
        <f t="shared" si="196"/>
        <v>19</v>
      </c>
      <c r="F987" s="12" t="s">
        <v>70</v>
      </c>
      <c r="G987" s="12">
        <v>0</v>
      </c>
      <c r="H987" s="12">
        <v>0</v>
      </c>
      <c r="I987" s="12">
        <v>0</v>
      </c>
      <c r="J987" s="12">
        <v>0</v>
      </c>
      <c r="K987" s="12">
        <v>0</v>
      </c>
      <c r="L987" s="12">
        <v>0</v>
      </c>
      <c r="M987" s="12">
        <v>0</v>
      </c>
      <c r="N987" s="12">
        <v>0</v>
      </c>
      <c r="O987" s="12">
        <v>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0</v>
      </c>
      <c r="V987" s="12">
        <v>0</v>
      </c>
      <c r="W987" s="12">
        <v>19</v>
      </c>
      <c r="X987" s="12">
        <v>0</v>
      </c>
      <c r="Y987" s="12">
        <v>0</v>
      </c>
      <c r="Z987" s="12">
        <v>0</v>
      </c>
      <c r="AA987" s="12"/>
      <c r="AC987" s="13">
        <f t="shared" si="197"/>
        <v>0</v>
      </c>
      <c r="AL987" s="14">
        <f t="shared" si="198"/>
        <v>0</v>
      </c>
    </row>
    <row r="988" spans="1:38" hidden="1" x14ac:dyDescent="0.25">
      <c r="A988" s="12" t="s">
        <v>222</v>
      </c>
      <c r="B988" s="12" t="s">
        <v>1036</v>
      </c>
      <c r="C988" s="12" t="s">
        <v>539</v>
      </c>
      <c r="D988" s="12"/>
      <c r="E988" s="12">
        <f t="shared" si="196"/>
        <v>19</v>
      </c>
      <c r="F988" s="12" t="s">
        <v>70</v>
      </c>
      <c r="G988" s="12">
        <v>0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0</v>
      </c>
      <c r="V988" s="12">
        <v>0</v>
      </c>
      <c r="W988" s="12">
        <v>19</v>
      </c>
      <c r="X988" s="12">
        <v>0</v>
      </c>
      <c r="Y988" s="12">
        <v>0</v>
      </c>
      <c r="Z988" s="12">
        <v>0</v>
      </c>
      <c r="AA988" s="12"/>
      <c r="AC988" s="13">
        <f t="shared" si="197"/>
        <v>0</v>
      </c>
      <c r="AL988" s="14">
        <f t="shared" si="198"/>
        <v>0</v>
      </c>
    </row>
    <row r="989" spans="1:38" hidden="1" x14ac:dyDescent="0.25">
      <c r="A989" s="12" t="s">
        <v>435</v>
      </c>
      <c r="B989" s="12" t="s">
        <v>1036</v>
      </c>
      <c r="C989" s="12" t="s">
        <v>539</v>
      </c>
      <c r="D989" s="12"/>
      <c r="E989" s="12">
        <f t="shared" si="196"/>
        <v>19</v>
      </c>
      <c r="F989" s="12" t="s">
        <v>70</v>
      </c>
      <c r="G989" s="12">
        <v>0</v>
      </c>
      <c r="H989" s="12">
        <v>0</v>
      </c>
      <c r="I989" s="12">
        <v>0</v>
      </c>
      <c r="J989" s="12">
        <v>0</v>
      </c>
      <c r="K989" s="12">
        <v>0</v>
      </c>
      <c r="L989" s="12">
        <v>0</v>
      </c>
      <c r="M989" s="12">
        <v>0</v>
      </c>
      <c r="N989" s="12">
        <v>0</v>
      </c>
      <c r="O989" s="12">
        <v>0</v>
      </c>
      <c r="P989" s="12">
        <v>0</v>
      </c>
      <c r="Q989" s="12">
        <v>0</v>
      </c>
      <c r="R989" s="12">
        <v>0</v>
      </c>
      <c r="S989" s="12">
        <v>0</v>
      </c>
      <c r="T989" s="12">
        <v>0</v>
      </c>
      <c r="U989" s="12">
        <v>0</v>
      </c>
      <c r="V989" s="12">
        <v>0</v>
      </c>
      <c r="W989" s="12">
        <v>19</v>
      </c>
      <c r="X989" s="12">
        <v>0</v>
      </c>
      <c r="Y989" s="12">
        <v>0</v>
      </c>
      <c r="Z989" s="12">
        <v>0</v>
      </c>
      <c r="AA989" s="12"/>
      <c r="AC989" s="13">
        <f t="shared" si="197"/>
        <v>0</v>
      </c>
      <c r="AL989" s="14">
        <f t="shared" si="198"/>
        <v>0</v>
      </c>
    </row>
    <row r="990" spans="1:38" hidden="1" x14ac:dyDescent="0.25">
      <c r="A990" s="12" t="s">
        <v>148</v>
      </c>
      <c r="B990" s="12" t="s">
        <v>1037</v>
      </c>
      <c r="C990" s="12" t="s">
        <v>539</v>
      </c>
      <c r="D990" s="12"/>
      <c r="E990" s="12">
        <f t="shared" si="196"/>
        <v>19</v>
      </c>
      <c r="F990" s="12" t="s">
        <v>70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12">
        <v>0</v>
      </c>
      <c r="U990" s="12">
        <v>0</v>
      </c>
      <c r="V990" s="12">
        <v>0</v>
      </c>
      <c r="W990" s="12">
        <v>19</v>
      </c>
      <c r="X990" s="12">
        <v>0</v>
      </c>
      <c r="Y990" s="12">
        <v>0</v>
      </c>
      <c r="Z990" s="12">
        <v>0</v>
      </c>
      <c r="AA990" s="12"/>
      <c r="AC990" s="13">
        <f t="shared" si="197"/>
        <v>0</v>
      </c>
      <c r="AL990" s="14">
        <f t="shared" si="198"/>
        <v>0</v>
      </c>
    </row>
    <row r="991" spans="1:38" hidden="1" x14ac:dyDescent="0.25">
      <c r="A991" s="12" t="s">
        <v>86</v>
      </c>
      <c r="B991" s="12" t="s">
        <v>1038</v>
      </c>
      <c r="C991" s="12" t="s">
        <v>539</v>
      </c>
      <c r="D991" s="12"/>
      <c r="E991" s="12">
        <f t="shared" si="196"/>
        <v>18</v>
      </c>
      <c r="F991" s="12" t="str">
        <f>VLOOKUP(B991,[1]lookup!A:B,2,FALSE)</f>
        <v>SaaS</v>
      </c>
      <c r="G991" s="12">
        <v>18</v>
      </c>
      <c r="H991" s="12">
        <v>0</v>
      </c>
      <c r="I991" s="12">
        <v>0</v>
      </c>
      <c r="J991" s="12">
        <v>0</v>
      </c>
      <c r="K991" s="12">
        <v>0</v>
      </c>
      <c r="L991" s="12">
        <v>0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0</v>
      </c>
      <c r="S991" s="12">
        <v>0</v>
      </c>
      <c r="T991" s="12">
        <v>0</v>
      </c>
      <c r="U991" s="12">
        <v>0</v>
      </c>
      <c r="V991" s="12">
        <v>0</v>
      </c>
      <c r="W991" s="12">
        <v>0</v>
      </c>
      <c r="X991" s="12">
        <v>0</v>
      </c>
      <c r="Y991" s="12">
        <v>0</v>
      </c>
      <c r="Z991" s="12">
        <v>0</v>
      </c>
      <c r="AA991" s="12"/>
      <c r="AC991" s="13">
        <f t="shared" si="197"/>
        <v>0</v>
      </c>
      <c r="AL991" s="14">
        <f t="shared" si="198"/>
        <v>0</v>
      </c>
    </row>
    <row r="992" spans="1:38" hidden="1" x14ac:dyDescent="0.25">
      <c r="A992" s="12" t="s">
        <v>51</v>
      </c>
      <c r="B992" s="12" t="s">
        <v>1039</v>
      </c>
      <c r="C992" s="12" t="s">
        <v>539</v>
      </c>
      <c r="D992" s="12"/>
      <c r="E992" s="12">
        <f t="shared" si="196"/>
        <v>18</v>
      </c>
      <c r="F992" s="12" t="s">
        <v>70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  <c r="U992" s="12">
        <v>18</v>
      </c>
      <c r="V992" s="12">
        <v>0</v>
      </c>
      <c r="W992" s="12">
        <v>0</v>
      </c>
      <c r="X992" s="12">
        <v>0</v>
      </c>
      <c r="Y992" s="12">
        <v>0</v>
      </c>
      <c r="Z992" s="12">
        <v>0</v>
      </c>
      <c r="AA992" s="12"/>
      <c r="AC992" s="13">
        <f t="shared" si="197"/>
        <v>0</v>
      </c>
      <c r="AL992" s="14">
        <f t="shared" si="198"/>
        <v>0</v>
      </c>
    </row>
    <row r="993" spans="1:38" hidden="1" x14ac:dyDescent="0.25">
      <c r="A993" s="12" t="s">
        <v>288</v>
      </c>
      <c r="B993" s="12" t="s">
        <v>1040</v>
      </c>
      <c r="C993" s="12" t="s">
        <v>539</v>
      </c>
      <c r="D993" s="12"/>
      <c r="E993" s="12">
        <f t="shared" si="196"/>
        <v>18</v>
      </c>
      <c r="F993" s="12" t="s">
        <v>70</v>
      </c>
      <c r="G993" s="12">
        <v>0</v>
      </c>
      <c r="H993" s="12">
        <v>0</v>
      </c>
      <c r="I993" s="12">
        <v>0</v>
      </c>
      <c r="J993" s="12">
        <v>0</v>
      </c>
      <c r="K993" s="12">
        <v>0</v>
      </c>
      <c r="L993" s="12">
        <v>0</v>
      </c>
      <c r="M993" s="12">
        <v>0</v>
      </c>
      <c r="N993" s="12">
        <v>0</v>
      </c>
      <c r="O993" s="12">
        <v>0</v>
      </c>
      <c r="P993" s="12">
        <v>0</v>
      </c>
      <c r="Q993" s="12">
        <v>0</v>
      </c>
      <c r="R993" s="12">
        <v>0</v>
      </c>
      <c r="S993" s="12">
        <v>0</v>
      </c>
      <c r="T993" s="12">
        <v>0</v>
      </c>
      <c r="U993" s="12">
        <v>18</v>
      </c>
      <c r="V993" s="12">
        <v>0</v>
      </c>
      <c r="W993" s="12">
        <v>0</v>
      </c>
      <c r="X993" s="12">
        <v>0</v>
      </c>
      <c r="Y993" s="12">
        <v>0</v>
      </c>
      <c r="Z993" s="12">
        <v>0</v>
      </c>
      <c r="AA993" s="12"/>
      <c r="AC993" s="13">
        <f t="shared" si="197"/>
        <v>0</v>
      </c>
      <c r="AL993" s="14">
        <f t="shared" si="198"/>
        <v>0</v>
      </c>
    </row>
    <row r="994" spans="1:38" hidden="1" x14ac:dyDescent="0.25">
      <c r="A994" s="12" t="s">
        <v>222</v>
      </c>
      <c r="B994" s="12" t="s">
        <v>1041</v>
      </c>
      <c r="C994" s="12" t="s">
        <v>539</v>
      </c>
      <c r="D994" s="12"/>
      <c r="E994" s="12">
        <f t="shared" si="196"/>
        <v>18</v>
      </c>
      <c r="F994" s="12" t="s">
        <v>70</v>
      </c>
      <c r="G994" s="12">
        <v>0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0</v>
      </c>
      <c r="V994" s="12">
        <v>0</v>
      </c>
      <c r="W994" s="12">
        <v>18</v>
      </c>
      <c r="X994" s="12">
        <v>0</v>
      </c>
      <c r="Y994" s="12">
        <v>0</v>
      </c>
      <c r="Z994" s="12">
        <v>0</v>
      </c>
      <c r="AA994" s="12"/>
      <c r="AC994" s="13">
        <f t="shared" si="197"/>
        <v>0</v>
      </c>
      <c r="AL994" s="14">
        <f t="shared" si="198"/>
        <v>0</v>
      </c>
    </row>
    <row r="995" spans="1:38" hidden="1" x14ac:dyDescent="0.25">
      <c r="A995" s="12" t="s">
        <v>92</v>
      </c>
      <c r="B995" s="12" t="s">
        <v>1042</v>
      </c>
      <c r="C995" s="12" t="s">
        <v>539</v>
      </c>
      <c r="D995" s="12"/>
      <c r="E995" s="12">
        <f t="shared" si="196"/>
        <v>17</v>
      </c>
      <c r="F995" s="12" t="s">
        <v>70</v>
      </c>
      <c r="G995" s="12">
        <v>0</v>
      </c>
      <c r="H995" s="12">
        <v>0</v>
      </c>
      <c r="I995" s="12">
        <v>0</v>
      </c>
      <c r="J995" s="12">
        <v>0</v>
      </c>
      <c r="K995" s="12">
        <v>0</v>
      </c>
      <c r="L995" s="12">
        <v>0</v>
      </c>
      <c r="M995" s="12">
        <v>0</v>
      </c>
      <c r="N995" s="12">
        <v>0</v>
      </c>
      <c r="O995" s="12">
        <v>0</v>
      </c>
      <c r="P995" s="12">
        <v>0</v>
      </c>
      <c r="Q995" s="12">
        <v>0</v>
      </c>
      <c r="R995" s="12">
        <v>0</v>
      </c>
      <c r="S995" s="12">
        <v>0</v>
      </c>
      <c r="T995" s="12">
        <v>0</v>
      </c>
      <c r="U995" s="12">
        <v>0</v>
      </c>
      <c r="V995" s="12">
        <v>0</v>
      </c>
      <c r="W995" s="12">
        <v>17</v>
      </c>
      <c r="X995" s="12">
        <v>0</v>
      </c>
      <c r="Y995" s="12">
        <v>0</v>
      </c>
      <c r="Z995" s="12">
        <v>0</v>
      </c>
      <c r="AA995" s="12"/>
      <c r="AC995" s="13">
        <f t="shared" si="197"/>
        <v>0</v>
      </c>
      <c r="AL995" s="14">
        <f t="shared" si="198"/>
        <v>0</v>
      </c>
    </row>
    <row r="996" spans="1:38" hidden="1" x14ac:dyDescent="0.25">
      <c r="A996" s="12" t="s">
        <v>135</v>
      </c>
      <c r="B996" s="12" t="s">
        <v>1043</v>
      </c>
      <c r="C996" s="12" t="s">
        <v>539</v>
      </c>
      <c r="D996" s="12"/>
      <c r="E996" s="12">
        <f t="shared" si="196"/>
        <v>17</v>
      </c>
      <c r="F996" s="12" t="str">
        <f>VLOOKUP(B996,[1]lookup!A:B,2,FALSE)</f>
        <v>Perpetual</v>
      </c>
      <c r="G996" s="12">
        <v>0</v>
      </c>
      <c r="H996" s="12">
        <v>1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17</v>
      </c>
      <c r="X996" s="12">
        <v>0</v>
      </c>
      <c r="Y996" s="12">
        <v>0</v>
      </c>
      <c r="Z996" s="12">
        <v>0</v>
      </c>
      <c r="AA996" s="12"/>
      <c r="AC996" s="13">
        <f t="shared" si="197"/>
        <v>0</v>
      </c>
      <c r="AK996" s="15">
        <f>H996*AK$2</f>
        <v>120</v>
      </c>
      <c r="AL996" s="14">
        <f t="shared" si="198"/>
        <v>120</v>
      </c>
    </row>
    <row r="997" spans="1:38" hidden="1" x14ac:dyDescent="0.25">
      <c r="A997" s="12" t="s">
        <v>140</v>
      </c>
      <c r="B997" s="12" t="s">
        <v>1044</v>
      </c>
      <c r="C997" s="12" t="s">
        <v>539</v>
      </c>
      <c r="D997" s="12"/>
      <c r="E997" s="12">
        <f t="shared" si="196"/>
        <v>17</v>
      </c>
      <c r="F997" s="12" t="s">
        <v>70</v>
      </c>
      <c r="G997" s="12">
        <v>0</v>
      </c>
      <c r="H997" s="12">
        <v>0</v>
      </c>
      <c r="I997" s="12">
        <v>0</v>
      </c>
      <c r="J997" s="12">
        <v>0</v>
      </c>
      <c r="K997" s="12">
        <v>0</v>
      </c>
      <c r="L997" s="12">
        <v>0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2">
        <v>0</v>
      </c>
      <c r="T997" s="12">
        <v>0</v>
      </c>
      <c r="U997" s="12">
        <v>0</v>
      </c>
      <c r="V997" s="12">
        <v>0</v>
      </c>
      <c r="W997" s="12">
        <v>17</v>
      </c>
      <c r="X997" s="12">
        <v>0</v>
      </c>
      <c r="Y997" s="12">
        <v>0</v>
      </c>
      <c r="Z997" s="12">
        <v>0</v>
      </c>
      <c r="AA997" s="12"/>
      <c r="AC997" s="13">
        <f t="shared" si="197"/>
        <v>0</v>
      </c>
      <c r="AL997" s="14">
        <f t="shared" si="198"/>
        <v>0</v>
      </c>
    </row>
    <row r="998" spans="1:38" hidden="1" x14ac:dyDescent="0.25">
      <c r="A998" s="12" t="s">
        <v>80</v>
      </c>
      <c r="B998" s="12" t="s">
        <v>1045</v>
      </c>
      <c r="C998" s="12" t="s">
        <v>539</v>
      </c>
      <c r="D998" s="12"/>
      <c r="E998" s="12">
        <f t="shared" si="196"/>
        <v>17</v>
      </c>
      <c r="F998" s="12" t="s">
        <v>70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12">
        <v>0</v>
      </c>
      <c r="U998" s="12">
        <v>17</v>
      </c>
      <c r="V998" s="12">
        <v>0</v>
      </c>
      <c r="W998" s="12">
        <v>0</v>
      </c>
      <c r="X998" s="12">
        <v>0</v>
      </c>
      <c r="Y998" s="12">
        <v>0</v>
      </c>
      <c r="Z998" s="12">
        <v>0</v>
      </c>
      <c r="AA998" s="12"/>
      <c r="AC998" s="13">
        <f t="shared" si="197"/>
        <v>0</v>
      </c>
      <c r="AL998" s="14">
        <f t="shared" si="198"/>
        <v>0</v>
      </c>
    </row>
    <row r="999" spans="1:38" hidden="1" x14ac:dyDescent="0.25">
      <c r="A999" s="12" t="s">
        <v>51</v>
      </c>
      <c r="B999" s="12" t="s">
        <v>1046</v>
      </c>
      <c r="C999" s="12" t="s">
        <v>539</v>
      </c>
      <c r="D999" s="12"/>
      <c r="E999" s="12">
        <f t="shared" si="196"/>
        <v>17</v>
      </c>
      <c r="F999" s="12" t="s">
        <v>70</v>
      </c>
      <c r="G999" s="12">
        <v>0</v>
      </c>
      <c r="H999" s="12">
        <v>0</v>
      </c>
      <c r="I999" s="12">
        <v>0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2">
        <v>0</v>
      </c>
      <c r="T999" s="12">
        <v>0</v>
      </c>
      <c r="U999" s="12">
        <v>17</v>
      </c>
      <c r="V999" s="12">
        <v>0</v>
      </c>
      <c r="W999" s="12">
        <v>0</v>
      </c>
      <c r="X999" s="12">
        <v>0</v>
      </c>
      <c r="Y999" s="12">
        <v>0</v>
      </c>
      <c r="Z999" s="12">
        <v>0</v>
      </c>
      <c r="AA999" s="12"/>
      <c r="AC999" s="13">
        <f t="shared" si="197"/>
        <v>0</v>
      </c>
      <c r="AL999" s="14">
        <f t="shared" si="198"/>
        <v>0</v>
      </c>
    </row>
    <row r="1000" spans="1:38" hidden="1" x14ac:dyDescent="0.25">
      <c r="A1000" s="12" t="s">
        <v>51</v>
      </c>
      <c r="B1000" s="12" t="s">
        <v>1047</v>
      </c>
      <c r="C1000" s="12" t="s">
        <v>539</v>
      </c>
      <c r="D1000" s="12"/>
      <c r="E1000" s="12">
        <f t="shared" si="196"/>
        <v>17</v>
      </c>
      <c r="F1000" s="12" t="s">
        <v>70</v>
      </c>
      <c r="G1000" s="12">
        <v>0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12">
        <v>0</v>
      </c>
      <c r="U1000" s="12">
        <v>17</v>
      </c>
      <c r="V1000" s="12">
        <v>0</v>
      </c>
      <c r="W1000" s="12">
        <v>0</v>
      </c>
      <c r="X1000" s="12">
        <v>0</v>
      </c>
      <c r="Y1000" s="12">
        <v>0</v>
      </c>
      <c r="Z1000" s="12">
        <v>0</v>
      </c>
      <c r="AA1000" s="12"/>
      <c r="AC1000" s="13">
        <f t="shared" si="197"/>
        <v>0</v>
      </c>
      <c r="AL1000" s="14">
        <f t="shared" si="198"/>
        <v>0</v>
      </c>
    </row>
    <row r="1001" spans="1:38" hidden="1" x14ac:dyDescent="0.25">
      <c r="A1001" s="12" t="s">
        <v>267</v>
      </c>
      <c r="B1001" s="12" t="s">
        <v>1048</v>
      </c>
      <c r="C1001" s="12" t="s">
        <v>539</v>
      </c>
      <c r="D1001" s="12"/>
      <c r="E1001" s="12">
        <f t="shared" si="196"/>
        <v>17</v>
      </c>
      <c r="F1001" s="12" t="str">
        <f>VLOOKUP(B1001,[1]lookup!A:B,2,FALSE)</f>
        <v>Perpetual</v>
      </c>
      <c r="G1001" s="12">
        <v>0</v>
      </c>
      <c r="H1001" s="12">
        <v>17</v>
      </c>
      <c r="I1001" s="12">
        <v>0</v>
      </c>
      <c r="J1001" s="12">
        <v>0</v>
      </c>
      <c r="K1001" s="12">
        <v>0</v>
      </c>
      <c r="L1001" s="12">
        <v>0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2">
        <v>0</v>
      </c>
      <c r="T1001" s="12">
        <v>0</v>
      </c>
      <c r="U1001" s="12">
        <v>0</v>
      </c>
      <c r="V1001" s="12">
        <v>0</v>
      </c>
      <c r="W1001" s="12">
        <v>0</v>
      </c>
      <c r="X1001" s="12">
        <v>0</v>
      </c>
      <c r="Y1001" s="12">
        <v>0</v>
      </c>
      <c r="Z1001" s="12">
        <v>0</v>
      </c>
      <c r="AA1001" s="12"/>
      <c r="AC1001" s="13">
        <f t="shared" si="197"/>
        <v>0</v>
      </c>
      <c r="AK1001" s="15">
        <f>H1001*AK$2</f>
        <v>2040</v>
      </c>
      <c r="AL1001" s="14">
        <f t="shared" si="198"/>
        <v>2040</v>
      </c>
    </row>
    <row r="1002" spans="1:38" hidden="1" x14ac:dyDescent="0.25">
      <c r="A1002" s="12" t="s">
        <v>178</v>
      </c>
      <c r="B1002" s="12" t="s">
        <v>1049</v>
      </c>
      <c r="C1002" s="12" t="s">
        <v>539</v>
      </c>
      <c r="D1002" s="12"/>
      <c r="E1002" s="12">
        <f t="shared" si="196"/>
        <v>17</v>
      </c>
      <c r="F1002" s="12" t="s">
        <v>70</v>
      </c>
      <c r="G1002" s="12">
        <v>0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12">
        <v>0</v>
      </c>
      <c r="U1002" s="12">
        <v>0</v>
      </c>
      <c r="V1002" s="12">
        <v>0</v>
      </c>
      <c r="W1002" s="12">
        <v>17</v>
      </c>
      <c r="X1002" s="12">
        <v>0</v>
      </c>
      <c r="Y1002" s="12">
        <v>0</v>
      </c>
      <c r="Z1002" s="12">
        <v>0</v>
      </c>
      <c r="AA1002" s="12"/>
      <c r="AC1002" s="13">
        <f t="shared" si="197"/>
        <v>0</v>
      </c>
      <c r="AL1002" s="14">
        <f t="shared" si="198"/>
        <v>0</v>
      </c>
    </row>
    <row r="1003" spans="1:38" hidden="1" x14ac:dyDescent="0.25">
      <c r="A1003" s="12" t="s">
        <v>178</v>
      </c>
      <c r="B1003" s="12" t="s">
        <v>1050</v>
      </c>
      <c r="C1003" s="12" t="s">
        <v>539</v>
      </c>
      <c r="D1003" s="12"/>
      <c r="E1003" s="12">
        <f t="shared" si="196"/>
        <v>17</v>
      </c>
      <c r="F1003" s="12" t="s">
        <v>70</v>
      </c>
      <c r="G1003" s="12">
        <v>0</v>
      </c>
      <c r="H1003" s="12">
        <v>0</v>
      </c>
      <c r="I1003" s="12">
        <v>0</v>
      </c>
      <c r="J1003" s="12">
        <v>0</v>
      </c>
      <c r="K1003" s="12">
        <v>0</v>
      </c>
      <c r="L1003" s="12">
        <v>0</v>
      </c>
      <c r="M1003" s="12">
        <v>0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2">
        <v>0</v>
      </c>
      <c r="T1003" s="12">
        <v>0</v>
      </c>
      <c r="U1003" s="12">
        <v>0</v>
      </c>
      <c r="V1003" s="12">
        <v>0</v>
      </c>
      <c r="W1003" s="12">
        <v>17</v>
      </c>
      <c r="X1003" s="12">
        <v>0</v>
      </c>
      <c r="Y1003" s="12">
        <v>0</v>
      </c>
      <c r="Z1003" s="12">
        <v>0</v>
      </c>
      <c r="AA1003" s="12"/>
      <c r="AC1003" s="13">
        <f t="shared" si="197"/>
        <v>0</v>
      </c>
      <c r="AL1003" s="14">
        <f t="shared" si="198"/>
        <v>0</v>
      </c>
    </row>
    <row r="1004" spans="1:38" hidden="1" x14ac:dyDescent="0.25">
      <c r="A1004" s="12" t="s">
        <v>178</v>
      </c>
      <c r="B1004" s="12" t="s">
        <v>1051</v>
      </c>
      <c r="C1004" s="12" t="s">
        <v>539</v>
      </c>
      <c r="D1004" s="12"/>
      <c r="E1004" s="12">
        <f t="shared" si="196"/>
        <v>17</v>
      </c>
      <c r="F1004" s="12" t="s">
        <v>70</v>
      </c>
      <c r="G1004" s="12">
        <v>0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12">
        <v>0</v>
      </c>
      <c r="U1004" s="12">
        <v>0</v>
      </c>
      <c r="V1004" s="12">
        <v>0</v>
      </c>
      <c r="W1004" s="12">
        <v>17</v>
      </c>
      <c r="X1004" s="12">
        <v>0</v>
      </c>
      <c r="Y1004" s="12">
        <v>0</v>
      </c>
      <c r="Z1004" s="12">
        <v>0</v>
      </c>
      <c r="AA1004" s="12"/>
      <c r="AC1004" s="13">
        <f t="shared" si="197"/>
        <v>0</v>
      </c>
      <c r="AL1004" s="14">
        <f t="shared" si="198"/>
        <v>0</v>
      </c>
    </row>
    <row r="1005" spans="1:38" hidden="1" x14ac:dyDescent="0.25">
      <c r="A1005" s="12" t="s">
        <v>178</v>
      </c>
      <c r="B1005" s="12" t="s">
        <v>1052</v>
      </c>
      <c r="C1005" s="12" t="s">
        <v>539</v>
      </c>
      <c r="D1005" s="12"/>
      <c r="E1005" s="12">
        <f t="shared" si="196"/>
        <v>17</v>
      </c>
      <c r="F1005" s="12" t="s">
        <v>70</v>
      </c>
      <c r="G1005" s="12">
        <v>0</v>
      </c>
      <c r="H1005" s="12">
        <v>0</v>
      </c>
      <c r="I1005" s="12">
        <v>0</v>
      </c>
      <c r="J1005" s="12">
        <v>0</v>
      </c>
      <c r="K1005" s="12">
        <v>0</v>
      </c>
      <c r="L1005" s="12">
        <v>0</v>
      </c>
      <c r="M1005" s="12">
        <v>0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2">
        <v>0</v>
      </c>
      <c r="T1005" s="12">
        <v>0</v>
      </c>
      <c r="U1005" s="12">
        <v>0</v>
      </c>
      <c r="V1005" s="12">
        <v>0</v>
      </c>
      <c r="W1005" s="12">
        <v>17</v>
      </c>
      <c r="X1005" s="12">
        <v>0</v>
      </c>
      <c r="Y1005" s="12">
        <v>0</v>
      </c>
      <c r="Z1005" s="12">
        <v>0</v>
      </c>
      <c r="AA1005" s="12"/>
      <c r="AC1005" s="13">
        <f t="shared" si="197"/>
        <v>0</v>
      </c>
      <c r="AL1005" s="14">
        <f t="shared" si="198"/>
        <v>0</v>
      </c>
    </row>
    <row r="1006" spans="1:38" hidden="1" x14ac:dyDescent="0.25">
      <c r="A1006" s="12" t="s">
        <v>178</v>
      </c>
      <c r="B1006" s="12" t="s">
        <v>1053</v>
      </c>
      <c r="C1006" s="12" t="s">
        <v>539</v>
      </c>
      <c r="D1006" s="12"/>
      <c r="E1006" s="12">
        <f t="shared" si="196"/>
        <v>17</v>
      </c>
      <c r="F1006" s="12" t="s">
        <v>70</v>
      </c>
      <c r="G1006" s="12">
        <v>0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0</v>
      </c>
      <c r="V1006" s="12">
        <v>0</v>
      </c>
      <c r="W1006" s="12">
        <v>17</v>
      </c>
      <c r="X1006" s="12">
        <v>0</v>
      </c>
      <c r="Y1006" s="12">
        <v>0</v>
      </c>
      <c r="Z1006" s="12">
        <v>0</v>
      </c>
      <c r="AA1006" s="12"/>
      <c r="AC1006" s="13">
        <f t="shared" si="197"/>
        <v>0</v>
      </c>
      <c r="AL1006" s="14">
        <f t="shared" si="198"/>
        <v>0</v>
      </c>
    </row>
    <row r="1007" spans="1:38" hidden="1" x14ac:dyDescent="0.25">
      <c r="A1007" s="12" t="s">
        <v>197</v>
      </c>
      <c r="B1007" s="12" t="s">
        <v>1054</v>
      </c>
      <c r="C1007" s="12" t="s">
        <v>539</v>
      </c>
      <c r="D1007" s="12"/>
      <c r="E1007" s="12">
        <f t="shared" si="196"/>
        <v>17</v>
      </c>
      <c r="F1007" s="12" t="s">
        <v>70</v>
      </c>
      <c r="G1007" s="12">
        <v>0</v>
      </c>
      <c r="H1007" s="12">
        <v>0</v>
      </c>
      <c r="I1007" s="12">
        <v>0</v>
      </c>
      <c r="J1007" s="12">
        <v>0</v>
      </c>
      <c r="K1007" s="12">
        <v>0</v>
      </c>
      <c r="L1007" s="12">
        <v>0</v>
      </c>
      <c r="M1007" s="12">
        <v>0</v>
      </c>
      <c r="N1007" s="12">
        <v>0</v>
      </c>
      <c r="O1007" s="12">
        <v>0</v>
      </c>
      <c r="P1007" s="12">
        <v>0</v>
      </c>
      <c r="Q1007" s="12">
        <v>0</v>
      </c>
      <c r="R1007" s="12">
        <v>0</v>
      </c>
      <c r="S1007" s="12">
        <v>0</v>
      </c>
      <c r="T1007" s="12">
        <v>0</v>
      </c>
      <c r="U1007" s="12">
        <v>0</v>
      </c>
      <c r="V1007" s="12">
        <v>0</v>
      </c>
      <c r="W1007" s="12">
        <v>17</v>
      </c>
      <c r="X1007" s="12">
        <v>0</v>
      </c>
      <c r="Y1007" s="12">
        <v>0</v>
      </c>
      <c r="Z1007" s="12">
        <v>0</v>
      </c>
      <c r="AA1007" s="12"/>
      <c r="AC1007" s="13">
        <f t="shared" si="197"/>
        <v>0</v>
      </c>
      <c r="AL1007" s="14">
        <f t="shared" si="198"/>
        <v>0</v>
      </c>
    </row>
    <row r="1008" spans="1:38" hidden="1" x14ac:dyDescent="0.25">
      <c r="A1008" s="12" t="s">
        <v>197</v>
      </c>
      <c r="B1008" s="12" t="s">
        <v>1055</v>
      </c>
      <c r="C1008" s="12" t="s">
        <v>539</v>
      </c>
      <c r="D1008" s="12"/>
      <c r="E1008" s="12">
        <f t="shared" si="196"/>
        <v>17</v>
      </c>
      <c r="F1008" s="12" t="s">
        <v>70</v>
      </c>
      <c r="G1008" s="12">
        <v>0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12">
        <v>0</v>
      </c>
      <c r="U1008" s="12">
        <v>0</v>
      </c>
      <c r="V1008" s="12">
        <v>0</v>
      </c>
      <c r="W1008" s="12">
        <v>17</v>
      </c>
      <c r="X1008" s="12">
        <v>0</v>
      </c>
      <c r="Y1008" s="12">
        <v>0</v>
      </c>
      <c r="Z1008" s="12">
        <v>0</v>
      </c>
      <c r="AA1008" s="12"/>
      <c r="AC1008" s="13">
        <f t="shared" si="197"/>
        <v>0</v>
      </c>
      <c r="AL1008" s="14">
        <f t="shared" si="198"/>
        <v>0</v>
      </c>
    </row>
    <row r="1009" spans="1:38" hidden="1" x14ac:dyDescent="0.25">
      <c r="A1009" s="12" t="s">
        <v>222</v>
      </c>
      <c r="B1009" s="12" t="s">
        <v>1056</v>
      </c>
      <c r="C1009" s="12" t="s">
        <v>539</v>
      </c>
      <c r="D1009" s="12"/>
      <c r="E1009" s="12">
        <f t="shared" si="196"/>
        <v>17</v>
      </c>
      <c r="F1009" s="12" t="s">
        <v>70</v>
      </c>
      <c r="G1009" s="12">
        <v>0</v>
      </c>
      <c r="H1009" s="12">
        <v>0</v>
      </c>
      <c r="I1009" s="12">
        <v>0</v>
      </c>
      <c r="J1009" s="12">
        <v>0</v>
      </c>
      <c r="K1009" s="12">
        <v>0</v>
      </c>
      <c r="L1009" s="12">
        <v>0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2">
        <v>0</v>
      </c>
      <c r="V1009" s="12">
        <v>0</v>
      </c>
      <c r="W1009" s="12">
        <v>17</v>
      </c>
      <c r="X1009" s="12">
        <v>0</v>
      </c>
      <c r="Y1009" s="12">
        <v>0</v>
      </c>
      <c r="Z1009" s="12">
        <v>0</v>
      </c>
      <c r="AA1009" s="12"/>
      <c r="AC1009" s="13">
        <f t="shared" si="197"/>
        <v>0</v>
      </c>
      <c r="AL1009" s="14">
        <f t="shared" si="198"/>
        <v>0</v>
      </c>
    </row>
    <row r="1010" spans="1:38" hidden="1" x14ac:dyDescent="0.25">
      <c r="A1010" s="12" t="s">
        <v>222</v>
      </c>
      <c r="B1010" s="12" t="s">
        <v>1057</v>
      </c>
      <c r="C1010" s="12" t="s">
        <v>539</v>
      </c>
      <c r="D1010" s="12"/>
      <c r="E1010" s="12">
        <f t="shared" si="196"/>
        <v>17</v>
      </c>
      <c r="F1010" s="12" t="s">
        <v>70</v>
      </c>
      <c r="G1010" s="12">
        <v>0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0</v>
      </c>
      <c r="W1010" s="12">
        <v>17</v>
      </c>
      <c r="X1010" s="12">
        <v>0</v>
      </c>
      <c r="Y1010" s="12">
        <v>0</v>
      </c>
      <c r="Z1010" s="12">
        <v>0</v>
      </c>
      <c r="AA1010" s="12"/>
      <c r="AC1010" s="13">
        <f t="shared" si="197"/>
        <v>0</v>
      </c>
      <c r="AL1010" s="14">
        <f t="shared" si="198"/>
        <v>0</v>
      </c>
    </row>
    <row r="1011" spans="1:38" hidden="1" x14ac:dyDescent="0.25">
      <c r="A1011" s="12" t="s">
        <v>222</v>
      </c>
      <c r="B1011" s="12" t="s">
        <v>1058</v>
      </c>
      <c r="C1011" s="12" t="s">
        <v>539</v>
      </c>
      <c r="D1011" s="12"/>
      <c r="E1011" s="12">
        <f t="shared" si="196"/>
        <v>17</v>
      </c>
      <c r="F1011" s="12" t="s">
        <v>70</v>
      </c>
      <c r="G1011" s="12">
        <v>0</v>
      </c>
      <c r="H1011" s="12">
        <v>0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17</v>
      </c>
      <c r="X1011" s="12">
        <v>0</v>
      </c>
      <c r="Y1011" s="12">
        <v>0</v>
      </c>
      <c r="Z1011" s="12">
        <v>0</v>
      </c>
      <c r="AA1011" s="12"/>
      <c r="AC1011" s="13">
        <f t="shared" si="197"/>
        <v>0</v>
      </c>
      <c r="AL1011" s="14">
        <f t="shared" si="198"/>
        <v>0</v>
      </c>
    </row>
    <row r="1012" spans="1:38" hidden="1" x14ac:dyDescent="0.25">
      <c r="A1012" s="12" t="s">
        <v>222</v>
      </c>
      <c r="B1012" s="12" t="s">
        <v>1059</v>
      </c>
      <c r="C1012" s="12" t="s">
        <v>539</v>
      </c>
      <c r="D1012" s="12"/>
      <c r="E1012" s="12">
        <f t="shared" si="196"/>
        <v>17</v>
      </c>
      <c r="F1012" s="12" t="s">
        <v>70</v>
      </c>
      <c r="G1012" s="12">
        <v>0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  <c r="W1012" s="12">
        <v>17</v>
      </c>
      <c r="X1012" s="12">
        <v>0</v>
      </c>
      <c r="Y1012" s="12">
        <v>0</v>
      </c>
      <c r="Z1012" s="12">
        <v>0</v>
      </c>
      <c r="AA1012" s="12"/>
      <c r="AC1012" s="13">
        <f t="shared" si="197"/>
        <v>0</v>
      </c>
      <c r="AL1012" s="14">
        <f t="shared" si="198"/>
        <v>0</v>
      </c>
    </row>
    <row r="1013" spans="1:38" hidden="1" x14ac:dyDescent="0.25">
      <c r="A1013" s="12" t="s">
        <v>222</v>
      </c>
      <c r="B1013" s="12" t="s">
        <v>1060</v>
      </c>
      <c r="C1013" s="12" t="s">
        <v>539</v>
      </c>
      <c r="D1013" s="12"/>
      <c r="E1013" s="12">
        <f t="shared" si="196"/>
        <v>17</v>
      </c>
      <c r="F1013" s="12" t="s">
        <v>70</v>
      </c>
      <c r="G1013" s="12">
        <v>0</v>
      </c>
      <c r="H1013" s="12">
        <v>0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0</v>
      </c>
      <c r="W1013" s="12">
        <v>17</v>
      </c>
      <c r="X1013" s="12">
        <v>0</v>
      </c>
      <c r="Y1013" s="12">
        <v>0</v>
      </c>
      <c r="Z1013" s="12">
        <v>0</v>
      </c>
      <c r="AA1013" s="12"/>
      <c r="AC1013" s="13">
        <f t="shared" si="197"/>
        <v>0</v>
      </c>
      <c r="AL1013" s="14">
        <f t="shared" si="198"/>
        <v>0</v>
      </c>
    </row>
    <row r="1014" spans="1:38" hidden="1" x14ac:dyDescent="0.25">
      <c r="A1014" s="12" t="s">
        <v>222</v>
      </c>
      <c r="B1014" s="12" t="s">
        <v>1061</v>
      </c>
      <c r="C1014" s="12" t="s">
        <v>539</v>
      </c>
      <c r="D1014" s="12"/>
      <c r="E1014" s="12">
        <f t="shared" si="196"/>
        <v>17</v>
      </c>
      <c r="F1014" s="12" t="s">
        <v>70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0</v>
      </c>
      <c r="W1014" s="12">
        <v>17</v>
      </c>
      <c r="X1014" s="12">
        <v>0</v>
      </c>
      <c r="Y1014" s="12">
        <v>0</v>
      </c>
      <c r="Z1014" s="12">
        <v>0</v>
      </c>
      <c r="AA1014" s="12"/>
      <c r="AC1014" s="13">
        <f t="shared" si="197"/>
        <v>0</v>
      </c>
      <c r="AL1014" s="14">
        <f t="shared" si="198"/>
        <v>0</v>
      </c>
    </row>
    <row r="1015" spans="1:38" hidden="1" x14ac:dyDescent="0.25">
      <c r="A1015" s="12" t="s">
        <v>222</v>
      </c>
      <c r="B1015" s="12" t="s">
        <v>1062</v>
      </c>
      <c r="C1015" s="12" t="s">
        <v>539</v>
      </c>
      <c r="D1015" s="12"/>
      <c r="E1015" s="12">
        <f t="shared" si="196"/>
        <v>17</v>
      </c>
      <c r="F1015" s="12" t="s">
        <v>70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0</v>
      </c>
      <c r="V1015" s="12">
        <v>0</v>
      </c>
      <c r="W1015" s="12">
        <v>17</v>
      </c>
      <c r="X1015" s="12">
        <v>0</v>
      </c>
      <c r="Y1015" s="12">
        <v>0</v>
      </c>
      <c r="Z1015" s="12">
        <v>0</v>
      </c>
      <c r="AA1015" s="12"/>
      <c r="AC1015" s="13">
        <f t="shared" si="197"/>
        <v>0</v>
      </c>
      <c r="AL1015" s="14">
        <f t="shared" si="198"/>
        <v>0</v>
      </c>
    </row>
    <row r="1016" spans="1:38" hidden="1" x14ac:dyDescent="0.25">
      <c r="A1016" s="12" t="s">
        <v>222</v>
      </c>
      <c r="B1016" s="12" t="s">
        <v>1063</v>
      </c>
      <c r="C1016" s="12" t="s">
        <v>539</v>
      </c>
      <c r="D1016" s="12"/>
      <c r="E1016" s="12">
        <f t="shared" si="196"/>
        <v>17</v>
      </c>
      <c r="F1016" s="12" t="s">
        <v>70</v>
      </c>
      <c r="G1016" s="12">
        <v>0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0</v>
      </c>
      <c r="W1016" s="12">
        <v>17</v>
      </c>
      <c r="X1016" s="12">
        <v>0</v>
      </c>
      <c r="Y1016" s="12">
        <v>0</v>
      </c>
      <c r="Z1016" s="12">
        <v>0</v>
      </c>
      <c r="AA1016" s="12"/>
      <c r="AC1016" s="13">
        <f t="shared" si="197"/>
        <v>0</v>
      </c>
      <c r="AL1016" s="14">
        <f t="shared" si="198"/>
        <v>0</v>
      </c>
    </row>
    <row r="1017" spans="1:38" hidden="1" x14ac:dyDescent="0.25">
      <c r="A1017" s="12" t="s">
        <v>222</v>
      </c>
      <c r="B1017" s="12" t="s">
        <v>1064</v>
      </c>
      <c r="C1017" s="12" t="s">
        <v>539</v>
      </c>
      <c r="D1017" s="12"/>
      <c r="E1017" s="12">
        <f t="shared" si="196"/>
        <v>17</v>
      </c>
      <c r="F1017" s="12" t="s">
        <v>70</v>
      </c>
      <c r="G1017" s="12">
        <v>0</v>
      </c>
      <c r="H1017" s="12">
        <v>0</v>
      </c>
      <c r="I1017" s="12">
        <v>0</v>
      </c>
      <c r="J1017" s="12">
        <v>0</v>
      </c>
      <c r="K1017" s="12">
        <v>0</v>
      </c>
      <c r="L1017" s="12">
        <v>0</v>
      </c>
      <c r="M1017" s="12">
        <v>0</v>
      </c>
      <c r="N1017" s="12">
        <v>0</v>
      </c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2">
        <v>0</v>
      </c>
      <c r="W1017" s="12">
        <v>17</v>
      </c>
      <c r="X1017" s="12">
        <v>0</v>
      </c>
      <c r="Y1017" s="12">
        <v>0</v>
      </c>
      <c r="Z1017" s="12">
        <v>0</v>
      </c>
      <c r="AA1017" s="12"/>
      <c r="AC1017" s="13">
        <f t="shared" si="197"/>
        <v>0</v>
      </c>
      <c r="AL1017" s="14">
        <f t="shared" si="198"/>
        <v>0</v>
      </c>
    </row>
    <row r="1018" spans="1:38" hidden="1" x14ac:dyDescent="0.25">
      <c r="A1018" s="12" t="s">
        <v>222</v>
      </c>
      <c r="B1018" s="12" t="s">
        <v>1065</v>
      </c>
      <c r="C1018" s="12" t="s">
        <v>539</v>
      </c>
      <c r="D1018" s="12"/>
      <c r="E1018" s="12">
        <f t="shared" si="196"/>
        <v>17</v>
      </c>
      <c r="F1018" s="12" t="s">
        <v>70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0</v>
      </c>
      <c r="W1018" s="12">
        <v>17</v>
      </c>
      <c r="X1018" s="12">
        <v>0</v>
      </c>
      <c r="Y1018" s="12">
        <v>0</v>
      </c>
      <c r="Z1018" s="12">
        <v>0</v>
      </c>
      <c r="AA1018" s="12"/>
      <c r="AC1018" s="13">
        <f t="shared" si="197"/>
        <v>0</v>
      </c>
      <c r="AL1018" s="14">
        <f t="shared" si="198"/>
        <v>0</v>
      </c>
    </row>
    <row r="1019" spans="1:38" hidden="1" x14ac:dyDescent="0.25">
      <c r="A1019" s="12" t="s">
        <v>222</v>
      </c>
      <c r="B1019" s="12" t="s">
        <v>1066</v>
      </c>
      <c r="C1019" s="12" t="s">
        <v>539</v>
      </c>
      <c r="D1019" s="12"/>
      <c r="E1019" s="12">
        <f t="shared" si="196"/>
        <v>17</v>
      </c>
      <c r="F1019" s="12" t="s">
        <v>70</v>
      </c>
      <c r="G1019" s="12">
        <v>0</v>
      </c>
      <c r="H1019" s="12">
        <v>0</v>
      </c>
      <c r="I1019" s="12">
        <v>0</v>
      </c>
      <c r="J1019" s="12">
        <v>0</v>
      </c>
      <c r="K1019" s="12">
        <v>0</v>
      </c>
      <c r="L1019" s="12">
        <v>0</v>
      </c>
      <c r="M1019" s="12">
        <v>0</v>
      </c>
      <c r="N1019" s="12">
        <v>0</v>
      </c>
      <c r="O1019" s="12">
        <v>0</v>
      </c>
      <c r="P1019" s="12">
        <v>0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2">
        <v>0</v>
      </c>
      <c r="W1019" s="12">
        <v>17</v>
      </c>
      <c r="X1019" s="12">
        <v>0</v>
      </c>
      <c r="Y1019" s="12">
        <v>0</v>
      </c>
      <c r="Z1019" s="12">
        <v>0</v>
      </c>
      <c r="AA1019" s="12"/>
      <c r="AC1019" s="13">
        <f t="shared" si="197"/>
        <v>0</v>
      </c>
      <c r="AL1019" s="14">
        <f t="shared" si="198"/>
        <v>0</v>
      </c>
    </row>
    <row r="1020" spans="1:38" hidden="1" x14ac:dyDescent="0.25">
      <c r="A1020" s="12" t="s">
        <v>222</v>
      </c>
      <c r="B1020" s="12" t="s">
        <v>1067</v>
      </c>
      <c r="C1020" s="12" t="s">
        <v>539</v>
      </c>
      <c r="D1020" s="12"/>
      <c r="E1020" s="12">
        <f t="shared" si="196"/>
        <v>17</v>
      </c>
      <c r="F1020" s="12" t="s">
        <v>70</v>
      </c>
      <c r="G1020" s="12">
        <v>0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0</v>
      </c>
      <c r="V1020" s="12">
        <v>0</v>
      </c>
      <c r="W1020" s="12">
        <v>17</v>
      </c>
      <c r="X1020" s="12">
        <v>0</v>
      </c>
      <c r="Y1020" s="12">
        <v>0</v>
      </c>
      <c r="Z1020" s="12">
        <v>0</v>
      </c>
      <c r="AA1020" s="12"/>
      <c r="AC1020" s="13">
        <f t="shared" si="197"/>
        <v>0</v>
      </c>
      <c r="AL1020" s="14">
        <f t="shared" si="198"/>
        <v>0</v>
      </c>
    </row>
    <row r="1021" spans="1:38" hidden="1" x14ac:dyDescent="0.25">
      <c r="A1021" s="12" t="s">
        <v>222</v>
      </c>
      <c r="B1021" s="12" t="s">
        <v>1068</v>
      </c>
      <c r="C1021" s="12" t="s">
        <v>539</v>
      </c>
      <c r="D1021" s="12"/>
      <c r="E1021" s="12">
        <f t="shared" si="196"/>
        <v>17</v>
      </c>
      <c r="F1021" s="12" t="s">
        <v>70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17</v>
      </c>
      <c r="X1021" s="12">
        <v>0</v>
      </c>
      <c r="Y1021" s="12">
        <v>0</v>
      </c>
      <c r="Z1021" s="12">
        <v>0</v>
      </c>
      <c r="AA1021" s="12"/>
      <c r="AC1021" s="13">
        <f t="shared" si="197"/>
        <v>0</v>
      </c>
      <c r="AL1021" s="14">
        <f t="shared" si="198"/>
        <v>0</v>
      </c>
    </row>
    <row r="1022" spans="1:38" hidden="1" x14ac:dyDescent="0.25">
      <c r="A1022" s="12" t="s">
        <v>222</v>
      </c>
      <c r="B1022" s="12" t="s">
        <v>1069</v>
      </c>
      <c r="C1022" s="12" t="s">
        <v>539</v>
      </c>
      <c r="D1022" s="12"/>
      <c r="E1022" s="12">
        <f t="shared" si="196"/>
        <v>17</v>
      </c>
      <c r="F1022" s="12" t="s">
        <v>70</v>
      </c>
      <c r="G1022" s="12">
        <v>0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0</v>
      </c>
      <c r="W1022" s="12">
        <v>17</v>
      </c>
      <c r="X1022" s="12">
        <v>0</v>
      </c>
      <c r="Y1022" s="12">
        <v>0</v>
      </c>
      <c r="Z1022" s="12">
        <v>0</v>
      </c>
      <c r="AA1022" s="12"/>
      <c r="AC1022" s="13">
        <f t="shared" si="197"/>
        <v>0</v>
      </c>
      <c r="AL1022" s="14">
        <f t="shared" si="198"/>
        <v>0</v>
      </c>
    </row>
    <row r="1023" spans="1:38" hidden="1" x14ac:dyDescent="0.25">
      <c r="A1023" s="12" t="s">
        <v>222</v>
      </c>
      <c r="B1023" s="12" t="s">
        <v>1070</v>
      </c>
      <c r="C1023" s="12" t="s">
        <v>539</v>
      </c>
      <c r="D1023" s="12"/>
      <c r="E1023" s="12">
        <f t="shared" si="196"/>
        <v>17</v>
      </c>
      <c r="F1023" s="12" t="s">
        <v>70</v>
      </c>
      <c r="G1023" s="12">
        <v>0</v>
      </c>
      <c r="H1023" s="12">
        <v>0</v>
      </c>
      <c r="I1023" s="12">
        <v>0</v>
      </c>
      <c r="J1023" s="12">
        <v>0</v>
      </c>
      <c r="K1023" s="12">
        <v>0</v>
      </c>
      <c r="L1023" s="12">
        <v>0</v>
      </c>
      <c r="M1023" s="12">
        <v>0</v>
      </c>
      <c r="N1023" s="12">
        <v>0</v>
      </c>
      <c r="O1023" s="12">
        <v>0</v>
      </c>
      <c r="P1023" s="12">
        <v>0</v>
      </c>
      <c r="Q1023" s="12">
        <v>0</v>
      </c>
      <c r="R1023" s="12">
        <v>0</v>
      </c>
      <c r="S1023" s="12">
        <v>0</v>
      </c>
      <c r="T1023" s="12">
        <v>0</v>
      </c>
      <c r="U1023" s="12">
        <v>0</v>
      </c>
      <c r="V1023" s="12">
        <v>0</v>
      </c>
      <c r="W1023" s="12">
        <v>17</v>
      </c>
      <c r="X1023" s="12">
        <v>0</v>
      </c>
      <c r="Y1023" s="12">
        <v>0</v>
      </c>
      <c r="Z1023" s="12">
        <v>0</v>
      </c>
      <c r="AA1023" s="12"/>
      <c r="AC1023" s="13">
        <f t="shared" si="197"/>
        <v>0</v>
      </c>
      <c r="AL1023" s="14">
        <f t="shared" si="198"/>
        <v>0</v>
      </c>
    </row>
    <row r="1024" spans="1:38" hidden="1" x14ac:dyDescent="0.25">
      <c r="A1024" s="12" t="s">
        <v>222</v>
      </c>
      <c r="B1024" s="12" t="s">
        <v>1071</v>
      </c>
      <c r="C1024" s="12" t="s">
        <v>539</v>
      </c>
      <c r="D1024" s="12"/>
      <c r="E1024" s="12">
        <f t="shared" si="196"/>
        <v>17</v>
      </c>
      <c r="F1024" s="12" t="s">
        <v>70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0</v>
      </c>
      <c r="U1024" s="12">
        <v>0</v>
      </c>
      <c r="V1024" s="12">
        <v>0</v>
      </c>
      <c r="W1024" s="12">
        <v>17</v>
      </c>
      <c r="X1024" s="12">
        <v>0</v>
      </c>
      <c r="Y1024" s="12">
        <v>0</v>
      </c>
      <c r="Z1024" s="12">
        <v>0</v>
      </c>
      <c r="AA1024" s="12"/>
      <c r="AC1024" s="13">
        <f t="shared" si="197"/>
        <v>0</v>
      </c>
      <c r="AL1024" s="14">
        <f t="shared" si="198"/>
        <v>0</v>
      </c>
    </row>
    <row r="1025" spans="1:38" hidden="1" x14ac:dyDescent="0.25">
      <c r="A1025" s="12" t="s">
        <v>222</v>
      </c>
      <c r="B1025" s="12" t="s">
        <v>1072</v>
      </c>
      <c r="C1025" s="12" t="s">
        <v>539</v>
      </c>
      <c r="D1025" s="12"/>
      <c r="E1025" s="12">
        <f t="shared" si="196"/>
        <v>17</v>
      </c>
      <c r="F1025" s="12" t="s">
        <v>70</v>
      </c>
      <c r="G1025" s="12">
        <v>0</v>
      </c>
      <c r="H1025" s="12">
        <v>0</v>
      </c>
      <c r="I1025" s="12">
        <v>0</v>
      </c>
      <c r="J1025" s="12">
        <v>0</v>
      </c>
      <c r="K1025" s="12">
        <v>0</v>
      </c>
      <c r="L1025" s="12">
        <v>0</v>
      </c>
      <c r="M1025" s="12">
        <v>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0</v>
      </c>
      <c r="W1025" s="12">
        <v>17</v>
      </c>
      <c r="X1025" s="12">
        <v>0</v>
      </c>
      <c r="Y1025" s="12">
        <v>0</v>
      </c>
      <c r="Z1025" s="12">
        <v>0</v>
      </c>
      <c r="AA1025" s="12"/>
      <c r="AC1025" s="13">
        <f t="shared" si="197"/>
        <v>0</v>
      </c>
      <c r="AL1025" s="14">
        <f t="shared" si="198"/>
        <v>0</v>
      </c>
    </row>
    <row r="1026" spans="1:38" hidden="1" x14ac:dyDescent="0.25">
      <c r="A1026" s="12" t="s">
        <v>435</v>
      </c>
      <c r="B1026" s="12" t="s">
        <v>1062</v>
      </c>
      <c r="C1026" s="12" t="s">
        <v>539</v>
      </c>
      <c r="D1026" s="12"/>
      <c r="E1026" s="12">
        <f t="shared" si="196"/>
        <v>17</v>
      </c>
      <c r="F1026" s="12" t="s">
        <v>70</v>
      </c>
      <c r="G1026" s="12">
        <v>0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0</v>
      </c>
      <c r="V1026" s="12">
        <v>0</v>
      </c>
      <c r="W1026" s="12">
        <v>17</v>
      </c>
      <c r="X1026" s="12">
        <v>0</v>
      </c>
      <c r="Y1026" s="12">
        <v>0</v>
      </c>
      <c r="Z1026" s="12">
        <v>0</v>
      </c>
      <c r="AA1026" s="12"/>
      <c r="AC1026" s="13">
        <f t="shared" si="197"/>
        <v>0</v>
      </c>
      <c r="AL1026" s="14">
        <f t="shared" si="198"/>
        <v>0</v>
      </c>
    </row>
    <row r="1027" spans="1:38" hidden="1" x14ac:dyDescent="0.25">
      <c r="A1027" s="12" t="s">
        <v>435</v>
      </c>
      <c r="B1027" s="12" t="s">
        <v>1070</v>
      </c>
      <c r="C1027" s="12" t="s">
        <v>539</v>
      </c>
      <c r="D1027" s="12"/>
      <c r="E1027" s="12">
        <f t="shared" si="196"/>
        <v>17</v>
      </c>
      <c r="F1027" s="12" t="s">
        <v>70</v>
      </c>
      <c r="G1027" s="12">
        <v>0</v>
      </c>
      <c r="H1027" s="12">
        <v>0</v>
      </c>
      <c r="I1027" s="12">
        <v>0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0</v>
      </c>
      <c r="W1027" s="12">
        <v>17</v>
      </c>
      <c r="X1027" s="12">
        <v>0</v>
      </c>
      <c r="Y1027" s="12">
        <v>0</v>
      </c>
      <c r="Z1027" s="12">
        <v>0</v>
      </c>
      <c r="AA1027" s="12"/>
      <c r="AC1027" s="13">
        <f t="shared" si="197"/>
        <v>0</v>
      </c>
      <c r="AL1027" s="14">
        <f t="shared" si="198"/>
        <v>0</v>
      </c>
    </row>
    <row r="1028" spans="1:38" hidden="1" x14ac:dyDescent="0.25">
      <c r="A1028" s="12" t="s">
        <v>435</v>
      </c>
      <c r="B1028" s="12" t="s">
        <v>1068</v>
      </c>
      <c r="C1028" s="12" t="s">
        <v>539</v>
      </c>
      <c r="D1028" s="12"/>
      <c r="E1028" s="12">
        <f t="shared" si="196"/>
        <v>17</v>
      </c>
      <c r="F1028" s="12" t="s">
        <v>70</v>
      </c>
      <c r="G1028" s="12">
        <v>0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0</v>
      </c>
      <c r="V1028" s="12">
        <v>0</v>
      </c>
      <c r="W1028" s="12">
        <v>17</v>
      </c>
      <c r="X1028" s="12">
        <v>0</v>
      </c>
      <c r="Y1028" s="12">
        <v>0</v>
      </c>
      <c r="Z1028" s="12">
        <v>0</v>
      </c>
      <c r="AA1028" s="12"/>
      <c r="AC1028" s="13">
        <f t="shared" si="197"/>
        <v>0</v>
      </c>
      <c r="AL1028" s="14">
        <f t="shared" si="198"/>
        <v>0</v>
      </c>
    </row>
    <row r="1029" spans="1:38" hidden="1" x14ac:dyDescent="0.25">
      <c r="A1029" s="12" t="s">
        <v>296</v>
      </c>
      <c r="B1029" s="12" t="s">
        <v>1073</v>
      </c>
      <c r="C1029" s="12" t="s">
        <v>539</v>
      </c>
      <c r="D1029" s="12"/>
      <c r="E1029" s="12">
        <f t="shared" ref="E1029:E1092" si="201">MAX(G1029:Z1029)</f>
        <v>17</v>
      </c>
      <c r="F1029" s="12" t="s">
        <v>70</v>
      </c>
      <c r="G1029" s="12">
        <v>0</v>
      </c>
      <c r="H1029" s="12">
        <v>0</v>
      </c>
      <c r="I1029" s="12">
        <v>0</v>
      </c>
      <c r="J1029" s="12">
        <v>0</v>
      </c>
      <c r="K1029" s="12">
        <v>0</v>
      </c>
      <c r="L1029" s="12">
        <v>0</v>
      </c>
      <c r="M1029" s="12">
        <v>0</v>
      </c>
      <c r="N1029" s="12">
        <v>0</v>
      </c>
      <c r="O1029" s="12">
        <v>0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0</v>
      </c>
      <c r="V1029" s="12">
        <v>0</v>
      </c>
      <c r="W1029" s="12">
        <v>17</v>
      </c>
      <c r="X1029" s="12">
        <v>0</v>
      </c>
      <c r="Y1029" s="12">
        <v>0</v>
      </c>
      <c r="Z1029" s="12">
        <v>0</v>
      </c>
      <c r="AA1029" s="12"/>
      <c r="AC1029" s="13">
        <f t="shared" ref="AC1029:AC1092" si="202">M1029*AC$2</f>
        <v>0</v>
      </c>
      <c r="AL1029" s="14">
        <f t="shared" si="198"/>
        <v>0</v>
      </c>
    </row>
    <row r="1030" spans="1:38" hidden="1" x14ac:dyDescent="0.25">
      <c r="A1030" s="12" t="s">
        <v>296</v>
      </c>
      <c r="B1030" s="12" t="s">
        <v>1074</v>
      </c>
      <c r="C1030" s="12" t="s">
        <v>539</v>
      </c>
      <c r="D1030" s="12"/>
      <c r="E1030" s="12">
        <f t="shared" si="201"/>
        <v>17</v>
      </c>
      <c r="F1030" s="12" t="s">
        <v>70</v>
      </c>
      <c r="G1030" s="12">
        <v>0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0</v>
      </c>
      <c r="V1030" s="12">
        <v>0</v>
      </c>
      <c r="W1030" s="12">
        <v>17</v>
      </c>
      <c r="X1030" s="12">
        <v>0</v>
      </c>
      <c r="Y1030" s="12">
        <v>0</v>
      </c>
      <c r="Z1030" s="12">
        <v>0</v>
      </c>
      <c r="AA1030" s="12"/>
      <c r="AC1030" s="13">
        <f t="shared" si="202"/>
        <v>0</v>
      </c>
      <c r="AL1030" s="14">
        <f t="shared" ref="AL1030:AL1093" si="203">SUM(AC1030:AK1030)</f>
        <v>0</v>
      </c>
    </row>
    <row r="1031" spans="1:38" hidden="1" x14ac:dyDescent="0.25">
      <c r="A1031" s="12" t="s">
        <v>296</v>
      </c>
      <c r="B1031" s="12" t="s">
        <v>1075</v>
      </c>
      <c r="C1031" s="12" t="s">
        <v>539</v>
      </c>
      <c r="D1031" s="12"/>
      <c r="E1031" s="12">
        <f t="shared" si="201"/>
        <v>17</v>
      </c>
      <c r="F1031" s="12" t="s">
        <v>70</v>
      </c>
      <c r="G1031" s="12">
        <v>0</v>
      </c>
      <c r="H1031" s="12">
        <v>0</v>
      </c>
      <c r="I1031" s="12">
        <v>0</v>
      </c>
      <c r="J1031" s="12">
        <v>0</v>
      </c>
      <c r="K1031" s="12">
        <v>0</v>
      </c>
      <c r="L1031" s="12">
        <v>0</v>
      </c>
      <c r="M1031" s="12">
        <v>0</v>
      </c>
      <c r="N1031" s="12">
        <v>0</v>
      </c>
      <c r="O1031" s="12">
        <v>0</v>
      </c>
      <c r="P1031" s="12">
        <v>0</v>
      </c>
      <c r="Q1031" s="12">
        <v>0</v>
      </c>
      <c r="R1031" s="12">
        <v>0</v>
      </c>
      <c r="S1031" s="12">
        <v>0</v>
      </c>
      <c r="T1031" s="12">
        <v>0</v>
      </c>
      <c r="U1031" s="12">
        <v>0</v>
      </c>
      <c r="V1031" s="12">
        <v>0</v>
      </c>
      <c r="W1031" s="12">
        <v>17</v>
      </c>
      <c r="X1031" s="12">
        <v>0</v>
      </c>
      <c r="Y1031" s="12">
        <v>0</v>
      </c>
      <c r="Z1031" s="12">
        <v>0</v>
      </c>
      <c r="AA1031" s="12"/>
      <c r="AC1031" s="13">
        <f t="shared" si="202"/>
        <v>0</v>
      </c>
      <c r="AL1031" s="14">
        <f t="shared" si="203"/>
        <v>0</v>
      </c>
    </row>
    <row r="1032" spans="1:38" hidden="1" x14ac:dyDescent="0.25">
      <c r="A1032" s="12" t="s">
        <v>296</v>
      </c>
      <c r="B1032" s="12" t="s">
        <v>1076</v>
      </c>
      <c r="C1032" s="12" t="s">
        <v>539</v>
      </c>
      <c r="D1032" s="12"/>
      <c r="E1032" s="12">
        <f t="shared" si="201"/>
        <v>17</v>
      </c>
      <c r="F1032" s="12" t="s">
        <v>70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2">
        <v>0</v>
      </c>
      <c r="W1032" s="12">
        <v>17</v>
      </c>
      <c r="X1032" s="12">
        <v>0</v>
      </c>
      <c r="Y1032" s="12">
        <v>0</v>
      </c>
      <c r="Z1032" s="12">
        <v>0</v>
      </c>
      <c r="AA1032" s="12"/>
      <c r="AC1032" s="13">
        <f t="shared" si="202"/>
        <v>0</v>
      </c>
      <c r="AL1032" s="14">
        <f t="shared" si="203"/>
        <v>0</v>
      </c>
    </row>
    <row r="1033" spans="1:38" hidden="1" x14ac:dyDescent="0.25">
      <c r="A1033" s="12" t="s">
        <v>86</v>
      </c>
      <c r="B1033" s="12" t="s">
        <v>1077</v>
      </c>
      <c r="C1033" s="12" t="s">
        <v>539</v>
      </c>
      <c r="D1033" s="12"/>
      <c r="E1033" s="12">
        <f t="shared" si="201"/>
        <v>16</v>
      </c>
      <c r="F1033" s="12" t="str">
        <f>VLOOKUP(B1033,[1]lookup!A:B,2,FALSE)</f>
        <v>Perpetual</v>
      </c>
      <c r="G1033" s="12">
        <v>0</v>
      </c>
      <c r="H1033" s="12">
        <v>15</v>
      </c>
      <c r="I1033" s="12">
        <v>16</v>
      </c>
      <c r="J1033" s="12">
        <v>7</v>
      </c>
      <c r="K1033" s="12">
        <v>7</v>
      </c>
      <c r="L1033" s="12">
        <v>0</v>
      </c>
      <c r="M1033" s="12">
        <v>0</v>
      </c>
      <c r="N1033" s="12">
        <v>0</v>
      </c>
      <c r="O1033" s="12">
        <v>7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2">
        <v>0</v>
      </c>
      <c r="V1033" s="12">
        <v>0</v>
      </c>
      <c r="W1033" s="12">
        <v>0</v>
      </c>
      <c r="X1033" s="12">
        <v>0</v>
      </c>
      <c r="Y1033" s="12">
        <v>0</v>
      </c>
      <c r="Z1033" s="12">
        <v>0</v>
      </c>
      <c r="AA1033" s="12"/>
      <c r="AC1033" s="13">
        <f t="shared" si="202"/>
        <v>0</v>
      </c>
      <c r="AL1033" s="14">
        <f t="shared" si="203"/>
        <v>0</v>
      </c>
    </row>
    <row r="1034" spans="1:38" hidden="1" x14ac:dyDescent="0.25">
      <c r="A1034" s="12" t="s">
        <v>140</v>
      </c>
      <c r="B1034" s="12" t="s">
        <v>1078</v>
      </c>
      <c r="C1034" s="12" t="s">
        <v>539</v>
      </c>
      <c r="D1034" s="12"/>
      <c r="E1034" s="12">
        <f t="shared" si="201"/>
        <v>16</v>
      </c>
      <c r="F1034" s="12" t="s">
        <v>70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0</v>
      </c>
      <c r="V1034" s="12">
        <v>0</v>
      </c>
      <c r="W1034" s="12">
        <v>16</v>
      </c>
      <c r="X1034" s="12">
        <v>0</v>
      </c>
      <c r="Y1034" s="12">
        <v>0</v>
      </c>
      <c r="Z1034" s="12">
        <v>0</v>
      </c>
      <c r="AA1034" s="12"/>
      <c r="AC1034" s="13">
        <f t="shared" si="202"/>
        <v>0</v>
      </c>
      <c r="AL1034" s="14">
        <f t="shared" si="203"/>
        <v>0</v>
      </c>
    </row>
    <row r="1035" spans="1:38" hidden="1" x14ac:dyDescent="0.25">
      <c r="A1035" s="12" t="s">
        <v>51</v>
      </c>
      <c r="B1035" s="12" t="s">
        <v>1079</v>
      </c>
      <c r="C1035" s="12" t="s">
        <v>539</v>
      </c>
      <c r="D1035" s="12"/>
      <c r="E1035" s="12">
        <f t="shared" si="201"/>
        <v>16</v>
      </c>
      <c r="F1035" s="12" t="s">
        <v>70</v>
      </c>
      <c r="G1035" s="12">
        <v>0</v>
      </c>
      <c r="H1035" s="12">
        <v>0</v>
      </c>
      <c r="I1035" s="12">
        <v>0</v>
      </c>
      <c r="J1035" s="12">
        <v>0</v>
      </c>
      <c r="K1035" s="12">
        <v>0</v>
      </c>
      <c r="L1035" s="12">
        <v>0</v>
      </c>
      <c r="M1035" s="12">
        <v>0</v>
      </c>
      <c r="N1035" s="12">
        <v>0</v>
      </c>
      <c r="O1035" s="12">
        <v>0</v>
      </c>
      <c r="P1035" s="12">
        <v>0</v>
      </c>
      <c r="Q1035" s="12">
        <v>0</v>
      </c>
      <c r="R1035" s="12">
        <v>0</v>
      </c>
      <c r="S1035" s="12">
        <v>0</v>
      </c>
      <c r="T1035" s="12">
        <v>0</v>
      </c>
      <c r="U1035" s="12">
        <v>16</v>
      </c>
      <c r="V1035" s="12">
        <v>0</v>
      </c>
      <c r="W1035" s="12">
        <v>0</v>
      </c>
      <c r="X1035" s="12">
        <v>0</v>
      </c>
      <c r="Y1035" s="12">
        <v>0</v>
      </c>
      <c r="Z1035" s="12">
        <v>0</v>
      </c>
      <c r="AA1035" s="12"/>
      <c r="AC1035" s="13">
        <f t="shared" si="202"/>
        <v>0</v>
      </c>
      <c r="AL1035" s="14">
        <f t="shared" si="203"/>
        <v>0</v>
      </c>
    </row>
    <row r="1036" spans="1:38" hidden="1" x14ac:dyDescent="0.25">
      <c r="A1036" s="12" t="s">
        <v>51</v>
      </c>
      <c r="B1036" s="12" t="s">
        <v>1080</v>
      </c>
      <c r="C1036" s="12" t="s">
        <v>539</v>
      </c>
      <c r="D1036" s="12"/>
      <c r="E1036" s="12">
        <f t="shared" si="201"/>
        <v>16</v>
      </c>
      <c r="F1036" s="12" t="s">
        <v>70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16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2"/>
      <c r="AC1036" s="13">
        <f t="shared" si="202"/>
        <v>0</v>
      </c>
      <c r="AL1036" s="14">
        <f t="shared" si="203"/>
        <v>0</v>
      </c>
    </row>
    <row r="1037" spans="1:38" hidden="1" x14ac:dyDescent="0.25">
      <c r="A1037" s="12" t="s">
        <v>1081</v>
      </c>
      <c r="B1037" s="12" t="s">
        <v>1082</v>
      </c>
      <c r="C1037" s="12" t="s">
        <v>539</v>
      </c>
      <c r="D1037" s="12"/>
      <c r="E1037" s="12">
        <f t="shared" si="201"/>
        <v>16</v>
      </c>
      <c r="F1037" s="12" t="s">
        <v>70</v>
      </c>
      <c r="G1037" s="12">
        <v>0</v>
      </c>
      <c r="H1037" s="12">
        <v>0</v>
      </c>
      <c r="I1037" s="12">
        <v>0</v>
      </c>
      <c r="J1037" s="12">
        <v>0</v>
      </c>
      <c r="K1037" s="12">
        <v>0</v>
      </c>
      <c r="L1037" s="12">
        <v>0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2">
        <v>0</v>
      </c>
      <c r="T1037" s="12">
        <v>0</v>
      </c>
      <c r="U1037" s="12">
        <v>16</v>
      </c>
      <c r="V1037" s="12">
        <v>0</v>
      </c>
      <c r="W1037" s="12">
        <v>0</v>
      </c>
      <c r="X1037" s="12">
        <v>0</v>
      </c>
      <c r="Y1037" s="12">
        <v>0</v>
      </c>
      <c r="Z1037" s="12">
        <v>0</v>
      </c>
      <c r="AA1037" s="12"/>
      <c r="AC1037" s="13">
        <f t="shared" si="202"/>
        <v>0</v>
      </c>
      <c r="AL1037" s="14">
        <f t="shared" si="203"/>
        <v>0</v>
      </c>
    </row>
    <row r="1038" spans="1:38" hidden="1" x14ac:dyDescent="0.25">
      <c r="A1038" s="12" t="s">
        <v>148</v>
      </c>
      <c r="B1038" s="12" t="s">
        <v>1083</v>
      </c>
      <c r="C1038" s="12" t="s">
        <v>539</v>
      </c>
      <c r="D1038" s="12"/>
      <c r="E1038" s="12">
        <f t="shared" si="201"/>
        <v>16</v>
      </c>
      <c r="F1038" s="12" t="s">
        <v>70</v>
      </c>
      <c r="G1038" s="12">
        <v>0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0</v>
      </c>
      <c r="W1038" s="12">
        <v>16</v>
      </c>
      <c r="X1038" s="12">
        <v>0</v>
      </c>
      <c r="Y1038" s="12">
        <v>0</v>
      </c>
      <c r="Z1038" s="12">
        <v>0</v>
      </c>
      <c r="AA1038" s="12"/>
      <c r="AC1038" s="13">
        <f t="shared" si="202"/>
        <v>0</v>
      </c>
      <c r="AL1038" s="14">
        <f t="shared" si="203"/>
        <v>0</v>
      </c>
    </row>
    <row r="1039" spans="1:38" hidden="1" x14ac:dyDescent="0.25">
      <c r="A1039" s="12" t="s">
        <v>49</v>
      </c>
      <c r="B1039" s="12" t="s">
        <v>1084</v>
      </c>
      <c r="C1039" s="12" t="s">
        <v>539</v>
      </c>
      <c r="D1039" s="12"/>
      <c r="E1039" s="12">
        <f t="shared" si="201"/>
        <v>15</v>
      </c>
      <c r="F1039" s="12" t="s">
        <v>70</v>
      </c>
      <c r="G1039" s="12">
        <v>0</v>
      </c>
      <c r="H1039" s="12">
        <v>0</v>
      </c>
      <c r="I1039" s="12">
        <v>0</v>
      </c>
      <c r="J1039" s="12">
        <v>0</v>
      </c>
      <c r="K1039" s="12">
        <v>0</v>
      </c>
      <c r="L1039" s="12">
        <v>0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2">
        <v>0</v>
      </c>
      <c r="T1039" s="12">
        <v>0</v>
      </c>
      <c r="U1039" s="12">
        <v>15</v>
      </c>
      <c r="V1039" s="12">
        <v>0</v>
      </c>
      <c r="W1039" s="12">
        <v>0</v>
      </c>
      <c r="X1039" s="12">
        <v>0</v>
      </c>
      <c r="Y1039" s="12">
        <v>0</v>
      </c>
      <c r="Z1039" s="12">
        <v>0</v>
      </c>
      <c r="AA1039" s="12"/>
      <c r="AC1039" s="13">
        <f t="shared" si="202"/>
        <v>0</v>
      </c>
      <c r="AL1039" s="14">
        <f t="shared" si="203"/>
        <v>0</v>
      </c>
    </row>
    <row r="1040" spans="1:38" hidden="1" x14ac:dyDescent="0.25">
      <c r="A1040" s="12" t="s">
        <v>51</v>
      </c>
      <c r="B1040" s="12" t="s">
        <v>1085</v>
      </c>
      <c r="C1040" s="12" t="s">
        <v>539</v>
      </c>
      <c r="D1040" s="12"/>
      <c r="E1040" s="12">
        <f t="shared" si="201"/>
        <v>15</v>
      </c>
      <c r="F1040" s="12" t="s">
        <v>70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15</v>
      </c>
      <c r="V1040" s="12">
        <v>0</v>
      </c>
      <c r="W1040" s="12">
        <v>0</v>
      </c>
      <c r="X1040" s="12">
        <v>0</v>
      </c>
      <c r="Y1040" s="12">
        <v>0</v>
      </c>
      <c r="Z1040" s="12">
        <v>0</v>
      </c>
      <c r="AA1040" s="12"/>
      <c r="AC1040" s="13">
        <f t="shared" si="202"/>
        <v>0</v>
      </c>
      <c r="AL1040" s="14">
        <f t="shared" si="203"/>
        <v>0</v>
      </c>
    </row>
    <row r="1041" spans="1:38" hidden="1" x14ac:dyDescent="0.25">
      <c r="A1041" s="12" t="s">
        <v>222</v>
      </c>
      <c r="B1041" s="12" t="s">
        <v>1086</v>
      </c>
      <c r="C1041" s="12" t="s">
        <v>539</v>
      </c>
      <c r="D1041" s="12"/>
      <c r="E1041" s="12">
        <f t="shared" si="201"/>
        <v>15</v>
      </c>
      <c r="F1041" s="12" t="s">
        <v>70</v>
      </c>
      <c r="G1041" s="12">
        <v>0</v>
      </c>
      <c r="H1041" s="12">
        <v>0</v>
      </c>
      <c r="I1041" s="12">
        <v>0</v>
      </c>
      <c r="J1041" s="12">
        <v>0</v>
      </c>
      <c r="K1041" s="12">
        <v>0</v>
      </c>
      <c r="L1041" s="12">
        <v>0</v>
      </c>
      <c r="M1041" s="12">
        <v>0</v>
      </c>
      <c r="N1041" s="12">
        <v>0</v>
      </c>
      <c r="O1041" s="12">
        <v>0</v>
      </c>
      <c r="P1041" s="12">
        <v>0</v>
      </c>
      <c r="Q1041" s="12">
        <v>0</v>
      </c>
      <c r="R1041" s="12">
        <v>0</v>
      </c>
      <c r="S1041" s="12">
        <v>0</v>
      </c>
      <c r="T1041" s="12">
        <v>0</v>
      </c>
      <c r="U1041" s="12">
        <v>0</v>
      </c>
      <c r="V1041" s="12">
        <v>0</v>
      </c>
      <c r="W1041" s="12">
        <v>15</v>
      </c>
      <c r="X1041" s="12">
        <v>0</v>
      </c>
      <c r="Y1041" s="12">
        <v>0</v>
      </c>
      <c r="Z1041" s="12">
        <v>0</v>
      </c>
      <c r="AA1041" s="12"/>
      <c r="AC1041" s="13">
        <f t="shared" si="202"/>
        <v>0</v>
      </c>
      <c r="AL1041" s="14">
        <f t="shared" si="203"/>
        <v>0</v>
      </c>
    </row>
    <row r="1042" spans="1:38" hidden="1" x14ac:dyDescent="0.25">
      <c r="A1042" s="12" t="s">
        <v>199</v>
      </c>
      <c r="B1042" s="12" t="s">
        <v>1087</v>
      </c>
      <c r="C1042" s="12" t="s">
        <v>539</v>
      </c>
      <c r="D1042" s="12"/>
      <c r="E1042" s="12">
        <f t="shared" si="201"/>
        <v>15</v>
      </c>
      <c r="F1042" s="12" t="str">
        <f>VLOOKUP(B1042,[1]lookup!A:B,2,FALSE)</f>
        <v>SaaS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0</v>
      </c>
      <c r="V1042" s="12">
        <v>0</v>
      </c>
      <c r="W1042" s="12">
        <v>0</v>
      </c>
      <c r="X1042" s="12">
        <v>0</v>
      </c>
      <c r="Y1042" s="12">
        <v>0</v>
      </c>
      <c r="Z1042" s="12">
        <v>15</v>
      </c>
      <c r="AA1042" s="12"/>
      <c r="AC1042" s="13">
        <f t="shared" si="202"/>
        <v>0</v>
      </c>
      <c r="AL1042" s="14">
        <f t="shared" si="203"/>
        <v>0</v>
      </c>
    </row>
    <row r="1043" spans="1:38" hidden="1" x14ac:dyDescent="0.25">
      <c r="A1043" s="12" t="s">
        <v>140</v>
      </c>
      <c r="B1043" s="12" t="s">
        <v>1088</v>
      </c>
      <c r="C1043" s="12" t="s">
        <v>539</v>
      </c>
      <c r="D1043" s="12"/>
      <c r="E1043" s="12">
        <f t="shared" si="201"/>
        <v>14</v>
      </c>
      <c r="F1043" s="12" t="s">
        <v>70</v>
      </c>
      <c r="G1043" s="12">
        <v>0</v>
      </c>
      <c r="H1043" s="12">
        <v>0</v>
      </c>
      <c r="I1043" s="12">
        <v>0</v>
      </c>
      <c r="J1043" s="12">
        <v>0</v>
      </c>
      <c r="K1043" s="12">
        <v>0</v>
      </c>
      <c r="L1043" s="12">
        <v>0</v>
      </c>
      <c r="M1043" s="12">
        <v>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  <c r="U1043" s="12">
        <v>0</v>
      </c>
      <c r="V1043" s="12">
        <v>0</v>
      </c>
      <c r="W1043" s="12">
        <v>14</v>
      </c>
      <c r="X1043" s="12">
        <v>0</v>
      </c>
      <c r="Y1043" s="12">
        <v>0</v>
      </c>
      <c r="Z1043" s="12">
        <v>0</v>
      </c>
      <c r="AA1043" s="12"/>
      <c r="AC1043" s="13">
        <f t="shared" si="202"/>
        <v>0</v>
      </c>
      <c r="AL1043" s="14">
        <f t="shared" si="203"/>
        <v>0</v>
      </c>
    </row>
    <row r="1044" spans="1:38" hidden="1" x14ac:dyDescent="0.25">
      <c r="A1044" s="12" t="s">
        <v>140</v>
      </c>
      <c r="B1044" s="12" t="s">
        <v>1089</v>
      </c>
      <c r="C1044" s="12" t="s">
        <v>539</v>
      </c>
      <c r="D1044" s="12"/>
      <c r="E1044" s="12">
        <f t="shared" si="201"/>
        <v>14</v>
      </c>
      <c r="F1044" s="12" t="s">
        <v>70</v>
      </c>
      <c r="G1044" s="12">
        <v>0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12">
        <v>0</v>
      </c>
      <c r="U1044" s="12">
        <v>0</v>
      </c>
      <c r="V1044" s="12">
        <v>0</v>
      </c>
      <c r="W1044" s="12">
        <v>14</v>
      </c>
      <c r="X1044" s="12">
        <v>0</v>
      </c>
      <c r="Y1044" s="12">
        <v>0</v>
      </c>
      <c r="Z1044" s="12">
        <v>0</v>
      </c>
      <c r="AA1044" s="12"/>
      <c r="AC1044" s="13">
        <f t="shared" si="202"/>
        <v>0</v>
      </c>
      <c r="AL1044" s="14">
        <f t="shared" si="203"/>
        <v>0</v>
      </c>
    </row>
    <row r="1045" spans="1:38" hidden="1" x14ac:dyDescent="0.25">
      <c r="A1045" s="12" t="s">
        <v>140</v>
      </c>
      <c r="B1045" s="12" t="s">
        <v>1090</v>
      </c>
      <c r="C1045" s="12" t="s">
        <v>539</v>
      </c>
      <c r="D1045" s="12"/>
      <c r="E1045" s="12">
        <f t="shared" si="201"/>
        <v>14</v>
      </c>
      <c r="F1045" s="12" t="s">
        <v>70</v>
      </c>
      <c r="G1045" s="12">
        <v>0</v>
      </c>
      <c r="H1045" s="12">
        <v>0</v>
      </c>
      <c r="I1045" s="12">
        <v>0</v>
      </c>
      <c r="J1045" s="12">
        <v>0</v>
      </c>
      <c r="K1045" s="12">
        <v>0</v>
      </c>
      <c r="L1045" s="12">
        <v>0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  <c r="U1045" s="12">
        <v>0</v>
      </c>
      <c r="V1045" s="12">
        <v>0</v>
      </c>
      <c r="W1045" s="12">
        <v>14</v>
      </c>
      <c r="X1045" s="12">
        <v>0</v>
      </c>
      <c r="Y1045" s="12">
        <v>0</v>
      </c>
      <c r="Z1045" s="12">
        <v>0</v>
      </c>
      <c r="AA1045" s="12"/>
      <c r="AC1045" s="13">
        <f t="shared" si="202"/>
        <v>0</v>
      </c>
      <c r="AL1045" s="14">
        <f t="shared" si="203"/>
        <v>0</v>
      </c>
    </row>
    <row r="1046" spans="1:38" hidden="1" x14ac:dyDescent="0.25">
      <c r="A1046" s="12" t="s">
        <v>399</v>
      </c>
      <c r="B1046" s="12" t="s">
        <v>1091</v>
      </c>
      <c r="C1046" s="12" t="s">
        <v>539</v>
      </c>
      <c r="D1046" s="12"/>
      <c r="E1046" s="12">
        <f t="shared" si="201"/>
        <v>14</v>
      </c>
      <c r="F1046" s="12" t="str">
        <f>VLOOKUP(B1046,[1]lookup!A:B,2,FALSE)</f>
        <v>Perpetual</v>
      </c>
      <c r="G1046" s="12">
        <v>0</v>
      </c>
      <c r="H1046" s="12">
        <v>14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  <c r="U1046" s="12">
        <v>0</v>
      </c>
      <c r="V1046" s="12">
        <v>0</v>
      </c>
      <c r="W1046" s="12">
        <v>0</v>
      </c>
      <c r="X1046" s="12">
        <v>0</v>
      </c>
      <c r="Y1046" s="12">
        <v>0</v>
      </c>
      <c r="Z1046" s="12">
        <v>0</v>
      </c>
      <c r="AA1046" s="12"/>
      <c r="AC1046" s="13">
        <f t="shared" si="202"/>
        <v>0</v>
      </c>
      <c r="AK1046" s="15">
        <f>H1046*AK$2</f>
        <v>1680</v>
      </c>
      <c r="AL1046" s="14">
        <f t="shared" si="203"/>
        <v>1680</v>
      </c>
    </row>
    <row r="1047" spans="1:38" hidden="1" x14ac:dyDescent="0.25">
      <c r="A1047" s="12" t="s">
        <v>222</v>
      </c>
      <c r="B1047" s="12" t="s">
        <v>1092</v>
      </c>
      <c r="C1047" s="12" t="s">
        <v>539</v>
      </c>
      <c r="D1047" s="12"/>
      <c r="E1047" s="12">
        <f t="shared" si="201"/>
        <v>14</v>
      </c>
      <c r="F1047" s="12" t="s">
        <v>70</v>
      </c>
      <c r="G1047" s="12">
        <v>0</v>
      </c>
      <c r="H1047" s="12">
        <v>0</v>
      </c>
      <c r="I1047" s="12">
        <v>0</v>
      </c>
      <c r="J1047" s="12">
        <v>0</v>
      </c>
      <c r="K1047" s="12">
        <v>0</v>
      </c>
      <c r="L1047" s="12">
        <v>0</v>
      </c>
      <c r="M1047" s="12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  <c r="U1047" s="12">
        <v>0</v>
      </c>
      <c r="V1047" s="12">
        <v>0</v>
      </c>
      <c r="W1047" s="12">
        <v>14</v>
      </c>
      <c r="X1047" s="12">
        <v>0</v>
      </c>
      <c r="Y1047" s="12">
        <v>0</v>
      </c>
      <c r="Z1047" s="12">
        <v>0</v>
      </c>
      <c r="AA1047" s="12"/>
      <c r="AC1047" s="13">
        <f t="shared" si="202"/>
        <v>0</v>
      </c>
      <c r="AL1047" s="14">
        <f t="shared" si="203"/>
        <v>0</v>
      </c>
    </row>
    <row r="1048" spans="1:38" hidden="1" x14ac:dyDescent="0.25">
      <c r="A1048" s="12" t="s">
        <v>148</v>
      </c>
      <c r="B1048" s="12" t="s">
        <v>1093</v>
      </c>
      <c r="C1048" s="12" t="s">
        <v>539</v>
      </c>
      <c r="D1048" s="12"/>
      <c r="E1048" s="12">
        <f t="shared" si="201"/>
        <v>14</v>
      </c>
      <c r="F1048" s="12" t="s">
        <v>70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12">
        <v>0</v>
      </c>
      <c r="U1048" s="12">
        <v>0</v>
      </c>
      <c r="V1048" s="12">
        <v>0</v>
      </c>
      <c r="W1048" s="12">
        <v>14</v>
      </c>
      <c r="X1048" s="12">
        <v>0</v>
      </c>
      <c r="Y1048" s="12">
        <v>0</v>
      </c>
      <c r="Z1048" s="12">
        <v>0</v>
      </c>
      <c r="AA1048" s="12"/>
      <c r="AC1048" s="13">
        <f t="shared" si="202"/>
        <v>0</v>
      </c>
      <c r="AL1048" s="14">
        <f t="shared" si="203"/>
        <v>0</v>
      </c>
    </row>
    <row r="1049" spans="1:38" hidden="1" x14ac:dyDescent="0.25">
      <c r="A1049" s="12" t="s">
        <v>140</v>
      </c>
      <c r="B1049" s="12" t="s">
        <v>1094</v>
      </c>
      <c r="C1049" s="12" t="s">
        <v>539</v>
      </c>
      <c r="D1049" s="12"/>
      <c r="E1049" s="12">
        <f t="shared" si="201"/>
        <v>13</v>
      </c>
      <c r="F1049" s="12" t="s">
        <v>70</v>
      </c>
      <c r="G1049" s="12">
        <v>0</v>
      </c>
      <c r="H1049" s="12">
        <v>0</v>
      </c>
      <c r="I1049" s="12">
        <v>0</v>
      </c>
      <c r="J1049" s="12">
        <v>0</v>
      </c>
      <c r="K1049" s="12">
        <v>0</v>
      </c>
      <c r="L1049" s="12">
        <v>0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2">
        <v>0</v>
      </c>
      <c r="T1049" s="12">
        <v>0</v>
      </c>
      <c r="U1049" s="12">
        <v>0</v>
      </c>
      <c r="V1049" s="12">
        <v>0</v>
      </c>
      <c r="W1049" s="12">
        <v>13</v>
      </c>
      <c r="X1049" s="12">
        <v>0</v>
      </c>
      <c r="Y1049" s="12">
        <v>0</v>
      </c>
      <c r="Z1049" s="12">
        <v>0</v>
      </c>
      <c r="AA1049" s="12"/>
      <c r="AC1049" s="13">
        <f t="shared" si="202"/>
        <v>0</v>
      </c>
      <c r="AL1049" s="14">
        <f t="shared" si="203"/>
        <v>0</v>
      </c>
    </row>
    <row r="1050" spans="1:38" hidden="1" x14ac:dyDescent="0.25">
      <c r="A1050" s="12" t="s">
        <v>140</v>
      </c>
      <c r="B1050" s="12" t="s">
        <v>1095</v>
      </c>
      <c r="C1050" s="12" t="s">
        <v>539</v>
      </c>
      <c r="D1050" s="12"/>
      <c r="E1050" s="12">
        <f t="shared" si="201"/>
        <v>13</v>
      </c>
      <c r="F1050" s="12" t="s">
        <v>70</v>
      </c>
      <c r="G1050" s="12">
        <v>0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2">
        <v>0</v>
      </c>
      <c r="V1050" s="12">
        <v>0</v>
      </c>
      <c r="W1050" s="12">
        <v>13</v>
      </c>
      <c r="X1050" s="12">
        <v>0</v>
      </c>
      <c r="Y1050" s="12">
        <v>0</v>
      </c>
      <c r="Z1050" s="12">
        <v>0</v>
      </c>
      <c r="AA1050" s="12"/>
      <c r="AC1050" s="13">
        <f t="shared" si="202"/>
        <v>0</v>
      </c>
      <c r="AL1050" s="14">
        <f t="shared" si="203"/>
        <v>0</v>
      </c>
    </row>
    <row r="1051" spans="1:38" hidden="1" x14ac:dyDescent="0.25">
      <c r="A1051" s="12" t="s">
        <v>140</v>
      </c>
      <c r="B1051" s="12" t="s">
        <v>1096</v>
      </c>
      <c r="C1051" s="12" t="s">
        <v>539</v>
      </c>
      <c r="D1051" s="12"/>
      <c r="E1051" s="12">
        <f t="shared" si="201"/>
        <v>13</v>
      </c>
      <c r="F1051" s="12" t="s">
        <v>70</v>
      </c>
      <c r="G1051" s="12">
        <v>0</v>
      </c>
      <c r="H1051" s="12">
        <v>0</v>
      </c>
      <c r="I1051" s="12">
        <v>0</v>
      </c>
      <c r="J1051" s="12">
        <v>0</v>
      </c>
      <c r="K1051" s="12">
        <v>0</v>
      </c>
      <c r="L1051" s="12">
        <v>0</v>
      </c>
      <c r="M1051" s="12">
        <v>0</v>
      </c>
      <c r="N1051" s="12">
        <v>0</v>
      </c>
      <c r="O1051" s="12">
        <v>0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0</v>
      </c>
      <c r="V1051" s="12">
        <v>0</v>
      </c>
      <c r="W1051" s="12">
        <v>13</v>
      </c>
      <c r="X1051" s="12">
        <v>0</v>
      </c>
      <c r="Y1051" s="12">
        <v>0</v>
      </c>
      <c r="Z1051" s="12">
        <v>0</v>
      </c>
      <c r="AA1051" s="12"/>
      <c r="AC1051" s="13">
        <f t="shared" si="202"/>
        <v>0</v>
      </c>
      <c r="AL1051" s="14">
        <f t="shared" si="203"/>
        <v>0</v>
      </c>
    </row>
    <row r="1052" spans="1:38" hidden="1" x14ac:dyDescent="0.25">
      <c r="A1052" s="12" t="s">
        <v>399</v>
      </c>
      <c r="B1052" s="12" t="s">
        <v>1097</v>
      </c>
      <c r="C1052" s="12" t="s">
        <v>539</v>
      </c>
      <c r="D1052" s="12"/>
      <c r="E1052" s="12">
        <f t="shared" si="201"/>
        <v>13</v>
      </c>
      <c r="F1052" s="12" t="str">
        <f>VLOOKUP(B1052,[1]lookup!A:B,2,FALSE)</f>
        <v>Perpetual</v>
      </c>
      <c r="G1052" s="12">
        <v>0</v>
      </c>
      <c r="H1052" s="12">
        <v>12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13</v>
      </c>
      <c r="V1052" s="12">
        <v>0</v>
      </c>
      <c r="W1052" s="12">
        <v>0</v>
      </c>
      <c r="X1052" s="12">
        <v>0</v>
      </c>
      <c r="Y1052" s="12">
        <v>0</v>
      </c>
      <c r="Z1052" s="12">
        <v>0</v>
      </c>
      <c r="AA1052" s="12"/>
      <c r="AC1052" s="13">
        <f t="shared" si="202"/>
        <v>0</v>
      </c>
      <c r="AK1052" s="15">
        <f>H1052*AK$2</f>
        <v>1440</v>
      </c>
      <c r="AL1052" s="14">
        <f t="shared" si="203"/>
        <v>1440</v>
      </c>
    </row>
    <row r="1053" spans="1:38" hidden="1" x14ac:dyDescent="0.25">
      <c r="A1053" s="12" t="s">
        <v>80</v>
      </c>
      <c r="B1053" s="12" t="s">
        <v>1098</v>
      </c>
      <c r="C1053" s="12" t="s">
        <v>539</v>
      </c>
      <c r="D1053" s="12"/>
      <c r="E1053" s="12">
        <f t="shared" si="201"/>
        <v>13</v>
      </c>
      <c r="F1053" s="12" t="s">
        <v>70</v>
      </c>
      <c r="G1053" s="12">
        <v>0</v>
      </c>
      <c r="H1053" s="12">
        <v>0</v>
      </c>
      <c r="I1053" s="12">
        <v>0</v>
      </c>
      <c r="J1053" s="12">
        <v>0</v>
      </c>
      <c r="K1053" s="12">
        <v>0</v>
      </c>
      <c r="L1053" s="12">
        <v>0</v>
      </c>
      <c r="M1053" s="12">
        <v>0</v>
      </c>
      <c r="N1053" s="12">
        <v>0</v>
      </c>
      <c r="O1053" s="12">
        <v>0</v>
      </c>
      <c r="P1053" s="12">
        <v>0</v>
      </c>
      <c r="Q1053" s="12">
        <v>0</v>
      </c>
      <c r="R1053" s="12">
        <v>0</v>
      </c>
      <c r="S1053" s="12">
        <v>0</v>
      </c>
      <c r="T1053" s="12">
        <v>0</v>
      </c>
      <c r="U1053" s="12">
        <v>13</v>
      </c>
      <c r="V1053" s="12">
        <v>0</v>
      </c>
      <c r="W1053" s="12">
        <v>0</v>
      </c>
      <c r="X1053" s="12">
        <v>0</v>
      </c>
      <c r="Y1053" s="12">
        <v>0</v>
      </c>
      <c r="Z1053" s="12">
        <v>0</v>
      </c>
      <c r="AA1053" s="12"/>
      <c r="AC1053" s="13">
        <f t="shared" si="202"/>
        <v>0</v>
      </c>
      <c r="AL1053" s="14">
        <f t="shared" si="203"/>
        <v>0</v>
      </c>
    </row>
    <row r="1054" spans="1:38" hidden="1" x14ac:dyDescent="0.25">
      <c r="A1054" s="12" t="s">
        <v>51</v>
      </c>
      <c r="B1054" s="12" t="s">
        <v>1099</v>
      </c>
      <c r="C1054" s="12" t="s">
        <v>539</v>
      </c>
      <c r="D1054" s="12"/>
      <c r="E1054" s="12">
        <f t="shared" si="201"/>
        <v>13</v>
      </c>
      <c r="F1054" s="12" t="s">
        <v>70</v>
      </c>
      <c r="G1054" s="12">
        <v>0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12">
        <v>0</v>
      </c>
      <c r="U1054" s="12">
        <v>13</v>
      </c>
      <c r="V1054" s="12">
        <v>0</v>
      </c>
      <c r="W1054" s="12">
        <v>0</v>
      </c>
      <c r="X1054" s="12">
        <v>0</v>
      </c>
      <c r="Y1054" s="12">
        <v>0</v>
      </c>
      <c r="Z1054" s="12">
        <v>0</v>
      </c>
      <c r="AA1054" s="12"/>
      <c r="AC1054" s="13">
        <f t="shared" si="202"/>
        <v>0</v>
      </c>
      <c r="AL1054" s="14">
        <f t="shared" si="203"/>
        <v>0</v>
      </c>
    </row>
    <row r="1055" spans="1:38" hidden="1" x14ac:dyDescent="0.25">
      <c r="A1055" s="12" t="s">
        <v>178</v>
      </c>
      <c r="B1055" s="12" t="s">
        <v>1100</v>
      </c>
      <c r="C1055" s="12" t="s">
        <v>539</v>
      </c>
      <c r="D1055" s="12"/>
      <c r="E1055" s="12">
        <f t="shared" si="201"/>
        <v>13</v>
      </c>
      <c r="F1055" s="12" t="s">
        <v>70</v>
      </c>
      <c r="G1055" s="12">
        <v>0</v>
      </c>
      <c r="H1055" s="12">
        <v>0</v>
      </c>
      <c r="I1055" s="12">
        <v>0</v>
      </c>
      <c r="J1055" s="12">
        <v>0</v>
      </c>
      <c r="K1055" s="12">
        <v>0</v>
      </c>
      <c r="L1055" s="12">
        <v>0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2">
        <v>0</v>
      </c>
      <c r="T1055" s="12">
        <v>0</v>
      </c>
      <c r="U1055" s="12">
        <v>0</v>
      </c>
      <c r="V1055" s="12">
        <v>0</v>
      </c>
      <c r="W1055" s="12">
        <v>13</v>
      </c>
      <c r="X1055" s="12">
        <v>0</v>
      </c>
      <c r="Y1055" s="12">
        <v>0</v>
      </c>
      <c r="Z1055" s="12">
        <v>0</v>
      </c>
      <c r="AA1055" s="12"/>
      <c r="AC1055" s="13">
        <f t="shared" si="202"/>
        <v>0</v>
      </c>
      <c r="AL1055" s="14">
        <f t="shared" si="203"/>
        <v>0</v>
      </c>
    </row>
    <row r="1056" spans="1:38" hidden="1" x14ac:dyDescent="0.25">
      <c r="A1056" s="12" t="s">
        <v>222</v>
      </c>
      <c r="B1056" s="12" t="s">
        <v>1101</v>
      </c>
      <c r="C1056" s="12" t="s">
        <v>539</v>
      </c>
      <c r="D1056" s="12"/>
      <c r="E1056" s="12">
        <f t="shared" si="201"/>
        <v>13</v>
      </c>
      <c r="F1056" s="12" t="s">
        <v>70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  <c r="U1056" s="12">
        <v>0</v>
      </c>
      <c r="V1056" s="12">
        <v>0</v>
      </c>
      <c r="W1056" s="12">
        <v>13</v>
      </c>
      <c r="X1056" s="12">
        <v>0</v>
      </c>
      <c r="Y1056" s="12">
        <v>0</v>
      </c>
      <c r="Z1056" s="12">
        <v>0</v>
      </c>
      <c r="AA1056" s="12"/>
      <c r="AC1056" s="13">
        <f t="shared" si="202"/>
        <v>0</v>
      </c>
      <c r="AL1056" s="14">
        <f t="shared" si="203"/>
        <v>0</v>
      </c>
    </row>
    <row r="1057" spans="1:38" hidden="1" x14ac:dyDescent="0.25">
      <c r="A1057" s="12" t="s">
        <v>222</v>
      </c>
      <c r="B1057" s="12" t="s">
        <v>1102</v>
      </c>
      <c r="C1057" s="12" t="s">
        <v>539</v>
      </c>
      <c r="D1057" s="12"/>
      <c r="E1057" s="12">
        <f t="shared" si="201"/>
        <v>13</v>
      </c>
      <c r="F1057" s="12" t="s">
        <v>70</v>
      </c>
      <c r="G1057" s="12">
        <v>0</v>
      </c>
      <c r="H1057" s="12">
        <v>0</v>
      </c>
      <c r="I1057" s="12">
        <v>0</v>
      </c>
      <c r="J1057" s="12">
        <v>0</v>
      </c>
      <c r="K1057" s="12">
        <v>0</v>
      </c>
      <c r="L1057" s="12">
        <v>0</v>
      </c>
      <c r="M1057" s="12">
        <v>0</v>
      </c>
      <c r="N1057" s="12">
        <v>0</v>
      </c>
      <c r="O1057" s="12">
        <v>0</v>
      </c>
      <c r="P1057" s="12">
        <v>0</v>
      </c>
      <c r="Q1057" s="12">
        <v>0</v>
      </c>
      <c r="R1057" s="12">
        <v>0</v>
      </c>
      <c r="S1057" s="12">
        <v>0</v>
      </c>
      <c r="T1057" s="12">
        <v>0</v>
      </c>
      <c r="U1057" s="12">
        <v>0</v>
      </c>
      <c r="V1057" s="12">
        <v>0</v>
      </c>
      <c r="W1057" s="12">
        <v>13</v>
      </c>
      <c r="X1057" s="12">
        <v>0</v>
      </c>
      <c r="Y1057" s="12">
        <v>0</v>
      </c>
      <c r="Z1057" s="12">
        <v>0</v>
      </c>
      <c r="AA1057" s="12"/>
      <c r="AC1057" s="13">
        <f t="shared" si="202"/>
        <v>0</v>
      </c>
      <c r="AL1057" s="14">
        <f t="shared" si="203"/>
        <v>0</v>
      </c>
    </row>
    <row r="1058" spans="1:38" hidden="1" x14ac:dyDescent="0.25">
      <c r="A1058" s="12" t="s">
        <v>222</v>
      </c>
      <c r="B1058" s="12" t="s">
        <v>1103</v>
      </c>
      <c r="C1058" s="12" t="s">
        <v>539</v>
      </c>
      <c r="D1058" s="12"/>
      <c r="E1058" s="12">
        <f t="shared" si="201"/>
        <v>13</v>
      </c>
      <c r="F1058" s="12" t="s">
        <v>70</v>
      </c>
      <c r="G1058" s="12">
        <v>0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12">
        <v>0</v>
      </c>
      <c r="U1058" s="12">
        <v>0</v>
      </c>
      <c r="V1058" s="12">
        <v>0</v>
      </c>
      <c r="W1058" s="12">
        <v>13</v>
      </c>
      <c r="X1058" s="12">
        <v>0</v>
      </c>
      <c r="Y1058" s="12">
        <v>0</v>
      </c>
      <c r="Z1058" s="12">
        <v>0</v>
      </c>
      <c r="AA1058" s="12"/>
      <c r="AC1058" s="13">
        <f t="shared" si="202"/>
        <v>0</v>
      </c>
      <c r="AL1058" s="14">
        <f t="shared" si="203"/>
        <v>0</v>
      </c>
    </row>
    <row r="1059" spans="1:38" hidden="1" x14ac:dyDescent="0.25">
      <c r="A1059" s="12" t="s">
        <v>222</v>
      </c>
      <c r="B1059" s="12" t="s">
        <v>1104</v>
      </c>
      <c r="C1059" s="12" t="s">
        <v>539</v>
      </c>
      <c r="D1059" s="12"/>
      <c r="E1059" s="12">
        <f t="shared" si="201"/>
        <v>13</v>
      </c>
      <c r="F1059" s="12" t="s">
        <v>70</v>
      </c>
      <c r="G1059" s="12">
        <v>0</v>
      </c>
      <c r="H1059" s="12">
        <v>0</v>
      </c>
      <c r="I1059" s="12">
        <v>0</v>
      </c>
      <c r="J1059" s="12">
        <v>0</v>
      </c>
      <c r="K1059" s="12">
        <v>0</v>
      </c>
      <c r="L1059" s="12">
        <v>0</v>
      </c>
      <c r="M1059" s="12">
        <v>0</v>
      </c>
      <c r="N1059" s="12">
        <v>0</v>
      </c>
      <c r="O1059" s="12">
        <v>0</v>
      </c>
      <c r="P1059" s="12">
        <v>0</v>
      </c>
      <c r="Q1059" s="12">
        <v>0</v>
      </c>
      <c r="R1059" s="12">
        <v>0</v>
      </c>
      <c r="S1059" s="12">
        <v>0</v>
      </c>
      <c r="T1059" s="12">
        <v>0</v>
      </c>
      <c r="U1059" s="12">
        <v>0</v>
      </c>
      <c r="V1059" s="12">
        <v>0</v>
      </c>
      <c r="W1059" s="12">
        <v>13</v>
      </c>
      <c r="X1059" s="12">
        <v>0</v>
      </c>
      <c r="Y1059" s="12">
        <v>0</v>
      </c>
      <c r="Z1059" s="12">
        <v>0</v>
      </c>
      <c r="AA1059" s="12"/>
      <c r="AC1059" s="13">
        <f t="shared" si="202"/>
        <v>0</v>
      </c>
      <c r="AL1059" s="14">
        <f t="shared" si="203"/>
        <v>0</v>
      </c>
    </row>
    <row r="1060" spans="1:38" hidden="1" x14ac:dyDescent="0.25">
      <c r="A1060" s="12" t="s">
        <v>86</v>
      </c>
      <c r="B1060" s="12" t="s">
        <v>1105</v>
      </c>
      <c r="C1060" s="12" t="s">
        <v>539</v>
      </c>
      <c r="D1060" s="12"/>
      <c r="E1060" s="12">
        <f t="shared" si="201"/>
        <v>12</v>
      </c>
      <c r="F1060" s="12" t="str">
        <f>VLOOKUP(B1060,[1]lookup!A:B,2,FALSE)</f>
        <v>Term</v>
      </c>
      <c r="G1060" s="12">
        <v>0</v>
      </c>
      <c r="H1060" s="12">
        <v>12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0</v>
      </c>
      <c r="U1060" s="12">
        <v>0</v>
      </c>
      <c r="V1060" s="12">
        <v>0</v>
      </c>
      <c r="W1060" s="12">
        <v>0</v>
      </c>
      <c r="X1060" s="12">
        <v>0</v>
      </c>
      <c r="Y1060" s="12">
        <v>0</v>
      </c>
      <c r="Z1060" s="12">
        <v>0</v>
      </c>
      <c r="AA1060" s="12"/>
      <c r="AC1060" s="13">
        <f t="shared" si="202"/>
        <v>0</v>
      </c>
      <c r="AK1060" s="15">
        <f>H1060*AK$2</f>
        <v>1440</v>
      </c>
      <c r="AL1060" s="14">
        <f t="shared" si="203"/>
        <v>1440</v>
      </c>
    </row>
    <row r="1061" spans="1:38" hidden="1" x14ac:dyDescent="0.25">
      <c r="A1061" s="12" t="s">
        <v>140</v>
      </c>
      <c r="B1061" s="12" t="s">
        <v>1106</v>
      </c>
      <c r="C1061" s="12" t="s">
        <v>539</v>
      </c>
      <c r="D1061" s="12"/>
      <c r="E1061" s="12">
        <f t="shared" si="201"/>
        <v>12</v>
      </c>
      <c r="F1061" s="12" t="s">
        <v>70</v>
      </c>
      <c r="G1061" s="12">
        <v>0</v>
      </c>
      <c r="H1061" s="12">
        <v>0</v>
      </c>
      <c r="I1061" s="12">
        <v>0</v>
      </c>
      <c r="J1061" s="12">
        <v>0</v>
      </c>
      <c r="K1061" s="12">
        <v>0</v>
      </c>
      <c r="L1061" s="12">
        <v>0</v>
      </c>
      <c r="M1061" s="12">
        <v>0</v>
      </c>
      <c r="N1061" s="12">
        <v>0</v>
      </c>
      <c r="O1061" s="12">
        <v>0</v>
      </c>
      <c r="P1061" s="12">
        <v>0</v>
      </c>
      <c r="Q1061" s="12">
        <v>0</v>
      </c>
      <c r="R1061" s="12">
        <v>0</v>
      </c>
      <c r="S1061" s="12">
        <v>0</v>
      </c>
      <c r="T1061" s="12">
        <v>0</v>
      </c>
      <c r="U1061" s="12">
        <v>0</v>
      </c>
      <c r="V1061" s="12">
        <v>0</v>
      </c>
      <c r="W1061" s="12">
        <v>12</v>
      </c>
      <c r="X1061" s="12">
        <v>0</v>
      </c>
      <c r="Y1061" s="12">
        <v>0</v>
      </c>
      <c r="Z1061" s="12">
        <v>0</v>
      </c>
      <c r="AA1061" s="12"/>
      <c r="AC1061" s="13">
        <f t="shared" si="202"/>
        <v>0</v>
      </c>
      <c r="AL1061" s="14">
        <f t="shared" si="203"/>
        <v>0</v>
      </c>
    </row>
    <row r="1062" spans="1:38" hidden="1" x14ac:dyDescent="0.25">
      <c r="A1062" s="12" t="s">
        <v>51</v>
      </c>
      <c r="B1062" s="12" t="s">
        <v>1107</v>
      </c>
      <c r="C1062" s="12" t="s">
        <v>539</v>
      </c>
      <c r="D1062" s="12"/>
      <c r="E1062" s="12">
        <f t="shared" si="201"/>
        <v>12</v>
      </c>
      <c r="F1062" s="12" t="s">
        <v>70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  <c r="U1062" s="12">
        <v>12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2"/>
      <c r="AC1062" s="13">
        <f t="shared" si="202"/>
        <v>0</v>
      </c>
      <c r="AL1062" s="14">
        <f t="shared" si="203"/>
        <v>0</v>
      </c>
    </row>
    <row r="1063" spans="1:38" hidden="1" x14ac:dyDescent="0.25">
      <c r="A1063" s="12" t="s">
        <v>222</v>
      </c>
      <c r="B1063" s="12" t="s">
        <v>1108</v>
      </c>
      <c r="C1063" s="12" t="s">
        <v>539</v>
      </c>
      <c r="D1063" s="12"/>
      <c r="E1063" s="12">
        <f t="shared" si="201"/>
        <v>12</v>
      </c>
      <c r="F1063" s="12" t="s">
        <v>70</v>
      </c>
      <c r="G1063" s="12">
        <v>0</v>
      </c>
      <c r="H1063" s="12">
        <v>0</v>
      </c>
      <c r="I1063" s="12">
        <v>0</v>
      </c>
      <c r="J1063" s="12">
        <v>0</v>
      </c>
      <c r="K1063" s="12">
        <v>0</v>
      </c>
      <c r="L1063" s="12">
        <v>0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2">
        <v>0</v>
      </c>
      <c r="V1063" s="12">
        <v>0</v>
      </c>
      <c r="W1063" s="12">
        <v>12</v>
      </c>
      <c r="X1063" s="12">
        <v>0</v>
      </c>
      <c r="Y1063" s="12">
        <v>0</v>
      </c>
      <c r="Z1063" s="12">
        <v>0</v>
      </c>
      <c r="AA1063" s="12"/>
      <c r="AC1063" s="13">
        <f t="shared" si="202"/>
        <v>0</v>
      </c>
      <c r="AL1063" s="14">
        <f t="shared" si="203"/>
        <v>0</v>
      </c>
    </row>
    <row r="1064" spans="1:38" hidden="1" x14ac:dyDescent="0.25">
      <c r="A1064" s="12" t="s">
        <v>86</v>
      </c>
      <c r="B1064" s="12" t="s">
        <v>1109</v>
      </c>
      <c r="C1064" s="12" t="s">
        <v>539</v>
      </c>
      <c r="D1064" s="12"/>
      <c r="E1064" s="12">
        <f t="shared" si="201"/>
        <v>11</v>
      </c>
      <c r="F1064" s="12" t="str">
        <f>VLOOKUP(B1064,[1]lookup!A:B,2,FALSE)</f>
        <v>Term</v>
      </c>
      <c r="G1064" s="12">
        <v>0</v>
      </c>
      <c r="H1064" s="12">
        <v>11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12">
        <v>0</v>
      </c>
      <c r="U1064" s="12">
        <v>0</v>
      </c>
      <c r="V1064" s="12">
        <v>0</v>
      </c>
      <c r="W1064" s="12">
        <v>0</v>
      </c>
      <c r="X1064" s="12">
        <v>0</v>
      </c>
      <c r="Y1064" s="12">
        <v>0</v>
      </c>
      <c r="Z1064" s="12">
        <v>0</v>
      </c>
      <c r="AA1064" s="12"/>
      <c r="AC1064" s="13">
        <f t="shared" si="202"/>
        <v>0</v>
      </c>
      <c r="AK1064" s="15">
        <f>H1064*AK$2</f>
        <v>1320</v>
      </c>
      <c r="AL1064" s="14">
        <f t="shared" si="203"/>
        <v>1320</v>
      </c>
    </row>
    <row r="1065" spans="1:38" hidden="1" x14ac:dyDescent="0.25">
      <c r="A1065" s="12" t="s">
        <v>64</v>
      </c>
      <c r="B1065" s="12" t="s">
        <v>1110</v>
      </c>
      <c r="C1065" s="12" t="s">
        <v>539</v>
      </c>
      <c r="D1065" s="12"/>
      <c r="E1065" s="12">
        <f t="shared" si="201"/>
        <v>11</v>
      </c>
      <c r="F1065" s="12" t="str">
        <f>VLOOKUP(B1065,[1]lookup!A:B,2,FALSE)</f>
        <v>Term</v>
      </c>
      <c r="G1065" s="12">
        <v>0</v>
      </c>
      <c r="H1065" s="12">
        <v>10</v>
      </c>
      <c r="I1065" s="12">
        <v>11</v>
      </c>
      <c r="J1065" s="12">
        <v>0</v>
      </c>
      <c r="K1065" s="12">
        <v>0</v>
      </c>
      <c r="L1065" s="12">
        <v>0</v>
      </c>
      <c r="M1065" s="12">
        <v>0</v>
      </c>
      <c r="N1065" s="12">
        <v>0</v>
      </c>
      <c r="O1065" s="12">
        <v>0</v>
      </c>
      <c r="P1065" s="12">
        <v>0</v>
      </c>
      <c r="Q1065" s="12">
        <v>0</v>
      </c>
      <c r="R1065" s="12">
        <v>0</v>
      </c>
      <c r="S1065" s="12">
        <v>0</v>
      </c>
      <c r="T1065" s="12">
        <v>0</v>
      </c>
      <c r="U1065" s="12">
        <v>0</v>
      </c>
      <c r="V1065" s="12">
        <v>0</v>
      </c>
      <c r="W1065" s="12">
        <v>0</v>
      </c>
      <c r="X1065" s="12">
        <v>0</v>
      </c>
      <c r="Y1065" s="12">
        <v>0</v>
      </c>
      <c r="Z1065" s="12">
        <v>0</v>
      </c>
      <c r="AA1065" s="12"/>
      <c r="AC1065" s="13">
        <f t="shared" si="202"/>
        <v>0</v>
      </c>
      <c r="AL1065" s="14">
        <f t="shared" si="203"/>
        <v>0</v>
      </c>
    </row>
    <row r="1066" spans="1:38" hidden="1" x14ac:dyDescent="0.25">
      <c r="A1066" s="12" t="s">
        <v>46</v>
      </c>
      <c r="B1066" s="12" t="s">
        <v>343</v>
      </c>
      <c r="C1066" s="12" t="s">
        <v>539</v>
      </c>
      <c r="D1066" s="12"/>
      <c r="E1066" s="12">
        <f t="shared" si="201"/>
        <v>11</v>
      </c>
      <c r="F1066" s="12" t="str">
        <f>VLOOKUP(B1066,[1]lookup!A:B,2,FALSE)</f>
        <v>Perpetual</v>
      </c>
      <c r="G1066" s="12">
        <v>0</v>
      </c>
      <c r="H1066" s="12">
        <v>11</v>
      </c>
      <c r="I1066" s="12">
        <v>0</v>
      </c>
      <c r="J1066" s="12">
        <v>0</v>
      </c>
      <c r="K1066" s="12">
        <v>0</v>
      </c>
      <c r="L1066" s="12">
        <v>0</v>
      </c>
      <c r="M1066" s="12">
        <v>11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0</v>
      </c>
      <c r="U1066" s="12">
        <v>0</v>
      </c>
      <c r="V1066" s="12">
        <v>0</v>
      </c>
      <c r="W1066" s="12">
        <v>0</v>
      </c>
      <c r="X1066" s="12">
        <v>0</v>
      </c>
      <c r="Y1066" s="12">
        <v>0</v>
      </c>
      <c r="Z1066" s="12">
        <v>0</v>
      </c>
      <c r="AA1066" s="12"/>
      <c r="AC1066" s="13">
        <f t="shared" si="202"/>
        <v>2640</v>
      </c>
      <c r="AK1066" s="15">
        <f>H1066*AK$2</f>
        <v>1320</v>
      </c>
      <c r="AL1066" s="14">
        <f t="shared" si="203"/>
        <v>3960</v>
      </c>
    </row>
    <row r="1067" spans="1:38" hidden="1" x14ac:dyDescent="0.25">
      <c r="A1067" s="12" t="s">
        <v>92</v>
      </c>
      <c r="B1067" s="12" t="s">
        <v>1111</v>
      </c>
      <c r="C1067" s="12" t="s">
        <v>539</v>
      </c>
      <c r="D1067" s="12"/>
      <c r="E1067" s="12">
        <f t="shared" si="201"/>
        <v>11</v>
      </c>
      <c r="F1067" s="12" t="s">
        <v>70</v>
      </c>
      <c r="G1067" s="12">
        <v>0</v>
      </c>
      <c r="H1067" s="12">
        <v>0</v>
      </c>
      <c r="I1067" s="12">
        <v>0</v>
      </c>
      <c r="J1067" s="12">
        <v>0</v>
      </c>
      <c r="K1067" s="12">
        <v>0</v>
      </c>
      <c r="L1067" s="12">
        <v>0</v>
      </c>
      <c r="M1067" s="12">
        <v>0</v>
      </c>
      <c r="N1067" s="12">
        <v>0</v>
      </c>
      <c r="O1067" s="12">
        <v>0</v>
      </c>
      <c r="P1067" s="12">
        <v>0</v>
      </c>
      <c r="Q1067" s="12">
        <v>0</v>
      </c>
      <c r="R1067" s="12">
        <v>0</v>
      </c>
      <c r="S1067" s="12">
        <v>0</v>
      </c>
      <c r="T1067" s="12">
        <v>0</v>
      </c>
      <c r="U1067" s="12">
        <v>0</v>
      </c>
      <c r="V1067" s="12">
        <v>0</v>
      </c>
      <c r="W1067" s="12">
        <v>11</v>
      </c>
      <c r="X1067" s="12">
        <v>0</v>
      </c>
      <c r="Y1067" s="12">
        <v>0</v>
      </c>
      <c r="Z1067" s="12">
        <v>0</v>
      </c>
      <c r="AA1067" s="12"/>
      <c r="AC1067" s="13">
        <f t="shared" si="202"/>
        <v>0</v>
      </c>
      <c r="AL1067" s="14">
        <f t="shared" si="203"/>
        <v>0</v>
      </c>
    </row>
    <row r="1068" spans="1:38" hidden="1" x14ac:dyDescent="0.25">
      <c r="A1068" s="12" t="s">
        <v>135</v>
      </c>
      <c r="B1068" s="12" t="s">
        <v>1112</v>
      </c>
      <c r="C1068" s="12" t="s">
        <v>539</v>
      </c>
      <c r="D1068" s="12"/>
      <c r="E1068" s="12">
        <f t="shared" si="201"/>
        <v>11</v>
      </c>
      <c r="F1068" s="12" t="s">
        <v>70</v>
      </c>
      <c r="G1068" s="12">
        <v>0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  <c r="U1068" s="12">
        <v>0</v>
      </c>
      <c r="V1068" s="12">
        <v>0</v>
      </c>
      <c r="W1068" s="12">
        <v>11</v>
      </c>
      <c r="X1068" s="12">
        <v>0</v>
      </c>
      <c r="Y1068" s="12">
        <v>0</v>
      </c>
      <c r="Z1068" s="12">
        <v>0</v>
      </c>
      <c r="AA1068" s="12"/>
      <c r="AC1068" s="13">
        <f t="shared" si="202"/>
        <v>0</v>
      </c>
      <c r="AL1068" s="14">
        <f t="shared" si="203"/>
        <v>0</v>
      </c>
    </row>
    <row r="1069" spans="1:38" hidden="1" x14ac:dyDescent="0.25">
      <c r="A1069" s="12" t="s">
        <v>135</v>
      </c>
      <c r="B1069" s="12" t="s">
        <v>1113</v>
      </c>
      <c r="C1069" s="12" t="s">
        <v>539</v>
      </c>
      <c r="D1069" s="12"/>
      <c r="E1069" s="12">
        <f t="shared" si="201"/>
        <v>11</v>
      </c>
      <c r="F1069" s="12" t="s">
        <v>70</v>
      </c>
      <c r="G1069" s="12">
        <v>0</v>
      </c>
      <c r="H1069" s="12">
        <v>0</v>
      </c>
      <c r="I1069" s="12">
        <v>0</v>
      </c>
      <c r="J1069" s="12">
        <v>0</v>
      </c>
      <c r="K1069" s="12">
        <v>0</v>
      </c>
      <c r="L1069" s="12">
        <v>0</v>
      </c>
      <c r="M1069" s="12">
        <v>0</v>
      </c>
      <c r="N1069" s="12">
        <v>0</v>
      </c>
      <c r="O1069" s="12">
        <v>0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  <c r="U1069" s="12">
        <v>0</v>
      </c>
      <c r="V1069" s="12">
        <v>0</v>
      </c>
      <c r="W1069" s="12">
        <v>11</v>
      </c>
      <c r="X1069" s="12">
        <v>0</v>
      </c>
      <c r="Y1069" s="12">
        <v>0</v>
      </c>
      <c r="Z1069" s="12">
        <v>0</v>
      </c>
      <c r="AA1069" s="12"/>
      <c r="AC1069" s="13">
        <f t="shared" si="202"/>
        <v>0</v>
      </c>
      <c r="AL1069" s="14">
        <f t="shared" si="203"/>
        <v>0</v>
      </c>
    </row>
    <row r="1070" spans="1:38" hidden="1" x14ac:dyDescent="0.25">
      <c r="A1070" s="12" t="s">
        <v>140</v>
      </c>
      <c r="B1070" s="12" t="s">
        <v>1114</v>
      </c>
      <c r="C1070" s="12" t="s">
        <v>539</v>
      </c>
      <c r="D1070" s="12"/>
      <c r="E1070" s="12">
        <f t="shared" si="201"/>
        <v>11</v>
      </c>
      <c r="F1070" s="12" t="s">
        <v>70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0</v>
      </c>
      <c r="V1070" s="12">
        <v>0</v>
      </c>
      <c r="W1070" s="12">
        <v>11</v>
      </c>
      <c r="X1070" s="12">
        <v>0</v>
      </c>
      <c r="Y1070" s="12">
        <v>0</v>
      </c>
      <c r="Z1070" s="12">
        <v>0</v>
      </c>
      <c r="AA1070" s="12"/>
      <c r="AC1070" s="13">
        <f t="shared" si="202"/>
        <v>0</v>
      </c>
      <c r="AL1070" s="14">
        <f t="shared" si="203"/>
        <v>0</v>
      </c>
    </row>
    <row r="1071" spans="1:38" hidden="1" x14ac:dyDescent="0.25">
      <c r="A1071" s="12" t="s">
        <v>140</v>
      </c>
      <c r="B1071" s="12" t="s">
        <v>1115</v>
      </c>
      <c r="C1071" s="12" t="s">
        <v>539</v>
      </c>
      <c r="D1071" s="12"/>
      <c r="E1071" s="12">
        <f t="shared" si="201"/>
        <v>11</v>
      </c>
      <c r="F1071" s="12" t="s">
        <v>70</v>
      </c>
      <c r="G1071" s="12">
        <v>0</v>
      </c>
      <c r="H1071" s="12">
        <v>0</v>
      </c>
      <c r="I1071" s="12">
        <v>0</v>
      </c>
      <c r="J1071" s="12">
        <v>0</v>
      </c>
      <c r="K1071" s="12">
        <v>0</v>
      </c>
      <c r="L1071" s="12">
        <v>0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2">
        <v>0</v>
      </c>
      <c r="T1071" s="12">
        <v>0</v>
      </c>
      <c r="U1071" s="12">
        <v>0</v>
      </c>
      <c r="V1071" s="12">
        <v>0</v>
      </c>
      <c r="W1071" s="12">
        <v>11</v>
      </c>
      <c r="X1071" s="12">
        <v>0</v>
      </c>
      <c r="Y1071" s="12">
        <v>0</v>
      </c>
      <c r="Z1071" s="12">
        <v>0</v>
      </c>
      <c r="AA1071" s="12"/>
      <c r="AC1071" s="13">
        <f t="shared" si="202"/>
        <v>0</v>
      </c>
      <c r="AL1071" s="14">
        <f t="shared" si="203"/>
        <v>0</v>
      </c>
    </row>
    <row r="1072" spans="1:38" hidden="1" x14ac:dyDescent="0.25">
      <c r="A1072" s="12" t="s">
        <v>51</v>
      </c>
      <c r="B1072" s="12" t="s">
        <v>1116</v>
      </c>
      <c r="C1072" s="12" t="s">
        <v>539</v>
      </c>
      <c r="D1072" s="12"/>
      <c r="E1072" s="12">
        <f t="shared" si="201"/>
        <v>11</v>
      </c>
      <c r="F1072" s="12" t="s">
        <v>70</v>
      </c>
      <c r="G1072" s="12">
        <v>0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12">
        <v>0</v>
      </c>
      <c r="U1072" s="12">
        <v>11</v>
      </c>
      <c r="V1072" s="12">
        <v>0</v>
      </c>
      <c r="W1072" s="12">
        <v>0</v>
      </c>
      <c r="X1072" s="12">
        <v>0</v>
      </c>
      <c r="Y1072" s="12">
        <v>0</v>
      </c>
      <c r="Z1072" s="12">
        <v>0</v>
      </c>
      <c r="AA1072" s="12"/>
      <c r="AC1072" s="13">
        <f t="shared" si="202"/>
        <v>0</v>
      </c>
      <c r="AL1072" s="14">
        <f t="shared" si="203"/>
        <v>0</v>
      </c>
    </row>
    <row r="1073" spans="1:38" hidden="1" x14ac:dyDescent="0.25">
      <c r="A1073" s="12" t="s">
        <v>51</v>
      </c>
      <c r="B1073" s="12" t="s">
        <v>1117</v>
      </c>
      <c r="C1073" s="12" t="s">
        <v>539</v>
      </c>
      <c r="D1073" s="12"/>
      <c r="E1073" s="12">
        <f t="shared" si="201"/>
        <v>11</v>
      </c>
      <c r="F1073" s="12" t="s">
        <v>70</v>
      </c>
      <c r="G1073" s="12">
        <v>0</v>
      </c>
      <c r="H1073" s="12">
        <v>0</v>
      </c>
      <c r="I1073" s="12">
        <v>0</v>
      </c>
      <c r="J1073" s="12">
        <v>0</v>
      </c>
      <c r="K1073" s="12">
        <v>0</v>
      </c>
      <c r="L1073" s="12">
        <v>0</v>
      </c>
      <c r="M1073" s="12">
        <v>0</v>
      </c>
      <c r="N1073" s="12">
        <v>0</v>
      </c>
      <c r="O1073" s="12">
        <v>0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  <c r="U1073" s="12">
        <v>11</v>
      </c>
      <c r="V1073" s="12">
        <v>0</v>
      </c>
      <c r="W1073" s="12">
        <v>0</v>
      </c>
      <c r="X1073" s="12">
        <v>0</v>
      </c>
      <c r="Y1073" s="12">
        <v>0</v>
      </c>
      <c r="Z1073" s="12">
        <v>0</v>
      </c>
      <c r="AA1073" s="12"/>
      <c r="AC1073" s="13">
        <f t="shared" si="202"/>
        <v>0</v>
      </c>
      <c r="AL1073" s="14">
        <f t="shared" si="203"/>
        <v>0</v>
      </c>
    </row>
    <row r="1074" spans="1:38" hidden="1" x14ac:dyDescent="0.25">
      <c r="A1074" s="12" t="s">
        <v>51</v>
      </c>
      <c r="B1074" s="12" t="s">
        <v>1118</v>
      </c>
      <c r="C1074" s="12" t="s">
        <v>539</v>
      </c>
      <c r="D1074" s="12"/>
      <c r="E1074" s="12">
        <f t="shared" si="201"/>
        <v>11</v>
      </c>
      <c r="F1074" s="12" t="s">
        <v>70</v>
      </c>
      <c r="G1074" s="12">
        <v>0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12">
        <v>0</v>
      </c>
      <c r="U1074" s="12">
        <v>11</v>
      </c>
      <c r="V1074" s="12">
        <v>0</v>
      </c>
      <c r="W1074" s="12">
        <v>0</v>
      </c>
      <c r="X1074" s="12">
        <v>0</v>
      </c>
      <c r="Y1074" s="12">
        <v>0</v>
      </c>
      <c r="Z1074" s="12">
        <v>0</v>
      </c>
      <c r="AA1074" s="12"/>
      <c r="AC1074" s="13">
        <f t="shared" si="202"/>
        <v>0</v>
      </c>
      <c r="AL1074" s="14">
        <f t="shared" si="203"/>
        <v>0</v>
      </c>
    </row>
    <row r="1075" spans="1:38" hidden="1" x14ac:dyDescent="0.25">
      <c r="A1075" s="12" t="s">
        <v>1119</v>
      </c>
      <c r="B1075" s="12" t="s">
        <v>1120</v>
      </c>
      <c r="C1075" s="12" t="s">
        <v>539</v>
      </c>
      <c r="D1075" s="12"/>
      <c r="E1075" s="12">
        <f t="shared" si="201"/>
        <v>11</v>
      </c>
      <c r="F1075" s="12" t="s">
        <v>70</v>
      </c>
      <c r="G1075" s="12">
        <v>0</v>
      </c>
      <c r="H1075" s="12">
        <v>0</v>
      </c>
      <c r="I1075" s="12">
        <v>0</v>
      </c>
      <c r="J1075" s="12">
        <v>0</v>
      </c>
      <c r="K1075" s="12">
        <v>0</v>
      </c>
      <c r="L1075" s="12">
        <v>0</v>
      </c>
      <c r="M1075" s="12">
        <v>0</v>
      </c>
      <c r="N1075" s="12">
        <v>0</v>
      </c>
      <c r="O1075" s="12">
        <v>0</v>
      </c>
      <c r="P1075" s="12">
        <v>0</v>
      </c>
      <c r="Q1075" s="12">
        <v>0</v>
      </c>
      <c r="R1075" s="12">
        <v>0</v>
      </c>
      <c r="S1075" s="12">
        <v>0</v>
      </c>
      <c r="T1075" s="12">
        <v>0</v>
      </c>
      <c r="U1075" s="12">
        <v>0</v>
      </c>
      <c r="V1075" s="12">
        <v>11</v>
      </c>
      <c r="W1075" s="12">
        <v>0</v>
      </c>
      <c r="X1075" s="12">
        <v>0</v>
      </c>
      <c r="Y1075" s="12">
        <v>0</v>
      </c>
      <c r="Z1075" s="12">
        <v>0</v>
      </c>
      <c r="AA1075" s="12"/>
      <c r="AC1075" s="13">
        <f t="shared" si="202"/>
        <v>0</v>
      </c>
      <c r="AL1075" s="14">
        <f t="shared" si="203"/>
        <v>0</v>
      </c>
    </row>
    <row r="1076" spans="1:38" hidden="1" x14ac:dyDescent="0.25">
      <c r="A1076" s="12" t="s">
        <v>148</v>
      </c>
      <c r="B1076" s="12" t="s">
        <v>1121</v>
      </c>
      <c r="C1076" s="12" t="s">
        <v>539</v>
      </c>
      <c r="D1076" s="12"/>
      <c r="E1076" s="12">
        <f t="shared" si="201"/>
        <v>11</v>
      </c>
      <c r="F1076" s="12" t="s">
        <v>70</v>
      </c>
      <c r="G1076" s="12">
        <v>0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12">
        <v>0</v>
      </c>
      <c r="U1076" s="12">
        <v>0</v>
      </c>
      <c r="V1076" s="12">
        <v>0</v>
      </c>
      <c r="W1076" s="12">
        <v>11</v>
      </c>
      <c r="X1076" s="12">
        <v>0</v>
      </c>
      <c r="Y1076" s="12">
        <v>0</v>
      </c>
      <c r="Z1076" s="12">
        <v>0</v>
      </c>
      <c r="AA1076" s="12"/>
      <c r="AC1076" s="13">
        <f t="shared" si="202"/>
        <v>0</v>
      </c>
      <c r="AL1076" s="14">
        <f t="shared" si="203"/>
        <v>0</v>
      </c>
    </row>
    <row r="1077" spans="1:38" hidden="1" x14ac:dyDescent="0.25">
      <c r="A1077" s="12" t="s">
        <v>86</v>
      </c>
      <c r="B1077" s="12" t="s">
        <v>1122</v>
      </c>
      <c r="C1077" s="12" t="s">
        <v>539</v>
      </c>
      <c r="D1077" s="12"/>
      <c r="E1077" s="12">
        <f t="shared" si="201"/>
        <v>10</v>
      </c>
      <c r="F1077" s="12" t="str">
        <f>VLOOKUP(B1077,[1]lookup!A:B,2,FALSE)</f>
        <v>Perpetual</v>
      </c>
      <c r="G1077" s="12">
        <v>0</v>
      </c>
      <c r="H1077" s="12">
        <v>10</v>
      </c>
      <c r="I1077" s="12">
        <v>10</v>
      </c>
      <c r="J1077" s="12">
        <v>0</v>
      </c>
      <c r="K1077" s="12">
        <v>0</v>
      </c>
      <c r="L1077" s="12">
        <v>0</v>
      </c>
      <c r="M1077" s="12">
        <v>0</v>
      </c>
      <c r="N1077" s="12">
        <v>0</v>
      </c>
      <c r="O1077" s="12">
        <v>0</v>
      </c>
      <c r="P1077" s="12">
        <v>0</v>
      </c>
      <c r="Q1077" s="12">
        <v>0</v>
      </c>
      <c r="R1077" s="12">
        <v>0</v>
      </c>
      <c r="S1077" s="12">
        <v>0</v>
      </c>
      <c r="T1077" s="12">
        <v>0</v>
      </c>
      <c r="U1077" s="12">
        <v>0</v>
      </c>
      <c r="V1077" s="12">
        <v>0</v>
      </c>
      <c r="W1077" s="12">
        <v>0</v>
      </c>
      <c r="X1077" s="12">
        <v>0</v>
      </c>
      <c r="Y1077" s="12">
        <v>0</v>
      </c>
      <c r="Z1077" s="12">
        <v>0</v>
      </c>
      <c r="AA1077" s="12"/>
      <c r="AC1077" s="13">
        <f t="shared" si="202"/>
        <v>0</v>
      </c>
      <c r="AL1077" s="14">
        <f t="shared" si="203"/>
        <v>0</v>
      </c>
    </row>
    <row r="1078" spans="1:38" hidden="1" x14ac:dyDescent="0.25">
      <c r="A1078" s="12" t="s">
        <v>86</v>
      </c>
      <c r="B1078" s="12" t="s">
        <v>1123</v>
      </c>
      <c r="C1078" s="12" t="s">
        <v>539</v>
      </c>
      <c r="D1078" s="12"/>
      <c r="E1078" s="12">
        <f t="shared" si="201"/>
        <v>10</v>
      </c>
      <c r="F1078" s="12" t="str">
        <f>VLOOKUP(B1078,[1]lookup!A:B,2,FALSE)</f>
        <v>Perpetual</v>
      </c>
      <c r="G1078" s="12">
        <v>0</v>
      </c>
      <c r="H1078" s="12">
        <v>10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12">
        <v>0</v>
      </c>
      <c r="U1078" s="12">
        <v>0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12"/>
      <c r="AC1078" s="13">
        <f t="shared" si="202"/>
        <v>0</v>
      </c>
      <c r="AK1078" s="15">
        <f t="shared" ref="AK1078:AK1080" si="204">H1078*AK$2</f>
        <v>1200</v>
      </c>
      <c r="AL1078" s="14">
        <f t="shared" si="203"/>
        <v>1200</v>
      </c>
    </row>
    <row r="1079" spans="1:38" hidden="1" x14ac:dyDescent="0.25">
      <c r="A1079" s="12" t="s">
        <v>86</v>
      </c>
      <c r="B1079" s="12" t="s">
        <v>1124</v>
      </c>
      <c r="C1079" s="12" t="s">
        <v>539</v>
      </c>
      <c r="D1079" s="12"/>
      <c r="E1079" s="12">
        <f t="shared" si="201"/>
        <v>10</v>
      </c>
      <c r="F1079" s="12" t="str">
        <f>VLOOKUP(B1079,[1]lookup!A:B,2,FALSE)</f>
        <v>Term</v>
      </c>
      <c r="G1079" s="12">
        <v>0</v>
      </c>
      <c r="H1079" s="12">
        <v>10</v>
      </c>
      <c r="I1079" s="12">
        <v>0</v>
      </c>
      <c r="J1079" s="12">
        <v>0</v>
      </c>
      <c r="K1079" s="12">
        <v>0</v>
      </c>
      <c r="L1079" s="12">
        <v>0</v>
      </c>
      <c r="M1079" s="12">
        <v>0</v>
      </c>
      <c r="N1079" s="12">
        <v>0</v>
      </c>
      <c r="O1079" s="12">
        <v>0</v>
      </c>
      <c r="P1079" s="12">
        <v>0</v>
      </c>
      <c r="Q1079" s="12">
        <v>0</v>
      </c>
      <c r="R1079" s="12">
        <v>0</v>
      </c>
      <c r="S1079" s="12">
        <v>0</v>
      </c>
      <c r="T1079" s="12">
        <v>0</v>
      </c>
      <c r="U1079" s="12">
        <v>0</v>
      </c>
      <c r="V1079" s="12">
        <v>0</v>
      </c>
      <c r="W1079" s="12">
        <v>0</v>
      </c>
      <c r="X1079" s="12">
        <v>0</v>
      </c>
      <c r="Y1079" s="12">
        <v>0</v>
      </c>
      <c r="Z1079" s="12">
        <v>0</v>
      </c>
      <c r="AA1079" s="12"/>
      <c r="AC1079" s="13">
        <f t="shared" si="202"/>
        <v>0</v>
      </c>
      <c r="AK1079" s="15">
        <f t="shared" si="204"/>
        <v>1200</v>
      </c>
      <c r="AL1079" s="14">
        <f t="shared" si="203"/>
        <v>1200</v>
      </c>
    </row>
    <row r="1080" spans="1:38" hidden="1" x14ac:dyDescent="0.25">
      <c r="A1080" s="12" t="s">
        <v>86</v>
      </c>
      <c r="B1080" s="12" t="s">
        <v>1125</v>
      </c>
      <c r="C1080" s="12" t="s">
        <v>539</v>
      </c>
      <c r="D1080" s="12"/>
      <c r="E1080" s="12">
        <f t="shared" si="201"/>
        <v>10</v>
      </c>
      <c r="F1080" s="12" t="str">
        <f>VLOOKUP(B1080,[1]lookup!A:B,2,FALSE)</f>
        <v>Term</v>
      </c>
      <c r="G1080" s="12">
        <v>0</v>
      </c>
      <c r="H1080" s="12">
        <v>10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12">
        <v>0</v>
      </c>
      <c r="U1080" s="12">
        <v>0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12"/>
      <c r="AC1080" s="13">
        <f t="shared" si="202"/>
        <v>0</v>
      </c>
      <c r="AK1080" s="15">
        <f t="shared" si="204"/>
        <v>1200</v>
      </c>
      <c r="AL1080" s="14">
        <f t="shared" si="203"/>
        <v>1200</v>
      </c>
    </row>
    <row r="1081" spans="1:38" hidden="1" x14ac:dyDescent="0.25">
      <c r="A1081" s="12" t="s">
        <v>60</v>
      </c>
      <c r="B1081" s="12" t="s">
        <v>1126</v>
      </c>
      <c r="C1081" s="12" t="s">
        <v>539</v>
      </c>
      <c r="D1081" s="12"/>
      <c r="E1081" s="12">
        <f t="shared" si="201"/>
        <v>10</v>
      </c>
      <c r="F1081" s="12" t="str">
        <f>VLOOKUP(B1081,[1]lookup!A:B,2,FALSE)</f>
        <v>Term</v>
      </c>
      <c r="G1081" s="12">
        <v>0</v>
      </c>
      <c r="H1081" s="12">
        <v>0</v>
      </c>
      <c r="I1081" s="12">
        <v>2</v>
      </c>
      <c r="J1081" s="12">
        <v>10</v>
      </c>
      <c r="K1081" s="12">
        <v>0</v>
      </c>
      <c r="L1081" s="12">
        <v>0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  <c r="R1081" s="12">
        <v>0</v>
      </c>
      <c r="S1081" s="12">
        <v>0</v>
      </c>
      <c r="T1081" s="12">
        <v>0</v>
      </c>
      <c r="U1081" s="12">
        <v>0</v>
      </c>
      <c r="V1081" s="12">
        <v>0</v>
      </c>
      <c r="W1081" s="12">
        <v>0</v>
      </c>
      <c r="X1081" s="12">
        <v>0</v>
      </c>
      <c r="Y1081" s="12">
        <v>0</v>
      </c>
      <c r="Z1081" s="12">
        <v>0</v>
      </c>
      <c r="AA1081" s="12"/>
      <c r="AC1081" s="13">
        <f t="shared" si="202"/>
        <v>0</v>
      </c>
      <c r="AD1081" s="13">
        <f>J1081*AD$2</f>
        <v>2400</v>
      </c>
      <c r="AE1081" s="13">
        <f>J1081*AE$2</f>
        <v>1200</v>
      </c>
      <c r="AL1081" s="14">
        <f t="shared" si="203"/>
        <v>3600</v>
      </c>
    </row>
    <row r="1082" spans="1:38" hidden="1" x14ac:dyDescent="0.25">
      <c r="A1082" s="12" t="s">
        <v>399</v>
      </c>
      <c r="B1082" s="12" t="s">
        <v>1127</v>
      </c>
      <c r="C1082" s="12" t="s">
        <v>539</v>
      </c>
      <c r="D1082" s="12"/>
      <c r="E1082" s="12">
        <f t="shared" si="201"/>
        <v>10</v>
      </c>
      <c r="F1082" s="12" t="str">
        <f>VLOOKUP(B1082,[1]lookup!A:B,2,FALSE)</f>
        <v>Perpetual</v>
      </c>
      <c r="G1082" s="12">
        <v>0</v>
      </c>
      <c r="H1082" s="12">
        <v>10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12">
        <v>0</v>
      </c>
      <c r="U1082" s="12">
        <v>0</v>
      </c>
      <c r="V1082" s="12">
        <v>0</v>
      </c>
      <c r="W1082" s="12">
        <v>0</v>
      </c>
      <c r="X1082" s="12">
        <v>0</v>
      </c>
      <c r="Y1082" s="12">
        <v>0</v>
      </c>
      <c r="Z1082" s="12">
        <v>0</v>
      </c>
      <c r="AA1082" s="12"/>
      <c r="AC1082" s="13">
        <f t="shared" si="202"/>
        <v>0</v>
      </c>
      <c r="AK1082" s="15">
        <f>H1082*AK$2</f>
        <v>1200</v>
      </c>
      <c r="AL1082" s="14">
        <f t="shared" si="203"/>
        <v>1200</v>
      </c>
    </row>
    <row r="1083" spans="1:38" hidden="1" x14ac:dyDescent="0.25">
      <c r="A1083" s="12" t="s">
        <v>51</v>
      </c>
      <c r="B1083" s="12" t="s">
        <v>1128</v>
      </c>
      <c r="C1083" s="12" t="s">
        <v>539</v>
      </c>
      <c r="D1083" s="12"/>
      <c r="E1083" s="12">
        <f t="shared" si="201"/>
        <v>10</v>
      </c>
      <c r="F1083" s="12" t="s">
        <v>70</v>
      </c>
      <c r="G1083" s="12">
        <v>0</v>
      </c>
      <c r="H1083" s="12">
        <v>0</v>
      </c>
      <c r="I1083" s="12">
        <v>0</v>
      </c>
      <c r="J1083" s="12">
        <v>0</v>
      </c>
      <c r="K1083" s="12">
        <v>0</v>
      </c>
      <c r="L1083" s="12">
        <v>0</v>
      </c>
      <c r="M1083" s="12">
        <v>0</v>
      </c>
      <c r="N1083" s="12">
        <v>0</v>
      </c>
      <c r="O1083" s="12">
        <v>0</v>
      </c>
      <c r="P1083" s="12">
        <v>0</v>
      </c>
      <c r="Q1083" s="12">
        <v>0</v>
      </c>
      <c r="R1083" s="12">
        <v>0</v>
      </c>
      <c r="S1083" s="12">
        <v>0</v>
      </c>
      <c r="T1083" s="12">
        <v>0</v>
      </c>
      <c r="U1083" s="12">
        <v>10</v>
      </c>
      <c r="V1083" s="12">
        <v>0</v>
      </c>
      <c r="W1083" s="12">
        <v>0</v>
      </c>
      <c r="X1083" s="12">
        <v>0</v>
      </c>
      <c r="Y1083" s="12">
        <v>0</v>
      </c>
      <c r="Z1083" s="12">
        <v>0</v>
      </c>
      <c r="AA1083" s="12"/>
      <c r="AC1083" s="13">
        <f t="shared" si="202"/>
        <v>0</v>
      </c>
      <c r="AL1083" s="14">
        <f t="shared" si="203"/>
        <v>0</v>
      </c>
    </row>
    <row r="1084" spans="1:38" hidden="1" x14ac:dyDescent="0.25">
      <c r="A1084" s="12" t="s">
        <v>51</v>
      </c>
      <c r="B1084" s="12" t="s">
        <v>1129</v>
      </c>
      <c r="C1084" s="12" t="s">
        <v>539</v>
      </c>
      <c r="D1084" s="12"/>
      <c r="E1084" s="12">
        <f t="shared" si="201"/>
        <v>10</v>
      </c>
      <c r="F1084" s="12" t="s">
        <v>70</v>
      </c>
      <c r="G1084" s="12">
        <v>0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12">
        <v>0</v>
      </c>
      <c r="U1084" s="12">
        <v>10</v>
      </c>
      <c r="V1084" s="12">
        <v>0</v>
      </c>
      <c r="W1084" s="12">
        <v>0</v>
      </c>
      <c r="X1084" s="12">
        <v>0</v>
      </c>
      <c r="Y1084" s="12">
        <v>0</v>
      </c>
      <c r="Z1084" s="12">
        <v>0</v>
      </c>
      <c r="AA1084" s="12"/>
      <c r="AC1084" s="13">
        <f t="shared" si="202"/>
        <v>0</v>
      </c>
      <c r="AL1084" s="14">
        <f t="shared" si="203"/>
        <v>0</v>
      </c>
    </row>
    <row r="1085" spans="1:38" hidden="1" x14ac:dyDescent="0.25">
      <c r="A1085" s="12" t="s">
        <v>51</v>
      </c>
      <c r="B1085" s="12" t="s">
        <v>1130</v>
      </c>
      <c r="C1085" s="12" t="s">
        <v>539</v>
      </c>
      <c r="D1085" s="12"/>
      <c r="E1085" s="12">
        <f t="shared" si="201"/>
        <v>10</v>
      </c>
      <c r="F1085" s="12" t="s">
        <v>70</v>
      </c>
      <c r="G1085" s="12">
        <v>0</v>
      </c>
      <c r="H1085" s="12">
        <v>0</v>
      </c>
      <c r="I1085" s="12">
        <v>0</v>
      </c>
      <c r="J1085" s="12">
        <v>0</v>
      </c>
      <c r="K1085" s="12">
        <v>0</v>
      </c>
      <c r="L1085" s="12">
        <v>0</v>
      </c>
      <c r="M1085" s="12">
        <v>0</v>
      </c>
      <c r="N1085" s="12">
        <v>0</v>
      </c>
      <c r="O1085" s="12">
        <v>0</v>
      </c>
      <c r="P1085" s="12">
        <v>0</v>
      </c>
      <c r="Q1085" s="12">
        <v>0</v>
      </c>
      <c r="R1085" s="12">
        <v>0</v>
      </c>
      <c r="S1085" s="12">
        <v>0</v>
      </c>
      <c r="T1085" s="12">
        <v>0</v>
      </c>
      <c r="U1085" s="12">
        <v>10</v>
      </c>
      <c r="V1085" s="12">
        <v>0</v>
      </c>
      <c r="W1085" s="12">
        <v>0</v>
      </c>
      <c r="X1085" s="12">
        <v>0</v>
      </c>
      <c r="Y1085" s="12">
        <v>0</v>
      </c>
      <c r="Z1085" s="12">
        <v>0</v>
      </c>
      <c r="AA1085" s="12"/>
      <c r="AC1085" s="13">
        <f t="shared" si="202"/>
        <v>0</v>
      </c>
      <c r="AL1085" s="14">
        <f t="shared" si="203"/>
        <v>0</v>
      </c>
    </row>
    <row r="1086" spans="1:38" hidden="1" x14ac:dyDescent="0.25">
      <c r="A1086" s="12" t="s">
        <v>51</v>
      </c>
      <c r="B1086" s="12" t="s">
        <v>1131</v>
      </c>
      <c r="C1086" s="12" t="s">
        <v>539</v>
      </c>
      <c r="D1086" s="12"/>
      <c r="E1086" s="12">
        <f t="shared" si="201"/>
        <v>10</v>
      </c>
      <c r="F1086" s="12" t="s">
        <v>70</v>
      </c>
      <c r="G1086" s="12">
        <v>0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12">
        <v>0</v>
      </c>
      <c r="U1086" s="12">
        <v>10</v>
      </c>
      <c r="V1086" s="12">
        <v>0</v>
      </c>
      <c r="W1086" s="12">
        <v>0</v>
      </c>
      <c r="X1086" s="12">
        <v>0</v>
      </c>
      <c r="Y1086" s="12">
        <v>0</v>
      </c>
      <c r="Z1086" s="12">
        <v>0</v>
      </c>
      <c r="AA1086" s="12"/>
      <c r="AC1086" s="13">
        <f t="shared" si="202"/>
        <v>0</v>
      </c>
      <c r="AL1086" s="14">
        <f t="shared" si="203"/>
        <v>0</v>
      </c>
    </row>
    <row r="1087" spans="1:38" hidden="1" x14ac:dyDescent="0.25">
      <c r="A1087" s="12" t="s">
        <v>267</v>
      </c>
      <c r="B1087" s="12" t="s">
        <v>1132</v>
      </c>
      <c r="C1087" s="12" t="s">
        <v>539</v>
      </c>
      <c r="D1087" s="12"/>
      <c r="E1087" s="12">
        <f t="shared" si="201"/>
        <v>10</v>
      </c>
      <c r="F1087" s="12" t="s">
        <v>70</v>
      </c>
      <c r="G1087" s="12">
        <v>0</v>
      </c>
      <c r="H1087" s="12">
        <v>0</v>
      </c>
      <c r="I1087" s="12">
        <v>0</v>
      </c>
      <c r="J1087" s="12">
        <v>0</v>
      </c>
      <c r="K1087" s="12">
        <v>0</v>
      </c>
      <c r="L1087" s="12">
        <v>0</v>
      </c>
      <c r="M1087" s="12">
        <v>0</v>
      </c>
      <c r="N1087" s="12">
        <v>0</v>
      </c>
      <c r="O1087" s="12">
        <v>0</v>
      </c>
      <c r="P1087" s="12">
        <v>0</v>
      </c>
      <c r="Q1087" s="12">
        <v>0</v>
      </c>
      <c r="R1087" s="12">
        <v>0</v>
      </c>
      <c r="S1087" s="12">
        <v>0</v>
      </c>
      <c r="T1087" s="12">
        <v>0</v>
      </c>
      <c r="U1087" s="12">
        <v>0</v>
      </c>
      <c r="V1087" s="12">
        <v>0</v>
      </c>
      <c r="W1087" s="12">
        <v>10</v>
      </c>
      <c r="X1087" s="12">
        <v>0</v>
      </c>
      <c r="Y1087" s="12">
        <v>0</v>
      </c>
      <c r="Z1087" s="12">
        <v>0</v>
      </c>
      <c r="AA1087" s="12"/>
      <c r="AC1087" s="13">
        <f t="shared" si="202"/>
        <v>0</v>
      </c>
      <c r="AL1087" s="14">
        <f t="shared" si="203"/>
        <v>0</v>
      </c>
    </row>
    <row r="1088" spans="1:38" hidden="1" x14ac:dyDescent="0.25">
      <c r="A1088" s="12" t="s">
        <v>178</v>
      </c>
      <c r="B1088" s="12" t="s">
        <v>1133</v>
      </c>
      <c r="C1088" s="12" t="s">
        <v>539</v>
      </c>
      <c r="D1088" s="12"/>
      <c r="E1088" s="12">
        <f t="shared" si="201"/>
        <v>10</v>
      </c>
      <c r="F1088" s="12" t="s">
        <v>70</v>
      </c>
      <c r="G1088" s="12">
        <v>0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12">
        <v>0</v>
      </c>
      <c r="U1088" s="12">
        <v>0</v>
      </c>
      <c r="V1088" s="12">
        <v>0</v>
      </c>
      <c r="W1088" s="12">
        <v>10</v>
      </c>
      <c r="X1088" s="12">
        <v>0</v>
      </c>
      <c r="Y1088" s="12">
        <v>0</v>
      </c>
      <c r="Z1088" s="12">
        <v>0</v>
      </c>
      <c r="AA1088" s="12"/>
      <c r="AC1088" s="13">
        <f t="shared" si="202"/>
        <v>0</v>
      </c>
      <c r="AL1088" s="14">
        <f t="shared" si="203"/>
        <v>0</v>
      </c>
    </row>
    <row r="1089" spans="1:38" hidden="1" x14ac:dyDescent="0.25">
      <c r="A1089" s="12" t="s">
        <v>148</v>
      </c>
      <c r="B1089" s="12" t="s">
        <v>1132</v>
      </c>
      <c r="C1089" s="12" t="s">
        <v>539</v>
      </c>
      <c r="D1089" s="12"/>
      <c r="E1089" s="12">
        <f t="shared" si="201"/>
        <v>10</v>
      </c>
      <c r="F1089" s="12" t="s">
        <v>70</v>
      </c>
      <c r="G1089" s="12">
        <v>0</v>
      </c>
      <c r="H1089" s="12">
        <v>0</v>
      </c>
      <c r="I1089" s="12">
        <v>0</v>
      </c>
      <c r="J1089" s="12">
        <v>0</v>
      </c>
      <c r="K1089" s="12">
        <v>0</v>
      </c>
      <c r="L1089" s="12">
        <v>0</v>
      </c>
      <c r="M1089" s="12">
        <v>0</v>
      </c>
      <c r="N1089" s="12">
        <v>0</v>
      </c>
      <c r="O1089" s="12">
        <v>0</v>
      </c>
      <c r="P1089" s="12">
        <v>0</v>
      </c>
      <c r="Q1089" s="12">
        <v>0</v>
      </c>
      <c r="R1089" s="12">
        <v>0</v>
      </c>
      <c r="S1089" s="12">
        <v>0</v>
      </c>
      <c r="T1089" s="12">
        <v>0</v>
      </c>
      <c r="U1089" s="12">
        <v>0</v>
      </c>
      <c r="V1089" s="12">
        <v>0</v>
      </c>
      <c r="W1089" s="12">
        <v>10</v>
      </c>
      <c r="X1089" s="12">
        <v>0</v>
      </c>
      <c r="Y1089" s="12">
        <v>0</v>
      </c>
      <c r="Z1089" s="12">
        <v>0</v>
      </c>
      <c r="AA1089" s="12"/>
      <c r="AC1089" s="13">
        <f t="shared" si="202"/>
        <v>0</v>
      </c>
      <c r="AL1089" s="14">
        <f t="shared" si="203"/>
        <v>0</v>
      </c>
    </row>
    <row r="1090" spans="1:38" hidden="1" x14ac:dyDescent="0.25">
      <c r="A1090" s="12" t="s">
        <v>630</v>
      </c>
      <c r="B1090" s="12" t="s">
        <v>143</v>
      </c>
      <c r="C1090" s="12" t="s">
        <v>539</v>
      </c>
      <c r="D1090" s="12"/>
      <c r="E1090" s="12">
        <f t="shared" si="201"/>
        <v>10</v>
      </c>
      <c r="F1090" s="12" t="str">
        <f>VLOOKUP(B1090,[1]lookup!A:B,2,FALSE)</f>
        <v>Term</v>
      </c>
      <c r="G1090" s="12">
        <v>0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12">
        <v>0</v>
      </c>
      <c r="U1090" s="12">
        <v>10</v>
      </c>
      <c r="V1090" s="12">
        <v>0</v>
      </c>
      <c r="W1090" s="12">
        <v>0</v>
      </c>
      <c r="X1090" s="12">
        <v>0</v>
      </c>
      <c r="Y1090" s="12">
        <v>0</v>
      </c>
      <c r="Z1090" s="12">
        <v>0</v>
      </c>
      <c r="AA1090" s="12"/>
      <c r="AC1090" s="13">
        <f t="shared" si="202"/>
        <v>0</v>
      </c>
      <c r="AL1090" s="14">
        <f t="shared" si="203"/>
        <v>0</v>
      </c>
    </row>
    <row r="1091" spans="1:38" hidden="1" x14ac:dyDescent="0.25">
      <c r="A1091" s="12" t="s">
        <v>86</v>
      </c>
      <c r="B1091" s="12" t="s">
        <v>1134</v>
      </c>
      <c r="C1091" s="12" t="s">
        <v>539</v>
      </c>
      <c r="D1091" s="12"/>
      <c r="E1091" s="12">
        <f t="shared" si="201"/>
        <v>9</v>
      </c>
      <c r="F1091" s="12" t="str">
        <f>VLOOKUP(B1091,[1]lookup!A:B,2,FALSE)</f>
        <v>Term</v>
      </c>
      <c r="G1091" s="12">
        <v>0</v>
      </c>
      <c r="H1091" s="12">
        <v>9</v>
      </c>
      <c r="I1091" s="12">
        <v>0</v>
      </c>
      <c r="J1091" s="12">
        <v>0</v>
      </c>
      <c r="K1091" s="12">
        <v>0</v>
      </c>
      <c r="L1091" s="12">
        <v>0</v>
      </c>
      <c r="M1091" s="12">
        <v>0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2">
        <v>0</v>
      </c>
      <c r="T1091" s="12">
        <v>0</v>
      </c>
      <c r="U1091" s="12">
        <v>0</v>
      </c>
      <c r="V1091" s="12">
        <v>0</v>
      </c>
      <c r="W1091" s="12">
        <v>0</v>
      </c>
      <c r="X1091" s="12">
        <v>0</v>
      </c>
      <c r="Y1091" s="12">
        <v>0</v>
      </c>
      <c r="Z1091" s="12">
        <v>0</v>
      </c>
      <c r="AA1091" s="12"/>
      <c r="AC1091" s="13">
        <f t="shared" si="202"/>
        <v>0</v>
      </c>
      <c r="AK1091" s="15">
        <f>H1091*AK$2</f>
        <v>1080</v>
      </c>
      <c r="AL1091" s="14">
        <f t="shared" si="203"/>
        <v>1080</v>
      </c>
    </row>
    <row r="1092" spans="1:38" hidden="1" x14ac:dyDescent="0.25">
      <c r="A1092" s="12" t="s">
        <v>92</v>
      </c>
      <c r="B1092" s="12" t="s">
        <v>1135</v>
      </c>
      <c r="C1092" s="12" t="s">
        <v>539</v>
      </c>
      <c r="D1092" s="12"/>
      <c r="E1092" s="12">
        <f t="shared" si="201"/>
        <v>9</v>
      </c>
      <c r="F1092" s="12" t="s">
        <v>70</v>
      </c>
      <c r="G1092" s="12">
        <v>0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12">
        <v>0</v>
      </c>
      <c r="U1092" s="12">
        <v>0</v>
      </c>
      <c r="V1092" s="12">
        <v>0</v>
      </c>
      <c r="W1092" s="12">
        <v>9</v>
      </c>
      <c r="X1092" s="12">
        <v>0</v>
      </c>
      <c r="Y1092" s="12">
        <v>0</v>
      </c>
      <c r="Z1092" s="12">
        <v>0</v>
      </c>
      <c r="AA1092" s="12"/>
      <c r="AC1092" s="13">
        <f t="shared" si="202"/>
        <v>0</v>
      </c>
      <c r="AL1092" s="14">
        <f t="shared" si="203"/>
        <v>0</v>
      </c>
    </row>
    <row r="1093" spans="1:38" hidden="1" x14ac:dyDescent="0.25">
      <c r="A1093" s="12" t="s">
        <v>140</v>
      </c>
      <c r="B1093" s="12" t="s">
        <v>1136</v>
      </c>
      <c r="C1093" s="12" t="s">
        <v>539</v>
      </c>
      <c r="D1093" s="12"/>
      <c r="E1093" s="12">
        <f t="shared" ref="E1093:E1156" si="205">MAX(G1093:Z1093)</f>
        <v>9</v>
      </c>
      <c r="F1093" s="12" t="s">
        <v>70</v>
      </c>
      <c r="G1093" s="12">
        <v>0</v>
      </c>
      <c r="H1093" s="12">
        <v>0</v>
      </c>
      <c r="I1093" s="12">
        <v>0</v>
      </c>
      <c r="J1093" s="12">
        <v>0</v>
      </c>
      <c r="K1093" s="12">
        <v>0</v>
      </c>
      <c r="L1093" s="12">
        <v>0</v>
      </c>
      <c r="M1093" s="12">
        <v>0</v>
      </c>
      <c r="N1093" s="12">
        <v>0</v>
      </c>
      <c r="O1093" s="12">
        <v>0</v>
      </c>
      <c r="P1093" s="12">
        <v>0</v>
      </c>
      <c r="Q1093" s="12">
        <v>0</v>
      </c>
      <c r="R1093" s="12">
        <v>0</v>
      </c>
      <c r="S1093" s="12">
        <v>0</v>
      </c>
      <c r="T1093" s="12">
        <v>0</v>
      </c>
      <c r="U1093" s="12">
        <v>0</v>
      </c>
      <c r="V1093" s="12">
        <v>0</v>
      </c>
      <c r="W1093" s="12">
        <v>9</v>
      </c>
      <c r="X1093" s="12">
        <v>0</v>
      </c>
      <c r="Y1093" s="12">
        <v>0</v>
      </c>
      <c r="Z1093" s="12">
        <v>0</v>
      </c>
      <c r="AA1093" s="12"/>
      <c r="AC1093" s="13">
        <f t="shared" ref="AC1093:AC1156" si="206">M1093*AC$2</f>
        <v>0</v>
      </c>
      <c r="AL1093" s="14">
        <f t="shared" si="203"/>
        <v>0</v>
      </c>
    </row>
    <row r="1094" spans="1:38" hidden="1" x14ac:dyDescent="0.25">
      <c r="A1094" s="12" t="s">
        <v>140</v>
      </c>
      <c r="B1094" s="12" t="s">
        <v>1137</v>
      </c>
      <c r="C1094" s="12" t="s">
        <v>539</v>
      </c>
      <c r="D1094" s="12"/>
      <c r="E1094" s="12">
        <f t="shared" si="205"/>
        <v>9</v>
      </c>
      <c r="F1094" s="12" t="s">
        <v>70</v>
      </c>
      <c r="G1094" s="12">
        <v>0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12">
        <v>0</v>
      </c>
      <c r="U1094" s="12">
        <v>0</v>
      </c>
      <c r="V1094" s="12">
        <v>0</v>
      </c>
      <c r="W1094" s="12">
        <v>9</v>
      </c>
      <c r="X1094" s="12">
        <v>0</v>
      </c>
      <c r="Y1094" s="12">
        <v>0</v>
      </c>
      <c r="Z1094" s="12">
        <v>0</v>
      </c>
      <c r="AA1094" s="12"/>
      <c r="AC1094" s="13">
        <f t="shared" si="206"/>
        <v>0</v>
      </c>
      <c r="AL1094" s="14">
        <f t="shared" ref="AL1094:AL1157" si="207">SUM(AC1094:AK1094)</f>
        <v>0</v>
      </c>
    </row>
    <row r="1095" spans="1:38" hidden="1" x14ac:dyDescent="0.25">
      <c r="A1095" s="12" t="s">
        <v>399</v>
      </c>
      <c r="B1095" s="12" t="s">
        <v>1138</v>
      </c>
      <c r="C1095" s="12" t="s">
        <v>539</v>
      </c>
      <c r="D1095" s="12"/>
      <c r="E1095" s="12">
        <f t="shared" si="205"/>
        <v>9</v>
      </c>
      <c r="F1095" s="12" t="s">
        <v>70</v>
      </c>
      <c r="G1095" s="12">
        <v>0</v>
      </c>
      <c r="H1095" s="12">
        <v>0</v>
      </c>
      <c r="I1095" s="12">
        <v>0</v>
      </c>
      <c r="J1095" s="12">
        <v>0</v>
      </c>
      <c r="K1095" s="12">
        <v>0</v>
      </c>
      <c r="L1095" s="12">
        <v>0</v>
      </c>
      <c r="M1095" s="12">
        <v>0</v>
      </c>
      <c r="N1095" s="12">
        <v>0</v>
      </c>
      <c r="O1095" s="12">
        <v>0</v>
      </c>
      <c r="P1095" s="12">
        <v>0</v>
      </c>
      <c r="Q1095" s="12">
        <v>0</v>
      </c>
      <c r="R1095" s="12">
        <v>0</v>
      </c>
      <c r="S1095" s="12">
        <v>0</v>
      </c>
      <c r="T1095" s="12">
        <v>0</v>
      </c>
      <c r="U1095" s="12">
        <v>9</v>
      </c>
      <c r="V1095" s="12">
        <v>0</v>
      </c>
      <c r="W1095" s="12">
        <v>0</v>
      </c>
      <c r="X1095" s="12">
        <v>0</v>
      </c>
      <c r="Y1095" s="12">
        <v>0</v>
      </c>
      <c r="Z1095" s="12">
        <v>0</v>
      </c>
      <c r="AA1095" s="12"/>
      <c r="AC1095" s="13">
        <f t="shared" si="206"/>
        <v>0</v>
      </c>
      <c r="AL1095" s="14">
        <f t="shared" si="207"/>
        <v>0</v>
      </c>
    </row>
    <row r="1096" spans="1:38" hidden="1" x14ac:dyDescent="0.25">
      <c r="A1096" s="12" t="s">
        <v>51</v>
      </c>
      <c r="B1096" s="12" t="s">
        <v>1139</v>
      </c>
      <c r="C1096" s="12" t="s">
        <v>539</v>
      </c>
      <c r="D1096" s="12"/>
      <c r="E1096" s="12">
        <f t="shared" si="205"/>
        <v>9</v>
      </c>
      <c r="F1096" s="12" t="s">
        <v>70</v>
      </c>
      <c r="G1096" s="12">
        <v>0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12">
        <v>0</v>
      </c>
      <c r="U1096" s="12">
        <v>9</v>
      </c>
      <c r="V1096" s="12">
        <v>0</v>
      </c>
      <c r="W1096" s="12">
        <v>0</v>
      </c>
      <c r="X1096" s="12">
        <v>0</v>
      </c>
      <c r="Y1096" s="12">
        <v>0</v>
      </c>
      <c r="Z1096" s="12">
        <v>0</v>
      </c>
      <c r="AA1096" s="12"/>
      <c r="AC1096" s="13">
        <f t="shared" si="206"/>
        <v>0</v>
      </c>
      <c r="AL1096" s="14">
        <f t="shared" si="207"/>
        <v>0</v>
      </c>
    </row>
    <row r="1097" spans="1:38" hidden="1" x14ac:dyDescent="0.25">
      <c r="A1097" s="12" t="s">
        <v>222</v>
      </c>
      <c r="B1097" s="12" t="s">
        <v>1140</v>
      </c>
      <c r="C1097" s="12" t="s">
        <v>539</v>
      </c>
      <c r="D1097" s="12"/>
      <c r="E1097" s="12">
        <f t="shared" si="205"/>
        <v>9</v>
      </c>
      <c r="F1097" s="12" t="s">
        <v>70</v>
      </c>
      <c r="G1097" s="12">
        <v>0</v>
      </c>
      <c r="H1097" s="12">
        <v>0</v>
      </c>
      <c r="I1097" s="12">
        <v>0</v>
      </c>
      <c r="J1097" s="12">
        <v>0</v>
      </c>
      <c r="K1097" s="12">
        <v>0</v>
      </c>
      <c r="L1097" s="12">
        <v>0</v>
      </c>
      <c r="M1097" s="12">
        <v>0</v>
      </c>
      <c r="N1097" s="12">
        <v>0</v>
      </c>
      <c r="O1097" s="12">
        <v>0</v>
      </c>
      <c r="P1097" s="12">
        <v>0</v>
      </c>
      <c r="Q1097" s="12">
        <v>0</v>
      </c>
      <c r="R1097" s="12">
        <v>0</v>
      </c>
      <c r="S1097" s="12">
        <v>0</v>
      </c>
      <c r="T1097" s="12">
        <v>0</v>
      </c>
      <c r="U1097" s="12">
        <v>0</v>
      </c>
      <c r="V1097" s="12">
        <v>0</v>
      </c>
      <c r="W1097" s="12">
        <v>9</v>
      </c>
      <c r="X1097" s="12">
        <v>0</v>
      </c>
      <c r="Y1097" s="12">
        <v>0</v>
      </c>
      <c r="Z1097" s="12">
        <v>0</v>
      </c>
      <c r="AA1097" s="12"/>
      <c r="AC1097" s="13">
        <f t="shared" si="206"/>
        <v>0</v>
      </c>
      <c r="AL1097" s="14">
        <f t="shared" si="207"/>
        <v>0</v>
      </c>
    </row>
    <row r="1098" spans="1:38" hidden="1" x14ac:dyDescent="0.25">
      <c r="A1098" s="12" t="s">
        <v>222</v>
      </c>
      <c r="B1098" s="12" t="s">
        <v>1141</v>
      </c>
      <c r="C1098" s="12" t="s">
        <v>539</v>
      </c>
      <c r="D1098" s="12"/>
      <c r="E1098" s="12">
        <f t="shared" si="205"/>
        <v>9</v>
      </c>
      <c r="F1098" s="12" t="s">
        <v>70</v>
      </c>
      <c r="G1098" s="12">
        <v>0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12">
        <v>0</v>
      </c>
      <c r="U1098" s="12">
        <v>0</v>
      </c>
      <c r="V1098" s="12">
        <v>0</v>
      </c>
      <c r="W1098" s="12">
        <v>9</v>
      </c>
      <c r="X1098" s="12">
        <v>0</v>
      </c>
      <c r="Y1098" s="12">
        <v>0</v>
      </c>
      <c r="Z1098" s="12">
        <v>0</v>
      </c>
      <c r="AA1098" s="12"/>
      <c r="AC1098" s="13">
        <f t="shared" si="206"/>
        <v>0</v>
      </c>
      <c r="AL1098" s="14">
        <f t="shared" si="207"/>
        <v>0</v>
      </c>
    </row>
    <row r="1099" spans="1:38" hidden="1" x14ac:dyDescent="0.25">
      <c r="A1099" s="12" t="s">
        <v>222</v>
      </c>
      <c r="B1099" s="12" t="s">
        <v>1142</v>
      </c>
      <c r="C1099" s="12" t="s">
        <v>539</v>
      </c>
      <c r="D1099" s="12"/>
      <c r="E1099" s="12">
        <f t="shared" si="205"/>
        <v>9</v>
      </c>
      <c r="F1099" s="12" t="s">
        <v>70</v>
      </c>
      <c r="G1099" s="12">
        <v>0</v>
      </c>
      <c r="H1099" s="12">
        <v>0</v>
      </c>
      <c r="I1099" s="12">
        <v>0</v>
      </c>
      <c r="J1099" s="12">
        <v>0</v>
      </c>
      <c r="K1099" s="12">
        <v>0</v>
      </c>
      <c r="L1099" s="12">
        <v>0</v>
      </c>
      <c r="M1099" s="12">
        <v>0</v>
      </c>
      <c r="N1099" s="12">
        <v>0</v>
      </c>
      <c r="O1099" s="12">
        <v>0</v>
      </c>
      <c r="P1099" s="12">
        <v>0</v>
      </c>
      <c r="Q1099" s="12">
        <v>0</v>
      </c>
      <c r="R1099" s="12">
        <v>0</v>
      </c>
      <c r="S1099" s="12">
        <v>0</v>
      </c>
      <c r="T1099" s="12">
        <v>0</v>
      </c>
      <c r="U1099" s="12">
        <v>0</v>
      </c>
      <c r="V1099" s="12">
        <v>0</v>
      </c>
      <c r="W1099" s="12">
        <v>9</v>
      </c>
      <c r="X1099" s="12">
        <v>0</v>
      </c>
      <c r="Y1099" s="12">
        <v>0</v>
      </c>
      <c r="Z1099" s="12">
        <v>0</v>
      </c>
      <c r="AA1099" s="12"/>
      <c r="AC1099" s="13">
        <f t="shared" si="206"/>
        <v>0</v>
      </c>
      <c r="AL1099" s="14">
        <f t="shared" si="207"/>
        <v>0</v>
      </c>
    </row>
    <row r="1100" spans="1:38" hidden="1" x14ac:dyDescent="0.25">
      <c r="A1100" s="12" t="s">
        <v>222</v>
      </c>
      <c r="B1100" s="12" t="s">
        <v>1143</v>
      </c>
      <c r="C1100" s="12" t="s">
        <v>539</v>
      </c>
      <c r="D1100" s="12"/>
      <c r="E1100" s="12">
        <f t="shared" si="205"/>
        <v>9</v>
      </c>
      <c r="F1100" s="12" t="s">
        <v>70</v>
      </c>
      <c r="G1100" s="12">
        <v>0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12">
        <v>0</v>
      </c>
      <c r="U1100" s="12">
        <v>0</v>
      </c>
      <c r="V1100" s="12">
        <v>0</v>
      </c>
      <c r="W1100" s="12">
        <v>9</v>
      </c>
      <c r="X1100" s="12">
        <v>0</v>
      </c>
      <c r="Y1100" s="12">
        <v>0</v>
      </c>
      <c r="Z1100" s="12">
        <v>0</v>
      </c>
      <c r="AA1100" s="12"/>
      <c r="AC1100" s="13">
        <f t="shared" si="206"/>
        <v>0</v>
      </c>
      <c r="AL1100" s="14">
        <f t="shared" si="207"/>
        <v>0</v>
      </c>
    </row>
    <row r="1101" spans="1:38" hidden="1" x14ac:dyDescent="0.25">
      <c r="A1101" s="12" t="s">
        <v>222</v>
      </c>
      <c r="B1101" s="12" t="s">
        <v>1144</v>
      </c>
      <c r="C1101" s="12" t="s">
        <v>539</v>
      </c>
      <c r="D1101" s="12"/>
      <c r="E1101" s="12">
        <f t="shared" si="205"/>
        <v>9</v>
      </c>
      <c r="F1101" s="12" t="s">
        <v>70</v>
      </c>
      <c r="G1101" s="12">
        <v>0</v>
      </c>
      <c r="H1101" s="12">
        <v>0</v>
      </c>
      <c r="I1101" s="12">
        <v>0</v>
      </c>
      <c r="J1101" s="12">
        <v>0</v>
      </c>
      <c r="K1101" s="12">
        <v>0</v>
      </c>
      <c r="L1101" s="12">
        <v>0</v>
      </c>
      <c r="M1101" s="12">
        <v>0</v>
      </c>
      <c r="N1101" s="12">
        <v>0</v>
      </c>
      <c r="O1101" s="12">
        <v>0</v>
      </c>
      <c r="P1101" s="12">
        <v>0</v>
      </c>
      <c r="Q1101" s="12">
        <v>0</v>
      </c>
      <c r="R1101" s="12">
        <v>0</v>
      </c>
      <c r="S1101" s="12">
        <v>0</v>
      </c>
      <c r="T1101" s="12">
        <v>0</v>
      </c>
      <c r="U1101" s="12">
        <v>0</v>
      </c>
      <c r="V1101" s="12">
        <v>0</v>
      </c>
      <c r="W1101" s="12">
        <v>9</v>
      </c>
      <c r="X1101" s="12">
        <v>0</v>
      </c>
      <c r="Y1101" s="12">
        <v>0</v>
      </c>
      <c r="Z1101" s="12">
        <v>0</v>
      </c>
      <c r="AA1101" s="12"/>
      <c r="AC1101" s="13">
        <f t="shared" si="206"/>
        <v>0</v>
      </c>
      <c r="AL1101" s="14">
        <f t="shared" si="207"/>
        <v>0</v>
      </c>
    </row>
    <row r="1102" spans="1:38" hidden="1" x14ac:dyDescent="0.25">
      <c r="A1102" s="12" t="s">
        <v>222</v>
      </c>
      <c r="B1102" s="12" t="s">
        <v>1145</v>
      </c>
      <c r="C1102" s="12" t="s">
        <v>539</v>
      </c>
      <c r="D1102" s="12"/>
      <c r="E1102" s="12">
        <f t="shared" si="205"/>
        <v>9</v>
      </c>
      <c r="F1102" s="12" t="s">
        <v>70</v>
      </c>
      <c r="G1102" s="12">
        <v>0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12">
        <v>0</v>
      </c>
      <c r="U1102" s="12">
        <v>0</v>
      </c>
      <c r="V1102" s="12">
        <v>0</v>
      </c>
      <c r="W1102" s="12">
        <v>9</v>
      </c>
      <c r="X1102" s="12">
        <v>0</v>
      </c>
      <c r="Y1102" s="12">
        <v>0</v>
      </c>
      <c r="Z1102" s="12">
        <v>0</v>
      </c>
      <c r="AA1102" s="12"/>
      <c r="AC1102" s="13">
        <f t="shared" si="206"/>
        <v>0</v>
      </c>
      <c r="AL1102" s="14">
        <f t="shared" si="207"/>
        <v>0</v>
      </c>
    </row>
    <row r="1103" spans="1:38" hidden="1" x14ac:dyDescent="0.25">
      <c r="A1103" s="12" t="s">
        <v>222</v>
      </c>
      <c r="B1103" s="12" t="s">
        <v>1146</v>
      </c>
      <c r="C1103" s="12" t="s">
        <v>539</v>
      </c>
      <c r="D1103" s="12"/>
      <c r="E1103" s="12">
        <f t="shared" si="205"/>
        <v>9</v>
      </c>
      <c r="F1103" s="12" t="s">
        <v>70</v>
      </c>
      <c r="G1103" s="12">
        <v>0</v>
      </c>
      <c r="H1103" s="12">
        <v>0</v>
      </c>
      <c r="I1103" s="12">
        <v>0</v>
      </c>
      <c r="J1103" s="12">
        <v>0</v>
      </c>
      <c r="K1103" s="12">
        <v>0</v>
      </c>
      <c r="L1103" s="12">
        <v>0</v>
      </c>
      <c r="M1103" s="12">
        <v>0</v>
      </c>
      <c r="N1103" s="12">
        <v>0</v>
      </c>
      <c r="O1103" s="12">
        <v>0</v>
      </c>
      <c r="P1103" s="12">
        <v>0</v>
      </c>
      <c r="Q1103" s="12">
        <v>0</v>
      </c>
      <c r="R1103" s="12">
        <v>0</v>
      </c>
      <c r="S1103" s="12">
        <v>0</v>
      </c>
      <c r="T1103" s="12">
        <v>0</v>
      </c>
      <c r="U1103" s="12">
        <v>0</v>
      </c>
      <c r="V1103" s="12">
        <v>0</v>
      </c>
      <c r="W1103" s="12">
        <v>9</v>
      </c>
      <c r="X1103" s="12">
        <v>0</v>
      </c>
      <c r="Y1103" s="12">
        <v>0</v>
      </c>
      <c r="Z1103" s="12">
        <v>0</v>
      </c>
      <c r="AA1103" s="12"/>
      <c r="AC1103" s="13">
        <f t="shared" si="206"/>
        <v>0</v>
      </c>
      <c r="AL1103" s="14">
        <f t="shared" si="207"/>
        <v>0</v>
      </c>
    </row>
    <row r="1104" spans="1:38" hidden="1" x14ac:dyDescent="0.25">
      <c r="A1104" s="12" t="s">
        <v>222</v>
      </c>
      <c r="B1104" s="12" t="s">
        <v>1147</v>
      </c>
      <c r="C1104" s="12" t="s">
        <v>539</v>
      </c>
      <c r="D1104" s="12"/>
      <c r="E1104" s="12">
        <f t="shared" si="205"/>
        <v>9</v>
      </c>
      <c r="F1104" s="12" t="s">
        <v>70</v>
      </c>
      <c r="G1104" s="12">
        <v>0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12">
        <v>0</v>
      </c>
      <c r="U1104" s="12">
        <v>0</v>
      </c>
      <c r="V1104" s="12">
        <v>0</v>
      </c>
      <c r="W1104" s="12">
        <v>9</v>
      </c>
      <c r="X1104" s="12">
        <v>0</v>
      </c>
      <c r="Y1104" s="12">
        <v>0</v>
      </c>
      <c r="Z1104" s="12">
        <v>0</v>
      </c>
      <c r="AA1104" s="12"/>
      <c r="AC1104" s="13">
        <f t="shared" si="206"/>
        <v>0</v>
      </c>
      <c r="AL1104" s="14">
        <f t="shared" si="207"/>
        <v>0</v>
      </c>
    </row>
    <row r="1105" spans="1:38" hidden="1" x14ac:dyDescent="0.25">
      <c r="A1105" s="12" t="s">
        <v>222</v>
      </c>
      <c r="B1105" s="12" t="s">
        <v>1148</v>
      </c>
      <c r="C1105" s="12" t="s">
        <v>539</v>
      </c>
      <c r="D1105" s="12"/>
      <c r="E1105" s="12">
        <f t="shared" si="205"/>
        <v>9</v>
      </c>
      <c r="F1105" s="12" t="s">
        <v>70</v>
      </c>
      <c r="G1105" s="12">
        <v>0</v>
      </c>
      <c r="H1105" s="12">
        <v>0</v>
      </c>
      <c r="I1105" s="12">
        <v>0</v>
      </c>
      <c r="J1105" s="12">
        <v>0</v>
      </c>
      <c r="K1105" s="12">
        <v>0</v>
      </c>
      <c r="L1105" s="12">
        <v>0</v>
      </c>
      <c r="M1105" s="12">
        <v>0</v>
      </c>
      <c r="N1105" s="12">
        <v>0</v>
      </c>
      <c r="O1105" s="12">
        <v>0</v>
      </c>
      <c r="P1105" s="12">
        <v>0</v>
      </c>
      <c r="Q1105" s="12">
        <v>0</v>
      </c>
      <c r="R1105" s="12">
        <v>0</v>
      </c>
      <c r="S1105" s="12">
        <v>0</v>
      </c>
      <c r="T1105" s="12">
        <v>0</v>
      </c>
      <c r="U1105" s="12">
        <v>0</v>
      </c>
      <c r="V1105" s="12">
        <v>0</v>
      </c>
      <c r="W1105" s="12">
        <v>9</v>
      </c>
      <c r="X1105" s="12">
        <v>0</v>
      </c>
      <c r="Y1105" s="12">
        <v>0</v>
      </c>
      <c r="Z1105" s="12">
        <v>0</v>
      </c>
      <c r="AA1105" s="12"/>
      <c r="AC1105" s="13">
        <f t="shared" si="206"/>
        <v>0</v>
      </c>
      <c r="AL1105" s="14">
        <f t="shared" si="207"/>
        <v>0</v>
      </c>
    </row>
    <row r="1106" spans="1:38" hidden="1" x14ac:dyDescent="0.25">
      <c r="A1106" s="12" t="s">
        <v>222</v>
      </c>
      <c r="B1106" s="12" t="s">
        <v>1149</v>
      </c>
      <c r="C1106" s="12" t="s">
        <v>539</v>
      </c>
      <c r="D1106" s="12"/>
      <c r="E1106" s="12">
        <f t="shared" si="205"/>
        <v>9</v>
      </c>
      <c r="F1106" s="12" t="s">
        <v>70</v>
      </c>
      <c r="G1106" s="12">
        <v>0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12">
        <v>0</v>
      </c>
      <c r="U1106" s="12">
        <v>0</v>
      </c>
      <c r="V1106" s="12">
        <v>0</v>
      </c>
      <c r="W1106" s="12">
        <v>9</v>
      </c>
      <c r="X1106" s="12">
        <v>0</v>
      </c>
      <c r="Y1106" s="12">
        <v>0</v>
      </c>
      <c r="Z1106" s="12">
        <v>0</v>
      </c>
      <c r="AA1106" s="12"/>
      <c r="AC1106" s="13">
        <f t="shared" si="206"/>
        <v>0</v>
      </c>
      <c r="AL1106" s="14">
        <f t="shared" si="207"/>
        <v>0</v>
      </c>
    </row>
    <row r="1107" spans="1:38" hidden="1" x14ac:dyDescent="0.25">
      <c r="A1107" s="12" t="s">
        <v>222</v>
      </c>
      <c r="B1107" s="12" t="s">
        <v>1150</v>
      </c>
      <c r="C1107" s="12" t="s">
        <v>539</v>
      </c>
      <c r="D1107" s="12"/>
      <c r="E1107" s="12">
        <f t="shared" si="205"/>
        <v>9</v>
      </c>
      <c r="F1107" s="12" t="s">
        <v>70</v>
      </c>
      <c r="G1107" s="12">
        <v>0</v>
      </c>
      <c r="H1107" s="12">
        <v>0</v>
      </c>
      <c r="I1107" s="12">
        <v>0</v>
      </c>
      <c r="J1107" s="12">
        <v>0</v>
      </c>
      <c r="K1107" s="12">
        <v>0</v>
      </c>
      <c r="L1107" s="12">
        <v>0</v>
      </c>
      <c r="M1107" s="12">
        <v>0</v>
      </c>
      <c r="N1107" s="12">
        <v>0</v>
      </c>
      <c r="O1107" s="12">
        <v>0</v>
      </c>
      <c r="P1107" s="12">
        <v>0</v>
      </c>
      <c r="Q1107" s="12">
        <v>0</v>
      </c>
      <c r="R1107" s="12">
        <v>0</v>
      </c>
      <c r="S1107" s="12">
        <v>0</v>
      </c>
      <c r="T1107" s="12">
        <v>0</v>
      </c>
      <c r="U1107" s="12">
        <v>0</v>
      </c>
      <c r="V1107" s="12">
        <v>0</v>
      </c>
      <c r="W1107" s="12">
        <v>9</v>
      </c>
      <c r="X1107" s="12">
        <v>0</v>
      </c>
      <c r="Y1107" s="12">
        <v>0</v>
      </c>
      <c r="Z1107" s="12">
        <v>0</v>
      </c>
      <c r="AA1107" s="12"/>
      <c r="AC1107" s="13">
        <f t="shared" si="206"/>
        <v>0</v>
      </c>
      <c r="AL1107" s="14">
        <f t="shared" si="207"/>
        <v>0</v>
      </c>
    </row>
    <row r="1108" spans="1:38" hidden="1" x14ac:dyDescent="0.25">
      <c r="A1108" s="12" t="s">
        <v>222</v>
      </c>
      <c r="B1108" s="12" t="s">
        <v>1151</v>
      </c>
      <c r="C1108" s="12" t="s">
        <v>539</v>
      </c>
      <c r="D1108" s="12"/>
      <c r="E1108" s="12">
        <f t="shared" si="205"/>
        <v>9</v>
      </c>
      <c r="F1108" s="12" t="s">
        <v>70</v>
      </c>
      <c r="G1108" s="12">
        <v>0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12">
        <v>0</v>
      </c>
      <c r="U1108" s="12">
        <v>0</v>
      </c>
      <c r="V1108" s="12">
        <v>0</v>
      </c>
      <c r="W1108" s="12">
        <v>9</v>
      </c>
      <c r="X1108" s="12">
        <v>0</v>
      </c>
      <c r="Y1108" s="12">
        <v>0</v>
      </c>
      <c r="Z1108" s="12">
        <v>0</v>
      </c>
      <c r="AA1108" s="12"/>
      <c r="AC1108" s="13">
        <f t="shared" si="206"/>
        <v>0</v>
      </c>
      <c r="AL1108" s="14">
        <f t="shared" si="207"/>
        <v>0</v>
      </c>
    </row>
    <row r="1109" spans="1:38" hidden="1" x14ac:dyDescent="0.25">
      <c r="A1109" s="12" t="s">
        <v>222</v>
      </c>
      <c r="B1109" s="12" t="s">
        <v>1152</v>
      </c>
      <c r="C1109" s="12" t="s">
        <v>539</v>
      </c>
      <c r="D1109" s="12"/>
      <c r="E1109" s="12">
        <f t="shared" si="205"/>
        <v>9</v>
      </c>
      <c r="F1109" s="12" t="s">
        <v>70</v>
      </c>
      <c r="G1109" s="12">
        <v>0</v>
      </c>
      <c r="H1109" s="12">
        <v>0</v>
      </c>
      <c r="I1109" s="12">
        <v>0</v>
      </c>
      <c r="J1109" s="12">
        <v>0</v>
      </c>
      <c r="K1109" s="12">
        <v>0</v>
      </c>
      <c r="L1109" s="12">
        <v>0</v>
      </c>
      <c r="M1109" s="12">
        <v>0</v>
      </c>
      <c r="N1109" s="12">
        <v>0</v>
      </c>
      <c r="O1109" s="12">
        <v>0</v>
      </c>
      <c r="P1109" s="12">
        <v>0</v>
      </c>
      <c r="Q1109" s="12">
        <v>0</v>
      </c>
      <c r="R1109" s="12">
        <v>0</v>
      </c>
      <c r="S1109" s="12">
        <v>0</v>
      </c>
      <c r="T1109" s="12">
        <v>0</v>
      </c>
      <c r="U1109" s="12">
        <v>0</v>
      </c>
      <c r="V1109" s="12">
        <v>0</v>
      </c>
      <c r="W1109" s="12">
        <v>9</v>
      </c>
      <c r="X1109" s="12">
        <v>0</v>
      </c>
      <c r="Y1109" s="12">
        <v>0</v>
      </c>
      <c r="Z1109" s="12">
        <v>0</v>
      </c>
      <c r="AA1109" s="12"/>
      <c r="AC1109" s="13">
        <f t="shared" si="206"/>
        <v>0</v>
      </c>
      <c r="AL1109" s="14">
        <f t="shared" si="207"/>
        <v>0</v>
      </c>
    </row>
    <row r="1110" spans="1:38" hidden="1" x14ac:dyDescent="0.25">
      <c r="A1110" s="12" t="s">
        <v>435</v>
      </c>
      <c r="B1110" s="12" t="s">
        <v>1151</v>
      </c>
      <c r="C1110" s="12" t="s">
        <v>539</v>
      </c>
      <c r="D1110" s="12"/>
      <c r="E1110" s="12">
        <f t="shared" si="205"/>
        <v>9</v>
      </c>
      <c r="F1110" s="12" t="s">
        <v>70</v>
      </c>
      <c r="G1110" s="12">
        <v>0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12">
        <v>0</v>
      </c>
      <c r="U1110" s="12">
        <v>0</v>
      </c>
      <c r="V1110" s="12">
        <v>0</v>
      </c>
      <c r="W1110" s="12">
        <v>9</v>
      </c>
      <c r="X1110" s="12">
        <v>0</v>
      </c>
      <c r="Y1110" s="12">
        <v>0</v>
      </c>
      <c r="Z1110" s="12">
        <v>0</v>
      </c>
      <c r="AA1110" s="12"/>
      <c r="AC1110" s="13">
        <f t="shared" si="206"/>
        <v>0</v>
      </c>
      <c r="AL1110" s="14">
        <f t="shared" si="207"/>
        <v>0</v>
      </c>
    </row>
    <row r="1111" spans="1:38" hidden="1" x14ac:dyDescent="0.25">
      <c r="A1111" s="12" t="s">
        <v>435</v>
      </c>
      <c r="B1111" s="12" t="s">
        <v>1145</v>
      </c>
      <c r="C1111" s="12" t="s">
        <v>539</v>
      </c>
      <c r="D1111" s="12"/>
      <c r="E1111" s="12">
        <f t="shared" si="205"/>
        <v>9</v>
      </c>
      <c r="F1111" s="12" t="s">
        <v>70</v>
      </c>
      <c r="G1111" s="12">
        <v>0</v>
      </c>
      <c r="H1111" s="12">
        <v>0</v>
      </c>
      <c r="I1111" s="12">
        <v>0</v>
      </c>
      <c r="J1111" s="12">
        <v>0</v>
      </c>
      <c r="K1111" s="12">
        <v>0</v>
      </c>
      <c r="L1111" s="12">
        <v>0</v>
      </c>
      <c r="M1111" s="12">
        <v>0</v>
      </c>
      <c r="N1111" s="12">
        <v>0</v>
      </c>
      <c r="O1111" s="12">
        <v>0</v>
      </c>
      <c r="P1111" s="12">
        <v>0</v>
      </c>
      <c r="Q1111" s="12">
        <v>0</v>
      </c>
      <c r="R1111" s="12">
        <v>0</v>
      </c>
      <c r="S1111" s="12">
        <v>0</v>
      </c>
      <c r="T1111" s="12">
        <v>0</v>
      </c>
      <c r="U1111" s="12">
        <v>0</v>
      </c>
      <c r="V1111" s="12">
        <v>0</v>
      </c>
      <c r="W1111" s="12">
        <v>9</v>
      </c>
      <c r="X1111" s="12">
        <v>0</v>
      </c>
      <c r="Y1111" s="12">
        <v>0</v>
      </c>
      <c r="Z1111" s="12">
        <v>0</v>
      </c>
      <c r="AA1111" s="12"/>
      <c r="AC1111" s="13">
        <f t="shared" si="206"/>
        <v>0</v>
      </c>
      <c r="AL1111" s="14">
        <f t="shared" si="207"/>
        <v>0</v>
      </c>
    </row>
    <row r="1112" spans="1:38" hidden="1" x14ac:dyDescent="0.25">
      <c r="A1112" s="12" t="s">
        <v>435</v>
      </c>
      <c r="B1112" s="12" t="s">
        <v>1152</v>
      </c>
      <c r="C1112" s="12" t="s">
        <v>539</v>
      </c>
      <c r="D1112" s="12"/>
      <c r="E1112" s="12">
        <f t="shared" si="205"/>
        <v>9</v>
      </c>
      <c r="F1112" s="12" t="s">
        <v>70</v>
      </c>
      <c r="G1112" s="12">
        <v>0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12">
        <v>0</v>
      </c>
      <c r="U1112" s="12">
        <v>0</v>
      </c>
      <c r="V1112" s="12">
        <v>0</v>
      </c>
      <c r="W1112" s="12">
        <v>9</v>
      </c>
      <c r="X1112" s="12">
        <v>0</v>
      </c>
      <c r="Y1112" s="12">
        <v>0</v>
      </c>
      <c r="Z1112" s="12">
        <v>0</v>
      </c>
      <c r="AA1112" s="12"/>
      <c r="AC1112" s="13">
        <f t="shared" si="206"/>
        <v>0</v>
      </c>
      <c r="AL1112" s="14">
        <f t="shared" si="207"/>
        <v>0</v>
      </c>
    </row>
    <row r="1113" spans="1:38" hidden="1" x14ac:dyDescent="0.25">
      <c r="A1113" s="12" t="s">
        <v>435</v>
      </c>
      <c r="B1113" s="12" t="s">
        <v>1144</v>
      </c>
      <c r="C1113" s="12" t="s">
        <v>539</v>
      </c>
      <c r="D1113" s="12"/>
      <c r="E1113" s="12">
        <f t="shared" si="205"/>
        <v>9</v>
      </c>
      <c r="F1113" s="12" t="s">
        <v>70</v>
      </c>
      <c r="G1113" s="12">
        <v>0</v>
      </c>
      <c r="H1113" s="12">
        <v>0</v>
      </c>
      <c r="I1113" s="12">
        <v>0</v>
      </c>
      <c r="J1113" s="12">
        <v>0</v>
      </c>
      <c r="K1113" s="12">
        <v>0</v>
      </c>
      <c r="L1113" s="12">
        <v>0</v>
      </c>
      <c r="M1113" s="12">
        <v>0</v>
      </c>
      <c r="N1113" s="12">
        <v>0</v>
      </c>
      <c r="O1113" s="12">
        <v>0</v>
      </c>
      <c r="P1113" s="12">
        <v>0</v>
      </c>
      <c r="Q1113" s="12">
        <v>0</v>
      </c>
      <c r="R1113" s="12">
        <v>0</v>
      </c>
      <c r="S1113" s="12">
        <v>0</v>
      </c>
      <c r="T1113" s="12">
        <v>0</v>
      </c>
      <c r="U1113" s="12">
        <v>0</v>
      </c>
      <c r="V1113" s="12">
        <v>0</v>
      </c>
      <c r="W1113" s="12">
        <v>9</v>
      </c>
      <c r="X1113" s="12">
        <v>0</v>
      </c>
      <c r="Y1113" s="12">
        <v>0</v>
      </c>
      <c r="Z1113" s="12">
        <v>0</v>
      </c>
      <c r="AA1113" s="12"/>
      <c r="AC1113" s="13">
        <f t="shared" si="206"/>
        <v>0</v>
      </c>
      <c r="AL1113" s="14">
        <f t="shared" si="207"/>
        <v>0</v>
      </c>
    </row>
    <row r="1114" spans="1:38" hidden="1" x14ac:dyDescent="0.25">
      <c r="A1114" s="12" t="s">
        <v>435</v>
      </c>
      <c r="B1114" s="12" t="s">
        <v>1149</v>
      </c>
      <c r="C1114" s="12" t="s">
        <v>539</v>
      </c>
      <c r="D1114" s="12"/>
      <c r="E1114" s="12">
        <f t="shared" si="205"/>
        <v>9</v>
      </c>
      <c r="F1114" s="12" t="s">
        <v>70</v>
      </c>
      <c r="G1114" s="12">
        <v>0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12">
        <v>0</v>
      </c>
      <c r="U1114" s="12">
        <v>0</v>
      </c>
      <c r="V1114" s="12">
        <v>0</v>
      </c>
      <c r="W1114" s="12">
        <v>9</v>
      </c>
      <c r="X1114" s="12">
        <v>0</v>
      </c>
      <c r="Y1114" s="12">
        <v>0</v>
      </c>
      <c r="Z1114" s="12">
        <v>0</v>
      </c>
      <c r="AA1114" s="12"/>
      <c r="AC1114" s="13">
        <f t="shared" si="206"/>
        <v>0</v>
      </c>
      <c r="AL1114" s="14">
        <f t="shared" si="207"/>
        <v>0</v>
      </c>
    </row>
    <row r="1115" spans="1:38" hidden="1" x14ac:dyDescent="0.25">
      <c r="A1115" s="12" t="s">
        <v>435</v>
      </c>
      <c r="B1115" s="12" t="s">
        <v>1146</v>
      </c>
      <c r="C1115" s="12" t="s">
        <v>539</v>
      </c>
      <c r="D1115" s="12"/>
      <c r="E1115" s="12">
        <f t="shared" si="205"/>
        <v>9</v>
      </c>
      <c r="F1115" s="12" t="s">
        <v>70</v>
      </c>
      <c r="G1115" s="12">
        <v>0</v>
      </c>
      <c r="H1115" s="12">
        <v>0</v>
      </c>
      <c r="I1115" s="12">
        <v>0</v>
      </c>
      <c r="J1115" s="12">
        <v>0</v>
      </c>
      <c r="K1115" s="12">
        <v>0</v>
      </c>
      <c r="L1115" s="12">
        <v>0</v>
      </c>
      <c r="M1115" s="12">
        <v>0</v>
      </c>
      <c r="N1115" s="12">
        <v>0</v>
      </c>
      <c r="O1115" s="12">
        <v>0</v>
      </c>
      <c r="P1115" s="12">
        <v>0</v>
      </c>
      <c r="Q1115" s="12">
        <v>0</v>
      </c>
      <c r="R1115" s="12">
        <v>0</v>
      </c>
      <c r="S1115" s="12">
        <v>0</v>
      </c>
      <c r="T1115" s="12">
        <v>0</v>
      </c>
      <c r="U1115" s="12">
        <v>0</v>
      </c>
      <c r="V1115" s="12">
        <v>0</v>
      </c>
      <c r="W1115" s="12">
        <v>9</v>
      </c>
      <c r="X1115" s="12">
        <v>0</v>
      </c>
      <c r="Y1115" s="12">
        <v>0</v>
      </c>
      <c r="Z1115" s="12">
        <v>0</v>
      </c>
      <c r="AA1115" s="12"/>
      <c r="AC1115" s="13">
        <f t="shared" si="206"/>
        <v>0</v>
      </c>
      <c r="AL1115" s="14">
        <f t="shared" si="207"/>
        <v>0</v>
      </c>
    </row>
    <row r="1116" spans="1:38" hidden="1" x14ac:dyDescent="0.25">
      <c r="A1116" s="12" t="s">
        <v>435</v>
      </c>
      <c r="B1116" s="12" t="s">
        <v>1147</v>
      </c>
      <c r="C1116" s="12" t="s">
        <v>539</v>
      </c>
      <c r="D1116" s="12"/>
      <c r="E1116" s="12">
        <f t="shared" si="205"/>
        <v>9</v>
      </c>
      <c r="F1116" s="12" t="s">
        <v>70</v>
      </c>
      <c r="G1116" s="12">
        <v>0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12">
        <v>0</v>
      </c>
      <c r="U1116" s="12">
        <v>0</v>
      </c>
      <c r="V1116" s="12">
        <v>0</v>
      </c>
      <c r="W1116" s="12">
        <v>9</v>
      </c>
      <c r="X1116" s="12">
        <v>0</v>
      </c>
      <c r="Y1116" s="12">
        <v>0</v>
      </c>
      <c r="Z1116" s="12">
        <v>0</v>
      </c>
      <c r="AA1116" s="12"/>
      <c r="AC1116" s="13">
        <f t="shared" si="206"/>
        <v>0</v>
      </c>
      <c r="AL1116" s="14">
        <f t="shared" si="207"/>
        <v>0</v>
      </c>
    </row>
    <row r="1117" spans="1:38" hidden="1" x14ac:dyDescent="0.25">
      <c r="A1117" s="12" t="s">
        <v>435</v>
      </c>
      <c r="B1117" s="12" t="s">
        <v>1142</v>
      </c>
      <c r="C1117" s="12" t="s">
        <v>539</v>
      </c>
      <c r="D1117" s="12"/>
      <c r="E1117" s="12">
        <f t="shared" si="205"/>
        <v>9</v>
      </c>
      <c r="F1117" s="12" t="s">
        <v>70</v>
      </c>
      <c r="G1117" s="12">
        <v>0</v>
      </c>
      <c r="H1117" s="12">
        <v>0</v>
      </c>
      <c r="I1117" s="12">
        <v>0</v>
      </c>
      <c r="J1117" s="12">
        <v>0</v>
      </c>
      <c r="K1117" s="12">
        <v>0</v>
      </c>
      <c r="L1117" s="12">
        <v>0</v>
      </c>
      <c r="M1117" s="12">
        <v>0</v>
      </c>
      <c r="N1117" s="12">
        <v>0</v>
      </c>
      <c r="O1117" s="12">
        <v>0</v>
      </c>
      <c r="P1117" s="12">
        <v>0</v>
      </c>
      <c r="Q1117" s="12">
        <v>0</v>
      </c>
      <c r="R1117" s="12">
        <v>0</v>
      </c>
      <c r="S1117" s="12">
        <v>0</v>
      </c>
      <c r="T1117" s="12">
        <v>0</v>
      </c>
      <c r="U1117" s="12">
        <v>0</v>
      </c>
      <c r="V1117" s="12">
        <v>0</v>
      </c>
      <c r="W1117" s="12">
        <v>9</v>
      </c>
      <c r="X1117" s="12">
        <v>0</v>
      </c>
      <c r="Y1117" s="12">
        <v>0</v>
      </c>
      <c r="Z1117" s="12">
        <v>0</v>
      </c>
      <c r="AA1117" s="12"/>
      <c r="AC1117" s="13">
        <f t="shared" si="206"/>
        <v>0</v>
      </c>
      <c r="AL1117" s="14">
        <f t="shared" si="207"/>
        <v>0</v>
      </c>
    </row>
    <row r="1118" spans="1:38" hidden="1" x14ac:dyDescent="0.25">
      <c r="A1118" s="12" t="s">
        <v>296</v>
      </c>
      <c r="B1118" s="12" t="s">
        <v>1153</v>
      </c>
      <c r="C1118" s="12" t="s">
        <v>539</v>
      </c>
      <c r="D1118" s="12"/>
      <c r="E1118" s="12">
        <f t="shared" si="205"/>
        <v>9</v>
      </c>
      <c r="F1118" s="12" t="s">
        <v>70</v>
      </c>
      <c r="G1118" s="12">
        <v>0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12">
        <v>0</v>
      </c>
      <c r="U1118" s="12">
        <v>0</v>
      </c>
      <c r="V1118" s="12">
        <v>0</v>
      </c>
      <c r="W1118" s="12">
        <v>9</v>
      </c>
      <c r="X1118" s="12">
        <v>0</v>
      </c>
      <c r="Y1118" s="12">
        <v>0</v>
      </c>
      <c r="Z1118" s="12">
        <v>0</v>
      </c>
      <c r="AA1118" s="12"/>
      <c r="AC1118" s="13">
        <f t="shared" si="206"/>
        <v>0</v>
      </c>
      <c r="AL1118" s="14">
        <f t="shared" si="207"/>
        <v>0</v>
      </c>
    </row>
    <row r="1119" spans="1:38" hidden="1" x14ac:dyDescent="0.25">
      <c r="A1119" s="12" t="s">
        <v>296</v>
      </c>
      <c r="B1119" s="12" t="s">
        <v>1154</v>
      </c>
      <c r="C1119" s="12" t="s">
        <v>539</v>
      </c>
      <c r="D1119" s="12"/>
      <c r="E1119" s="12">
        <f t="shared" si="205"/>
        <v>9</v>
      </c>
      <c r="F1119" s="12" t="s">
        <v>70</v>
      </c>
      <c r="G1119" s="12">
        <v>0</v>
      </c>
      <c r="H1119" s="12">
        <v>0</v>
      </c>
      <c r="I1119" s="12">
        <v>0</v>
      </c>
      <c r="J1119" s="12">
        <v>0</v>
      </c>
      <c r="K1119" s="12">
        <v>0</v>
      </c>
      <c r="L1119" s="12">
        <v>0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2">
        <v>0</v>
      </c>
      <c r="T1119" s="12">
        <v>0</v>
      </c>
      <c r="U1119" s="12">
        <v>0</v>
      </c>
      <c r="V1119" s="12">
        <v>0</v>
      </c>
      <c r="W1119" s="12">
        <v>9</v>
      </c>
      <c r="X1119" s="12">
        <v>0</v>
      </c>
      <c r="Y1119" s="12">
        <v>0</v>
      </c>
      <c r="Z1119" s="12">
        <v>0</v>
      </c>
      <c r="AA1119" s="12"/>
      <c r="AC1119" s="13">
        <f t="shared" si="206"/>
        <v>0</v>
      </c>
      <c r="AL1119" s="14">
        <f t="shared" si="207"/>
        <v>0</v>
      </c>
    </row>
    <row r="1120" spans="1:38" hidden="1" x14ac:dyDescent="0.25">
      <c r="A1120" s="12" t="s">
        <v>296</v>
      </c>
      <c r="B1120" s="12" t="s">
        <v>1155</v>
      </c>
      <c r="C1120" s="12" t="s">
        <v>539</v>
      </c>
      <c r="D1120" s="12"/>
      <c r="E1120" s="12">
        <f t="shared" si="205"/>
        <v>9</v>
      </c>
      <c r="F1120" s="12" t="s">
        <v>70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12">
        <v>0</v>
      </c>
      <c r="U1120" s="12">
        <v>0</v>
      </c>
      <c r="V1120" s="12">
        <v>0</v>
      </c>
      <c r="W1120" s="12">
        <v>9</v>
      </c>
      <c r="X1120" s="12">
        <v>0</v>
      </c>
      <c r="Y1120" s="12">
        <v>0</v>
      </c>
      <c r="Z1120" s="12">
        <v>0</v>
      </c>
      <c r="AA1120" s="12"/>
      <c r="AC1120" s="13">
        <f t="shared" si="206"/>
        <v>0</v>
      </c>
      <c r="AL1120" s="14">
        <f t="shared" si="207"/>
        <v>0</v>
      </c>
    </row>
    <row r="1121" spans="1:38" hidden="1" x14ac:dyDescent="0.25">
      <c r="A1121" s="12" t="s">
        <v>296</v>
      </c>
      <c r="B1121" s="12" t="s">
        <v>1156</v>
      </c>
      <c r="C1121" s="12" t="s">
        <v>539</v>
      </c>
      <c r="D1121" s="12"/>
      <c r="E1121" s="12">
        <f t="shared" si="205"/>
        <v>9</v>
      </c>
      <c r="F1121" s="12" t="s">
        <v>70</v>
      </c>
      <c r="G1121" s="12">
        <v>0</v>
      </c>
      <c r="H1121" s="12">
        <v>0</v>
      </c>
      <c r="I1121" s="12">
        <v>0</v>
      </c>
      <c r="J1121" s="12">
        <v>0</v>
      </c>
      <c r="K1121" s="12">
        <v>0</v>
      </c>
      <c r="L1121" s="12">
        <v>0</v>
      </c>
      <c r="M1121" s="12">
        <v>0</v>
      </c>
      <c r="N1121" s="12">
        <v>0</v>
      </c>
      <c r="O1121" s="12">
        <v>0</v>
      </c>
      <c r="P1121" s="12">
        <v>0</v>
      </c>
      <c r="Q1121" s="12">
        <v>0</v>
      </c>
      <c r="R1121" s="12">
        <v>0</v>
      </c>
      <c r="S1121" s="12">
        <v>0</v>
      </c>
      <c r="T1121" s="12">
        <v>0</v>
      </c>
      <c r="U1121" s="12">
        <v>0</v>
      </c>
      <c r="V1121" s="12">
        <v>0</v>
      </c>
      <c r="W1121" s="12">
        <v>9</v>
      </c>
      <c r="X1121" s="12">
        <v>0</v>
      </c>
      <c r="Y1121" s="12">
        <v>0</v>
      </c>
      <c r="Z1121" s="12">
        <v>0</v>
      </c>
      <c r="AA1121" s="12"/>
      <c r="AC1121" s="13">
        <f t="shared" si="206"/>
        <v>0</v>
      </c>
      <c r="AL1121" s="14">
        <f t="shared" si="207"/>
        <v>0</v>
      </c>
    </row>
    <row r="1122" spans="1:38" hidden="1" x14ac:dyDescent="0.25">
      <c r="A1122" s="12" t="s">
        <v>296</v>
      </c>
      <c r="B1122" s="12" t="s">
        <v>1157</v>
      </c>
      <c r="C1122" s="12" t="s">
        <v>539</v>
      </c>
      <c r="D1122" s="12"/>
      <c r="E1122" s="12">
        <f t="shared" si="205"/>
        <v>9</v>
      </c>
      <c r="F1122" s="12" t="s">
        <v>70</v>
      </c>
      <c r="G1122" s="12">
        <v>0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12">
        <v>0</v>
      </c>
      <c r="U1122" s="12">
        <v>0</v>
      </c>
      <c r="V1122" s="12">
        <v>0</v>
      </c>
      <c r="W1122" s="12">
        <v>9</v>
      </c>
      <c r="X1122" s="12">
        <v>0</v>
      </c>
      <c r="Y1122" s="12">
        <v>0</v>
      </c>
      <c r="Z1122" s="12">
        <v>0</v>
      </c>
      <c r="AA1122" s="12"/>
      <c r="AC1122" s="13">
        <f t="shared" si="206"/>
        <v>0</v>
      </c>
      <c r="AL1122" s="14">
        <f t="shared" si="207"/>
        <v>0</v>
      </c>
    </row>
    <row r="1123" spans="1:38" hidden="1" x14ac:dyDescent="0.25">
      <c r="A1123" s="12" t="s">
        <v>148</v>
      </c>
      <c r="B1123" s="12" t="s">
        <v>1158</v>
      </c>
      <c r="C1123" s="12" t="s">
        <v>539</v>
      </c>
      <c r="D1123" s="12"/>
      <c r="E1123" s="12">
        <f t="shared" si="205"/>
        <v>9</v>
      </c>
      <c r="F1123" s="12" t="s">
        <v>70</v>
      </c>
      <c r="G1123" s="12">
        <v>0</v>
      </c>
      <c r="H1123" s="12">
        <v>0</v>
      </c>
      <c r="I1123" s="12">
        <v>0</v>
      </c>
      <c r="J1123" s="12">
        <v>0</v>
      </c>
      <c r="K1123" s="12">
        <v>0</v>
      </c>
      <c r="L1123" s="12">
        <v>0</v>
      </c>
      <c r="M1123" s="12">
        <v>0</v>
      </c>
      <c r="N1123" s="12">
        <v>0</v>
      </c>
      <c r="O1123" s="12">
        <v>0</v>
      </c>
      <c r="P1123" s="12">
        <v>0</v>
      </c>
      <c r="Q1123" s="12">
        <v>0</v>
      </c>
      <c r="R1123" s="12">
        <v>0</v>
      </c>
      <c r="S1123" s="12">
        <v>0</v>
      </c>
      <c r="T1123" s="12">
        <v>0</v>
      </c>
      <c r="U1123" s="12">
        <v>0</v>
      </c>
      <c r="V1123" s="12">
        <v>0</v>
      </c>
      <c r="W1123" s="12">
        <v>9</v>
      </c>
      <c r="X1123" s="12">
        <v>0</v>
      </c>
      <c r="Y1123" s="12">
        <v>0</v>
      </c>
      <c r="Z1123" s="12">
        <v>0</v>
      </c>
      <c r="AA1123" s="12"/>
      <c r="AC1123" s="13">
        <f t="shared" si="206"/>
        <v>0</v>
      </c>
      <c r="AL1123" s="14">
        <f t="shared" si="207"/>
        <v>0</v>
      </c>
    </row>
    <row r="1124" spans="1:38" hidden="1" x14ac:dyDescent="0.25">
      <c r="A1124" s="12" t="s">
        <v>86</v>
      </c>
      <c r="B1124" s="12" t="s">
        <v>1159</v>
      </c>
      <c r="C1124" s="12" t="s">
        <v>539</v>
      </c>
      <c r="D1124" s="12"/>
      <c r="E1124" s="12">
        <f t="shared" si="205"/>
        <v>8</v>
      </c>
      <c r="F1124" s="12" t="str">
        <f>VLOOKUP(B1124,[1]lookup!A:B,2,FALSE)</f>
        <v>Term</v>
      </c>
      <c r="G1124" s="12">
        <v>0</v>
      </c>
      <c r="H1124" s="12">
        <v>8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12">
        <v>0</v>
      </c>
      <c r="U1124" s="12">
        <v>0</v>
      </c>
      <c r="V1124" s="12">
        <v>0</v>
      </c>
      <c r="W1124" s="12">
        <v>0</v>
      </c>
      <c r="X1124" s="12">
        <v>0</v>
      </c>
      <c r="Y1124" s="12">
        <v>0</v>
      </c>
      <c r="Z1124" s="12">
        <v>0</v>
      </c>
      <c r="AA1124" s="12"/>
      <c r="AC1124" s="13">
        <f t="shared" si="206"/>
        <v>0</v>
      </c>
      <c r="AK1124" s="15">
        <f t="shared" ref="AK1124:AK1125" si="208">H1124*AK$2</f>
        <v>960</v>
      </c>
      <c r="AL1124" s="14">
        <f t="shared" si="207"/>
        <v>960</v>
      </c>
    </row>
    <row r="1125" spans="1:38" hidden="1" x14ac:dyDescent="0.25">
      <c r="A1125" s="12" t="s">
        <v>86</v>
      </c>
      <c r="B1125" s="12" t="s">
        <v>1160</v>
      </c>
      <c r="C1125" s="12" t="s">
        <v>539</v>
      </c>
      <c r="D1125" s="12"/>
      <c r="E1125" s="12">
        <f t="shared" si="205"/>
        <v>8</v>
      </c>
      <c r="F1125" s="12" t="str">
        <f>VLOOKUP(B1125,[1]lookup!A:B,2,FALSE)</f>
        <v>Perpetual</v>
      </c>
      <c r="G1125" s="12">
        <v>0</v>
      </c>
      <c r="H1125" s="12">
        <v>8</v>
      </c>
      <c r="I1125" s="12">
        <v>0</v>
      </c>
      <c r="J1125" s="12">
        <v>0</v>
      </c>
      <c r="K1125" s="12">
        <v>0</v>
      </c>
      <c r="L1125" s="12">
        <v>0</v>
      </c>
      <c r="M1125" s="12">
        <v>0</v>
      </c>
      <c r="N1125" s="12">
        <v>0</v>
      </c>
      <c r="O1125" s="12">
        <v>0</v>
      </c>
      <c r="P1125" s="12">
        <v>0</v>
      </c>
      <c r="Q1125" s="12">
        <v>0</v>
      </c>
      <c r="R1125" s="12">
        <v>0</v>
      </c>
      <c r="S1125" s="12">
        <v>0</v>
      </c>
      <c r="T1125" s="12">
        <v>0</v>
      </c>
      <c r="U1125" s="12">
        <v>0</v>
      </c>
      <c r="V1125" s="12">
        <v>0</v>
      </c>
      <c r="W1125" s="12">
        <v>0</v>
      </c>
      <c r="X1125" s="12">
        <v>0</v>
      </c>
      <c r="Y1125" s="12">
        <v>0</v>
      </c>
      <c r="Z1125" s="12">
        <v>0</v>
      </c>
      <c r="AA1125" s="12"/>
      <c r="AC1125" s="13">
        <f t="shared" si="206"/>
        <v>0</v>
      </c>
      <c r="AK1125" s="15">
        <f t="shared" si="208"/>
        <v>960</v>
      </c>
      <c r="AL1125" s="14">
        <f t="shared" si="207"/>
        <v>960</v>
      </c>
    </row>
    <row r="1126" spans="1:38" hidden="1" x14ac:dyDescent="0.25">
      <c r="A1126" s="12" t="s">
        <v>140</v>
      </c>
      <c r="B1126" s="12" t="s">
        <v>1161</v>
      </c>
      <c r="C1126" s="12" t="s">
        <v>539</v>
      </c>
      <c r="D1126" s="12"/>
      <c r="E1126" s="12">
        <f t="shared" si="205"/>
        <v>8</v>
      </c>
      <c r="F1126" s="12" t="s">
        <v>70</v>
      </c>
      <c r="G1126" s="12">
        <v>0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  <c r="U1126" s="12">
        <v>0</v>
      </c>
      <c r="V1126" s="12">
        <v>0</v>
      </c>
      <c r="W1126" s="12">
        <v>8</v>
      </c>
      <c r="X1126" s="12">
        <v>0</v>
      </c>
      <c r="Y1126" s="12">
        <v>0</v>
      </c>
      <c r="Z1126" s="12">
        <v>0</v>
      </c>
      <c r="AA1126" s="12"/>
      <c r="AC1126" s="13">
        <f t="shared" si="206"/>
        <v>0</v>
      </c>
      <c r="AL1126" s="14">
        <f t="shared" si="207"/>
        <v>0</v>
      </c>
    </row>
    <row r="1127" spans="1:38" hidden="1" x14ac:dyDescent="0.25">
      <c r="A1127" s="12" t="s">
        <v>140</v>
      </c>
      <c r="B1127" s="12" t="s">
        <v>1162</v>
      </c>
      <c r="C1127" s="12" t="s">
        <v>539</v>
      </c>
      <c r="D1127" s="12"/>
      <c r="E1127" s="12">
        <f t="shared" si="205"/>
        <v>8</v>
      </c>
      <c r="F1127" s="12" t="s">
        <v>70</v>
      </c>
      <c r="G1127" s="12">
        <v>0</v>
      </c>
      <c r="H1127" s="12">
        <v>0</v>
      </c>
      <c r="I1127" s="12">
        <v>0</v>
      </c>
      <c r="J1127" s="12">
        <v>0</v>
      </c>
      <c r="K1127" s="12">
        <v>0</v>
      </c>
      <c r="L1127" s="12">
        <v>0</v>
      </c>
      <c r="M1127" s="12">
        <v>0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2">
        <v>0</v>
      </c>
      <c r="T1127" s="12">
        <v>0</v>
      </c>
      <c r="U1127" s="12">
        <v>0</v>
      </c>
      <c r="V1127" s="12">
        <v>0</v>
      </c>
      <c r="W1127" s="12">
        <v>8</v>
      </c>
      <c r="X1127" s="12">
        <v>0</v>
      </c>
      <c r="Y1127" s="12">
        <v>0</v>
      </c>
      <c r="Z1127" s="12">
        <v>0</v>
      </c>
      <c r="AA1127" s="12"/>
      <c r="AC1127" s="13">
        <f t="shared" si="206"/>
        <v>0</v>
      </c>
      <c r="AL1127" s="14">
        <f t="shared" si="207"/>
        <v>0</v>
      </c>
    </row>
    <row r="1128" spans="1:38" hidden="1" x14ac:dyDescent="0.25">
      <c r="A1128" s="12" t="s">
        <v>399</v>
      </c>
      <c r="B1128" s="12" t="s">
        <v>1163</v>
      </c>
      <c r="C1128" s="12" t="s">
        <v>539</v>
      </c>
      <c r="D1128" s="12"/>
      <c r="E1128" s="12">
        <f t="shared" si="205"/>
        <v>8</v>
      </c>
      <c r="F1128" s="12" t="str">
        <f>VLOOKUP(B1128,[1]lookup!A:B,2,FALSE)</f>
        <v>Perpetual</v>
      </c>
      <c r="G1128" s="12">
        <v>0</v>
      </c>
      <c r="H1128" s="12">
        <v>8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12">
        <v>0</v>
      </c>
      <c r="U1128" s="12">
        <v>0</v>
      </c>
      <c r="V1128" s="12">
        <v>0</v>
      </c>
      <c r="W1128" s="12">
        <v>0</v>
      </c>
      <c r="X1128" s="12">
        <v>0</v>
      </c>
      <c r="Y1128" s="12">
        <v>0</v>
      </c>
      <c r="Z1128" s="12">
        <v>0</v>
      </c>
      <c r="AA1128" s="12"/>
      <c r="AC1128" s="13">
        <f t="shared" si="206"/>
        <v>0</v>
      </c>
      <c r="AK1128" s="15">
        <f>H1128*AK$2</f>
        <v>960</v>
      </c>
      <c r="AL1128" s="14">
        <f t="shared" si="207"/>
        <v>960</v>
      </c>
    </row>
    <row r="1129" spans="1:38" hidden="1" x14ac:dyDescent="0.25">
      <c r="A1129" s="12" t="s">
        <v>399</v>
      </c>
      <c r="B1129" s="12" t="s">
        <v>1164</v>
      </c>
      <c r="C1129" s="12" t="s">
        <v>539</v>
      </c>
      <c r="D1129" s="12"/>
      <c r="E1129" s="12">
        <f t="shared" si="205"/>
        <v>8</v>
      </c>
      <c r="F1129" s="12" t="s">
        <v>70</v>
      </c>
      <c r="G1129" s="12">
        <v>0</v>
      </c>
      <c r="H1129" s="12">
        <v>0</v>
      </c>
      <c r="I1129" s="12">
        <v>0</v>
      </c>
      <c r="J1129" s="12">
        <v>0</v>
      </c>
      <c r="K1129" s="12">
        <v>0</v>
      </c>
      <c r="L1129" s="12">
        <v>0</v>
      </c>
      <c r="M1129" s="12">
        <v>0</v>
      </c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2">
        <v>0</v>
      </c>
      <c r="T1129" s="12">
        <v>0</v>
      </c>
      <c r="U1129" s="12">
        <v>8</v>
      </c>
      <c r="V1129" s="12">
        <v>0</v>
      </c>
      <c r="W1129" s="12">
        <v>0</v>
      </c>
      <c r="X1129" s="12">
        <v>0</v>
      </c>
      <c r="Y1129" s="12">
        <v>0</v>
      </c>
      <c r="Z1129" s="12">
        <v>0</v>
      </c>
      <c r="AA1129" s="12"/>
      <c r="AC1129" s="13">
        <f t="shared" si="206"/>
        <v>0</v>
      </c>
      <c r="AL1129" s="14">
        <f t="shared" si="207"/>
        <v>0</v>
      </c>
    </row>
    <row r="1130" spans="1:38" hidden="1" x14ac:dyDescent="0.25">
      <c r="A1130" s="12" t="s">
        <v>51</v>
      </c>
      <c r="B1130" s="12" t="s">
        <v>1165</v>
      </c>
      <c r="C1130" s="12" t="s">
        <v>539</v>
      </c>
      <c r="D1130" s="12"/>
      <c r="E1130" s="12">
        <f t="shared" si="205"/>
        <v>8</v>
      </c>
      <c r="F1130" s="12" t="s">
        <v>70</v>
      </c>
      <c r="G1130" s="12">
        <v>0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12">
        <v>0</v>
      </c>
      <c r="U1130" s="12">
        <v>8</v>
      </c>
      <c r="V1130" s="12">
        <v>0</v>
      </c>
      <c r="W1130" s="12">
        <v>0</v>
      </c>
      <c r="X1130" s="12">
        <v>0</v>
      </c>
      <c r="Y1130" s="12">
        <v>0</v>
      </c>
      <c r="Z1130" s="12">
        <v>0</v>
      </c>
      <c r="AA1130" s="12"/>
      <c r="AC1130" s="13">
        <f t="shared" si="206"/>
        <v>0</v>
      </c>
      <c r="AL1130" s="14">
        <f t="shared" si="207"/>
        <v>0</v>
      </c>
    </row>
    <row r="1131" spans="1:38" hidden="1" x14ac:dyDescent="0.25">
      <c r="A1131" s="12" t="s">
        <v>51</v>
      </c>
      <c r="B1131" s="12" t="s">
        <v>1166</v>
      </c>
      <c r="C1131" s="12" t="s">
        <v>539</v>
      </c>
      <c r="D1131" s="12"/>
      <c r="E1131" s="12">
        <f t="shared" si="205"/>
        <v>8</v>
      </c>
      <c r="F1131" s="12" t="s">
        <v>70</v>
      </c>
      <c r="G1131" s="12">
        <v>0</v>
      </c>
      <c r="H1131" s="12">
        <v>0</v>
      </c>
      <c r="I1131" s="12">
        <v>0</v>
      </c>
      <c r="J1131" s="12">
        <v>0</v>
      </c>
      <c r="K1131" s="12">
        <v>0</v>
      </c>
      <c r="L1131" s="12">
        <v>0</v>
      </c>
      <c r="M1131" s="12">
        <v>0</v>
      </c>
      <c r="N1131" s="12">
        <v>0</v>
      </c>
      <c r="O1131" s="12">
        <v>0</v>
      </c>
      <c r="P1131" s="12">
        <v>0</v>
      </c>
      <c r="Q1131" s="12">
        <v>0</v>
      </c>
      <c r="R1131" s="12">
        <v>0</v>
      </c>
      <c r="S1131" s="12">
        <v>0</v>
      </c>
      <c r="T1131" s="12">
        <v>0</v>
      </c>
      <c r="U1131" s="12">
        <v>8</v>
      </c>
      <c r="V1131" s="12">
        <v>0</v>
      </c>
      <c r="W1131" s="12">
        <v>0</v>
      </c>
      <c r="X1131" s="12">
        <v>0</v>
      </c>
      <c r="Y1131" s="12">
        <v>0</v>
      </c>
      <c r="Z1131" s="12">
        <v>0</v>
      </c>
      <c r="AA1131" s="12"/>
      <c r="AC1131" s="13">
        <f t="shared" si="206"/>
        <v>0</v>
      </c>
      <c r="AL1131" s="14">
        <f t="shared" si="207"/>
        <v>0</v>
      </c>
    </row>
    <row r="1132" spans="1:38" hidden="1" x14ac:dyDescent="0.25">
      <c r="A1132" s="12" t="s">
        <v>51</v>
      </c>
      <c r="B1132" s="12" t="s">
        <v>1167</v>
      </c>
      <c r="C1132" s="12" t="s">
        <v>539</v>
      </c>
      <c r="D1132" s="12"/>
      <c r="E1132" s="12">
        <f t="shared" si="205"/>
        <v>8</v>
      </c>
      <c r="F1132" s="12" t="s">
        <v>70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12">
        <v>0</v>
      </c>
      <c r="U1132" s="12">
        <v>8</v>
      </c>
      <c r="V1132" s="12">
        <v>0</v>
      </c>
      <c r="W1132" s="12">
        <v>0</v>
      </c>
      <c r="X1132" s="12">
        <v>0</v>
      </c>
      <c r="Y1132" s="12">
        <v>0</v>
      </c>
      <c r="Z1132" s="12">
        <v>0</v>
      </c>
      <c r="AA1132" s="12"/>
      <c r="AC1132" s="13">
        <f t="shared" si="206"/>
        <v>0</v>
      </c>
      <c r="AL1132" s="14">
        <f t="shared" si="207"/>
        <v>0</v>
      </c>
    </row>
    <row r="1133" spans="1:38" hidden="1" x14ac:dyDescent="0.25">
      <c r="A1133" s="12" t="s">
        <v>51</v>
      </c>
      <c r="B1133" s="12" t="s">
        <v>1168</v>
      </c>
      <c r="C1133" s="12" t="s">
        <v>539</v>
      </c>
      <c r="D1133" s="12"/>
      <c r="E1133" s="12">
        <f t="shared" si="205"/>
        <v>7</v>
      </c>
      <c r="F1133" s="12" t="s">
        <v>70</v>
      </c>
      <c r="G1133" s="12">
        <v>0</v>
      </c>
      <c r="H1133" s="12">
        <v>0</v>
      </c>
      <c r="I1133" s="12">
        <v>0</v>
      </c>
      <c r="J1133" s="12">
        <v>0</v>
      </c>
      <c r="K1133" s="12">
        <v>0</v>
      </c>
      <c r="L1133" s="12">
        <v>0</v>
      </c>
      <c r="M1133" s="12">
        <v>0</v>
      </c>
      <c r="N1133" s="12">
        <v>0</v>
      </c>
      <c r="O1133" s="12">
        <v>0</v>
      </c>
      <c r="P1133" s="12">
        <v>0</v>
      </c>
      <c r="Q1133" s="12">
        <v>0</v>
      </c>
      <c r="R1133" s="12">
        <v>0</v>
      </c>
      <c r="S1133" s="12">
        <v>0</v>
      </c>
      <c r="T1133" s="12">
        <v>0</v>
      </c>
      <c r="U1133" s="12">
        <v>7</v>
      </c>
      <c r="V1133" s="12">
        <v>0</v>
      </c>
      <c r="W1133" s="12">
        <v>0</v>
      </c>
      <c r="X1133" s="12">
        <v>0</v>
      </c>
      <c r="Y1133" s="12">
        <v>0</v>
      </c>
      <c r="Z1133" s="12">
        <v>0</v>
      </c>
      <c r="AA1133" s="12"/>
      <c r="AC1133" s="13">
        <f t="shared" si="206"/>
        <v>0</v>
      </c>
      <c r="AL1133" s="14">
        <f t="shared" si="207"/>
        <v>0</v>
      </c>
    </row>
    <row r="1134" spans="1:38" hidden="1" x14ac:dyDescent="0.25">
      <c r="A1134" s="12" t="s">
        <v>51</v>
      </c>
      <c r="B1134" s="12" t="s">
        <v>1169</v>
      </c>
      <c r="C1134" s="12" t="s">
        <v>539</v>
      </c>
      <c r="D1134" s="12"/>
      <c r="E1134" s="12">
        <f t="shared" si="205"/>
        <v>7</v>
      </c>
      <c r="F1134" s="12" t="s">
        <v>70</v>
      </c>
      <c r="G1134" s="12">
        <v>0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2">
        <v>7</v>
      </c>
      <c r="V1134" s="12">
        <v>0</v>
      </c>
      <c r="W1134" s="12">
        <v>0</v>
      </c>
      <c r="X1134" s="12">
        <v>0</v>
      </c>
      <c r="Y1134" s="12">
        <v>0</v>
      </c>
      <c r="Z1134" s="12">
        <v>0</v>
      </c>
      <c r="AA1134" s="12"/>
      <c r="AC1134" s="13">
        <f t="shared" si="206"/>
        <v>0</v>
      </c>
      <c r="AL1134" s="14">
        <f t="shared" si="207"/>
        <v>0</v>
      </c>
    </row>
    <row r="1135" spans="1:38" hidden="1" x14ac:dyDescent="0.25">
      <c r="A1135" s="12" t="s">
        <v>222</v>
      </c>
      <c r="B1135" s="12" t="s">
        <v>1170</v>
      </c>
      <c r="C1135" s="12" t="s">
        <v>539</v>
      </c>
      <c r="D1135" s="12"/>
      <c r="E1135" s="12">
        <f t="shared" si="205"/>
        <v>7</v>
      </c>
      <c r="F1135" s="12" t="s">
        <v>70</v>
      </c>
      <c r="G1135" s="12">
        <v>0</v>
      </c>
      <c r="H1135" s="12">
        <v>0</v>
      </c>
      <c r="I1135" s="12">
        <v>0</v>
      </c>
      <c r="J1135" s="12">
        <v>0</v>
      </c>
      <c r="K1135" s="12">
        <v>0</v>
      </c>
      <c r="L1135" s="12">
        <v>0</v>
      </c>
      <c r="M1135" s="12">
        <v>0</v>
      </c>
      <c r="N1135" s="12">
        <v>0</v>
      </c>
      <c r="O1135" s="12">
        <v>0</v>
      </c>
      <c r="P1135" s="12">
        <v>0</v>
      </c>
      <c r="Q1135" s="12">
        <v>0</v>
      </c>
      <c r="R1135" s="12">
        <v>0</v>
      </c>
      <c r="S1135" s="12">
        <v>0</v>
      </c>
      <c r="T1135" s="12">
        <v>0</v>
      </c>
      <c r="U1135" s="12">
        <v>0</v>
      </c>
      <c r="V1135" s="12">
        <v>0</v>
      </c>
      <c r="W1135" s="12">
        <v>7</v>
      </c>
      <c r="X1135" s="12">
        <v>0</v>
      </c>
      <c r="Y1135" s="12">
        <v>0</v>
      </c>
      <c r="Z1135" s="12">
        <v>0</v>
      </c>
      <c r="AA1135" s="12"/>
      <c r="AC1135" s="13">
        <f t="shared" si="206"/>
        <v>0</v>
      </c>
      <c r="AL1135" s="14">
        <f t="shared" si="207"/>
        <v>0</v>
      </c>
    </row>
    <row r="1136" spans="1:38" hidden="1" x14ac:dyDescent="0.25">
      <c r="A1136" s="12" t="s">
        <v>86</v>
      </c>
      <c r="B1136" s="12" t="s">
        <v>1171</v>
      </c>
      <c r="C1136" s="12" t="s">
        <v>539</v>
      </c>
      <c r="D1136" s="12"/>
      <c r="E1136" s="12">
        <f t="shared" si="205"/>
        <v>6</v>
      </c>
      <c r="F1136" s="12" t="str">
        <f>VLOOKUP(B1136,[1]lookup!A:B,2,FALSE)</f>
        <v>SaaS</v>
      </c>
      <c r="G1136" s="12">
        <v>6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12">
        <v>0</v>
      </c>
      <c r="U1136" s="12">
        <v>0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2"/>
      <c r="AC1136" s="13">
        <f t="shared" si="206"/>
        <v>0</v>
      </c>
      <c r="AL1136" s="14">
        <f t="shared" si="207"/>
        <v>0</v>
      </c>
    </row>
    <row r="1137" spans="1:38" hidden="1" x14ac:dyDescent="0.25">
      <c r="A1137" s="12" t="s">
        <v>135</v>
      </c>
      <c r="B1137" s="12" t="s">
        <v>366</v>
      </c>
      <c r="C1137" s="12" t="s">
        <v>539</v>
      </c>
      <c r="D1137" s="12"/>
      <c r="E1137" s="12">
        <f t="shared" si="205"/>
        <v>6</v>
      </c>
      <c r="F1137" s="12" t="s">
        <v>70</v>
      </c>
      <c r="G1137" s="12">
        <v>0</v>
      </c>
      <c r="H1137" s="12">
        <v>0</v>
      </c>
      <c r="I1137" s="12">
        <v>0</v>
      </c>
      <c r="J1137" s="12">
        <v>0</v>
      </c>
      <c r="K1137" s="12">
        <v>0</v>
      </c>
      <c r="L1137" s="12">
        <v>0</v>
      </c>
      <c r="M1137" s="12">
        <v>0</v>
      </c>
      <c r="N1137" s="12">
        <v>0</v>
      </c>
      <c r="O1137" s="12">
        <v>0</v>
      </c>
      <c r="P1137" s="12">
        <v>0</v>
      </c>
      <c r="Q1137" s="12">
        <v>0</v>
      </c>
      <c r="R1137" s="12">
        <v>0</v>
      </c>
      <c r="S1137" s="12">
        <v>0</v>
      </c>
      <c r="T1137" s="12">
        <v>0</v>
      </c>
      <c r="U1137" s="12">
        <v>0</v>
      </c>
      <c r="V1137" s="12">
        <v>0</v>
      </c>
      <c r="W1137" s="12">
        <v>6</v>
      </c>
      <c r="X1137" s="12">
        <v>0</v>
      </c>
      <c r="Y1137" s="12">
        <v>0</v>
      </c>
      <c r="Z1137" s="12">
        <v>0</v>
      </c>
      <c r="AA1137" s="12"/>
      <c r="AC1137" s="13">
        <f t="shared" si="206"/>
        <v>0</v>
      </c>
      <c r="AL1137" s="14">
        <f t="shared" si="207"/>
        <v>0</v>
      </c>
    </row>
    <row r="1138" spans="1:38" hidden="1" x14ac:dyDescent="0.25">
      <c r="A1138" s="12" t="s">
        <v>140</v>
      </c>
      <c r="B1138" s="12" t="s">
        <v>1172</v>
      </c>
      <c r="C1138" s="12" t="s">
        <v>539</v>
      </c>
      <c r="D1138" s="12"/>
      <c r="E1138" s="12">
        <f t="shared" si="205"/>
        <v>6</v>
      </c>
      <c r="F1138" s="12" t="s">
        <v>70</v>
      </c>
      <c r="G1138" s="12">
        <v>0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12">
        <v>0</v>
      </c>
      <c r="U1138" s="12">
        <v>0</v>
      </c>
      <c r="V1138" s="12">
        <v>0</v>
      </c>
      <c r="W1138" s="12">
        <v>6</v>
      </c>
      <c r="X1138" s="12">
        <v>0</v>
      </c>
      <c r="Y1138" s="12">
        <v>0</v>
      </c>
      <c r="Z1138" s="12">
        <v>0</v>
      </c>
      <c r="AA1138" s="12"/>
      <c r="AC1138" s="13">
        <f t="shared" si="206"/>
        <v>0</v>
      </c>
      <c r="AL1138" s="14">
        <f t="shared" si="207"/>
        <v>0</v>
      </c>
    </row>
    <row r="1139" spans="1:38" hidden="1" x14ac:dyDescent="0.25">
      <c r="A1139" s="12" t="s">
        <v>140</v>
      </c>
      <c r="B1139" s="12" t="s">
        <v>1173</v>
      </c>
      <c r="C1139" s="12" t="s">
        <v>539</v>
      </c>
      <c r="D1139" s="12"/>
      <c r="E1139" s="12">
        <f t="shared" si="205"/>
        <v>6</v>
      </c>
      <c r="F1139" s="12" t="s">
        <v>70</v>
      </c>
      <c r="G1139" s="12">
        <v>0</v>
      </c>
      <c r="H1139" s="12">
        <v>0</v>
      </c>
      <c r="I1139" s="12">
        <v>0</v>
      </c>
      <c r="J1139" s="12">
        <v>0</v>
      </c>
      <c r="K1139" s="12">
        <v>0</v>
      </c>
      <c r="L1139" s="12">
        <v>0</v>
      </c>
      <c r="M1139" s="12">
        <v>0</v>
      </c>
      <c r="N1139" s="12">
        <v>0</v>
      </c>
      <c r="O1139" s="12">
        <v>0</v>
      </c>
      <c r="P1139" s="12">
        <v>0</v>
      </c>
      <c r="Q1139" s="12">
        <v>0</v>
      </c>
      <c r="R1139" s="12">
        <v>0</v>
      </c>
      <c r="S1139" s="12">
        <v>0</v>
      </c>
      <c r="T1139" s="12">
        <v>0</v>
      </c>
      <c r="U1139" s="12">
        <v>0</v>
      </c>
      <c r="V1139" s="12">
        <v>0</v>
      </c>
      <c r="W1139" s="12">
        <v>6</v>
      </c>
      <c r="X1139" s="12">
        <v>0</v>
      </c>
      <c r="Y1139" s="12">
        <v>0</v>
      </c>
      <c r="Z1139" s="12">
        <v>0</v>
      </c>
      <c r="AA1139" s="12"/>
      <c r="AC1139" s="13">
        <f t="shared" si="206"/>
        <v>0</v>
      </c>
      <c r="AL1139" s="14">
        <f t="shared" si="207"/>
        <v>0</v>
      </c>
    </row>
    <row r="1140" spans="1:38" hidden="1" x14ac:dyDescent="0.25">
      <c r="A1140" s="12" t="s">
        <v>51</v>
      </c>
      <c r="B1140" s="12" t="s">
        <v>1174</v>
      </c>
      <c r="C1140" s="12" t="s">
        <v>539</v>
      </c>
      <c r="D1140" s="12"/>
      <c r="E1140" s="12">
        <f t="shared" si="205"/>
        <v>6</v>
      </c>
      <c r="F1140" s="12" t="s">
        <v>70</v>
      </c>
      <c r="G1140" s="12">
        <v>0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12">
        <v>0</v>
      </c>
      <c r="U1140" s="12">
        <v>6</v>
      </c>
      <c r="V1140" s="12">
        <v>0</v>
      </c>
      <c r="W1140" s="12">
        <v>0</v>
      </c>
      <c r="X1140" s="12">
        <v>0</v>
      </c>
      <c r="Y1140" s="12">
        <v>0</v>
      </c>
      <c r="Z1140" s="12">
        <v>0</v>
      </c>
      <c r="AA1140" s="12"/>
      <c r="AC1140" s="13">
        <f t="shared" si="206"/>
        <v>0</v>
      </c>
      <c r="AL1140" s="14">
        <f t="shared" si="207"/>
        <v>0</v>
      </c>
    </row>
    <row r="1141" spans="1:38" hidden="1" x14ac:dyDescent="0.25">
      <c r="A1141" s="12" t="s">
        <v>51</v>
      </c>
      <c r="B1141" s="12" t="s">
        <v>1175</v>
      </c>
      <c r="C1141" s="12" t="s">
        <v>539</v>
      </c>
      <c r="D1141" s="12"/>
      <c r="E1141" s="12">
        <f t="shared" si="205"/>
        <v>6</v>
      </c>
      <c r="F1141" s="12" t="s">
        <v>70</v>
      </c>
      <c r="G1141" s="12">
        <v>0</v>
      </c>
      <c r="H1141" s="12">
        <v>0</v>
      </c>
      <c r="I1141" s="12">
        <v>0</v>
      </c>
      <c r="J1141" s="12">
        <v>0</v>
      </c>
      <c r="K1141" s="12">
        <v>0</v>
      </c>
      <c r="L1141" s="12">
        <v>0</v>
      </c>
      <c r="M1141" s="12">
        <v>0</v>
      </c>
      <c r="N1141" s="12">
        <v>0</v>
      </c>
      <c r="O1141" s="12">
        <v>0</v>
      </c>
      <c r="P1141" s="12">
        <v>0</v>
      </c>
      <c r="Q1141" s="12">
        <v>0</v>
      </c>
      <c r="R1141" s="12">
        <v>0</v>
      </c>
      <c r="S1141" s="12">
        <v>0</v>
      </c>
      <c r="T1141" s="12">
        <v>0</v>
      </c>
      <c r="U1141" s="12">
        <v>6</v>
      </c>
      <c r="V1141" s="12">
        <v>0</v>
      </c>
      <c r="W1141" s="12">
        <v>0</v>
      </c>
      <c r="X1141" s="12">
        <v>0</v>
      </c>
      <c r="Y1141" s="12">
        <v>0</v>
      </c>
      <c r="Z1141" s="12">
        <v>0</v>
      </c>
      <c r="AA1141" s="12"/>
      <c r="AC1141" s="13">
        <f t="shared" si="206"/>
        <v>0</v>
      </c>
      <c r="AL1141" s="14">
        <f t="shared" si="207"/>
        <v>0</v>
      </c>
    </row>
    <row r="1142" spans="1:38" hidden="1" x14ac:dyDescent="0.25">
      <c r="A1142" s="12" t="s">
        <v>51</v>
      </c>
      <c r="B1142" s="12" t="s">
        <v>1176</v>
      </c>
      <c r="C1142" s="12" t="s">
        <v>539</v>
      </c>
      <c r="D1142" s="12"/>
      <c r="E1142" s="12">
        <f t="shared" si="205"/>
        <v>6</v>
      </c>
      <c r="F1142" s="12" t="s">
        <v>70</v>
      </c>
      <c r="G1142" s="12">
        <v>0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12">
        <v>0</v>
      </c>
      <c r="U1142" s="12">
        <v>6</v>
      </c>
      <c r="V1142" s="12">
        <v>0</v>
      </c>
      <c r="W1142" s="12">
        <v>0</v>
      </c>
      <c r="X1142" s="12">
        <v>0</v>
      </c>
      <c r="Y1142" s="12">
        <v>0</v>
      </c>
      <c r="Z1142" s="12">
        <v>0</v>
      </c>
      <c r="AA1142" s="12"/>
      <c r="AC1142" s="13">
        <f t="shared" si="206"/>
        <v>0</v>
      </c>
      <c r="AL1142" s="14">
        <f t="shared" si="207"/>
        <v>0</v>
      </c>
    </row>
    <row r="1143" spans="1:38" hidden="1" x14ac:dyDescent="0.25">
      <c r="A1143" s="12" t="s">
        <v>148</v>
      </c>
      <c r="B1143" s="12" t="s">
        <v>87</v>
      </c>
      <c r="C1143" s="12" t="s">
        <v>539</v>
      </c>
      <c r="D1143" s="12"/>
      <c r="E1143" s="12">
        <f t="shared" si="205"/>
        <v>6</v>
      </c>
      <c r="F1143" s="12" t="str">
        <f>VLOOKUP(B1143,[1]lookup!A:B,2,FALSE)</f>
        <v>Term</v>
      </c>
      <c r="G1143" s="12">
        <v>0</v>
      </c>
      <c r="H1143" s="12">
        <v>0</v>
      </c>
      <c r="I1143" s="12">
        <v>0</v>
      </c>
      <c r="J1143" s="12">
        <v>0</v>
      </c>
      <c r="K1143" s="12">
        <v>0</v>
      </c>
      <c r="L1143" s="12">
        <v>0</v>
      </c>
      <c r="M1143" s="12">
        <v>0</v>
      </c>
      <c r="N1143" s="12">
        <v>0</v>
      </c>
      <c r="O1143" s="12">
        <v>0</v>
      </c>
      <c r="P1143" s="12">
        <v>0</v>
      </c>
      <c r="Q1143" s="12">
        <v>0</v>
      </c>
      <c r="R1143" s="12">
        <v>0</v>
      </c>
      <c r="S1143" s="12">
        <v>0</v>
      </c>
      <c r="T1143" s="12">
        <v>0</v>
      </c>
      <c r="U1143" s="12">
        <v>0</v>
      </c>
      <c r="V1143" s="12">
        <v>0</v>
      </c>
      <c r="W1143" s="12">
        <v>6</v>
      </c>
      <c r="X1143" s="12">
        <v>0</v>
      </c>
      <c r="Y1143" s="12">
        <v>0</v>
      </c>
      <c r="Z1143" s="12">
        <v>0</v>
      </c>
      <c r="AA1143" s="12"/>
      <c r="AC1143" s="13">
        <f t="shared" si="206"/>
        <v>0</v>
      </c>
      <c r="AL1143" s="14">
        <f t="shared" si="207"/>
        <v>0</v>
      </c>
    </row>
    <row r="1144" spans="1:38" hidden="1" x14ac:dyDescent="0.25">
      <c r="A1144" s="12" t="s">
        <v>86</v>
      </c>
      <c r="B1144" s="12" t="s">
        <v>1177</v>
      </c>
      <c r="C1144" s="12" t="s">
        <v>539</v>
      </c>
      <c r="D1144" s="12"/>
      <c r="E1144" s="12">
        <f t="shared" si="205"/>
        <v>5</v>
      </c>
      <c r="F1144" s="12" t="str">
        <f>VLOOKUP(B1144,[1]lookup!A:B,2,FALSE)</f>
        <v>Term</v>
      </c>
      <c r="G1144" s="12">
        <v>0</v>
      </c>
      <c r="H1144" s="12">
        <v>5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12">
        <v>0</v>
      </c>
      <c r="U1144" s="12">
        <v>0</v>
      </c>
      <c r="V1144" s="12">
        <v>0</v>
      </c>
      <c r="W1144" s="12">
        <v>0</v>
      </c>
      <c r="X1144" s="12">
        <v>0</v>
      </c>
      <c r="Y1144" s="12">
        <v>0</v>
      </c>
      <c r="Z1144" s="12">
        <v>0</v>
      </c>
      <c r="AA1144" s="12"/>
      <c r="AC1144" s="13">
        <f t="shared" si="206"/>
        <v>0</v>
      </c>
      <c r="AK1144" s="15">
        <f>H1144*AK$2</f>
        <v>600</v>
      </c>
      <c r="AL1144" s="14">
        <f t="shared" si="207"/>
        <v>600</v>
      </c>
    </row>
    <row r="1145" spans="1:38" hidden="1" x14ac:dyDescent="0.25">
      <c r="A1145" s="12" t="s">
        <v>86</v>
      </c>
      <c r="B1145" s="12" t="s">
        <v>1178</v>
      </c>
      <c r="C1145" s="12" t="s">
        <v>539</v>
      </c>
      <c r="D1145" s="12"/>
      <c r="E1145" s="12">
        <f t="shared" si="205"/>
        <v>5</v>
      </c>
      <c r="F1145" s="12" t="str">
        <f>VLOOKUP(B1145,[1]lookup!A:B,2,FALSE)</f>
        <v>SaaS</v>
      </c>
      <c r="G1145" s="12">
        <v>5</v>
      </c>
      <c r="H1145" s="12">
        <v>0</v>
      </c>
      <c r="I1145" s="12">
        <v>0</v>
      </c>
      <c r="J1145" s="12">
        <v>0</v>
      </c>
      <c r="K1145" s="12">
        <v>0</v>
      </c>
      <c r="L1145" s="12">
        <v>0</v>
      </c>
      <c r="M1145" s="12">
        <v>0</v>
      </c>
      <c r="N1145" s="12">
        <v>0</v>
      </c>
      <c r="O1145" s="12">
        <v>0</v>
      </c>
      <c r="P1145" s="12">
        <v>0</v>
      </c>
      <c r="Q1145" s="12">
        <v>0</v>
      </c>
      <c r="R1145" s="12">
        <v>0</v>
      </c>
      <c r="S1145" s="12">
        <v>0</v>
      </c>
      <c r="T1145" s="12">
        <v>0</v>
      </c>
      <c r="U1145" s="12">
        <v>0</v>
      </c>
      <c r="V1145" s="12">
        <v>0</v>
      </c>
      <c r="W1145" s="12">
        <v>0</v>
      </c>
      <c r="X1145" s="12">
        <v>0</v>
      </c>
      <c r="Y1145" s="12">
        <v>0</v>
      </c>
      <c r="Z1145" s="12">
        <v>0</v>
      </c>
      <c r="AA1145" s="12"/>
      <c r="AC1145" s="13">
        <f t="shared" si="206"/>
        <v>0</v>
      </c>
      <c r="AL1145" s="14">
        <f t="shared" si="207"/>
        <v>0</v>
      </c>
    </row>
    <row r="1146" spans="1:38" hidden="1" x14ac:dyDescent="0.25">
      <c r="A1146" s="12" t="s">
        <v>86</v>
      </c>
      <c r="B1146" s="12" t="s">
        <v>1179</v>
      </c>
      <c r="C1146" s="12" t="s">
        <v>539</v>
      </c>
      <c r="D1146" s="12"/>
      <c r="E1146" s="12">
        <f t="shared" si="205"/>
        <v>5</v>
      </c>
      <c r="F1146" s="12" t="str">
        <f>VLOOKUP(B1146,[1]lookup!A:B,2,FALSE)</f>
        <v>SaaS</v>
      </c>
      <c r="G1146" s="12">
        <v>5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12">
        <v>0</v>
      </c>
      <c r="U1146" s="12">
        <v>0</v>
      </c>
      <c r="V1146" s="12">
        <v>0</v>
      </c>
      <c r="W1146" s="12">
        <v>0</v>
      </c>
      <c r="X1146" s="12">
        <v>0</v>
      </c>
      <c r="Y1146" s="12">
        <v>0</v>
      </c>
      <c r="Z1146" s="12">
        <v>0</v>
      </c>
      <c r="AA1146" s="12"/>
      <c r="AC1146" s="13">
        <f t="shared" si="206"/>
        <v>0</v>
      </c>
      <c r="AL1146" s="14">
        <f t="shared" si="207"/>
        <v>0</v>
      </c>
    </row>
    <row r="1147" spans="1:38" hidden="1" x14ac:dyDescent="0.25">
      <c r="A1147" s="12" t="s">
        <v>86</v>
      </c>
      <c r="B1147" s="12" t="s">
        <v>1180</v>
      </c>
      <c r="C1147" s="12" t="s">
        <v>539</v>
      </c>
      <c r="D1147" s="12"/>
      <c r="E1147" s="12">
        <f t="shared" si="205"/>
        <v>5</v>
      </c>
      <c r="F1147" s="12" t="str">
        <f>VLOOKUP(B1147,[1]lookup!A:B,2,FALSE)</f>
        <v>SaaS</v>
      </c>
      <c r="G1147" s="12">
        <v>5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/>
      <c r="AC1147" s="13">
        <f t="shared" si="206"/>
        <v>0</v>
      </c>
      <c r="AL1147" s="14">
        <f t="shared" si="207"/>
        <v>0</v>
      </c>
    </row>
    <row r="1148" spans="1:38" hidden="1" x14ac:dyDescent="0.25">
      <c r="A1148" s="12" t="s">
        <v>78</v>
      </c>
      <c r="B1148" s="12" t="s">
        <v>404</v>
      </c>
      <c r="C1148" s="12" t="s">
        <v>539</v>
      </c>
      <c r="D1148" s="12"/>
      <c r="E1148" s="12">
        <f t="shared" si="205"/>
        <v>5</v>
      </c>
      <c r="F1148" s="12" t="str">
        <f>VLOOKUP(B1148,[1]lookup!A:B,2,FALSE)</f>
        <v>Perpetual</v>
      </c>
      <c r="G1148" s="12">
        <v>0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5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/>
      <c r="AC1148" s="13">
        <f t="shared" si="206"/>
        <v>1200</v>
      </c>
      <c r="AL1148" s="14">
        <f t="shared" si="207"/>
        <v>1200</v>
      </c>
    </row>
    <row r="1149" spans="1:38" hidden="1" x14ac:dyDescent="0.25">
      <c r="A1149" s="12" t="s">
        <v>178</v>
      </c>
      <c r="B1149" s="12" t="s">
        <v>1181</v>
      </c>
      <c r="C1149" s="12" t="s">
        <v>539</v>
      </c>
      <c r="D1149" s="12"/>
      <c r="E1149" s="12">
        <f t="shared" si="205"/>
        <v>5</v>
      </c>
      <c r="F1149" s="12" t="s">
        <v>70</v>
      </c>
      <c r="G1149" s="12">
        <v>0</v>
      </c>
      <c r="H1149" s="12">
        <v>0</v>
      </c>
      <c r="I1149" s="12">
        <v>0</v>
      </c>
      <c r="J1149" s="12">
        <v>0</v>
      </c>
      <c r="K1149" s="12">
        <v>0</v>
      </c>
      <c r="L1149" s="12">
        <v>0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0</v>
      </c>
      <c r="S1149" s="12">
        <v>0</v>
      </c>
      <c r="T1149" s="12">
        <v>0</v>
      </c>
      <c r="U1149" s="12">
        <v>0</v>
      </c>
      <c r="V1149" s="12">
        <v>0</v>
      </c>
      <c r="W1149" s="12">
        <v>5</v>
      </c>
      <c r="X1149" s="12">
        <v>0</v>
      </c>
      <c r="Y1149" s="12">
        <v>0</v>
      </c>
      <c r="Z1149" s="12">
        <v>0</v>
      </c>
      <c r="AA1149" s="12"/>
      <c r="AC1149" s="13">
        <f t="shared" si="206"/>
        <v>0</v>
      </c>
      <c r="AL1149" s="14">
        <f t="shared" si="207"/>
        <v>0</v>
      </c>
    </row>
    <row r="1150" spans="1:38" hidden="1" x14ac:dyDescent="0.25">
      <c r="A1150" s="12" t="s">
        <v>86</v>
      </c>
      <c r="B1150" s="12" t="s">
        <v>1182</v>
      </c>
      <c r="C1150" s="12" t="s">
        <v>539</v>
      </c>
      <c r="D1150" s="12"/>
      <c r="E1150" s="12">
        <f t="shared" si="205"/>
        <v>4</v>
      </c>
      <c r="F1150" s="12" t="str">
        <f>VLOOKUP(B1150,[1]lookup!A:B,2,FALSE)</f>
        <v>Perpetual</v>
      </c>
      <c r="G1150" s="12">
        <v>0</v>
      </c>
      <c r="H1150" s="12">
        <v>2</v>
      </c>
      <c r="I1150" s="12">
        <v>0</v>
      </c>
      <c r="J1150" s="12">
        <v>2</v>
      </c>
      <c r="K1150" s="12">
        <v>0</v>
      </c>
      <c r="L1150" s="12">
        <v>0</v>
      </c>
      <c r="M1150" s="12">
        <v>4</v>
      </c>
      <c r="N1150" s="12">
        <v>0</v>
      </c>
      <c r="O1150" s="12">
        <v>2</v>
      </c>
      <c r="P1150" s="12">
        <v>0</v>
      </c>
      <c r="Q1150" s="12">
        <v>0</v>
      </c>
      <c r="R1150" s="12">
        <v>0</v>
      </c>
      <c r="S1150" s="12">
        <v>0</v>
      </c>
      <c r="T1150" s="12">
        <v>0</v>
      </c>
      <c r="U1150" s="12">
        <v>0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2"/>
      <c r="AC1150" s="13">
        <f t="shared" si="206"/>
        <v>960</v>
      </c>
      <c r="AD1150" s="13">
        <f>J1150*AD$2</f>
        <v>480</v>
      </c>
      <c r="AE1150" s="13">
        <f>J1150*AE$2</f>
        <v>240</v>
      </c>
      <c r="AK1150" s="15">
        <f>H1150*AK$2</f>
        <v>240</v>
      </c>
      <c r="AL1150" s="14">
        <f t="shared" si="207"/>
        <v>1920</v>
      </c>
    </row>
    <row r="1151" spans="1:38" hidden="1" x14ac:dyDescent="0.25">
      <c r="A1151" s="12" t="s">
        <v>86</v>
      </c>
      <c r="B1151" s="12" t="s">
        <v>1183</v>
      </c>
      <c r="C1151" s="12" t="s">
        <v>539</v>
      </c>
      <c r="D1151" s="12"/>
      <c r="E1151" s="12">
        <f t="shared" si="205"/>
        <v>4</v>
      </c>
      <c r="F1151" s="12" t="s">
        <v>70</v>
      </c>
      <c r="G1151" s="12">
        <v>0</v>
      </c>
      <c r="H1151" s="12">
        <v>0</v>
      </c>
      <c r="I1151" s="12">
        <v>0</v>
      </c>
      <c r="J1151" s="12">
        <v>0</v>
      </c>
      <c r="K1151" s="12">
        <v>0</v>
      </c>
      <c r="L1151" s="12">
        <v>0</v>
      </c>
      <c r="M1151" s="12">
        <v>0</v>
      </c>
      <c r="N1151" s="12">
        <v>0</v>
      </c>
      <c r="O1151" s="12">
        <v>0</v>
      </c>
      <c r="P1151" s="12">
        <v>0</v>
      </c>
      <c r="Q1151" s="12">
        <v>0</v>
      </c>
      <c r="R1151" s="12">
        <v>0</v>
      </c>
      <c r="S1151" s="12">
        <v>4</v>
      </c>
      <c r="T1151" s="12">
        <v>0</v>
      </c>
      <c r="U1151" s="12">
        <v>0</v>
      </c>
      <c r="V1151" s="12">
        <v>0</v>
      </c>
      <c r="W1151" s="12">
        <v>0</v>
      </c>
      <c r="X1151" s="12">
        <v>0</v>
      </c>
      <c r="Y1151" s="12">
        <v>0</v>
      </c>
      <c r="Z1151" s="12">
        <v>0</v>
      </c>
      <c r="AA1151" s="12"/>
      <c r="AC1151" s="13">
        <f t="shared" si="206"/>
        <v>0</v>
      </c>
      <c r="AL1151" s="14">
        <f t="shared" si="207"/>
        <v>0</v>
      </c>
    </row>
    <row r="1152" spans="1:38" hidden="1" x14ac:dyDescent="0.25">
      <c r="A1152" s="12" t="s">
        <v>51</v>
      </c>
      <c r="B1152" s="12" t="s">
        <v>1184</v>
      </c>
      <c r="C1152" s="12" t="s">
        <v>539</v>
      </c>
      <c r="D1152" s="12"/>
      <c r="E1152" s="12">
        <f t="shared" si="205"/>
        <v>4</v>
      </c>
      <c r="F1152" s="12" t="s">
        <v>70</v>
      </c>
      <c r="G1152" s="12">
        <v>0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12">
        <v>0</v>
      </c>
      <c r="U1152" s="12">
        <v>4</v>
      </c>
      <c r="V1152" s="12">
        <v>0</v>
      </c>
      <c r="W1152" s="12">
        <v>0</v>
      </c>
      <c r="X1152" s="12">
        <v>0</v>
      </c>
      <c r="Y1152" s="12">
        <v>0</v>
      </c>
      <c r="Z1152" s="12">
        <v>0</v>
      </c>
      <c r="AA1152" s="12"/>
      <c r="AC1152" s="13">
        <f t="shared" si="206"/>
        <v>0</v>
      </c>
      <c r="AL1152" s="14">
        <f t="shared" si="207"/>
        <v>0</v>
      </c>
    </row>
    <row r="1153" spans="1:38" hidden="1" x14ac:dyDescent="0.25">
      <c r="A1153" s="12" t="s">
        <v>51</v>
      </c>
      <c r="B1153" s="12" t="s">
        <v>1185</v>
      </c>
      <c r="C1153" s="12" t="s">
        <v>539</v>
      </c>
      <c r="D1153" s="12"/>
      <c r="E1153" s="12">
        <f t="shared" si="205"/>
        <v>4</v>
      </c>
      <c r="F1153" s="12" t="s">
        <v>70</v>
      </c>
      <c r="G1153" s="12">
        <v>0</v>
      </c>
      <c r="H1153" s="12">
        <v>0</v>
      </c>
      <c r="I1153" s="12">
        <v>0</v>
      </c>
      <c r="J1153" s="12">
        <v>0</v>
      </c>
      <c r="K1153" s="12">
        <v>0</v>
      </c>
      <c r="L1153" s="12">
        <v>0</v>
      </c>
      <c r="M1153" s="12">
        <v>0</v>
      </c>
      <c r="N1153" s="12">
        <v>0</v>
      </c>
      <c r="O1153" s="12">
        <v>0</v>
      </c>
      <c r="P1153" s="12">
        <v>0</v>
      </c>
      <c r="Q1153" s="12">
        <v>0</v>
      </c>
      <c r="R1153" s="12">
        <v>0</v>
      </c>
      <c r="S1153" s="12">
        <v>0</v>
      </c>
      <c r="T1153" s="12">
        <v>0</v>
      </c>
      <c r="U1153" s="12">
        <v>4</v>
      </c>
      <c r="V1153" s="12">
        <v>0</v>
      </c>
      <c r="W1153" s="12">
        <v>0</v>
      </c>
      <c r="X1153" s="12">
        <v>0</v>
      </c>
      <c r="Y1153" s="12">
        <v>0</v>
      </c>
      <c r="Z1153" s="12">
        <v>0</v>
      </c>
      <c r="AA1153" s="12"/>
      <c r="AC1153" s="13">
        <f t="shared" si="206"/>
        <v>0</v>
      </c>
      <c r="AL1153" s="14">
        <f t="shared" si="207"/>
        <v>0</v>
      </c>
    </row>
    <row r="1154" spans="1:38" hidden="1" x14ac:dyDescent="0.25">
      <c r="A1154" s="12" t="s">
        <v>51</v>
      </c>
      <c r="B1154" s="12" t="s">
        <v>1186</v>
      </c>
      <c r="C1154" s="12" t="s">
        <v>539</v>
      </c>
      <c r="D1154" s="12"/>
      <c r="E1154" s="12">
        <f t="shared" si="205"/>
        <v>4</v>
      </c>
      <c r="F1154" s="12" t="s">
        <v>70</v>
      </c>
      <c r="G1154" s="12">
        <v>0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12">
        <v>0</v>
      </c>
      <c r="U1154" s="12">
        <v>4</v>
      </c>
      <c r="V1154" s="12">
        <v>0</v>
      </c>
      <c r="W1154" s="12">
        <v>0</v>
      </c>
      <c r="X1154" s="12">
        <v>0</v>
      </c>
      <c r="Y1154" s="12">
        <v>0</v>
      </c>
      <c r="Z1154" s="12">
        <v>0</v>
      </c>
      <c r="AA1154" s="12"/>
      <c r="AC1154" s="13">
        <f t="shared" si="206"/>
        <v>0</v>
      </c>
      <c r="AL1154" s="14">
        <f t="shared" si="207"/>
        <v>0</v>
      </c>
    </row>
    <row r="1155" spans="1:38" hidden="1" x14ac:dyDescent="0.25">
      <c r="A1155" s="12" t="s">
        <v>56</v>
      </c>
      <c r="B1155" s="12" t="s">
        <v>1187</v>
      </c>
      <c r="C1155" s="12" t="s">
        <v>539</v>
      </c>
      <c r="D1155" s="12"/>
      <c r="E1155" s="12">
        <f t="shared" si="205"/>
        <v>3</v>
      </c>
      <c r="F1155" s="12" t="s">
        <v>70</v>
      </c>
      <c r="G1155" s="12">
        <v>0</v>
      </c>
      <c r="H1155" s="12">
        <v>0</v>
      </c>
      <c r="I1155" s="12">
        <v>0</v>
      </c>
      <c r="J1155" s="12">
        <v>0</v>
      </c>
      <c r="K1155" s="12">
        <v>0</v>
      </c>
      <c r="L1155" s="12">
        <v>0</v>
      </c>
      <c r="M1155" s="12">
        <v>0</v>
      </c>
      <c r="N1155" s="12">
        <v>0</v>
      </c>
      <c r="O1155" s="12">
        <v>0</v>
      </c>
      <c r="P1155" s="12">
        <v>0</v>
      </c>
      <c r="Q1155" s="12">
        <v>0</v>
      </c>
      <c r="R1155" s="12">
        <v>0</v>
      </c>
      <c r="S1155" s="12">
        <v>0</v>
      </c>
      <c r="T1155" s="12">
        <v>0</v>
      </c>
      <c r="U1155" s="12">
        <v>3</v>
      </c>
      <c r="V1155" s="12">
        <v>0</v>
      </c>
      <c r="W1155" s="12">
        <v>0</v>
      </c>
      <c r="X1155" s="12">
        <v>0</v>
      </c>
      <c r="Y1155" s="12">
        <v>0</v>
      </c>
      <c r="Z1155" s="12">
        <v>0</v>
      </c>
      <c r="AA1155" s="12"/>
      <c r="AC1155" s="13">
        <f t="shared" si="206"/>
        <v>0</v>
      </c>
      <c r="AL1155" s="14">
        <f t="shared" si="207"/>
        <v>0</v>
      </c>
    </row>
    <row r="1156" spans="1:38" hidden="1" x14ac:dyDescent="0.25">
      <c r="A1156" s="12" t="s">
        <v>51</v>
      </c>
      <c r="B1156" s="12" t="s">
        <v>1188</v>
      </c>
      <c r="C1156" s="12" t="s">
        <v>539</v>
      </c>
      <c r="D1156" s="12"/>
      <c r="E1156" s="12">
        <f t="shared" si="205"/>
        <v>3</v>
      </c>
      <c r="F1156" s="12" t="s">
        <v>70</v>
      </c>
      <c r="G1156" s="12">
        <v>0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12">
        <v>0</v>
      </c>
      <c r="U1156" s="12">
        <v>3</v>
      </c>
      <c r="V1156" s="12">
        <v>0</v>
      </c>
      <c r="W1156" s="12">
        <v>0</v>
      </c>
      <c r="X1156" s="12">
        <v>0</v>
      </c>
      <c r="Y1156" s="12">
        <v>0</v>
      </c>
      <c r="Z1156" s="12">
        <v>0</v>
      </c>
      <c r="AA1156" s="12"/>
      <c r="AC1156" s="13">
        <f t="shared" si="206"/>
        <v>0</v>
      </c>
      <c r="AL1156" s="14">
        <f t="shared" si="207"/>
        <v>0</v>
      </c>
    </row>
    <row r="1157" spans="1:38" hidden="1" x14ac:dyDescent="0.25">
      <c r="A1157" s="12" t="s">
        <v>51</v>
      </c>
      <c r="B1157" s="12" t="s">
        <v>1189</v>
      </c>
      <c r="C1157" s="12" t="s">
        <v>539</v>
      </c>
      <c r="D1157" s="12"/>
      <c r="E1157" s="12">
        <f t="shared" ref="E1157:E1220" si="209">MAX(G1157:Z1157)</f>
        <v>3</v>
      </c>
      <c r="F1157" s="12" t="s">
        <v>70</v>
      </c>
      <c r="G1157" s="12">
        <v>0</v>
      </c>
      <c r="H1157" s="12">
        <v>0</v>
      </c>
      <c r="I1157" s="12">
        <v>0</v>
      </c>
      <c r="J1157" s="12">
        <v>0</v>
      </c>
      <c r="K1157" s="12">
        <v>0</v>
      </c>
      <c r="L1157" s="12">
        <v>0</v>
      </c>
      <c r="M1157" s="12">
        <v>0</v>
      </c>
      <c r="N1157" s="12">
        <v>0</v>
      </c>
      <c r="O1157" s="12">
        <v>0</v>
      </c>
      <c r="P1157" s="12">
        <v>0</v>
      </c>
      <c r="Q1157" s="12">
        <v>0</v>
      </c>
      <c r="R1157" s="12">
        <v>0</v>
      </c>
      <c r="S1157" s="12">
        <v>0</v>
      </c>
      <c r="T1157" s="12">
        <v>0</v>
      </c>
      <c r="U1157" s="12">
        <v>3</v>
      </c>
      <c r="V1157" s="12">
        <v>0</v>
      </c>
      <c r="W1157" s="12">
        <v>0</v>
      </c>
      <c r="X1157" s="12">
        <v>0</v>
      </c>
      <c r="Y1157" s="12">
        <v>0</v>
      </c>
      <c r="Z1157" s="12">
        <v>0</v>
      </c>
      <c r="AA1157" s="12"/>
      <c r="AC1157" s="13">
        <f t="shared" ref="AC1157:AC1220" si="210">M1157*AC$2</f>
        <v>0</v>
      </c>
      <c r="AL1157" s="14">
        <f t="shared" si="207"/>
        <v>0</v>
      </c>
    </row>
    <row r="1158" spans="1:38" hidden="1" x14ac:dyDescent="0.25">
      <c r="A1158" s="12" t="s">
        <v>1119</v>
      </c>
      <c r="B1158" s="12" t="s">
        <v>1190</v>
      </c>
      <c r="C1158" s="12" t="s">
        <v>539</v>
      </c>
      <c r="D1158" s="12"/>
      <c r="E1158" s="12">
        <f t="shared" si="209"/>
        <v>3</v>
      </c>
      <c r="F1158" s="12" t="s">
        <v>70</v>
      </c>
      <c r="G1158" s="12">
        <v>0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12">
        <v>0</v>
      </c>
      <c r="U1158" s="12">
        <v>0</v>
      </c>
      <c r="V1158" s="12">
        <v>3</v>
      </c>
      <c r="W1158" s="12">
        <v>0</v>
      </c>
      <c r="X1158" s="12">
        <v>0</v>
      </c>
      <c r="Y1158" s="12">
        <v>0</v>
      </c>
      <c r="Z1158" s="12">
        <v>0</v>
      </c>
      <c r="AA1158" s="12"/>
      <c r="AC1158" s="13">
        <f t="shared" si="210"/>
        <v>0</v>
      </c>
      <c r="AL1158" s="14">
        <f t="shared" ref="AL1158:AL1221" si="211">SUM(AC1158:AK1158)</f>
        <v>0</v>
      </c>
    </row>
    <row r="1159" spans="1:38" hidden="1" x14ac:dyDescent="0.25">
      <c r="A1159" s="12" t="s">
        <v>435</v>
      </c>
      <c r="B1159" s="12" t="s">
        <v>1170</v>
      </c>
      <c r="C1159" s="12" t="s">
        <v>539</v>
      </c>
      <c r="D1159" s="12"/>
      <c r="E1159" s="12">
        <f t="shared" si="209"/>
        <v>3</v>
      </c>
      <c r="F1159" s="12" t="s">
        <v>70</v>
      </c>
      <c r="G1159" s="12">
        <v>0</v>
      </c>
      <c r="H1159" s="12">
        <v>0</v>
      </c>
      <c r="I1159" s="12">
        <v>0</v>
      </c>
      <c r="J1159" s="12">
        <v>0</v>
      </c>
      <c r="K1159" s="12">
        <v>0</v>
      </c>
      <c r="L1159" s="12">
        <v>0</v>
      </c>
      <c r="M1159" s="12">
        <v>0</v>
      </c>
      <c r="N1159" s="12">
        <v>0</v>
      </c>
      <c r="O1159" s="12">
        <v>0</v>
      </c>
      <c r="P1159" s="12">
        <v>0</v>
      </c>
      <c r="Q1159" s="12">
        <v>0</v>
      </c>
      <c r="R1159" s="12">
        <v>0</v>
      </c>
      <c r="S1159" s="12">
        <v>0</v>
      </c>
      <c r="T1159" s="12">
        <v>0</v>
      </c>
      <c r="U1159" s="12">
        <v>0</v>
      </c>
      <c r="V1159" s="12">
        <v>0</v>
      </c>
      <c r="W1159" s="12">
        <v>3</v>
      </c>
      <c r="X1159" s="12">
        <v>0</v>
      </c>
      <c r="Y1159" s="12">
        <v>0</v>
      </c>
      <c r="Z1159" s="12">
        <v>0</v>
      </c>
      <c r="AA1159" s="12"/>
      <c r="AC1159" s="13">
        <f t="shared" si="210"/>
        <v>0</v>
      </c>
      <c r="AL1159" s="14">
        <f t="shared" si="211"/>
        <v>0</v>
      </c>
    </row>
    <row r="1160" spans="1:38" hidden="1" x14ac:dyDescent="0.25">
      <c r="A1160" s="12" t="s">
        <v>92</v>
      </c>
      <c r="B1160" s="12" t="s">
        <v>1191</v>
      </c>
      <c r="C1160" s="12" t="s">
        <v>539</v>
      </c>
      <c r="D1160" s="12"/>
      <c r="E1160" s="12">
        <f t="shared" si="209"/>
        <v>2</v>
      </c>
      <c r="F1160" s="12" t="s">
        <v>70</v>
      </c>
      <c r="G1160" s="12">
        <v>0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12">
        <v>0</v>
      </c>
      <c r="U1160" s="12">
        <v>0</v>
      </c>
      <c r="V1160" s="12">
        <v>0</v>
      </c>
      <c r="W1160" s="12">
        <v>2</v>
      </c>
      <c r="X1160" s="12">
        <v>0</v>
      </c>
      <c r="Y1160" s="12">
        <v>0</v>
      </c>
      <c r="Z1160" s="12">
        <v>0</v>
      </c>
      <c r="AA1160" s="12"/>
      <c r="AC1160" s="13">
        <f t="shared" si="210"/>
        <v>0</v>
      </c>
      <c r="AL1160" s="14">
        <f t="shared" si="211"/>
        <v>0</v>
      </c>
    </row>
    <row r="1161" spans="1:38" hidden="1" x14ac:dyDescent="0.25">
      <c r="A1161" s="12" t="s">
        <v>104</v>
      </c>
      <c r="B1161" s="12" t="s">
        <v>1192</v>
      </c>
      <c r="C1161" s="12" t="s">
        <v>539</v>
      </c>
      <c r="D1161" s="12"/>
      <c r="E1161" s="12">
        <f t="shared" si="209"/>
        <v>2</v>
      </c>
      <c r="F1161" s="12" t="s">
        <v>70</v>
      </c>
      <c r="G1161" s="12">
        <v>0</v>
      </c>
      <c r="H1161" s="12">
        <v>0</v>
      </c>
      <c r="I1161" s="12">
        <v>0</v>
      </c>
      <c r="J1161" s="12">
        <v>0</v>
      </c>
      <c r="K1161" s="12">
        <v>0</v>
      </c>
      <c r="L1161" s="12">
        <v>0</v>
      </c>
      <c r="M1161" s="12">
        <v>0</v>
      </c>
      <c r="N1161" s="12">
        <v>0</v>
      </c>
      <c r="O1161" s="12">
        <v>0</v>
      </c>
      <c r="P1161" s="12">
        <v>0</v>
      </c>
      <c r="Q1161" s="12">
        <v>0</v>
      </c>
      <c r="R1161" s="12">
        <v>0</v>
      </c>
      <c r="S1161" s="12">
        <v>0</v>
      </c>
      <c r="T1161" s="12">
        <v>0</v>
      </c>
      <c r="U1161" s="12">
        <v>0</v>
      </c>
      <c r="V1161" s="12">
        <v>2</v>
      </c>
      <c r="W1161" s="12">
        <v>0</v>
      </c>
      <c r="X1161" s="12">
        <v>0</v>
      </c>
      <c r="Y1161" s="12">
        <v>0</v>
      </c>
      <c r="Z1161" s="12">
        <v>0</v>
      </c>
      <c r="AA1161" s="12"/>
      <c r="AC1161" s="13">
        <f t="shared" si="210"/>
        <v>0</v>
      </c>
      <c r="AL1161" s="14">
        <f t="shared" si="211"/>
        <v>0</v>
      </c>
    </row>
    <row r="1162" spans="1:38" hidden="1" x14ac:dyDescent="0.25">
      <c r="A1162" s="12" t="s">
        <v>399</v>
      </c>
      <c r="B1162" s="12" t="s">
        <v>1193</v>
      </c>
      <c r="C1162" s="12" t="s">
        <v>539</v>
      </c>
      <c r="D1162" s="12"/>
      <c r="E1162" s="12">
        <f t="shared" si="209"/>
        <v>2</v>
      </c>
      <c r="F1162" s="12" t="s">
        <v>70</v>
      </c>
      <c r="G1162" s="12">
        <v>0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12">
        <v>0</v>
      </c>
      <c r="U1162" s="12">
        <v>2</v>
      </c>
      <c r="V1162" s="12">
        <v>0</v>
      </c>
      <c r="W1162" s="12">
        <v>0</v>
      </c>
      <c r="X1162" s="12">
        <v>0</v>
      </c>
      <c r="Y1162" s="12">
        <v>0</v>
      </c>
      <c r="Z1162" s="12">
        <v>0</v>
      </c>
      <c r="AA1162" s="12"/>
      <c r="AC1162" s="13">
        <f t="shared" si="210"/>
        <v>0</v>
      </c>
      <c r="AL1162" s="14">
        <f t="shared" si="211"/>
        <v>0</v>
      </c>
    </row>
    <row r="1163" spans="1:38" hidden="1" x14ac:dyDescent="0.25">
      <c r="A1163" s="12" t="s">
        <v>399</v>
      </c>
      <c r="B1163" s="12" t="s">
        <v>1194</v>
      </c>
      <c r="C1163" s="12" t="s">
        <v>539</v>
      </c>
      <c r="D1163" s="12"/>
      <c r="E1163" s="12">
        <f t="shared" si="209"/>
        <v>2</v>
      </c>
      <c r="F1163" s="12" t="s">
        <v>70</v>
      </c>
      <c r="G1163" s="12">
        <v>0</v>
      </c>
      <c r="H1163" s="12">
        <v>0</v>
      </c>
      <c r="I1163" s="12">
        <v>0</v>
      </c>
      <c r="J1163" s="12">
        <v>0</v>
      </c>
      <c r="K1163" s="12">
        <v>0</v>
      </c>
      <c r="L1163" s="12">
        <v>0</v>
      </c>
      <c r="M1163" s="12">
        <v>0</v>
      </c>
      <c r="N1163" s="12">
        <v>0</v>
      </c>
      <c r="O1163" s="12">
        <v>0</v>
      </c>
      <c r="P1163" s="12">
        <v>0</v>
      </c>
      <c r="Q1163" s="12">
        <v>0</v>
      </c>
      <c r="R1163" s="12">
        <v>0</v>
      </c>
      <c r="S1163" s="12">
        <v>0</v>
      </c>
      <c r="T1163" s="12">
        <v>0</v>
      </c>
      <c r="U1163" s="12">
        <v>2</v>
      </c>
      <c r="V1163" s="12">
        <v>0</v>
      </c>
      <c r="W1163" s="12">
        <v>0</v>
      </c>
      <c r="X1163" s="12">
        <v>0</v>
      </c>
      <c r="Y1163" s="12">
        <v>0</v>
      </c>
      <c r="Z1163" s="12">
        <v>0</v>
      </c>
      <c r="AA1163" s="12"/>
      <c r="AC1163" s="13">
        <f t="shared" si="210"/>
        <v>0</v>
      </c>
      <c r="AL1163" s="14">
        <f t="shared" si="211"/>
        <v>0</v>
      </c>
    </row>
    <row r="1164" spans="1:38" hidden="1" x14ac:dyDescent="0.25">
      <c r="A1164" s="12" t="s">
        <v>51</v>
      </c>
      <c r="B1164" s="12" t="s">
        <v>1195</v>
      </c>
      <c r="C1164" s="12" t="s">
        <v>539</v>
      </c>
      <c r="D1164" s="12"/>
      <c r="E1164" s="12">
        <f t="shared" si="209"/>
        <v>2</v>
      </c>
      <c r="F1164" s="12" t="s">
        <v>70</v>
      </c>
      <c r="G1164" s="12">
        <v>0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12">
        <v>0</v>
      </c>
      <c r="U1164" s="12">
        <v>2</v>
      </c>
      <c r="V1164" s="12">
        <v>0</v>
      </c>
      <c r="W1164" s="12">
        <v>0</v>
      </c>
      <c r="X1164" s="12">
        <v>0</v>
      </c>
      <c r="Y1164" s="12">
        <v>0</v>
      </c>
      <c r="Z1164" s="12">
        <v>0</v>
      </c>
      <c r="AA1164" s="12"/>
      <c r="AC1164" s="13">
        <f t="shared" si="210"/>
        <v>0</v>
      </c>
      <c r="AL1164" s="14">
        <f t="shared" si="211"/>
        <v>0</v>
      </c>
    </row>
    <row r="1165" spans="1:38" hidden="1" x14ac:dyDescent="0.25">
      <c r="A1165" s="12" t="s">
        <v>1119</v>
      </c>
      <c r="B1165" s="12" t="s">
        <v>1196</v>
      </c>
      <c r="C1165" s="12" t="s">
        <v>539</v>
      </c>
      <c r="D1165" s="12"/>
      <c r="E1165" s="12">
        <f t="shared" si="209"/>
        <v>2</v>
      </c>
      <c r="F1165" s="12" t="s">
        <v>70</v>
      </c>
      <c r="G1165" s="12">
        <v>0</v>
      </c>
      <c r="H1165" s="12">
        <v>0</v>
      </c>
      <c r="I1165" s="12">
        <v>0</v>
      </c>
      <c r="J1165" s="12">
        <v>0</v>
      </c>
      <c r="K1165" s="12">
        <v>0</v>
      </c>
      <c r="L1165" s="12">
        <v>0</v>
      </c>
      <c r="M1165" s="12">
        <v>0</v>
      </c>
      <c r="N1165" s="12">
        <v>0</v>
      </c>
      <c r="O1165" s="12">
        <v>0</v>
      </c>
      <c r="P1165" s="12">
        <v>0</v>
      </c>
      <c r="Q1165" s="12">
        <v>0</v>
      </c>
      <c r="R1165" s="12">
        <v>0</v>
      </c>
      <c r="S1165" s="12">
        <v>0</v>
      </c>
      <c r="T1165" s="12">
        <v>0</v>
      </c>
      <c r="U1165" s="12">
        <v>0</v>
      </c>
      <c r="V1165" s="12">
        <v>2</v>
      </c>
      <c r="W1165" s="12">
        <v>0</v>
      </c>
      <c r="X1165" s="12">
        <v>0</v>
      </c>
      <c r="Y1165" s="12">
        <v>0</v>
      </c>
      <c r="Z1165" s="12">
        <v>0</v>
      </c>
      <c r="AA1165" s="12"/>
      <c r="AC1165" s="13">
        <f t="shared" si="210"/>
        <v>0</v>
      </c>
      <c r="AL1165" s="14">
        <f t="shared" si="211"/>
        <v>0</v>
      </c>
    </row>
    <row r="1166" spans="1:38" hidden="1" x14ac:dyDescent="0.25">
      <c r="A1166" s="12" t="s">
        <v>1197</v>
      </c>
      <c r="B1166" s="12" t="s">
        <v>685</v>
      </c>
      <c r="C1166" s="12" t="s">
        <v>539</v>
      </c>
      <c r="D1166" s="12"/>
      <c r="E1166" s="12">
        <f t="shared" si="209"/>
        <v>2</v>
      </c>
      <c r="F1166" s="12" t="s">
        <v>70</v>
      </c>
      <c r="G1166" s="12">
        <v>0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12">
        <v>0</v>
      </c>
      <c r="U1166" s="12">
        <v>0</v>
      </c>
      <c r="V1166" s="12">
        <v>2</v>
      </c>
      <c r="W1166" s="12">
        <v>0</v>
      </c>
      <c r="X1166" s="12">
        <v>0</v>
      </c>
      <c r="Y1166" s="12">
        <v>0</v>
      </c>
      <c r="Z1166" s="12">
        <v>0</v>
      </c>
      <c r="AA1166" s="12"/>
      <c r="AC1166" s="13">
        <f t="shared" si="210"/>
        <v>0</v>
      </c>
      <c r="AL1166" s="14">
        <f t="shared" si="211"/>
        <v>0</v>
      </c>
    </row>
    <row r="1167" spans="1:38" hidden="1" x14ac:dyDescent="0.25">
      <c r="A1167" s="12" t="s">
        <v>1198</v>
      </c>
      <c r="B1167" s="12" t="s">
        <v>1199</v>
      </c>
      <c r="C1167" s="12" t="s">
        <v>539</v>
      </c>
      <c r="D1167" s="12"/>
      <c r="E1167" s="12">
        <f t="shared" si="209"/>
        <v>2</v>
      </c>
      <c r="F1167" s="12" t="s">
        <v>70</v>
      </c>
      <c r="G1167" s="12">
        <v>0</v>
      </c>
      <c r="H1167" s="12">
        <v>0</v>
      </c>
      <c r="I1167" s="12">
        <v>0</v>
      </c>
      <c r="J1167" s="12">
        <v>0</v>
      </c>
      <c r="K1167" s="12">
        <v>0</v>
      </c>
      <c r="L1167" s="12">
        <v>0</v>
      </c>
      <c r="M1167" s="12">
        <v>0</v>
      </c>
      <c r="N1167" s="12">
        <v>0</v>
      </c>
      <c r="O1167" s="12">
        <v>0</v>
      </c>
      <c r="P1167" s="12">
        <v>0</v>
      </c>
      <c r="Q1167" s="12">
        <v>0</v>
      </c>
      <c r="R1167" s="12">
        <v>0</v>
      </c>
      <c r="S1167" s="12">
        <v>0</v>
      </c>
      <c r="T1167" s="12">
        <v>0</v>
      </c>
      <c r="U1167" s="12">
        <v>0</v>
      </c>
      <c r="V1167" s="12">
        <v>0</v>
      </c>
      <c r="W1167" s="12">
        <v>0</v>
      </c>
      <c r="X1167" s="12">
        <v>2</v>
      </c>
      <c r="Y1167" s="12">
        <v>0</v>
      </c>
      <c r="Z1167" s="12">
        <v>0</v>
      </c>
      <c r="AA1167" s="12"/>
      <c r="AC1167" s="13">
        <f t="shared" si="210"/>
        <v>0</v>
      </c>
      <c r="AL1167" s="14">
        <f t="shared" si="211"/>
        <v>0</v>
      </c>
    </row>
    <row r="1168" spans="1:38" hidden="1" x14ac:dyDescent="0.25">
      <c r="A1168" s="12" t="s">
        <v>1200</v>
      </c>
      <c r="B1168" s="12" t="s">
        <v>1201</v>
      </c>
      <c r="C1168" s="12" t="s">
        <v>539</v>
      </c>
      <c r="D1168" s="12"/>
      <c r="E1168" s="12">
        <f t="shared" si="209"/>
        <v>2</v>
      </c>
      <c r="F1168" s="12" t="s">
        <v>70</v>
      </c>
      <c r="G1168" s="12">
        <v>0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12">
        <v>0</v>
      </c>
      <c r="U1168" s="12">
        <v>0</v>
      </c>
      <c r="V1168" s="12">
        <v>2</v>
      </c>
      <c r="W1168" s="12">
        <v>0</v>
      </c>
      <c r="X1168" s="12">
        <v>0</v>
      </c>
      <c r="Y1168" s="12">
        <v>0</v>
      </c>
      <c r="Z1168" s="12">
        <v>0</v>
      </c>
      <c r="AA1168" s="12"/>
      <c r="AC1168" s="13">
        <f t="shared" si="210"/>
        <v>0</v>
      </c>
      <c r="AL1168" s="14">
        <f t="shared" si="211"/>
        <v>0</v>
      </c>
    </row>
    <row r="1169" spans="1:38" hidden="1" x14ac:dyDescent="0.25">
      <c r="A1169" s="12" t="s">
        <v>148</v>
      </c>
      <c r="B1169" s="12" t="s">
        <v>1202</v>
      </c>
      <c r="C1169" s="12" t="s">
        <v>539</v>
      </c>
      <c r="D1169" s="12"/>
      <c r="E1169" s="12">
        <f t="shared" si="209"/>
        <v>2</v>
      </c>
      <c r="F1169" s="12" t="s">
        <v>70</v>
      </c>
      <c r="G1169" s="12">
        <v>0</v>
      </c>
      <c r="H1169" s="12">
        <v>0</v>
      </c>
      <c r="I1169" s="12">
        <v>0</v>
      </c>
      <c r="J1169" s="12">
        <v>0</v>
      </c>
      <c r="K1169" s="12">
        <v>0</v>
      </c>
      <c r="L1169" s="12">
        <v>0</v>
      </c>
      <c r="M1169" s="12">
        <v>0</v>
      </c>
      <c r="N1169" s="12">
        <v>0</v>
      </c>
      <c r="O1169" s="12">
        <v>0</v>
      </c>
      <c r="P1169" s="12">
        <v>0</v>
      </c>
      <c r="Q1169" s="12">
        <v>0</v>
      </c>
      <c r="R1169" s="12">
        <v>0</v>
      </c>
      <c r="S1169" s="12">
        <v>0</v>
      </c>
      <c r="T1169" s="12">
        <v>0</v>
      </c>
      <c r="U1169" s="12">
        <v>0</v>
      </c>
      <c r="V1169" s="12">
        <v>0</v>
      </c>
      <c r="W1169" s="12">
        <v>2</v>
      </c>
      <c r="X1169" s="12">
        <v>0</v>
      </c>
      <c r="Y1169" s="12">
        <v>0</v>
      </c>
      <c r="Z1169" s="12">
        <v>0</v>
      </c>
      <c r="AA1169" s="12"/>
      <c r="AC1169" s="13">
        <f t="shared" si="210"/>
        <v>0</v>
      </c>
      <c r="AL1169" s="14">
        <f t="shared" si="211"/>
        <v>0</v>
      </c>
    </row>
    <row r="1170" spans="1:38" hidden="1" x14ac:dyDescent="0.25">
      <c r="A1170" s="12" t="s">
        <v>1203</v>
      </c>
      <c r="B1170" s="12" t="s">
        <v>1204</v>
      </c>
      <c r="C1170" s="12" t="s">
        <v>539</v>
      </c>
      <c r="D1170" s="12"/>
      <c r="E1170" s="12">
        <f t="shared" si="209"/>
        <v>2</v>
      </c>
      <c r="F1170" s="12" t="s">
        <v>70</v>
      </c>
      <c r="G1170" s="12">
        <v>0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12">
        <v>2</v>
      </c>
      <c r="U1170" s="12">
        <v>0</v>
      </c>
      <c r="V1170" s="12">
        <v>0</v>
      </c>
      <c r="W1170" s="12">
        <v>0</v>
      </c>
      <c r="X1170" s="12">
        <v>0</v>
      </c>
      <c r="Y1170" s="12">
        <v>0</v>
      </c>
      <c r="Z1170" s="12">
        <v>0</v>
      </c>
      <c r="AA1170" s="12"/>
      <c r="AC1170" s="13">
        <f t="shared" si="210"/>
        <v>0</v>
      </c>
      <c r="AL1170" s="14">
        <f t="shared" si="211"/>
        <v>0</v>
      </c>
    </row>
    <row r="1171" spans="1:38" hidden="1" x14ac:dyDescent="0.25">
      <c r="A1171" s="12" t="s">
        <v>86</v>
      </c>
      <c r="B1171" s="12" t="s">
        <v>1205</v>
      </c>
      <c r="C1171" s="12" t="s">
        <v>539</v>
      </c>
      <c r="D1171" s="12"/>
      <c r="E1171" s="12">
        <f t="shared" si="209"/>
        <v>1</v>
      </c>
      <c r="F1171" s="12" t="str">
        <f>VLOOKUP(B1171,[1]lookup!A:B,2,FALSE)</f>
        <v>Perpetual</v>
      </c>
      <c r="G1171" s="12">
        <v>0</v>
      </c>
      <c r="H1171" s="12">
        <v>1</v>
      </c>
      <c r="I1171" s="12">
        <v>0</v>
      </c>
      <c r="J1171" s="12">
        <v>0</v>
      </c>
      <c r="K1171" s="12">
        <v>0</v>
      </c>
      <c r="L1171" s="12">
        <v>0</v>
      </c>
      <c r="M1171" s="12">
        <v>0</v>
      </c>
      <c r="N1171" s="12">
        <v>0</v>
      </c>
      <c r="O1171" s="12">
        <v>0</v>
      </c>
      <c r="P1171" s="12">
        <v>0</v>
      </c>
      <c r="Q1171" s="12">
        <v>0</v>
      </c>
      <c r="R1171" s="12">
        <v>0</v>
      </c>
      <c r="S1171" s="12">
        <v>0</v>
      </c>
      <c r="T1171" s="12">
        <v>0</v>
      </c>
      <c r="U1171" s="12">
        <v>0</v>
      </c>
      <c r="V1171" s="12">
        <v>0</v>
      </c>
      <c r="W1171" s="12">
        <v>0</v>
      </c>
      <c r="X1171" s="12">
        <v>0</v>
      </c>
      <c r="Y1171" s="12">
        <v>0</v>
      </c>
      <c r="Z1171" s="12">
        <v>0</v>
      </c>
      <c r="AA1171" s="12"/>
      <c r="AC1171" s="13">
        <f t="shared" si="210"/>
        <v>0</v>
      </c>
      <c r="AK1171" s="15">
        <f>H1171*AK$2</f>
        <v>120</v>
      </c>
      <c r="AL1171" s="14">
        <f t="shared" si="211"/>
        <v>120</v>
      </c>
    </row>
    <row r="1172" spans="1:38" hidden="1" x14ac:dyDescent="0.25">
      <c r="A1172" s="12" t="s">
        <v>86</v>
      </c>
      <c r="B1172" s="12" t="s">
        <v>1206</v>
      </c>
      <c r="C1172" s="12" t="s">
        <v>539</v>
      </c>
      <c r="D1172" s="12"/>
      <c r="E1172" s="12">
        <f t="shared" si="209"/>
        <v>1</v>
      </c>
      <c r="F1172" s="12" t="str">
        <f>VLOOKUP(B1172,[1]lookup!A:B,2,FALSE)</f>
        <v>Term</v>
      </c>
      <c r="G1172" s="12">
        <v>0</v>
      </c>
      <c r="H1172" s="12">
        <v>0</v>
      </c>
      <c r="I1172" s="12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12">
        <v>0</v>
      </c>
      <c r="U1172" s="12">
        <v>0</v>
      </c>
      <c r="V1172" s="12">
        <v>0</v>
      </c>
      <c r="W1172" s="12">
        <v>0</v>
      </c>
      <c r="X1172" s="12">
        <v>0</v>
      </c>
      <c r="Y1172" s="12">
        <v>0</v>
      </c>
      <c r="Z1172" s="12">
        <v>0</v>
      </c>
      <c r="AA1172" s="12"/>
      <c r="AC1172" s="13">
        <f t="shared" si="210"/>
        <v>0</v>
      </c>
      <c r="AL1172" s="14">
        <f t="shared" si="211"/>
        <v>0</v>
      </c>
    </row>
    <row r="1173" spans="1:38" hidden="1" x14ac:dyDescent="0.25">
      <c r="A1173" s="12" t="s">
        <v>86</v>
      </c>
      <c r="B1173" s="12" t="s">
        <v>1207</v>
      </c>
      <c r="C1173" s="12" t="s">
        <v>539</v>
      </c>
      <c r="D1173" s="12"/>
      <c r="E1173" s="12">
        <f t="shared" si="209"/>
        <v>1</v>
      </c>
      <c r="F1173" s="12" t="str">
        <f>VLOOKUP(B1173,[1]lookup!A:B,2,FALSE)</f>
        <v>Term</v>
      </c>
      <c r="G1173" s="12">
        <v>0</v>
      </c>
      <c r="H1173" s="12">
        <v>0</v>
      </c>
      <c r="I1173" s="12">
        <v>1</v>
      </c>
      <c r="J1173" s="12">
        <v>0</v>
      </c>
      <c r="K1173" s="12">
        <v>0</v>
      </c>
      <c r="L1173" s="12">
        <v>0</v>
      </c>
      <c r="M1173" s="12">
        <v>0</v>
      </c>
      <c r="N1173" s="12">
        <v>0</v>
      </c>
      <c r="O1173" s="12">
        <v>0</v>
      </c>
      <c r="P1173" s="12">
        <v>0</v>
      </c>
      <c r="Q1173" s="12">
        <v>0</v>
      </c>
      <c r="R1173" s="12">
        <v>0</v>
      </c>
      <c r="S1173" s="12">
        <v>0</v>
      </c>
      <c r="T1173" s="12">
        <v>0</v>
      </c>
      <c r="U1173" s="12">
        <v>0</v>
      </c>
      <c r="V1173" s="12">
        <v>0</v>
      </c>
      <c r="W1173" s="12">
        <v>0</v>
      </c>
      <c r="X1173" s="12">
        <v>0</v>
      </c>
      <c r="Y1173" s="12">
        <v>0</v>
      </c>
      <c r="Z1173" s="12">
        <v>0</v>
      </c>
      <c r="AA1173" s="12"/>
      <c r="AC1173" s="13">
        <f t="shared" si="210"/>
        <v>0</v>
      </c>
      <c r="AL1173" s="14">
        <f t="shared" si="211"/>
        <v>0</v>
      </c>
    </row>
    <row r="1174" spans="1:38" hidden="1" x14ac:dyDescent="0.25">
      <c r="A1174" s="12" t="s">
        <v>86</v>
      </c>
      <c r="B1174" s="12" t="s">
        <v>1208</v>
      </c>
      <c r="C1174" s="12" t="s">
        <v>539</v>
      </c>
      <c r="D1174" s="12"/>
      <c r="E1174" s="12">
        <f t="shared" si="209"/>
        <v>1</v>
      </c>
      <c r="F1174" s="12" t="str">
        <f>VLOOKUP(B1174,[1]lookup!A:B,2,FALSE)</f>
        <v>Term</v>
      </c>
      <c r="G1174" s="12">
        <v>0</v>
      </c>
      <c r="H1174" s="12">
        <v>0</v>
      </c>
      <c r="I1174" s="12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12">
        <v>0</v>
      </c>
      <c r="U1174" s="12">
        <v>0</v>
      </c>
      <c r="V1174" s="12">
        <v>0</v>
      </c>
      <c r="W1174" s="12">
        <v>0</v>
      </c>
      <c r="X1174" s="12">
        <v>0</v>
      </c>
      <c r="Y1174" s="12">
        <v>0</v>
      </c>
      <c r="Z1174" s="12">
        <v>0</v>
      </c>
      <c r="AA1174" s="12"/>
      <c r="AC1174" s="13">
        <f t="shared" si="210"/>
        <v>0</v>
      </c>
      <c r="AL1174" s="14">
        <f t="shared" si="211"/>
        <v>0</v>
      </c>
    </row>
    <row r="1175" spans="1:38" hidden="1" x14ac:dyDescent="0.25">
      <c r="A1175" s="12" t="s">
        <v>64</v>
      </c>
      <c r="B1175" s="12" t="s">
        <v>570</v>
      </c>
      <c r="C1175" s="12" t="s">
        <v>539</v>
      </c>
      <c r="D1175" s="12"/>
      <c r="E1175" s="12">
        <f t="shared" si="209"/>
        <v>1</v>
      </c>
      <c r="F1175" s="12" t="str">
        <f>VLOOKUP(B1175,[1]lookup!A:B,2,FALSE)</f>
        <v>Perpetual</v>
      </c>
      <c r="G1175" s="12">
        <v>0</v>
      </c>
      <c r="H1175" s="12">
        <v>1</v>
      </c>
      <c r="I1175" s="12">
        <v>0</v>
      </c>
      <c r="J1175" s="12">
        <v>0</v>
      </c>
      <c r="K1175" s="12">
        <v>0</v>
      </c>
      <c r="L1175" s="12">
        <v>0</v>
      </c>
      <c r="M1175" s="12">
        <v>0</v>
      </c>
      <c r="N1175" s="12">
        <v>0</v>
      </c>
      <c r="O1175" s="12">
        <v>0</v>
      </c>
      <c r="P1175" s="12">
        <v>0</v>
      </c>
      <c r="Q1175" s="12">
        <v>0</v>
      </c>
      <c r="R1175" s="12">
        <v>0</v>
      </c>
      <c r="S1175" s="12">
        <v>0</v>
      </c>
      <c r="T1175" s="12">
        <v>0</v>
      </c>
      <c r="U1175" s="12">
        <v>0</v>
      </c>
      <c r="V1175" s="12">
        <v>0</v>
      </c>
      <c r="W1175" s="12">
        <v>0</v>
      </c>
      <c r="X1175" s="12">
        <v>0</v>
      </c>
      <c r="Y1175" s="12">
        <v>0</v>
      </c>
      <c r="Z1175" s="12">
        <v>0</v>
      </c>
      <c r="AA1175" s="12"/>
      <c r="AC1175" s="13">
        <f t="shared" si="210"/>
        <v>0</v>
      </c>
      <c r="AK1175" s="15">
        <f>H1175*AK$2</f>
        <v>120</v>
      </c>
      <c r="AL1175" s="14">
        <f t="shared" si="211"/>
        <v>120</v>
      </c>
    </row>
    <row r="1176" spans="1:38" hidden="1" x14ac:dyDescent="0.25">
      <c r="A1176" s="12" t="s">
        <v>92</v>
      </c>
      <c r="B1176" s="12" t="s">
        <v>88</v>
      </c>
      <c r="C1176" s="12" t="s">
        <v>539</v>
      </c>
      <c r="D1176" s="12"/>
      <c r="E1176" s="12">
        <f t="shared" si="209"/>
        <v>1</v>
      </c>
      <c r="F1176" s="12" t="str">
        <f>VLOOKUP(B1176,[1]lookup!A:B,2,FALSE)</f>
        <v>Term</v>
      </c>
      <c r="G1176" s="12">
        <v>0</v>
      </c>
      <c r="H1176" s="12">
        <v>0</v>
      </c>
      <c r="I1176" s="12">
        <v>1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12">
        <v>0</v>
      </c>
      <c r="U1176" s="12">
        <v>0</v>
      </c>
      <c r="V1176" s="12">
        <v>0</v>
      </c>
      <c r="W1176" s="12">
        <v>0</v>
      </c>
      <c r="X1176" s="12">
        <v>0</v>
      </c>
      <c r="Y1176" s="12">
        <v>0</v>
      </c>
      <c r="Z1176" s="12">
        <v>0</v>
      </c>
      <c r="AA1176" s="12"/>
      <c r="AC1176" s="13">
        <f t="shared" si="210"/>
        <v>0</v>
      </c>
      <c r="AL1176" s="14">
        <f t="shared" si="211"/>
        <v>0</v>
      </c>
    </row>
    <row r="1177" spans="1:38" hidden="1" x14ac:dyDescent="0.25">
      <c r="A1177" s="12" t="s">
        <v>140</v>
      </c>
      <c r="B1177" s="12" t="s">
        <v>1209</v>
      </c>
      <c r="C1177" s="12" t="s">
        <v>539</v>
      </c>
      <c r="D1177" s="12"/>
      <c r="E1177" s="12">
        <f t="shared" si="209"/>
        <v>1</v>
      </c>
      <c r="F1177" s="12" t="s">
        <v>70</v>
      </c>
      <c r="G1177" s="12">
        <v>0</v>
      </c>
      <c r="H1177" s="12">
        <v>0</v>
      </c>
      <c r="I1177" s="12">
        <v>0</v>
      </c>
      <c r="J1177" s="12">
        <v>0</v>
      </c>
      <c r="K1177" s="12">
        <v>0</v>
      </c>
      <c r="L1177" s="12">
        <v>0</v>
      </c>
      <c r="M1177" s="12">
        <v>0</v>
      </c>
      <c r="N1177" s="12">
        <v>0</v>
      </c>
      <c r="O1177" s="12">
        <v>0</v>
      </c>
      <c r="P1177" s="12">
        <v>0</v>
      </c>
      <c r="Q1177" s="12">
        <v>0</v>
      </c>
      <c r="R1177" s="12">
        <v>0</v>
      </c>
      <c r="S1177" s="12">
        <v>0</v>
      </c>
      <c r="T1177" s="12">
        <v>0</v>
      </c>
      <c r="U1177" s="12">
        <v>0</v>
      </c>
      <c r="V1177" s="12">
        <v>0</v>
      </c>
      <c r="W1177" s="12">
        <v>1</v>
      </c>
      <c r="X1177" s="12">
        <v>0</v>
      </c>
      <c r="Y1177" s="12">
        <v>0</v>
      </c>
      <c r="Z1177" s="12">
        <v>0</v>
      </c>
      <c r="AA1177" s="12"/>
      <c r="AC1177" s="13">
        <f t="shared" si="210"/>
        <v>0</v>
      </c>
      <c r="AL1177" s="14">
        <f t="shared" si="211"/>
        <v>0</v>
      </c>
    </row>
    <row r="1178" spans="1:38" hidden="1" x14ac:dyDescent="0.25">
      <c r="A1178" s="12" t="s">
        <v>399</v>
      </c>
      <c r="B1178" s="12" t="s">
        <v>1210</v>
      </c>
      <c r="C1178" s="12" t="s">
        <v>539</v>
      </c>
      <c r="D1178" s="12"/>
      <c r="E1178" s="12">
        <f t="shared" si="209"/>
        <v>1</v>
      </c>
      <c r="F1178" s="12" t="s">
        <v>70</v>
      </c>
      <c r="G1178" s="12">
        <v>0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12">
        <v>0</v>
      </c>
      <c r="U1178" s="12">
        <v>1</v>
      </c>
      <c r="V1178" s="12">
        <v>0</v>
      </c>
      <c r="W1178" s="12">
        <v>0</v>
      </c>
      <c r="X1178" s="12">
        <v>0</v>
      </c>
      <c r="Y1178" s="12">
        <v>0</v>
      </c>
      <c r="Z1178" s="12">
        <v>0</v>
      </c>
      <c r="AA1178" s="12"/>
      <c r="AC1178" s="13">
        <f t="shared" si="210"/>
        <v>0</v>
      </c>
      <c r="AL1178" s="14">
        <f t="shared" si="211"/>
        <v>0</v>
      </c>
    </row>
    <row r="1179" spans="1:38" hidden="1" x14ac:dyDescent="0.25">
      <c r="A1179" s="12" t="s">
        <v>51</v>
      </c>
      <c r="B1179" s="12" t="s">
        <v>1211</v>
      </c>
      <c r="C1179" s="12" t="s">
        <v>539</v>
      </c>
      <c r="D1179" s="12"/>
      <c r="E1179" s="12">
        <f t="shared" si="209"/>
        <v>1</v>
      </c>
      <c r="F1179" s="12" t="s">
        <v>70</v>
      </c>
      <c r="G1179" s="12">
        <v>0</v>
      </c>
      <c r="H1179" s="12">
        <v>0</v>
      </c>
      <c r="I1179" s="12">
        <v>0</v>
      </c>
      <c r="J1179" s="12">
        <v>0</v>
      </c>
      <c r="K1179" s="12">
        <v>0</v>
      </c>
      <c r="L1179" s="12">
        <v>0</v>
      </c>
      <c r="M1179" s="12">
        <v>0</v>
      </c>
      <c r="N1179" s="12">
        <v>0</v>
      </c>
      <c r="O1179" s="12">
        <v>0</v>
      </c>
      <c r="P1179" s="12">
        <v>0</v>
      </c>
      <c r="Q1179" s="12">
        <v>0</v>
      </c>
      <c r="R1179" s="12">
        <v>0</v>
      </c>
      <c r="S1179" s="12">
        <v>0</v>
      </c>
      <c r="T1179" s="12">
        <v>0</v>
      </c>
      <c r="U1179" s="12">
        <v>0</v>
      </c>
      <c r="V1179" s="12">
        <v>0</v>
      </c>
      <c r="W1179" s="12">
        <v>0</v>
      </c>
      <c r="X1179" s="12">
        <v>1</v>
      </c>
      <c r="Y1179" s="12">
        <v>0</v>
      </c>
      <c r="Z1179" s="12">
        <v>0</v>
      </c>
      <c r="AA1179" s="12"/>
      <c r="AC1179" s="13">
        <f t="shared" si="210"/>
        <v>0</v>
      </c>
      <c r="AL1179" s="14">
        <f t="shared" si="211"/>
        <v>0</v>
      </c>
    </row>
    <row r="1180" spans="1:38" hidden="1" x14ac:dyDescent="0.25">
      <c r="A1180" s="12" t="s">
        <v>51</v>
      </c>
      <c r="B1180" s="12" t="s">
        <v>1212</v>
      </c>
      <c r="C1180" s="12" t="s">
        <v>539</v>
      </c>
      <c r="D1180" s="12"/>
      <c r="E1180" s="12">
        <f t="shared" si="209"/>
        <v>1</v>
      </c>
      <c r="F1180" s="12" t="s">
        <v>70</v>
      </c>
      <c r="G1180" s="12">
        <v>0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12">
        <v>0</v>
      </c>
      <c r="U1180" s="12">
        <v>1</v>
      </c>
      <c r="V1180" s="12">
        <v>0</v>
      </c>
      <c r="W1180" s="12">
        <v>0</v>
      </c>
      <c r="X1180" s="12">
        <v>0</v>
      </c>
      <c r="Y1180" s="12">
        <v>0</v>
      </c>
      <c r="Z1180" s="12">
        <v>0</v>
      </c>
      <c r="AA1180" s="12"/>
      <c r="AC1180" s="13">
        <f t="shared" si="210"/>
        <v>0</v>
      </c>
      <c r="AL1180" s="14">
        <f t="shared" si="211"/>
        <v>0</v>
      </c>
    </row>
    <row r="1181" spans="1:38" hidden="1" x14ac:dyDescent="0.25">
      <c r="A1181" s="12" t="s">
        <v>178</v>
      </c>
      <c r="B1181" s="12" t="s">
        <v>1213</v>
      </c>
      <c r="C1181" s="12" t="s">
        <v>539</v>
      </c>
      <c r="D1181" s="12"/>
      <c r="E1181" s="12">
        <f t="shared" si="209"/>
        <v>1</v>
      </c>
      <c r="F1181" s="12" t="s">
        <v>70</v>
      </c>
      <c r="G1181" s="12">
        <v>0</v>
      </c>
      <c r="H1181" s="12">
        <v>0</v>
      </c>
      <c r="I1181" s="12">
        <v>0</v>
      </c>
      <c r="J1181" s="12">
        <v>0</v>
      </c>
      <c r="K1181" s="12">
        <v>0</v>
      </c>
      <c r="L1181" s="12">
        <v>0</v>
      </c>
      <c r="M1181" s="12">
        <v>0</v>
      </c>
      <c r="N1181" s="12">
        <v>0</v>
      </c>
      <c r="O1181" s="12">
        <v>0</v>
      </c>
      <c r="P1181" s="12">
        <v>0</v>
      </c>
      <c r="Q1181" s="12">
        <v>0</v>
      </c>
      <c r="R1181" s="12">
        <v>0</v>
      </c>
      <c r="S1181" s="12">
        <v>0</v>
      </c>
      <c r="T1181" s="12">
        <v>0</v>
      </c>
      <c r="U1181" s="12">
        <v>0</v>
      </c>
      <c r="V1181" s="12">
        <v>0</v>
      </c>
      <c r="W1181" s="12">
        <v>1</v>
      </c>
      <c r="X1181" s="12">
        <v>0</v>
      </c>
      <c r="Y1181" s="12">
        <v>0</v>
      </c>
      <c r="Z1181" s="12">
        <v>0</v>
      </c>
      <c r="AA1181" s="12"/>
      <c r="AC1181" s="13">
        <f t="shared" si="210"/>
        <v>0</v>
      </c>
      <c r="AL1181" s="14">
        <f t="shared" si="211"/>
        <v>0</v>
      </c>
    </row>
    <row r="1182" spans="1:38" hidden="1" x14ac:dyDescent="0.25">
      <c r="A1182" s="12" t="s">
        <v>1119</v>
      </c>
      <c r="B1182" s="12" t="s">
        <v>1214</v>
      </c>
      <c r="C1182" s="12" t="s">
        <v>539</v>
      </c>
      <c r="D1182" s="12"/>
      <c r="E1182" s="12">
        <f t="shared" si="209"/>
        <v>1</v>
      </c>
      <c r="F1182" s="12" t="s">
        <v>70</v>
      </c>
      <c r="G1182" s="12">
        <v>0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12">
        <v>0</v>
      </c>
      <c r="U1182" s="12">
        <v>0</v>
      </c>
      <c r="V1182" s="12">
        <v>1</v>
      </c>
      <c r="W1182" s="12">
        <v>0</v>
      </c>
      <c r="X1182" s="12">
        <v>0</v>
      </c>
      <c r="Y1182" s="12">
        <v>0</v>
      </c>
      <c r="Z1182" s="12">
        <v>0</v>
      </c>
      <c r="AA1182" s="12"/>
      <c r="AC1182" s="13">
        <f t="shared" si="210"/>
        <v>0</v>
      </c>
      <c r="AL1182" s="14">
        <f t="shared" si="211"/>
        <v>0</v>
      </c>
    </row>
    <row r="1183" spans="1:38" hidden="1" x14ac:dyDescent="0.25">
      <c r="A1183" s="12" t="s">
        <v>1119</v>
      </c>
      <c r="B1183" s="12" t="s">
        <v>1215</v>
      </c>
      <c r="C1183" s="12" t="s">
        <v>539</v>
      </c>
      <c r="D1183" s="12"/>
      <c r="E1183" s="12">
        <f t="shared" si="209"/>
        <v>1</v>
      </c>
      <c r="F1183" s="12" t="s">
        <v>70</v>
      </c>
      <c r="G1183" s="12">
        <v>0</v>
      </c>
      <c r="H1183" s="12">
        <v>0</v>
      </c>
      <c r="I1183" s="12">
        <v>0</v>
      </c>
      <c r="J1183" s="12">
        <v>0</v>
      </c>
      <c r="K1183" s="12">
        <v>0</v>
      </c>
      <c r="L1183" s="12">
        <v>0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0</v>
      </c>
      <c r="T1183" s="12">
        <v>0</v>
      </c>
      <c r="U1183" s="12">
        <v>0</v>
      </c>
      <c r="V1183" s="12">
        <v>1</v>
      </c>
      <c r="W1183" s="12">
        <v>0</v>
      </c>
      <c r="X1183" s="12">
        <v>0</v>
      </c>
      <c r="Y1183" s="12">
        <v>0</v>
      </c>
      <c r="Z1183" s="12">
        <v>0</v>
      </c>
      <c r="AA1183" s="12"/>
      <c r="AC1183" s="13">
        <f t="shared" si="210"/>
        <v>0</v>
      </c>
      <c r="AL1183" s="14">
        <f t="shared" si="211"/>
        <v>0</v>
      </c>
    </row>
    <row r="1184" spans="1:38" hidden="1" x14ac:dyDescent="0.25">
      <c r="A1184" s="12" t="s">
        <v>1119</v>
      </c>
      <c r="B1184" s="12" t="s">
        <v>1216</v>
      </c>
      <c r="C1184" s="12" t="s">
        <v>539</v>
      </c>
      <c r="D1184" s="12"/>
      <c r="E1184" s="12">
        <f t="shared" si="209"/>
        <v>1</v>
      </c>
      <c r="F1184" s="12" t="s">
        <v>70</v>
      </c>
      <c r="G1184" s="12">
        <v>0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12">
        <v>0</v>
      </c>
      <c r="U1184" s="12">
        <v>0</v>
      </c>
      <c r="V1184" s="12">
        <v>1</v>
      </c>
      <c r="W1184" s="12">
        <v>0</v>
      </c>
      <c r="X1184" s="12">
        <v>0</v>
      </c>
      <c r="Y1184" s="12">
        <v>0</v>
      </c>
      <c r="Z1184" s="12">
        <v>0</v>
      </c>
      <c r="AA1184" s="12"/>
      <c r="AC1184" s="13">
        <f t="shared" si="210"/>
        <v>0</v>
      </c>
      <c r="AL1184" s="14">
        <f t="shared" si="211"/>
        <v>0</v>
      </c>
    </row>
    <row r="1185" spans="1:38" hidden="1" x14ac:dyDescent="0.25">
      <c r="A1185" s="12" t="s">
        <v>1119</v>
      </c>
      <c r="B1185" s="12" t="s">
        <v>1217</v>
      </c>
      <c r="C1185" s="12" t="s">
        <v>539</v>
      </c>
      <c r="D1185" s="12"/>
      <c r="E1185" s="12">
        <f t="shared" si="209"/>
        <v>1</v>
      </c>
      <c r="F1185" s="12" t="s">
        <v>70</v>
      </c>
      <c r="G1185" s="12">
        <v>0</v>
      </c>
      <c r="H1185" s="12">
        <v>0</v>
      </c>
      <c r="I1185" s="12">
        <v>0</v>
      </c>
      <c r="J1185" s="12">
        <v>0</v>
      </c>
      <c r="K1185" s="12">
        <v>0</v>
      </c>
      <c r="L1185" s="12">
        <v>0</v>
      </c>
      <c r="M1185" s="12">
        <v>0</v>
      </c>
      <c r="N1185" s="12">
        <v>0</v>
      </c>
      <c r="O1185" s="12">
        <v>0</v>
      </c>
      <c r="P1185" s="12">
        <v>0</v>
      </c>
      <c r="Q1185" s="12">
        <v>0</v>
      </c>
      <c r="R1185" s="12">
        <v>0</v>
      </c>
      <c r="S1185" s="12">
        <v>0</v>
      </c>
      <c r="T1185" s="12">
        <v>0</v>
      </c>
      <c r="U1185" s="12">
        <v>0</v>
      </c>
      <c r="V1185" s="12">
        <v>1</v>
      </c>
      <c r="W1185" s="12">
        <v>0</v>
      </c>
      <c r="X1185" s="12">
        <v>0</v>
      </c>
      <c r="Y1185" s="12">
        <v>0</v>
      </c>
      <c r="Z1185" s="12">
        <v>0</v>
      </c>
      <c r="AA1185" s="12"/>
      <c r="AC1185" s="13">
        <f t="shared" si="210"/>
        <v>0</v>
      </c>
      <c r="AL1185" s="14">
        <f t="shared" si="211"/>
        <v>0</v>
      </c>
    </row>
    <row r="1186" spans="1:38" hidden="1" x14ac:dyDescent="0.25">
      <c r="A1186" s="12" t="s">
        <v>1119</v>
      </c>
      <c r="B1186" s="12" t="s">
        <v>1218</v>
      </c>
      <c r="C1186" s="12" t="s">
        <v>539</v>
      </c>
      <c r="D1186" s="12"/>
      <c r="E1186" s="12">
        <f t="shared" si="209"/>
        <v>1</v>
      </c>
      <c r="F1186" s="12" t="s">
        <v>70</v>
      </c>
      <c r="G1186" s="12">
        <v>0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12">
        <v>0</v>
      </c>
      <c r="U1186" s="12">
        <v>0</v>
      </c>
      <c r="V1186" s="12">
        <v>1</v>
      </c>
      <c r="W1186" s="12">
        <v>0</v>
      </c>
      <c r="X1186" s="12">
        <v>0</v>
      </c>
      <c r="Y1186" s="12">
        <v>0</v>
      </c>
      <c r="Z1186" s="12">
        <v>0</v>
      </c>
      <c r="AA1186" s="12"/>
      <c r="AC1186" s="13">
        <f t="shared" si="210"/>
        <v>0</v>
      </c>
      <c r="AL1186" s="14">
        <f t="shared" si="211"/>
        <v>0</v>
      </c>
    </row>
    <row r="1187" spans="1:38" hidden="1" x14ac:dyDescent="0.25">
      <c r="A1187" s="12" t="s">
        <v>1119</v>
      </c>
      <c r="B1187" s="12" t="s">
        <v>1219</v>
      </c>
      <c r="C1187" s="12" t="s">
        <v>539</v>
      </c>
      <c r="D1187" s="12"/>
      <c r="E1187" s="12">
        <f t="shared" si="209"/>
        <v>1</v>
      </c>
      <c r="F1187" s="12" t="s">
        <v>70</v>
      </c>
      <c r="G1187" s="12">
        <v>0</v>
      </c>
      <c r="H1187" s="12">
        <v>0</v>
      </c>
      <c r="I1187" s="12">
        <v>0</v>
      </c>
      <c r="J1187" s="12">
        <v>0</v>
      </c>
      <c r="K1187" s="12">
        <v>0</v>
      </c>
      <c r="L1187" s="12">
        <v>0</v>
      </c>
      <c r="M1187" s="12">
        <v>0</v>
      </c>
      <c r="N1187" s="12">
        <v>0</v>
      </c>
      <c r="O1187" s="12">
        <v>0</v>
      </c>
      <c r="P1187" s="12">
        <v>0</v>
      </c>
      <c r="Q1187" s="12">
        <v>0</v>
      </c>
      <c r="R1187" s="12">
        <v>0</v>
      </c>
      <c r="S1187" s="12">
        <v>0</v>
      </c>
      <c r="T1187" s="12">
        <v>0</v>
      </c>
      <c r="U1187" s="12">
        <v>0</v>
      </c>
      <c r="V1187" s="12">
        <v>1</v>
      </c>
      <c r="W1187" s="12">
        <v>0</v>
      </c>
      <c r="X1187" s="12">
        <v>0</v>
      </c>
      <c r="Y1187" s="12">
        <v>0</v>
      </c>
      <c r="Z1187" s="12">
        <v>0</v>
      </c>
      <c r="AA1187" s="12"/>
      <c r="AC1187" s="13">
        <f t="shared" si="210"/>
        <v>0</v>
      </c>
      <c r="AL1187" s="14">
        <f t="shared" si="211"/>
        <v>0</v>
      </c>
    </row>
    <row r="1188" spans="1:38" hidden="1" x14ac:dyDescent="0.25">
      <c r="A1188" s="12" t="s">
        <v>1119</v>
      </c>
      <c r="B1188" s="12" t="s">
        <v>1220</v>
      </c>
      <c r="C1188" s="12" t="s">
        <v>539</v>
      </c>
      <c r="D1188" s="12"/>
      <c r="E1188" s="12">
        <f t="shared" si="209"/>
        <v>1</v>
      </c>
      <c r="F1188" s="12" t="s">
        <v>70</v>
      </c>
      <c r="G1188" s="12">
        <v>0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12">
        <v>0</v>
      </c>
      <c r="U1188" s="12">
        <v>0</v>
      </c>
      <c r="V1188" s="12">
        <v>1</v>
      </c>
      <c r="W1188" s="12">
        <v>0</v>
      </c>
      <c r="X1188" s="12">
        <v>0</v>
      </c>
      <c r="Y1188" s="12">
        <v>0</v>
      </c>
      <c r="Z1188" s="12">
        <v>0</v>
      </c>
      <c r="AA1188" s="12"/>
      <c r="AC1188" s="13">
        <f t="shared" si="210"/>
        <v>0</v>
      </c>
      <c r="AL1188" s="14">
        <f t="shared" si="211"/>
        <v>0</v>
      </c>
    </row>
    <row r="1189" spans="1:38" hidden="1" x14ac:dyDescent="0.25">
      <c r="A1189" s="12" t="s">
        <v>1221</v>
      </c>
      <c r="B1189" s="12" t="s">
        <v>195</v>
      </c>
      <c r="C1189" s="12" t="s">
        <v>539</v>
      </c>
      <c r="D1189" s="12"/>
      <c r="E1189" s="12">
        <f t="shared" si="209"/>
        <v>1</v>
      </c>
      <c r="F1189" s="12" t="s">
        <v>70</v>
      </c>
      <c r="G1189" s="12">
        <v>0</v>
      </c>
      <c r="H1189" s="12">
        <v>0</v>
      </c>
      <c r="I1189" s="12">
        <v>0</v>
      </c>
      <c r="J1189" s="12">
        <v>0</v>
      </c>
      <c r="K1189" s="12">
        <v>0</v>
      </c>
      <c r="L1189" s="12">
        <v>0</v>
      </c>
      <c r="M1189" s="12">
        <v>0</v>
      </c>
      <c r="N1189" s="12">
        <v>0</v>
      </c>
      <c r="O1189" s="12">
        <v>0</v>
      </c>
      <c r="P1189" s="12">
        <v>0</v>
      </c>
      <c r="Q1189" s="12">
        <v>0</v>
      </c>
      <c r="R1189" s="12">
        <v>0</v>
      </c>
      <c r="S1189" s="12">
        <v>0</v>
      </c>
      <c r="T1189" s="12">
        <v>0</v>
      </c>
      <c r="U1189" s="12">
        <v>0</v>
      </c>
      <c r="V1189" s="12">
        <v>0</v>
      </c>
      <c r="W1189" s="12">
        <v>0</v>
      </c>
      <c r="X1189" s="12">
        <v>1</v>
      </c>
      <c r="Y1189" s="12">
        <v>0</v>
      </c>
      <c r="Z1189" s="12">
        <v>0</v>
      </c>
      <c r="AA1189" s="12"/>
      <c r="AC1189" s="13">
        <f t="shared" si="210"/>
        <v>0</v>
      </c>
      <c r="AL1189" s="14">
        <f t="shared" si="211"/>
        <v>0</v>
      </c>
    </row>
    <row r="1190" spans="1:38" hidden="1" x14ac:dyDescent="0.25">
      <c r="A1190" s="12" t="s">
        <v>197</v>
      </c>
      <c r="B1190" s="12" t="s">
        <v>1222</v>
      </c>
      <c r="C1190" s="12" t="s">
        <v>539</v>
      </c>
      <c r="D1190" s="12"/>
      <c r="E1190" s="12">
        <f t="shared" si="209"/>
        <v>1</v>
      </c>
      <c r="F1190" s="12" t="s">
        <v>70</v>
      </c>
      <c r="G1190" s="12">
        <v>0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12">
        <v>0</v>
      </c>
      <c r="U1190" s="12">
        <v>0</v>
      </c>
      <c r="V1190" s="12">
        <v>0</v>
      </c>
      <c r="W1190" s="12">
        <v>1</v>
      </c>
      <c r="X1190" s="12">
        <v>0</v>
      </c>
      <c r="Y1190" s="12">
        <v>0</v>
      </c>
      <c r="Z1190" s="12">
        <v>0</v>
      </c>
      <c r="AA1190" s="12"/>
      <c r="AC1190" s="13">
        <f t="shared" si="210"/>
        <v>0</v>
      </c>
      <c r="AL1190" s="14">
        <f t="shared" si="211"/>
        <v>0</v>
      </c>
    </row>
    <row r="1191" spans="1:38" hidden="1" x14ac:dyDescent="0.25">
      <c r="A1191" s="12" t="s">
        <v>1223</v>
      </c>
      <c r="B1191" s="12" t="s">
        <v>195</v>
      </c>
      <c r="C1191" s="12" t="s">
        <v>539</v>
      </c>
      <c r="D1191" s="12"/>
      <c r="E1191" s="12">
        <f t="shared" si="209"/>
        <v>1</v>
      </c>
      <c r="F1191" s="12" t="s">
        <v>70</v>
      </c>
      <c r="G1191" s="12">
        <v>0</v>
      </c>
      <c r="H1191" s="12">
        <v>0</v>
      </c>
      <c r="I1191" s="12">
        <v>0</v>
      </c>
      <c r="J1191" s="12">
        <v>0</v>
      </c>
      <c r="K1191" s="12">
        <v>0</v>
      </c>
      <c r="L1191" s="12">
        <v>0</v>
      </c>
      <c r="M1191" s="12">
        <v>0</v>
      </c>
      <c r="N1191" s="12">
        <v>0</v>
      </c>
      <c r="O1191" s="12">
        <v>0</v>
      </c>
      <c r="P1191" s="12">
        <v>0</v>
      </c>
      <c r="Q1191" s="12">
        <v>0</v>
      </c>
      <c r="R1191" s="12">
        <v>0</v>
      </c>
      <c r="S1191" s="12">
        <v>0</v>
      </c>
      <c r="T1191" s="12">
        <v>0</v>
      </c>
      <c r="U1191" s="12">
        <v>0</v>
      </c>
      <c r="V1191" s="12">
        <v>0</v>
      </c>
      <c r="W1191" s="12">
        <v>0</v>
      </c>
      <c r="X1191" s="12">
        <v>1</v>
      </c>
      <c r="Y1191" s="12">
        <v>0</v>
      </c>
      <c r="Z1191" s="12">
        <v>0</v>
      </c>
      <c r="AA1191" s="12"/>
      <c r="AC1191" s="13">
        <f t="shared" si="210"/>
        <v>0</v>
      </c>
      <c r="AL1191" s="14">
        <f t="shared" si="211"/>
        <v>0</v>
      </c>
    </row>
    <row r="1192" spans="1:38" hidden="1" x14ac:dyDescent="0.25">
      <c r="A1192" s="12" t="s">
        <v>1224</v>
      </c>
      <c r="B1192" s="12" t="s">
        <v>1225</v>
      </c>
      <c r="C1192" s="12" t="s">
        <v>539</v>
      </c>
      <c r="D1192" s="12"/>
      <c r="E1192" s="12">
        <f t="shared" si="209"/>
        <v>1</v>
      </c>
      <c r="F1192" s="12" t="s">
        <v>70</v>
      </c>
      <c r="G1192" s="12">
        <v>0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12">
        <v>0</v>
      </c>
      <c r="U1192" s="12">
        <v>0</v>
      </c>
      <c r="V1192" s="12">
        <v>1</v>
      </c>
      <c r="W1192" s="12">
        <v>0</v>
      </c>
      <c r="X1192" s="12">
        <v>0</v>
      </c>
      <c r="Y1192" s="12">
        <v>0</v>
      </c>
      <c r="Z1192" s="12">
        <v>0</v>
      </c>
      <c r="AA1192" s="12"/>
      <c r="AC1192" s="13">
        <f t="shared" si="210"/>
        <v>0</v>
      </c>
      <c r="AL1192" s="14">
        <f t="shared" si="211"/>
        <v>0</v>
      </c>
    </row>
    <row r="1193" spans="1:38" hidden="1" x14ac:dyDescent="0.25">
      <c r="A1193" s="12" t="s">
        <v>1226</v>
      </c>
      <c r="B1193" s="12" t="s">
        <v>211</v>
      </c>
      <c r="C1193" s="12" t="s">
        <v>539</v>
      </c>
      <c r="D1193" s="12"/>
      <c r="E1193" s="12">
        <f t="shared" si="209"/>
        <v>1</v>
      </c>
      <c r="F1193" s="12" t="str">
        <f>VLOOKUP(B1193,[1]lookup!A:B,2,FALSE)</f>
        <v>Perpetual</v>
      </c>
      <c r="G1193" s="12">
        <v>0</v>
      </c>
      <c r="H1193" s="12">
        <v>0</v>
      </c>
      <c r="I1193" s="12">
        <v>1</v>
      </c>
      <c r="J1193" s="12">
        <v>0</v>
      </c>
      <c r="K1193" s="12">
        <v>0</v>
      </c>
      <c r="L1193" s="12">
        <v>0</v>
      </c>
      <c r="M1193" s="12">
        <v>0</v>
      </c>
      <c r="N1193" s="12">
        <v>0</v>
      </c>
      <c r="O1193" s="12">
        <v>0</v>
      </c>
      <c r="P1193" s="12">
        <v>0</v>
      </c>
      <c r="Q1193" s="12">
        <v>0</v>
      </c>
      <c r="R1193" s="12">
        <v>0</v>
      </c>
      <c r="S1193" s="12">
        <v>0</v>
      </c>
      <c r="T1193" s="12">
        <v>0</v>
      </c>
      <c r="U1193" s="12">
        <v>0</v>
      </c>
      <c r="V1193" s="12">
        <v>0</v>
      </c>
      <c r="W1193" s="12">
        <v>0</v>
      </c>
      <c r="X1193" s="12">
        <v>0</v>
      </c>
      <c r="Y1193" s="12">
        <v>0</v>
      </c>
      <c r="Z1193" s="12">
        <v>0</v>
      </c>
      <c r="AA1193" s="12"/>
      <c r="AC1193" s="13">
        <f t="shared" si="210"/>
        <v>0</v>
      </c>
      <c r="AL1193" s="14">
        <f t="shared" si="211"/>
        <v>0</v>
      </c>
    </row>
    <row r="1194" spans="1:38" hidden="1" x14ac:dyDescent="0.25">
      <c r="A1194" s="12" t="s">
        <v>306</v>
      </c>
      <c r="B1194" s="12" t="s">
        <v>609</v>
      </c>
      <c r="C1194" s="12" t="s">
        <v>539</v>
      </c>
      <c r="D1194" s="12"/>
      <c r="E1194" s="12">
        <f t="shared" si="209"/>
        <v>1</v>
      </c>
      <c r="F1194" s="12" t="s">
        <v>70</v>
      </c>
      <c r="G1194" s="12">
        <v>0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12">
        <v>0</v>
      </c>
      <c r="U1194" s="12">
        <v>0</v>
      </c>
      <c r="V1194" s="12">
        <v>0</v>
      </c>
      <c r="W1194" s="12">
        <v>1</v>
      </c>
      <c r="X1194" s="12">
        <v>0</v>
      </c>
      <c r="Y1194" s="12">
        <v>0</v>
      </c>
      <c r="Z1194" s="12">
        <v>0</v>
      </c>
      <c r="AA1194" s="12"/>
      <c r="AC1194" s="13">
        <f t="shared" si="210"/>
        <v>0</v>
      </c>
      <c r="AL1194" s="14">
        <f t="shared" si="211"/>
        <v>0</v>
      </c>
    </row>
    <row r="1195" spans="1:38" hidden="1" x14ac:dyDescent="0.25">
      <c r="A1195" s="12" t="s">
        <v>1227</v>
      </c>
      <c r="B1195" s="12" t="s">
        <v>1228</v>
      </c>
      <c r="C1195" s="12" t="s">
        <v>539</v>
      </c>
      <c r="D1195" s="12"/>
      <c r="E1195" s="12">
        <f t="shared" si="209"/>
        <v>1</v>
      </c>
      <c r="F1195" s="12" t="s">
        <v>70</v>
      </c>
      <c r="G1195" s="12">
        <v>0</v>
      </c>
      <c r="H1195" s="12">
        <v>0</v>
      </c>
      <c r="I1195" s="12">
        <v>0</v>
      </c>
      <c r="J1195" s="12">
        <v>0</v>
      </c>
      <c r="K1195" s="12">
        <v>0</v>
      </c>
      <c r="L1195" s="12">
        <v>0</v>
      </c>
      <c r="M1195" s="12">
        <v>0</v>
      </c>
      <c r="N1195" s="12">
        <v>0</v>
      </c>
      <c r="O1195" s="12">
        <v>0</v>
      </c>
      <c r="P1195" s="12">
        <v>0</v>
      </c>
      <c r="Q1195" s="12">
        <v>0</v>
      </c>
      <c r="R1195" s="12">
        <v>0</v>
      </c>
      <c r="S1195" s="12">
        <v>0</v>
      </c>
      <c r="T1195" s="12">
        <v>0</v>
      </c>
      <c r="U1195" s="12">
        <v>0</v>
      </c>
      <c r="V1195" s="12">
        <v>1</v>
      </c>
      <c r="W1195" s="12">
        <v>0</v>
      </c>
      <c r="X1195" s="12">
        <v>0</v>
      </c>
      <c r="Y1195" s="12">
        <v>0</v>
      </c>
      <c r="Z1195" s="12">
        <v>0</v>
      </c>
      <c r="AA1195" s="12"/>
      <c r="AC1195" s="13">
        <f t="shared" si="210"/>
        <v>0</v>
      </c>
      <c r="AL1195" s="14">
        <f t="shared" si="211"/>
        <v>0</v>
      </c>
    </row>
    <row r="1196" spans="1:38" hidden="1" x14ac:dyDescent="0.25">
      <c r="A1196" s="12" t="s">
        <v>1111</v>
      </c>
      <c r="B1196" s="12" t="s">
        <v>1229</v>
      </c>
      <c r="C1196" s="12" t="s">
        <v>539</v>
      </c>
      <c r="D1196" s="12"/>
      <c r="E1196" s="12">
        <f t="shared" si="209"/>
        <v>1</v>
      </c>
      <c r="F1196" s="12" t="str">
        <f>VLOOKUP(B1196,[1]lookup!A:B,2,FALSE)</f>
        <v>Perpetual</v>
      </c>
      <c r="G1196" s="12">
        <v>0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12">
        <v>0</v>
      </c>
      <c r="U1196" s="12">
        <v>0</v>
      </c>
      <c r="V1196" s="12">
        <v>0</v>
      </c>
      <c r="W1196" s="12">
        <v>0</v>
      </c>
      <c r="X1196" s="12">
        <v>0</v>
      </c>
      <c r="Y1196" s="12">
        <v>1</v>
      </c>
      <c r="Z1196" s="12">
        <v>0</v>
      </c>
      <c r="AA1196" s="12"/>
      <c r="AC1196" s="13">
        <f t="shared" si="210"/>
        <v>0</v>
      </c>
      <c r="AL1196" s="14">
        <f t="shared" si="211"/>
        <v>0</v>
      </c>
    </row>
    <row r="1197" spans="1:38" hidden="1" x14ac:dyDescent="0.25">
      <c r="A1197" s="12" t="s">
        <v>199</v>
      </c>
      <c r="B1197" s="12" t="s">
        <v>365</v>
      </c>
      <c r="C1197" s="12" t="s">
        <v>539</v>
      </c>
      <c r="D1197" s="12"/>
      <c r="E1197" s="12">
        <f t="shared" si="209"/>
        <v>1</v>
      </c>
      <c r="F1197" s="12" t="str">
        <f>VLOOKUP(B1197,[1]lookup!A:B,2,FALSE)</f>
        <v>Perpetual</v>
      </c>
      <c r="G1197" s="12">
        <v>0</v>
      </c>
      <c r="H1197" s="12">
        <v>0</v>
      </c>
      <c r="I1197" s="12">
        <v>0</v>
      </c>
      <c r="J1197" s="12">
        <v>0</v>
      </c>
      <c r="K1197" s="12">
        <v>0</v>
      </c>
      <c r="L1197" s="12">
        <v>0</v>
      </c>
      <c r="M1197" s="12">
        <v>0</v>
      </c>
      <c r="N1197" s="12">
        <v>0</v>
      </c>
      <c r="O1197" s="12">
        <v>0</v>
      </c>
      <c r="P1197" s="12">
        <v>0</v>
      </c>
      <c r="Q1197" s="12">
        <v>0</v>
      </c>
      <c r="R1197" s="12">
        <v>0</v>
      </c>
      <c r="S1197" s="12">
        <v>0</v>
      </c>
      <c r="T1197" s="12">
        <v>0</v>
      </c>
      <c r="U1197" s="12">
        <v>0</v>
      </c>
      <c r="V1197" s="12">
        <v>0</v>
      </c>
      <c r="W1197" s="12">
        <v>1</v>
      </c>
      <c r="X1197" s="12">
        <v>0</v>
      </c>
      <c r="Y1197" s="12">
        <v>0</v>
      </c>
      <c r="Z1197" s="12">
        <v>0</v>
      </c>
      <c r="AA1197" s="12"/>
      <c r="AC1197" s="13">
        <f t="shared" si="210"/>
        <v>0</v>
      </c>
      <c r="AL1197" s="14">
        <f t="shared" si="211"/>
        <v>0</v>
      </c>
    </row>
    <row r="1198" spans="1:38" hidden="1" x14ac:dyDescent="0.25">
      <c r="A1198" s="12" t="s">
        <v>1230</v>
      </c>
      <c r="B1198" s="12" t="s">
        <v>1231</v>
      </c>
      <c r="C1198" s="12" t="s">
        <v>539</v>
      </c>
      <c r="D1198" s="12"/>
      <c r="E1198" s="12">
        <f t="shared" si="209"/>
        <v>1</v>
      </c>
      <c r="F1198" s="12" t="s">
        <v>70</v>
      </c>
      <c r="G1198" s="12">
        <v>0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12">
        <v>0</v>
      </c>
      <c r="U1198" s="12">
        <v>0</v>
      </c>
      <c r="V1198" s="12">
        <v>1</v>
      </c>
      <c r="W1198" s="12">
        <v>0</v>
      </c>
      <c r="X1198" s="12">
        <v>0</v>
      </c>
      <c r="Y1198" s="12">
        <v>0</v>
      </c>
      <c r="Z1198" s="12">
        <v>0</v>
      </c>
      <c r="AA1198" s="12"/>
      <c r="AC1198" s="13">
        <f t="shared" si="210"/>
        <v>0</v>
      </c>
      <c r="AL1198" s="14">
        <f t="shared" si="211"/>
        <v>0</v>
      </c>
    </row>
    <row r="1199" spans="1:38" hidden="1" x14ac:dyDescent="0.25">
      <c r="A1199" s="12" t="s">
        <v>1232</v>
      </c>
      <c r="B1199" s="12" t="s">
        <v>195</v>
      </c>
      <c r="C1199" s="12" t="s">
        <v>539</v>
      </c>
      <c r="D1199" s="12"/>
      <c r="E1199" s="12">
        <f t="shared" si="209"/>
        <v>1</v>
      </c>
      <c r="F1199" s="12" t="s">
        <v>70</v>
      </c>
      <c r="G1199" s="12">
        <v>0</v>
      </c>
      <c r="H1199" s="12">
        <v>0</v>
      </c>
      <c r="I1199" s="12">
        <v>0</v>
      </c>
      <c r="J1199" s="12">
        <v>0</v>
      </c>
      <c r="K1199" s="12">
        <v>0</v>
      </c>
      <c r="L1199" s="12">
        <v>0</v>
      </c>
      <c r="M1199" s="12">
        <v>0</v>
      </c>
      <c r="N1199" s="12">
        <v>0</v>
      </c>
      <c r="O1199" s="12">
        <v>0</v>
      </c>
      <c r="P1199" s="12">
        <v>0</v>
      </c>
      <c r="Q1199" s="12">
        <v>0</v>
      </c>
      <c r="R1199" s="12">
        <v>0</v>
      </c>
      <c r="S1199" s="12">
        <v>0</v>
      </c>
      <c r="T1199" s="12">
        <v>0</v>
      </c>
      <c r="U1199" s="12">
        <v>0</v>
      </c>
      <c r="V1199" s="12">
        <v>0</v>
      </c>
      <c r="W1199" s="12">
        <v>0</v>
      </c>
      <c r="X1199" s="12">
        <v>1</v>
      </c>
      <c r="Y1199" s="12">
        <v>0</v>
      </c>
      <c r="Z1199" s="12">
        <v>0</v>
      </c>
      <c r="AA1199" s="12"/>
      <c r="AC1199" s="13">
        <f t="shared" si="210"/>
        <v>0</v>
      </c>
      <c r="AL1199" s="14">
        <f t="shared" si="211"/>
        <v>0</v>
      </c>
    </row>
    <row r="1200" spans="1:38" hidden="1" x14ac:dyDescent="0.25">
      <c r="A1200" s="12" t="s">
        <v>148</v>
      </c>
      <c r="B1200" s="12" t="s">
        <v>1233</v>
      </c>
      <c r="C1200" s="12" t="s">
        <v>539</v>
      </c>
      <c r="D1200" s="12"/>
      <c r="E1200" s="12">
        <f t="shared" si="209"/>
        <v>1</v>
      </c>
      <c r="F1200" s="12" t="s">
        <v>70</v>
      </c>
      <c r="G1200" s="12">
        <v>0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12">
        <v>0</v>
      </c>
      <c r="U1200" s="12">
        <v>0</v>
      </c>
      <c r="V1200" s="12">
        <v>0</v>
      </c>
      <c r="W1200" s="12">
        <v>1</v>
      </c>
      <c r="X1200" s="12">
        <v>0</v>
      </c>
      <c r="Y1200" s="12">
        <v>0</v>
      </c>
      <c r="Z1200" s="12">
        <v>0</v>
      </c>
      <c r="AA1200" s="12"/>
      <c r="AC1200" s="13">
        <f t="shared" si="210"/>
        <v>0</v>
      </c>
      <c r="AL1200" s="14">
        <f t="shared" si="211"/>
        <v>0</v>
      </c>
    </row>
    <row r="1201" spans="1:38" hidden="1" x14ac:dyDescent="0.25">
      <c r="A1201" s="12" t="s">
        <v>148</v>
      </c>
      <c r="B1201" s="12" t="s">
        <v>1234</v>
      </c>
      <c r="C1201" s="12" t="s">
        <v>539</v>
      </c>
      <c r="D1201" s="12"/>
      <c r="E1201" s="12">
        <f t="shared" si="209"/>
        <v>1</v>
      </c>
      <c r="F1201" s="12" t="s">
        <v>70</v>
      </c>
      <c r="G1201" s="12">
        <v>0</v>
      </c>
      <c r="H1201" s="12">
        <v>0</v>
      </c>
      <c r="I1201" s="12">
        <v>0</v>
      </c>
      <c r="J1201" s="12">
        <v>0</v>
      </c>
      <c r="K1201" s="12">
        <v>0</v>
      </c>
      <c r="L1201" s="12">
        <v>0</v>
      </c>
      <c r="M1201" s="12">
        <v>0</v>
      </c>
      <c r="N1201" s="12">
        <v>0</v>
      </c>
      <c r="O1201" s="12">
        <v>0</v>
      </c>
      <c r="P1201" s="12">
        <v>0</v>
      </c>
      <c r="Q1201" s="12">
        <v>0</v>
      </c>
      <c r="R1201" s="12">
        <v>0</v>
      </c>
      <c r="S1201" s="12">
        <v>0</v>
      </c>
      <c r="T1201" s="12">
        <v>0</v>
      </c>
      <c r="U1201" s="12">
        <v>0</v>
      </c>
      <c r="V1201" s="12">
        <v>0</v>
      </c>
      <c r="W1201" s="12">
        <v>1</v>
      </c>
      <c r="X1201" s="12">
        <v>0</v>
      </c>
      <c r="Y1201" s="12">
        <v>0</v>
      </c>
      <c r="Z1201" s="12">
        <v>0</v>
      </c>
      <c r="AA1201" s="12"/>
      <c r="AC1201" s="13">
        <f t="shared" si="210"/>
        <v>0</v>
      </c>
      <c r="AL1201" s="14">
        <f t="shared" si="211"/>
        <v>0</v>
      </c>
    </row>
    <row r="1202" spans="1:38" hidden="1" x14ac:dyDescent="0.25">
      <c r="A1202" s="12" t="s">
        <v>148</v>
      </c>
      <c r="B1202" s="12" t="s">
        <v>1235</v>
      </c>
      <c r="C1202" s="12" t="s">
        <v>539</v>
      </c>
      <c r="D1202" s="12"/>
      <c r="E1202" s="12">
        <f t="shared" si="209"/>
        <v>1</v>
      </c>
      <c r="F1202" s="12" t="s">
        <v>70</v>
      </c>
      <c r="G1202" s="12">
        <v>0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12">
        <v>0</v>
      </c>
      <c r="U1202" s="12">
        <v>0</v>
      </c>
      <c r="V1202" s="12">
        <v>0</v>
      </c>
      <c r="W1202" s="12">
        <v>1</v>
      </c>
      <c r="X1202" s="12">
        <v>0</v>
      </c>
      <c r="Y1202" s="12">
        <v>0</v>
      </c>
      <c r="Z1202" s="12">
        <v>0</v>
      </c>
      <c r="AA1202" s="12"/>
      <c r="AC1202" s="13">
        <f t="shared" si="210"/>
        <v>0</v>
      </c>
      <c r="AL1202" s="14">
        <f t="shared" si="211"/>
        <v>0</v>
      </c>
    </row>
    <row r="1203" spans="1:38" hidden="1" x14ac:dyDescent="0.25">
      <c r="A1203" s="12" t="s">
        <v>148</v>
      </c>
      <c r="B1203" s="12" t="s">
        <v>501</v>
      </c>
      <c r="C1203" s="12" t="s">
        <v>539</v>
      </c>
      <c r="D1203" s="12"/>
      <c r="E1203" s="12">
        <f t="shared" si="209"/>
        <v>1</v>
      </c>
      <c r="F1203" s="12" t="s">
        <v>70</v>
      </c>
      <c r="G1203" s="12">
        <v>0</v>
      </c>
      <c r="H1203" s="12">
        <v>0</v>
      </c>
      <c r="I1203" s="12">
        <v>0</v>
      </c>
      <c r="J1203" s="12">
        <v>0</v>
      </c>
      <c r="K1203" s="12">
        <v>0</v>
      </c>
      <c r="L1203" s="12">
        <v>0</v>
      </c>
      <c r="M1203" s="12">
        <v>0</v>
      </c>
      <c r="N1203" s="12">
        <v>0</v>
      </c>
      <c r="O1203" s="12">
        <v>0</v>
      </c>
      <c r="P1203" s="12">
        <v>0</v>
      </c>
      <c r="Q1203" s="12">
        <v>0</v>
      </c>
      <c r="R1203" s="12">
        <v>0</v>
      </c>
      <c r="S1203" s="12">
        <v>0</v>
      </c>
      <c r="T1203" s="12">
        <v>0</v>
      </c>
      <c r="U1203" s="12">
        <v>0</v>
      </c>
      <c r="V1203" s="12">
        <v>0</v>
      </c>
      <c r="W1203" s="12">
        <v>1</v>
      </c>
      <c r="X1203" s="12">
        <v>0</v>
      </c>
      <c r="Y1203" s="12">
        <v>0</v>
      </c>
      <c r="Z1203" s="12">
        <v>0</v>
      </c>
      <c r="AA1203" s="12"/>
      <c r="AC1203" s="13">
        <f t="shared" si="210"/>
        <v>0</v>
      </c>
      <c r="AL1203" s="14">
        <f t="shared" si="211"/>
        <v>0</v>
      </c>
    </row>
    <row r="1204" spans="1:38" hidden="1" x14ac:dyDescent="0.25">
      <c r="A1204" s="12" t="s">
        <v>148</v>
      </c>
      <c r="B1204" s="12" t="s">
        <v>1236</v>
      </c>
      <c r="C1204" s="12" t="s">
        <v>539</v>
      </c>
      <c r="D1204" s="12"/>
      <c r="E1204" s="12">
        <f t="shared" si="209"/>
        <v>1</v>
      </c>
      <c r="F1204" s="12" t="s">
        <v>70</v>
      </c>
      <c r="G1204" s="12">
        <v>0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12">
        <v>0</v>
      </c>
      <c r="U1204" s="12">
        <v>0</v>
      </c>
      <c r="V1204" s="12">
        <v>0</v>
      </c>
      <c r="W1204" s="12">
        <v>1</v>
      </c>
      <c r="X1204" s="12">
        <v>0</v>
      </c>
      <c r="Y1204" s="12">
        <v>0</v>
      </c>
      <c r="Z1204" s="12">
        <v>0</v>
      </c>
      <c r="AA1204" s="12"/>
      <c r="AC1204" s="13">
        <f t="shared" si="210"/>
        <v>0</v>
      </c>
      <c r="AL1204" s="14">
        <f t="shared" si="211"/>
        <v>0</v>
      </c>
    </row>
    <row r="1205" spans="1:38" hidden="1" x14ac:dyDescent="0.25">
      <c r="A1205" s="12" t="s">
        <v>148</v>
      </c>
      <c r="B1205" s="12" t="s">
        <v>1237</v>
      </c>
      <c r="C1205" s="12" t="s">
        <v>539</v>
      </c>
      <c r="D1205" s="12"/>
      <c r="E1205" s="12">
        <f t="shared" si="209"/>
        <v>1</v>
      </c>
      <c r="F1205" s="12" t="s">
        <v>70</v>
      </c>
      <c r="G1205" s="12">
        <v>0</v>
      </c>
      <c r="H1205" s="12">
        <v>0</v>
      </c>
      <c r="I1205" s="12">
        <v>0</v>
      </c>
      <c r="J1205" s="12">
        <v>0</v>
      </c>
      <c r="K1205" s="12">
        <v>0</v>
      </c>
      <c r="L1205" s="12">
        <v>0</v>
      </c>
      <c r="M1205" s="12">
        <v>0</v>
      </c>
      <c r="N1205" s="12">
        <v>0</v>
      </c>
      <c r="O1205" s="12">
        <v>0</v>
      </c>
      <c r="P1205" s="12">
        <v>0</v>
      </c>
      <c r="Q1205" s="12">
        <v>0</v>
      </c>
      <c r="R1205" s="12">
        <v>0</v>
      </c>
      <c r="S1205" s="12">
        <v>0</v>
      </c>
      <c r="T1205" s="12">
        <v>0</v>
      </c>
      <c r="U1205" s="12">
        <v>0</v>
      </c>
      <c r="V1205" s="12">
        <v>0</v>
      </c>
      <c r="W1205" s="12">
        <v>1</v>
      </c>
      <c r="X1205" s="12">
        <v>0</v>
      </c>
      <c r="Y1205" s="12">
        <v>0</v>
      </c>
      <c r="Z1205" s="12">
        <v>0</v>
      </c>
      <c r="AA1205" s="12"/>
      <c r="AC1205" s="13">
        <f t="shared" si="210"/>
        <v>0</v>
      </c>
      <c r="AL1205" s="14">
        <f t="shared" si="211"/>
        <v>0</v>
      </c>
    </row>
    <row r="1206" spans="1:38" hidden="1" x14ac:dyDescent="0.25">
      <c r="A1206" s="12" t="s">
        <v>148</v>
      </c>
      <c r="B1206" s="12" t="s">
        <v>1238</v>
      </c>
      <c r="C1206" s="12" t="s">
        <v>539</v>
      </c>
      <c r="D1206" s="12"/>
      <c r="E1206" s="12">
        <f t="shared" si="209"/>
        <v>1</v>
      </c>
      <c r="F1206" s="12" t="s">
        <v>70</v>
      </c>
      <c r="G1206" s="12">
        <v>0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12">
        <v>0</v>
      </c>
      <c r="U1206" s="12">
        <v>0</v>
      </c>
      <c r="V1206" s="12">
        <v>0</v>
      </c>
      <c r="W1206" s="12">
        <v>1</v>
      </c>
      <c r="X1206" s="12">
        <v>0</v>
      </c>
      <c r="Y1206" s="12">
        <v>0</v>
      </c>
      <c r="Z1206" s="12">
        <v>0</v>
      </c>
      <c r="AA1206" s="12"/>
      <c r="AC1206" s="13">
        <f t="shared" si="210"/>
        <v>0</v>
      </c>
      <c r="AL1206" s="14">
        <f t="shared" si="211"/>
        <v>0</v>
      </c>
    </row>
    <row r="1207" spans="1:38" hidden="1" x14ac:dyDescent="0.25">
      <c r="A1207" s="12" t="s">
        <v>148</v>
      </c>
      <c r="B1207" s="12" t="s">
        <v>1239</v>
      </c>
      <c r="C1207" s="12" t="s">
        <v>539</v>
      </c>
      <c r="D1207" s="12"/>
      <c r="E1207" s="12">
        <f t="shared" si="209"/>
        <v>1</v>
      </c>
      <c r="F1207" s="12" t="s">
        <v>70</v>
      </c>
      <c r="G1207" s="12">
        <v>0</v>
      </c>
      <c r="H1207" s="12">
        <v>0</v>
      </c>
      <c r="I1207" s="12">
        <v>0</v>
      </c>
      <c r="J1207" s="12">
        <v>0</v>
      </c>
      <c r="K1207" s="12">
        <v>0</v>
      </c>
      <c r="L1207" s="12">
        <v>0</v>
      </c>
      <c r="M1207" s="12">
        <v>0</v>
      </c>
      <c r="N1207" s="12">
        <v>0</v>
      </c>
      <c r="O1207" s="12">
        <v>0</v>
      </c>
      <c r="P1207" s="12">
        <v>0</v>
      </c>
      <c r="Q1207" s="12">
        <v>0</v>
      </c>
      <c r="R1207" s="12">
        <v>0</v>
      </c>
      <c r="S1207" s="12">
        <v>0</v>
      </c>
      <c r="T1207" s="12">
        <v>0</v>
      </c>
      <c r="U1207" s="12">
        <v>0</v>
      </c>
      <c r="V1207" s="12">
        <v>0</v>
      </c>
      <c r="W1207" s="12">
        <v>1</v>
      </c>
      <c r="X1207" s="12">
        <v>0</v>
      </c>
      <c r="Y1207" s="12">
        <v>0</v>
      </c>
      <c r="Z1207" s="12">
        <v>0</v>
      </c>
      <c r="AA1207" s="12"/>
      <c r="AC1207" s="13">
        <f t="shared" si="210"/>
        <v>0</v>
      </c>
      <c r="AL1207" s="14">
        <f t="shared" si="211"/>
        <v>0</v>
      </c>
    </row>
    <row r="1208" spans="1:38" hidden="1" x14ac:dyDescent="0.25">
      <c r="A1208" s="12" t="s">
        <v>1240</v>
      </c>
      <c r="B1208" s="12" t="s">
        <v>1228</v>
      </c>
      <c r="C1208" s="12" t="s">
        <v>539</v>
      </c>
      <c r="D1208" s="12"/>
      <c r="E1208" s="12">
        <f t="shared" si="209"/>
        <v>1</v>
      </c>
      <c r="F1208" s="12" t="s">
        <v>70</v>
      </c>
      <c r="G1208" s="12">
        <v>0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12">
        <v>0</v>
      </c>
      <c r="U1208" s="12">
        <v>0</v>
      </c>
      <c r="V1208" s="12">
        <v>1</v>
      </c>
      <c r="W1208" s="12">
        <v>0</v>
      </c>
      <c r="X1208" s="12">
        <v>0</v>
      </c>
      <c r="Y1208" s="12">
        <v>0</v>
      </c>
      <c r="Z1208" s="12">
        <v>0</v>
      </c>
      <c r="AA1208" s="12"/>
      <c r="AC1208" s="13">
        <f t="shared" si="210"/>
        <v>0</v>
      </c>
      <c r="AL1208" s="14">
        <f t="shared" si="211"/>
        <v>0</v>
      </c>
    </row>
    <row r="1209" spans="1:38" hidden="1" x14ac:dyDescent="0.25">
      <c r="A1209" s="12" t="s">
        <v>1241</v>
      </c>
      <c r="B1209" s="12" t="s">
        <v>1228</v>
      </c>
      <c r="C1209" s="12" t="s">
        <v>539</v>
      </c>
      <c r="D1209" s="12"/>
      <c r="E1209" s="12">
        <f t="shared" si="209"/>
        <v>1</v>
      </c>
      <c r="F1209" s="12" t="s">
        <v>70</v>
      </c>
      <c r="G1209" s="12">
        <v>0</v>
      </c>
      <c r="H1209" s="12">
        <v>0</v>
      </c>
      <c r="I1209" s="12">
        <v>0</v>
      </c>
      <c r="J1209" s="12">
        <v>0</v>
      </c>
      <c r="K1209" s="12">
        <v>0</v>
      </c>
      <c r="L1209" s="12">
        <v>0</v>
      </c>
      <c r="M1209" s="12">
        <v>0</v>
      </c>
      <c r="N1209" s="12">
        <v>0</v>
      </c>
      <c r="O1209" s="12">
        <v>0</v>
      </c>
      <c r="P1209" s="12">
        <v>0</v>
      </c>
      <c r="Q1209" s="12">
        <v>0</v>
      </c>
      <c r="R1209" s="12">
        <v>0</v>
      </c>
      <c r="S1209" s="12">
        <v>0</v>
      </c>
      <c r="T1209" s="12">
        <v>0</v>
      </c>
      <c r="U1209" s="12">
        <v>0</v>
      </c>
      <c r="V1209" s="12">
        <v>1</v>
      </c>
      <c r="W1209" s="12">
        <v>0</v>
      </c>
      <c r="X1209" s="12">
        <v>0</v>
      </c>
      <c r="Y1209" s="12">
        <v>0</v>
      </c>
      <c r="Z1209" s="12">
        <v>0</v>
      </c>
      <c r="AA1209" s="12"/>
      <c r="AC1209" s="13">
        <f t="shared" si="210"/>
        <v>0</v>
      </c>
      <c r="AL1209" s="14">
        <f t="shared" si="211"/>
        <v>0</v>
      </c>
    </row>
    <row r="1210" spans="1:38" hidden="1" x14ac:dyDescent="0.25">
      <c r="A1210" s="12" t="s">
        <v>1242</v>
      </c>
      <c r="B1210" s="12" t="s">
        <v>1228</v>
      </c>
      <c r="C1210" s="12" t="s">
        <v>539</v>
      </c>
      <c r="D1210" s="12"/>
      <c r="E1210" s="12">
        <f t="shared" si="209"/>
        <v>1</v>
      </c>
      <c r="F1210" s="12" t="s">
        <v>70</v>
      </c>
      <c r="G1210" s="12">
        <v>0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12">
        <v>0</v>
      </c>
      <c r="U1210" s="12">
        <v>0</v>
      </c>
      <c r="V1210" s="12">
        <v>1</v>
      </c>
      <c r="W1210" s="12">
        <v>0</v>
      </c>
      <c r="X1210" s="12">
        <v>0</v>
      </c>
      <c r="Y1210" s="12">
        <v>0</v>
      </c>
      <c r="Z1210" s="12">
        <v>0</v>
      </c>
      <c r="AA1210" s="12"/>
      <c r="AC1210" s="13">
        <f t="shared" si="210"/>
        <v>0</v>
      </c>
      <c r="AL1210" s="14">
        <f t="shared" si="211"/>
        <v>0</v>
      </c>
    </row>
    <row r="1211" spans="1:38" hidden="1" x14ac:dyDescent="0.25">
      <c r="A1211" s="12" t="s">
        <v>86</v>
      </c>
      <c r="B1211" s="12" t="s">
        <v>1243</v>
      </c>
      <c r="C1211" s="12" t="s">
        <v>539</v>
      </c>
      <c r="D1211" s="12"/>
      <c r="E1211" s="12">
        <f t="shared" si="209"/>
        <v>0</v>
      </c>
      <c r="F1211" s="12" t="str">
        <f>VLOOKUP(B1211,[1]lookup!A:B,2,FALSE)</f>
        <v>Term</v>
      </c>
      <c r="G1211" s="12">
        <v>0</v>
      </c>
      <c r="H1211" s="12">
        <v>0</v>
      </c>
      <c r="I1211" s="12">
        <v>0</v>
      </c>
      <c r="J1211" s="12">
        <v>0</v>
      </c>
      <c r="K1211" s="12">
        <v>0</v>
      </c>
      <c r="L1211" s="12">
        <v>0</v>
      </c>
      <c r="M1211" s="12">
        <v>0</v>
      </c>
      <c r="N1211" s="12">
        <v>0</v>
      </c>
      <c r="O1211" s="12">
        <v>0</v>
      </c>
      <c r="P1211" s="12">
        <v>0</v>
      </c>
      <c r="Q1211" s="12">
        <v>0</v>
      </c>
      <c r="R1211" s="12">
        <v>0</v>
      </c>
      <c r="S1211" s="12">
        <v>0</v>
      </c>
      <c r="T1211" s="12">
        <v>0</v>
      </c>
      <c r="U1211" s="12">
        <v>0</v>
      </c>
      <c r="V1211" s="12">
        <v>0</v>
      </c>
      <c r="W1211" s="12">
        <v>0</v>
      </c>
      <c r="X1211" s="12">
        <v>0</v>
      </c>
      <c r="Y1211" s="12">
        <v>0</v>
      </c>
      <c r="Z1211" s="12">
        <v>0</v>
      </c>
      <c r="AA1211" s="12"/>
      <c r="AC1211" s="13">
        <f t="shared" si="210"/>
        <v>0</v>
      </c>
      <c r="AL1211" s="14">
        <f t="shared" si="211"/>
        <v>0</v>
      </c>
    </row>
    <row r="1212" spans="1:38" hidden="1" x14ac:dyDescent="0.25">
      <c r="A1212" s="12" t="s">
        <v>86</v>
      </c>
      <c r="B1212" s="12" t="s">
        <v>288</v>
      </c>
      <c r="C1212" s="12" t="s">
        <v>539</v>
      </c>
      <c r="D1212" s="12"/>
      <c r="E1212" s="12">
        <f t="shared" si="209"/>
        <v>0</v>
      </c>
      <c r="F1212" s="12" t="str">
        <f>VLOOKUP(B1212,[1]lookup!A:B,2,FALSE)</f>
        <v>Perpetual</v>
      </c>
      <c r="G1212" s="12">
        <v>0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12">
        <v>0</v>
      </c>
      <c r="U1212" s="12">
        <v>0</v>
      </c>
      <c r="V1212" s="12">
        <v>0</v>
      </c>
      <c r="W1212" s="12">
        <v>0</v>
      </c>
      <c r="X1212" s="12">
        <v>0</v>
      </c>
      <c r="Y1212" s="12">
        <v>0</v>
      </c>
      <c r="Z1212" s="12">
        <v>0</v>
      </c>
      <c r="AA1212" s="12"/>
      <c r="AC1212" s="13">
        <f t="shared" si="210"/>
        <v>0</v>
      </c>
      <c r="AL1212" s="14">
        <f t="shared" si="211"/>
        <v>0</v>
      </c>
    </row>
    <row r="1213" spans="1:38" hidden="1" x14ac:dyDescent="0.25">
      <c r="A1213" s="12" t="s">
        <v>86</v>
      </c>
      <c r="B1213" s="12" t="s">
        <v>1244</v>
      </c>
      <c r="C1213" s="12" t="s">
        <v>539</v>
      </c>
      <c r="D1213" s="12"/>
      <c r="E1213" s="12">
        <f t="shared" si="209"/>
        <v>0</v>
      </c>
      <c r="F1213" s="12" t="str">
        <f>VLOOKUP(B1213,[1]lookup!A:B,2,FALSE)</f>
        <v>SaaS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/>
      <c r="AC1213" s="13">
        <f t="shared" si="210"/>
        <v>0</v>
      </c>
      <c r="AL1213" s="14">
        <f t="shared" si="211"/>
        <v>0</v>
      </c>
    </row>
    <row r="1214" spans="1:38" hidden="1" x14ac:dyDescent="0.25">
      <c r="A1214" s="12" t="s">
        <v>86</v>
      </c>
      <c r="B1214" s="12" t="s">
        <v>1245</v>
      </c>
      <c r="C1214" s="12" t="s">
        <v>539</v>
      </c>
      <c r="D1214" s="12"/>
      <c r="E1214" s="12">
        <f t="shared" si="209"/>
        <v>0</v>
      </c>
      <c r="F1214" s="12" t="s">
        <v>70</v>
      </c>
      <c r="G1214" s="12">
        <v>0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12">
        <v>0</v>
      </c>
      <c r="U1214" s="12">
        <v>0</v>
      </c>
      <c r="V1214" s="12">
        <v>0</v>
      </c>
      <c r="W1214" s="12">
        <v>0</v>
      </c>
      <c r="X1214" s="12">
        <v>0</v>
      </c>
      <c r="Y1214" s="12">
        <v>0</v>
      </c>
      <c r="Z1214" s="12">
        <v>0</v>
      </c>
      <c r="AA1214" s="12"/>
      <c r="AC1214" s="13">
        <f t="shared" si="210"/>
        <v>0</v>
      </c>
      <c r="AL1214" s="14">
        <f t="shared" si="211"/>
        <v>0</v>
      </c>
    </row>
    <row r="1215" spans="1:38" hidden="1" x14ac:dyDescent="0.25">
      <c r="A1215" s="12" t="s">
        <v>86</v>
      </c>
      <c r="B1215" s="12" t="s">
        <v>1246</v>
      </c>
      <c r="C1215" s="12" t="s">
        <v>539</v>
      </c>
      <c r="D1215" s="12"/>
      <c r="E1215" s="12">
        <f t="shared" si="209"/>
        <v>0</v>
      </c>
      <c r="F1215" s="12" t="str">
        <f>VLOOKUP(B1215,[1]lookup!A:B,2,FALSE)</f>
        <v>SaaS</v>
      </c>
      <c r="G1215" s="12">
        <v>0</v>
      </c>
      <c r="H1215" s="12">
        <v>0</v>
      </c>
      <c r="I1215" s="12">
        <v>0</v>
      </c>
      <c r="J1215" s="12">
        <v>0</v>
      </c>
      <c r="K1215" s="12">
        <v>0</v>
      </c>
      <c r="L1215" s="12">
        <v>0</v>
      </c>
      <c r="M1215" s="12">
        <v>0</v>
      </c>
      <c r="N1215" s="12">
        <v>0</v>
      </c>
      <c r="O1215" s="12">
        <v>0</v>
      </c>
      <c r="P1215" s="12">
        <v>0</v>
      </c>
      <c r="Q1215" s="12">
        <v>0</v>
      </c>
      <c r="R1215" s="12">
        <v>0</v>
      </c>
      <c r="S1215" s="12">
        <v>0</v>
      </c>
      <c r="T1215" s="12">
        <v>0</v>
      </c>
      <c r="U1215" s="12">
        <v>0</v>
      </c>
      <c r="V1215" s="12">
        <v>0</v>
      </c>
      <c r="W1215" s="12">
        <v>0</v>
      </c>
      <c r="X1215" s="12">
        <v>0</v>
      </c>
      <c r="Y1215" s="12">
        <v>0</v>
      </c>
      <c r="Z1215" s="12">
        <v>0</v>
      </c>
      <c r="AA1215" s="12"/>
      <c r="AC1215" s="13">
        <f t="shared" si="210"/>
        <v>0</v>
      </c>
      <c r="AL1215" s="14">
        <f t="shared" si="211"/>
        <v>0</v>
      </c>
    </row>
    <row r="1216" spans="1:38" hidden="1" x14ac:dyDescent="0.25">
      <c r="A1216" s="12" t="s">
        <v>86</v>
      </c>
      <c r="B1216" s="12" t="s">
        <v>1247</v>
      </c>
      <c r="C1216" s="12" t="s">
        <v>539</v>
      </c>
      <c r="D1216" s="12"/>
      <c r="E1216" s="12">
        <f t="shared" si="209"/>
        <v>0</v>
      </c>
      <c r="F1216" s="12" t="str">
        <f>VLOOKUP(B1216,[1]lookup!A:B,2,FALSE)</f>
        <v>SaaS</v>
      </c>
      <c r="G1216" s="12">
        <v>0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12">
        <v>0</v>
      </c>
      <c r="U1216" s="12">
        <v>0</v>
      </c>
      <c r="V1216" s="12">
        <v>0</v>
      </c>
      <c r="W1216" s="12">
        <v>0</v>
      </c>
      <c r="X1216" s="12">
        <v>0</v>
      </c>
      <c r="Y1216" s="12">
        <v>0</v>
      </c>
      <c r="Z1216" s="12">
        <v>0</v>
      </c>
      <c r="AA1216" s="12"/>
      <c r="AC1216" s="13">
        <f t="shared" si="210"/>
        <v>0</v>
      </c>
      <c r="AL1216" s="14">
        <f t="shared" si="211"/>
        <v>0</v>
      </c>
    </row>
    <row r="1217" spans="1:38" hidden="1" x14ac:dyDescent="0.25">
      <c r="A1217" s="12" t="s">
        <v>86</v>
      </c>
      <c r="B1217" s="12" t="s">
        <v>1248</v>
      </c>
      <c r="C1217" s="12" t="s">
        <v>539</v>
      </c>
      <c r="D1217" s="12"/>
      <c r="E1217" s="12">
        <f t="shared" si="209"/>
        <v>0</v>
      </c>
      <c r="F1217" s="12" t="str">
        <f>VLOOKUP(B1217,[1]lookup!A:B,2,FALSE)</f>
        <v>Perpetual</v>
      </c>
      <c r="G1217" s="12">
        <v>0</v>
      </c>
      <c r="H1217" s="12">
        <v>0</v>
      </c>
      <c r="I1217" s="12">
        <v>0</v>
      </c>
      <c r="J1217" s="12">
        <v>0</v>
      </c>
      <c r="K1217" s="12">
        <v>0</v>
      </c>
      <c r="L1217" s="12">
        <v>0</v>
      </c>
      <c r="M1217" s="12">
        <v>0</v>
      </c>
      <c r="N1217" s="12">
        <v>0</v>
      </c>
      <c r="O1217" s="12">
        <v>0</v>
      </c>
      <c r="P1217" s="12">
        <v>0</v>
      </c>
      <c r="Q1217" s="12">
        <v>0</v>
      </c>
      <c r="R1217" s="12">
        <v>0</v>
      </c>
      <c r="S1217" s="12">
        <v>0</v>
      </c>
      <c r="T1217" s="12">
        <v>0</v>
      </c>
      <c r="U1217" s="12">
        <v>0</v>
      </c>
      <c r="V1217" s="12">
        <v>0</v>
      </c>
      <c r="W1217" s="12">
        <v>0</v>
      </c>
      <c r="X1217" s="12">
        <v>0</v>
      </c>
      <c r="Y1217" s="12">
        <v>0</v>
      </c>
      <c r="Z1217" s="12">
        <v>0</v>
      </c>
      <c r="AA1217" s="12"/>
      <c r="AC1217" s="13">
        <f t="shared" si="210"/>
        <v>0</v>
      </c>
      <c r="AL1217" s="14">
        <f t="shared" si="211"/>
        <v>0</v>
      </c>
    </row>
    <row r="1218" spans="1:38" hidden="1" x14ac:dyDescent="0.25">
      <c r="A1218" s="12" t="s">
        <v>86</v>
      </c>
      <c r="B1218" s="12" t="s">
        <v>1249</v>
      </c>
      <c r="C1218" s="12" t="s">
        <v>539</v>
      </c>
      <c r="D1218" s="12"/>
      <c r="E1218" s="12">
        <f t="shared" si="209"/>
        <v>0</v>
      </c>
      <c r="F1218" s="12" t="str">
        <f>VLOOKUP(B1218,[1]lookup!A:B,2,FALSE)</f>
        <v>Perpetual</v>
      </c>
      <c r="G1218" s="12">
        <v>0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12">
        <v>0</v>
      </c>
      <c r="U1218" s="12">
        <v>0</v>
      </c>
      <c r="V1218" s="12">
        <v>0</v>
      </c>
      <c r="W1218" s="12">
        <v>0</v>
      </c>
      <c r="X1218" s="12">
        <v>0</v>
      </c>
      <c r="Y1218" s="12">
        <v>0</v>
      </c>
      <c r="Z1218" s="12">
        <v>0</v>
      </c>
      <c r="AA1218" s="12"/>
      <c r="AC1218" s="13">
        <f t="shared" si="210"/>
        <v>0</v>
      </c>
      <c r="AL1218" s="14">
        <f t="shared" si="211"/>
        <v>0</v>
      </c>
    </row>
    <row r="1219" spans="1:38" hidden="1" x14ac:dyDescent="0.25">
      <c r="A1219" s="12" t="s">
        <v>86</v>
      </c>
      <c r="B1219" s="12" t="s">
        <v>1250</v>
      </c>
      <c r="C1219" s="12" t="s">
        <v>539</v>
      </c>
      <c r="D1219" s="12"/>
      <c r="E1219" s="12">
        <f t="shared" si="209"/>
        <v>0</v>
      </c>
      <c r="F1219" s="12" t="str">
        <f>VLOOKUP(B1219,[1]lookup!A:B,2,FALSE)</f>
        <v>SaaS</v>
      </c>
      <c r="G1219" s="12">
        <v>0</v>
      </c>
      <c r="H1219" s="12">
        <v>0</v>
      </c>
      <c r="I1219" s="12">
        <v>0</v>
      </c>
      <c r="J1219" s="12">
        <v>0</v>
      </c>
      <c r="K1219" s="12">
        <v>0</v>
      </c>
      <c r="L1219" s="12">
        <v>0</v>
      </c>
      <c r="M1219" s="12">
        <v>0</v>
      </c>
      <c r="N1219" s="12">
        <v>0</v>
      </c>
      <c r="O1219" s="12">
        <v>0</v>
      </c>
      <c r="P1219" s="12">
        <v>0</v>
      </c>
      <c r="Q1219" s="12">
        <v>0</v>
      </c>
      <c r="R1219" s="12">
        <v>0</v>
      </c>
      <c r="S1219" s="12">
        <v>0</v>
      </c>
      <c r="T1219" s="12">
        <v>0</v>
      </c>
      <c r="U1219" s="12">
        <v>0</v>
      </c>
      <c r="V1219" s="12">
        <v>0</v>
      </c>
      <c r="W1219" s="12">
        <v>0</v>
      </c>
      <c r="X1219" s="12">
        <v>0</v>
      </c>
      <c r="Y1219" s="12">
        <v>0</v>
      </c>
      <c r="Z1219" s="12">
        <v>0</v>
      </c>
      <c r="AA1219" s="12"/>
      <c r="AC1219" s="13">
        <f t="shared" si="210"/>
        <v>0</v>
      </c>
      <c r="AL1219" s="14">
        <f t="shared" si="211"/>
        <v>0</v>
      </c>
    </row>
    <row r="1220" spans="1:38" hidden="1" x14ac:dyDescent="0.25">
      <c r="A1220" s="12" t="s">
        <v>86</v>
      </c>
      <c r="B1220" s="12" t="s">
        <v>1251</v>
      </c>
      <c r="C1220" s="12" t="s">
        <v>539</v>
      </c>
      <c r="D1220" s="12"/>
      <c r="E1220" s="12">
        <f t="shared" si="209"/>
        <v>0</v>
      </c>
      <c r="F1220" s="12" t="str">
        <f>VLOOKUP(B1220,[1]lookup!A:B,2,FALSE)</f>
        <v>SaaS</v>
      </c>
      <c r="G1220" s="12">
        <v>0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12">
        <v>0</v>
      </c>
      <c r="U1220" s="12">
        <v>0</v>
      </c>
      <c r="V1220" s="12">
        <v>0</v>
      </c>
      <c r="W1220" s="12">
        <v>0</v>
      </c>
      <c r="X1220" s="12">
        <v>0</v>
      </c>
      <c r="Y1220" s="12">
        <v>0</v>
      </c>
      <c r="Z1220" s="12">
        <v>0</v>
      </c>
      <c r="AA1220" s="12"/>
      <c r="AC1220" s="13">
        <f t="shared" si="210"/>
        <v>0</v>
      </c>
      <c r="AL1220" s="14">
        <f t="shared" si="211"/>
        <v>0</v>
      </c>
    </row>
    <row r="1221" spans="1:38" hidden="1" x14ac:dyDescent="0.25">
      <c r="A1221" s="12" t="s">
        <v>86</v>
      </c>
      <c r="B1221" s="12" t="s">
        <v>1252</v>
      </c>
      <c r="C1221" s="12" t="s">
        <v>539</v>
      </c>
      <c r="D1221" s="12"/>
      <c r="E1221" s="12">
        <f t="shared" ref="E1221:E1284" si="212">MAX(G1221:Z1221)</f>
        <v>0</v>
      </c>
      <c r="F1221" s="12" t="str">
        <f>VLOOKUP(B1221,[1]lookup!A:B,2,FALSE)</f>
        <v>Perpetual</v>
      </c>
      <c r="G1221" s="12">
        <v>0</v>
      </c>
      <c r="H1221" s="12">
        <v>0</v>
      </c>
      <c r="I1221" s="12">
        <v>0</v>
      </c>
      <c r="J1221" s="12">
        <v>0</v>
      </c>
      <c r="K1221" s="12">
        <v>0</v>
      </c>
      <c r="L1221" s="12">
        <v>0</v>
      </c>
      <c r="M1221" s="12">
        <v>0</v>
      </c>
      <c r="N1221" s="12">
        <v>0</v>
      </c>
      <c r="O1221" s="12">
        <v>0</v>
      </c>
      <c r="P1221" s="12">
        <v>0</v>
      </c>
      <c r="Q1221" s="12">
        <v>0</v>
      </c>
      <c r="R1221" s="12">
        <v>0</v>
      </c>
      <c r="S1221" s="12">
        <v>0</v>
      </c>
      <c r="T1221" s="12">
        <v>0</v>
      </c>
      <c r="U1221" s="12">
        <v>0</v>
      </c>
      <c r="V1221" s="12">
        <v>0</v>
      </c>
      <c r="W1221" s="12">
        <v>0</v>
      </c>
      <c r="X1221" s="12">
        <v>0</v>
      </c>
      <c r="Y1221" s="12">
        <v>0</v>
      </c>
      <c r="Z1221" s="12">
        <v>0</v>
      </c>
      <c r="AA1221" s="12"/>
      <c r="AC1221" s="13">
        <f t="shared" ref="AC1221:AC1284" si="213">M1221*AC$2</f>
        <v>0</v>
      </c>
      <c r="AL1221" s="14">
        <f t="shared" si="211"/>
        <v>0</v>
      </c>
    </row>
    <row r="1222" spans="1:38" hidden="1" x14ac:dyDescent="0.25">
      <c r="A1222" s="12" t="s">
        <v>86</v>
      </c>
      <c r="B1222" s="12" t="s">
        <v>1253</v>
      </c>
      <c r="C1222" s="12" t="s">
        <v>539</v>
      </c>
      <c r="D1222" s="12"/>
      <c r="E1222" s="12">
        <f t="shared" si="212"/>
        <v>0</v>
      </c>
      <c r="F1222" s="12" t="str">
        <f>VLOOKUP(B1222,[1]lookup!A:B,2,FALSE)</f>
        <v>SaaS</v>
      </c>
      <c r="G1222" s="12">
        <v>0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12">
        <v>0</v>
      </c>
      <c r="U1222" s="12">
        <v>0</v>
      </c>
      <c r="V1222" s="12">
        <v>0</v>
      </c>
      <c r="W1222" s="12">
        <v>0</v>
      </c>
      <c r="X1222" s="12">
        <v>0</v>
      </c>
      <c r="Y1222" s="12">
        <v>0</v>
      </c>
      <c r="Z1222" s="12">
        <v>0</v>
      </c>
      <c r="AA1222" s="12"/>
      <c r="AC1222" s="13">
        <f t="shared" si="213"/>
        <v>0</v>
      </c>
      <c r="AL1222" s="14">
        <f t="shared" ref="AL1222:AL1285" si="214">SUM(AC1222:AK1222)</f>
        <v>0</v>
      </c>
    </row>
    <row r="1223" spans="1:38" hidden="1" x14ac:dyDescent="0.25">
      <c r="A1223" s="12" t="s">
        <v>86</v>
      </c>
      <c r="B1223" s="12" t="s">
        <v>504</v>
      </c>
      <c r="C1223" s="12" t="s">
        <v>539</v>
      </c>
      <c r="D1223" s="12"/>
      <c r="E1223" s="12">
        <f t="shared" si="212"/>
        <v>0</v>
      </c>
      <c r="F1223" s="12" t="str">
        <f>VLOOKUP(B1223,[1]lookup!A:B,2,FALSE)</f>
        <v>Term</v>
      </c>
      <c r="G1223" s="12">
        <v>0</v>
      </c>
      <c r="H1223" s="12">
        <v>0</v>
      </c>
      <c r="I1223" s="12">
        <v>0</v>
      </c>
      <c r="J1223" s="12">
        <v>0</v>
      </c>
      <c r="K1223" s="12">
        <v>0</v>
      </c>
      <c r="L1223" s="12">
        <v>0</v>
      </c>
      <c r="M1223" s="12">
        <v>0</v>
      </c>
      <c r="N1223" s="12">
        <v>0</v>
      </c>
      <c r="O1223" s="12">
        <v>0</v>
      </c>
      <c r="P1223" s="12">
        <v>0</v>
      </c>
      <c r="Q1223" s="12">
        <v>0</v>
      </c>
      <c r="R1223" s="12">
        <v>0</v>
      </c>
      <c r="S1223" s="12">
        <v>0</v>
      </c>
      <c r="T1223" s="12">
        <v>0</v>
      </c>
      <c r="U1223" s="12">
        <v>0</v>
      </c>
      <c r="V1223" s="12">
        <v>0</v>
      </c>
      <c r="W1223" s="12">
        <v>0</v>
      </c>
      <c r="X1223" s="12">
        <v>0</v>
      </c>
      <c r="Y1223" s="12">
        <v>0</v>
      </c>
      <c r="Z1223" s="12">
        <v>0</v>
      </c>
      <c r="AA1223" s="12"/>
      <c r="AC1223" s="13">
        <f t="shared" si="213"/>
        <v>0</v>
      </c>
      <c r="AL1223" s="14">
        <f t="shared" si="214"/>
        <v>0</v>
      </c>
    </row>
    <row r="1224" spans="1:38" hidden="1" x14ac:dyDescent="0.25">
      <c r="A1224" s="12" t="s">
        <v>86</v>
      </c>
      <c r="B1224" s="12" t="s">
        <v>1254</v>
      </c>
      <c r="C1224" s="12" t="s">
        <v>539</v>
      </c>
      <c r="D1224" s="12"/>
      <c r="E1224" s="12">
        <f t="shared" si="212"/>
        <v>0</v>
      </c>
      <c r="F1224" s="12" t="str">
        <f>VLOOKUP(B1224,[1]lookup!A:B,2,FALSE)</f>
        <v>SaaS</v>
      </c>
      <c r="G1224" s="12">
        <v>0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12">
        <v>0</v>
      </c>
      <c r="U1224" s="12">
        <v>0</v>
      </c>
      <c r="V1224" s="12">
        <v>0</v>
      </c>
      <c r="W1224" s="12">
        <v>0</v>
      </c>
      <c r="X1224" s="12">
        <v>0</v>
      </c>
      <c r="Y1224" s="12">
        <v>0</v>
      </c>
      <c r="Z1224" s="12">
        <v>0</v>
      </c>
      <c r="AA1224" s="12"/>
      <c r="AC1224" s="13">
        <f t="shared" si="213"/>
        <v>0</v>
      </c>
      <c r="AL1224" s="14">
        <f t="shared" si="214"/>
        <v>0</v>
      </c>
    </row>
    <row r="1225" spans="1:38" hidden="1" x14ac:dyDescent="0.25">
      <c r="A1225" s="12" t="s">
        <v>86</v>
      </c>
      <c r="B1225" s="12" t="s">
        <v>1255</v>
      </c>
      <c r="C1225" s="12" t="s">
        <v>539</v>
      </c>
      <c r="D1225" s="12"/>
      <c r="E1225" s="12">
        <f t="shared" si="212"/>
        <v>0</v>
      </c>
      <c r="F1225" s="12" t="str">
        <f>VLOOKUP(B1225,[1]lookup!A:B,2,FALSE)</f>
        <v>SaaS</v>
      </c>
      <c r="G1225" s="12">
        <v>0</v>
      </c>
      <c r="H1225" s="12">
        <v>0</v>
      </c>
      <c r="I1225" s="12">
        <v>0</v>
      </c>
      <c r="J1225" s="12">
        <v>0</v>
      </c>
      <c r="K1225" s="12">
        <v>0</v>
      </c>
      <c r="L1225" s="12">
        <v>0</v>
      </c>
      <c r="M1225" s="12">
        <v>0</v>
      </c>
      <c r="N1225" s="12">
        <v>0</v>
      </c>
      <c r="O1225" s="12">
        <v>0</v>
      </c>
      <c r="P1225" s="12">
        <v>0</v>
      </c>
      <c r="Q1225" s="12">
        <v>0</v>
      </c>
      <c r="R1225" s="12">
        <v>0</v>
      </c>
      <c r="S1225" s="12">
        <v>0</v>
      </c>
      <c r="T1225" s="12">
        <v>0</v>
      </c>
      <c r="U1225" s="12">
        <v>0</v>
      </c>
      <c r="V1225" s="12">
        <v>0</v>
      </c>
      <c r="W1225" s="12">
        <v>0</v>
      </c>
      <c r="X1225" s="12">
        <v>0</v>
      </c>
      <c r="Y1225" s="12">
        <v>0</v>
      </c>
      <c r="Z1225" s="12">
        <v>0</v>
      </c>
      <c r="AA1225" s="12"/>
      <c r="AC1225" s="13">
        <f t="shared" si="213"/>
        <v>0</v>
      </c>
      <c r="AL1225" s="14">
        <f t="shared" si="214"/>
        <v>0</v>
      </c>
    </row>
    <row r="1226" spans="1:38" hidden="1" x14ac:dyDescent="0.25">
      <c r="A1226" s="12" t="s">
        <v>64</v>
      </c>
      <c r="B1226" s="12" t="s">
        <v>1256</v>
      </c>
      <c r="C1226" s="12" t="s">
        <v>539</v>
      </c>
      <c r="D1226" s="12"/>
      <c r="E1226" s="12">
        <f t="shared" si="212"/>
        <v>0</v>
      </c>
      <c r="F1226" s="12" t="s">
        <v>70</v>
      </c>
      <c r="G1226" s="12">
        <v>0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12">
        <v>0</v>
      </c>
      <c r="U1226" s="12">
        <v>0</v>
      </c>
      <c r="V1226" s="12">
        <v>0</v>
      </c>
      <c r="W1226" s="12">
        <v>0</v>
      </c>
      <c r="X1226" s="12">
        <v>0</v>
      </c>
      <c r="Y1226" s="12">
        <v>0</v>
      </c>
      <c r="Z1226" s="12">
        <v>0</v>
      </c>
      <c r="AA1226" s="12"/>
      <c r="AC1226" s="13">
        <f t="shared" si="213"/>
        <v>0</v>
      </c>
      <c r="AL1226" s="14">
        <f t="shared" si="214"/>
        <v>0</v>
      </c>
    </row>
    <row r="1227" spans="1:38" hidden="1" x14ac:dyDescent="0.25">
      <c r="A1227" s="12" t="s">
        <v>64</v>
      </c>
      <c r="B1227" s="12" t="s">
        <v>1257</v>
      </c>
      <c r="C1227" s="12" t="s">
        <v>539</v>
      </c>
      <c r="D1227" s="12"/>
      <c r="E1227" s="12">
        <f t="shared" si="212"/>
        <v>0</v>
      </c>
      <c r="F1227" s="12" t="s">
        <v>70</v>
      </c>
      <c r="G1227" s="12">
        <v>0</v>
      </c>
      <c r="H1227" s="12">
        <v>0</v>
      </c>
      <c r="I1227" s="12">
        <v>0</v>
      </c>
      <c r="J1227" s="12">
        <v>0</v>
      </c>
      <c r="K1227" s="12">
        <v>0</v>
      </c>
      <c r="L1227" s="12">
        <v>0</v>
      </c>
      <c r="M1227" s="12">
        <v>0</v>
      </c>
      <c r="N1227" s="12">
        <v>0</v>
      </c>
      <c r="O1227" s="12">
        <v>0</v>
      </c>
      <c r="P1227" s="12">
        <v>0</v>
      </c>
      <c r="Q1227" s="12">
        <v>0</v>
      </c>
      <c r="R1227" s="12">
        <v>0</v>
      </c>
      <c r="S1227" s="12">
        <v>0</v>
      </c>
      <c r="T1227" s="12">
        <v>0</v>
      </c>
      <c r="U1227" s="12">
        <v>0</v>
      </c>
      <c r="V1227" s="12">
        <v>0</v>
      </c>
      <c r="W1227" s="12">
        <v>0</v>
      </c>
      <c r="X1227" s="12">
        <v>0</v>
      </c>
      <c r="Y1227" s="12">
        <v>0</v>
      </c>
      <c r="Z1227" s="12">
        <v>0</v>
      </c>
      <c r="AA1227" s="12"/>
      <c r="AC1227" s="13">
        <f t="shared" si="213"/>
        <v>0</v>
      </c>
      <c r="AL1227" s="14">
        <f t="shared" si="214"/>
        <v>0</v>
      </c>
    </row>
    <row r="1228" spans="1:38" hidden="1" x14ac:dyDescent="0.25">
      <c r="A1228" s="12" t="s">
        <v>49</v>
      </c>
      <c r="B1228" s="12" t="s">
        <v>1258</v>
      </c>
      <c r="C1228" s="12" t="s">
        <v>539</v>
      </c>
      <c r="D1228" s="12"/>
      <c r="E1228" s="12">
        <f t="shared" si="212"/>
        <v>0</v>
      </c>
      <c r="F1228" s="12" t="s">
        <v>70</v>
      </c>
      <c r="G1228" s="12">
        <v>0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12">
        <v>0</v>
      </c>
      <c r="U1228" s="12">
        <v>0</v>
      </c>
      <c r="V1228" s="12">
        <v>0</v>
      </c>
      <c r="W1228" s="12">
        <v>0</v>
      </c>
      <c r="X1228" s="12">
        <v>0</v>
      </c>
      <c r="Y1228" s="12">
        <v>0</v>
      </c>
      <c r="Z1228" s="12">
        <v>0</v>
      </c>
      <c r="AA1228" s="12"/>
      <c r="AC1228" s="13">
        <f t="shared" si="213"/>
        <v>0</v>
      </c>
      <c r="AL1228" s="14">
        <f t="shared" si="214"/>
        <v>0</v>
      </c>
    </row>
    <row r="1229" spans="1:38" hidden="1" x14ac:dyDescent="0.25">
      <c r="A1229" s="12" t="s">
        <v>46</v>
      </c>
      <c r="B1229" s="12" t="s">
        <v>1259</v>
      </c>
      <c r="C1229" s="12" t="s">
        <v>539</v>
      </c>
      <c r="D1229" s="12"/>
      <c r="E1229" s="12">
        <f t="shared" si="212"/>
        <v>0</v>
      </c>
      <c r="F1229" s="12" t="s">
        <v>70</v>
      </c>
      <c r="G1229" s="12">
        <v>0</v>
      </c>
      <c r="H1229" s="12">
        <v>0</v>
      </c>
      <c r="I1229" s="12">
        <v>0</v>
      </c>
      <c r="J1229" s="12">
        <v>0</v>
      </c>
      <c r="K1229" s="12">
        <v>0</v>
      </c>
      <c r="L1229" s="12">
        <v>0</v>
      </c>
      <c r="M1229" s="12">
        <v>0</v>
      </c>
      <c r="N1229" s="12">
        <v>0</v>
      </c>
      <c r="O1229" s="12">
        <v>0</v>
      </c>
      <c r="P1229" s="12">
        <v>0</v>
      </c>
      <c r="Q1229" s="12">
        <v>0</v>
      </c>
      <c r="R1229" s="12">
        <v>0</v>
      </c>
      <c r="S1229" s="12">
        <v>0</v>
      </c>
      <c r="T1229" s="12">
        <v>0</v>
      </c>
      <c r="U1229" s="12">
        <v>0</v>
      </c>
      <c r="V1229" s="12">
        <v>0</v>
      </c>
      <c r="W1229" s="12">
        <v>0</v>
      </c>
      <c r="X1229" s="12">
        <v>0</v>
      </c>
      <c r="Y1229" s="12">
        <v>0</v>
      </c>
      <c r="Z1229" s="12">
        <v>0</v>
      </c>
      <c r="AA1229" s="12"/>
      <c r="AC1229" s="13">
        <f t="shared" si="213"/>
        <v>0</v>
      </c>
      <c r="AL1229" s="14">
        <f t="shared" si="214"/>
        <v>0</v>
      </c>
    </row>
    <row r="1230" spans="1:38" hidden="1" x14ac:dyDescent="0.25">
      <c r="A1230" s="12" t="s">
        <v>46</v>
      </c>
      <c r="B1230" s="12" t="s">
        <v>167</v>
      </c>
      <c r="C1230" s="12" t="s">
        <v>539</v>
      </c>
      <c r="D1230" s="12"/>
      <c r="E1230" s="12">
        <f t="shared" si="212"/>
        <v>0</v>
      </c>
      <c r="F1230" s="12" t="str">
        <f>VLOOKUP(B1230,[1]lookup!A:B,2,FALSE)</f>
        <v>Perpetual</v>
      </c>
      <c r="G1230" s="12">
        <v>0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12">
        <v>0</v>
      </c>
      <c r="U1230" s="12">
        <v>0</v>
      </c>
      <c r="V1230" s="12">
        <v>0</v>
      </c>
      <c r="W1230" s="12">
        <v>0</v>
      </c>
      <c r="X1230" s="12">
        <v>0</v>
      </c>
      <c r="Y1230" s="12">
        <v>0</v>
      </c>
      <c r="Z1230" s="12">
        <v>0</v>
      </c>
      <c r="AA1230" s="12"/>
      <c r="AC1230" s="13">
        <f t="shared" si="213"/>
        <v>0</v>
      </c>
      <c r="AL1230" s="14">
        <f t="shared" si="214"/>
        <v>0</v>
      </c>
    </row>
    <row r="1231" spans="1:38" hidden="1" x14ac:dyDescent="0.25">
      <c r="A1231" s="12" t="s">
        <v>104</v>
      </c>
      <c r="B1231" s="12" t="s">
        <v>1260</v>
      </c>
      <c r="C1231" s="12" t="s">
        <v>539</v>
      </c>
      <c r="D1231" s="12"/>
      <c r="E1231" s="12">
        <f t="shared" si="212"/>
        <v>0</v>
      </c>
      <c r="F1231" s="12" t="s">
        <v>70</v>
      </c>
      <c r="G1231" s="12">
        <v>0</v>
      </c>
      <c r="H1231" s="12">
        <v>0</v>
      </c>
      <c r="I1231" s="12">
        <v>0</v>
      </c>
      <c r="J1231" s="12">
        <v>0</v>
      </c>
      <c r="K1231" s="12">
        <v>0</v>
      </c>
      <c r="L1231" s="12">
        <v>0</v>
      </c>
      <c r="M1231" s="12">
        <v>0</v>
      </c>
      <c r="N1231" s="12">
        <v>0</v>
      </c>
      <c r="O1231" s="12">
        <v>0</v>
      </c>
      <c r="P1231" s="12">
        <v>0</v>
      </c>
      <c r="Q1231" s="12">
        <v>0</v>
      </c>
      <c r="R1231" s="12">
        <v>0</v>
      </c>
      <c r="S1231" s="12">
        <v>0</v>
      </c>
      <c r="T1231" s="12">
        <v>0</v>
      </c>
      <c r="U1231" s="12">
        <v>0</v>
      </c>
      <c r="V1231" s="12">
        <v>0</v>
      </c>
      <c r="W1231" s="12">
        <v>0</v>
      </c>
      <c r="X1231" s="12">
        <v>0</v>
      </c>
      <c r="Y1231" s="12">
        <v>0</v>
      </c>
      <c r="Z1231" s="12">
        <v>0</v>
      </c>
      <c r="AA1231" s="12"/>
      <c r="AC1231" s="13">
        <f t="shared" si="213"/>
        <v>0</v>
      </c>
      <c r="AL1231" s="14">
        <f t="shared" si="214"/>
        <v>0</v>
      </c>
    </row>
    <row r="1232" spans="1:38" hidden="1" x14ac:dyDescent="0.25">
      <c r="A1232" s="12" t="s">
        <v>104</v>
      </c>
      <c r="B1232" s="12" t="s">
        <v>1261</v>
      </c>
      <c r="C1232" s="12" t="s">
        <v>539</v>
      </c>
      <c r="D1232" s="12"/>
      <c r="E1232" s="12">
        <f t="shared" si="212"/>
        <v>0</v>
      </c>
      <c r="F1232" s="12" t="s">
        <v>70</v>
      </c>
      <c r="G1232" s="12">
        <v>0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12">
        <v>0</v>
      </c>
      <c r="U1232" s="12">
        <v>0</v>
      </c>
      <c r="V1232" s="12">
        <v>0</v>
      </c>
      <c r="W1232" s="12">
        <v>0</v>
      </c>
      <c r="X1232" s="12">
        <v>0</v>
      </c>
      <c r="Y1232" s="12">
        <v>0</v>
      </c>
      <c r="Z1232" s="12">
        <v>0</v>
      </c>
      <c r="AA1232" s="12"/>
      <c r="AC1232" s="13">
        <f t="shared" si="213"/>
        <v>0</v>
      </c>
      <c r="AL1232" s="14">
        <f t="shared" si="214"/>
        <v>0</v>
      </c>
    </row>
    <row r="1233" spans="1:38" hidden="1" x14ac:dyDescent="0.25">
      <c r="A1233" s="12" t="s">
        <v>104</v>
      </c>
      <c r="B1233" s="12" t="s">
        <v>1262</v>
      </c>
      <c r="C1233" s="12" t="s">
        <v>539</v>
      </c>
      <c r="D1233" s="12"/>
      <c r="E1233" s="12">
        <f t="shared" si="212"/>
        <v>0</v>
      </c>
      <c r="F1233" s="12" t="s">
        <v>70</v>
      </c>
      <c r="G1233" s="12">
        <v>0</v>
      </c>
      <c r="H1233" s="12">
        <v>0</v>
      </c>
      <c r="I1233" s="12">
        <v>0</v>
      </c>
      <c r="J1233" s="12">
        <v>0</v>
      </c>
      <c r="K1233" s="12">
        <v>0</v>
      </c>
      <c r="L1233" s="12">
        <v>0</v>
      </c>
      <c r="M1233" s="12">
        <v>0</v>
      </c>
      <c r="N1233" s="12">
        <v>0</v>
      </c>
      <c r="O1233" s="12">
        <v>0</v>
      </c>
      <c r="P1233" s="12">
        <v>0</v>
      </c>
      <c r="Q1233" s="12">
        <v>0</v>
      </c>
      <c r="R1233" s="12">
        <v>0</v>
      </c>
      <c r="S1233" s="12">
        <v>0</v>
      </c>
      <c r="T1233" s="12">
        <v>0</v>
      </c>
      <c r="U1233" s="12">
        <v>0</v>
      </c>
      <c r="V1233" s="12">
        <v>0</v>
      </c>
      <c r="W1233" s="12">
        <v>0</v>
      </c>
      <c r="X1233" s="12">
        <v>0</v>
      </c>
      <c r="Y1233" s="12">
        <v>0</v>
      </c>
      <c r="Z1233" s="12">
        <v>0</v>
      </c>
      <c r="AA1233" s="12"/>
      <c r="AC1233" s="13">
        <f t="shared" si="213"/>
        <v>0</v>
      </c>
      <c r="AL1233" s="14">
        <f t="shared" si="214"/>
        <v>0</v>
      </c>
    </row>
    <row r="1234" spans="1:38" hidden="1" x14ac:dyDescent="0.25">
      <c r="A1234" s="12" t="s">
        <v>104</v>
      </c>
      <c r="B1234" s="12" t="s">
        <v>1263</v>
      </c>
      <c r="C1234" s="12" t="s">
        <v>539</v>
      </c>
      <c r="D1234" s="12"/>
      <c r="E1234" s="12">
        <f t="shared" si="212"/>
        <v>0</v>
      </c>
      <c r="F1234" s="12" t="s">
        <v>70</v>
      </c>
      <c r="G1234" s="12">
        <v>0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12">
        <v>0</v>
      </c>
      <c r="U1234" s="12">
        <v>0</v>
      </c>
      <c r="V1234" s="12">
        <v>0</v>
      </c>
      <c r="W1234" s="12">
        <v>0</v>
      </c>
      <c r="X1234" s="12">
        <v>0</v>
      </c>
      <c r="Y1234" s="12">
        <v>0</v>
      </c>
      <c r="Z1234" s="12">
        <v>0</v>
      </c>
      <c r="AA1234" s="12"/>
      <c r="AC1234" s="13">
        <f t="shared" si="213"/>
        <v>0</v>
      </c>
      <c r="AL1234" s="14">
        <f t="shared" si="214"/>
        <v>0</v>
      </c>
    </row>
    <row r="1235" spans="1:38" hidden="1" x14ac:dyDescent="0.25">
      <c r="A1235" s="12" t="s">
        <v>104</v>
      </c>
      <c r="B1235" s="12" t="s">
        <v>1264</v>
      </c>
      <c r="C1235" s="12" t="s">
        <v>539</v>
      </c>
      <c r="D1235" s="12"/>
      <c r="E1235" s="12">
        <f t="shared" si="212"/>
        <v>0</v>
      </c>
      <c r="F1235" s="12" t="s">
        <v>70</v>
      </c>
      <c r="G1235" s="12">
        <v>0</v>
      </c>
      <c r="H1235" s="12">
        <v>0</v>
      </c>
      <c r="I1235" s="12">
        <v>0</v>
      </c>
      <c r="J1235" s="12">
        <v>0</v>
      </c>
      <c r="K1235" s="12">
        <v>0</v>
      </c>
      <c r="L1235" s="12">
        <v>0</v>
      </c>
      <c r="M1235" s="12">
        <v>0</v>
      </c>
      <c r="N1235" s="12">
        <v>0</v>
      </c>
      <c r="O1235" s="12">
        <v>0</v>
      </c>
      <c r="P1235" s="12">
        <v>0</v>
      </c>
      <c r="Q1235" s="12">
        <v>0</v>
      </c>
      <c r="R1235" s="12">
        <v>0</v>
      </c>
      <c r="S1235" s="12">
        <v>0</v>
      </c>
      <c r="T1235" s="12">
        <v>0</v>
      </c>
      <c r="U1235" s="12">
        <v>0</v>
      </c>
      <c r="V1235" s="12">
        <v>0</v>
      </c>
      <c r="W1235" s="12">
        <v>0</v>
      </c>
      <c r="X1235" s="12">
        <v>0</v>
      </c>
      <c r="Y1235" s="12">
        <v>0</v>
      </c>
      <c r="Z1235" s="12">
        <v>0</v>
      </c>
      <c r="AA1235" s="12"/>
      <c r="AC1235" s="13">
        <f t="shared" si="213"/>
        <v>0</v>
      </c>
      <c r="AL1235" s="14">
        <f t="shared" si="214"/>
        <v>0</v>
      </c>
    </row>
    <row r="1236" spans="1:38" hidden="1" x14ac:dyDescent="0.25">
      <c r="A1236" s="12" t="s">
        <v>104</v>
      </c>
      <c r="B1236" s="12" t="s">
        <v>1265</v>
      </c>
      <c r="C1236" s="12" t="s">
        <v>539</v>
      </c>
      <c r="D1236" s="12"/>
      <c r="E1236" s="12">
        <f t="shared" si="212"/>
        <v>0</v>
      </c>
      <c r="F1236" s="12" t="s">
        <v>70</v>
      </c>
      <c r="G1236" s="12">
        <v>0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12">
        <v>0</v>
      </c>
      <c r="U1236" s="12">
        <v>0</v>
      </c>
      <c r="V1236" s="12">
        <v>0</v>
      </c>
      <c r="W1236" s="12">
        <v>0</v>
      </c>
      <c r="X1236" s="12">
        <v>0</v>
      </c>
      <c r="Y1236" s="12">
        <v>0</v>
      </c>
      <c r="Z1236" s="12">
        <v>0</v>
      </c>
      <c r="AA1236" s="12"/>
      <c r="AC1236" s="13">
        <f t="shared" si="213"/>
        <v>0</v>
      </c>
      <c r="AL1236" s="14">
        <f t="shared" si="214"/>
        <v>0</v>
      </c>
    </row>
    <row r="1237" spans="1:38" hidden="1" x14ac:dyDescent="0.25">
      <c r="A1237" s="12" t="s">
        <v>104</v>
      </c>
      <c r="B1237" s="12" t="s">
        <v>1266</v>
      </c>
      <c r="C1237" s="12" t="s">
        <v>539</v>
      </c>
      <c r="D1237" s="12"/>
      <c r="E1237" s="12">
        <f t="shared" si="212"/>
        <v>0</v>
      </c>
      <c r="F1237" s="12" t="s">
        <v>70</v>
      </c>
      <c r="G1237" s="12">
        <v>0</v>
      </c>
      <c r="H1237" s="12">
        <v>0</v>
      </c>
      <c r="I1237" s="12">
        <v>0</v>
      </c>
      <c r="J1237" s="12">
        <v>0</v>
      </c>
      <c r="K1237" s="12">
        <v>0</v>
      </c>
      <c r="L1237" s="12">
        <v>0</v>
      </c>
      <c r="M1237" s="12">
        <v>0</v>
      </c>
      <c r="N1237" s="12">
        <v>0</v>
      </c>
      <c r="O1237" s="12">
        <v>0</v>
      </c>
      <c r="P1237" s="12">
        <v>0</v>
      </c>
      <c r="Q1237" s="12">
        <v>0</v>
      </c>
      <c r="R1237" s="12">
        <v>0</v>
      </c>
      <c r="S1237" s="12">
        <v>0</v>
      </c>
      <c r="T1237" s="12">
        <v>0</v>
      </c>
      <c r="U1237" s="12">
        <v>0</v>
      </c>
      <c r="V1237" s="12">
        <v>0</v>
      </c>
      <c r="W1237" s="12">
        <v>0</v>
      </c>
      <c r="X1237" s="12">
        <v>0</v>
      </c>
      <c r="Y1237" s="12">
        <v>0</v>
      </c>
      <c r="Z1237" s="12">
        <v>0</v>
      </c>
      <c r="AA1237" s="12"/>
      <c r="AC1237" s="13">
        <f t="shared" si="213"/>
        <v>0</v>
      </c>
      <c r="AL1237" s="14">
        <f t="shared" si="214"/>
        <v>0</v>
      </c>
    </row>
    <row r="1238" spans="1:38" hidden="1" x14ac:dyDescent="0.25">
      <c r="A1238" s="12" t="s">
        <v>104</v>
      </c>
      <c r="B1238" s="12" t="s">
        <v>1267</v>
      </c>
      <c r="C1238" s="12" t="s">
        <v>539</v>
      </c>
      <c r="D1238" s="12"/>
      <c r="E1238" s="12">
        <f t="shared" si="212"/>
        <v>0</v>
      </c>
      <c r="F1238" s="12" t="s">
        <v>70</v>
      </c>
      <c r="G1238" s="12">
        <v>0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12">
        <v>0</v>
      </c>
      <c r="U1238" s="12">
        <v>0</v>
      </c>
      <c r="V1238" s="12">
        <v>0</v>
      </c>
      <c r="W1238" s="12">
        <v>0</v>
      </c>
      <c r="X1238" s="12">
        <v>0</v>
      </c>
      <c r="Y1238" s="12">
        <v>0</v>
      </c>
      <c r="Z1238" s="12">
        <v>0</v>
      </c>
      <c r="AA1238" s="12"/>
      <c r="AC1238" s="13">
        <f t="shared" si="213"/>
        <v>0</v>
      </c>
      <c r="AL1238" s="14">
        <f t="shared" si="214"/>
        <v>0</v>
      </c>
    </row>
    <row r="1239" spans="1:38" hidden="1" x14ac:dyDescent="0.25">
      <c r="A1239" s="12" t="s">
        <v>104</v>
      </c>
      <c r="B1239" s="12" t="s">
        <v>1268</v>
      </c>
      <c r="C1239" s="12" t="s">
        <v>539</v>
      </c>
      <c r="D1239" s="12"/>
      <c r="E1239" s="12">
        <f t="shared" si="212"/>
        <v>0</v>
      </c>
      <c r="F1239" s="12" t="s">
        <v>70</v>
      </c>
      <c r="G1239" s="12">
        <v>0</v>
      </c>
      <c r="H1239" s="12">
        <v>0</v>
      </c>
      <c r="I1239" s="12">
        <v>0</v>
      </c>
      <c r="J1239" s="12">
        <v>0</v>
      </c>
      <c r="K1239" s="12">
        <v>0</v>
      </c>
      <c r="L1239" s="12">
        <v>0</v>
      </c>
      <c r="M1239" s="12">
        <v>0</v>
      </c>
      <c r="N1239" s="12">
        <v>0</v>
      </c>
      <c r="O1239" s="12">
        <v>0</v>
      </c>
      <c r="P1239" s="12">
        <v>0</v>
      </c>
      <c r="Q1239" s="12">
        <v>0</v>
      </c>
      <c r="R1239" s="12">
        <v>0</v>
      </c>
      <c r="S1239" s="12">
        <v>0</v>
      </c>
      <c r="T1239" s="12">
        <v>0</v>
      </c>
      <c r="U1239" s="12">
        <v>0</v>
      </c>
      <c r="V1239" s="12">
        <v>0</v>
      </c>
      <c r="W1239" s="12">
        <v>0</v>
      </c>
      <c r="X1239" s="12">
        <v>0</v>
      </c>
      <c r="Y1239" s="12">
        <v>0</v>
      </c>
      <c r="Z1239" s="12">
        <v>0</v>
      </c>
      <c r="AA1239" s="12"/>
      <c r="AC1239" s="13">
        <f t="shared" si="213"/>
        <v>0</v>
      </c>
      <c r="AL1239" s="14">
        <f t="shared" si="214"/>
        <v>0</v>
      </c>
    </row>
    <row r="1240" spans="1:38" hidden="1" x14ac:dyDescent="0.25">
      <c r="A1240" s="12" t="s">
        <v>104</v>
      </c>
      <c r="B1240" s="12" t="s">
        <v>1269</v>
      </c>
      <c r="C1240" s="12" t="s">
        <v>539</v>
      </c>
      <c r="D1240" s="12"/>
      <c r="E1240" s="12">
        <f t="shared" si="212"/>
        <v>0</v>
      </c>
      <c r="F1240" s="12" t="s">
        <v>70</v>
      </c>
      <c r="G1240" s="12">
        <v>0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12">
        <v>0</v>
      </c>
      <c r="U1240" s="12">
        <v>0</v>
      </c>
      <c r="V1240" s="12">
        <v>0</v>
      </c>
      <c r="W1240" s="12">
        <v>0</v>
      </c>
      <c r="X1240" s="12">
        <v>0</v>
      </c>
      <c r="Y1240" s="12">
        <v>0</v>
      </c>
      <c r="Z1240" s="12">
        <v>0</v>
      </c>
      <c r="AA1240" s="12"/>
      <c r="AC1240" s="13">
        <f t="shared" si="213"/>
        <v>0</v>
      </c>
      <c r="AL1240" s="14">
        <f t="shared" si="214"/>
        <v>0</v>
      </c>
    </row>
    <row r="1241" spans="1:38" hidden="1" x14ac:dyDescent="0.25">
      <c r="A1241" s="12" t="s">
        <v>104</v>
      </c>
      <c r="B1241" s="12" t="s">
        <v>1270</v>
      </c>
      <c r="C1241" s="12" t="s">
        <v>539</v>
      </c>
      <c r="D1241" s="12"/>
      <c r="E1241" s="12">
        <f t="shared" si="212"/>
        <v>0</v>
      </c>
      <c r="F1241" s="12" t="s">
        <v>70</v>
      </c>
      <c r="G1241" s="12">
        <v>0</v>
      </c>
      <c r="H1241" s="12">
        <v>0</v>
      </c>
      <c r="I1241" s="12">
        <v>0</v>
      </c>
      <c r="J1241" s="12">
        <v>0</v>
      </c>
      <c r="K1241" s="12">
        <v>0</v>
      </c>
      <c r="L1241" s="12">
        <v>0</v>
      </c>
      <c r="M1241" s="12">
        <v>0</v>
      </c>
      <c r="N1241" s="12">
        <v>0</v>
      </c>
      <c r="O1241" s="12">
        <v>0</v>
      </c>
      <c r="P1241" s="12">
        <v>0</v>
      </c>
      <c r="Q1241" s="12">
        <v>0</v>
      </c>
      <c r="R1241" s="12">
        <v>0</v>
      </c>
      <c r="S1241" s="12">
        <v>0</v>
      </c>
      <c r="T1241" s="12">
        <v>0</v>
      </c>
      <c r="U1241" s="12">
        <v>0</v>
      </c>
      <c r="V1241" s="12">
        <v>0</v>
      </c>
      <c r="W1241" s="12">
        <v>0</v>
      </c>
      <c r="X1241" s="12">
        <v>0</v>
      </c>
      <c r="Y1241" s="12">
        <v>0</v>
      </c>
      <c r="Z1241" s="12">
        <v>0</v>
      </c>
      <c r="AA1241" s="12"/>
      <c r="AC1241" s="13">
        <f t="shared" si="213"/>
        <v>0</v>
      </c>
      <c r="AL1241" s="14">
        <f t="shared" si="214"/>
        <v>0</v>
      </c>
    </row>
    <row r="1242" spans="1:38" hidden="1" x14ac:dyDescent="0.25">
      <c r="A1242" s="12" t="s">
        <v>104</v>
      </c>
      <c r="B1242" s="12" t="s">
        <v>1271</v>
      </c>
      <c r="C1242" s="12" t="s">
        <v>539</v>
      </c>
      <c r="D1242" s="12"/>
      <c r="E1242" s="12">
        <f t="shared" si="212"/>
        <v>0</v>
      </c>
      <c r="F1242" s="12" t="s">
        <v>70</v>
      </c>
      <c r="G1242" s="12">
        <v>0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12">
        <v>0</v>
      </c>
      <c r="U1242" s="12">
        <v>0</v>
      </c>
      <c r="V1242" s="12">
        <v>0</v>
      </c>
      <c r="W1242" s="12">
        <v>0</v>
      </c>
      <c r="X1242" s="12">
        <v>0</v>
      </c>
      <c r="Y1242" s="12">
        <v>0</v>
      </c>
      <c r="Z1242" s="12">
        <v>0</v>
      </c>
      <c r="AA1242" s="12"/>
      <c r="AC1242" s="13">
        <f t="shared" si="213"/>
        <v>0</v>
      </c>
      <c r="AL1242" s="14">
        <f t="shared" si="214"/>
        <v>0</v>
      </c>
    </row>
    <row r="1243" spans="1:38" hidden="1" x14ac:dyDescent="0.25">
      <c r="A1243" s="12" t="s">
        <v>104</v>
      </c>
      <c r="B1243" s="12" t="s">
        <v>1272</v>
      </c>
      <c r="C1243" s="12" t="s">
        <v>539</v>
      </c>
      <c r="D1243" s="12"/>
      <c r="E1243" s="12">
        <f t="shared" si="212"/>
        <v>0</v>
      </c>
      <c r="F1243" s="12" t="s">
        <v>70</v>
      </c>
      <c r="G1243" s="12">
        <v>0</v>
      </c>
      <c r="H1243" s="12">
        <v>0</v>
      </c>
      <c r="I1243" s="12">
        <v>0</v>
      </c>
      <c r="J1243" s="12">
        <v>0</v>
      </c>
      <c r="K1243" s="12">
        <v>0</v>
      </c>
      <c r="L1243" s="12">
        <v>0</v>
      </c>
      <c r="M1243" s="12">
        <v>0</v>
      </c>
      <c r="N1243" s="12">
        <v>0</v>
      </c>
      <c r="O1243" s="12">
        <v>0</v>
      </c>
      <c r="P1243" s="12">
        <v>0</v>
      </c>
      <c r="Q1243" s="12">
        <v>0</v>
      </c>
      <c r="R1243" s="12">
        <v>0</v>
      </c>
      <c r="S1243" s="12">
        <v>0</v>
      </c>
      <c r="T1243" s="12">
        <v>0</v>
      </c>
      <c r="U1243" s="12">
        <v>0</v>
      </c>
      <c r="V1243" s="12">
        <v>0</v>
      </c>
      <c r="W1243" s="12">
        <v>0</v>
      </c>
      <c r="X1243" s="12">
        <v>0</v>
      </c>
      <c r="Y1243" s="12">
        <v>0</v>
      </c>
      <c r="Z1243" s="12">
        <v>0</v>
      </c>
      <c r="AA1243" s="12"/>
      <c r="AC1243" s="13">
        <f t="shared" si="213"/>
        <v>0</v>
      </c>
      <c r="AL1243" s="14">
        <f t="shared" si="214"/>
        <v>0</v>
      </c>
    </row>
    <row r="1244" spans="1:38" hidden="1" x14ac:dyDescent="0.25">
      <c r="A1244" s="12" t="s">
        <v>104</v>
      </c>
      <c r="B1244" s="12" t="s">
        <v>1273</v>
      </c>
      <c r="C1244" s="12" t="s">
        <v>539</v>
      </c>
      <c r="D1244" s="12"/>
      <c r="E1244" s="12">
        <f t="shared" si="212"/>
        <v>0</v>
      </c>
      <c r="F1244" s="12" t="s">
        <v>70</v>
      </c>
      <c r="G1244" s="12">
        <v>0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12">
        <v>0</v>
      </c>
      <c r="U1244" s="12">
        <v>0</v>
      </c>
      <c r="V1244" s="12">
        <v>0</v>
      </c>
      <c r="W1244" s="12">
        <v>0</v>
      </c>
      <c r="X1244" s="12">
        <v>0</v>
      </c>
      <c r="Y1244" s="12">
        <v>0</v>
      </c>
      <c r="Z1244" s="12">
        <v>0</v>
      </c>
      <c r="AA1244" s="12"/>
      <c r="AC1244" s="13">
        <f t="shared" si="213"/>
        <v>0</v>
      </c>
      <c r="AL1244" s="14">
        <f t="shared" si="214"/>
        <v>0</v>
      </c>
    </row>
    <row r="1245" spans="1:38" hidden="1" x14ac:dyDescent="0.25">
      <c r="A1245" s="12" t="s">
        <v>104</v>
      </c>
      <c r="B1245" s="12" t="s">
        <v>1274</v>
      </c>
      <c r="C1245" s="12" t="s">
        <v>539</v>
      </c>
      <c r="D1245" s="12"/>
      <c r="E1245" s="12">
        <f t="shared" si="212"/>
        <v>0</v>
      </c>
      <c r="F1245" s="12" t="s">
        <v>70</v>
      </c>
      <c r="G1245" s="12">
        <v>0</v>
      </c>
      <c r="H1245" s="12">
        <v>0</v>
      </c>
      <c r="I1245" s="12">
        <v>0</v>
      </c>
      <c r="J1245" s="12">
        <v>0</v>
      </c>
      <c r="K1245" s="12">
        <v>0</v>
      </c>
      <c r="L1245" s="12">
        <v>0</v>
      </c>
      <c r="M1245" s="12">
        <v>0</v>
      </c>
      <c r="N1245" s="12">
        <v>0</v>
      </c>
      <c r="O1245" s="12">
        <v>0</v>
      </c>
      <c r="P1245" s="12">
        <v>0</v>
      </c>
      <c r="Q1245" s="12">
        <v>0</v>
      </c>
      <c r="R1245" s="12">
        <v>0</v>
      </c>
      <c r="S1245" s="12">
        <v>0</v>
      </c>
      <c r="T1245" s="12">
        <v>0</v>
      </c>
      <c r="U1245" s="12">
        <v>0</v>
      </c>
      <c r="V1245" s="12">
        <v>0</v>
      </c>
      <c r="W1245" s="12">
        <v>0</v>
      </c>
      <c r="X1245" s="12">
        <v>0</v>
      </c>
      <c r="Y1245" s="12">
        <v>0</v>
      </c>
      <c r="Z1245" s="12">
        <v>0</v>
      </c>
      <c r="AA1245" s="12"/>
      <c r="AC1245" s="13">
        <f t="shared" si="213"/>
        <v>0</v>
      </c>
      <c r="AL1245" s="14">
        <f t="shared" si="214"/>
        <v>0</v>
      </c>
    </row>
    <row r="1246" spans="1:38" hidden="1" x14ac:dyDescent="0.25">
      <c r="A1246" s="12" t="s">
        <v>104</v>
      </c>
      <c r="B1246" s="12" t="s">
        <v>1275</v>
      </c>
      <c r="C1246" s="12" t="s">
        <v>539</v>
      </c>
      <c r="D1246" s="12"/>
      <c r="E1246" s="12">
        <f t="shared" si="212"/>
        <v>0</v>
      </c>
      <c r="F1246" s="12" t="s">
        <v>70</v>
      </c>
      <c r="G1246" s="12">
        <v>0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12">
        <v>0</v>
      </c>
      <c r="U1246" s="12">
        <v>0</v>
      </c>
      <c r="V1246" s="12">
        <v>0</v>
      </c>
      <c r="W1246" s="12">
        <v>0</v>
      </c>
      <c r="X1246" s="12">
        <v>0</v>
      </c>
      <c r="Y1246" s="12">
        <v>0</v>
      </c>
      <c r="Z1246" s="12">
        <v>0</v>
      </c>
      <c r="AA1246" s="12"/>
      <c r="AC1246" s="13">
        <f t="shared" si="213"/>
        <v>0</v>
      </c>
      <c r="AL1246" s="14">
        <f t="shared" si="214"/>
        <v>0</v>
      </c>
    </row>
    <row r="1247" spans="1:38" hidden="1" x14ac:dyDescent="0.25">
      <c r="A1247" s="12" t="s">
        <v>104</v>
      </c>
      <c r="B1247" s="12" t="s">
        <v>1276</v>
      </c>
      <c r="C1247" s="12" t="s">
        <v>539</v>
      </c>
      <c r="D1247" s="12"/>
      <c r="E1247" s="12">
        <f t="shared" si="212"/>
        <v>0</v>
      </c>
      <c r="F1247" s="12" t="s">
        <v>70</v>
      </c>
      <c r="G1247" s="12">
        <v>0</v>
      </c>
      <c r="H1247" s="12">
        <v>0</v>
      </c>
      <c r="I1247" s="12">
        <v>0</v>
      </c>
      <c r="J1247" s="12">
        <v>0</v>
      </c>
      <c r="K1247" s="12">
        <v>0</v>
      </c>
      <c r="L1247" s="12">
        <v>0</v>
      </c>
      <c r="M1247" s="12">
        <v>0</v>
      </c>
      <c r="N1247" s="12">
        <v>0</v>
      </c>
      <c r="O1247" s="12">
        <v>0</v>
      </c>
      <c r="P1247" s="12">
        <v>0</v>
      </c>
      <c r="Q1247" s="12">
        <v>0</v>
      </c>
      <c r="R1247" s="12">
        <v>0</v>
      </c>
      <c r="S1247" s="12">
        <v>0</v>
      </c>
      <c r="T1247" s="12">
        <v>0</v>
      </c>
      <c r="U1247" s="12">
        <v>0</v>
      </c>
      <c r="V1247" s="12">
        <v>0</v>
      </c>
      <c r="W1247" s="12">
        <v>0</v>
      </c>
      <c r="X1247" s="12">
        <v>0</v>
      </c>
      <c r="Y1247" s="12">
        <v>0</v>
      </c>
      <c r="Z1247" s="12">
        <v>0</v>
      </c>
      <c r="AA1247" s="12"/>
      <c r="AC1247" s="13">
        <f t="shared" si="213"/>
        <v>0</v>
      </c>
      <c r="AL1247" s="14">
        <f t="shared" si="214"/>
        <v>0</v>
      </c>
    </row>
    <row r="1248" spans="1:38" hidden="1" x14ac:dyDescent="0.25">
      <c r="A1248" s="12" t="s">
        <v>104</v>
      </c>
      <c r="B1248" s="12" t="s">
        <v>1277</v>
      </c>
      <c r="C1248" s="12" t="s">
        <v>539</v>
      </c>
      <c r="D1248" s="12"/>
      <c r="E1248" s="12">
        <f t="shared" si="212"/>
        <v>0</v>
      </c>
      <c r="F1248" s="12" t="s">
        <v>70</v>
      </c>
      <c r="G1248" s="12">
        <v>0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12">
        <v>0</v>
      </c>
      <c r="U1248" s="12">
        <v>0</v>
      </c>
      <c r="V1248" s="12">
        <v>0</v>
      </c>
      <c r="W1248" s="12">
        <v>0</v>
      </c>
      <c r="X1248" s="12">
        <v>0</v>
      </c>
      <c r="Y1248" s="12">
        <v>0</v>
      </c>
      <c r="Z1248" s="12">
        <v>0</v>
      </c>
      <c r="AA1248" s="12"/>
      <c r="AC1248" s="13">
        <f t="shared" si="213"/>
        <v>0</v>
      </c>
      <c r="AL1248" s="14">
        <f t="shared" si="214"/>
        <v>0</v>
      </c>
    </row>
    <row r="1249" spans="1:38" hidden="1" x14ac:dyDescent="0.25">
      <c r="A1249" s="12" t="s">
        <v>104</v>
      </c>
      <c r="B1249" s="12" t="s">
        <v>1278</v>
      </c>
      <c r="C1249" s="12" t="s">
        <v>539</v>
      </c>
      <c r="D1249" s="12"/>
      <c r="E1249" s="12">
        <f t="shared" si="212"/>
        <v>0</v>
      </c>
      <c r="F1249" s="12" t="s">
        <v>70</v>
      </c>
      <c r="G1249" s="12">
        <v>0</v>
      </c>
      <c r="H1249" s="12">
        <v>0</v>
      </c>
      <c r="I1249" s="12">
        <v>0</v>
      </c>
      <c r="J1249" s="12">
        <v>0</v>
      </c>
      <c r="K1249" s="12">
        <v>0</v>
      </c>
      <c r="L1249" s="12">
        <v>0</v>
      </c>
      <c r="M1249" s="12">
        <v>0</v>
      </c>
      <c r="N1249" s="12">
        <v>0</v>
      </c>
      <c r="O1249" s="12">
        <v>0</v>
      </c>
      <c r="P1249" s="12">
        <v>0</v>
      </c>
      <c r="Q1249" s="12">
        <v>0</v>
      </c>
      <c r="R1249" s="12">
        <v>0</v>
      </c>
      <c r="S1249" s="12">
        <v>0</v>
      </c>
      <c r="T1249" s="12">
        <v>0</v>
      </c>
      <c r="U1249" s="12">
        <v>0</v>
      </c>
      <c r="V1249" s="12">
        <v>0</v>
      </c>
      <c r="W1249" s="12">
        <v>0</v>
      </c>
      <c r="X1249" s="12">
        <v>0</v>
      </c>
      <c r="Y1249" s="12">
        <v>0</v>
      </c>
      <c r="Z1249" s="12">
        <v>0</v>
      </c>
      <c r="AA1249" s="12"/>
      <c r="AC1249" s="13">
        <f t="shared" si="213"/>
        <v>0</v>
      </c>
      <c r="AL1249" s="14">
        <f t="shared" si="214"/>
        <v>0</v>
      </c>
    </row>
    <row r="1250" spans="1:38" hidden="1" x14ac:dyDescent="0.25">
      <c r="A1250" s="12" t="s">
        <v>104</v>
      </c>
      <c r="B1250" s="12" t="s">
        <v>1279</v>
      </c>
      <c r="C1250" s="12" t="s">
        <v>539</v>
      </c>
      <c r="D1250" s="12"/>
      <c r="E1250" s="12">
        <f t="shared" si="212"/>
        <v>0</v>
      </c>
      <c r="F1250" s="12" t="s">
        <v>70</v>
      </c>
      <c r="G1250" s="12">
        <v>0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12">
        <v>0</v>
      </c>
      <c r="U1250" s="12">
        <v>0</v>
      </c>
      <c r="V1250" s="12">
        <v>0</v>
      </c>
      <c r="W1250" s="12">
        <v>0</v>
      </c>
      <c r="X1250" s="12">
        <v>0</v>
      </c>
      <c r="Y1250" s="12">
        <v>0</v>
      </c>
      <c r="Z1250" s="12">
        <v>0</v>
      </c>
      <c r="AA1250" s="12"/>
      <c r="AC1250" s="13">
        <f t="shared" si="213"/>
        <v>0</v>
      </c>
      <c r="AL1250" s="14">
        <f t="shared" si="214"/>
        <v>0</v>
      </c>
    </row>
    <row r="1251" spans="1:38" hidden="1" x14ac:dyDescent="0.25">
      <c r="A1251" s="12" t="s">
        <v>104</v>
      </c>
      <c r="B1251" s="12" t="s">
        <v>1280</v>
      </c>
      <c r="C1251" s="12" t="s">
        <v>539</v>
      </c>
      <c r="D1251" s="12"/>
      <c r="E1251" s="12">
        <f t="shared" si="212"/>
        <v>0</v>
      </c>
      <c r="F1251" s="12" t="s">
        <v>70</v>
      </c>
      <c r="G1251" s="12">
        <v>0</v>
      </c>
      <c r="H1251" s="12">
        <v>0</v>
      </c>
      <c r="I1251" s="12">
        <v>0</v>
      </c>
      <c r="J1251" s="12">
        <v>0</v>
      </c>
      <c r="K1251" s="12">
        <v>0</v>
      </c>
      <c r="L1251" s="12">
        <v>0</v>
      </c>
      <c r="M1251" s="12">
        <v>0</v>
      </c>
      <c r="N1251" s="12">
        <v>0</v>
      </c>
      <c r="O1251" s="12">
        <v>0</v>
      </c>
      <c r="P1251" s="12">
        <v>0</v>
      </c>
      <c r="Q1251" s="12">
        <v>0</v>
      </c>
      <c r="R1251" s="12">
        <v>0</v>
      </c>
      <c r="S1251" s="12">
        <v>0</v>
      </c>
      <c r="T1251" s="12">
        <v>0</v>
      </c>
      <c r="U1251" s="12">
        <v>0</v>
      </c>
      <c r="V1251" s="12">
        <v>0</v>
      </c>
      <c r="W1251" s="12">
        <v>0</v>
      </c>
      <c r="X1251" s="12">
        <v>0</v>
      </c>
      <c r="Y1251" s="12">
        <v>0</v>
      </c>
      <c r="Z1251" s="12">
        <v>0</v>
      </c>
      <c r="AA1251" s="12"/>
      <c r="AC1251" s="13">
        <f t="shared" si="213"/>
        <v>0</v>
      </c>
      <c r="AL1251" s="14">
        <f t="shared" si="214"/>
        <v>0</v>
      </c>
    </row>
    <row r="1252" spans="1:38" hidden="1" x14ac:dyDescent="0.25">
      <c r="A1252" s="12" t="s">
        <v>104</v>
      </c>
      <c r="B1252" s="12" t="s">
        <v>1281</v>
      </c>
      <c r="C1252" s="12" t="s">
        <v>539</v>
      </c>
      <c r="D1252" s="12"/>
      <c r="E1252" s="12">
        <f t="shared" si="212"/>
        <v>0</v>
      </c>
      <c r="F1252" s="12" t="s">
        <v>70</v>
      </c>
      <c r="G1252" s="12">
        <v>0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12">
        <v>0</v>
      </c>
      <c r="U1252" s="12">
        <v>0</v>
      </c>
      <c r="V1252" s="12">
        <v>0</v>
      </c>
      <c r="W1252" s="12">
        <v>0</v>
      </c>
      <c r="X1252" s="12">
        <v>0</v>
      </c>
      <c r="Y1252" s="12">
        <v>0</v>
      </c>
      <c r="Z1252" s="12">
        <v>0</v>
      </c>
      <c r="AA1252" s="12"/>
      <c r="AC1252" s="13">
        <f t="shared" si="213"/>
        <v>0</v>
      </c>
      <c r="AL1252" s="14">
        <f t="shared" si="214"/>
        <v>0</v>
      </c>
    </row>
    <row r="1253" spans="1:38" hidden="1" x14ac:dyDescent="0.25">
      <c r="A1253" s="12" t="s">
        <v>104</v>
      </c>
      <c r="B1253" s="12" t="s">
        <v>1282</v>
      </c>
      <c r="C1253" s="12" t="s">
        <v>539</v>
      </c>
      <c r="D1253" s="12"/>
      <c r="E1253" s="12">
        <f t="shared" si="212"/>
        <v>0</v>
      </c>
      <c r="F1253" s="12" t="s">
        <v>70</v>
      </c>
      <c r="G1253" s="12">
        <v>0</v>
      </c>
      <c r="H1253" s="12">
        <v>0</v>
      </c>
      <c r="I1253" s="12">
        <v>0</v>
      </c>
      <c r="J1253" s="12">
        <v>0</v>
      </c>
      <c r="K1253" s="12">
        <v>0</v>
      </c>
      <c r="L1253" s="12">
        <v>0</v>
      </c>
      <c r="M1253" s="12">
        <v>0</v>
      </c>
      <c r="N1253" s="12">
        <v>0</v>
      </c>
      <c r="O1253" s="12">
        <v>0</v>
      </c>
      <c r="P1253" s="12">
        <v>0</v>
      </c>
      <c r="Q1253" s="12">
        <v>0</v>
      </c>
      <c r="R1253" s="12">
        <v>0</v>
      </c>
      <c r="S1253" s="12">
        <v>0</v>
      </c>
      <c r="T1253" s="12">
        <v>0</v>
      </c>
      <c r="U1253" s="12">
        <v>0</v>
      </c>
      <c r="V1253" s="12">
        <v>0</v>
      </c>
      <c r="W1253" s="12">
        <v>0</v>
      </c>
      <c r="X1253" s="12">
        <v>0</v>
      </c>
      <c r="Y1253" s="12">
        <v>0</v>
      </c>
      <c r="Z1253" s="12">
        <v>0</v>
      </c>
      <c r="AA1253" s="12"/>
      <c r="AC1253" s="13">
        <f t="shared" si="213"/>
        <v>0</v>
      </c>
      <c r="AL1253" s="14">
        <f t="shared" si="214"/>
        <v>0</v>
      </c>
    </row>
    <row r="1254" spans="1:38" hidden="1" x14ac:dyDescent="0.25">
      <c r="A1254" s="12" t="s">
        <v>104</v>
      </c>
      <c r="B1254" s="12" t="s">
        <v>1283</v>
      </c>
      <c r="C1254" s="12" t="s">
        <v>539</v>
      </c>
      <c r="D1254" s="12"/>
      <c r="E1254" s="12">
        <f t="shared" si="212"/>
        <v>0</v>
      </c>
      <c r="F1254" s="12" t="s">
        <v>70</v>
      </c>
      <c r="G1254" s="12">
        <v>0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12">
        <v>0</v>
      </c>
      <c r="U1254" s="12">
        <v>0</v>
      </c>
      <c r="V1254" s="12">
        <v>0</v>
      </c>
      <c r="W1254" s="12">
        <v>0</v>
      </c>
      <c r="X1254" s="12">
        <v>0</v>
      </c>
      <c r="Y1254" s="12">
        <v>0</v>
      </c>
      <c r="Z1254" s="12">
        <v>0</v>
      </c>
      <c r="AA1254" s="12"/>
      <c r="AC1254" s="13">
        <f t="shared" si="213"/>
        <v>0</v>
      </c>
      <c r="AL1254" s="14">
        <f t="shared" si="214"/>
        <v>0</v>
      </c>
    </row>
    <row r="1255" spans="1:38" hidden="1" x14ac:dyDescent="0.25">
      <c r="A1255" s="12" t="s">
        <v>104</v>
      </c>
      <c r="B1255" s="12" t="s">
        <v>1284</v>
      </c>
      <c r="C1255" s="12" t="s">
        <v>539</v>
      </c>
      <c r="D1255" s="12"/>
      <c r="E1255" s="12">
        <f t="shared" si="212"/>
        <v>0</v>
      </c>
      <c r="F1255" s="12" t="s">
        <v>70</v>
      </c>
      <c r="G1255" s="12">
        <v>0</v>
      </c>
      <c r="H1255" s="12">
        <v>0</v>
      </c>
      <c r="I1255" s="12">
        <v>0</v>
      </c>
      <c r="J1255" s="12">
        <v>0</v>
      </c>
      <c r="K1255" s="12">
        <v>0</v>
      </c>
      <c r="L1255" s="12">
        <v>0</v>
      </c>
      <c r="M1255" s="12">
        <v>0</v>
      </c>
      <c r="N1255" s="12">
        <v>0</v>
      </c>
      <c r="O1255" s="12">
        <v>0</v>
      </c>
      <c r="P1255" s="12">
        <v>0</v>
      </c>
      <c r="Q1255" s="12">
        <v>0</v>
      </c>
      <c r="R1255" s="12">
        <v>0</v>
      </c>
      <c r="S1255" s="12">
        <v>0</v>
      </c>
      <c r="T1255" s="12">
        <v>0</v>
      </c>
      <c r="U1255" s="12">
        <v>0</v>
      </c>
      <c r="V1255" s="12">
        <v>0</v>
      </c>
      <c r="W1255" s="12">
        <v>0</v>
      </c>
      <c r="X1255" s="12">
        <v>0</v>
      </c>
      <c r="Y1255" s="12">
        <v>0</v>
      </c>
      <c r="Z1255" s="12">
        <v>0</v>
      </c>
      <c r="AA1255" s="12"/>
      <c r="AC1255" s="13">
        <f t="shared" si="213"/>
        <v>0</v>
      </c>
      <c r="AL1255" s="14">
        <f t="shared" si="214"/>
        <v>0</v>
      </c>
    </row>
    <row r="1256" spans="1:38" hidden="1" x14ac:dyDescent="0.25">
      <c r="A1256" s="12" t="s">
        <v>104</v>
      </c>
      <c r="B1256" s="12" t="s">
        <v>1285</v>
      </c>
      <c r="C1256" s="12" t="s">
        <v>539</v>
      </c>
      <c r="D1256" s="12"/>
      <c r="E1256" s="12">
        <f t="shared" si="212"/>
        <v>0</v>
      </c>
      <c r="F1256" s="12" t="s">
        <v>70</v>
      </c>
      <c r="G1256" s="12">
        <v>0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12">
        <v>0</v>
      </c>
      <c r="U1256" s="12">
        <v>0</v>
      </c>
      <c r="V1256" s="12">
        <v>0</v>
      </c>
      <c r="W1256" s="12">
        <v>0</v>
      </c>
      <c r="X1256" s="12">
        <v>0</v>
      </c>
      <c r="Y1256" s="12">
        <v>0</v>
      </c>
      <c r="Z1256" s="12">
        <v>0</v>
      </c>
      <c r="AA1256" s="12"/>
      <c r="AC1256" s="13">
        <f t="shared" si="213"/>
        <v>0</v>
      </c>
      <c r="AL1256" s="14">
        <f t="shared" si="214"/>
        <v>0</v>
      </c>
    </row>
    <row r="1257" spans="1:38" hidden="1" x14ac:dyDescent="0.25">
      <c r="A1257" s="12" t="s">
        <v>104</v>
      </c>
      <c r="B1257" s="12" t="s">
        <v>1286</v>
      </c>
      <c r="C1257" s="12" t="s">
        <v>539</v>
      </c>
      <c r="D1257" s="12"/>
      <c r="E1257" s="12">
        <f t="shared" si="212"/>
        <v>0</v>
      </c>
      <c r="F1257" s="12" t="s">
        <v>70</v>
      </c>
      <c r="G1257" s="12">
        <v>0</v>
      </c>
      <c r="H1257" s="12">
        <v>0</v>
      </c>
      <c r="I1257" s="12">
        <v>0</v>
      </c>
      <c r="J1257" s="12">
        <v>0</v>
      </c>
      <c r="K1257" s="12">
        <v>0</v>
      </c>
      <c r="L1257" s="12">
        <v>0</v>
      </c>
      <c r="M1257" s="12">
        <v>0</v>
      </c>
      <c r="N1257" s="12">
        <v>0</v>
      </c>
      <c r="O1257" s="12">
        <v>0</v>
      </c>
      <c r="P1257" s="12">
        <v>0</v>
      </c>
      <c r="Q1257" s="12">
        <v>0</v>
      </c>
      <c r="R1257" s="12">
        <v>0</v>
      </c>
      <c r="S1257" s="12">
        <v>0</v>
      </c>
      <c r="T1257" s="12">
        <v>0</v>
      </c>
      <c r="U1257" s="12">
        <v>0</v>
      </c>
      <c r="V1257" s="12">
        <v>0</v>
      </c>
      <c r="W1257" s="12">
        <v>0</v>
      </c>
      <c r="X1257" s="12">
        <v>0</v>
      </c>
      <c r="Y1257" s="12">
        <v>0</v>
      </c>
      <c r="Z1257" s="12">
        <v>0</v>
      </c>
      <c r="AA1257" s="12"/>
      <c r="AC1257" s="13">
        <f t="shared" si="213"/>
        <v>0</v>
      </c>
      <c r="AL1257" s="14">
        <f t="shared" si="214"/>
        <v>0</v>
      </c>
    </row>
    <row r="1258" spans="1:38" hidden="1" x14ac:dyDescent="0.25">
      <c r="A1258" s="12" t="s">
        <v>104</v>
      </c>
      <c r="B1258" s="12" t="s">
        <v>1287</v>
      </c>
      <c r="C1258" s="12" t="s">
        <v>539</v>
      </c>
      <c r="D1258" s="12"/>
      <c r="E1258" s="12">
        <f t="shared" si="212"/>
        <v>0</v>
      </c>
      <c r="F1258" s="12" t="s">
        <v>70</v>
      </c>
      <c r="G1258" s="12">
        <v>0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12">
        <v>0</v>
      </c>
      <c r="U1258" s="12">
        <v>0</v>
      </c>
      <c r="V1258" s="12">
        <v>0</v>
      </c>
      <c r="W1258" s="12">
        <v>0</v>
      </c>
      <c r="X1258" s="12">
        <v>0</v>
      </c>
      <c r="Y1258" s="12">
        <v>0</v>
      </c>
      <c r="Z1258" s="12">
        <v>0</v>
      </c>
      <c r="AA1258" s="12"/>
      <c r="AC1258" s="13">
        <f t="shared" si="213"/>
        <v>0</v>
      </c>
      <c r="AL1258" s="14">
        <f t="shared" si="214"/>
        <v>0</v>
      </c>
    </row>
    <row r="1259" spans="1:38" hidden="1" x14ac:dyDescent="0.25">
      <c r="A1259" s="12" t="s">
        <v>104</v>
      </c>
      <c r="B1259" s="12" t="s">
        <v>1288</v>
      </c>
      <c r="C1259" s="12" t="s">
        <v>539</v>
      </c>
      <c r="D1259" s="12"/>
      <c r="E1259" s="12">
        <f t="shared" si="212"/>
        <v>0</v>
      </c>
      <c r="F1259" s="12" t="s">
        <v>70</v>
      </c>
      <c r="G1259" s="12">
        <v>0</v>
      </c>
      <c r="H1259" s="12">
        <v>0</v>
      </c>
      <c r="I1259" s="12">
        <v>0</v>
      </c>
      <c r="J1259" s="12">
        <v>0</v>
      </c>
      <c r="K1259" s="12">
        <v>0</v>
      </c>
      <c r="L1259" s="12">
        <v>0</v>
      </c>
      <c r="M1259" s="12">
        <v>0</v>
      </c>
      <c r="N1259" s="12">
        <v>0</v>
      </c>
      <c r="O1259" s="12">
        <v>0</v>
      </c>
      <c r="P1259" s="12">
        <v>0</v>
      </c>
      <c r="Q1259" s="12">
        <v>0</v>
      </c>
      <c r="R1259" s="12">
        <v>0</v>
      </c>
      <c r="S1259" s="12">
        <v>0</v>
      </c>
      <c r="T1259" s="12">
        <v>0</v>
      </c>
      <c r="U1259" s="12">
        <v>0</v>
      </c>
      <c r="V1259" s="12">
        <v>0</v>
      </c>
      <c r="W1259" s="12">
        <v>0</v>
      </c>
      <c r="X1259" s="12">
        <v>0</v>
      </c>
      <c r="Y1259" s="12">
        <v>0</v>
      </c>
      <c r="Z1259" s="12">
        <v>0</v>
      </c>
      <c r="AA1259" s="12"/>
      <c r="AC1259" s="13">
        <f t="shared" si="213"/>
        <v>0</v>
      </c>
      <c r="AL1259" s="14">
        <f t="shared" si="214"/>
        <v>0</v>
      </c>
    </row>
    <row r="1260" spans="1:38" hidden="1" x14ac:dyDescent="0.25">
      <c r="A1260" s="12" t="s">
        <v>104</v>
      </c>
      <c r="B1260" s="12" t="s">
        <v>1289</v>
      </c>
      <c r="C1260" s="12" t="s">
        <v>539</v>
      </c>
      <c r="D1260" s="12"/>
      <c r="E1260" s="12">
        <f t="shared" si="212"/>
        <v>0</v>
      </c>
      <c r="F1260" s="12" t="s">
        <v>70</v>
      </c>
      <c r="G1260" s="12">
        <v>0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12">
        <v>0</v>
      </c>
      <c r="U1260" s="12">
        <v>0</v>
      </c>
      <c r="V1260" s="12">
        <v>0</v>
      </c>
      <c r="W1260" s="12">
        <v>0</v>
      </c>
      <c r="X1260" s="12">
        <v>0</v>
      </c>
      <c r="Y1260" s="12">
        <v>0</v>
      </c>
      <c r="Z1260" s="12">
        <v>0</v>
      </c>
      <c r="AA1260" s="12"/>
      <c r="AC1260" s="13">
        <f t="shared" si="213"/>
        <v>0</v>
      </c>
      <c r="AL1260" s="14">
        <f t="shared" si="214"/>
        <v>0</v>
      </c>
    </row>
    <row r="1261" spans="1:38" hidden="1" x14ac:dyDescent="0.25">
      <c r="A1261" s="12" t="s">
        <v>104</v>
      </c>
      <c r="B1261" s="12" t="s">
        <v>1290</v>
      </c>
      <c r="C1261" s="12" t="s">
        <v>539</v>
      </c>
      <c r="D1261" s="12"/>
      <c r="E1261" s="12">
        <f t="shared" si="212"/>
        <v>0</v>
      </c>
      <c r="F1261" s="12" t="s">
        <v>70</v>
      </c>
      <c r="G1261" s="12">
        <v>0</v>
      </c>
      <c r="H1261" s="12">
        <v>0</v>
      </c>
      <c r="I1261" s="12">
        <v>0</v>
      </c>
      <c r="J1261" s="12">
        <v>0</v>
      </c>
      <c r="K1261" s="12">
        <v>0</v>
      </c>
      <c r="L1261" s="12">
        <v>0</v>
      </c>
      <c r="M1261" s="12">
        <v>0</v>
      </c>
      <c r="N1261" s="12">
        <v>0</v>
      </c>
      <c r="O1261" s="12">
        <v>0</v>
      </c>
      <c r="P1261" s="12">
        <v>0</v>
      </c>
      <c r="Q1261" s="12">
        <v>0</v>
      </c>
      <c r="R1261" s="12">
        <v>0</v>
      </c>
      <c r="S1261" s="12">
        <v>0</v>
      </c>
      <c r="T1261" s="12">
        <v>0</v>
      </c>
      <c r="U1261" s="12">
        <v>0</v>
      </c>
      <c r="V1261" s="12">
        <v>0</v>
      </c>
      <c r="W1261" s="12">
        <v>0</v>
      </c>
      <c r="X1261" s="12">
        <v>0</v>
      </c>
      <c r="Y1261" s="12">
        <v>0</v>
      </c>
      <c r="Z1261" s="12">
        <v>0</v>
      </c>
      <c r="AA1261" s="12"/>
      <c r="AC1261" s="13">
        <f t="shared" si="213"/>
        <v>0</v>
      </c>
      <c r="AL1261" s="14">
        <f t="shared" si="214"/>
        <v>0</v>
      </c>
    </row>
    <row r="1262" spans="1:38" hidden="1" x14ac:dyDescent="0.25">
      <c r="A1262" s="12" t="s">
        <v>104</v>
      </c>
      <c r="B1262" s="12" t="s">
        <v>1291</v>
      </c>
      <c r="C1262" s="12" t="s">
        <v>539</v>
      </c>
      <c r="D1262" s="12"/>
      <c r="E1262" s="12">
        <f t="shared" si="212"/>
        <v>0</v>
      </c>
      <c r="F1262" s="12" t="str">
        <f>VLOOKUP(B1262,[1]lookup!A:B,2,FALSE)</f>
        <v>Term</v>
      </c>
      <c r="G1262" s="12">
        <v>0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12">
        <v>0</v>
      </c>
      <c r="U1262" s="12">
        <v>0</v>
      </c>
      <c r="V1262" s="12">
        <v>0</v>
      </c>
      <c r="W1262" s="12">
        <v>0</v>
      </c>
      <c r="X1262" s="12">
        <v>0</v>
      </c>
      <c r="Y1262" s="12">
        <v>0</v>
      </c>
      <c r="Z1262" s="12">
        <v>0</v>
      </c>
      <c r="AA1262" s="12"/>
      <c r="AC1262" s="13">
        <f t="shared" si="213"/>
        <v>0</v>
      </c>
      <c r="AL1262" s="14">
        <f t="shared" si="214"/>
        <v>0</v>
      </c>
    </row>
    <row r="1263" spans="1:38" hidden="1" x14ac:dyDescent="0.25">
      <c r="A1263" s="12" t="s">
        <v>135</v>
      </c>
      <c r="B1263" s="12" t="s">
        <v>1292</v>
      </c>
      <c r="C1263" s="12" t="s">
        <v>539</v>
      </c>
      <c r="D1263" s="12"/>
      <c r="E1263" s="12">
        <f t="shared" si="212"/>
        <v>0</v>
      </c>
      <c r="F1263" s="12" t="str">
        <f>VLOOKUP(B1263,[1]lookup!A:B,2,FALSE)</f>
        <v>Term</v>
      </c>
      <c r="G1263" s="12">
        <v>0</v>
      </c>
      <c r="H1263" s="12">
        <v>0</v>
      </c>
      <c r="I1263" s="12">
        <v>0</v>
      </c>
      <c r="J1263" s="12">
        <v>0</v>
      </c>
      <c r="K1263" s="12">
        <v>0</v>
      </c>
      <c r="L1263" s="12">
        <v>0</v>
      </c>
      <c r="M1263" s="12">
        <v>0</v>
      </c>
      <c r="N1263" s="12">
        <v>0</v>
      </c>
      <c r="O1263" s="12">
        <v>0</v>
      </c>
      <c r="P1263" s="12">
        <v>0</v>
      </c>
      <c r="Q1263" s="12">
        <v>0</v>
      </c>
      <c r="R1263" s="12">
        <v>0</v>
      </c>
      <c r="S1263" s="12">
        <v>0</v>
      </c>
      <c r="T1263" s="12">
        <v>0</v>
      </c>
      <c r="U1263" s="12">
        <v>0</v>
      </c>
      <c r="V1263" s="12">
        <v>0</v>
      </c>
      <c r="W1263" s="12">
        <v>0</v>
      </c>
      <c r="X1263" s="12">
        <v>0</v>
      </c>
      <c r="Y1263" s="12">
        <v>0</v>
      </c>
      <c r="Z1263" s="12">
        <v>0</v>
      </c>
      <c r="AA1263" s="12"/>
      <c r="AC1263" s="13">
        <f t="shared" si="213"/>
        <v>0</v>
      </c>
      <c r="AL1263" s="14">
        <f t="shared" si="214"/>
        <v>0</v>
      </c>
    </row>
    <row r="1264" spans="1:38" hidden="1" x14ac:dyDescent="0.25">
      <c r="A1264" s="12" t="s">
        <v>399</v>
      </c>
      <c r="B1264" s="12" t="s">
        <v>1293</v>
      </c>
      <c r="C1264" s="12" t="s">
        <v>539</v>
      </c>
      <c r="D1264" s="12"/>
      <c r="E1264" s="12">
        <f t="shared" si="212"/>
        <v>0</v>
      </c>
      <c r="F1264" s="12" t="str">
        <f>VLOOKUP(B1264,[1]lookup!A:B,2,FALSE)</f>
        <v>Perpetual</v>
      </c>
      <c r="G1264" s="12">
        <v>0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12">
        <v>0</v>
      </c>
      <c r="U1264" s="12">
        <v>0</v>
      </c>
      <c r="V1264" s="12">
        <v>0</v>
      </c>
      <c r="W1264" s="12">
        <v>0</v>
      </c>
      <c r="X1264" s="12">
        <v>0</v>
      </c>
      <c r="Y1264" s="12">
        <v>0</v>
      </c>
      <c r="Z1264" s="12">
        <v>0</v>
      </c>
      <c r="AA1264" s="12"/>
      <c r="AC1264" s="13">
        <f t="shared" si="213"/>
        <v>0</v>
      </c>
      <c r="AL1264" s="14">
        <f t="shared" si="214"/>
        <v>0</v>
      </c>
    </row>
    <row r="1265" spans="1:38" hidden="1" x14ac:dyDescent="0.25">
      <c r="A1265" s="12" t="s">
        <v>51</v>
      </c>
      <c r="B1265" s="12" t="s">
        <v>1294</v>
      </c>
      <c r="C1265" s="12" t="s">
        <v>539</v>
      </c>
      <c r="D1265" s="12"/>
      <c r="E1265" s="12">
        <f t="shared" si="212"/>
        <v>0</v>
      </c>
      <c r="F1265" s="12" t="s">
        <v>70</v>
      </c>
      <c r="G1265" s="12">
        <v>0</v>
      </c>
      <c r="H1265" s="12">
        <v>0</v>
      </c>
      <c r="I1265" s="12">
        <v>0</v>
      </c>
      <c r="J1265" s="12">
        <v>0</v>
      </c>
      <c r="K1265" s="12">
        <v>0</v>
      </c>
      <c r="L1265" s="12">
        <v>0</v>
      </c>
      <c r="M1265" s="12">
        <v>0</v>
      </c>
      <c r="N1265" s="12">
        <v>0</v>
      </c>
      <c r="O1265" s="12">
        <v>0</v>
      </c>
      <c r="P1265" s="12">
        <v>0</v>
      </c>
      <c r="Q1265" s="12">
        <v>0</v>
      </c>
      <c r="R1265" s="12">
        <v>0</v>
      </c>
      <c r="S1265" s="12">
        <v>0</v>
      </c>
      <c r="T1265" s="12">
        <v>0</v>
      </c>
      <c r="U1265" s="12">
        <v>0</v>
      </c>
      <c r="V1265" s="12">
        <v>0</v>
      </c>
      <c r="W1265" s="12">
        <v>0</v>
      </c>
      <c r="X1265" s="12">
        <v>0</v>
      </c>
      <c r="Y1265" s="12">
        <v>0</v>
      </c>
      <c r="Z1265" s="12">
        <v>0</v>
      </c>
      <c r="AA1265" s="12"/>
      <c r="AC1265" s="13">
        <f t="shared" si="213"/>
        <v>0</v>
      </c>
      <c r="AL1265" s="14">
        <f t="shared" si="214"/>
        <v>0</v>
      </c>
    </row>
    <row r="1266" spans="1:38" hidden="1" x14ac:dyDescent="0.25">
      <c r="A1266" s="12" t="s">
        <v>51</v>
      </c>
      <c r="B1266" s="12" t="s">
        <v>1295</v>
      </c>
      <c r="C1266" s="12" t="s">
        <v>539</v>
      </c>
      <c r="D1266" s="12"/>
      <c r="E1266" s="12">
        <f t="shared" si="212"/>
        <v>0</v>
      </c>
      <c r="F1266" s="12" t="s">
        <v>70</v>
      </c>
      <c r="G1266" s="12">
        <v>0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12">
        <v>0</v>
      </c>
      <c r="U1266" s="12">
        <v>0</v>
      </c>
      <c r="V1266" s="12">
        <v>0</v>
      </c>
      <c r="W1266" s="12">
        <v>0</v>
      </c>
      <c r="X1266" s="12">
        <v>0</v>
      </c>
      <c r="Y1266" s="12">
        <v>0</v>
      </c>
      <c r="Z1266" s="12">
        <v>0</v>
      </c>
      <c r="AA1266" s="12"/>
      <c r="AC1266" s="13">
        <f t="shared" si="213"/>
        <v>0</v>
      </c>
      <c r="AL1266" s="14">
        <f t="shared" si="214"/>
        <v>0</v>
      </c>
    </row>
    <row r="1267" spans="1:38" hidden="1" x14ac:dyDescent="0.25">
      <c r="A1267" s="12" t="s">
        <v>51</v>
      </c>
      <c r="B1267" s="12" t="s">
        <v>1296</v>
      </c>
      <c r="C1267" s="12" t="s">
        <v>539</v>
      </c>
      <c r="D1267" s="12"/>
      <c r="E1267" s="12">
        <f t="shared" si="212"/>
        <v>0</v>
      </c>
      <c r="F1267" s="12" t="s">
        <v>70</v>
      </c>
      <c r="G1267" s="12">
        <v>0</v>
      </c>
      <c r="H1267" s="12">
        <v>0</v>
      </c>
      <c r="I1267" s="12">
        <v>0</v>
      </c>
      <c r="J1267" s="12">
        <v>0</v>
      </c>
      <c r="K1267" s="12">
        <v>0</v>
      </c>
      <c r="L1267" s="12">
        <v>0</v>
      </c>
      <c r="M1267" s="12">
        <v>0</v>
      </c>
      <c r="N1267" s="12">
        <v>0</v>
      </c>
      <c r="O1267" s="12">
        <v>0</v>
      </c>
      <c r="P1267" s="12">
        <v>0</v>
      </c>
      <c r="Q1267" s="12">
        <v>0</v>
      </c>
      <c r="R1267" s="12">
        <v>0</v>
      </c>
      <c r="S1267" s="12">
        <v>0</v>
      </c>
      <c r="T1267" s="12">
        <v>0</v>
      </c>
      <c r="U1267" s="12">
        <v>0</v>
      </c>
      <c r="V1267" s="12">
        <v>0</v>
      </c>
      <c r="W1267" s="12">
        <v>0</v>
      </c>
      <c r="X1267" s="12">
        <v>0</v>
      </c>
      <c r="Y1267" s="12">
        <v>0</v>
      </c>
      <c r="Z1267" s="12">
        <v>0</v>
      </c>
      <c r="AA1267" s="12"/>
      <c r="AC1267" s="13">
        <f t="shared" si="213"/>
        <v>0</v>
      </c>
      <c r="AL1267" s="14">
        <f t="shared" si="214"/>
        <v>0</v>
      </c>
    </row>
    <row r="1268" spans="1:38" hidden="1" x14ac:dyDescent="0.25">
      <c r="A1268" s="12" t="s">
        <v>51</v>
      </c>
      <c r="B1268" s="12" t="s">
        <v>1297</v>
      </c>
      <c r="C1268" s="12" t="s">
        <v>539</v>
      </c>
      <c r="D1268" s="12"/>
      <c r="E1268" s="12">
        <f t="shared" si="212"/>
        <v>0</v>
      </c>
      <c r="F1268" s="12" t="s">
        <v>70</v>
      </c>
      <c r="G1268" s="12">
        <v>0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12">
        <v>0</v>
      </c>
      <c r="U1268" s="12">
        <v>0</v>
      </c>
      <c r="V1268" s="12">
        <v>0</v>
      </c>
      <c r="W1268" s="12">
        <v>0</v>
      </c>
      <c r="X1268" s="12">
        <v>0</v>
      </c>
      <c r="Y1268" s="12">
        <v>0</v>
      </c>
      <c r="Z1268" s="12">
        <v>0</v>
      </c>
      <c r="AA1268" s="12"/>
      <c r="AC1268" s="13">
        <f t="shared" si="213"/>
        <v>0</v>
      </c>
      <c r="AL1268" s="14">
        <f t="shared" si="214"/>
        <v>0</v>
      </c>
    </row>
    <row r="1269" spans="1:38" hidden="1" x14ac:dyDescent="0.25">
      <c r="A1269" s="12" t="s">
        <v>285</v>
      </c>
      <c r="B1269" s="12" t="s">
        <v>1295</v>
      </c>
      <c r="C1269" s="12" t="s">
        <v>539</v>
      </c>
      <c r="D1269" s="12"/>
      <c r="E1269" s="12">
        <f t="shared" si="212"/>
        <v>0</v>
      </c>
      <c r="F1269" s="12" t="s">
        <v>70</v>
      </c>
      <c r="G1269" s="12">
        <v>0</v>
      </c>
      <c r="H1269" s="12">
        <v>0</v>
      </c>
      <c r="I1269" s="12">
        <v>0</v>
      </c>
      <c r="J1269" s="12">
        <v>0</v>
      </c>
      <c r="K1269" s="12">
        <v>0</v>
      </c>
      <c r="L1269" s="12">
        <v>0</v>
      </c>
      <c r="M1269" s="12">
        <v>0</v>
      </c>
      <c r="N1269" s="12">
        <v>0</v>
      </c>
      <c r="O1269" s="12">
        <v>0</v>
      </c>
      <c r="P1269" s="12">
        <v>0</v>
      </c>
      <c r="Q1269" s="12">
        <v>0</v>
      </c>
      <c r="R1269" s="12">
        <v>0</v>
      </c>
      <c r="S1269" s="12">
        <v>0</v>
      </c>
      <c r="T1269" s="12">
        <v>0</v>
      </c>
      <c r="U1269" s="12">
        <v>0</v>
      </c>
      <c r="V1269" s="12">
        <v>0</v>
      </c>
      <c r="W1269" s="12">
        <v>0</v>
      </c>
      <c r="X1269" s="12">
        <v>0</v>
      </c>
      <c r="Y1269" s="12">
        <v>0</v>
      </c>
      <c r="Z1269" s="12">
        <v>0</v>
      </c>
      <c r="AA1269" s="12"/>
      <c r="AC1269" s="13">
        <f t="shared" si="213"/>
        <v>0</v>
      </c>
      <c r="AL1269" s="14">
        <f t="shared" si="214"/>
        <v>0</v>
      </c>
    </row>
    <row r="1270" spans="1:38" hidden="1" x14ac:dyDescent="0.25">
      <c r="A1270" s="12" t="s">
        <v>285</v>
      </c>
      <c r="B1270" s="12" t="s">
        <v>1294</v>
      </c>
      <c r="C1270" s="12" t="s">
        <v>539</v>
      </c>
      <c r="D1270" s="12"/>
      <c r="E1270" s="12">
        <f t="shared" si="212"/>
        <v>0</v>
      </c>
      <c r="F1270" s="12" t="s">
        <v>70</v>
      </c>
      <c r="G1270" s="12">
        <v>0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12">
        <v>0</v>
      </c>
      <c r="U1270" s="12">
        <v>0</v>
      </c>
      <c r="V1270" s="12">
        <v>0</v>
      </c>
      <c r="W1270" s="12">
        <v>0</v>
      </c>
      <c r="X1270" s="12">
        <v>0</v>
      </c>
      <c r="Y1270" s="12">
        <v>0</v>
      </c>
      <c r="Z1270" s="12">
        <v>0</v>
      </c>
      <c r="AA1270" s="12"/>
      <c r="AC1270" s="13">
        <f t="shared" si="213"/>
        <v>0</v>
      </c>
      <c r="AL1270" s="14">
        <f t="shared" si="214"/>
        <v>0</v>
      </c>
    </row>
    <row r="1271" spans="1:38" hidden="1" x14ac:dyDescent="0.25">
      <c r="A1271" s="12" t="s">
        <v>285</v>
      </c>
      <c r="B1271" s="12" t="s">
        <v>1256</v>
      </c>
      <c r="C1271" s="12" t="s">
        <v>539</v>
      </c>
      <c r="D1271" s="12"/>
      <c r="E1271" s="12">
        <f t="shared" si="212"/>
        <v>0</v>
      </c>
      <c r="F1271" s="12" t="s">
        <v>70</v>
      </c>
      <c r="G1271" s="12">
        <v>0</v>
      </c>
      <c r="H1271" s="12">
        <v>0</v>
      </c>
      <c r="I1271" s="12">
        <v>0</v>
      </c>
      <c r="J1271" s="12">
        <v>0</v>
      </c>
      <c r="K1271" s="12">
        <v>0</v>
      </c>
      <c r="L1271" s="12">
        <v>0</v>
      </c>
      <c r="M1271" s="12">
        <v>0</v>
      </c>
      <c r="N1271" s="12">
        <v>0</v>
      </c>
      <c r="O1271" s="12">
        <v>0</v>
      </c>
      <c r="P1271" s="12">
        <v>0</v>
      </c>
      <c r="Q1271" s="12">
        <v>0</v>
      </c>
      <c r="R1271" s="12">
        <v>0</v>
      </c>
      <c r="S1271" s="12">
        <v>0</v>
      </c>
      <c r="T1271" s="12">
        <v>0</v>
      </c>
      <c r="U1271" s="12">
        <v>0</v>
      </c>
      <c r="V1271" s="12">
        <v>0</v>
      </c>
      <c r="W1271" s="12">
        <v>0</v>
      </c>
      <c r="X1271" s="12">
        <v>0</v>
      </c>
      <c r="Y1271" s="12">
        <v>0</v>
      </c>
      <c r="Z1271" s="12">
        <v>0</v>
      </c>
      <c r="AA1271" s="12"/>
      <c r="AC1271" s="13">
        <f t="shared" si="213"/>
        <v>0</v>
      </c>
      <c r="AL1271" s="14">
        <f t="shared" si="214"/>
        <v>0</v>
      </c>
    </row>
    <row r="1272" spans="1:38" hidden="1" x14ac:dyDescent="0.25">
      <c r="A1272" s="12" t="s">
        <v>203</v>
      </c>
      <c r="B1272" s="12" t="s">
        <v>1298</v>
      </c>
      <c r="C1272" s="12" t="s">
        <v>539</v>
      </c>
      <c r="D1272" s="12"/>
      <c r="E1272" s="12">
        <f t="shared" si="212"/>
        <v>0</v>
      </c>
      <c r="F1272" s="12" t="str">
        <f>VLOOKUP(B1272,[1]lookup!A:B,2,FALSE)</f>
        <v>Perpetual</v>
      </c>
      <c r="G1272" s="12">
        <v>0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12">
        <v>0</v>
      </c>
      <c r="U1272" s="12">
        <v>0</v>
      </c>
      <c r="V1272" s="12">
        <v>0</v>
      </c>
      <c r="W1272" s="12">
        <v>0</v>
      </c>
      <c r="X1272" s="12">
        <v>0</v>
      </c>
      <c r="Y1272" s="12">
        <v>0</v>
      </c>
      <c r="Z1272" s="12">
        <v>0</v>
      </c>
      <c r="AA1272" s="12"/>
      <c r="AC1272" s="13">
        <f t="shared" si="213"/>
        <v>0</v>
      </c>
      <c r="AL1272" s="14">
        <f t="shared" si="214"/>
        <v>0</v>
      </c>
    </row>
    <row r="1273" spans="1:38" hidden="1" x14ac:dyDescent="0.25">
      <c r="A1273" s="12" t="s">
        <v>1299</v>
      </c>
      <c r="B1273" s="12" t="s">
        <v>1300</v>
      </c>
      <c r="C1273" s="12" t="s">
        <v>539</v>
      </c>
      <c r="D1273" s="12"/>
      <c r="E1273" s="12">
        <f t="shared" si="212"/>
        <v>0</v>
      </c>
      <c r="F1273" s="12" t="s">
        <v>70</v>
      </c>
      <c r="G1273" s="12">
        <v>0</v>
      </c>
      <c r="H1273" s="12">
        <v>0</v>
      </c>
      <c r="I1273" s="12">
        <v>0</v>
      </c>
      <c r="J1273" s="12">
        <v>0</v>
      </c>
      <c r="K1273" s="12">
        <v>0</v>
      </c>
      <c r="L1273" s="12">
        <v>0</v>
      </c>
      <c r="M1273" s="12">
        <v>0</v>
      </c>
      <c r="N1273" s="12">
        <v>0</v>
      </c>
      <c r="O1273" s="12">
        <v>0</v>
      </c>
      <c r="P1273" s="12">
        <v>0</v>
      </c>
      <c r="Q1273" s="12">
        <v>0</v>
      </c>
      <c r="R1273" s="12">
        <v>0</v>
      </c>
      <c r="S1273" s="12">
        <v>0</v>
      </c>
      <c r="T1273" s="12">
        <v>0</v>
      </c>
      <c r="U1273" s="12">
        <v>0</v>
      </c>
      <c r="V1273" s="12">
        <v>0</v>
      </c>
      <c r="W1273" s="12">
        <v>0</v>
      </c>
      <c r="X1273" s="12">
        <v>0</v>
      </c>
      <c r="Y1273" s="12">
        <v>0</v>
      </c>
      <c r="Z1273" s="12">
        <v>0</v>
      </c>
      <c r="AA1273" s="12"/>
      <c r="AC1273" s="13">
        <f t="shared" si="213"/>
        <v>0</v>
      </c>
      <c r="AL1273" s="14">
        <f t="shared" si="214"/>
        <v>0</v>
      </c>
    </row>
    <row r="1274" spans="1:38" hidden="1" x14ac:dyDescent="0.25">
      <c r="A1274" s="12" t="s">
        <v>1301</v>
      </c>
      <c r="B1274" s="12" t="s">
        <v>1302</v>
      </c>
      <c r="C1274" s="12" t="s">
        <v>539</v>
      </c>
      <c r="D1274" s="12"/>
      <c r="E1274" s="12">
        <f t="shared" si="212"/>
        <v>0</v>
      </c>
      <c r="F1274" s="12" t="s">
        <v>70</v>
      </c>
      <c r="G1274" s="12">
        <v>0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12">
        <v>0</v>
      </c>
      <c r="U1274" s="12">
        <v>0</v>
      </c>
      <c r="V1274" s="12">
        <v>0</v>
      </c>
      <c r="W1274" s="12">
        <v>0</v>
      </c>
      <c r="X1274" s="12">
        <v>0</v>
      </c>
      <c r="Y1274" s="12">
        <v>0</v>
      </c>
      <c r="Z1274" s="12">
        <v>0</v>
      </c>
      <c r="AA1274" s="12"/>
      <c r="AC1274" s="13">
        <f t="shared" si="213"/>
        <v>0</v>
      </c>
      <c r="AL1274" s="14">
        <f t="shared" si="214"/>
        <v>0</v>
      </c>
    </row>
    <row r="1275" spans="1:38" hidden="1" x14ac:dyDescent="0.25">
      <c r="A1275" s="12" t="s">
        <v>1301</v>
      </c>
      <c r="B1275" s="12" t="s">
        <v>1303</v>
      </c>
      <c r="C1275" s="12" t="s">
        <v>539</v>
      </c>
      <c r="D1275" s="12"/>
      <c r="E1275" s="12">
        <f t="shared" si="212"/>
        <v>0</v>
      </c>
      <c r="F1275" s="12" t="s">
        <v>70</v>
      </c>
      <c r="G1275" s="12">
        <v>0</v>
      </c>
      <c r="H1275" s="12">
        <v>0</v>
      </c>
      <c r="I1275" s="12">
        <v>0</v>
      </c>
      <c r="J1275" s="12">
        <v>0</v>
      </c>
      <c r="K1275" s="12">
        <v>0</v>
      </c>
      <c r="L1275" s="12">
        <v>0</v>
      </c>
      <c r="M1275" s="12">
        <v>0</v>
      </c>
      <c r="N1275" s="12">
        <v>0</v>
      </c>
      <c r="O1275" s="12">
        <v>0</v>
      </c>
      <c r="P1275" s="12">
        <v>0</v>
      </c>
      <c r="Q1275" s="12">
        <v>0</v>
      </c>
      <c r="R1275" s="12">
        <v>0</v>
      </c>
      <c r="S1275" s="12">
        <v>0</v>
      </c>
      <c r="T1275" s="12">
        <v>0</v>
      </c>
      <c r="U1275" s="12">
        <v>0</v>
      </c>
      <c r="V1275" s="12">
        <v>0</v>
      </c>
      <c r="W1275" s="12">
        <v>0</v>
      </c>
      <c r="X1275" s="12">
        <v>0</v>
      </c>
      <c r="Y1275" s="12">
        <v>0</v>
      </c>
      <c r="Z1275" s="12">
        <v>0</v>
      </c>
      <c r="AA1275" s="12"/>
      <c r="AC1275" s="13">
        <f t="shared" si="213"/>
        <v>0</v>
      </c>
      <c r="AL1275" s="14">
        <f t="shared" si="214"/>
        <v>0</v>
      </c>
    </row>
    <row r="1276" spans="1:38" hidden="1" x14ac:dyDescent="0.25">
      <c r="A1276" s="12" t="s">
        <v>1197</v>
      </c>
      <c r="B1276" s="12" t="s">
        <v>1294</v>
      </c>
      <c r="C1276" s="12" t="s">
        <v>539</v>
      </c>
      <c r="D1276" s="12"/>
      <c r="E1276" s="12">
        <f t="shared" si="212"/>
        <v>0</v>
      </c>
      <c r="F1276" s="12" t="s">
        <v>70</v>
      </c>
      <c r="G1276" s="12">
        <v>0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12">
        <v>0</v>
      </c>
      <c r="U1276" s="12">
        <v>0</v>
      </c>
      <c r="V1276" s="12">
        <v>0</v>
      </c>
      <c r="W1276" s="12">
        <v>0</v>
      </c>
      <c r="X1276" s="12">
        <v>0</v>
      </c>
      <c r="Y1276" s="12">
        <v>0</v>
      </c>
      <c r="Z1276" s="12">
        <v>0</v>
      </c>
      <c r="AA1276" s="12"/>
      <c r="AC1276" s="13">
        <f t="shared" si="213"/>
        <v>0</v>
      </c>
      <c r="AL1276" s="14">
        <f t="shared" si="214"/>
        <v>0</v>
      </c>
    </row>
    <row r="1277" spans="1:38" hidden="1" x14ac:dyDescent="0.25">
      <c r="A1277" s="12" t="s">
        <v>1304</v>
      </c>
      <c r="B1277" s="12" t="s">
        <v>1305</v>
      </c>
      <c r="C1277" s="12" t="s">
        <v>539</v>
      </c>
      <c r="D1277" s="12"/>
      <c r="E1277" s="12">
        <f t="shared" si="212"/>
        <v>0</v>
      </c>
      <c r="F1277" s="12" t="s">
        <v>70</v>
      </c>
      <c r="G1277" s="12">
        <v>0</v>
      </c>
      <c r="H1277" s="12">
        <v>0</v>
      </c>
      <c r="I1277" s="12">
        <v>0</v>
      </c>
      <c r="J1277" s="12">
        <v>0</v>
      </c>
      <c r="K1277" s="12">
        <v>0</v>
      </c>
      <c r="L1277" s="12">
        <v>0</v>
      </c>
      <c r="M1277" s="12">
        <v>0</v>
      </c>
      <c r="N1277" s="12">
        <v>0</v>
      </c>
      <c r="O1277" s="12">
        <v>0</v>
      </c>
      <c r="P1277" s="12">
        <v>0</v>
      </c>
      <c r="Q1277" s="12">
        <v>0</v>
      </c>
      <c r="R1277" s="12">
        <v>0</v>
      </c>
      <c r="S1277" s="12">
        <v>0</v>
      </c>
      <c r="T1277" s="12">
        <v>0</v>
      </c>
      <c r="U1277" s="12">
        <v>0</v>
      </c>
      <c r="V1277" s="12">
        <v>0</v>
      </c>
      <c r="W1277" s="12">
        <v>0</v>
      </c>
      <c r="X1277" s="12">
        <v>0</v>
      </c>
      <c r="Y1277" s="12">
        <v>0</v>
      </c>
      <c r="Z1277" s="12">
        <v>0</v>
      </c>
      <c r="AA1277" s="12"/>
      <c r="AC1277" s="13">
        <f t="shared" si="213"/>
        <v>0</v>
      </c>
      <c r="AL1277" s="14">
        <f t="shared" si="214"/>
        <v>0</v>
      </c>
    </row>
    <row r="1278" spans="1:38" hidden="1" x14ac:dyDescent="0.25">
      <c r="A1278" s="12" t="s">
        <v>1306</v>
      </c>
      <c r="B1278" s="12" t="s">
        <v>1307</v>
      </c>
      <c r="C1278" s="12" t="s">
        <v>539</v>
      </c>
      <c r="D1278" s="12"/>
      <c r="E1278" s="12">
        <f t="shared" si="212"/>
        <v>0</v>
      </c>
      <c r="F1278" s="12" t="s">
        <v>70</v>
      </c>
      <c r="G1278" s="12">
        <v>0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12">
        <v>0</v>
      </c>
      <c r="U1278" s="12">
        <v>0</v>
      </c>
      <c r="V1278" s="12">
        <v>0</v>
      </c>
      <c r="W1278" s="12">
        <v>0</v>
      </c>
      <c r="X1278" s="12">
        <v>0</v>
      </c>
      <c r="Y1278" s="12">
        <v>0</v>
      </c>
      <c r="Z1278" s="12">
        <v>0</v>
      </c>
      <c r="AA1278" s="12"/>
      <c r="AC1278" s="13">
        <f t="shared" si="213"/>
        <v>0</v>
      </c>
      <c r="AL1278" s="14">
        <f t="shared" si="214"/>
        <v>0</v>
      </c>
    </row>
    <row r="1279" spans="1:38" hidden="1" x14ac:dyDescent="0.25">
      <c r="A1279" s="12" t="s">
        <v>1306</v>
      </c>
      <c r="B1279" s="12" t="s">
        <v>1308</v>
      </c>
      <c r="C1279" s="12" t="s">
        <v>539</v>
      </c>
      <c r="D1279" s="12"/>
      <c r="E1279" s="12">
        <f t="shared" si="212"/>
        <v>0</v>
      </c>
      <c r="F1279" s="12" t="s">
        <v>70</v>
      </c>
      <c r="G1279" s="12">
        <v>0</v>
      </c>
      <c r="H1279" s="12">
        <v>0</v>
      </c>
      <c r="I1279" s="12">
        <v>0</v>
      </c>
      <c r="J1279" s="12">
        <v>0</v>
      </c>
      <c r="K1279" s="12">
        <v>0</v>
      </c>
      <c r="L1279" s="12">
        <v>0</v>
      </c>
      <c r="M1279" s="12">
        <v>0</v>
      </c>
      <c r="N1279" s="12">
        <v>0</v>
      </c>
      <c r="O1279" s="12">
        <v>0</v>
      </c>
      <c r="P1279" s="12">
        <v>0</v>
      </c>
      <c r="Q1279" s="12">
        <v>0</v>
      </c>
      <c r="R1279" s="12">
        <v>0</v>
      </c>
      <c r="S1279" s="12">
        <v>0</v>
      </c>
      <c r="T1279" s="12">
        <v>0</v>
      </c>
      <c r="U1279" s="12">
        <v>0</v>
      </c>
      <c r="V1279" s="12">
        <v>0</v>
      </c>
      <c r="W1279" s="12">
        <v>0</v>
      </c>
      <c r="X1279" s="12">
        <v>0</v>
      </c>
      <c r="Y1279" s="12">
        <v>0</v>
      </c>
      <c r="Z1279" s="12">
        <v>0</v>
      </c>
      <c r="AA1279" s="12"/>
      <c r="AC1279" s="13">
        <f t="shared" si="213"/>
        <v>0</v>
      </c>
      <c r="AL1279" s="14">
        <f t="shared" si="214"/>
        <v>0</v>
      </c>
    </row>
    <row r="1280" spans="1:38" hidden="1" x14ac:dyDescent="0.25">
      <c r="A1280" s="12" t="s">
        <v>1306</v>
      </c>
      <c r="B1280" s="12" t="s">
        <v>1309</v>
      </c>
      <c r="C1280" s="12" t="s">
        <v>539</v>
      </c>
      <c r="D1280" s="12"/>
      <c r="E1280" s="12">
        <f t="shared" si="212"/>
        <v>0</v>
      </c>
      <c r="F1280" s="12" t="s">
        <v>70</v>
      </c>
      <c r="G1280" s="12">
        <v>0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12">
        <v>0</v>
      </c>
      <c r="U1280" s="12">
        <v>0</v>
      </c>
      <c r="V1280" s="12">
        <v>0</v>
      </c>
      <c r="W1280" s="12">
        <v>0</v>
      </c>
      <c r="X1280" s="12">
        <v>0</v>
      </c>
      <c r="Y1280" s="12">
        <v>0</v>
      </c>
      <c r="Z1280" s="12">
        <v>0</v>
      </c>
      <c r="AA1280" s="12"/>
      <c r="AC1280" s="13">
        <f t="shared" si="213"/>
        <v>0</v>
      </c>
      <c r="AL1280" s="14">
        <f t="shared" si="214"/>
        <v>0</v>
      </c>
    </row>
    <row r="1281" spans="1:38" hidden="1" x14ac:dyDescent="0.25">
      <c r="A1281" s="12" t="s">
        <v>1306</v>
      </c>
      <c r="B1281" s="12" t="s">
        <v>1310</v>
      </c>
      <c r="C1281" s="12" t="s">
        <v>539</v>
      </c>
      <c r="D1281" s="12"/>
      <c r="E1281" s="12">
        <f t="shared" si="212"/>
        <v>0</v>
      </c>
      <c r="F1281" s="12" t="s">
        <v>70</v>
      </c>
      <c r="G1281" s="12">
        <v>0</v>
      </c>
      <c r="H1281" s="12">
        <v>0</v>
      </c>
      <c r="I1281" s="12">
        <v>0</v>
      </c>
      <c r="J1281" s="12">
        <v>0</v>
      </c>
      <c r="K1281" s="12">
        <v>0</v>
      </c>
      <c r="L1281" s="12">
        <v>0</v>
      </c>
      <c r="M1281" s="12">
        <v>0</v>
      </c>
      <c r="N1281" s="12">
        <v>0</v>
      </c>
      <c r="O1281" s="12">
        <v>0</v>
      </c>
      <c r="P1281" s="12">
        <v>0</v>
      </c>
      <c r="Q1281" s="12">
        <v>0</v>
      </c>
      <c r="R1281" s="12">
        <v>0</v>
      </c>
      <c r="S1281" s="12">
        <v>0</v>
      </c>
      <c r="T1281" s="12">
        <v>0</v>
      </c>
      <c r="U1281" s="12">
        <v>0</v>
      </c>
      <c r="V1281" s="12">
        <v>0</v>
      </c>
      <c r="W1281" s="12">
        <v>0</v>
      </c>
      <c r="X1281" s="12">
        <v>0</v>
      </c>
      <c r="Y1281" s="12">
        <v>0</v>
      </c>
      <c r="Z1281" s="12">
        <v>0</v>
      </c>
      <c r="AA1281" s="12"/>
      <c r="AC1281" s="13">
        <f t="shared" si="213"/>
        <v>0</v>
      </c>
      <c r="AL1281" s="14">
        <f t="shared" si="214"/>
        <v>0</v>
      </c>
    </row>
    <row r="1282" spans="1:38" hidden="1" x14ac:dyDescent="0.25">
      <c r="A1282" s="12" t="s">
        <v>1311</v>
      </c>
      <c r="B1282" s="12" t="s">
        <v>1312</v>
      </c>
      <c r="C1282" s="12" t="s">
        <v>539</v>
      </c>
      <c r="D1282" s="12"/>
      <c r="E1282" s="12">
        <f t="shared" si="212"/>
        <v>0</v>
      </c>
      <c r="F1282" s="12" t="s">
        <v>70</v>
      </c>
      <c r="G1282" s="12">
        <v>0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12">
        <v>0</v>
      </c>
      <c r="U1282" s="12">
        <v>0</v>
      </c>
      <c r="V1282" s="12">
        <v>0</v>
      </c>
      <c r="W1282" s="12">
        <v>0</v>
      </c>
      <c r="X1282" s="12">
        <v>0</v>
      </c>
      <c r="Y1282" s="12">
        <v>0</v>
      </c>
      <c r="Z1282" s="12">
        <v>0</v>
      </c>
      <c r="AA1282" s="12"/>
      <c r="AC1282" s="13">
        <f t="shared" si="213"/>
        <v>0</v>
      </c>
      <c r="AL1282" s="14">
        <f t="shared" si="214"/>
        <v>0</v>
      </c>
    </row>
    <row r="1283" spans="1:38" hidden="1" x14ac:dyDescent="0.25">
      <c r="A1283" s="12" t="s">
        <v>1313</v>
      </c>
      <c r="B1283" s="12" t="s">
        <v>1314</v>
      </c>
      <c r="C1283" s="12" t="s">
        <v>539</v>
      </c>
      <c r="D1283" s="12"/>
      <c r="E1283" s="12">
        <f t="shared" si="212"/>
        <v>0</v>
      </c>
      <c r="F1283" s="12" t="s">
        <v>70</v>
      </c>
      <c r="G1283" s="12">
        <v>0</v>
      </c>
      <c r="H1283" s="12">
        <v>0</v>
      </c>
      <c r="I1283" s="12">
        <v>0</v>
      </c>
      <c r="J1283" s="12">
        <v>0</v>
      </c>
      <c r="K1283" s="12">
        <v>0</v>
      </c>
      <c r="L1283" s="12">
        <v>0</v>
      </c>
      <c r="M1283" s="12">
        <v>0</v>
      </c>
      <c r="N1283" s="12">
        <v>0</v>
      </c>
      <c r="O1283" s="12">
        <v>0</v>
      </c>
      <c r="P1283" s="12">
        <v>0</v>
      </c>
      <c r="Q1283" s="12">
        <v>0</v>
      </c>
      <c r="R1283" s="12">
        <v>0</v>
      </c>
      <c r="S1283" s="12">
        <v>0</v>
      </c>
      <c r="T1283" s="12">
        <v>0</v>
      </c>
      <c r="U1283" s="12">
        <v>0</v>
      </c>
      <c r="V1283" s="12">
        <v>0</v>
      </c>
      <c r="W1283" s="12">
        <v>0</v>
      </c>
      <c r="X1283" s="12">
        <v>0</v>
      </c>
      <c r="Y1283" s="12">
        <v>0</v>
      </c>
      <c r="Z1283" s="12">
        <v>0</v>
      </c>
      <c r="AA1283" s="12"/>
      <c r="AC1283" s="13">
        <f t="shared" si="213"/>
        <v>0</v>
      </c>
      <c r="AL1283" s="14">
        <f t="shared" si="214"/>
        <v>0</v>
      </c>
    </row>
    <row r="1284" spans="1:38" hidden="1" x14ac:dyDescent="0.25">
      <c r="A1284" s="12" t="s">
        <v>1313</v>
      </c>
      <c r="B1284" s="12" t="s">
        <v>1315</v>
      </c>
      <c r="C1284" s="12" t="s">
        <v>539</v>
      </c>
      <c r="D1284" s="12"/>
      <c r="E1284" s="12">
        <f t="shared" si="212"/>
        <v>0</v>
      </c>
      <c r="F1284" s="12" t="s">
        <v>70</v>
      </c>
      <c r="G1284" s="12">
        <v>0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12">
        <v>0</v>
      </c>
      <c r="U1284" s="12">
        <v>0</v>
      </c>
      <c r="V1284" s="12">
        <v>0</v>
      </c>
      <c r="W1284" s="12">
        <v>0</v>
      </c>
      <c r="X1284" s="12">
        <v>0</v>
      </c>
      <c r="Y1284" s="12">
        <v>0</v>
      </c>
      <c r="Z1284" s="12">
        <v>0</v>
      </c>
      <c r="AA1284" s="12"/>
      <c r="AC1284" s="13">
        <f t="shared" si="213"/>
        <v>0</v>
      </c>
      <c r="AL1284" s="14">
        <f t="shared" si="214"/>
        <v>0</v>
      </c>
    </row>
    <row r="1285" spans="1:38" hidden="1" x14ac:dyDescent="0.25">
      <c r="A1285" s="12" t="s">
        <v>1313</v>
      </c>
      <c r="B1285" s="12" t="s">
        <v>1290</v>
      </c>
      <c r="C1285" s="12" t="s">
        <v>539</v>
      </c>
      <c r="D1285" s="12"/>
      <c r="E1285" s="12">
        <f t="shared" ref="E1285:E1301" si="215">MAX(G1285:Z1285)</f>
        <v>0</v>
      </c>
      <c r="F1285" s="12" t="s">
        <v>70</v>
      </c>
      <c r="G1285" s="12">
        <v>0</v>
      </c>
      <c r="H1285" s="12">
        <v>0</v>
      </c>
      <c r="I1285" s="12">
        <v>0</v>
      </c>
      <c r="J1285" s="12">
        <v>0</v>
      </c>
      <c r="K1285" s="12">
        <v>0</v>
      </c>
      <c r="L1285" s="12">
        <v>0</v>
      </c>
      <c r="M1285" s="12">
        <v>0</v>
      </c>
      <c r="N1285" s="12">
        <v>0</v>
      </c>
      <c r="O1285" s="12">
        <v>0</v>
      </c>
      <c r="P1285" s="12">
        <v>0</v>
      </c>
      <c r="Q1285" s="12">
        <v>0</v>
      </c>
      <c r="R1285" s="12">
        <v>0</v>
      </c>
      <c r="S1285" s="12">
        <v>0</v>
      </c>
      <c r="T1285" s="12">
        <v>0</v>
      </c>
      <c r="U1285" s="12">
        <v>0</v>
      </c>
      <c r="V1285" s="12">
        <v>0</v>
      </c>
      <c r="W1285" s="12">
        <v>0</v>
      </c>
      <c r="X1285" s="12">
        <v>0</v>
      </c>
      <c r="Y1285" s="12">
        <v>0</v>
      </c>
      <c r="Z1285" s="12">
        <v>0</v>
      </c>
      <c r="AA1285" s="12"/>
      <c r="AC1285" s="13">
        <f t="shared" ref="AC1285:AC1301" si="216">M1285*AC$2</f>
        <v>0</v>
      </c>
      <c r="AL1285" s="14">
        <f t="shared" si="214"/>
        <v>0</v>
      </c>
    </row>
    <row r="1286" spans="1:38" hidden="1" x14ac:dyDescent="0.25">
      <c r="A1286" s="12" t="s">
        <v>1313</v>
      </c>
      <c r="B1286" s="12" t="s">
        <v>1029</v>
      </c>
      <c r="C1286" s="12" t="s">
        <v>539</v>
      </c>
      <c r="D1286" s="12"/>
      <c r="E1286" s="12">
        <f t="shared" si="215"/>
        <v>0</v>
      </c>
      <c r="F1286" s="12" t="str">
        <f>VLOOKUP(B1286,[1]lookup!A:B,2,FALSE)</f>
        <v>Perpetual</v>
      </c>
      <c r="G1286" s="12">
        <v>0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12">
        <v>0</v>
      </c>
      <c r="U1286" s="12">
        <v>0</v>
      </c>
      <c r="V1286" s="12">
        <v>0</v>
      </c>
      <c r="W1286" s="12">
        <v>0</v>
      </c>
      <c r="X1286" s="12">
        <v>0</v>
      </c>
      <c r="Y1286" s="12">
        <v>0</v>
      </c>
      <c r="Z1286" s="12">
        <v>0</v>
      </c>
      <c r="AA1286" s="12"/>
      <c r="AC1286" s="13">
        <f t="shared" si="216"/>
        <v>0</v>
      </c>
      <c r="AL1286" s="14">
        <f t="shared" ref="AL1286:AL1301" si="217">SUM(AC1286:AK1286)</f>
        <v>0</v>
      </c>
    </row>
    <row r="1287" spans="1:38" hidden="1" x14ac:dyDescent="0.25">
      <c r="A1287" s="12" t="s">
        <v>1313</v>
      </c>
      <c r="B1287" s="12" t="s">
        <v>1267</v>
      </c>
      <c r="C1287" s="12" t="s">
        <v>539</v>
      </c>
      <c r="D1287" s="12"/>
      <c r="E1287" s="12">
        <f t="shared" si="215"/>
        <v>0</v>
      </c>
      <c r="F1287" s="12" t="s">
        <v>70</v>
      </c>
      <c r="G1287" s="12">
        <v>0</v>
      </c>
      <c r="H1287" s="12">
        <v>0</v>
      </c>
      <c r="I1287" s="12">
        <v>0</v>
      </c>
      <c r="J1287" s="12">
        <v>0</v>
      </c>
      <c r="K1287" s="12">
        <v>0</v>
      </c>
      <c r="L1287" s="12">
        <v>0</v>
      </c>
      <c r="M1287" s="12">
        <v>0</v>
      </c>
      <c r="N1287" s="12">
        <v>0</v>
      </c>
      <c r="O1287" s="12">
        <v>0</v>
      </c>
      <c r="P1287" s="12">
        <v>0</v>
      </c>
      <c r="Q1287" s="12">
        <v>0</v>
      </c>
      <c r="R1287" s="12">
        <v>0</v>
      </c>
      <c r="S1287" s="12">
        <v>0</v>
      </c>
      <c r="T1287" s="12">
        <v>0</v>
      </c>
      <c r="U1287" s="12">
        <v>0</v>
      </c>
      <c r="V1287" s="12">
        <v>0</v>
      </c>
      <c r="W1287" s="12">
        <v>0</v>
      </c>
      <c r="X1287" s="12">
        <v>0</v>
      </c>
      <c r="Y1287" s="12">
        <v>0</v>
      </c>
      <c r="Z1287" s="12">
        <v>0</v>
      </c>
      <c r="AA1287" s="12"/>
      <c r="AC1287" s="13">
        <f t="shared" si="216"/>
        <v>0</v>
      </c>
      <c r="AL1287" s="14">
        <f t="shared" si="217"/>
        <v>0</v>
      </c>
    </row>
    <row r="1288" spans="1:38" hidden="1" x14ac:dyDescent="0.25">
      <c r="A1288" s="12" t="s">
        <v>1313</v>
      </c>
      <c r="B1288" s="12" t="s">
        <v>1316</v>
      </c>
      <c r="C1288" s="12" t="s">
        <v>539</v>
      </c>
      <c r="D1288" s="12"/>
      <c r="E1288" s="12">
        <f t="shared" si="215"/>
        <v>0</v>
      </c>
      <c r="F1288" s="12" t="s">
        <v>70</v>
      </c>
      <c r="G1288" s="12">
        <v>0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12">
        <v>0</v>
      </c>
      <c r="U1288" s="12">
        <v>0</v>
      </c>
      <c r="V1288" s="12">
        <v>0</v>
      </c>
      <c r="W1288" s="12">
        <v>0</v>
      </c>
      <c r="X1288" s="12">
        <v>0</v>
      </c>
      <c r="Y1288" s="12">
        <v>0</v>
      </c>
      <c r="Z1288" s="12">
        <v>0</v>
      </c>
      <c r="AA1288" s="12"/>
      <c r="AC1288" s="13">
        <f t="shared" si="216"/>
        <v>0</v>
      </c>
      <c r="AL1288" s="14">
        <f t="shared" si="217"/>
        <v>0</v>
      </c>
    </row>
    <row r="1289" spans="1:38" hidden="1" x14ac:dyDescent="0.25">
      <c r="A1289" s="12" t="s">
        <v>1313</v>
      </c>
      <c r="B1289" s="12" t="s">
        <v>1317</v>
      </c>
      <c r="C1289" s="12" t="s">
        <v>539</v>
      </c>
      <c r="D1289" s="12"/>
      <c r="E1289" s="12">
        <f t="shared" si="215"/>
        <v>0</v>
      </c>
      <c r="F1289" s="12" t="s">
        <v>70</v>
      </c>
      <c r="G1289" s="12">
        <v>0</v>
      </c>
      <c r="H1289" s="12">
        <v>0</v>
      </c>
      <c r="I1289" s="12">
        <v>0</v>
      </c>
      <c r="J1289" s="12">
        <v>0</v>
      </c>
      <c r="K1289" s="12">
        <v>0</v>
      </c>
      <c r="L1289" s="12">
        <v>0</v>
      </c>
      <c r="M1289" s="12">
        <v>0</v>
      </c>
      <c r="N1289" s="12">
        <v>0</v>
      </c>
      <c r="O1289" s="12">
        <v>0</v>
      </c>
      <c r="P1289" s="12">
        <v>0</v>
      </c>
      <c r="Q1289" s="12">
        <v>0</v>
      </c>
      <c r="R1289" s="12">
        <v>0</v>
      </c>
      <c r="S1289" s="12">
        <v>0</v>
      </c>
      <c r="T1289" s="12">
        <v>0</v>
      </c>
      <c r="U1289" s="12">
        <v>0</v>
      </c>
      <c r="V1289" s="12">
        <v>0</v>
      </c>
      <c r="W1289" s="12">
        <v>0</v>
      </c>
      <c r="X1289" s="12">
        <v>0</v>
      </c>
      <c r="Y1289" s="12">
        <v>0</v>
      </c>
      <c r="Z1289" s="12">
        <v>0</v>
      </c>
      <c r="AA1289" s="12"/>
      <c r="AC1289" s="13">
        <f t="shared" si="216"/>
        <v>0</v>
      </c>
      <c r="AL1289" s="14">
        <f t="shared" si="217"/>
        <v>0</v>
      </c>
    </row>
    <row r="1290" spans="1:38" hidden="1" x14ac:dyDescent="0.25">
      <c r="A1290" s="12" t="s">
        <v>1313</v>
      </c>
      <c r="B1290" s="12" t="s">
        <v>1318</v>
      </c>
      <c r="C1290" s="12" t="s">
        <v>539</v>
      </c>
      <c r="D1290" s="12"/>
      <c r="E1290" s="12">
        <f t="shared" si="215"/>
        <v>0</v>
      </c>
      <c r="F1290" s="12" t="s">
        <v>70</v>
      </c>
      <c r="G1290" s="12">
        <v>0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12">
        <v>0</v>
      </c>
      <c r="U1290" s="12">
        <v>0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2"/>
      <c r="AC1290" s="13">
        <f t="shared" si="216"/>
        <v>0</v>
      </c>
      <c r="AL1290" s="14">
        <f t="shared" si="217"/>
        <v>0</v>
      </c>
    </row>
    <row r="1291" spans="1:38" hidden="1" x14ac:dyDescent="0.25">
      <c r="A1291" s="12" t="s">
        <v>1313</v>
      </c>
      <c r="B1291" s="12" t="s">
        <v>1275</v>
      </c>
      <c r="C1291" s="12" t="s">
        <v>539</v>
      </c>
      <c r="D1291" s="12"/>
      <c r="E1291" s="12">
        <f t="shared" si="215"/>
        <v>0</v>
      </c>
      <c r="F1291" s="12" t="s">
        <v>70</v>
      </c>
      <c r="G1291" s="12">
        <v>0</v>
      </c>
      <c r="H1291" s="12">
        <v>0</v>
      </c>
      <c r="I1291" s="12">
        <v>0</v>
      </c>
      <c r="J1291" s="12">
        <v>0</v>
      </c>
      <c r="K1291" s="12">
        <v>0</v>
      </c>
      <c r="L1291" s="12">
        <v>0</v>
      </c>
      <c r="M1291" s="12">
        <v>0</v>
      </c>
      <c r="N1291" s="12">
        <v>0</v>
      </c>
      <c r="O1291" s="12">
        <v>0</v>
      </c>
      <c r="P1291" s="12">
        <v>0</v>
      </c>
      <c r="Q1291" s="12">
        <v>0</v>
      </c>
      <c r="R1291" s="12">
        <v>0</v>
      </c>
      <c r="S1291" s="12">
        <v>0</v>
      </c>
      <c r="T1291" s="12">
        <v>0</v>
      </c>
      <c r="U1291" s="12">
        <v>0</v>
      </c>
      <c r="V1291" s="12">
        <v>0</v>
      </c>
      <c r="W1291" s="12">
        <v>0</v>
      </c>
      <c r="X1291" s="12">
        <v>0</v>
      </c>
      <c r="Y1291" s="12">
        <v>0</v>
      </c>
      <c r="Z1291" s="12">
        <v>0</v>
      </c>
      <c r="AA1291" s="12"/>
      <c r="AC1291" s="13">
        <f t="shared" si="216"/>
        <v>0</v>
      </c>
      <c r="AL1291" s="14">
        <f t="shared" si="217"/>
        <v>0</v>
      </c>
    </row>
    <row r="1292" spans="1:38" hidden="1" x14ac:dyDescent="0.25">
      <c r="A1292" s="12" t="s">
        <v>1313</v>
      </c>
      <c r="B1292" s="12" t="s">
        <v>1270</v>
      </c>
      <c r="C1292" s="12" t="s">
        <v>539</v>
      </c>
      <c r="D1292" s="12"/>
      <c r="E1292" s="12">
        <f t="shared" si="215"/>
        <v>0</v>
      </c>
      <c r="F1292" s="12" t="s">
        <v>70</v>
      </c>
      <c r="G1292" s="12">
        <v>0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12">
        <v>0</v>
      </c>
      <c r="U1292" s="12">
        <v>0</v>
      </c>
      <c r="V1292" s="12">
        <v>0</v>
      </c>
      <c r="W1292" s="12">
        <v>0</v>
      </c>
      <c r="X1292" s="12">
        <v>0</v>
      </c>
      <c r="Y1292" s="12">
        <v>0</v>
      </c>
      <c r="Z1292" s="12">
        <v>0</v>
      </c>
      <c r="AA1292" s="12"/>
      <c r="AC1292" s="13">
        <f t="shared" si="216"/>
        <v>0</v>
      </c>
      <c r="AL1292" s="14">
        <f t="shared" si="217"/>
        <v>0</v>
      </c>
    </row>
    <row r="1293" spans="1:38" hidden="1" x14ac:dyDescent="0.25">
      <c r="A1293" s="12" t="s">
        <v>1313</v>
      </c>
      <c r="B1293" s="12" t="s">
        <v>1277</v>
      </c>
      <c r="C1293" s="12" t="s">
        <v>539</v>
      </c>
      <c r="D1293" s="12"/>
      <c r="E1293" s="12">
        <f t="shared" si="215"/>
        <v>0</v>
      </c>
      <c r="F1293" s="12" t="s">
        <v>70</v>
      </c>
      <c r="G1293" s="12">
        <v>0</v>
      </c>
      <c r="H1293" s="12">
        <v>0</v>
      </c>
      <c r="I1293" s="12">
        <v>0</v>
      </c>
      <c r="J1293" s="12">
        <v>0</v>
      </c>
      <c r="K1293" s="12">
        <v>0</v>
      </c>
      <c r="L1293" s="12">
        <v>0</v>
      </c>
      <c r="M1293" s="12">
        <v>0</v>
      </c>
      <c r="N1293" s="12">
        <v>0</v>
      </c>
      <c r="O1293" s="12">
        <v>0</v>
      </c>
      <c r="P1293" s="12">
        <v>0</v>
      </c>
      <c r="Q1293" s="12">
        <v>0</v>
      </c>
      <c r="R1293" s="12">
        <v>0</v>
      </c>
      <c r="S1293" s="12">
        <v>0</v>
      </c>
      <c r="T1293" s="12">
        <v>0</v>
      </c>
      <c r="U1293" s="12">
        <v>0</v>
      </c>
      <c r="V1293" s="12">
        <v>0</v>
      </c>
      <c r="W1293" s="12">
        <v>0</v>
      </c>
      <c r="X1293" s="12">
        <v>0</v>
      </c>
      <c r="Y1293" s="12">
        <v>0</v>
      </c>
      <c r="Z1293" s="12">
        <v>0</v>
      </c>
      <c r="AA1293" s="12"/>
      <c r="AC1293" s="13">
        <f t="shared" si="216"/>
        <v>0</v>
      </c>
      <c r="AL1293" s="14">
        <f t="shared" si="217"/>
        <v>0</v>
      </c>
    </row>
    <row r="1294" spans="1:38" hidden="1" x14ac:dyDescent="0.25">
      <c r="A1294" s="12" t="s">
        <v>1313</v>
      </c>
      <c r="B1294" s="12" t="s">
        <v>838</v>
      </c>
      <c r="C1294" s="12" t="s">
        <v>539</v>
      </c>
      <c r="D1294" s="12"/>
      <c r="E1294" s="12">
        <f t="shared" si="215"/>
        <v>0</v>
      </c>
      <c r="F1294" s="12" t="s">
        <v>70</v>
      </c>
      <c r="G1294" s="12">
        <v>0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12">
        <v>0</v>
      </c>
      <c r="U1294" s="12">
        <v>0</v>
      </c>
      <c r="V1294" s="12">
        <v>0</v>
      </c>
      <c r="W1294" s="12">
        <v>0</v>
      </c>
      <c r="X1294" s="12">
        <v>0</v>
      </c>
      <c r="Y1294" s="12">
        <v>0</v>
      </c>
      <c r="Z1294" s="12">
        <v>0</v>
      </c>
      <c r="AA1294" s="12"/>
      <c r="AC1294" s="13">
        <f t="shared" si="216"/>
        <v>0</v>
      </c>
      <c r="AL1294" s="14">
        <f t="shared" si="217"/>
        <v>0</v>
      </c>
    </row>
    <row r="1295" spans="1:38" hidden="1" x14ac:dyDescent="0.25">
      <c r="A1295" s="12" t="s">
        <v>1313</v>
      </c>
      <c r="B1295" s="12" t="s">
        <v>1279</v>
      </c>
      <c r="C1295" s="12" t="s">
        <v>539</v>
      </c>
      <c r="D1295" s="12"/>
      <c r="E1295" s="12">
        <f t="shared" si="215"/>
        <v>0</v>
      </c>
      <c r="F1295" s="12" t="s">
        <v>70</v>
      </c>
      <c r="G1295" s="12">
        <v>0</v>
      </c>
      <c r="H1295" s="12">
        <v>0</v>
      </c>
      <c r="I1295" s="12">
        <v>0</v>
      </c>
      <c r="J1295" s="12">
        <v>0</v>
      </c>
      <c r="K1295" s="12">
        <v>0</v>
      </c>
      <c r="L1295" s="12">
        <v>0</v>
      </c>
      <c r="M1295" s="12">
        <v>0</v>
      </c>
      <c r="N1295" s="12">
        <v>0</v>
      </c>
      <c r="O1295" s="12">
        <v>0</v>
      </c>
      <c r="P1295" s="12">
        <v>0</v>
      </c>
      <c r="Q1295" s="12">
        <v>0</v>
      </c>
      <c r="R1295" s="12">
        <v>0</v>
      </c>
      <c r="S1295" s="12">
        <v>0</v>
      </c>
      <c r="T1295" s="12">
        <v>0</v>
      </c>
      <c r="U1295" s="12">
        <v>0</v>
      </c>
      <c r="V1295" s="12">
        <v>0</v>
      </c>
      <c r="W1295" s="12">
        <v>0</v>
      </c>
      <c r="X1295" s="12">
        <v>0</v>
      </c>
      <c r="Y1295" s="12">
        <v>0</v>
      </c>
      <c r="Z1295" s="12">
        <v>0</v>
      </c>
      <c r="AA1295" s="12"/>
      <c r="AC1295" s="13">
        <f t="shared" si="216"/>
        <v>0</v>
      </c>
      <c r="AL1295" s="14">
        <f t="shared" si="217"/>
        <v>0</v>
      </c>
    </row>
    <row r="1296" spans="1:38" hidden="1" x14ac:dyDescent="0.25">
      <c r="A1296" s="12" t="s">
        <v>1313</v>
      </c>
      <c r="B1296" s="12" t="s">
        <v>1319</v>
      </c>
      <c r="C1296" s="12" t="s">
        <v>539</v>
      </c>
      <c r="D1296" s="12"/>
      <c r="E1296" s="12">
        <f t="shared" si="215"/>
        <v>0</v>
      </c>
      <c r="F1296" s="12" t="s">
        <v>70</v>
      </c>
      <c r="G1296" s="12">
        <v>0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12">
        <v>0</v>
      </c>
      <c r="U1296" s="12">
        <v>0</v>
      </c>
      <c r="V1296" s="12">
        <v>0</v>
      </c>
      <c r="W1296" s="12">
        <v>0</v>
      </c>
      <c r="X1296" s="12">
        <v>0</v>
      </c>
      <c r="Y1296" s="12">
        <v>0</v>
      </c>
      <c r="Z1296" s="12">
        <v>0</v>
      </c>
      <c r="AA1296" s="12"/>
      <c r="AC1296" s="13">
        <f t="shared" si="216"/>
        <v>0</v>
      </c>
      <c r="AL1296" s="14">
        <f t="shared" si="217"/>
        <v>0</v>
      </c>
    </row>
    <row r="1297" spans="1:38" hidden="1" x14ac:dyDescent="0.25">
      <c r="A1297" s="12" t="s">
        <v>1313</v>
      </c>
      <c r="B1297" s="12" t="s">
        <v>1320</v>
      </c>
      <c r="C1297" s="12" t="s">
        <v>539</v>
      </c>
      <c r="D1297" s="12"/>
      <c r="E1297" s="12">
        <f t="shared" si="215"/>
        <v>0</v>
      </c>
      <c r="F1297" s="12" t="s">
        <v>70</v>
      </c>
      <c r="G1297" s="12">
        <v>0</v>
      </c>
      <c r="H1297" s="12">
        <v>0</v>
      </c>
      <c r="I1297" s="12">
        <v>0</v>
      </c>
      <c r="J1297" s="12">
        <v>0</v>
      </c>
      <c r="K1297" s="12">
        <v>0</v>
      </c>
      <c r="L1297" s="12">
        <v>0</v>
      </c>
      <c r="M1297" s="12">
        <v>0</v>
      </c>
      <c r="N1297" s="12">
        <v>0</v>
      </c>
      <c r="O1297" s="12">
        <v>0</v>
      </c>
      <c r="P1297" s="12">
        <v>0</v>
      </c>
      <c r="Q1297" s="12">
        <v>0</v>
      </c>
      <c r="R1297" s="12">
        <v>0</v>
      </c>
      <c r="S1297" s="12">
        <v>0</v>
      </c>
      <c r="T1297" s="12">
        <v>0</v>
      </c>
      <c r="U1297" s="12">
        <v>0</v>
      </c>
      <c r="V1297" s="12">
        <v>0</v>
      </c>
      <c r="W1297" s="12">
        <v>0</v>
      </c>
      <c r="X1297" s="12">
        <v>0</v>
      </c>
      <c r="Y1297" s="12">
        <v>0</v>
      </c>
      <c r="Z1297" s="12">
        <v>0</v>
      </c>
      <c r="AA1297" s="12"/>
      <c r="AC1297" s="13">
        <f t="shared" si="216"/>
        <v>0</v>
      </c>
      <c r="AL1297" s="14">
        <f t="shared" si="217"/>
        <v>0</v>
      </c>
    </row>
    <row r="1298" spans="1:38" hidden="1" x14ac:dyDescent="0.25">
      <c r="A1298" s="12" t="s">
        <v>1321</v>
      </c>
      <c r="B1298" s="12" t="s">
        <v>1029</v>
      </c>
      <c r="C1298" s="12" t="s">
        <v>539</v>
      </c>
      <c r="D1298" s="12"/>
      <c r="E1298" s="12">
        <f t="shared" si="215"/>
        <v>0</v>
      </c>
      <c r="F1298" s="12" t="str">
        <f>VLOOKUP(B1298,[1]lookup!A:B,2,FALSE)</f>
        <v>Perpetual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12">
        <v>0</v>
      </c>
      <c r="U1298" s="12">
        <v>0</v>
      </c>
      <c r="V1298" s="12">
        <v>0</v>
      </c>
      <c r="W1298" s="12">
        <v>0</v>
      </c>
      <c r="X1298" s="12">
        <v>0</v>
      </c>
      <c r="Y1298" s="12">
        <v>0</v>
      </c>
      <c r="Z1298" s="12">
        <v>0</v>
      </c>
      <c r="AA1298" s="12"/>
      <c r="AC1298" s="13">
        <f t="shared" si="216"/>
        <v>0</v>
      </c>
      <c r="AL1298" s="14">
        <f t="shared" si="217"/>
        <v>0</v>
      </c>
    </row>
    <row r="1299" spans="1:38" hidden="1" x14ac:dyDescent="0.25">
      <c r="A1299" s="12" t="s">
        <v>1322</v>
      </c>
      <c r="B1299" s="12" t="s">
        <v>838</v>
      </c>
      <c r="C1299" s="12" t="s">
        <v>539</v>
      </c>
      <c r="D1299" s="12"/>
      <c r="E1299" s="12">
        <f t="shared" si="215"/>
        <v>0</v>
      </c>
      <c r="F1299" s="12" t="s">
        <v>70</v>
      </c>
      <c r="G1299" s="12">
        <v>0</v>
      </c>
      <c r="H1299" s="12">
        <v>0</v>
      </c>
      <c r="I1299" s="12">
        <v>0</v>
      </c>
      <c r="J1299" s="12">
        <v>0</v>
      </c>
      <c r="K1299" s="12">
        <v>0</v>
      </c>
      <c r="L1299" s="12">
        <v>0</v>
      </c>
      <c r="M1299" s="12">
        <v>0</v>
      </c>
      <c r="N1299" s="12">
        <v>0</v>
      </c>
      <c r="O1299" s="12">
        <v>0</v>
      </c>
      <c r="P1299" s="12">
        <v>0</v>
      </c>
      <c r="Q1299" s="12">
        <v>0</v>
      </c>
      <c r="R1299" s="12">
        <v>0</v>
      </c>
      <c r="S1299" s="12">
        <v>0</v>
      </c>
      <c r="T1299" s="12">
        <v>0</v>
      </c>
      <c r="U1299" s="12">
        <v>0</v>
      </c>
      <c r="V1299" s="12">
        <v>0</v>
      </c>
      <c r="W1299" s="12">
        <v>0</v>
      </c>
      <c r="X1299" s="12">
        <v>0</v>
      </c>
      <c r="Y1299" s="12">
        <v>0</v>
      </c>
      <c r="Z1299" s="12">
        <v>0</v>
      </c>
      <c r="AA1299" s="12"/>
      <c r="AC1299" s="13">
        <f t="shared" si="216"/>
        <v>0</v>
      </c>
      <c r="AL1299" s="14">
        <f t="shared" si="217"/>
        <v>0</v>
      </c>
    </row>
    <row r="1300" spans="1:38" hidden="1" x14ac:dyDescent="0.25">
      <c r="A1300" s="12" t="s">
        <v>1323</v>
      </c>
      <c r="B1300" s="12" t="s">
        <v>1324</v>
      </c>
      <c r="C1300" s="12" t="s">
        <v>539</v>
      </c>
      <c r="D1300" s="12"/>
      <c r="E1300" s="12">
        <f t="shared" si="215"/>
        <v>0</v>
      </c>
      <c r="F1300" s="12" t="s">
        <v>70</v>
      </c>
      <c r="G1300" s="12">
        <v>0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12">
        <v>0</v>
      </c>
      <c r="U1300" s="12">
        <v>0</v>
      </c>
      <c r="V1300" s="12">
        <v>0</v>
      </c>
      <c r="W1300" s="12">
        <v>0</v>
      </c>
      <c r="X1300" s="12">
        <v>0</v>
      </c>
      <c r="Y1300" s="12">
        <v>0</v>
      </c>
      <c r="Z1300" s="12">
        <v>0</v>
      </c>
      <c r="AA1300" s="12"/>
      <c r="AC1300" s="13">
        <f t="shared" si="216"/>
        <v>0</v>
      </c>
      <c r="AL1300" s="14">
        <f t="shared" si="217"/>
        <v>0</v>
      </c>
    </row>
    <row r="1301" spans="1:38" hidden="1" x14ac:dyDescent="0.25">
      <c r="A1301" s="12" t="s">
        <v>1325</v>
      </c>
      <c r="B1301" s="12" t="s">
        <v>1326</v>
      </c>
      <c r="C1301" s="12" t="s">
        <v>539</v>
      </c>
      <c r="D1301" s="12"/>
      <c r="E1301" s="12">
        <f t="shared" si="215"/>
        <v>0</v>
      </c>
      <c r="F1301" s="12" t="s">
        <v>70</v>
      </c>
      <c r="G1301" s="12">
        <v>0</v>
      </c>
      <c r="H1301" s="12">
        <v>0</v>
      </c>
      <c r="I1301" s="12">
        <v>0</v>
      </c>
      <c r="J1301" s="12">
        <v>0</v>
      </c>
      <c r="K1301" s="12">
        <v>0</v>
      </c>
      <c r="L1301" s="12">
        <v>0</v>
      </c>
      <c r="M1301" s="12">
        <v>0</v>
      </c>
      <c r="N1301" s="12">
        <v>0</v>
      </c>
      <c r="O1301" s="12">
        <v>0</v>
      </c>
      <c r="P1301" s="12">
        <v>0</v>
      </c>
      <c r="Q1301" s="12">
        <v>0</v>
      </c>
      <c r="R1301" s="12">
        <v>0</v>
      </c>
      <c r="S1301" s="12">
        <v>0</v>
      </c>
      <c r="T1301" s="12">
        <v>0</v>
      </c>
      <c r="U1301" s="12">
        <v>0</v>
      </c>
      <c r="V1301" s="12">
        <v>0</v>
      </c>
      <c r="W1301" s="12">
        <v>0</v>
      </c>
      <c r="X1301" s="12">
        <v>0</v>
      </c>
      <c r="Y1301" s="12">
        <v>0</v>
      </c>
      <c r="Z1301" s="12">
        <v>0</v>
      </c>
      <c r="AA1301" s="12"/>
      <c r="AC1301" s="13">
        <f t="shared" si="216"/>
        <v>0</v>
      </c>
      <c r="AL1301" s="14">
        <f t="shared" si="217"/>
        <v>0</v>
      </c>
    </row>
    <row r="1302" spans="1:38" x14ac:dyDescent="0.25">
      <c r="AC1302" s="13" t="s">
        <v>1327</v>
      </c>
      <c r="AD1302" s="13" t="s">
        <v>1327</v>
      </c>
      <c r="AE1302" s="13" t="s">
        <v>1327</v>
      </c>
      <c r="AF1302" s="13" t="s">
        <v>1327</v>
      </c>
      <c r="AH1302" s="13" t="s">
        <v>1327</v>
      </c>
      <c r="AI1302" s="13" t="s">
        <v>1327</v>
      </c>
      <c r="AJ1302" s="13" t="s">
        <v>1327</v>
      </c>
      <c r="AK1302" s="13" t="s">
        <v>1327</v>
      </c>
      <c r="AL1302" s="13" t="s">
        <v>1327</v>
      </c>
    </row>
  </sheetData>
  <autoFilter ref="A3:Z1301" xr:uid="{25452FA7-C164-4663-9A90-57380CB5E84D}">
    <filterColumn colId="3">
      <customFilters>
        <customFilter operator="notEqual" val=" "/>
      </customFilters>
    </filterColumn>
  </autoFilter>
  <sortState xmlns:xlrd2="http://schemas.microsoft.com/office/spreadsheetml/2017/richdata2" ref="A5:AL230">
    <sortCondition ref="A5:A230"/>
    <sortCondition descending="1" ref="E5:E230"/>
    <sortCondition descending="1" ref="L5:L230"/>
  </sortState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CF3B-0BBE-4F7A-A46F-25DDF9B1F821}">
  <dimension ref="A1:I85"/>
  <sheetViews>
    <sheetView tabSelected="1" topLeftCell="A47" workbookViewId="0">
      <selection activeCell="B83" sqref="B83"/>
    </sheetView>
  </sheetViews>
  <sheetFormatPr defaultRowHeight="15" x14ac:dyDescent="0.25"/>
  <cols>
    <col min="1" max="1" width="12.140625" customWidth="1"/>
    <col min="2" max="2" width="27.140625" customWidth="1"/>
    <col min="3" max="4" width="12.140625" customWidth="1"/>
    <col min="5" max="5" width="11.28515625" customWidth="1"/>
    <col min="6" max="6" width="25.140625" bestFit="1" customWidth="1"/>
    <col min="7" max="7" width="12.140625" customWidth="1"/>
  </cols>
  <sheetData>
    <row r="1" spans="1:9" x14ac:dyDescent="0.25">
      <c r="A1" s="19" t="s">
        <v>1330</v>
      </c>
      <c r="B1" s="19" t="s">
        <v>1331</v>
      </c>
      <c r="C1" s="19" t="s">
        <v>1332</v>
      </c>
      <c r="D1" s="19"/>
      <c r="E1" s="19" t="s">
        <v>1333</v>
      </c>
      <c r="F1" s="19" t="s">
        <v>1334</v>
      </c>
      <c r="G1" s="19" t="s">
        <v>1335</v>
      </c>
      <c r="H1" s="19" t="s">
        <v>1338</v>
      </c>
      <c r="I1" s="19" t="s">
        <v>1339</v>
      </c>
    </row>
    <row r="2" spans="1:9" x14ac:dyDescent="0.25">
      <c r="A2" t="s">
        <v>86</v>
      </c>
      <c r="B2" t="s">
        <v>271</v>
      </c>
      <c r="C2" t="s">
        <v>126</v>
      </c>
      <c r="D2" t="s">
        <v>1327</v>
      </c>
      <c r="E2">
        <v>600</v>
      </c>
      <c r="F2" t="s">
        <v>1328</v>
      </c>
      <c r="G2">
        <v>0</v>
      </c>
      <c r="H2">
        <v>1</v>
      </c>
      <c r="I2">
        <f>E2-G2</f>
        <v>600</v>
      </c>
    </row>
    <row r="3" spans="1:9" x14ac:dyDescent="0.25">
      <c r="A3" t="s">
        <v>86</v>
      </c>
      <c r="B3" t="s">
        <v>111</v>
      </c>
      <c r="C3" t="s">
        <v>82</v>
      </c>
      <c r="D3" t="s">
        <v>1327</v>
      </c>
      <c r="E3">
        <v>2259</v>
      </c>
      <c r="F3" t="s">
        <v>1328</v>
      </c>
      <c r="G3">
        <v>358</v>
      </c>
      <c r="H3">
        <v>1</v>
      </c>
      <c r="I3">
        <f>E3-G3</f>
        <v>1901</v>
      </c>
    </row>
    <row r="4" spans="1:9" x14ac:dyDescent="0.25">
      <c r="A4" t="s">
        <v>86</v>
      </c>
      <c r="B4" t="s">
        <v>224</v>
      </c>
      <c r="C4" t="s">
        <v>126</v>
      </c>
      <c r="D4" t="s">
        <v>1327</v>
      </c>
      <c r="E4">
        <v>827</v>
      </c>
      <c r="F4" t="s">
        <v>1336</v>
      </c>
      <c r="G4">
        <v>827</v>
      </c>
      <c r="H4">
        <v>1</v>
      </c>
      <c r="I4">
        <f>E4-G4</f>
        <v>0</v>
      </c>
    </row>
    <row r="5" spans="1:9" x14ac:dyDescent="0.25">
      <c r="A5" t="s">
        <v>86</v>
      </c>
      <c r="B5" t="s">
        <v>205</v>
      </c>
      <c r="C5" t="s">
        <v>126</v>
      </c>
      <c r="D5" t="s">
        <v>1327</v>
      </c>
      <c r="E5">
        <v>952</v>
      </c>
      <c r="F5" t="s">
        <v>1336</v>
      </c>
      <c r="G5">
        <v>952</v>
      </c>
      <c r="H5">
        <v>1</v>
      </c>
      <c r="I5">
        <f>E5-G5</f>
        <v>0</v>
      </c>
    </row>
    <row r="6" spans="1:9" x14ac:dyDescent="0.25">
      <c r="A6" t="s">
        <v>64</v>
      </c>
      <c r="B6" t="s">
        <v>71</v>
      </c>
      <c r="C6" t="s">
        <v>55</v>
      </c>
      <c r="D6" t="s">
        <v>1327</v>
      </c>
      <c r="E6">
        <v>6246</v>
      </c>
      <c r="F6" t="s">
        <v>1336</v>
      </c>
      <c r="G6">
        <v>3533</v>
      </c>
      <c r="H6">
        <v>1</v>
      </c>
      <c r="I6">
        <f>E6-G6</f>
        <v>2713</v>
      </c>
    </row>
    <row r="7" spans="1:9" x14ac:dyDescent="0.25">
      <c r="A7" t="s">
        <v>244</v>
      </c>
      <c r="B7" t="s">
        <v>303</v>
      </c>
      <c r="C7" t="s">
        <v>126</v>
      </c>
      <c r="D7" t="s">
        <v>1327</v>
      </c>
      <c r="E7">
        <v>501</v>
      </c>
      <c r="F7" t="s">
        <v>1336</v>
      </c>
      <c r="G7">
        <v>183</v>
      </c>
      <c r="I7">
        <f>E7-G7</f>
        <v>318</v>
      </c>
    </row>
    <row r="8" spans="1:9" x14ac:dyDescent="0.25">
      <c r="A8" t="s">
        <v>86</v>
      </c>
      <c r="B8" t="s">
        <v>295</v>
      </c>
      <c r="C8" t="s">
        <v>126</v>
      </c>
      <c r="D8" t="s">
        <v>1327</v>
      </c>
      <c r="E8">
        <v>513</v>
      </c>
      <c r="F8" t="s">
        <v>1328</v>
      </c>
      <c r="G8">
        <v>0</v>
      </c>
      <c r="H8">
        <v>1</v>
      </c>
      <c r="I8">
        <f>E8-G8</f>
        <v>513</v>
      </c>
    </row>
    <row r="9" spans="1:9" x14ac:dyDescent="0.25">
      <c r="A9" t="s">
        <v>62</v>
      </c>
      <c r="B9" t="s">
        <v>75</v>
      </c>
      <c r="C9" t="s">
        <v>55</v>
      </c>
      <c r="D9" t="s">
        <v>1327</v>
      </c>
      <c r="E9">
        <v>5394</v>
      </c>
      <c r="F9" t="s">
        <v>1336</v>
      </c>
      <c r="G9">
        <v>118</v>
      </c>
      <c r="H9">
        <v>1</v>
      </c>
      <c r="I9">
        <f>E9-G9</f>
        <v>5276</v>
      </c>
    </row>
    <row r="10" spans="1:9" x14ac:dyDescent="0.25">
      <c r="A10" t="s">
        <v>46</v>
      </c>
      <c r="B10" t="s">
        <v>286</v>
      </c>
      <c r="C10" t="s">
        <v>126</v>
      </c>
      <c r="D10" t="s">
        <v>1327</v>
      </c>
      <c r="E10">
        <v>558</v>
      </c>
      <c r="F10" t="s">
        <v>1328</v>
      </c>
      <c r="G10">
        <v>0</v>
      </c>
      <c r="H10">
        <v>3</v>
      </c>
      <c r="I10">
        <f>E10-G10</f>
        <v>558</v>
      </c>
    </row>
    <row r="11" spans="1:9" x14ac:dyDescent="0.25">
      <c r="A11" t="s">
        <v>86</v>
      </c>
      <c r="B11" t="s">
        <v>259</v>
      </c>
      <c r="C11" t="s">
        <v>126</v>
      </c>
      <c r="D11" t="s">
        <v>1327</v>
      </c>
      <c r="E11">
        <v>661</v>
      </c>
      <c r="F11" t="s">
        <v>1336</v>
      </c>
      <c r="G11">
        <v>0</v>
      </c>
      <c r="H11">
        <v>2</v>
      </c>
      <c r="I11">
        <f>E11-G11</f>
        <v>661</v>
      </c>
    </row>
    <row r="12" spans="1:9" x14ac:dyDescent="0.25">
      <c r="A12" t="s">
        <v>244</v>
      </c>
      <c r="B12" t="s">
        <v>245</v>
      </c>
      <c r="C12" t="s">
        <v>126</v>
      </c>
      <c r="D12" t="s">
        <v>1327</v>
      </c>
      <c r="E12">
        <v>745</v>
      </c>
      <c r="F12" t="s">
        <v>1329</v>
      </c>
      <c r="G12">
        <v>0</v>
      </c>
      <c r="H12">
        <v>1</v>
      </c>
      <c r="I12">
        <f>E12-G12</f>
        <v>745</v>
      </c>
    </row>
    <row r="13" spans="1:9" x14ac:dyDescent="0.25">
      <c r="A13" t="s">
        <v>46</v>
      </c>
      <c r="B13" t="s">
        <v>236</v>
      </c>
      <c r="C13" t="s">
        <v>126</v>
      </c>
      <c r="D13" t="s">
        <v>1327</v>
      </c>
      <c r="E13">
        <v>780</v>
      </c>
      <c r="F13" t="s">
        <v>1328</v>
      </c>
      <c r="G13">
        <v>0</v>
      </c>
      <c r="H13">
        <v>3</v>
      </c>
      <c r="I13">
        <f>E13-G13</f>
        <v>780</v>
      </c>
    </row>
    <row r="14" spans="1:9" x14ac:dyDescent="0.25">
      <c r="A14" t="s">
        <v>74</v>
      </c>
      <c r="B14" t="s">
        <v>241</v>
      </c>
      <c r="C14" t="s">
        <v>126</v>
      </c>
      <c r="D14" t="s">
        <v>1327</v>
      </c>
      <c r="E14">
        <v>750</v>
      </c>
      <c r="F14" t="s">
        <v>1328</v>
      </c>
      <c r="G14">
        <v>379</v>
      </c>
      <c r="H14">
        <v>3</v>
      </c>
      <c r="I14">
        <f>E14-G14</f>
        <v>371</v>
      </c>
    </row>
    <row r="15" spans="1:9" x14ac:dyDescent="0.25">
      <c r="A15" t="s">
        <v>86</v>
      </c>
      <c r="B15" t="s">
        <v>272</v>
      </c>
      <c r="C15" t="s">
        <v>126</v>
      </c>
      <c r="D15" t="s">
        <v>1327</v>
      </c>
      <c r="E15">
        <v>600</v>
      </c>
      <c r="F15" t="s">
        <v>1336</v>
      </c>
      <c r="G15">
        <v>300</v>
      </c>
      <c r="H15">
        <v>3</v>
      </c>
      <c r="I15">
        <f>E15-G15</f>
        <v>300</v>
      </c>
    </row>
    <row r="16" spans="1:9" x14ac:dyDescent="0.25">
      <c r="A16" t="s">
        <v>86</v>
      </c>
      <c r="B16" t="s">
        <v>101</v>
      </c>
      <c r="C16" t="s">
        <v>82</v>
      </c>
      <c r="D16" t="s">
        <v>1327</v>
      </c>
      <c r="E16">
        <v>2732</v>
      </c>
      <c r="F16" t="s">
        <v>1328</v>
      </c>
      <c r="G16">
        <v>149</v>
      </c>
      <c r="H16">
        <v>1</v>
      </c>
      <c r="I16">
        <f>E16-G16</f>
        <v>2583</v>
      </c>
    </row>
    <row r="17" spans="1:9" x14ac:dyDescent="0.25">
      <c r="A17" t="s">
        <v>86</v>
      </c>
      <c r="B17" t="s">
        <v>129</v>
      </c>
      <c r="C17" t="s">
        <v>126</v>
      </c>
      <c r="D17" t="s">
        <v>1327</v>
      </c>
      <c r="E17">
        <v>1920</v>
      </c>
      <c r="F17" t="s">
        <v>1336</v>
      </c>
      <c r="G17">
        <v>1920</v>
      </c>
      <c r="H17">
        <v>1</v>
      </c>
      <c r="I17">
        <f>E17-G17</f>
        <v>0</v>
      </c>
    </row>
    <row r="18" spans="1:9" x14ac:dyDescent="0.25">
      <c r="A18" t="s">
        <v>76</v>
      </c>
      <c r="B18" t="s">
        <v>77</v>
      </c>
      <c r="C18" t="s">
        <v>55</v>
      </c>
      <c r="D18" t="s">
        <v>1327</v>
      </c>
      <c r="E18">
        <v>5175</v>
      </c>
      <c r="F18" t="s">
        <v>1328</v>
      </c>
      <c r="G18">
        <v>0</v>
      </c>
      <c r="H18">
        <v>2</v>
      </c>
      <c r="I18">
        <f>E18-G18</f>
        <v>5175</v>
      </c>
    </row>
    <row r="19" spans="1:9" x14ac:dyDescent="0.25">
      <c r="A19" t="s">
        <v>97</v>
      </c>
      <c r="B19" t="s">
        <v>98</v>
      </c>
      <c r="C19" t="s">
        <v>82</v>
      </c>
      <c r="D19" t="s">
        <v>1327</v>
      </c>
      <c r="E19">
        <v>2960</v>
      </c>
      <c r="F19" t="s">
        <v>1329</v>
      </c>
      <c r="G19">
        <v>0</v>
      </c>
      <c r="H19">
        <v>1</v>
      </c>
      <c r="I19">
        <f>E19-G19</f>
        <v>2960</v>
      </c>
    </row>
    <row r="20" spans="1:9" x14ac:dyDescent="0.25">
      <c r="A20" t="s">
        <v>86</v>
      </c>
      <c r="B20" t="s">
        <v>137</v>
      </c>
      <c r="C20" t="s">
        <v>126</v>
      </c>
      <c r="D20" t="s">
        <v>1327</v>
      </c>
      <c r="E20">
        <v>1668</v>
      </c>
      <c r="F20" t="s">
        <v>1336</v>
      </c>
      <c r="G20">
        <v>1020</v>
      </c>
      <c r="H20">
        <v>1</v>
      </c>
      <c r="I20">
        <f>E20-G20</f>
        <v>648</v>
      </c>
    </row>
    <row r="21" spans="1:9" x14ac:dyDescent="0.25">
      <c r="A21" t="s">
        <v>114</v>
      </c>
      <c r="B21" t="s">
        <v>115</v>
      </c>
      <c r="C21" t="s">
        <v>82</v>
      </c>
      <c r="D21" t="s">
        <v>1327</v>
      </c>
      <c r="E21">
        <v>2200</v>
      </c>
      <c r="F21" t="s">
        <v>1336</v>
      </c>
      <c r="G21">
        <v>1100</v>
      </c>
      <c r="H21">
        <v>2</v>
      </c>
      <c r="I21">
        <f>E21-G21</f>
        <v>1100</v>
      </c>
    </row>
    <row r="22" spans="1:9" x14ac:dyDescent="0.25">
      <c r="A22" t="s">
        <v>56</v>
      </c>
      <c r="B22" t="s">
        <v>57</v>
      </c>
      <c r="C22" t="s">
        <v>55</v>
      </c>
      <c r="D22" t="s">
        <v>1327</v>
      </c>
      <c r="E22">
        <v>9554</v>
      </c>
      <c r="F22" t="s">
        <v>1329</v>
      </c>
      <c r="G22">
        <v>1</v>
      </c>
      <c r="H22">
        <v>1</v>
      </c>
      <c r="I22">
        <f>E22-G22</f>
        <v>9553</v>
      </c>
    </row>
    <row r="23" spans="1:9" x14ac:dyDescent="0.25">
      <c r="A23" t="s">
        <v>67</v>
      </c>
      <c r="B23" t="s">
        <v>151</v>
      </c>
      <c r="C23" t="s">
        <v>126</v>
      </c>
      <c r="D23" t="s">
        <v>1327</v>
      </c>
      <c r="E23">
        <v>1400</v>
      </c>
      <c r="F23" t="s">
        <v>1329</v>
      </c>
      <c r="G23">
        <v>301</v>
      </c>
      <c r="H23">
        <v>1</v>
      </c>
      <c r="I23">
        <f>E23-G23</f>
        <v>1099</v>
      </c>
    </row>
    <row r="24" spans="1:9" x14ac:dyDescent="0.25">
      <c r="A24" t="s">
        <v>46</v>
      </c>
      <c r="B24" t="s">
        <v>66</v>
      </c>
      <c r="C24" t="s">
        <v>82</v>
      </c>
      <c r="D24" t="s">
        <v>1327</v>
      </c>
      <c r="E24">
        <v>3850</v>
      </c>
      <c r="F24" t="s">
        <v>1336</v>
      </c>
      <c r="G24">
        <v>3850</v>
      </c>
      <c r="H24">
        <v>1</v>
      </c>
      <c r="I24">
        <f>E24-G24</f>
        <v>0</v>
      </c>
    </row>
    <row r="25" spans="1:9" x14ac:dyDescent="0.25">
      <c r="A25" t="s">
        <v>86</v>
      </c>
      <c r="B25" t="s">
        <v>117</v>
      </c>
      <c r="C25" t="s">
        <v>82</v>
      </c>
      <c r="D25" t="s">
        <v>1327</v>
      </c>
      <c r="E25">
        <v>2179</v>
      </c>
      <c r="F25" t="s">
        <v>1328</v>
      </c>
      <c r="G25">
        <v>0</v>
      </c>
      <c r="H25">
        <v>1</v>
      </c>
      <c r="I25">
        <f>E25-G25</f>
        <v>2179</v>
      </c>
    </row>
    <row r="26" spans="1:9" x14ac:dyDescent="0.25">
      <c r="A26" t="s">
        <v>162</v>
      </c>
      <c r="B26" t="s">
        <v>163</v>
      </c>
      <c r="C26" t="s">
        <v>126</v>
      </c>
      <c r="D26" t="s">
        <v>1327</v>
      </c>
      <c r="E26">
        <v>1201</v>
      </c>
      <c r="F26" t="s">
        <v>1328</v>
      </c>
      <c r="G26">
        <v>500</v>
      </c>
      <c r="H26">
        <v>1</v>
      </c>
      <c r="I26">
        <f>E26-G26</f>
        <v>701</v>
      </c>
    </row>
    <row r="27" spans="1:9" x14ac:dyDescent="0.25">
      <c r="A27" t="s">
        <v>86</v>
      </c>
      <c r="B27" t="s">
        <v>95</v>
      </c>
      <c r="C27" t="s">
        <v>82</v>
      </c>
      <c r="D27" t="s">
        <v>1327</v>
      </c>
      <c r="E27">
        <v>3228</v>
      </c>
      <c r="F27" t="s">
        <v>1336</v>
      </c>
      <c r="G27">
        <v>3180</v>
      </c>
      <c r="H27">
        <v>1</v>
      </c>
      <c r="I27">
        <f>E27-G27</f>
        <v>48</v>
      </c>
    </row>
    <row r="28" spans="1:9" x14ac:dyDescent="0.25">
      <c r="A28" t="s">
        <v>86</v>
      </c>
      <c r="B28" t="s">
        <v>133</v>
      </c>
      <c r="C28" t="s">
        <v>126</v>
      </c>
      <c r="D28" t="s">
        <v>1327</v>
      </c>
      <c r="E28">
        <v>1722</v>
      </c>
      <c r="F28" t="s">
        <v>1336</v>
      </c>
      <c r="G28">
        <v>0</v>
      </c>
      <c r="H28">
        <v>2</v>
      </c>
      <c r="I28">
        <f>E28-G28</f>
        <v>1722</v>
      </c>
    </row>
    <row r="29" spans="1:9" x14ac:dyDescent="0.25">
      <c r="A29" t="s">
        <v>53</v>
      </c>
      <c r="B29" t="s">
        <v>266</v>
      </c>
      <c r="C29" t="s">
        <v>126</v>
      </c>
      <c r="D29" t="s">
        <v>1327</v>
      </c>
      <c r="E29">
        <v>610</v>
      </c>
      <c r="F29" t="s">
        <v>1329</v>
      </c>
      <c r="G29">
        <v>0</v>
      </c>
      <c r="H29">
        <v>1</v>
      </c>
      <c r="I29">
        <f>E29-G29</f>
        <v>610</v>
      </c>
    </row>
    <row r="30" spans="1:9" x14ac:dyDescent="0.25">
      <c r="A30" t="s">
        <v>86</v>
      </c>
      <c r="B30" t="s">
        <v>94</v>
      </c>
      <c r="C30" t="s">
        <v>82</v>
      </c>
      <c r="D30" t="s">
        <v>1327</v>
      </c>
      <c r="E30">
        <v>3240</v>
      </c>
      <c r="F30" t="s">
        <v>1336</v>
      </c>
      <c r="G30">
        <v>1230</v>
      </c>
      <c r="H30">
        <v>1</v>
      </c>
      <c r="I30">
        <f>E30-G30</f>
        <v>2010</v>
      </c>
    </row>
    <row r="31" spans="1:9" x14ac:dyDescent="0.25">
      <c r="A31" t="s">
        <v>285</v>
      </c>
      <c r="B31" t="s">
        <v>284</v>
      </c>
      <c r="C31" t="s">
        <v>126</v>
      </c>
      <c r="D31" t="s">
        <v>1327</v>
      </c>
      <c r="E31">
        <v>564</v>
      </c>
      <c r="F31" t="s">
        <v>1337</v>
      </c>
      <c r="G31">
        <v>0</v>
      </c>
      <c r="H31">
        <v>1</v>
      </c>
      <c r="I31">
        <f>E31-G31</f>
        <v>564</v>
      </c>
    </row>
    <row r="32" spans="1:9" x14ac:dyDescent="0.25">
      <c r="A32" t="s">
        <v>86</v>
      </c>
      <c r="B32" t="s">
        <v>161</v>
      </c>
      <c r="C32" t="s">
        <v>126</v>
      </c>
      <c r="D32" t="s">
        <v>1327</v>
      </c>
      <c r="E32">
        <v>1201</v>
      </c>
      <c r="F32" t="s">
        <v>1329</v>
      </c>
      <c r="G32">
        <v>1</v>
      </c>
      <c r="H32">
        <v>1</v>
      </c>
      <c r="I32">
        <f>E32-G32</f>
        <v>1200</v>
      </c>
    </row>
    <row r="33" spans="1:9" x14ac:dyDescent="0.25">
      <c r="A33" t="s">
        <v>74</v>
      </c>
      <c r="B33" t="s">
        <v>201</v>
      </c>
      <c r="C33" t="s">
        <v>126</v>
      </c>
      <c r="D33" t="s">
        <v>1327</v>
      </c>
      <c r="E33">
        <v>965</v>
      </c>
      <c r="F33" t="s">
        <v>1328</v>
      </c>
      <c r="G33">
        <v>0</v>
      </c>
      <c r="H33">
        <v>1</v>
      </c>
      <c r="I33">
        <f>E33-G33</f>
        <v>965</v>
      </c>
    </row>
    <row r="34" spans="1:9" x14ac:dyDescent="0.25">
      <c r="A34" t="s">
        <v>62</v>
      </c>
      <c r="B34" t="s">
        <v>102</v>
      </c>
      <c r="C34" t="s">
        <v>82</v>
      </c>
      <c r="D34" t="s">
        <v>1327</v>
      </c>
      <c r="E34">
        <v>2542</v>
      </c>
      <c r="F34" t="s">
        <v>1336</v>
      </c>
      <c r="G34">
        <v>10</v>
      </c>
      <c r="H34">
        <v>1</v>
      </c>
      <c r="I34">
        <f>E34-G34</f>
        <v>2532</v>
      </c>
    </row>
    <row r="35" spans="1:9" x14ac:dyDescent="0.25">
      <c r="A35" t="s">
        <v>86</v>
      </c>
      <c r="B35" t="s">
        <v>177</v>
      </c>
      <c r="C35" t="s">
        <v>126</v>
      </c>
      <c r="D35" t="s">
        <v>1327</v>
      </c>
      <c r="E35">
        <v>1080</v>
      </c>
      <c r="F35" t="s">
        <v>1336</v>
      </c>
      <c r="G35">
        <v>0</v>
      </c>
      <c r="H35">
        <v>1</v>
      </c>
      <c r="I35">
        <f>E35-G35</f>
        <v>1080</v>
      </c>
    </row>
    <row r="36" spans="1:9" x14ac:dyDescent="0.25">
      <c r="A36" t="s">
        <v>74</v>
      </c>
      <c r="B36" t="s">
        <v>218</v>
      </c>
      <c r="C36" t="s">
        <v>126</v>
      </c>
      <c r="D36" t="s">
        <v>1327</v>
      </c>
      <c r="E36">
        <v>851</v>
      </c>
      <c r="F36" t="s">
        <v>1328</v>
      </c>
      <c r="G36">
        <v>600</v>
      </c>
      <c r="H36">
        <v>1</v>
      </c>
      <c r="I36">
        <f>E36-G36</f>
        <v>251</v>
      </c>
    </row>
    <row r="37" spans="1:9" x14ac:dyDescent="0.25">
      <c r="A37" t="s">
        <v>86</v>
      </c>
      <c r="B37" t="s">
        <v>249</v>
      </c>
      <c r="C37" t="s">
        <v>126</v>
      </c>
      <c r="D37" t="s">
        <v>1327</v>
      </c>
      <c r="E37">
        <v>720</v>
      </c>
      <c r="F37" t="s">
        <v>1336</v>
      </c>
      <c r="G37">
        <v>0</v>
      </c>
      <c r="H37">
        <v>2</v>
      </c>
      <c r="I37">
        <f>E37-G37</f>
        <v>720</v>
      </c>
    </row>
    <row r="38" spans="1:9" x14ac:dyDescent="0.25">
      <c r="A38" t="s">
        <v>64</v>
      </c>
      <c r="B38" t="s">
        <v>72</v>
      </c>
      <c r="C38" t="s">
        <v>55</v>
      </c>
      <c r="D38" t="s">
        <v>1327</v>
      </c>
      <c r="E38">
        <v>5863</v>
      </c>
      <c r="F38" t="s">
        <v>1328</v>
      </c>
      <c r="G38">
        <v>2742</v>
      </c>
      <c r="H38">
        <v>1</v>
      </c>
      <c r="I38">
        <f>E38-G38</f>
        <v>3121</v>
      </c>
    </row>
    <row r="39" spans="1:9" x14ac:dyDescent="0.25">
      <c r="A39" t="s">
        <v>53</v>
      </c>
      <c r="B39" t="s">
        <v>247</v>
      </c>
      <c r="C39" t="s">
        <v>126</v>
      </c>
      <c r="D39" t="s">
        <v>1327</v>
      </c>
      <c r="E39">
        <v>730</v>
      </c>
      <c r="F39" t="s">
        <v>1336</v>
      </c>
      <c r="G39">
        <v>0</v>
      </c>
      <c r="H39">
        <v>1</v>
      </c>
      <c r="I39">
        <f>E39-G39</f>
        <v>730</v>
      </c>
    </row>
    <row r="40" spans="1:9" x14ac:dyDescent="0.25">
      <c r="A40" t="s">
        <v>86</v>
      </c>
      <c r="B40" t="s">
        <v>228</v>
      </c>
      <c r="C40" t="s">
        <v>126</v>
      </c>
      <c r="D40" t="s">
        <v>1327</v>
      </c>
      <c r="E40">
        <v>801</v>
      </c>
      <c r="F40" t="s">
        <v>1329</v>
      </c>
      <c r="G40">
        <v>0</v>
      </c>
      <c r="H40">
        <v>2</v>
      </c>
      <c r="I40">
        <f>E40-G40</f>
        <v>801</v>
      </c>
    </row>
    <row r="41" spans="1:9" x14ac:dyDescent="0.25">
      <c r="A41" t="s">
        <v>67</v>
      </c>
      <c r="B41" t="s">
        <v>68</v>
      </c>
      <c r="C41" t="s">
        <v>55</v>
      </c>
      <c r="D41" t="s">
        <v>1327</v>
      </c>
      <c r="E41">
        <v>6400</v>
      </c>
      <c r="F41" t="s">
        <v>1329</v>
      </c>
      <c r="G41">
        <v>6400</v>
      </c>
      <c r="H41">
        <v>1</v>
      </c>
      <c r="I41">
        <f>E41-G41</f>
        <v>0</v>
      </c>
    </row>
    <row r="42" spans="1:9" x14ac:dyDescent="0.25">
      <c r="A42" t="s">
        <v>86</v>
      </c>
      <c r="B42" t="s">
        <v>260</v>
      </c>
      <c r="C42" t="s">
        <v>126</v>
      </c>
      <c r="D42" t="s">
        <v>1327</v>
      </c>
      <c r="E42">
        <v>651</v>
      </c>
      <c r="F42" t="s">
        <v>1329</v>
      </c>
      <c r="G42">
        <v>495</v>
      </c>
      <c r="H42">
        <v>1</v>
      </c>
      <c r="I42">
        <f>E42-G42</f>
        <v>156</v>
      </c>
    </row>
    <row r="43" spans="1:9" x14ac:dyDescent="0.25">
      <c r="A43" t="s">
        <v>49</v>
      </c>
      <c r="B43" t="s">
        <v>273</v>
      </c>
      <c r="C43" t="s">
        <v>126</v>
      </c>
      <c r="D43" t="s">
        <v>1327</v>
      </c>
      <c r="E43">
        <v>600</v>
      </c>
      <c r="F43" t="s">
        <v>1337</v>
      </c>
      <c r="G43">
        <v>0</v>
      </c>
      <c r="H43">
        <v>1</v>
      </c>
      <c r="I43">
        <f>E43-G43</f>
        <v>600</v>
      </c>
    </row>
    <row r="44" spans="1:9" x14ac:dyDescent="0.25">
      <c r="A44" t="s">
        <v>86</v>
      </c>
      <c r="B44" t="s">
        <v>230</v>
      </c>
      <c r="C44" t="s">
        <v>126</v>
      </c>
      <c r="D44" t="s">
        <v>1327</v>
      </c>
      <c r="E44">
        <v>800</v>
      </c>
      <c r="F44" t="s">
        <v>1336</v>
      </c>
      <c r="G44">
        <v>800</v>
      </c>
      <c r="H44">
        <v>1</v>
      </c>
      <c r="I44">
        <f>E44-G44</f>
        <v>0</v>
      </c>
    </row>
    <row r="45" spans="1:9" x14ac:dyDescent="0.25">
      <c r="A45" t="s">
        <v>86</v>
      </c>
      <c r="B45" t="s">
        <v>185</v>
      </c>
      <c r="C45" t="s">
        <v>126</v>
      </c>
      <c r="D45" t="s">
        <v>1327</v>
      </c>
      <c r="E45">
        <v>1020</v>
      </c>
      <c r="F45" t="s">
        <v>1336</v>
      </c>
      <c r="G45">
        <v>0</v>
      </c>
      <c r="H45">
        <v>3</v>
      </c>
      <c r="I45">
        <f>E45-G45</f>
        <v>1020</v>
      </c>
    </row>
    <row r="46" spans="1:9" x14ac:dyDescent="0.25">
      <c r="A46" t="s">
        <v>86</v>
      </c>
      <c r="B46" t="s">
        <v>261</v>
      </c>
      <c r="C46" t="s">
        <v>126</v>
      </c>
      <c r="D46" t="s">
        <v>1327</v>
      </c>
      <c r="E46">
        <v>650</v>
      </c>
      <c r="F46" t="s">
        <v>1336</v>
      </c>
      <c r="G46">
        <v>0</v>
      </c>
      <c r="H46">
        <v>2</v>
      </c>
      <c r="I46">
        <f>E46-G46</f>
        <v>650</v>
      </c>
    </row>
    <row r="47" spans="1:9" x14ac:dyDescent="0.25">
      <c r="A47" t="s">
        <v>86</v>
      </c>
      <c r="B47" t="s">
        <v>155</v>
      </c>
      <c r="C47" t="s">
        <v>126</v>
      </c>
      <c r="D47" t="s">
        <v>1327</v>
      </c>
      <c r="E47">
        <v>1320</v>
      </c>
      <c r="F47" t="s">
        <v>1336</v>
      </c>
      <c r="G47">
        <v>60</v>
      </c>
      <c r="H47">
        <v>1</v>
      </c>
      <c r="I47">
        <f>E47-G47</f>
        <v>1260</v>
      </c>
    </row>
    <row r="48" spans="1:9" x14ac:dyDescent="0.25">
      <c r="A48" t="s">
        <v>46</v>
      </c>
      <c r="B48" t="s">
        <v>47</v>
      </c>
      <c r="C48" t="s">
        <v>48</v>
      </c>
      <c r="D48" t="s">
        <v>1327</v>
      </c>
      <c r="E48">
        <v>20700</v>
      </c>
      <c r="F48" t="s">
        <v>1329</v>
      </c>
      <c r="G48">
        <v>0</v>
      </c>
      <c r="H48">
        <v>1</v>
      </c>
      <c r="I48">
        <f>E48-G48</f>
        <v>20700</v>
      </c>
    </row>
    <row r="49" spans="1:9" x14ac:dyDescent="0.25">
      <c r="A49" t="s">
        <v>53</v>
      </c>
      <c r="B49" t="s">
        <v>206</v>
      </c>
      <c r="C49" t="s">
        <v>126</v>
      </c>
      <c r="D49" t="s">
        <v>1327</v>
      </c>
      <c r="E49">
        <v>950</v>
      </c>
      <c r="F49" t="s">
        <v>1329</v>
      </c>
      <c r="G49">
        <v>0</v>
      </c>
      <c r="H49">
        <v>1</v>
      </c>
      <c r="I49">
        <f>E49-G49</f>
        <v>950</v>
      </c>
    </row>
    <row r="50" spans="1:9" x14ac:dyDescent="0.25">
      <c r="A50" t="s">
        <v>67</v>
      </c>
      <c r="B50" t="s">
        <v>120</v>
      </c>
      <c r="C50" t="s">
        <v>82</v>
      </c>
      <c r="D50" t="s">
        <v>1327</v>
      </c>
      <c r="E50">
        <v>2143</v>
      </c>
      <c r="F50" t="s">
        <v>1329</v>
      </c>
      <c r="G50">
        <v>0</v>
      </c>
      <c r="H50">
        <v>1</v>
      </c>
      <c r="I50">
        <f>E50-G50</f>
        <v>2143</v>
      </c>
    </row>
    <row r="51" spans="1:9" x14ac:dyDescent="0.25">
      <c r="A51" t="s">
        <v>86</v>
      </c>
      <c r="B51" t="s">
        <v>187</v>
      </c>
      <c r="C51" t="s">
        <v>126</v>
      </c>
      <c r="D51" t="s">
        <v>1327</v>
      </c>
      <c r="E51">
        <v>1008</v>
      </c>
      <c r="F51" t="s">
        <v>1336</v>
      </c>
      <c r="G51">
        <v>0</v>
      </c>
      <c r="H51">
        <v>1</v>
      </c>
      <c r="I51">
        <f>E51-G51</f>
        <v>1008</v>
      </c>
    </row>
    <row r="52" spans="1:9" x14ac:dyDescent="0.25">
      <c r="A52" t="s">
        <v>86</v>
      </c>
      <c r="B52" t="s">
        <v>300</v>
      </c>
      <c r="C52" t="s">
        <v>126</v>
      </c>
      <c r="D52" t="s">
        <v>1327</v>
      </c>
      <c r="E52">
        <v>506</v>
      </c>
      <c r="F52" t="s">
        <v>1337</v>
      </c>
      <c r="G52">
        <v>0</v>
      </c>
      <c r="H52">
        <v>1</v>
      </c>
      <c r="I52">
        <f>E52-G52</f>
        <v>506</v>
      </c>
    </row>
    <row r="53" spans="1:9" x14ac:dyDescent="0.25">
      <c r="A53" t="s">
        <v>86</v>
      </c>
      <c r="B53" t="s">
        <v>131</v>
      </c>
      <c r="C53" t="s">
        <v>126</v>
      </c>
      <c r="D53" t="s">
        <v>1327</v>
      </c>
      <c r="E53">
        <v>1863</v>
      </c>
      <c r="F53" t="s">
        <v>1336</v>
      </c>
      <c r="G53">
        <v>690</v>
      </c>
      <c r="H53">
        <v>2</v>
      </c>
      <c r="I53">
        <f>E53-G53</f>
        <v>1173</v>
      </c>
    </row>
    <row r="54" spans="1:9" x14ac:dyDescent="0.25">
      <c r="A54" t="s">
        <v>86</v>
      </c>
      <c r="B54" t="s">
        <v>124</v>
      </c>
      <c r="C54" t="s">
        <v>82</v>
      </c>
      <c r="D54" t="s">
        <v>1327</v>
      </c>
      <c r="E54">
        <v>2100</v>
      </c>
      <c r="F54" t="s">
        <v>1336</v>
      </c>
      <c r="G54">
        <v>2100</v>
      </c>
      <c r="H54">
        <v>3</v>
      </c>
      <c r="I54">
        <f>E54-G54</f>
        <v>0</v>
      </c>
    </row>
    <row r="55" spans="1:9" x14ac:dyDescent="0.25">
      <c r="A55" t="s">
        <v>62</v>
      </c>
      <c r="B55" t="s">
        <v>85</v>
      </c>
      <c r="C55" t="s">
        <v>82</v>
      </c>
      <c r="D55" t="s">
        <v>1327</v>
      </c>
      <c r="E55">
        <v>3761</v>
      </c>
      <c r="F55" t="s">
        <v>1336</v>
      </c>
      <c r="G55">
        <v>85</v>
      </c>
      <c r="H55">
        <v>1</v>
      </c>
      <c r="I55">
        <f>E55-G55</f>
        <v>3676</v>
      </c>
    </row>
    <row r="56" spans="1:9" x14ac:dyDescent="0.25">
      <c r="A56" t="s">
        <v>86</v>
      </c>
      <c r="B56" t="s">
        <v>89</v>
      </c>
      <c r="C56" t="s">
        <v>126</v>
      </c>
      <c r="D56" t="s">
        <v>1327</v>
      </c>
      <c r="E56">
        <v>670</v>
      </c>
      <c r="F56" t="s">
        <v>1336</v>
      </c>
      <c r="G56">
        <v>0</v>
      </c>
      <c r="H56">
        <v>3</v>
      </c>
      <c r="I56">
        <f>E56-G56</f>
        <v>670</v>
      </c>
    </row>
    <row r="57" spans="1:9" x14ac:dyDescent="0.25">
      <c r="A57" t="s">
        <v>145</v>
      </c>
      <c r="B57" t="s">
        <v>146</v>
      </c>
      <c r="C57" t="s">
        <v>126</v>
      </c>
      <c r="D57" t="s">
        <v>1327</v>
      </c>
      <c r="E57">
        <v>1500</v>
      </c>
      <c r="F57" t="s">
        <v>1329</v>
      </c>
      <c r="G57">
        <v>0</v>
      </c>
      <c r="H57">
        <v>2</v>
      </c>
      <c r="I57">
        <f>E57-G57</f>
        <v>1500</v>
      </c>
    </row>
    <row r="58" spans="1:9" x14ac:dyDescent="0.25">
      <c r="A58" t="s">
        <v>64</v>
      </c>
      <c r="B58" t="s">
        <v>65</v>
      </c>
      <c r="C58" t="s">
        <v>55</v>
      </c>
      <c r="D58" t="s">
        <v>1327</v>
      </c>
      <c r="E58">
        <v>6604</v>
      </c>
      <c r="F58" t="s">
        <v>1336</v>
      </c>
      <c r="G58">
        <v>72</v>
      </c>
      <c r="H58">
        <v>2</v>
      </c>
      <c r="I58">
        <f>E58-G58</f>
        <v>6532</v>
      </c>
    </row>
    <row r="59" spans="1:9" x14ac:dyDescent="0.25">
      <c r="A59" t="s">
        <v>46</v>
      </c>
      <c r="B59" t="s">
        <v>88</v>
      </c>
      <c r="C59" t="s">
        <v>82</v>
      </c>
      <c r="D59" t="s">
        <v>1327</v>
      </c>
      <c r="E59">
        <v>3577</v>
      </c>
      <c r="F59" t="s">
        <v>1336</v>
      </c>
      <c r="G59">
        <v>0</v>
      </c>
      <c r="H59">
        <v>1</v>
      </c>
      <c r="I59">
        <f>E59-G59</f>
        <v>3577</v>
      </c>
    </row>
    <row r="60" spans="1:9" x14ac:dyDescent="0.25">
      <c r="A60" t="s">
        <v>60</v>
      </c>
      <c r="B60" t="s">
        <v>61</v>
      </c>
      <c r="C60" t="s">
        <v>55</v>
      </c>
      <c r="D60" t="s">
        <v>1327</v>
      </c>
      <c r="E60">
        <v>7620</v>
      </c>
      <c r="F60" t="s">
        <v>1336</v>
      </c>
      <c r="G60">
        <v>0</v>
      </c>
      <c r="H60">
        <v>1</v>
      </c>
      <c r="I60">
        <f>E60-G60</f>
        <v>7620</v>
      </c>
    </row>
    <row r="61" spans="1:9" x14ac:dyDescent="0.25">
      <c r="A61" t="s">
        <v>86</v>
      </c>
      <c r="B61" t="s">
        <v>128</v>
      </c>
      <c r="C61" t="s">
        <v>126</v>
      </c>
      <c r="D61" t="s">
        <v>1327</v>
      </c>
      <c r="E61">
        <v>2000</v>
      </c>
      <c r="F61" t="s">
        <v>1329</v>
      </c>
      <c r="G61">
        <v>0</v>
      </c>
      <c r="H61">
        <v>2</v>
      </c>
      <c r="I61">
        <f>E61-G61</f>
        <v>2000</v>
      </c>
    </row>
    <row r="62" spans="1:9" x14ac:dyDescent="0.25">
      <c r="A62" t="s">
        <v>86</v>
      </c>
      <c r="B62" t="s">
        <v>239</v>
      </c>
      <c r="C62" t="s">
        <v>126</v>
      </c>
      <c r="D62" t="s">
        <v>1327</v>
      </c>
      <c r="E62">
        <v>760</v>
      </c>
      <c r="F62" t="s">
        <v>1336</v>
      </c>
      <c r="G62">
        <v>0</v>
      </c>
      <c r="H62">
        <v>3</v>
      </c>
      <c r="I62">
        <f>E62-G62</f>
        <v>760</v>
      </c>
    </row>
    <row r="63" spans="1:9" x14ac:dyDescent="0.25">
      <c r="A63" t="s">
        <v>46</v>
      </c>
      <c r="B63" t="s">
        <v>96</v>
      </c>
      <c r="C63" t="s">
        <v>82</v>
      </c>
      <c r="D63" t="s">
        <v>1327</v>
      </c>
      <c r="E63">
        <v>3117</v>
      </c>
      <c r="F63" t="s">
        <v>1328</v>
      </c>
      <c r="G63">
        <v>0</v>
      </c>
      <c r="H63">
        <v>2</v>
      </c>
      <c r="I63">
        <f>E63-G63</f>
        <v>3117</v>
      </c>
    </row>
    <row r="64" spans="1:9" x14ac:dyDescent="0.25">
      <c r="A64" t="s">
        <v>86</v>
      </c>
      <c r="B64" t="s">
        <v>207</v>
      </c>
      <c r="C64" t="s">
        <v>126</v>
      </c>
      <c r="D64" t="s">
        <v>1327</v>
      </c>
      <c r="E64">
        <v>940</v>
      </c>
      <c r="F64" t="s">
        <v>1336</v>
      </c>
      <c r="G64">
        <v>940</v>
      </c>
      <c r="H64">
        <v>2</v>
      </c>
      <c r="I64">
        <f>E64-G64</f>
        <v>0</v>
      </c>
    </row>
    <row r="65" spans="1:9" x14ac:dyDescent="0.25">
      <c r="A65" t="s">
        <v>60</v>
      </c>
      <c r="B65" t="s">
        <v>144</v>
      </c>
      <c r="C65" t="s">
        <v>126</v>
      </c>
      <c r="D65" t="s">
        <v>1327</v>
      </c>
      <c r="E65">
        <v>1500</v>
      </c>
      <c r="F65" t="s">
        <v>1336</v>
      </c>
      <c r="G65">
        <v>0</v>
      </c>
      <c r="H65">
        <v>1</v>
      </c>
      <c r="I65">
        <f>E65-G65</f>
        <v>1500</v>
      </c>
    </row>
    <row r="66" spans="1:9" x14ac:dyDescent="0.25">
      <c r="A66" t="s">
        <v>86</v>
      </c>
      <c r="B66" t="s">
        <v>99</v>
      </c>
      <c r="C66" t="s">
        <v>82</v>
      </c>
      <c r="D66" t="s">
        <v>1327</v>
      </c>
      <c r="E66">
        <v>2838</v>
      </c>
      <c r="F66" t="s">
        <v>1336</v>
      </c>
      <c r="G66">
        <v>2838</v>
      </c>
      <c r="H66">
        <v>1</v>
      </c>
      <c r="I66">
        <f>E66-G66</f>
        <v>0</v>
      </c>
    </row>
    <row r="67" spans="1:9" x14ac:dyDescent="0.25">
      <c r="A67" t="s">
        <v>86</v>
      </c>
      <c r="B67" t="s">
        <v>180</v>
      </c>
      <c r="C67" t="s">
        <v>126</v>
      </c>
      <c r="D67" t="s">
        <v>1327</v>
      </c>
      <c r="E67">
        <v>1078</v>
      </c>
      <c r="F67" t="s">
        <v>1336</v>
      </c>
      <c r="G67">
        <v>0</v>
      </c>
      <c r="H67">
        <v>1</v>
      </c>
      <c r="I67">
        <f>E67-G67</f>
        <v>1078</v>
      </c>
    </row>
    <row r="68" spans="1:9" x14ac:dyDescent="0.25">
      <c r="A68" t="s">
        <v>86</v>
      </c>
      <c r="B68" t="s">
        <v>281</v>
      </c>
      <c r="C68" t="s">
        <v>126</v>
      </c>
      <c r="D68" t="s">
        <v>1327</v>
      </c>
      <c r="E68">
        <v>580</v>
      </c>
      <c r="F68" t="s">
        <v>1329</v>
      </c>
      <c r="G68">
        <v>0</v>
      </c>
      <c r="H68">
        <v>1</v>
      </c>
      <c r="I68">
        <f>E68-G68</f>
        <v>580</v>
      </c>
    </row>
    <row r="69" spans="1:9" x14ac:dyDescent="0.25">
      <c r="A69" t="s">
        <v>46</v>
      </c>
      <c r="B69" t="s">
        <v>153</v>
      </c>
      <c r="C69" t="s">
        <v>126</v>
      </c>
      <c r="D69" t="s">
        <v>1327</v>
      </c>
      <c r="E69">
        <v>695</v>
      </c>
      <c r="F69" t="s">
        <v>1328</v>
      </c>
      <c r="G69">
        <v>0</v>
      </c>
      <c r="H69">
        <v>2</v>
      </c>
      <c r="I69">
        <f>E69-G69</f>
        <v>695</v>
      </c>
    </row>
    <row r="70" spans="1:9" x14ac:dyDescent="0.25">
      <c r="A70" t="s">
        <v>216</v>
      </c>
      <c r="B70" t="s">
        <v>215</v>
      </c>
      <c r="C70" t="s">
        <v>126</v>
      </c>
      <c r="D70" t="s">
        <v>1327</v>
      </c>
      <c r="E70">
        <v>873</v>
      </c>
      <c r="F70" t="s">
        <v>1328</v>
      </c>
      <c r="G70">
        <v>143</v>
      </c>
      <c r="H70">
        <v>3</v>
      </c>
      <c r="I70">
        <f>E70-G70</f>
        <v>730</v>
      </c>
    </row>
    <row r="71" spans="1:9" x14ac:dyDescent="0.25">
      <c r="A71" t="s">
        <v>86</v>
      </c>
      <c r="B71" t="s">
        <v>186</v>
      </c>
      <c r="C71" t="s">
        <v>126</v>
      </c>
      <c r="D71" t="s">
        <v>1327</v>
      </c>
      <c r="E71">
        <v>1014</v>
      </c>
      <c r="F71" t="s">
        <v>1336</v>
      </c>
      <c r="G71">
        <v>1014</v>
      </c>
      <c r="H71">
        <v>3</v>
      </c>
      <c r="I71">
        <f>E71-G71</f>
        <v>0</v>
      </c>
    </row>
    <row r="72" spans="1:9" x14ac:dyDescent="0.25">
      <c r="A72" t="s">
        <v>46</v>
      </c>
      <c r="B72" t="s">
        <v>225</v>
      </c>
      <c r="C72" t="s">
        <v>126</v>
      </c>
      <c r="D72" t="s">
        <v>1327</v>
      </c>
      <c r="E72">
        <v>825</v>
      </c>
      <c r="F72" t="s">
        <v>1328</v>
      </c>
      <c r="G72">
        <v>825</v>
      </c>
      <c r="H72">
        <v>1</v>
      </c>
      <c r="I72">
        <f>E72-G72</f>
        <v>0</v>
      </c>
    </row>
    <row r="73" spans="1:9" x14ac:dyDescent="0.25">
      <c r="A73" t="s">
        <v>86</v>
      </c>
      <c r="B73" t="s">
        <v>246</v>
      </c>
      <c r="C73" t="s">
        <v>126</v>
      </c>
      <c r="D73" t="s">
        <v>1327</v>
      </c>
      <c r="E73">
        <v>731</v>
      </c>
      <c r="F73" t="s">
        <v>1336</v>
      </c>
      <c r="G73">
        <v>731</v>
      </c>
      <c r="H73">
        <v>1</v>
      </c>
      <c r="I73">
        <f>E73-G73</f>
        <v>0</v>
      </c>
    </row>
    <row r="74" spans="1:9" x14ac:dyDescent="0.25">
      <c r="A74" t="s">
        <v>86</v>
      </c>
      <c r="B74" t="s">
        <v>132</v>
      </c>
      <c r="C74" t="s">
        <v>126</v>
      </c>
      <c r="D74" t="s">
        <v>1327</v>
      </c>
      <c r="E74">
        <v>1724</v>
      </c>
      <c r="F74" t="s">
        <v>1329</v>
      </c>
      <c r="G74">
        <v>1724</v>
      </c>
      <c r="H74">
        <v>2</v>
      </c>
      <c r="I74">
        <f>E74-G74</f>
        <v>0</v>
      </c>
    </row>
    <row r="75" spans="1:9" x14ac:dyDescent="0.25">
      <c r="A75" t="s">
        <v>140</v>
      </c>
      <c r="B75" t="s">
        <v>211</v>
      </c>
      <c r="C75" t="s">
        <v>126</v>
      </c>
      <c r="D75" t="s">
        <v>1327</v>
      </c>
      <c r="E75">
        <v>899</v>
      </c>
      <c r="F75" t="s">
        <v>1328</v>
      </c>
      <c r="G75">
        <v>525</v>
      </c>
      <c r="H75">
        <v>3</v>
      </c>
      <c r="I75">
        <f>E75-G75</f>
        <v>374</v>
      </c>
    </row>
    <row r="77" spans="1:9" x14ac:dyDescent="0.25">
      <c r="A77" t="s">
        <v>1354</v>
      </c>
      <c r="B77" t="s">
        <v>1340</v>
      </c>
      <c r="F77" t="s">
        <v>1347</v>
      </c>
      <c r="G77">
        <v>5100</v>
      </c>
    </row>
    <row r="78" spans="1:9" x14ac:dyDescent="0.25">
      <c r="A78" t="s">
        <v>1354</v>
      </c>
      <c r="B78" t="s">
        <v>1341</v>
      </c>
      <c r="F78" t="s">
        <v>1348</v>
      </c>
      <c r="G78">
        <v>2306</v>
      </c>
    </row>
    <row r="79" spans="1:9" x14ac:dyDescent="0.25">
      <c r="A79" t="s">
        <v>1354</v>
      </c>
      <c r="B79" t="s">
        <v>487</v>
      </c>
      <c r="F79" t="s">
        <v>1349</v>
      </c>
      <c r="G79">
        <v>970</v>
      </c>
    </row>
    <row r="80" spans="1:9" x14ac:dyDescent="0.25">
      <c r="A80" t="s">
        <v>1354</v>
      </c>
      <c r="B80" t="s">
        <v>1342</v>
      </c>
      <c r="F80" t="s">
        <v>1350</v>
      </c>
      <c r="G80">
        <v>850</v>
      </c>
    </row>
    <row r="81" spans="1:7" x14ac:dyDescent="0.25">
      <c r="A81" t="s">
        <v>1355</v>
      </c>
      <c r="B81" t="s">
        <v>225</v>
      </c>
      <c r="F81" t="s">
        <v>1351</v>
      </c>
      <c r="G81">
        <v>350</v>
      </c>
    </row>
    <row r="82" spans="1:7" x14ac:dyDescent="0.25">
      <c r="A82" t="s">
        <v>1354</v>
      </c>
      <c r="B82" t="s">
        <v>1343</v>
      </c>
      <c r="F82" t="s">
        <v>1352</v>
      </c>
      <c r="G82">
        <v>1510</v>
      </c>
    </row>
    <row r="83" spans="1:7" x14ac:dyDescent="0.25">
      <c r="A83" t="s">
        <v>1354</v>
      </c>
      <c r="B83" t="s">
        <v>1344</v>
      </c>
      <c r="F83" t="s">
        <v>1351</v>
      </c>
      <c r="G83">
        <v>6000</v>
      </c>
    </row>
    <row r="84" spans="1:7" x14ac:dyDescent="0.25">
      <c r="A84" t="s">
        <v>1354</v>
      </c>
      <c r="B84" t="s">
        <v>1345</v>
      </c>
      <c r="F84" t="s">
        <v>1352</v>
      </c>
      <c r="G84">
        <v>300</v>
      </c>
    </row>
    <row r="85" spans="1:7" x14ac:dyDescent="0.25">
      <c r="A85" t="s">
        <v>1354</v>
      </c>
      <c r="B85" t="s">
        <v>1346</v>
      </c>
      <c r="F85" t="s">
        <v>1353</v>
      </c>
      <c r="G85">
        <v>10000</v>
      </c>
    </row>
  </sheetData>
  <sortState xmlns:xlrd2="http://schemas.microsoft.com/office/spreadsheetml/2017/richdata2" ref="A2:I75">
    <sortCondition ref="B2:B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Quantified Whitespac No SSA-IRS</vt:lpstr>
      <vt:lpstr>Verint Partner Only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Roderick</dc:creator>
  <cp:lastModifiedBy>Jeremy Roderick</cp:lastModifiedBy>
  <cp:lastPrinted>2026-08-31T18:24:08Z</cp:lastPrinted>
  <dcterms:created xsi:type="dcterms:W3CDTF">2026-07-18T22:54:39Z</dcterms:created>
  <dcterms:modified xsi:type="dcterms:W3CDTF">2026-08-31T19:24:41Z</dcterms:modified>
</cp:coreProperties>
</file>