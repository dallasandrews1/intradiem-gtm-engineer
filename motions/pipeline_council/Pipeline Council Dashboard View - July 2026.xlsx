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intradiem-my.sharepoint.com/personal/genna_barrett-moeller_intradiem_com/Documents/Desktop/Pipeline Council/"/>
    </mc:Choice>
  </mc:AlternateContent>
  <xr:revisionPtr revIDLastSave="0" documentId="8_{948E5408-9594-49BC-89A0-103EB37FEA3A}" xr6:coauthVersionLast="47" xr6:coauthVersionMax="47" xr10:uidLastSave="{00000000-0000-0000-0000-000000000000}"/>
  <bookViews>
    <workbookView minimized="1" xWindow="5625" yWindow="1740" windowWidth="17280" windowHeight="10005" firstSheet="12" activeTab="12" xr2:uid="{00000000-000D-0000-FFFF-FFFF00000000}"/>
  </bookViews>
  <sheets>
    <sheet name="Marketing Dashboard" sheetId="17" r:id="rId1"/>
    <sheet name="Aging Detail" sheetId="19" r:id="rId2"/>
    <sheet name="TOTAL" sheetId="2" r:id="rId3"/>
    <sheet name="Digital" sheetId="3" r:id="rId4"/>
    <sheet name="Events" sheetId="4" r:id="rId5"/>
    <sheet name="Cold Outreach" sheetId="5" r:id="rId6"/>
    <sheet name="Alliances" sheetId="6" r:id="rId7"/>
    <sheet name="Alliances Spend" sheetId="18" r:id="rId8"/>
    <sheet name="Digital Leads Raw" sheetId="7" state="hidden" r:id="rId9"/>
    <sheet name="Digital Spend Data" sheetId="8" state="hidden" r:id="rId10"/>
    <sheet name="Event Spend Raw" sheetId="12" r:id="rId11"/>
    <sheet name="helper tab" sheetId="16" state="hidden" r:id="rId12"/>
    <sheet name="Stage History" sheetId="10" r:id="rId13"/>
    <sheet name="Cold Outreach Spend Raw" sheetId="11" state="hidden" r:id="rId14"/>
    <sheet name="Opps Created" sheetId="15" r:id="rId15"/>
    <sheet name="Opportunity Raw Data" sheetId="9" state="hidden" r:id="rId16"/>
    <sheet name="Alliances Data Raw" sheetId="13" state="hidden" r:id="rId17"/>
    <sheet name="Cold outreach data" sheetId="14" state="hidden" r:id="rId18"/>
  </sheets>
  <definedNames>
    <definedName name="_xlnm._FilterDatabase" localSheetId="16" hidden="1">'Alliances Data Raw'!$A$2:$W$250</definedName>
    <definedName name="_xlnm._FilterDatabase" localSheetId="17" hidden="1">'Cold outreach data'!$A$1:$K$131</definedName>
    <definedName name="_xlnm._FilterDatabase" localSheetId="8" hidden="1">'Digital Leads Raw'!$A$1:$V$136</definedName>
    <definedName name="_xlnm._FilterDatabase" localSheetId="15" hidden="1">'Opportunity Raw Data'!$A$1:$M$46</definedName>
    <definedName name="_xlnm._FilterDatabase" localSheetId="12" hidden="1">'Stage History'!$A$2:$P$791</definedName>
    <definedName name="ExternalData_1" localSheetId="7" hidden="1">'Alliances Spend'!$A$1:$C$123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1" i="17" l="1"/>
  <c r="S29" i="17"/>
  <c r="S28" i="17"/>
  <c r="S27" i="17"/>
  <c r="S26" i="17"/>
  <c r="S25" i="17"/>
  <c r="Y47" i="8"/>
  <c r="W47" i="8"/>
  <c r="V47" i="8"/>
  <c r="X46" i="8"/>
  <c r="R47" i="8"/>
  <c r="P47" i="8"/>
  <c r="O47" i="8"/>
  <c r="Q46" i="8"/>
  <c r="J47" i="8"/>
  <c r="I47" i="8"/>
  <c r="L47" i="8"/>
  <c r="K46" i="8"/>
  <c r="J31" i="17"/>
  <c r="AF3" i="10"/>
  <c r="AF4" i="10"/>
  <c r="AF5" i="10"/>
  <c r="AF6" i="10"/>
  <c r="AF7" i="10"/>
  <c r="AF8" i="10"/>
  <c r="AF9" i="10"/>
  <c r="AF10" i="10"/>
  <c r="AF11" i="10"/>
  <c r="AF12" i="10"/>
  <c r="AF13" i="10"/>
  <c r="AF14" i="10"/>
  <c r="AF15" i="10"/>
  <c r="AF16" i="10"/>
  <c r="AF17" i="10"/>
  <c r="AF18" i="10"/>
  <c r="AF19" i="10"/>
  <c r="AF20" i="10"/>
  <c r="AF21" i="10"/>
  <c r="AF22" i="10"/>
  <c r="AF23" i="10"/>
  <c r="AF24" i="10"/>
  <c r="AF25" i="10"/>
  <c r="AF26" i="10"/>
  <c r="AF27" i="10"/>
  <c r="AF28" i="10"/>
  <c r="AF29" i="10"/>
  <c r="AF30" i="10"/>
  <c r="AF31" i="10"/>
  <c r="AF32" i="10"/>
  <c r="AF33" i="10"/>
  <c r="AF34" i="10"/>
  <c r="AF35" i="10"/>
  <c r="AF36" i="10"/>
  <c r="AF37" i="10"/>
  <c r="AF38" i="10"/>
  <c r="AF39" i="10"/>
  <c r="AF40" i="10"/>
  <c r="AF41" i="10"/>
  <c r="AF42" i="10"/>
  <c r="AF43" i="10"/>
  <c r="AF44" i="10"/>
  <c r="AF45" i="10"/>
  <c r="AF46" i="10"/>
  <c r="AF47" i="10"/>
  <c r="AF48" i="10"/>
  <c r="AF49" i="10"/>
  <c r="AF50" i="10"/>
  <c r="AF51" i="10"/>
  <c r="AF52" i="10"/>
  <c r="AF53" i="10"/>
  <c r="AF54" i="10"/>
  <c r="AF55" i="10"/>
  <c r="AF56" i="10"/>
  <c r="AF57" i="10"/>
  <c r="AF58" i="10"/>
  <c r="AF59" i="10"/>
  <c r="AF60" i="10"/>
  <c r="AF61" i="10"/>
  <c r="AF62" i="10"/>
  <c r="AF63" i="10"/>
  <c r="AF64" i="10"/>
  <c r="AF65" i="10"/>
  <c r="AF66" i="10"/>
  <c r="AF67" i="10"/>
  <c r="AF68" i="10"/>
  <c r="AF69" i="10"/>
  <c r="AF70" i="10"/>
  <c r="AF71" i="10"/>
  <c r="AF72" i="10"/>
  <c r="AF73" i="10"/>
  <c r="AF74" i="10"/>
  <c r="AF75" i="10"/>
  <c r="AF76" i="10"/>
  <c r="AF77" i="10"/>
  <c r="AF78" i="10"/>
  <c r="AF79" i="10"/>
  <c r="AF80" i="10"/>
  <c r="AF81" i="10"/>
  <c r="AF82" i="10"/>
  <c r="AF83" i="10"/>
  <c r="AF84" i="10"/>
  <c r="AF85" i="10"/>
  <c r="AF86" i="10"/>
  <c r="AF87" i="10"/>
  <c r="AF88" i="10"/>
  <c r="AF89" i="10"/>
  <c r="AF90" i="10"/>
  <c r="AF91" i="10"/>
  <c r="AF92" i="10"/>
  <c r="AF93" i="10"/>
  <c r="AF94" i="10"/>
  <c r="AF95" i="10"/>
  <c r="AF96" i="10"/>
  <c r="AF97" i="10"/>
  <c r="AF98" i="10"/>
  <c r="AF99" i="10"/>
  <c r="AF100" i="10"/>
  <c r="AF101" i="10"/>
  <c r="AF102" i="10"/>
  <c r="AF103" i="10"/>
  <c r="AF104" i="10"/>
  <c r="AF105" i="10"/>
  <c r="AF106" i="10"/>
  <c r="AF107" i="10"/>
  <c r="AF108" i="10"/>
  <c r="AF109" i="10"/>
  <c r="AF110" i="10"/>
  <c r="AF111" i="10"/>
  <c r="AF112" i="10"/>
  <c r="AF113" i="10"/>
  <c r="AF114" i="10"/>
  <c r="AF115" i="10"/>
  <c r="AF116" i="10"/>
  <c r="AF117" i="10"/>
  <c r="AF118" i="10"/>
  <c r="AF119" i="10"/>
  <c r="AF120" i="10"/>
  <c r="AF121" i="10"/>
  <c r="AF122" i="10"/>
  <c r="AF123" i="10"/>
  <c r="AF124" i="10"/>
  <c r="AF125" i="10"/>
  <c r="AF126" i="10"/>
  <c r="AF127" i="10"/>
  <c r="AF128" i="10"/>
  <c r="AF129" i="10"/>
  <c r="AF130" i="10"/>
  <c r="AF131" i="10"/>
  <c r="AF132" i="10"/>
  <c r="AF133" i="10"/>
  <c r="AF134" i="10"/>
  <c r="AF135" i="10"/>
  <c r="AF136" i="10"/>
  <c r="AF137" i="10"/>
  <c r="AF138" i="10"/>
  <c r="AF139" i="10"/>
  <c r="AF140" i="10"/>
  <c r="AF141" i="10"/>
  <c r="AF142" i="10"/>
  <c r="AF143" i="10"/>
  <c r="AF144" i="10"/>
  <c r="AF145" i="10"/>
  <c r="AF146" i="10"/>
  <c r="AF147" i="10"/>
  <c r="AF148" i="10"/>
  <c r="AF149" i="10"/>
  <c r="AF150" i="10"/>
  <c r="AF151" i="10"/>
  <c r="AF152" i="10"/>
  <c r="AF153" i="10"/>
  <c r="AF154" i="10"/>
  <c r="AF155" i="10"/>
  <c r="AF156" i="10"/>
  <c r="AF157" i="10"/>
  <c r="AF158" i="10"/>
  <c r="AF159" i="10"/>
  <c r="AF160" i="10"/>
  <c r="AF161" i="10"/>
  <c r="AF162" i="10"/>
  <c r="AF163" i="10"/>
  <c r="AF164" i="10"/>
  <c r="AF165" i="10"/>
  <c r="AF166" i="10"/>
  <c r="AF167" i="10"/>
  <c r="AF168" i="10"/>
  <c r="AF169" i="10"/>
  <c r="AF170" i="10"/>
  <c r="AF171" i="10"/>
  <c r="AF172" i="10"/>
  <c r="AF173" i="10"/>
  <c r="AF174" i="10"/>
  <c r="AF175" i="10"/>
  <c r="AF176" i="10"/>
  <c r="AF177" i="10"/>
  <c r="AF178" i="10"/>
  <c r="AF179" i="10"/>
  <c r="AF180" i="10"/>
  <c r="AF181" i="10"/>
  <c r="AF182" i="10"/>
  <c r="AF183" i="10"/>
  <c r="AF184" i="10"/>
  <c r="AF185" i="10"/>
  <c r="AF186" i="10"/>
  <c r="AF187" i="10"/>
  <c r="AF188" i="10"/>
  <c r="AF189" i="10"/>
  <c r="AF190" i="10"/>
  <c r="AF191" i="10"/>
  <c r="AF192" i="10"/>
  <c r="AF193" i="10"/>
  <c r="AF194" i="10"/>
  <c r="AF195" i="10"/>
  <c r="AF196" i="10"/>
  <c r="AF197" i="10"/>
  <c r="AF198" i="10"/>
  <c r="AF199" i="10"/>
  <c r="AF200" i="10"/>
  <c r="AF201" i="10"/>
  <c r="AF202" i="10"/>
  <c r="AF203" i="10"/>
  <c r="AF204" i="10"/>
  <c r="AF205" i="10"/>
  <c r="AF206" i="10"/>
  <c r="AF207" i="10"/>
  <c r="AF208" i="10"/>
  <c r="AF209" i="10"/>
  <c r="AF210" i="10"/>
  <c r="AF211" i="10"/>
  <c r="AF212" i="10"/>
  <c r="AF213" i="10"/>
  <c r="AF214" i="10"/>
  <c r="AF215" i="10"/>
  <c r="AF216" i="10"/>
  <c r="AF217" i="10"/>
  <c r="AF218" i="10"/>
  <c r="AF219" i="10"/>
  <c r="AF220" i="10"/>
  <c r="AF221" i="10"/>
  <c r="AF222" i="10"/>
  <c r="AF223" i="10"/>
  <c r="AF224" i="10"/>
  <c r="AF225" i="10"/>
  <c r="AF226" i="10"/>
  <c r="AF227" i="10"/>
  <c r="AF228" i="10"/>
  <c r="AF229" i="10"/>
  <c r="AF230" i="10"/>
  <c r="AF231" i="10"/>
  <c r="AF232" i="10"/>
  <c r="AF233" i="10"/>
  <c r="AF234" i="10"/>
  <c r="AF235" i="10"/>
  <c r="AF236" i="10"/>
  <c r="AF237" i="10"/>
  <c r="AF238" i="10"/>
  <c r="AF239" i="10"/>
  <c r="AF240" i="10"/>
  <c r="AF241" i="10"/>
  <c r="AF242" i="10"/>
  <c r="AF243" i="10"/>
  <c r="AF244" i="10"/>
  <c r="AF245" i="10"/>
  <c r="AF246" i="10"/>
  <c r="AF247" i="10"/>
  <c r="AF248" i="10"/>
  <c r="AF249" i="10"/>
  <c r="AF250" i="10"/>
  <c r="AF251" i="10"/>
  <c r="AF252" i="10"/>
  <c r="AF253" i="10"/>
  <c r="AF254" i="10"/>
  <c r="AF255" i="10"/>
  <c r="AF256" i="10"/>
  <c r="AF257" i="10"/>
  <c r="AF258" i="10"/>
  <c r="AF259" i="10"/>
  <c r="AF260" i="10"/>
  <c r="AF261" i="10"/>
  <c r="AF262" i="10"/>
  <c r="AF263" i="10"/>
  <c r="AF264" i="10"/>
  <c r="AF265" i="10"/>
  <c r="AF266" i="10"/>
  <c r="AF267" i="10"/>
  <c r="AF268" i="10"/>
  <c r="AF269" i="10"/>
  <c r="AF270" i="10"/>
  <c r="AF271" i="10"/>
  <c r="AF272" i="10"/>
  <c r="AF273" i="10"/>
  <c r="AF274" i="10"/>
  <c r="AF275" i="10"/>
  <c r="AF276" i="10"/>
  <c r="AF277" i="10"/>
  <c r="AF278" i="10"/>
  <c r="AF279" i="10"/>
  <c r="AF280" i="10"/>
  <c r="AF281" i="10"/>
  <c r="AF282" i="10"/>
  <c r="AF283" i="10"/>
  <c r="AF284" i="10"/>
  <c r="AF285" i="10"/>
  <c r="AF286" i="10"/>
  <c r="AF287" i="10"/>
  <c r="AF288" i="10"/>
  <c r="AF289" i="10"/>
  <c r="AF290" i="10"/>
  <c r="AF291" i="10"/>
  <c r="AF292" i="10"/>
  <c r="AF293" i="10"/>
  <c r="AF294" i="10"/>
  <c r="AF295" i="10"/>
  <c r="AF296" i="10"/>
  <c r="AF297" i="10"/>
  <c r="AF298" i="10"/>
  <c r="AF299" i="10"/>
  <c r="AF300" i="10"/>
  <c r="AF301" i="10"/>
  <c r="AF302" i="10"/>
  <c r="AF303" i="10"/>
  <c r="AF304" i="10"/>
  <c r="AF305" i="10"/>
  <c r="AF306" i="10"/>
  <c r="AF307" i="10"/>
  <c r="AF308" i="10"/>
  <c r="AF309" i="10"/>
  <c r="AF310" i="10"/>
  <c r="AF311" i="10"/>
  <c r="AF312" i="10"/>
  <c r="AF313" i="10"/>
  <c r="AF314" i="10"/>
  <c r="AF315" i="10"/>
  <c r="AF316" i="10"/>
  <c r="AF317" i="10"/>
  <c r="AF318" i="10"/>
  <c r="AF319" i="10"/>
  <c r="AF320" i="10"/>
  <c r="AF321" i="10"/>
  <c r="AF322" i="10"/>
  <c r="AF323" i="10"/>
  <c r="AF324" i="10"/>
  <c r="AF325" i="10"/>
  <c r="AF326" i="10"/>
  <c r="AF327" i="10"/>
  <c r="AF328" i="10"/>
  <c r="AF329" i="10"/>
  <c r="AF330" i="10"/>
  <c r="AF331" i="10"/>
  <c r="AF332" i="10"/>
  <c r="AF333" i="10"/>
  <c r="AF334" i="10"/>
  <c r="AF335" i="10"/>
  <c r="AF336" i="10"/>
  <c r="AF337" i="10"/>
  <c r="AF338" i="10"/>
  <c r="AF339" i="10"/>
  <c r="AF340" i="10"/>
  <c r="AF341" i="10"/>
  <c r="AF342" i="10"/>
  <c r="AF343" i="10"/>
  <c r="AF344" i="10"/>
  <c r="AF345" i="10"/>
  <c r="AF346" i="10"/>
  <c r="AF347" i="10"/>
  <c r="AF348" i="10"/>
  <c r="AF349" i="10"/>
  <c r="AF350" i="10"/>
  <c r="AF351" i="10"/>
  <c r="AF352" i="10"/>
  <c r="AF353" i="10"/>
  <c r="AF354" i="10"/>
  <c r="AF355" i="10"/>
  <c r="AF356" i="10"/>
  <c r="AF357" i="10"/>
  <c r="AF358" i="10"/>
  <c r="AF359" i="10"/>
  <c r="AF360" i="10"/>
  <c r="AF361" i="10"/>
  <c r="AF362" i="10"/>
  <c r="AF363" i="10"/>
  <c r="AF364" i="10"/>
  <c r="AF365" i="10"/>
  <c r="AF366" i="10"/>
  <c r="AF367" i="10"/>
  <c r="AF368" i="10"/>
  <c r="AF369" i="10"/>
  <c r="AF370" i="10"/>
  <c r="AF371" i="10"/>
  <c r="AF372" i="10"/>
  <c r="AF373" i="10"/>
  <c r="AF374" i="10"/>
  <c r="AF375" i="10"/>
  <c r="AF376" i="10"/>
  <c r="AF377" i="10"/>
  <c r="AF378" i="10"/>
  <c r="AF379" i="10"/>
  <c r="AF380" i="10"/>
  <c r="AF381" i="10"/>
  <c r="AF382" i="10"/>
  <c r="AF383" i="10"/>
  <c r="AF384" i="10"/>
  <c r="AF385" i="10"/>
  <c r="AF386" i="10"/>
  <c r="AF387" i="10"/>
  <c r="AF388" i="10"/>
  <c r="AF389" i="10"/>
  <c r="AF390" i="10"/>
  <c r="AF391" i="10"/>
  <c r="AF392" i="10"/>
  <c r="AF393" i="10"/>
  <c r="AF394" i="10"/>
  <c r="AF395" i="10"/>
  <c r="AF396" i="10"/>
  <c r="AF397" i="10"/>
  <c r="AF398" i="10"/>
  <c r="AF399" i="10"/>
  <c r="AF400" i="10"/>
  <c r="AF401" i="10"/>
  <c r="AF402" i="10"/>
  <c r="AF403" i="10"/>
  <c r="AF404" i="10"/>
  <c r="AF405" i="10"/>
  <c r="AF406" i="10"/>
  <c r="AF407" i="10"/>
  <c r="AF408" i="10"/>
  <c r="AF409" i="10"/>
  <c r="AF410" i="10"/>
  <c r="AF411" i="10"/>
  <c r="AF412" i="10"/>
  <c r="AF413" i="10"/>
  <c r="AF414" i="10"/>
  <c r="AF415" i="10"/>
  <c r="AF416" i="10"/>
  <c r="AF417" i="10"/>
  <c r="AF418" i="10"/>
  <c r="AF419" i="10"/>
  <c r="AF420" i="10"/>
  <c r="AF421" i="10"/>
  <c r="AF422" i="10"/>
  <c r="AF423" i="10"/>
  <c r="AF424" i="10"/>
  <c r="AF425" i="10"/>
  <c r="AF426" i="10"/>
  <c r="AF427" i="10"/>
  <c r="AF428" i="10"/>
  <c r="AF429" i="10"/>
  <c r="AF430" i="10"/>
  <c r="AF431" i="10"/>
  <c r="AF432" i="10"/>
  <c r="AF433" i="10"/>
  <c r="AF434" i="10"/>
  <c r="AF435" i="10"/>
  <c r="AF436" i="10"/>
  <c r="AF437" i="10"/>
  <c r="AF438" i="10"/>
  <c r="AF439" i="10"/>
  <c r="AF440" i="10"/>
  <c r="AF441" i="10"/>
  <c r="AF442" i="10"/>
  <c r="AF443" i="10"/>
  <c r="AF444" i="10"/>
  <c r="AF445" i="10"/>
  <c r="AF446" i="10"/>
  <c r="AF447" i="10"/>
  <c r="AF448" i="10"/>
  <c r="AF449" i="10"/>
  <c r="AF450" i="10"/>
  <c r="AF451" i="10"/>
  <c r="AF452" i="10"/>
  <c r="AF453" i="10"/>
  <c r="AF454" i="10"/>
  <c r="AF455" i="10"/>
  <c r="AF456" i="10"/>
  <c r="AF457" i="10"/>
  <c r="AF458" i="10"/>
  <c r="AF459" i="10"/>
  <c r="AF460" i="10"/>
  <c r="AF461" i="10"/>
  <c r="AF462" i="10"/>
  <c r="AF463" i="10"/>
  <c r="AF464" i="10"/>
  <c r="AF465" i="10"/>
  <c r="AF466" i="10"/>
  <c r="AF467" i="10"/>
  <c r="AF468" i="10"/>
  <c r="AF469" i="10"/>
  <c r="AF470" i="10"/>
  <c r="AF471" i="10"/>
  <c r="AF472" i="10"/>
  <c r="AF473" i="10"/>
  <c r="AF474" i="10"/>
  <c r="AF475" i="10"/>
  <c r="AF476" i="10"/>
  <c r="AF477" i="10"/>
  <c r="AF478" i="10"/>
  <c r="AF479" i="10"/>
  <c r="AF480" i="10"/>
  <c r="AF481" i="10"/>
  <c r="AF482" i="10"/>
  <c r="AF483" i="10"/>
  <c r="AF484" i="10"/>
  <c r="AF485" i="10"/>
  <c r="AF486" i="10"/>
  <c r="AF487" i="10"/>
  <c r="AF488" i="10"/>
  <c r="AF489" i="10"/>
  <c r="AF490" i="10"/>
  <c r="AF491" i="10"/>
  <c r="AF492" i="10"/>
  <c r="AF493" i="10"/>
  <c r="AF494" i="10"/>
  <c r="AF495" i="10"/>
  <c r="AF496" i="10"/>
  <c r="AF497" i="10"/>
  <c r="AF498" i="10"/>
  <c r="AF499" i="10"/>
  <c r="AF500" i="10"/>
  <c r="AF501" i="10"/>
  <c r="AF502" i="10"/>
  <c r="AF503" i="10"/>
  <c r="AF504" i="10"/>
  <c r="AF505" i="10"/>
  <c r="AF506" i="10"/>
  <c r="AF507" i="10"/>
  <c r="AF508" i="10"/>
  <c r="AF509" i="10"/>
  <c r="AF510" i="10"/>
  <c r="AF511" i="10"/>
  <c r="AF512" i="10"/>
  <c r="AF513" i="10"/>
  <c r="AF514" i="10"/>
  <c r="AF515" i="10"/>
  <c r="AF516" i="10"/>
  <c r="AF517" i="10"/>
  <c r="AF518" i="10"/>
  <c r="AF519" i="10"/>
  <c r="AF520" i="10"/>
  <c r="AF521" i="10"/>
  <c r="AF522" i="10"/>
  <c r="AF523" i="10"/>
  <c r="AF524" i="10"/>
  <c r="AF525" i="10"/>
  <c r="AF526" i="10"/>
  <c r="AF527" i="10"/>
  <c r="AF528" i="10"/>
  <c r="AF529" i="10"/>
  <c r="AF530" i="10"/>
  <c r="AF531" i="10"/>
  <c r="AF532" i="10"/>
  <c r="AF533" i="10"/>
  <c r="AF534" i="10"/>
  <c r="AF535" i="10"/>
  <c r="AF536" i="10"/>
  <c r="AF537" i="10"/>
  <c r="AF538" i="10"/>
  <c r="AF539" i="10"/>
  <c r="AF540" i="10"/>
  <c r="AF541" i="10"/>
  <c r="AF542" i="10"/>
  <c r="AF543" i="10"/>
  <c r="AF544" i="10"/>
  <c r="AF545" i="10"/>
  <c r="AF546" i="10"/>
  <c r="AF547" i="10"/>
  <c r="AF548" i="10"/>
  <c r="AF549" i="10"/>
  <c r="AF550" i="10"/>
  <c r="AF551" i="10"/>
  <c r="AF552" i="10"/>
  <c r="AF553" i="10"/>
  <c r="AF554" i="10"/>
  <c r="AF555" i="10"/>
  <c r="AF556" i="10"/>
  <c r="AF557" i="10"/>
  <c r="AF558" i="10"/>
  <c r="AF559" i="10"/>
  <c r="AF560" i="10"/>
  <c r="AF561" i="10"/>
  <c r="AF562" i="10"/>
  <c r="AF563" i="10"/>
  <c r="AF564" i="10"/>
  <c r="AF565" i="10"/>
  <c r="AF566" i="10"/>
  <c r="AF567" i="10"/>
  <c r="AF568" i="10"/>
  <c r="AF569" i="10"/>
  <c r="AF570" i="10"/>
  <c r="AF571" i="10"/>
  <c r="AF572" i="10"/>
  <c r="AF573" i="10"/>
  <c r="AF574" i="10"/>
  <c r="AF575" i="10"/>
  <c r="AF576" i="10"/>
  <c r="AF577" i="10"/>
  <c r="AF578" i="10"/>
  <c r="AF579" i="10"/>
  <c r="AF580" i="10"/>
  <c r="AF581" i="10"/>
  <c r="AF582" i="10"/>
  <c r="AF583" i="10"/>
  <c r="AF584" i="10"/>
  <c r="AF585" i="10"/>
  <c r="AF586" i="10"/>
  <c r="AF587" i="10"/>
  <c r="AF588" i="10"/>
  <c r="AF589" i="10"/>
  <c r="AF590" i="10"/>
  <c r="AF591" i="10"/>
  <c r="AF592" i="10"/>
  <c r="AF593" i="10"/>
  <c r="AF594" i="10"/>
  <c r="AF595" i="10"/>
  <c r="AF596" i="10"/>
  <c r="AF597" i="10"/>
  <c r="AF598" i="10"/>
  <c r="AF599" i="10"/>
  <c r="AF600" i="10"/>
  <c r="AF601" i="10"/>
  <c r="AF602" i="10"/>
  <c r="AF603" i="10"/>
  <c r="AF604" i="10"/>
  <c r="AF605" i="10"/>
  <c r="AF606" i="10"/>
  <c r="AF607" i="10"/>
  <c r="AF608" i="10"/>
  <c r="AF609" i="10"/>
  <c r="AF610" i="10"/>
  <c r="AF611" i="10"/>
  <c r="AF612" i="10"/>
  <c r="AF613" i="10"/>
  <c r="AF614" i="10"/>
  <c r="AF615" i="10"/>
  <c r="AF616" i="10"/>
  <c r="AF617" i="10"/>
  <c r="AF618" i="10"/>
  <c r="AF619" i="10"/>
  <c r="AF620" i="10"/>
  <c r="AF621" i="10"/>
  <c r="AF622" i="10"/>
  <c r="AF623" i="10"/>
  <c r="AF624" i="10"/>
  <c r="AF625" i="10"/>
  <c r="AF626" i="10"/>
  <c r="AF627" i="10"/>
  <c r="AF628" i="10"/>
  <c r="AF629" i="10"/>
  <c r="AF630" i="10"/>
  <c r="AF631" i="10"/>
  <c r="AF632" i="10"/>
  <c r="AF633" i="10"/>
  <c r="AF634" i="10"/>
  <c r="AF635" i="10"/>
  <c r="AF636" i="10"/>
  <c r="AF637" i="10"/>
  <c r="AF638" i="10"/>
  <c r="AF639" i="10"/>
  <c r="AF640" i="10"/>
  <c r="AF641" i="10"/>
  <c r="AF642" i="10"/>
  <c r="AF643" i="10"/>
  <c r="AF644" i="10"/>
  <c r="AF645" i="10"/>
  <c r="AF646" i="10"/>
  <c r="AF647" i="10"/>
  <c r="AF648" i="10"/>
  <c r="AF649" i="10"/>
  <c r="AF650" i="10"/>
  <c r="AF651" i="10"/>
  <c r="AF652" i="10"/>
  <c r="AF653" i="10"/>
  <c r="AF654" i="10"/>
  <c r="AF655" i="10"/>
  <c r="AF656" i="10"/>
  <c r="AF657" i="10"/>
  <c r="AF658" i="10"/>
  <c r="AF659" i="10"/>
  <c r="AF660" i="10"/>
  <c r="AF661" i="10"/>
  <c r="AF662" i="10"/>
  <c r="AF663" i="10"/>
  <c r="AF664" i="10"/>
  <c r="AF665" i="10"/>
  <c r="AF666" i="10"/>
  <c r="AF667" i="10"/>
  <c r="AF668" i="10"/>
  <c r="AF669" i="10"/>
  <c r="AF670" i="10"/>
  <c r="AF671" i="10"/>
  <c r="AF672" i="10"/>
  <c r="AF673" i="10"/>
  <c r="AF674" i="10"/>
  <c r="AF675" i="10"/>
  <c r="AF676" i="10"/>
  <c r="AF677" i="10"/>
  <c r="AF678" i="10"/>
  <c r="AF679" i="10"/>
  <c r="AF680" i="10"/>
  <c r="AF681" i="10"/>
  <c r="AF682" i="10"/>
  <c r="AF683" i="10"/>
  <c r="AF684" i="10"/>
  <c r="AF685" i="10"/>
  <c r="AF686" i="10"/>
  <c r="AF687" i="10"/>
  <c r="AF688" i="10"/>
  <c r="AF689" i="10"/>
  <c r="AF690" i="10"/>
  <c r="AF691" i="10"/>
  <c r="AF692" i="10"/>
  <c r="AF693" i="10"/>
  <c r="AF694" i="10"/>
  <c r="AF695" i="10"/>
  <c r="AF696" i="10"/>
  <c r="AF697" i="10"/>
  <c r="AF698" i="10"/>
  <c r="AF699" i="10"/>
  <c r="AF700" i="10"/>
  <c r="AF701" i="10"/>
  <c r="AF702" i="10"/>
  <c r="AF703" i="10"/>
  <c r="AF704" i="10"/>
  <c r="AF705" i="10"/>
  <c r="AF706" i="10"/>
  <c r="AF707" i="10"/>
  <c r="AF708" i="10"/>
  <c r="AF709" i="10"/>
  <c r="AF710" i="10"/>
  <c r="AF711" i="10"/>
  <c r="AF712" i="10"/>
  <c r="AF713" i="10"/>
  <c r="AF714" i="10"/>
  <c r="AF715" i="10"/>
  <c r="AF716" i="10"/>
  <c r="AF717" i="10"/>
  <c r="AF718" i="10"/>
  <c r="AF719" i="10"/>
  <c r="AF720" i="10"/>
  <c r="AF721" i="10"/>
  <c r="AF722" i="10"/>
  <c r="AF723" i="10"/>
  <c r="AF724" i="10"/>
  <c r="AF725" i="10"/>
  <c r="AF726" i="10"/>
  <c r="AF727" i="10"/>
  <c r="AF728" i="10"/>
  <c r="AF729" i="10"/>
  <c r="AF730" i="10"/>
  <c r="AF731" i="10"/>
  <c r="AF732" i="10"/>
  <c r="AF733" i="10"/>
  <c r="AF734" i="10"/>
  <c r="AF735" i="10"/>
  <c r="AF736" i="10"/>
  <c r="AF737" i="10"/>
  <c r="AF738" i="10"/>
  <c r="AF739" i="10"/>
  <c r="AF740" i="10"/>
  <c r="AF741" i="10"/>
  <c r="AF742" i="10"/>
  <c r="AF743" i="10"/>
  <c r="AF744" i="10"/>
  <c r="AF745" i="10"/>
  <c r="AF746" i="10"/>
  <c r="AF747" i="10"/>
  <c r="AF748" i="10"/>
  <c r="AF749" i="10"/>
  <c r="AF750" i="10"/>
  <c r="AF751" i="10"/>
  <c r="AF752" i="10"/>
  <c r="AF753" i="10"/>
  <c r="AF754" i="10"/>
  <c r="AF755" i="10"/>
  <c r="AF756" i="10"/>
  <c r="AF757" i="10"/>
  <c r="AF758" i="10"/>
  <c r="AF759" i="10"/>
  <c r="AF760" i="10"/>
  <c r="AF761" i="10"/>
  <c r="AF762" i="10"/>
  <c r="AF763" i="10"/>
  <c r="AF764" i="10"/>
  <c r="AF765" i="10"/>
  <c r="AF766" i="10"/>
  <c r="AF767" i="10"/>
  <c r="AF768" i="10"/>
  <c r="AF769" i="10"/>
  <c r="AF770" i="10"/>
  <c r="AF771" i="10"/>
  <c r="AF772" i="10"/>
  <c r="AF773" i="10"/>
  <c r="AF774" i="10"/>
  <c r="AF775" i="10"/>
  <c r="AF776" i="10"/>
  <c r="AF777" i="10"/>
  <c r="AF778" i="10"/>
  <c r="AF779" i="10"/>
  <c r="AF780" i="10"/>
  <c r="AF781" i="10"/>
  <c r="AF782" i="10"/>
  <c r="AF783" i="10"/>
  <c r="AF784" i="10"/>
  <c r="AF785" i="10"/>
  <c r="AF786" i="10"/>
  <c r="AF787" i="10"/>
  <c r="AF788" i="10"/>
  <c r="AF789" i="10"/>
  <c r="AF790" i="10"/>
  <c r="AF791" i="10"/>
  <c r="S3" i="15"/>
  <c r="S4" i="15"/>
  <c r="S5" i="15"/>
  <c r="S6" i="15"/>
  <c r="S7" i="15"/>
  <c r="S8" i="15"/>
  <c r="S9" i="15"/>
  <c r="S10" i="15"/>
  <c r="S11" i="15"/>
  <c r="S12" i="15"/>
  <c r="S13" i="15"/>
  <c r="S14" i="15"/>
  <c r="S15" i="15"/>
  <c r="S16" i="15"/>
  <c r="S17" i="15"/>
  <c r="S18" i="15"/>
  <c r="S19" i="15"/>
  <c r="S20" i="15"/>
  <c r="S21" i="15"/>
  <c r="S22" i="15"/>
  <c r="S23" i="15"/>
  <c r="S24" i="15"/>
  <c r="S25" i="15"/>
  <c r="S26" i="15"/>
  <c r="S27" i="15"/>
  <c r="S28" i="15"/>
  <c r="S29" i="15"/>
  <c r="S30" i="15"/>
  <c r="S31" i="15"/>
  <c r="S32" i="15"/>
  <c r="S33" i="15"/>
  <c r="S34" i="15"/>
  <c r="S35" i="15"/>
  <c r="S36" i="15"/>
  <c r="S37" i="15"/>
  <c r="S38" i="15"/>
  <c r="S39" i="15"/>
  <c r="S40" i="15"/>
  <c r="S41" i="15"/>
  <c r="S42" i="15"/>
  <c r="S43" i="15"/>
  <c r="S44" i="15"/>
  <c r="S45" i="15"/>
  <c r="S46" i="15"/>
  <c r="S47" i="15"/>
  <c r="S48" i="15"/>
  <c r="S49" i="15"/>
  <c r="S50" i="15"/>
  <c r="S51" i="15"/>
  <c r="S52" i="15"/>
  <c r="S53" i="15"/>
  <c r="S54" i="15"/>
  <c r="S55" i="15"/>
  <c r="S56" i="15"/>
  <c r="S57" i="15"/>
  <c r="S58" i="15"/>
  <c r="S59" i="15"/>
  <c r="S60" i="15"/>
  <c r="S61" i="15"/>
  <c r="S62" i="15"/>
  <c r="S63" i="15"/>
  <c r="S64" i="15"/>
  <c r="S65" i="15"/>
  <c r="S66" i="15"/>
  <c r="S67" i="15"/>
  <c r="S68" i="15"/>
  <c r="S69" i="15"/>
  <c r="S70" i="15"/>
  <c r="S71" i="15"/>
  <c r="S72" i="15"/>
  <c r="S73" i="15"/>
  <c r="S74" i="15"/>
  <c r="S75" i="15"/>
  <c r="S76" i="15"/>
  <c r="S77" i="15"/>
  <c r="S78" i="15"/>
  <c r="S79" i="15"/>
  <c r="S80" i="15"/>
  <c r="S81" i="15"/>
  <c r="S82" i="15"/>
  <c r="S83" i="15"/>
  <c r="S84" i="15"/>
  <c r="S85" i="15"/>
  <c r="S86" i="15"/>
  <c r="S87" i="15"/>
  <c r="S88" i="15"/>
  <c r="S89" i="15"/>
  <c r="S90" i="15"/>
  <c r="S91" i="15"/>
  <c r="S92" i="15"/>
  <c r="S93" i="15"/>
  <c r="S94" i="15"/>
  <c r="S95" i="15"/>
  <c r="S96" i="15"/>
  <c r="S97" i="15"/>
  <c r="S98" i="15"/>
  <c r="S99" i="15"/>
  <c r="S100" i="15"/>
  <c r="S101" i="15"/>
  <c r="S102" i="15"/>
  <c r="S103" i="15"/>
  <c r="S104" i="15"/>
  <c r="S105" i="15"/>
  <c r="S106" i="15"/>
  <c r="S107" i="15"/>
  <c r="S108" i="15"/>
  <c r="S109" i="15"/>
  <c r="S110" i="15"/>
  <c r="S111" i="15"/>
  <c r="S112" i="15"/>
  <c r="S113" i="15"/>
  <c r="S114" i="15"/>
  <c r="S115" i="15"/>
  <c r="S116" i="15"/>
  <c r="S117" i="15"/>
  <c r="S118" i="15"/>
  <c r="S119" i="15"/>
  <c r="S120" i="15"/>
  <c r="S121" i="15"/>
  <c r="S122" i="15"/>
  <c r="S123" i="15"/>
  <c r="S124" i="15"/>
  <c r="S125" i="15"/>
  <c r="S126" i="15"/>
  <c r="S127" i="15"/>
  <c r="S128" i="15"/>
  <c r="S129" i="15"/>
  <c r="S130" i="15"/>
  <c r="S131" i="15"/>
  <c r="S132" i="15"/>
  <c r="S133" i="15"/>
  <c r="S134" i="15"/>
  <c r="S135" i="15"/>
  <c r="S136" i="15"/>
  <c r="S137" i="15"/>
  <c r="S138" i="15"/>
  <c r="S139" i="15"/>
  <c r="S140" i="15"/>
  <c r="S141" i="15"/>
  <c r="S142" i="15"/>
  <c r="S143" i="15"/>
  <c r="S144" i="15"/>
  <c r="S145" i="15"/>
  <c r="S146" i="15"/>
  <c r="S147" i="15"/>
  <c r="S148" i="15"/>
  <c r="S149" i="15"/>
  <c r="S150" i="15"/>
  <c r="S151" i="15"/>
  <c r="S152" i="15"/>
  <c r="S153" i="15"/>
  <c r="S154" i="15"/>
  <c r="S155" i="15"/>
  <c r="S156" i="15"/>
  <c r="S157" i="15"/>
  <c r="S158" i="15"/>
  <c r="S159" i="15"/>
  <c r="S160" i="15"/>
  <c r="S161" i="15"/>
  <c r="S162" i="15"/>
  <c r="S163" i="15"/>
  <c r="S164" i="15"/>
  <c r="S165" i="15"/>
  <c r="S166" i="15"/>
  <c r="S167" i="15"/>
  <c r="S168" i="15"/>
  <c r="S169" i="15"/>
  <c r="S170" i="15"/>
  <c r="S171" i="15"/>
  <c r="S172" i="15"/>
  <c r="S173" i="15"/>
  <c r="S174" i="15"/>
  <c r="S175" i="15"/>
  <c r="S176" i="15"/>
  <c r="S177" i="15"/>
  <c r="S178" i="15"/>
  <c r="S179" i="15"/>
  <c r="S180" i="15"/>
  <c r="S181" i="15"/>
  <c r="S182" i="15"/>
  <c r="S183" i="15"/>
  <c r="S184" i="15"/>
  <c r="S185" i="15"/>
  <c r="S186" i="15"/>
  <c r="S187" i="15"/>
  <c r="S188" i="15"/>
  <c r="S189" i="15"/>
  <c r="S190" i="15"/>
  <c r="S191" i="15"/>
  <c r="S192" i="15"/>
  <c r="S193" i="15"/>
  <c r="S194" i="15"/>
  <c r="S195" i="15"/>
  <c r="S196" i="15"/>
  <c r="S197" i="15"/>
  <c r="S198" i="15"/>
  <c r="S199" i="15"/>
  <c r="S200" i="15"/>
  <c r="S201" i="15"/>
  <c r="S202" i="15"/>
  <c r="S203" i="15"/>
  <c r="S204" i="15"/>
  <c r="S205" i="15"/>
  <c r="S206" i="15"/>
  <c r="S207" i="15"/>
  <c r="S208" i="15"/>
  <c r="S209" i="15"/>
  <c r="S210" i="15"/>
  <c r="S211" i="15"/>
  <c r="S212" i="15"/>
  <c r="S213" i="15"/>
  <c r="S214" i="15"/>
  <c r="S215" i="15"/>
  <c r="S216" i="15"/>
  <c r="S217" i="15"/>
  <c r="S218" i="15"/>
  <c r="S219" i="15"/>
  <c r="S220" i="15"/>
  <c r="S221" i="15"/>
  <c r="S222" i="15"/>
  <c r="S223" i="15"/>
  <c r="S224" i="15"/>
  <c r="S225" i="15"/>
  <c r="S226" i="15"/>
  <c r="S227" i="15"/>
  <c r="S228" i="15"/>
  <c r="S229" i="15"/>
  <c r="S230" i="15"/>
  <c r="S231" i="15"/>
  <c r="S232" i="15"/>
  <c r="S233" i="15"/>
  <c r="S234" i="15"/>
  <c r="S235" i="15"/>
  <c r="S236" i="15"/>
  <c r="S237" i="15"/>
  <c r="S238" i="15"/>
  <c r="S239" i="15"/>
  <c r="S240" i="15"/>
  <c r="S241" i="15"/>
  <c r="S242" i="15"/>
  <c r="S243" i="15"/>
  <c r="S244" i="15"/>
  <c r="S245" i="15"/>
  <c r="S246" i="15"/>
  <c r="S247" i="15"/>
  <c r="S248" i="15"/>
  <c r="S249" i="15"/>
  <c r="S250" i="15"/>
  <c r="S251" i="15"/>
  <c r="S252" i="15"/>
  <c r="S253" i="15"/>
  <c r="S254" i="15"/>
  <c r="S255" i="15"/>
  <c r="S256" i="15"/>
  <c r="S257" i="15"/>
  <c r="S258" i="15"/>
  <c r="S259" i="15"/>
  <c r="S260" i="15"/>
  <c r="S261" i="15"/>
  <c r="S262" i="15"/>
  <c r="S263" i="15"/>
  <c r="S264" i="15"/>
  <c r="S265" i="15"/>
  <c r="S266" i="15"/>
  <c r="S267" i="15"/>
  <c r="S268" i="15"/>
  <c r="S269" i="15"/>
  <c r="S270" i="15"/>
  <c r="S271" i="15"/>
  <c r="S272" i="15"/>
  <c r="S273" i="15"/>
  <c r="S274" i="15"/>
  <c r="S275" i="15"/>
  <c r="S276" i="15"/>
  <c r="S277" i="15"/>
  <c r="S278" i="15"/>
  <c r="S279" i="15"/>
  <c r="S280" i="15"/>
  <c r="S281" i="15"/>
  <c r="S282" i="15"/>
  <c r="S283" i="15"/>
  <c r="S284" i="15"/>
  <c r="S285" i="15"/>
  <c r="S286" i="15"/>
  <c r="S287" i="15"/>
  <c r="S288" i="15"/>
  <c r="S289" i="15"/>
  <c r="S290" i="15"/>
  <c r="S291" i="15"/>
  <c r="S292" i="15"/>
  <c r="S293" i="15"/>
  <c r="S294" i="15"/>
  <c r="S295" i="15"/>
  <c r="S296" i="15"/>
  <c r="S297" i="15"/>
  <c r="S298" i="15"/>
  <c r="S299" i="15"/>
  <c r="S300" i="15"/>
  <c r="S301" i="15"/>
  <c r="S302" i="15"/>
  <c r="S303" i="15"/>
  <c r="S304" i="15"/>
  <c r="S305" i="15"/>
  <c r="S306" i="15"/>
  <c r="S307" i="15"/>
  <c r="S308" i="15"/>
  <c r="S309" i="15"/>
  <c r="S310" i="15"/>
  <c r="S311" i="15"/>
  <c r="S312" i="15"/>
  <c r="S313" i="15"/>
  <c r="S314" i="15"/>
  <c r="S315" i="15"/>
  <c r="S316" i="15"/>
  <c r="S317" i="15"/>
  <c r="S318" i="15"/>
  <c r="S319" i="15"/>
  <c r="S320" i="15"/>
  <c r="S321" i="15"/>
  <c r="S322" i="15"/>
  <c r="S323" i="15"/>
  <c r="S324" i="15"/>
  <c r="S325" i="15"/>
  <c r="S326" i="15"/>
  <c r="S327" i="15"/>
  <c r="S328" i="15"/>
  <c r="S329" i="15"/>
  <c r="S330" i="15"/>
  <c r="S331" i="15"/>
  <c r="S332" i="15"/>
  <c r="S333" i="15"/>
  <c r="S334" i="15"/>
  <c r="S335" i="15"/>
  <c r="S336" i="15"/>
  <c r="S337" i="15"/>
  <c r="S338" i="15"/>
  <c r="S339" i="15"/>
  <c r="S340" i="15"/>
  <c r="S341" i="15"/>
  <c r="S342" i="15"/>
  <c r="S343" i="15"/>
  <c r="S344" i="15"/>
  <c r="S345" i="15"/>
  <c r="S346" i="15"/>
  <c r="S347" i="15"/>
  <c r="S348" i="15"/>
  <c r="S349" i="15"/>
  <c r="S350" i="15"/>
  <c r="S351" i="15"/>
  <c r="S352" i="15"/>
  <c r="S353" i="15"/>
  <c r="S354" i="15"/>
  <c r="S355" i="15"/>
  <c r="S356" i="15"/>
  <c r="S357" i="15"/>
  <c r="S358" i="15"/>
  <c r="S359" i="15"/>
  <c r="S360" i="15"/>
  <c r="S361" i="15"/>
  <c r="S362" i="15"/>
  <c r="S363" i="15"/>
  <c r="S364" i="15"/>
  <c r="S365" i="15"/>
  <c r="S366" i="15"/>
  <c r="S367" i="15"/>
  <c r="S368" i="15"/>
  <c r="S369" i="15"/>
  <c r="S370" i="15"/>
  <c r="S371" i="15"/>
  <c r="S372" i="15"/>
  <c r="S373" i="15"/>
  <c r="S374" i="15"/>
  <c r="S375" i="15"/>
  <c r="S376" i="15"/>
  <c r="S377" i="15"/>
  <c r="S378" i="15"/>
  <c r="S379" i="15"/>
  <c r="S380" i="15"/>
  <c r="S381" i="15"/>
  <c r="S382" i="15"/>
  <c r="S383" i="15"/>
  <c r="S384" i="15"/>
  <c r="S385" i="15"/>
  <c r="S386" i="15"/>
  <c r="S387" i="15"/>
  <c r="S388" i="15"/>
  <c r="S389" i="15"/>
  <c r="S390" i="15"/>
  <c r="S391" i="15"/>
  <c r="S392" i="15"/>
  <c r="S393" i="15"/>
  <c r="S394" i="15"/>
  <c r="S395" i="15"/>
  <c r="S396" i="15"/>
  <c r="S397" i="15"/>
  <c r="S398" i="15"/>
  <c r="S399" i="15"/>
  <c r="S400" i="15"/>
  <c r="S401" i="15"/>
  <c r="S402" i="15"/>
  <c r="S403" i="15"/>
  <c r="S404" i="15"/>
  <c r="S405" i="15"/>
  <c r="S406" i="15"/>
  <c r="S407" i="15"/>
  <c r="S408" i="15"/>
  <c r="S409" i="15"/>
  <c r="S410" i="15"/>
  <c r="S411" i="15"/>
  <c r="S412" i="15"/>
  <c r="S413" i="15"/>
  <c r="S414" i="15"/>
  <c r="S415" i="15"/>
  <c r="S416" i="15"/>
  <c r="S417" i="15"/>
  <c r="S418" i="15"/>
  <c r="S419" i="15"/>
  <c r="S420" i="15"/>
  <c r="S421" i="15"/>
  <c r="S422" i="15"/>
  <c r="S423" i="15"/>
  <c r="S424" i="15"/>
  <c r="S425" i="15"/>
  <c r="S426" i="15"/>
  <c r="S427" i="15"/>
  <c r="S428" i="15"/>
  <c r="S429" i="15"/>
  <c r="S430" i="15"/>
  <c r="S431" i="15"/>
  <c r="S432" i="15"/>
  <c r="S433" i="15"/>
  <c r="S434" i="15"/>
  <c r="S435" i="15"/>
  <c r="S436" i="15"/>
  <c r="S437" i="15"/>
  <c r="S438" i="15"/>
  <c r="S439" i="15"/>
  <c r="S440" i="15"/>
  <c r="S441" i="15"/>
  <c r="S442" i="15"/>
  <c r="S443" i="15"/>
  <c r="S444" i="15"/>
  <c r="S445" i="15"/>
  <c r="S446" i="15"/>
  <c r="S447" i="15"/>
  <c r="S448" i="15"/>
  <c r="S449" i="15"/>
  <c r="S450" i="15"/>
  <c r="S451" i="15"/>
  <c r="S452" i="15"/>
  <c r="S453" i="15"/>
  <c r="S454" i="15"/>
  <c r="S455" i="15"/>
  <c r="S456" i="15"/>
  <c r="S457" i="15"/>
  <c r="S458" i="15"/>
  <c r="S459" i="15"/>
  <c r="S460" i="15"/>
  <c r="S461" i="15"/>
  <c r="S462" i="15"/>
  <c r="S463" i="15"/>
  <c r="S464" i="15"/>
  <c r="S465" i="15"/>
  <c r="S466" i="15"/>
  <c r="S467" i="15"/>
  <c r="S468" i="15"/>
  <c r="S469" i="15"/>
  <c r="S470" i="15"/>
  <c r="S471" i="15"/>
  <c r="S472" i="15"/>
  <c r="S473" i="15"/>
  <c r="S474" i="15"/>
  <c r="S475" i="15"/>
  <c r="S476" i="15"/>
  <c r="S477" i="15"/>
  <c r="S478" i="15"/>
  <c r="S479" i="15"/>
  <c r="S480" i="15"/>
  <c r="S481" i="15"/>
  <c r="S482" i="15"/>
  <c r="S483" i="15"/>
  <c r="S484" i="15"/>
  <c r="S485" i="15"/>
  <c r="S486" i="15"/>
  <c r="S487" i="15"/>
  <c r="S488" i="15"/>
  <c r="S489" i="15"/>
  <c r="S490" i="15"/>
  <c r="S491" i="15"/>
  <c r="S492" i="15"/>
  <c r="S493" i="15"/>
  <c r="S494" i="15"/>
  <c r="S495" i="15"/>
  <c r="S496" i="15"/>
  <c r="S497" i="15"/>
  <c r="S498" i="15"/>
  <c r="S499" i="15"/>
  <c r="S500" i="15"/>
  <c r="S501" i="15"/>
  <c r="S502" i="15"/>
  <c r="S503" i="15"/>
  <c r="S504" i="15"/>
  <c r="S505" i="15"/>
  <c r="S506" i="15"/>
  <c r="S507" i="15"/>
  <c r="S508" i="15"/>
  <c r="S509" i="15"/>
  <c r="S510" i="15"/>
  <c r="S511" i="15"/>
  <c r="S512" i="15"/>
  <c r="S513" i="15"/>
  <c r="S514" i="15"/>
  <c r="S515" i="15"/>
  <c r="S516" i="15"/>
  <c r="S517" i="15"/>
  <c r="S518" i="15"/>
  <c r="S519" i="15"/>
  <c r="S520" i="15"/>
  <c r="S521" i="15"/>
  <c r="S522" i="15"/>
  <c r="S523" i="15"/>
  <c r="S524" i="15"/>
  <c r="S525" i="15"/>
  <c r="S526" i="15"/>
  <c r="S527" i="15"/>
  <c r="S528" i="15"/>
  <c r="S529" i="15"/>
  <c r="S530" i="15"/>
  <c r="S531" i="15"/>
  <c r="S532" i="15"/>
  <c r="S533" i="15"/>
  <c r="S534" i="15"/>
  <c r="O773" i="10"/>
  <c r="O774" i="10"/>
  <c r="O775" i="10"/>
  <c r="O776" i="10"/>
  <c r="O777" i="10"/>
  <c r="O778" i="10"/>
  <c r="O779" i="10"/>
  <c r="O780" i="10"/>
  <c r="O781" i="10"/>
  <c r="O782" i="10"/>
  <c r="O783" i="10"/>
  <c r="O784" i="10"/>
  <c r="O785" i="10"/>
  <c r="O786" i="10"/>
  <c r="O787" i="10"/>
  <c r="O788" i="10"/>
  <c r="O789" i="10"/>
  <c r="O790" i="10"/>
  <c r="O791" i="10"/>
  <c r="P773" i="10"/>
  <c r="W773" i="10" s="1"/>
  <c r="P774" i="10"/>
  <c r="Z774" i="10" s="1"/>
  <c r="P775" i="10"/>
  <c r="W775" i="10" s="1"/>
  <c r="P776" i="10"/>
  <c r="Z776" i="10" s="1"/>
  <c r="P777" i="10"/>
  <c r="X777" i="10" s="1"/>
  <c r="Y777" i="10" s="1"/>
  <c r="P778" i="10"/>
  <c r="Z778" i="10" s="1"/>
  <c r="P779" i="10"/>
  <c r="W779" i="10" s="1"/>
  <c r="P780" i="10"/>
  <c r="P781" i="10"/>
  <c r="X781" i="10" s="1"/>
  <c r="Y781" i="10" s="1"/>
  <c r="P782" i="10"/>
  <c r="X782" i="10" s="1"/>
  <c r="Y782" i="10" s="1"/>
  <c r="P783" i="10"/>
  <c r="Z783" i="10" s="1"/>
  <c r="P784" i="10"/>
  <c r="W784" i="10" s="1"/>
  <c r="P785" i="10"/>
  <c r="P786" i="10"/>
  <c r="Z786" i="10" s="1"/>
  <c r="P787" i="10"/>
  <c r="W787" i="10" s="1"/>
  <c r="P788" i="10"/>
  <c r="W788" i="10" s="1"/>
  <c r="P789" i="10"/>
  <c r="W789" i="10" s="1"/>
  <c r="P790" i="10"/>
  <c r="P791" i="10"/>
  <c r="X791" i="10" s="1"/>
  <c r="Y791" i="10" s="1"/>
  <c r="Q773" i="10"/>
  <c r="Q774" i="10"/>
  <c r="S774" i="10" s="1"/>
  <c r="Q775" i="10"/>
  <c r="S775" i="10" s="1"/>
  <c r="Q776" i="10"/>
  <c r="S776" i="10" s="1"/>
  <c r="Q777" i="10"/>
  <c r="S777" i="10" s="1"/>
  <c r="Q778" i="10"/>
  <c r="S778" i="10" s="1"/>
  <c r="Q779" i="10"/>
  <c r="Q780" i="10"/>
  <c r="Q781" i="10"/>
  <c r="AB781" i="10" s="1"/>
  <c r="AC781" i="10" s="1"/>
  <c r="Q782" i="10"/>
  <c r="AB782" i="10" s="1"/>
  <c r="Q783" i="10"/>
  <c r="AB783" i="10" s="1"/>
  <c r="AC783" i="10" s="1"/>
  <c r="Q784" i="10"/>
  <c r="Q785" i="10"/>
  <c r="Q786" i="10"/>
  <c r="S786" i="10" s="1"/>
  <c r="Q787" i="10"/>
  <c r="Q788" i="10"/>
  <c r="Q789" i="10"/>
  <c r="Q790" i="10"/>
  <c r="S790" i="10" s="1"/>
  <c r="Q791" i="10"/>
  <c r="AB791" i="10" s="1"/>
  <c r="R773" i="10"/>
  <c r="R774" i="10"/>
  <c r="T774" i="10" s="1"/>
  <c r="R775" i="10"/>
  <c r="T775" i="10" s="1"/>
  <c r="R776" i="10"/>
  <c r="T776" i="10" s="1"/>
  <c r="R777" i="10"/>
  <c r="T777" i="10" s="1"/>
  <c r="R778" i="10"/>
  <c r="T778" i="10" s="1"/>
  <c r="R779" i="10"/>
  <c r="T779" i="10" s="1"/>
  <c r="R780" i="10"/>
  <c r="T780" i="10" s="1"/>
  <c r="R781" i="10"/>
  <c r="T781" i="10" s="1"/>
  <c r="R782" i="10"/>
  <c r="T782" i="10" s="1"/>
  <c r="R783" i="10"/>
  <c r="T783" i="10" s="1"/>
  <c r="R784" i="10"/>
  <c r="T784" i="10" s="1"/>
  <c r="R785" i="10"/>
  <c r="T785" i="10" s="1"/>
  <c r="R786" i="10"/>
  <c r="R787" i="10"/>
  <c r="T787" i="10" s="1"/>
  <c r="R788" i="10"/>
  <c r="T788" i="10" s="1"/>
  <c r="R789" i="10"/>
  <c r="T789" i="10" s="1"/>
  <c r="R790" i="10"/>
  <c r="T790" i="10" s="1"/>
  <c r="R791" i="10"/>
  <c r="T791" i="10" s="1"/>
  <c r="S783" i="10"/>
  <c r="U773" i="10"/>
  <c r="V773" i="10" s="1"/>
  <c r="U774" i="10"/>
  <c r="U775" i="10"/>
  <c r="V775" i="10" s="1"/>
  <c r="U776" i="10"/>
  <c r="U777" i="10"/>
  <c r="U778" i="10"/>
  <c r="U779" i="10"/>
  <c r="V779" i="10" s="1"/>
  <c r="U780" i="10"/>
  <c r="V780" i="10" s="1"/>
  <c r="U781" i="10"/>
  <c r="V781" i="10" s="1"/>
  <c r="U782" i="10"/>
  <c r="V782" i="10" s="1"/>
  <c r="U783" i="10"/>
  <c r="U784" i="10"/>
  <c r="V784" i="10" s="1"/>
  <c r="U785" i="10"/>
  <c r="V785" i="10" s="1"/>
  <c r="U786" i="10"/>
  <c r="V786" i="10" s="1"/>
  <c r="U787" i="10"/>
  <c r="V787" i="10" s="1"/>
  <c r="U788" i="10"/>
  <c r="V788" i="10" s="1"/>
  <c r="U789" i="10"/>
  <c r="V789" i="10" s="1"/>
  <c r="U790" i="10"/>
  <c r="V790" i="10" s="1"/>
  <c r="U791" i="10"/>
  <c r="V791" i="10" s="1"/>
  <c r="W780" i="10"/>
  <c r="W781" i="10"/>
  <c r="Z781" i="10"/>
  <c r="AA774" i="10"/>
  <c r="AA775" i="10"/>
  <c r="AE775" i="10" s="1"/>
  <c r="AA776" i="10"/>
  <c r="AE776" i="10" s="1"/>
  <c r="AA777" i="10"/>
  <c r="AE777" i="10" s="1"/>
  <c r="AA778" i="10"/>
  <c r="AE778" i="10" s="1"/>
  <c r="AA780" i="10"/>
  <c r="AE780" i="10" s="1"/>
  <c r="AA781" i="10"/>
  <c r="AE781" i="10" s="1"/>
  <c r="AA782" i="10"/>
  <c r="AE782" i="10" s="1"/>
  <c r="AA783" i="10"/>
  <c r="AA789" i="10"/>
  <c r="AE789" i="10" s="1"/>
  <c r="AA790" i="10"/>
  <c r="AE790" i="10" s="1"/>
  <c r="AA791" i="10"/>
  <c r="AE791" i="10" s="1"/>
  <c r="O4" i="15"/>
  <c r="O5" i="15"/>
  <c r="O6" i="15"/>
  <c r="O7" i="15"/>
  <c r="O8" i="15"/>
  <c r="O9" i="15"/>
  <c r="O10" i="15"/>
  <c r="O11" i="15"/>
  <c r="O12" i="15"/>
  <c r="O13" i="15"/>
  <c r="O14" i="15"/>
  <c r="O15" i="15"/>
  <c r="O16" i="15"/>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208" i="15"/>
  <c r="O209" i="15"/>
  <c r="O210" i="15"/>
  <c r="O211" i="15"/>
  <c r="O212" i="15"/>
  <c r="O213" i="15"/>
  <c r="O214" i="15"/>
  <c r="O215" i="15"/>
  <c r="O216" i="15"/>
  <c r="O217" i="15"/>
  <c r="O218" i="15"/>
  <c r="O219" i="15"/>
  <c r="O220" i="15"/>
  <c r="O221" i="15"/>
  <c r="O222" i="15"/>
  <c r="O223" i="15"/>
  <c r="O224" i="15"/>
  <c r="O225" i="15"/>
  <c r="O226" i="15"/>
  <c r="O227" i="15"/>
  <c r="O228" i="15"/>
  <c r="O229" i="15"/>
  <c r="O230" i="15"/>
  <c r="O231" i="15"/>
  <c r="O232" i="15"/>
  <c r="O233" i="15"/>
  <c r="O234" i="15"/>
  <c r="O235" i="15"/>
  <c r="O236" i="15"/>
  <c r="O237" i="15"/>
  <c r="O238" i="15"/>
  <c r="O239" i="15"/>
  <c r="O240" i="15"/>
  <c r="O241" i="15"/>
  <c r="O242" i="15"/>
  <c r="O243" i="15"/>
  <c r="O244" i="15"/>
  <c r="O245" i="15"/>
  <c r="O246" i="15"/>
  <c r="O247" i="15"/>
  <c r="O248" i="15"/>
  <c r="O249" i="15"/>
  <c r="O250" i="15"/>
  <c r="O251" i="15"/>
  <c r="O252" i="15"/>
  <c r="O253" i="15"/>
  <c r="O254" i="15"/>
  <c r="O255" i="15"/>
  <c r="O256" i="15"/>
  <c r="O257" i="15"/>
  <c r="O258" i="15"/>
  <c r="O259" i="15"/>
  <c r="O260" i="15"/>
  <c r="O261" i="15"/>
  <c r="O262" i="15"/>
  <c r="O263" i="15"/>
  <c r="O264" i="15"/>
  <c r="O265" i="15"/>
  <c r="O266" i="15"/>
  <c r="O267" i="15"/>
  <c r="O268" i="15"/>
  <c r="O269" i="15"/>
  <c r="O270" i="15"/>
  <c r="O271" i="15"/>
  <c r="O272" i="15"/>
  <c r="O273" i="15"/>
  <c r="O274" i="15"/>
  <c r="O275" i="15"/>
  <c r="O276" i="15"/>
  <c r="O277" i="15"/>
  <c r="O278" i="15"/>
  <c r="O279" i="15"/>
  <c r="O280" i="15"/>
  <c r="O281" i="15"/>
  <c r="O282" i="15"/>
  <c r="O283" i="15"/>
  <c r="O284" i="15"/>
  <c r="O285" i="15"/>
  <c r="O286" i="15"/>
  <c r="O287" i="15"/>
  <c r="O288" i="15"/>
  <c r="O289" i="15"/>
  <c r="O290" i="15"/>
  <c r="O291" i="15"/>
  <c r="O292" i="15"/>
  <c r="O293" i="15"/>
  <c r="O294" i="15"/>
  <c r="O295" i="15"/>
  <c r="O296" i="15"/>
  <c r="O297" i="15"/>
  <c r="O298" i="15"/>
  <c r="O299" i="15"/>
  <c r="O300" i="15"/>
  <c r="O301" i="15"/>
  <c r="O302" i="15"/>
  <c r="O303" i="15"/>
  <c r="O304" i="15"/>
  <c r="O305" i="15"/>
  <c r="O306" i="15"/>
  <c r="O307" i="15"/>
  <c r="O308" i="15"/>
  <c r="O309" i="15"/>
  <c r="O310" i="15"/>
  <c r="O311" i="15"/>
  <c r="O312" i="15"/>
  <c r="O313" i="15"/>
  <c r="O314" i="15"/>
  <c r="O315" i="15"/>
  <c r="O316" i="15"/>
  <c r="O317" i="15"/>
  <c r="O318" i="15"/>
  <c r="O319" i="15"/>
  <c r="O320" i="15"/>
  <c r="O321" i="15"/>
  <c r="O322" i="15"/>
  <c r="O323" i="15"/>
  <c r="O324" i="15"/>
  <c r="O325" i="15"/>
  <c r="O326" i="15"/>
  <c r="O327" i="15"/>
  <c r="O328" i="15"/>
  <c r="O329" i="15"/>
  <c r="O330" i="15"/>
  <c r="O331" i="15"/>
  <c r="O332" i="15"/>
  <c r="O333" i="15"/>
  <c r="O334" i="15"/>
  <c r="O335" i="15"/>
  <c r="O336" i="15"/>
  <c r="O337" i="15"/>
  <c r="O338" i="15"/>
  <c r="O339" i="15"/>
  <c r="O340" i="15"/>
  <c r="O341" i="15"/>
  <c r="O342" i="15"/>
  <c r="O343" i="15"/>
  <c r="O344" i="15"/>
  <c r="O345" i="15"/>
  <c r="O346" i="15"/>
  <c r="O347" i="15"/>
  <c r="O348" i="15"/>
  <c r="O349" i="15"/>
  <c r="O350" i="15"/>
  <c r="O351" i="15"/>
  <c r="O352" i="15"/>
  <c r="O353" i="15"/>
  <c r="O354" i="15"/>
  <c r="O355" i="15"/>
  <c r="O356" i="15"/>
  <c r="O357" i="15"/>
  <c r="O358" i="15"/>
  <c r="O359" i="15"/>
  <c r="O360" i="15"/>
  <c r="O361" i="15"/>
  <c r="O362" i="15"/>
  <c r="O363" i="15"/>
  <c r="O364" i="15"/>
  <c r="O365" i="15"/>
  <c r="O366" i="15"/>
  <c r="O367" i="15"/>
  <c r="O368" i="15"/>
  <c r="O369" i="15"/>
  <c r="O370" i="15"/>
  <c r="O371" i="15"/>
  <c r="O372" i="15"/>
  <c r="O373" i="15"/>
  <c r="O374" i="15"/>
  <c r="O375" i="15"/>
  <c r="O376" i="15"/>
  <c r="O377" i="15"/>
  <c r="O378" i="15"/>
  <c r="O379" i="15"/>
  <c r="O380" i="15"/>
  <c r="O381" i="15"/>
  <c r="O382" i="15"/>
  <c r="O383" i="15"/>
  <c r="O384" i="15"/>
  <c r="O385" i="15"/>
  <c r="O386" i="15"/>
  <c r="O387" i="15"/>
  <c r="O388" i="15"/>
  <c r="O389" i="15"/>
  <c r="O390" i="15"/>
  <c r="O391" i="15"/>
  <c r="O392" i="15"/>
  <c r="O393" i="15"/>
  <c r="O394" i="15"/>
  <c r="O395" i="15"/>
  <c r="O396" i="15"/>
  <c r="O397" i="15"/>
  <c r="O398" i="15"/>
  <c r="O399" i="15"/>
  <c r="O400" i="15"/>
  <c r="O401" i="15"/>
  <c r="O402" i="15"/>
  <c r="O403" i="15"/>
  <c r="O404" i="15"/>
  <c r="O405" i="15"/>
  <c r="O406" i="15"/>
  <c r="O407" i="15"/>
  <c r="O408" i="15"/>
  <c r="O409" i="15"/>
  <c r="O410" i="15"/>
  <c r="O411" i="15"/>
  <c r="O412" i="15"/>
  <c r="O413" i="15"/>
  <c r="O414" i="15"/>
  <c r="O415" i="15"/>
  <c r="O416" i="15"/>
  <c r="O417" i="15"/>
  <c r="O418" i="15"/>
  <c r="O419" i="15"/>
  <c r="O420" i="15"/>
  <c r="O421" i="15"/>
  <c r="O422" i="15"/>
  <c r="O423" i="15"/>
  <c r="O424" i="15"/>
  <c r="O425" i="15"/>
  <c r="O426" i="15"/>
  <c r="O427" i="15"/>
  <c r="O428" i="15"/>
  <c r="O429" i="15"/>
  <c r="O430" i="15"/>
  <c r="O431" i="15"/>
  <c r="O432" i="15"/>
  <c r="O433" i="15"/>
  <c r="O434" i="15"/>
  <c r="O435" i="15"/>
  <c r="O436" i="15"/>
  <c r="O437" i="15"/>
  <c r="O438" i="15"/>
  <c r="O439" i="15"/>
  <c r="O440" i="15"/>
  <c r="O441" i="15"/>
  <c r="O442" i="15"/>
  <c r="O443" i="15"/>
  <c r="O444" i="15"/>
  <c r="O445" i="15"/>
  <c r="O446" i="15"/>
  <c r="O447" i="15"/>
  <c r="O448" i="15"/>
  <c r="O449" i="15"/>
  <c r="O450" i="15"/>
  <c r="O451" i="15"/>
  <c r="O452" i="15"/>
  <c r="O453" i="15"/>
  <c r="O454" i="15"/>
  <c r="O455" i="15"/>
  <c r="O456" i="15"/>
  <c r="O457" i="15"/>
  <c r="O458" i="15"/>
  <c r="O459" i="15"/>
  <c r="O460" i="15"/>
  <c r="O461" i="15"/>
  <c r="O462" i="15"/>
  <c r="O463" i="15"/>
  <c r="O464" i="15"/>
  <c r="O465" i="15"/>
  <c r="O466" i="15"/>
  <c r="O467" i="15"/>
  <c r="O468" i="15"/>
  <c r="O469" i="15"/>
  <c r="O470" i="15"/>
  <c r="O471" i="15"/>
  <c r="O472" i="15"/>
  <c r="O473" i="15"/>
  <c r="O474" i="15"/>
  <c r="O475" i="15"/>
  <c r="O476" i="15"/>
  <c r="O477" i="15"/>
  <c r="O478" i="15"/>
  <c r="O479" i="15"/>
  <c r="O480" i="15"/>
  <c r="O481" i="15"/>
  <c r="O482" i="15"/>
  <c r="O483" i="15"/>
  <c r="O484" i="15"/>
  <c r="O485" i="15"/>
  <c r="O486" i="15"/>
  <c r="O487" i="15"/>
  <c r="O488" i="15"/>
  <c r="O489" i="15"/>
  <c r="O490" i="15"/>
  <c r="O491" i="15"/>
  <c r="O492" i="15"/>
  <c r="O493" i="15"/>
  <c r="O494" i="15"/>
  <c r="O495" i="15"/>
  <c r="O496" i="15"/>
  <c r="O497" i="15"/>
  <c r="O498" i="15"/>
  <c r="O499" i="15"/>
  <c r="O500" i="15"/>
  <c r="O501" i="15"/>
  <c r="O502" i="15"/>
  <c r="O503" i="15"/>
  <c r="O504" i="15"/>
  <c r="O505" i="15"/>
  <c r="O506" i="15"/>
  <c r="O507" i="15"/>
  <c r="O508" i="15"/>
  <c r="O509" i="15"/>
  <c r="O510" i="15"/>
  <c r="O511" i="15"/>
  <c r="O512" i="15"/>
  <c r="O513" i="15"/>
  <c r="O514" i="15"/>
  <c r="O515" i="15"/>
  <c r="O516" i="15"/>
  <c r="O517" i="15"/>
  <c r="O518" i="15"/>
  <c r="O519" i="15"/>
  <c r="O520" i="15"/>
  <c r="O521" i="15"/>
  <c r="O522" i="15"/>
  <c r="O523" i="15"/>
  <c r="O524" i="15"/>
  <c r="O525" i="15"/>
  <c r="O526" i="15"/>
  <c r="O527" i="15"/>
  <c r="O528" i="15"/>
  <c r="O529" i="15"/>
  <c r="O530" i="15"/>
  <c r="O531" i="15"/>
  <c r="O532" i="15"/>
  <c r="O533" i="15"/>
  <c r="O534" i="15"/>
  <c r="P4" i="15"/>
  <c r="P5" i="15"/>
  <c r="P6" i="15"/>
  <c r="P7" i="15"/>
  <c r="P8" i="15"/>
  <c r="P9" i="15"/>
  <c r="P10" i="15"/>
  <c r="P11" i="15"/>
  <c r="P12" i="15"/>
  <c r="P13" i="15"/>
  <c r="P14" i="15"/>
  <c r="P15" i="15"/>
  <c r="P16" i="15"/>
  <c r="P17" i="15"/>
  <c r="P18" i="15"/>
  <c r="P19" i="15"/>
  <c r="P20" i="15"/>
  <c r="P21" i="15"/>
  <c r="P22" i="15"/>
  <c r="P23" i="15"/>
  <c r="P24" i="15"/>
  <c r="P25" i="15"/>
  <c r="P26" i="15"/>
  <c r="P27" i="15"/>
  <c r="P28" i="15"/>
  <c r="P29" i="15"/>
  <c r="P30" i="15"/>
  <c r="P31" i="15"/>
  <c r="P32" i="15"/>
  <c r="P33" i="15"/>
  <c r="P34" i="15"/>
  <c r="P35" i="15"/>
  <c r="P36" i="15"/>
  <c r="P37" i="15"/>
  <c r="P38" i="15"/>
  <c r="P39" i="15"/>
  <c r="P40" i="15"/>
  <c r="P41" i="15"/>
  <c r="P42" i="15"/>
  <c r="P43" i="15"/>
  <c r="P44" i="15"/>
  <c r="P45" i="15"/>
  <c r="P46" i="15"/>
  <c r="P47" i="15"/>
  <c r="P48" i="15"/>
  <c r="P49" i="15"/>
  <c r="P50" i="15"/>
  <c r="P51" i="15"/>
  <c r="P52" i="15"/>
  <c r="P53" i="15"/>
  <c r="P54" i="15"/>
  <c r="P55" i="15"/>
  <c r="P56" i="15"/>
  <c r="P57" i="15"/>
  <c r="P58" i="15"/>
  <c r="P59" i="15"/>
  <c r="P60" i="15"/>
  <c r="P61" i="15"/>
  <c r="P62" i="15"/>
  <c r="P63" i="15"/>
  <c r="P64" i="15"/>
  <c r="P65" i="15"/>
  <c r="P66" i="15"/>
  <c r="P67" i="15"/>
  <c r="P68" i="15"/>
  <c r="P69" i="15"/>
  <c r="P70" i="15"/>
  <c r="P71" i="15"/>
  <c r="P72" i="15"/>
  <c r="P73" i="15"/>
  <c r="P74" i="15"/>
  <c r="P75" i="15"/>
  <c r="P76" i="15"/>
  <c r="P77" i="15"/>
  <c r="P78" i="15"/>
  <c r="P79" i="15"/>
  <c r="P80" i="15"/>
  <c r="P81" i="15"/>
  <c r="P82" i="15"/>
  <c r="P83" i="15"/>
  <c r="P84" i="15"/>
  <c r="P85" i="15"/>
  <c r="P86" i="15"/>
  <c r="P87" i="15"/>
  <c r="P88" i="15"/>
  <c r="P89" i="15"/>
  <c r="P90" i="15"/>
  <c r="P91" i="15"/>
  <c r="P92" i="15"/>
  <c r="P93" i="15"/>
  <c r="P94" i="15"/>
  <c r="P95" i="15"/>
  <c r="P96" i="15"/>
  <c r="P97" i="15"/>
  <c r="P98" i="15"/>
  <c r="P99" i="15"/>
  <c r="P100" i="15"/>
  <c r="P101" i="15"/>
  <c r="P102" i="15"/>
  <c r="P103" i="15"/>
  <c r="P104" i="15"/>
  <c r="P105" i="15"/>
  <c r="P106" i="15"/>
  <c r="P107" i="15"/>
  <c r="P108" i="15"/>
  <c r="P109" i="15"/>
  <c r="P110" i="15"/>
  <c r="P111" i="15"/>
  <c r="P112" i="15"/>
  <c r="P113" i="15"/>
  <c r="P114" i="15"/>
  <c r="P115" i="15"/>
  <c r="P116" i="15"/>
  <c r="P117" i="15"/>
  <c r="P118" i="15"/>
  <c r="P119" i="15"/>
  <c r="P120" i="15"/>
  <c r="P121" i="15"/>
  <c r="P122" i="15"/>
  <c r="P123" i="15"/>
  <c r="P124" i="15"/>
  <c r="P125" i="15"/>
  <c r="P126" i="15"/>
  <c r="P127" i="15"/>
  <c r="P128" i="15"/>
  <c r="P129" i="15"/>
  <c r="P130" i="15"/>
  <c r="P131" i="15"/>
  <c r="P132" i="15"/>
  <c r="P133" i="15"/>
  <c r="P134" i="15"/>
  <c r="P135" i="15"/>
  <c r="P136" i="15"/>
  <c r="P137" i="15"/>
  <c r="P138" i="15"/>
  <c r="P139" i="15"/>
  <c r="P140" i="15"/>
  <c r="P141" i="15"/>
  <c r="P142" i="15"/>
  <c r="P143" i="15"/>
  <c r="P144" i="15"/>
  <c r="P145" i="15"/>
  <c r="P146" i="15"/>
  <c r="P147" i="15"/>
  <c r="P148" i="15"/>
  <c r="P149" i="15"/>
  <c r="P150" i="15"/>
  <c r="P151" i="15"/>
  <c r="P152" i="15"/>
  <c r="P153" i="15"/>
  <c r="P154" i="15"/>
  <c r="P155" i="15"/>
  <c r="P156" i="15"/>
  <c r="P157" i="15"/>
  <c r="P158" i="15"/>
  <c r="P159" i="15"/>
  <c r="P160" i="15"/>
  <c r="P161" i="15"/>
  <c r="P162" i="15"/>
  <c r="P163" i="15"/>
  <c r="P164" i="15"/>
  <c r="P165" i="15"/>
  <c r="P166" i="15"/>
  <c r="P167" i="15"/>
  <c r="P168" i="15"/>
  <c r="P169" i="15"/>
  <c r="P170" i="15"/>
  <c r="P171" i="15"/>
  <c r="P172" i="15"/>
  <c r="P173" i="15"/>
  <c r="P174" i="15"/>
  <c r="P175" i="15"/>
  <c r="P176" i="15"/>
  <c r="P177" i="15"/>
  <c r="P178" i="15"/>
  <c r="P179" i="15"/>
  <c r="P180" i="15"/>
  <c r="P181" i="15"/>
  <c r="P182" i="15"/>
  <c r="P183" i="15"/>
  <c r="P184" i="15"/>
  <c r="P185" i="15"/>
  <c r="P186" i="15"/>
  <c r="P187" i="15"/>
  <c r="P188" i="15"/>
  <c r="P189" i="15"/>
  <c r="P190" i="15"/>
  <c r="P191" i="15"/>
  <c r="P192" i="15"/>
  <c r="P193" i="15"/>
  <c r="P194" i="15"/>
  <c r="P195" i="15"/>
  <c r="P196" i="15"/>
  <c r="P197" i="15"/>
  <c r="P198" i="15"/>
  <c r="P199" i="15"/>
  <c r="P200" i="15"/>
  <c r="P201" i="15"/>
  <c r="P202" i="15"/>
  <c r="P203" i="15"/>
  <c r="P204" i="15"/>
  <c r="P205" i="15"/>
  <c r="P206" i="15"/>
  <c r="P207" i="15"/>
  <c r="P208" i="15"/>
  <c r="P209" i="15"/>
  <c r="P210" i="15"/>
  <c r="P211" i="15"/>
  <c r="P212" i="15"/>
  <c r="P213" i="15"/>
  <c r="P214" i="15"/>
  <c r="P215" i="15"/>
  <c r="P216" i="15"/>
  <c r="P217" i="15"/>
  <c r="P218" i="15"/>
  <c r="P219" i="15"/>
  <c r="P220" i="15"/>
  <c r="P221" i="15"/>
  <c r="P222" i="15"/>
  <c r="P223" i="15"/>
  <c r="P224" i="15"/>
  <c r="P225" i="15"/>
  <c r="P226" i="15"/>
  <c r="P227" i="15"/>
  <c r="P228" i="15"/>
  <c r="P229" i="15"/>
  <c r="P230" i="15"/>
  <c r="P231" i="15"/>
  <c r="P232" i="15"/>
  <c r="P233" i="15"/>
  <c r="P234" i="15"/>
  <c r="P235" i="15"/>
  <c r="P236" i="15"/>
  <c r="P237" i="15"/>
  <c r="P238" i="15"/>
  <c r="P239" i="15"/>
  <c r="P240" i="15"/>
  <c r="P241" i="15"/>
  <c r="P242" i="15"/>
  <c r="P243" i="15"/>
  <c r="P244" i="15"/>
  <c r="P245" i="15"/>
  <c r="P246" i="15"/>
  <c r="P247" i="15"/>
  <c r="P248" i="15"/>
  <c r="P249" i="15"/>
  <c r="P250" i="15"/>
  <c r="P251" i="15"/>
  <c r="P252" i="15"/>
  <c r="P253" i="15"/>
  <c r="P254" i="15"/>
  <c r="P255" i="15"/>
  <c r="P256" i="15"/>
  <c r="P257" i="15"/>
  <c r="P258" i="15"/>
  <c r="P259" i="15"/>
  <c r="P260" i="15"/>
  <c r="P261" i="15"/>
  <c r="P262" i="15"/>
  <c r="P263" i="15"/>
  <c r="P264" i="15"/>
  <c r="P265" i="15"/>
  <c r="P266" i="15"/>
  <c r="P267" i="15"/>
  <c r="P268" i="15"/>
  <c r="P269" i="15"/>
  <c r="P270" i="15"/>
  <c r="P271" i="15"/>
  <c r="P272" i="15"/>
  <c r="P273" i="15"/>
  <c r="P274" i="15"/>
  <c r="P275" i="15"/>
  <c r="P276" i="15"/>
  <c r="P277" i="15"/>
  <c r="P278" i="15"/>
  <c r="P279" i="15"/>
  <c r="P280" i="15"/>
  <c r="P281" i="15"/>
  <c r="P282" i="15"/>
  <c r="P283" i="15"/>
  <c r="P284" i="15"/>
  <c r="P285" i="15"/>
  <c r="P286" i="15"/>
  <c r="P287" i="15"/>
  <c r="P288" i="15"/>
  <c r="P289" i="15"/>
  <c r="P290" i="15"/>
  <c r="P291" i="15"/>
  <c r="P292" i="15"/>
  <c r="P293" i="15"/>
  <c r="P294" i="15"/>
  <c r="P295" i="15"/>
  <c r="P296" i="15"/>
  <c r="P297" i="15"/>
  <c r="P298" i="15"/>
  <c r="P299" i="15"/>
  <c r="P300" i="15"/>
  <c r="P301" i="15"/>
  <c r="P302" i="15"/>
  <c r="P303" i="15"/>
  <c r="P304" i="15"/>
  <c r="P305" i="15"/>
  <c r="P306" i="15"/>
  <c r="P307" i="15"/>
  <c r="P308" i="15"/>
  <c r="P309" i="15"/>
  <c r="P310" i="15"/>
  <c r="P311" i="15"/>
  <c r="P312" i="15"/>
  <c r="P313" i="15"/>
  <c r="P314" i="15"/>
  <c r="P315" i="15"/>
  <c r="P316" i="15"/>
  <c r="P317" i="15"/>
  <c r="P318" i="15"/>
  <c r="P319" i="15"/>
  <c r="P320" i="15"/>
  <c r="P321" i="15"/>
  <c r="P322" i="15"/>
  <c r="P323" i="15"/>
  <c r="P324" i="15"/>
  <c r="P325" i="15"/>
  <c r="P326" i="15"/>
  <c r="P327" i="15"/>
  <c r="P328" i="15"/>
  <c r="P329" i="15"/>
  <c r="P330" i="15"/>
  <c r="P331" i="15"/>
  <c r="P332" i="15"/>
  <c r="P333" i="15"/>
  <c r="P334" i="15"/>
  <c r="P335" i="15"/>
  <c r="P336" i="15"/>
  <c r="P337" i="15"/>
  <c r="P338" i="15"/>
  <c r="P339" i="15"/>
  <c r="P340" i="15"/>
  <c r="P341" i="15"/>
  <c r="P342" i="15"/>
  <c r="P343" i="15"/>
  <c r="P344" i="15"/>
  <c r="P345" i="15"/>
  <c r="P346" i="15"/>
  <c r="P347" i="15"/>
  <c r="P348" i="15"/>
  <c r="P349" i="15"/>
  <c r="P350" i="15"/>
  <c r="P351" i="15"/>
  <c r="P352" i="15"/>
  <c r="P353" i="15"/>
  <c r="P354" i="15"/>
  <c r="P355" i="15"/>
  <c r="P356" i="15"/>
  <c r="P357" i="15"/>
  <c r="P358" i="15"/>
  <c r="P359" i="15"/>
  <c r="P360" i="15"/>
  <c r="P361" i="15"/>
  <c r="P362" i="15"/>
  <c r="P363" i="15"/>
  <c r="P364" i="15"/>
  <c r="P365" i="15"/>
  <c r="P366" i="15"/>
  <c r="P367" i="15"/>
  <c r="P368" i="15"/>
  <c r="P369" i="15"/>
  <c r="P370" i="15"/>
  <c r="P371" i="15"/>
  <c r="P372" i="15"/>
  <c r="P373" i="15"/>
  <c r="P374" i="15"/>
  <c r="P375" i="15"/>
  <c r="P376" i="15"/>
  <c r="P377" i="15"/>
  <c r="P378" i="15"/>
  <c r="P379" i="15"/>
  <c r="P380" i="15"/>
  <c r="P381" i="15"/>
  <c r="P382" i="15"/>
  <c r="P383" i="15"/>
  <c r="P384" i="15"/>
  <c r="P385" i="15"/>
  <c r="P386" i="15"/>
  <c r="P387" i="15"/>
  <c r="P388" i="15"/>
  <c r="P389" i="15"/>
  <c r="P390" i="15"/>
  <c r="P391" i="15"/>
  <c r="P392" i="15"/>
  <c r="P393" i="15"/>
  <c r="P394" i="15"/>
  <c r="P395" i="15"/>
  <c r="P396" i="15"/>
  <c r="P397" i="15"/>
  <c r="P398" i="15"/>
  <c r="P399" i="15"/>
  <c r="P400" i="15"/>
  <c r="P401" i="15"/>
  <c r="P402" i="15"/>
  <c r="P403" i="15"/>
  <c r="P404" i="15"/>
  <c r="P405" i="15"/>
  <c r="P406" i="15"/>
  <c r="P407" i="15"/>
  <c r="P408" i="15"/>
  <c r="P409" i="15"/>
  <c r="P410" i="15"/>
  <c r="P411" i="15"/>
  <c r="P412" i="15"/>
  <c r="P413" i="15"/>
  <c r="P414" i="15"/>
  <c r="P415" i="15"/>
  <c r="P416" i="15"/>
  <c r="P417" i="15"/>
  <c r="P418" i="15"/>
  <c r="P419" i="15"/>
  <c r="P420" i="15"/>
  <c r="P421" i="15"/>
  <c r="P422" i="15"/>
  <c r="P423" i="15"/>
  <c r="P424" i="15"/>
  <c r="P425" i="15"/>
  <c r="P426" i="15"/>
  <c r="P427" i="15"/>
  <c r="P428" i="15"/>
  <c r="P429" i="15"/>
  <c r="P430" i="15"/>
  <c r="P431" i="15"/>
  <c r="P432" i="15"/>
  <c r="P433" i="15"/>
  <c r="P434" i="15"/>
  <c r="P435" i="15"/>
  <c r="P436" i="15"/>
  <c r="P437" i="15"/>
  <c r="P438" i="15"/>
  <c r="P439" i="15"/>
  <c r="P440" i="15"/>
  <c r="P441" i="15"/>
  <c r="P442" i="15"/>
  <c r="P443" i="15"/>
  <c r="P444" i="15"/>
  <c r="P445" i="15"/>
  <c r="P446" i="15"/>
  <c r="P447" i="15"/>
  <c r="P448" i="15"/>
  <c r="P449" i="15"/>
  <c r="P450" i="15"/>
  <c r="P451" i="15"/>
  <c r="P452" i="15"/>
  <c r="P453" i="15"/>
  <c r="P454" i="15"/>
  <c r="P455" i="15"/>
  <c r="P456" i="15"/>
  <c r="P457" i="15"/>
  <c r="P458" i="15"/>
  <c r="P459" i="15"/>
  <c r="P460" i="15"/>
  <c r="P461" i="15"/>
  <c r="P462" i="15"/>
  <c r="P463" i="15"/>
  <c r="P464" i="15"/>
  <c r="P465" i="15"/>
  <c r="P466" i="15"/>
  <c r="P467" i="15"/>
  <c r="P468" i="15"/>
  <c r="P469" i="15"/>
  <c r="P470" i="15"/>
  <c r="P471" i="15"/>
  <c r="P472" i="15"/>
  <c r="P473" i="15"/>
  <c r="P474" i="15"/>
  <c r="P475" i="15"/>
  <c r="P476" i="15"/>
  <c r="P477" i="15"/>
  <c r="P478" i="15"/>
  <c r="P479" i="15"/>
  <c r="P480" i="15"/>
  <c r="P481" i="15"/>
  <c r="P482" i="15"/>
  <c r="P483" i="15"/>
  <c r="P484" i="15"/>
  <c r="P485" i="15"/>
  <c r="P486" i="15"/>
  <c r="P487" i="15"/>
  <c r="P488" i="15"/>
  <c r="P489" i="15"/>
  <c r="P490" i="15"/>
  <c r="P491" i="15"/>
  <c r="P492" i="15"/>
  <c r="P493" i="15"/>
  <c r="P494" i="15"/>
  <c r="P495" i="15"/>
  <c r="P496" i="15"/>
  <c r="P497" i="15"/>
  <c r="P498" i="15"/>
  <c r="P499" i="15"/>
  <c r="P500" i="15"/>
  <c r="P501" i="15"/>
  <c r="P502" i="15"/>
  <c r="P503" i="15"/>
  <c r="P504" i="15"/>
  <c r="P505" i="15"/>
  <c r="P506" i="15"/>
  <c r="P507" i="15"/>
  <c r="P508" i="15"/>
  <c r="P509" i="15"/>
  <c r="P510" i="15"/>
  <c r="P511" i="15"/>
  <c r="P512" i="15"/>
  <c r="P513" i="15"/>
  <c r="P514" i="15"/>
  <c r="P515" i="15"/>
  <c r="P516" i="15"/>
  <c r="P517" i="15"/>
  <c r="P518" i="15"/>
  <c r="P519" i="15"/>
  <c r="P520" i="15"/>
  <c r="P521" i="15"/>
  <c r="P522" i="15"/>
  <c r="P523" i="15"/>
  <c r="P524" i="15"/>
  <c r="P525" i="15"/>
  <c r="P526" i="15"/>
  <c r="P527" i="15"/>
  <c r="P528" i="15"/>
  <c r="P529" i="15"/>
  <c r="P530" i="15"/>
  <c r="P531" i="15"/>
  <c r="P532" i="15"/>
  <c r="P533" i="15"/>
  <c r="P534" i="15"/>
  <c r="Q4" i="15"/>
  <c r="Q5" i="15"/>
  <c r="Q6" i="15"/>
  <c r="Q7" i="15"/>
  <c r="Q8" i="15"/>
  <c r="Q9" i="15"/>
  <c r="Q10" i="15"/>
  <c r="Q11" i="15"/>
  <c r="Q12" i="15"/>
  <c r="Q13" i="15"/>
  <c r="Q14" i="15"/>
  <c r="Q15" i="15"/>
  <c r="Q16" i="15"/>
  <c r="Q17" i="15"/>
  <c r="Q18" i="15"/>
  <c r="Q19" i="15"/>
  <c r="Q20" i="15"/>
  <c r="Q21" i="15"/>
  <c r="Q22" i="15"/>
  <c r="Q23" i="15"/>
  <c r="Q24" i="15"/>
  <c r="Q25" i="15"/>
  <c r="Q26" i="15"/>
  <c r="Q27" i="15"/>
  <c r="Q28" i="15"/>
  <c r="Q29" i="15"/>
  <c r="Q30" i="15"/>
  <c r="Q31" i="15"/>
  <c r="Q32" i="15"/>
  <c r="Q33" i="15"/>
  <c r="Q34" i="15"/>
  <c r="Q35" i="15"/>
  <c r="Q36" i="15"/>
  <c r="Q37" i="15"/>
  <c r="Q38" i="15"/>
  <c r="Q39" i="15"/>
  <c r="Q40" i="15"/>
  <c r="Q41" i="15"/>
  <c r="Q42" i="15"/>
  <c r="Q43" i="15"/>
  <c r="Q44" i="15"/>
  <c r="Q45" i="15"/>
  <c r="Q46" i="15"/>
  <c r="Q47" i="15"/>
  <c r="Q48" i="15"/>
  <c r="Q49" i="15"/>
  <c r="Q50" i="15"/>
  <c r="Q51" i="15"/>
  <c r="Q52" i="15"/>
  <c r="Q53" i="15"/>
  <c r="Q54" i="15"/>
  <c r="Q55" i="15"/>
  <c r="Q56" i="15"/>
  <c r="Q57" i="15"/>
  <c r="Q58" i="15"/>
  <c r="Q59" i="15"/>
  <c r="Q60" i="15"/>
  <c r="Q61" i="15"/>
  <c r="Q62" i="15"/>
  <c r="Q63" i="15"/>
  <c r="Q64" i="15"/>
  <c r="Q65" i="15"/>
  <c r="Q66" i="15"/>
  <c r="Q67" i="15"/>
  <c r="Q68" i="15"/>
  <c r="Q69" i="15"/>
  <c r="Q70" i="15"/>
  <c r="Q71" i="15"/>
  <c r="Q72" i="15"/>
  <c r="Q73" i="15"/>
  <c r="Q74" i="15"/>
  <c r="Q75" i="15"/>
  <c r="Q76" i="15"/>
  <c r="Q77" i="15"/>
  <c r="Q78" i="15"/>
  <c r="Q79" i="15"/>
  <c r="Q80" i="15"/>
  <c r="Q81" i="15"/>
  <c r="Q82" i="15"/>
  <c r="Q83" i="15"/>
  <c r="Q84" i="15"/>
  <c r="Q85" i="15"/>
  <c r="Q86" i="15"/>
  <c r="Q87" i="15"/>
  <c r="Q88" i="15"/>
  <c r="Q89" i="15"/>
  <c r="Q90" i="15"/>
  <c r="Q91" i="15"/>
  <c r="Q92" i="15"/>
  <c r="Q93" i="15"/>
  <c r="Q94" i="15"/>
  <c r="Q95" i="15"/>
  <c r="Q96" i="15"/>
  <c r="Q97" i="15"/>
  <c r="Q98" i="15"/>
  <c r="Q99" i="15"/>
  <c r="Q100" i="15"/>
  <c r="Q101" i="15"/>
  <c r="Q102" i="15"/>
  <c r="Q103" i="15"/>
  <c r="Q104" i="15"/>
  <c r="Q105" i="15"/>
  <c r="Q106" i="15"/>
  <c r="Q107" i="15"/>
  <c r="Q108" i="15"/>
  <c r="Q109" i="15"/>
  <c r="Q110" i="15"/>
  <c r="Q111" i="15"/>
  <c r="Q112" i="15"/>
  <c r="Q113" i="15"/>
  <c r="Q114" i="15"/>
  <c r="Q115" i="15"/>
  <c r="Q116" i="15"/>
  <c r="Q117" i="15"/>
  <c r="Q118" i="15"/>
  <c r="Q119" i="15"/>
  <c r="Q120" i="15"/>
  <c r="Q121" i="15"/>
  <c r="Q122" i="15"/>
  <c r="Q123" i="15"/>
  <c r="Q124" i="15"/>
  <c r="Q125" i="15"/>
  <c r="Q126" i="15"/>
  <c r="Q127" i="15"/>
  <c r="Q128" i="15"/>
  <c r="Q129" i="15"/>
  <c r="Q130" i="15"/>
  <c r="Q131" i="15"/>
  <c r="Q132" i="15"/>
  <c r="Q133" i="15"/>
  <c r="Q134" i="15"/>
  <c r="Q135" i="15"/>
  <c r="Q136" i="15"/>
  <c r="Q137" i="15"/>
  <c r="Q138" i="15"/>
  <c r="Q139" i="15"/>
  <c r="Q140" i="15"/>
  <c r="Q141" i="15"/>
  <c r="Q142" i="15"/>
  <c r="Q143" i="15"/>
  <c r="Q144" i="15"/>
  <c r="Q145" i="15"/>
  <c r="Q146" i="15"/>
  <c r="Q147" i="15"/>
  <c r="Q148" i="15"/>
  <c r="Q149" i="15"/>
  <c r="Q150" i="15"/>
  <c r="Q151" i="15"/>
  <c r="Q152" i="15"/>
  <c r="Q153" i="15"/>
  <c r="Q154" i="15"/>
  <c r="Q155" i="15"/>
  <c r="Q156" i="15"/>
  <c r="Q157" i="15"/>
  <c r="Q158" i="15"/>
  <c r="Q159" i="15"/>
  <c r="Q160" i="15"/>
  <c r="Q161" i="15"/>
  <c r="Q162" i="15"/>
  <c r="Q163" i="15"/>
  <c r="Q164" i="15"/>
  <c r="Q165" i="15"/>
  <c r="Q166" i="15"/>
  <c r="Q167" i="15"/>
  <c r="Q168" i="15"/>
  <c r="Q169" i="15"/>
  <c r="Q170" i="15"/>
  <c r="Q171" i="15"/>
  <c r="Q172" i="15"/>
  <c r="Q173" i="15"/>
  <c r="Q174" i="15"/>
  <c r="Q175" i="15"/>
  <c r="Q176" i="15"/>
  <c r="Q177" i="15"/>
  <c r="Q178" i="15"/>
  <c r="Q179" i="15"/>
  <c r="Q180" i="15"/>
  <c r="Q181" i="15"/>
  <c r="Q182" i="15"/>
  <c r="Q183" i="15"/>
  <c r="Q184" i="15"/>
  <c r="Q185" i="15"/>
  <c r="Q186" i="15"/>
  <c r="Q187" i="15"/>
  <c r="Q188" i="15"/>
  <c r="Q189" i="15"/>
  <c r="Q190" i="15"/>
  <c r="Q191" i="15"/>
  <c r="Q192" i="15"/>
  <c r="Q193" i="15"/>
  <c r="Q194" i="15"/>
  <c r="Q195" i="15"/>
  <c r="Q196" i="15"/>
  <c r="Q197" i="15"/>
  <c r="Q198" i="15"/>
  <c r="Q199" i="15"/>
  <c r="Q200" i="15"/>
  <c r="Q201" i="15"/>
  <c r="Q202" i="15"/>
  <c r="Q203" i="15"/>
  <c r="Q204" i="15"/>
  <c r="Q205" i="15"/>
  <c r="Q206" i="15"/>
  <c r="Q207" i="15"/>
  <c r="Q208" i="15"/>
  <c r="Q209" i="15"/>
  <c r="Q210" i="15"/>
  <c r="Q211" i="15"/>
  <c r="Q212" i="15"/>
  <c r="Q213" i="15"/>
  <c r="Q214" i="15"/>
  <c r="Q215" i="15"/>
  <c r="Q216" i="15"/>
  <c r="Q217" i="15"/>
  <c r="Q218" i="15"/>
  <c r="Q219" i="15"/>
  <c r="Q220" i="15"/>
  <c r="Q221" i="15"/>
  <c r="Q222" i="15"/>
  <c r="Q223" i="15"/>
  <c r="Q224" i="15"/>
  <c r="Q225" i="15"/>
  <c r="Q226" i="15"/>
  <c r="Q227" i="15"/>
  <c r="Q228" i="15"/>
  <c r="Q229" i="15"/>
  <c r="Q230" i="15"/>
  <c r="Q231" i="15"/>
  <c r="Q232" i="15"/>
  <c r="Q233" i="15"/>
  <c r="Q234" i="15"/>
  <c r="Q235" i="15"/>
  <c r="Q236" i="15"/>
  <c r="Q237" i="15"/>
  <c r="Q238" i="15"/>
  <c r="Q239" i="15"/>
  <c r="Q240" i="15"/>
  <c r="Q241" i="15"/>
  <c r="Q242" i="15"/>
  <c r="Q243" i="15"/>
  <c r="Q244" i="15"/>
  <c r="Q245" i="15"/>
  <c r="Q246" i="15"/>
  <c r="Q247" i="15"/>
  <c r="Q248" i="15"/>
  <c r="Q249" i="15"/>
  <c r="Q250" i="15"/>
  <c r="Q251" i="15"/>
  <c r="Q252" i="15"/>
  <c r="Q253" i="15"/>
  <c r="Q254" i="15"/>
  <c r="Q255" i="15"/>
  <c r="Q256" i="15"/>
  <c r="Q257" i="15"/>
  <c r="Q258" i="15"/>
  <c r="Q259" i="15"/>
  <c r="Q260" i="15"/>
  <c r="Q261" i="15"/>
  <c r="Q262" i="15"/>
  <c r="Q263" i="15"/>
  <c r="Q264" i="15"/>
  <c r="Q265" i="15"/>
  <c r="Q266" i="15"/>
  <c r="Q267" i="15"/>
  <c r="Q268" i="15"/>
  <c r="Q269" i="15"/>
  <c r="Q270" i="15"/>
  <c r="Q271" i="15"/>
  <c r="Q272" i="15"/>
  <c r="Q273" i="15"/>
  <c r="Q274" i="15"/>
  <c r="Q275" i="15"/>
  <c r="Q276" i="15"/>
  <c r="Q277" i="15"/>
  <c r="Q278" i="15"/>
  <c r="Q279" i="15"/>
  <c r="Q280" i="15"/>
  <c r="Q281" i="15"/>
  <c r="Q282" i="15"/>
  <c r="Q283" i="15"/>
  <c r="Q284" i="15"/>
  <c r="Q285" i="15"/>
  <c r="Q286" i="15"/>
  <c r="Q287" i="15"/>
  <c r="Q288" i="15"/>
  <c r="Q289" i="15"/>
  <c r="Q290" i="15"/>
  <c r="Q291" i="15"/>
  <c r="Q292" i="15"/>
  <c r="Q293" i="15"/>
  <c r="Q294" i="15"/>
  <c r="Q295" i="15"/>
  <c r="Q296" i="15"/>
  <c r="Q297" i="15"/>
  <c r="Q298" i="15"/>
  <c r="Q299" i="15"/>
  <c r="Q300" i="15"/>
  <c r="Q301" i="15"/>
  <c r="Q302" i="15"/>
  <c r="Q303" i="15"/>
  <c r="Q304" i="15"/>
  <c r="Q305" i="15"/>
  <c r="Q306" i="15"/>
  <c r="Q307" i="15"/>
  <c r="Q308" i="15"/>
  <c r="Q309" i="15"/>
  <c r="Q310" i="15"/>
  <c r="Q311" i="15"/>
  <c r="Q312" i="15"/>
  <c r="Q313" i="15"/>
  <c r="Q314" i="15"/>
  <c r="Q315" i="15"/>
  <c r="Q316" i="15"/>
  <c r="Q317" i="15"/>
  <c r="Q318" i="15"/>
  <c r="Q319" i="15"/>
  <c r="Q320" i="15"/>
  <c r="Q321" i="15"/>
  <c r="Q322" i="15"/>
  <c r="Q323" i="15"/>
  <c r="Q324" i="15"/>
  <c r="Q325" i="15"/>
  <c r="Q326" i="15"/>
  <c r="Q327" i="15"/>
  <c r="Q328" i="15"/>
  <c r="Q329" i="15"/>
  <c r="Q330" i="15"/>
  <c r="Q331" i="15"/>
  <c r="Q332" i="15"/>
  <c r="Q333" i="15"/>
  <c r="Q334" i="15"/>
  <c r="Q335" i="15"/>
  <c r="Q336" i="15"/>
  <c r="Q337" i="15"/>
  <c r="Q338" i="15"/>
  <c r="Q339" i="15"/>
  <c r="Q340" i="15"/>
  <c r="Q341" i="15"/>
  <c r="Q342" i="15"/>
  <c r="Q343" i="15"/>
  <c r="Q344" i="15"/>
  <c r="Q345" i="15"/>
  <c r="Q346" i="15"/>
  <c r="Q347" i="15"/>
  <c r="Q348" i="15"/>
  <c r="Q349" i="15"/>
  <c r="Q350" i="15"/>
  <c r="Q351" i="15"/>
  <c r="Q352" i="15"/>
  <c r="Q353" i="15"/>
  <c r="Q354" i="15"/>
  <c r="Q355" i="15"/>
  <c r="Q356" i="15"/>
  <c r="Q357" i="15"/>
  <c r="Q358" i="15"/>
  <c r="Q359" i="15"/>
  <c r="Q360" i="15"/>
  <c r="Q361" i="15"/>
  <c r="Q362" i="15"/>
  <c r="Q363" i="15"/>
  <c r="Q364" i="15"/>
  <c r="Q365" i="15"/>
  <c r="Q366" i="15"/>
  <c r="Q367" i="15"/>
  <c r="Q368" i="15"/>
  <c r="Q369" i="15"/>
  <c r="Q370" i="15"/>
  <c r="Q371" i="15"/>
  <c r="Q372" i="15"/>
  <c r="Q373" i="15"/>
  <c r="Q374" i="15"/>
  <c r="Q375" i="15"/>
  <c r="Q376" i="15"/>
  <c r="Q377" i="15"/>
  <c r="Q378" i="15"/>
  <c r="Q379" i="15"/>
  <c r="Q380" i="15"/>
  <c r="Q381" i="15"/>
  <c r="Q382" i="15"/>
  <c r="Q383" i="15"/>
  <c r="Q384" i="15"/>
  <c r="Q385" i="15"/>
  <c r="Q386" i="15"/>
  <c r="Q387" i="15"/>
  <c r="Q388" i="15"/>
  <c r="Q389" i="15"/>
  <c r="Q390" i="15"/>
  <c r="Q391" i="15"/>
  <c r="Q392" i="15"/>
  <c r="Q393" i="15"/>
  <c r="Q394" i="15"/>
  <c r="Q395" i="15"/>
  <c r="Q396" i="15"/>
  <c r="Q397" i="15"/>
  <c r="Q398" i="15"/>
  <c r="Q399" i="15"/>
  <c r="Q400" i="15"/>
  <c r="Q401" i="15"/>
  <c r="Q402" i="15"/>
  <c r="Q403" i="15"/>
  <c r="Q404" i="15"/>
  <c r="Q405" i="15"/>
  <c r="Q406" i="15"/>
  <c r="Q407" i="15"/>
  <c r="Q408" i="15"/>
  <c r="Q409" i="15"/>
  <c r="Q410" i="15"/>
  <c r="Q411" i="15"/>
  <c r="Q412" i="15"/>
  <c r="Q413" i="15"/>
  <c r="Q414" i="15"/>
  <c r="Q415" i="15"/>
  <c r="Q416" i="15"/>
  <c r="Q417" i="15"/>
  <c r="Q418" i="15"/>
  <c r="Q419" i="15"/>
  <c r="Q420" i="15"/>
  <c r="Q421" i="15"/>
  <c r="Q422" i="15"/>
  <c r="Q423" i="15"/>
  <c r="Q424" i="15"/>
  <c r="Q425" i="15"/>
  <c r="Q426" i="15"/>
  <c r="Q427" i="15"/>
  <c r="Q428" i="15"/>
  <c r="Q429" i="15"/>
  <c r="Q430" i="15"/>
  <c r="Q431" i="15"/>
  <c r="Q432" i="15"/>
  <c r="Q433" i="15"/>
  <c r="Q434" i="15"/>
  <c r="Q435" i="15"/>
  <c r="Q436" i="15"/>
  <c r="Q437" i="15"/>
  <c r="Q438" i="15"/>
  <c r="Q439" i="15"/>
  <c r="Q440" i="15"/>
  <c r="Q441" i="15"/>
  <c r="Q442" i="15"/>
  <c r="Q443" i="15"/>
  <c r="Q444" i="15"/>
  <c r="Q445" i="15"/>
  <c r="Q446" i="15"/>
  <c r="Q447" i="15"/>
  <c r="Q448" i="15"/>
  <c r="Q449" i="15"/>
  <c r="Q450" i="15"/>
  <c r="Q451" i="15"/>
  <c r="Q452" i="15"/>
  <c r="Q453" i="15"/>
  <c r="Q454" i="15"/>
  <c r="Q455" i="15"/>
  <c r="Q456" i="15"/>
  <c r="Q457" i="15"/>
  <c r="Q458" i="15"/>
  <c r="Q459" i="15"/>
  <c r="Q460" i="15"/>
  <c r="Q461" i="15"/>
  <c r="Q462" i="15"/>
  <c r="Q463" i="15"/>
  <c r="Q464" i="15"/>
  <c r="Q465" i="15"/>
  <c r="Q466" i="15"/>
  <c r="Q467" i="15"/>
  <c r="Q468" i="15"/>
  <c r="Q469" i="15"/>
  <c r="Q470" i="15"/>
  <c r="Q471" i="15"/>
  <c r="Q472" i="15"/>
  <c r="Q473" i="15"/>
  <c r="Q474" i="15"/>
  <c r="Q475" i="15"/>
  <c r="Q476" i="15"/>
  <c r="Q477" i="15"/>
  <c r="Q478" i="15"/>
  <c r="Q479" i="15"/>
  <c r="Q480" i="15"/>
  <c r="Q481" i="15"/>
  <c r="Q482" i="15"/>
  <c r="Q483" i="15"/>
  <c r="Q484" i="15"/>
  <c r="Q485" i="15"/>
  <c r="Q486" i="15"/>
  <c r="Q487" i="15"/>
  <c r="Q488" i="15"/>
  <c r="Q489" i="15"/>
  <c r="Q490" i="15"/>
  <c r="Q491" i="15"/>
  <c r="Q492" i="15"/>
  <c r="Q493" i="15"/>
  <c r="Q494" i="15"/>
  <c r="Q495" i="15"/>
  <c r="Q496" i="15"/>
  <c r="Q497" i="15"/>
  <c r="Q498" i="15"/>
  <c r="Q499" i="15"/>
  <c r="Q500" i="15"/>
  <c r="Q501" i="15"/>
  <c r="Q502" i="15"/>
  <c r="Q503" i="15"/>
  <c r="Q504" i="15"/>
  <c r="Q505" i="15"/>
  <c r="Q506" i="15"/>
  <c r="Q507" i="15"/>
  <c r="Q508" i="15"/>
  <c r="Q509" i="15"/>
  <c r="Q510" i="15"/>
  <c r="Q511" i="15"/>
  <c r="Q512" i="15"/>
  <c r="Q513" i="15"/>
  <c r="Q514" i="15"/>
  <c r="Q515" i="15"/>
  <c r="Q516" i="15"/>
  <c r="Q517" i="15"/>
  <c r="Q518" i="15"/>
  <c r="Q519" i="15"/>
  <c r="Q520" i="15"/>
  <c r="Q521" i="15"/>
  <c r="Q522" i="15"/>
  <c r="Q523" i="15"/>
  <c r="Q524" i="15"/>
  <c r="Q525" i="15"/>
  <c r="Q526" i="15"/>
  <c r="Q527" i="15"/>
  <c r="Q528" i="15"/>
  <c r="Q529" i="15"/>
  <c r="Q530" i="15"/>
  <c r="Q531" i="15"/>
  <c r="Q532" i="15"/>
  <c r="Q533" i="15"/>
  <c r="Q534" i="15"/>
  <c r="R4" i="15"/>
  <c r="R5" i="15"/>
  <c r="R6" i="15"/>
  <c r="R7" i="15"/>
  <c r="R8" i="15"/>
  <c r="R9" i="15"/>
  <c r="R10" i="15"/>
  <c r="R11" i="15"/>
  <c r="R12" i="15"/>
  <c r="R13" i="15"/>
  <c r="R14" i="15"/>
  <c r="R15" i="15"/>
  <c r="R16" i="15"/>
  <c r="R17" i="15"/>
  <c r="R18" i="15"/>
  <c r="R19" i="15"/>
  <c r="R20" i="15"/>
  <c r="R21" i="15"/>
  <c r="R22" i="15"/>
  <c r="R23" i="15"/>
  <c r="R24" i="15"/>
  <c r="R25" i="15"/>
  <c r="R26" i="15"/>
  <c r="R27" i="15"/>
  <c r="R28" i="15"/>
  <c r="R29" i="15"/>
  <c r="R30" i="15"/>
  <c r="R31" i="15"/>
  <c r="R32" i="15"/>
  <c r="R33" i="15"/>
  <c r="R34" i="15"/>
  <c r="R35" i="15"/>
  <c r="R36" i="15"/>
  <c r="R37" i="15"/>
  <c r="R38" i="15"/>
  <c r="R39" i="15"/>
  <c r="R40" i="15"/>
  <c r="R41" i="15"/>
  <c r="R42" i="15"/>
  <c r="R43" i="15"/>
  <c r="R44" i="15"/>
  <c r="R45" i="15"/>
  <c r="R46" i="15"/>
  <c r="R47" i="15"/>
  <c r="R48" i="15"/>
  <c r="R49" i="15"/>
  <c r="R50" i="15"/>
  <c r="R51" i="15"/>
  <c r="R52" i="15"/>
  <c r="R53" i="15"/>
  <c r="R54" i="15"/>
  <c r="R55" i="15"/>
  <c r="R56" i="15"/>
  <c r="R57" i="15"/>
  <c r="R58" i="15"/>
  <c r="R59" i="15"/>
  <c r="R60" i="15"/>
  <c r="R61" i="15"/>
  <c r="R62" i="15"/>
  <c r="R63" i="15"/>
  <c r="R64" i="15"/>
  <c r="R65" i="15"/>
  <c r="R66" i="15"/>
  <c r="R67" i="15"/>
  <c r="R68" i="15"/>
  <c r="R69" i="15"/>
  <c r="R70" i="15"/>
  <c r="R71" i="15"/>
  <c r="R72" i="15"/>
  <c r="R73" i="15"/>
  <c r="R74" i="15"/>
  <c r="R75" i="15"/>
  <c r="R76" i="15"/>
  <c r="R77" i="15"/>
  <c r="R78" i="15"/>
  <c r="R79" i="15"/>
  <c r="R80" i="15"/>
  <c r="R81" i="15"/>
  <c r="R82" i="15"/>
  <c r="R83" i="15"/>
  <c r="R84" i="15"/>
  <c r="R85" i="15"/>
  <c r="R86" i="15"/>
  <c r="R87" i="15"/>
  <c r="R88" i="15"/>
  <c r="R89" i="15"/>
  <c r="R90" i="15"/>
  <c r="R91" i="15"/>
  <c r="R92" i="15"/>
  <c r="R93" i="15"/>
  <c r="R94" i="15"/>
  <c r="R95" i="15"/>
  <c r="R96" i="15"/>
  <c r="R97" i="15"/>
  <c r="R98" i="15"/>
  <c r="R99" i="15"/>
  <c r="R100" i="15"/>
  <c r="R101" i="15"/>
  <c r="R102" i="15"/>
  <c r="R103" i="15"/>
  <c r="R104" i="15"/>
  <c r="R105" i="15"/>
  <c r="R106" i="15"/>
  <c r="R107" i="15"/>
  <c r="R108" i="15"/>
  <c r="R109" i="15"/>
  <c r="R110" i="15"/>
  <c r="R111" i="15"/>
  <c r="R112" i="15"/>
  <c r="R113" i="15"/>
  <c r="R114" i="15"/>
  <c r="R115" i="15"/>
  <c r="R116" i="15"/>
  <c r="R117" i="15"/>
  <c r="R118" i="15"/>
  <c r="R119" i="15"/>
  <c r="R120" i="15"/>
  <c r="R121" i="15"/>
  <c r="R122" i="15"/>
  <c r="R123" i="15"/>
  <c r="R124" i="15"/>
  <c r="R125" i="15"/>
  <c r="R126" i="15"/>
  <c r="R127" i="15"/>
  <c r="R128" i="15"/>
  <c r="R129" i="15"/>
  <c r="R130" i="15"/>
  <c r="R131" i="15"/>
  <c r="R132" i="15"/>
  <c r="R133" i="15"/>
  <c r="R134" i="15"/>
  <c r="R135" i="15"/>
  <c r="R136" i="15"/>
  <c r="R137" i="15"/>
  <c r="R138" i="15"/>
  <c r="R139" i="15"/>
  <c r="R140" i="15"/>
  <c r="R141" i="15"/>
  <c r="R142" i="15"/>
  <c r="R143" i="15"/>
  <c r="R144" i="15"/>
  <c r="R145" i="15"/>
  <c r="R146" i="15"/>
  <c r="R147" i="15"/>
  <c r="R148" i="15"/>
  <c r="R149" i="15"/>
  <c r="R150" i="15"/>
  <c r="R151" i="15"/>
  <c r="R152" i="15"/>
  <c r="R153" i="15"/>
  <c r="R154" i="15"/>
  <c r="R155" i="15"/>
  <c r="R156" i="15"/>
  <c r="R157" i="15"/>
  <c r="R158" i="15"/>
  <c r="R159" i="15"/>
  <c r="R160" i="15"/>
  <c r="R161" i="15"/>
  <c r="R162" i="15"/>
  <c r="R163" i="15"/>
  <c r="R164" i="15"/>
  <c r="R165" i="15"/>
  <c r="R166" i="15"/>
  <c r="R167" i="15"/>
  <c r="R168" i="15"/>
  <c r="R169" i="15"/>
  <c r="R170" i="15"/>
  <c r="R171" i="15"/>
  <c r="R172" i="15"/>
  <c r="R173" i="15"/>
  <c r="R174" i="15"/>
  <c r="R175" i="15"/>
  <c r="R176" i="15"/>
  <c r="R177" i="15"/>
  <c r="R178" i="15"/>
  <c r="R179" i="15"/>
  <c r="R180" i="15"/>
  <c r="R181" i="15"/>
  <c r="R182" i="15"/>
  <c r="R183" i="15"/>
  <c r="R184" i="15"/>
  <c r="R185" i="15"/>
  <c r="R186" i="15"/>
  <c r="R187" i="15"/>
  <c r="R188" i="15"/>
  <c r="R189" i="15"/>
  <c r="R190" i="15"/>
  <c r="R191" i="15"/>
  <c r="R192" i="15"/>
  <c r="R193" i="15"/>
  <c r="R194" i="15"/>
  <c r="R195" i="15"/>
  <c r="R196" i="15"/>
  <c r="R197" i="15"/>
  <c r="R198" i="15"/>
  <c r="R199" i="15"/>
  <c r="R200" i="15"/>
  <c r="R201" i="15"/>
  <c r="R202" i="15"/>
  <c r="R203" i="15"/>
  <c r="R204" i="15"/>
  <c r="R205" i="15"/>
  <c r="R206" i="15"/>
  <c r="R207" i="15"/>
  <c r="R208" i="15"/>
  <c r="R209" i="15"/>
  <c r="R210" i="15"/>
  <c r="R211" i="15"/>
  <c r="R212" i="15"/>
  <c r="R213" i="15"/>
  <c r="R214" i="15"/>
  <c r="R215" i="15"/>
  <c r="R216" i="15"/>
  <c r="R217" i="15"/>
  <c r="R218" i="15"/>
  <c r="R219" i="15"/>
  <c r="R220" i="15"/>
  <c r="R221" i="15"/>
  <c r="R222" i="15"/>
  <c r="R223" i="15"/>
  <c r="R224" i="15"/>
  <c r="R225" i="15"/>
  <c r="R226" i="15"/>
  <c r="R227" i="15"/>
  <c r="R228" i="15"/>
  <c r="R229" i="15"/>
  <c r="R230" i="15"/>
  <c r="R231" i="15"/>
  <c r="R232" i="15"/>
  <c r="R233" i="15"/>
  <c r="R234" i="15"/>
  <c r="R235" i="15"/>
  <c r="R236" i="15"/>
  <c r="R237" i="15"/>
  <c r="R238" i="15"/>
  <c r="R239" i="15"/>
  <c r="R240" i="15"/>
  <c r="R241" i="15"/>
  <c r="R242" i="15"/>
  <c r="R243" i="15"/>
  <c r="R244" i="15"/>
  <c r="R245" i="15"/>
  <c r="R246" i="15"/>
  <c r="R247" i="15"/>
  <c r="R248" i="15"/>
  <c r="R249" i="15"/>
  <c r="R250" i="15"/>
  <c r="R251" i="15"/>
  <c r="R252" i="15"/>
  <c r="R253" i="15"/>
  <c r="R254" i="15"/>
  <c r="R255" i="15"/>
  <c r="R256" i="15"/>
  <c r="R257" i="15"/>
  <c r="R258" i="15"/>
  <c r="R259" i="15"/>
  <c r="R260" i="15"/>
  <c r="R261" i="15"/>
  <c r="R262" i="15"/>
  <c r="R263" i="15"/>
  <c r="R264" i="15"/>
  <c r="R265" i="15"/>
  <c r="R266" i="15"/>
  <c r="R267" i="15"/>
  <c r="R268" i="15"/>
  <c r="R269" i="15"/>
  <c r="R270" i="15"/>
  <c r="R271" i="15"/>
  <c r="R272" i="15"/>
  <c r="R273" i="15"/>
  <c r="R274" i="15"/>
  <c r="R275" i="15"/>
  <c r="R276" i="15"/>
  <c r="R277" i="15"/>
  <c r="R278" i="15"/>
  <c r="R279" i="15"/>
  <c r="R280" i="15"/>
  <c r="R281" i="15"/>
  <c r="R282" i="15"/>
  <c r="R283" i="15"/>
  <c r="R284" i="15"/>
  <c r="R285" i="15"/>
  <c r="R286" i="15"/>
  <c r="R287" i="15"/>
  <c r="R288" i="15"/>
  <c r="R289" i="15"/>
  <c r="R290" i="15"/>
  <c r="R291" i="15"/>
  <c r="R292" i="15"/>
  <c r="R293" i="15"/>
  <c r="R294" i="15"/>
  <c r="R295" i="15"/>
  <c r="R296" i="15"/>
  <c r="R297" i="15"/>
  <c r="R298" i="15"/>
  <c r="R299" i="15"/>
  <c r="R300" i="15"/>
  <c r="R301" i="15"/>
  <c r="R302" i="15"/>
  <c r="R303" i="15"/>
  <c r="R304" i="15"/>
  <c r="R305" i="15"/>
  <c r="R306" i="15"/>
  <c r="R307" i="15"/>
  <c r="R308" i="15"/>
  <c r="R309" i="15"/>
  <c r="R310" i="15"/>
  <c r="R311" i="15"/>
  <c r="R312" i="15"/>
  <c r="R313" i="15"/>
  <c r="R314" i="15"/>
  <c r="R315" i="15"/>
  <c r="R316" i="15"/>
  <c r="R317" i="15"/>
  <c r="R318" i="15"/>
  <c r="R319" i="15"/>
  <c r="R320" i="15"/>
  <c r="R321" i="15"/>
  <c r="R322" i="15"/>
  <c r="R323" i="15"/>
  <c r="R324" i="15"/>
  <c r="R325" i="15"/>
  <c r="R326" i="15"/>
  <c r="R327" i="15"/>
  <c r="R328" i="15"/>
  <c r="R329" i="15"/>
  <c r="R330" i="15"/>
  <c r="R331" i="15"/>
  <c r="R332" i="15"/>
  <c r="R333" i="15"/>
  <c r="R334" i="15"/>
  <c r="R335" i="15"/>
  <c r="R336" i="15"/>
  <c r="R337" i="15"/>
  <c r="R338" i="15"/>
  <c r="R339" i="15"/>
  <c r="R340" i="15"/>
  <c r="R341" i="15"/>
  <c r="R342" i="15"/>
  <c r="R343" i="15"/>
  <c r="R344" i="15"/>
  <c r="R345" i="15"/>
  <c r="R346" i="15"/>
  <c r="R347" i="15"/>
  <c r="R348" i="15"/>
  <c r="R349" i="15"/>
  <c r="R350" i="15"/>
  <c r="R351" i="15"/>
  <c r="R352" i="15"/>
  <c r="R353" i="15"/>
  <c r="R354" i="15"/>
  <c r="R355" i="15"/>
  <c r="R356" i="15"/>
  <c r="R357" i="15"/>
  <c r="R358" i="15"/>
  <c r="R359" i="15"/>
  <c r="R360" i="15"/>
  <c r="R361" i="15"/>
  <c r="R362" i="15"/>
  <c r="R363" i="15"/>
  <c r="R364" i="15"/>
  <c r="R365" i="15"/>
  <c r="R366" i="15"/>
  <c r="R367" i="15"/>
  <c r="R368" i="15"/>
  <c r="R369" i="15"/>
  <c r="R370" i="15"/>
  <c r="R371" i="15"/>
  <c r="R372" i="15"/>
  <c r="R373" i="15"/>
  <c r="R374" i="15"/>
  <c r="R375" i="15"/>
  <c r="R376" i="15"/>
  <c r="R377" i="15"/>
  <c r="R378" i="15"/>
  <c r="R379" i="15"/>
  <c r="R380" i="15"/>
  <c r="R381" i="15"/>
  <c r="R382" i="15"/>
  <c r="R383" i="15"/>
  <c r="R384" i="15"/>
  <c r="R385" i="15"/>
  <c r="R386" i="15"/>
  <c r="R387" i="15"/>
  <c r="R388" i="15"/>
  <c r="R389" i="15"/>
  <c r="R390" i="15"/>
  <c r="R391" i="15"/>
  <c r="R392" i="15"/>
  <c r="R393" i="15"/>
  <c r="R394" i="15"/>
  <c r="R395" i="15"/>
  <c r="R396" i="15"/>
  <c r="R397" i="15"/>
  <c r="R398" i="15"/>
  <c r="R399" i="15"/>
  <c r="R400" i="15"/>
  <c r="R401" i="15"/>
  <c r="R402" i="15"/>
  <c r="R403" i="15"/>
  <c r="R404" i="15"/>
  <c r="R405" i="15"/>
  <c r="R406" i="15"/>
  <c r="R407" i="15"/>
  <c r="R408" i="15"/>
  <c r="R409" i="15"/>
  <c r="R410" i="15"/>
  <c r="R411" i="15"/>
  <c r="R412" i="15"/>
  <c r="R413" i="15"/>
  <c r="R414" i="15"/>
  <c r="R415" i="15"/>
  <c r="R416" i="15"/>
  <c r="R417" i="15"/>
  <c r="R418" i="15"/>
  <c r="R419" i="15"/>
  <c r="R420" i="15"/>
  <c r="R421" i="15"/>
  <c r="R422" i="15"/>
  <c r="R423" i="15"/>
  <c r="R424" i="15"/>
  <c r="R425" i="15"/>
  <c r="R426" i="15"/>
  <c r="R427" i="15"/>
  <c r="R428" i="15"/>
  <c r="R429" i="15"/>
  <c r="R430" i="15"/>
  <c r="R431" i="15"/>
  <c r="R432" i="15"/>
  <c r="R433" i="15"/>
  <c r="R434" i="15"/>
  <c r="R435" i="15"/>
  <c r="R436" i="15"/>
  <c r="R437" i="15"/>
  <c r="R438" i="15"/>
  <c r="R439" i="15"/>
  <c r="R440" i="15"/>
  <c r="R441" i="15"/>
  <c r="R442" i="15"/>
  <c r="R443" i="15"/>
  <c r="R444" i="15"/>
  <c r="R445" i="15"/>
  <c r="R446" i="15"/>
  <c r="R447" i="15"/>
  <c r="R448" i="15"/>
  <c r="R449" i="15"/>
  <c r="R450" i="15"/>
  <c r="R451" i="15"/>
  <c r="R452" i="15"/>
  <c r="R453" i="15"/>
  <c r="R454" i="15"/>
  <c r="R455" i="15"/>
  <c r="R456" i="15"/>
  <c r="R457" i="15"/>
  <c r="R458" i="15"/>
  <c r="R459" i="15"/>
  <c r="R460" i="15"/>
  <c r="R461" i="15"/>
  <c r="R462" i="15"/>
  <c r="R463" i="15"/>
  <c r="R464" i="15"/>
  <c r="R465" i="15"/>
  <c r="R466" i="15"/>
  <c r="R467" i="15"/>
  <c r="R468" i="15"/>
  <c r="R469" i="15"/>
  <c r="R470" i="15"/>
  <c r="R471" i="15"/>
  <c r="R472" i="15"/>
  <c r="R473" i="15"/>
  <c r="R474" i="15"/>
  <c r="R475" i="15"/>
  <c r="R476" i="15"/>
  <c r="R477" i="15"/>
  <c r="R478" i="15"/>
  <c r="R479" i="15"/>
  <c r="R480" i="15"/>
  <c r="R481" i="15"/>
  <c r="R482" i="15"/>
  <c r="R483" i="15"/>
  <c r="R484" i="15"/>
  <c r="R485" i="15"/>
  <c r="R486" i="15"/>
  <c r="R487" i="15"/>
  <c r="R488" i="15"/>
  <c r="R489" i="15"/>
  <c r="R490" i="15"/>
  <c r="R491" i="15"/>
  <c r="R492" i="15"/>
  <c r="R493" i="15"/>
  <c r="R494" i="15"/>
  <c r="R495" i="15"/>
  <c r="R496" i="15"/>
  <c r="R497" i="15"/>
  <c r="R498" i="15"/>
  <c r="R499" i="15"/>
  <c r="R500" i="15"/>
  <c r="R501" i="15"/>
  <c r="R502" i="15"/>
  <c r="R503" i="15"/>
  <c r="R504" i="15"/>
  <c r="R505" i="15"/>
  <c r="R506" i="15"/>
  <c r="R507" i="15"/>
  <c r="R508" i="15"/>
  <c r="R509" i="15"/>
  <c r="R510" i="15"/>
  <c r="R511" i="15"/>
  <c r="R512" i="15"/>
  <c r="R513" i="15"/>
  <c r="R514" i="15"/>
  <c r="R515" i="15"/>
  <c r="R516" i="15"/>
  <c r="R517" i="15"/>
  <c r="R518" i="15"/>
  <c r="R519" i="15"/>
  <c r="R520" i="15"/>
  <c r="R521" i="15"/>
  <c r="R522" i="15"/>
  <c r="R523" i="15"/>
  <c r="R524" i="15"/>
  <c r="R525" i="15"/>
  <c r="R526" i="15"/>
  <c r="R527" i="15"/>
  <c r="R528" i="15"/>
  <c r="R529" i="15"/>
  <c r="R530" i="15"/>
  <c r="R531" i="15"/>
  <c r="R532" i="15"/>
  <c r="R533" i="15"/>
  <c r="R534" i="15"/>
  <c r="W3" i="13"/>
  <c r="W4" i="13"/>
  <c r="W5" i="13"/>
  <c r="W6" i="13"/>
  <c r="W7" i="13"/>
  <c r="W8" i="13"/>
  <c r="W9" i="13"/>
  <c r="W10" i="13"/>
  <c r="W11" i="13"/>
  <c r="W12" i="13"/>
  <c r="W13" i="13"/>
  <c r="W14" i="13"/>
  <c r="W15" i="13"/>
  <c r="W16" i="13"/>
  <c r="W17" i="13"/>
  <c r="W18" i="13"/>
  <c r="W19" i="13"/>
  <c r="W20" i="13"/>
  <c r="W21" i="13"/>
  <c r="W22" i="13"/>
  <c r="W23" i="13"/>
  <c r="W24" i="13"/>
  <c r="W25" i="13"/>
  <c r="W26" i="13"/>
  <c r="W27" i="13"/>
  <c r="W28" i="13"/>
  <c r="W29" i="13"/>
  <c r="W30" i="13"/>
  <c r="W31" i="13"/>
  <c r="W32" i="13"/>
  <c r="W33" i="13"/>
  <c r="W34" i="13"/>
  <c r="W35" i="13"/>
  <c r="W36" i="13"/>
  <c r="W37" i="13"/>
  <c r="W38" i="13"/>
  <c r="W39" i="13"/>
  <c r="W40" i="13"/>
  <c r="W41" i="13"/>
  <c r="W42" i="13"/>
  <c r="W43" i="13"/>
  <c r="W44" i="13"/>
  <c r="W45" i="13"/>
  <c r="W46" i="13"/>
  <c r="W47" i="13"/>
  <c r="W48" i="13"/>
  <c r="W49" i="13"/>
  <c r="W50" i="13"/>
  <c r="W51" i="13"/>
  <c r="W52" i="13"/>
  <c r="W53" i="13"/>
  <c r="W54" i="13"/>
  <c r="W55" i="13"/>
  <c r="W56" i="13"/>
  <c r="W57" i="13"/>
  <c r="W58" i="13"/>
  <c r="W59" i="13"/>
  <c r="W60" i="13"/>
  <c r="W61" i="13"/>
  <c r="W62" i="13"/>
  <c r="W63" i="13"/>
  <c r="W64" i="13"/>
  <c r="W65" i="13"/>
  <c r="W66" i="13"/>
  <c r="W67" i="13"/>
  <c r="W68" i="13"/>
  <c r="W69" i="13"/>
  <c r="W70" i="13"/>
  <c r="W71" i="13"/>
  <c r="W72" i="13"/>
  <c r="W73" i="13"/>
  <c r="W74" i="13"/>
  <c r="W75" i="13"/>
  <c r="W76" i="13"/>
  <c r="W77" i="13"/>
  <c r="W78" i="13"/>
  <c r="W79" i="13"/>
  <c r="W80" i="13"/>
  <c r="W81" i="13"/>
  <c r="W82" i="13"/>
  <c r="W83" i="13"/>
  <c r="W84" i="13"/>
  <c r="W85" i="13"/>
  <c r="W86" i="13"/>
  <c r="W87" i="13"/>
  <c r="W88" i="13"/>
  <c r="W89" i="13"/>
  <c r="W90" i="13"/>
  <c r="W91" i="13"/>
  <c r="W92" i="13"/>
  <c r="W93" i="13"/>
  <c r="W94" i="13"/>
  <c r="W95" i="13"/>
  <c r="W96" i="13"/>
  <c r="W97" i="13"/>
  <c r="W98" i="13"/>
  <c r="W99" i="13"/>
  <c r="W100" i="13"/>
  <c r="W101" i="13"/>
  <c r="W102" i="13"/>
  <c r="W103" i="13"/>
  <c r="W104" i="13"/>
  <c r="W105" i="13"/>
  <c r="W106" i="13"/>
  <c r="W107" i="13"/>
  <c r="W108" i="13"/>
  <c r="W109" i="13"/>
  <c r="W110" i="13"/>
  <c r="W111" i="13"/>
  <c r="W112" i="13"/>
  <c r="W113" i="13"/>
  <c r="W114" i="13"/>
  <c r="W115" i="13"/>
  <c r="W116" i="13"/>
  <c r="W117" i="13"/>
  <c r="W118" i="13"/>
  <c r="W119" i="13"/>
  <c r="W120" i="13"/>
  <c r="W121" i="13"/>
  <c r="W122" i="13"/>
  <c r="W123" i="13"/>
  <c r="W124" i="13"/>
  <c r="W125" i="13"/>
  <c r="W126" i="13"/>
  <c r="W127" i="13"/>
  <c r="W128" i="13"/>
  <c r="W129" i="13"/>
  <c r="W130" i="13"/>
  <c r="W131" i="13"/>
  <c r="W132" i="13"/>
  <c r="W133" i="13"/>
  <c r="W134" i="13"/>
  <c r="W135" i="13"/>
  <c r="W136" i="13"/>
  <c r="W137" i="13"/>
  <c r="W138" i="13"/>
  <c r="W139" i="13"/>
  <c r="W140" i="13"/>
  <c r="W141" i="13"/>
  <c r="W142" i="13"/>
  <c r="W143" i="13"/>
  <c r="W144" i="13"/>
  <c r="W145" i="13"/>
  <c r="W146" i="13"/>
  <c r="W147" i="13"/>
  <c r="W148" i="13"/>
  <c r="W149" i="13"/>
  <c r="W150" i="13"/>
  <c r="W151" i="13"/>
  <c r="W152" i="13"/>
  <c r="W153" i="13"/>
  <c r="W154" i="13"/>
  <c r="W155" i="13"/>
  <c r="W156" i="13"/>
  <c r="W157" i="13"/>
  <c r="W158" i="13"/>
  <c r="W159" i="13"/>
  <c r="W160" i="13"/>
  <c r="W161" i="13"/>
  <c r="W162" i="13"/>
  <c r="W163" i="13"/>
  <c r="W164" i="13"/>
  <c r="W165" i="13"/>
  <c r="W166" i="13"/>
  <c r="W167" i="13"/>
  <c r="W168" i="13"/>
  <c r="W169" i="13"/>
  <c r="W170" i="13"/>
  <c r="W171" i="13"/>
  <c r="W172" i="13"/>
  <c r="W173" i="13"/>
  <c r="W174" i="13"/>
  <c r="W175" i="13"/>
  <c r="W176" i="13"/>
  <c r="W177" i="13"/>
  <c r="W178" i="13"/>
  <c r="W179" i="13"/>
  <c r="W180" i="13"/>
  <c r="W181" i="13"/>
  <c r="W182" i="13"/>
  <c r="W183" i="13"/>
  <c r="W184" i="13"/>
  <c r="W185" i="13"/>
  <c r="W186" i="13"/>
  <c r="W187" i="13"/>
  <c r="W188" i="13"/>
  <c r="W189" i="13"/>
  <c r="W190" i="13"/>
  <c r="W191" i="13"/>
  <c r="W192" i="13"/>
  <c r="W193" i="13"/>
  <c r="W194" i="13"/>
  <c r="W195" i="13"/>
  <c r="W196" i="13"/>
  <c r="W197" i="13"/>
  <c r="W198" i="13"/>
  <c r="W199" i="13"/>
  <c r="W200" i="13"/>
  <c r="W201" i="13"/>
  <c r="W202" i="13"/>
  <c r="W203" i="13"/>
  <c r="W204" i="13"/>
  <c r="W205" i="13"/>
  <c r="W206" i="13"/>
  <c r="W207" i="13"/>
  <c r="W208" i="13"/>
  <c r="W209" i="13"/>
  <c r="W210" i="13"/>
  <c r="W211" i="13"/>
  <c r="W212" i="13"/>
  <c r="W213" i="13"/>
  <c r="W214" i="13"/>
  <c r="W215" i="13"/>
  <c r="W216" i="13"/>
  <c r="W217" i="13"/>
  <c r="W218" i="13"/>
  <c r="W219" i="13"/>
  <c r="W220" i="13"/>
  <c r="W221" i="13"/>
  <c r="W222" i="13"/>
  <c r="W223" i="13"/>
  <c r="W224" i="13"/>
  <c r="W225" i="13"/>
  <c r="W226" i="13"/>
  <c r="W227" i="13"/>
  <c r="W228" i="13"/>
  <c r="W229" i="13"/>
  <c r="W230" i="13"/>
  <c r="W231" i="13"/>
  <c r="W232" i="13"/>
  <c r="W233" i="13"/>
  <c r="W234" i="13"/>
  <c r="W235" i="13"/>
  <c r="W236" i="13"/>
  <c r="W237" i="13"/>
  <c r="W238" i="13"/>
  <c r="W239" i="13"/>
  <c r="W240" i="13"/>
  <c r="W241" i="13"/>
  <c r="W242" i="13"/>
  <c r="W243" i="13"/>
  <c r="W244" i="13"/>
  <c r="W245" i="13"/>
  <c r="W246" i="13"/>
  <c r="W247" i="13"/>
  <c r="W248" i="13"/>
  <c r="W249" i="13"/>
  <c r="W250" i="13"/>
  <c r="O720" i="10"/>
  <c r="O721" i="10"/>
  <c r="O589" i="10"/>
  <c r="O628" i="10"/>
  <c r="O148" i="10"/>
  <c r="O410" i="10"/>
  <c r="O680" i="10"/>
  <c r="O47" i="10"/>
  <c r="O214" i="10"/>
  <c r="O717" i="10"/>
  <c r="O401" i="10"/>
  <c r="O218" i="10"/>
  <c r="O164" i="10"/>
  <c r="O764" i="10"/>
  <c r="O7" i="10"/>
  <c r="O212" i="10"/>
  <c r="O149" i="10"/>
  <c r="O411" i="10"/>
  <c r="O402" i="10"/>
  <c r="O492" i="10"/>
  <c r="O8" i="10"/>
  <c r="O333" i="10"/>
  <c r="O332" i="10"/>
  <c r="O325" i="10"/>
  <c r="O319" i="10"/>
  <c r="O385" i="10"/>
  <c r="O559" i="10"/>
  <c r="O658" i="10"/>
  <c r="O464" i="10"/>
  <c r="P720" i="10"/>
  <c r="W720" i="10" s="1"/>
  <c r="P721" i="10"/>
  <c r="W721" i="10" s="1"/>
  <c r="P589" i="10"/>
  <c r="W589" i="10" s="1"/>
  <c r="P628" i="10"/>
  <c r="X628" i="10" s="1"/>
  <c r="Y628" i="10" s="1"/>
  <c r="P148" i="10"/>
  <c r="P410" i="10"/>
  <c r="P680" i="10"/>
  <c r="P47" i="10"/>
  <c r="W47" i="10" s="1"/>
  <c r="P214" i="10"/>
  <c r="Z214" i="10" s="1"/>
  <c r="P717" i="10"/>
  <c r="AA717" i="10" s="1"/>
  <c r="AE717" i="10" s="1"/>
  <c r="P401" i="10"/>
  <c r="W401" i="10" s="1"/>
  <c r="P218" i="10"/>
  <c r="P164" i="10"/>
  <c r="AA164" i="10" s="1"/>
  <c r="AE164" i="10" s="1"/>
  <c r="P764" i="10"/>
  <c r="P7" i="10"/>
  <c r="P212" i="10"/>
  <c r="P149" i="10"/>
  <c r="W149" i="10" s="1"/>
  <c r="P411" i="10"/>
  <c r="W411" i="10" s="1"/>
  <c r="P402" i="10"/>
  <c r="W402" i="10" s="1"/>
  <c r="P492" i="10"/>
  <c r="W492" i="10" s="1"/>
  <c r="P8" i="10"/>
  <c r="W8" i="10" s="1"/>
  <c r="P333" i="10"/>
  <c r="P332" i="10"/>
  <c r="W332" i="10" s="1"/>
  <c r="P325" i="10"/>
  <c r="P319" i="10"/>
  <c r="P385" i="10"/>
  <c r="P559" i="10"/>
  <c r="Z559" i="10" s="1"/>
  <c r="P658" i="10"/>
  <c r="P464" i="10"/>
  <c r="Q720" i="10"/>
  <c r="Q721" i="10"/>
  <c r="Q589" i="10"/>
  <c r="Q628" i="10"/>
  <c r="AB628" i="10" s="1"/>
  <c r="AC628" i="10" s="1"/>
  <c r="Q148" i="10"/>
  <c r="Q410" i="10"/>
  <c r="Q680" i="10"/>
  <c r="Q47" i="10"/>
  <c r="Q214" i="10"/>
  <c r="AB214" i="10" s="1"/>
  <c r="Q717" i="10"/>
  <c r="AB717" i="10" s="1"/>
  <c r="Q401" i="10"/>
  <c r="Q218" i="10"/>
  <c r="Q164" i="10"/>
  <c r="S164" i="10" s="1"/>
  <c r="Q764" i="10"/>
  <c r="S764" i="10" s="1"/>
  <c r="Q7" i="10"/>
  <c r="Q212" i="10"/>
  <c r="Q149" i="10"/>
  <c r="Q411" i="10"/>
  <c r="Q402" i="10"/>
  <c r="Q492" i="10"/>
  <c r="Q8" i="10"/>
  <c r="Q333" i="10"/>
  <c r="Q332" i="10"/>
  <c r="Q325" i="10"/>
  <c r="S325" i="10" s="1"/>
  <c r="Q319" i="10"/>
  <c r="Q385" i="10"/>
  <c r="Q559" i="10"/>
  <c r="S559" i="10" s="1"/>
  <c r="Q658" i="10"/>
  <c r="Q464" i="10"/>
  <c r="R720" i="10"/>
  <c r="T720" i="10" s="1"/>
  <c r="R721" i="10"/>
  <c r="R589" i="10"/>
  <c r="R628" i="10"/>
  <c r="R148" i="10"/>
  <c r="R410" i="10"/>
  <c r="R680" i="10"/>
  <c r="R47" i="10"/>
  <c r="R214" i="10"/>
  <c r="T214" i="10" s="1"/>
  <c r="R717" i="10"/>
  <c r="R401" i="10"/>
  <c r="T401" i="10" s="1"/>
  <c r="R218" i="10"/>
  <c r="R164" i="10"/>
  <c r="R764" i="10"/>
  <c r="T764" i="10" s="1"/>
  <c r="R7" i="10"/>
  <c r="T7" i="10" s="1"/>
  <c r="R212" i="10"/>
  <c r="R149" i="10"/>
  <c r="T149" i="10" s="1"/>
  <c r="R411" i="10"/>
  <c r="T411" i="10" s="1"/>
  <c r="R402" i="10"/>
  <c r="R492" i="10"/>
  <c r="T492" i="10" s="1"/>
  <c r="R8" i="10"/>
  <c r="T8" i="10" s="1"/>
  <c r="R333" i="10"/>
  <c r="T333" i="10" s="1"/>
  <c r="R332" i="10"/>
  <c r="T332" i="10" s="1"/>
  <c r="R325" i="10"/>
  <c r="T325" i="10" s="1"/>
  <c r="R319" i="10"/>
  <c r="T319" i="10" s="1"/>
  <c r="R385" i="10"/>
  <c r="T385" i="10" s="1"/>
  <c r="R559" i="10"/>
  <c r="R658" i="10"/>
  <c r="T658" i="10" s="1"/>
  <c r="R464" i="10"/>
  <c r="T464" i="10" s="1"/>
  <c r="U720" i="10"/>
  <c r="V720" i="10" s="1"/>
  <c r="U721" i="10"/>
  <c r="V721" i="10" s="1"/>
  <c r="U589" i="10"/>
  <c r="V589" i="10" s="1"/>
  <c r="U628" i="10"/>
  <c r="U148" i="10"/>
  <c r="V148" i="10" s="1"/>
  <c r="U410" i="10"/>
  <c r="U680" i="10"/>
  <c r="U47" i="10"/>
  <c r="V47" i="10" s="1"/>
  <c r="U214" i="10"/>
  <c r="U717" i="10"/>
  <c r="U401" i="10"/>
  <c r="U218" i="10"/>
  <c r="V218" i="10" s="1"/>
  <c r="U164" i="10"/>
  <c r="U764" i="10"/>
  <c r="U7" i="10"/>
  <c r="V7" i="10" s="1"/>
  <c r="U212" i="10"/>
  <c r="V212" i="10" s="1"/>
  <c r="U149" i="10"/>
  <c r="U411" i="10"/>
  <c r="V411" i="10" s="1"/>
  <c r="U402" i="10"/>
  <c r="V402" i="10" s="1"/>
  <c r="U492" i="10"/>
  <c r="U8" i="10"/>
  <c r="U333" i="10"/>
  <c r="U332" i="10"/>
  <c r="U325" i="10"/>
  <c r="U319" i="10"/>
  <c r="U385" i="10"/>
  <c r="V385" i="10" s="1"/>
  <c r="U559" i="10"/>
  <c r="V559" i="10" s="1"/>
  <c r="U658" i="10"/>
  <c r="U464" i="10"/>
  <c r="AA214" i="10"/>
  <c r="AE214" i="10" s="1"/>
  <c r="AA7" i="10"/>
  <c r="AE7" i="10" s="1"/>
  <c r="AA8" i="10"/>
  <c r="AE8" i="10" s="1"/>
  <c r="AA325" i="10"/>
  <c r="AE325" i="10" s="1"/>
  <c r="AA319" i="10"/>
  <c r="AE319" i="10" s="1"/>
  <c r="AB3" i="17"/>
  <c r="K20" i="17" s="1"/>
  <c r="AN47" i="8"/>
  <c r="AK47" i="8"/>
  <c r="AL47" i="8"/>
  <c r="O750" i="10"/>
  <c r="O751" i="10"/>
  <c r="O98" i="10"/>
  <c r="O99" i="10"/>
  <c r="O100" i="10"/>
  <c r="O640" i="10"/>
  <c r="O432" i="10"/>
  <c r="O323" i="10"/>
  <c r="O473" i="10"/>
  <c r="O10" i="10"/>
  <c r="O195" i="10"/>
  <c r="O80" i="10"/>
  <c r="O287" i="10"/>
  <c r="O426" i="10"/>
  <c r="O89" i="10"/>
  <c r="O328" i="10"/>
  <c r="O329" i="10"/>
  <c r="O215" i="10"/>
  <c r="O221" i="10"/>
  <c r="O265" i="10"/>
  <c r="O38" i="10"/>
  <c r="O661" i="10"/>
  <c r="O356" i="10"/>
  <c r="O365" i="10"/>
  <c r="O364" i="10"/>
  <c r="O363" i="10"/>
  <c r="O369" i="10"/>
  <c r="O352" i="10"/>
  <c r="O608" i="10"/>
  <c r="O609" i="10"/>
  <c r="O610" i="10"/>
  <c r="O611" i="10"/>
  <c r="O92" i="10"/>
  <c r="O666" i="10"/>
  <c r="O636" i="10"/>
  <c r="O586" i="10"/>
  <c r="O12" i="10"/>
  <c r="O54" i="10"/>
  <c r="O449" i="10"/>
  <c r="O756" i="10"/>
  <c r="O757" i="10"/>
  <c r="O758" i="10"/>
  <c r="O18" i="10"/>
  <c r="O213" i="10"/>
  <c r="O657" i="10"/>
  <c r="O689" i="10"/>
  <c r="O447" i="10"/>
  <c r="O699" i="10"/>
  <c r="O704" i="10"/>
  <c r="O24" i="10"/>
  <c r="O382" i="10"/>
  <c r="O131" i="10"/>
  <c r="O280" i="10"/>
  <c r="O656" i="10"/>
  <c r="O183" i="10"/>
  <c r="O82" i="10"/>
  <c r="O632" i="10"/>
  <c r="O482" i="10"/>
  <c r="O542" i="10"/>
  <c r="O543" i="10"/>
  <c r="O544" i="10"/>
  <c r="O623" i="10"/>
  <c r="O281" i="10"/>
  <c r="O633" i="10"/>
  <c r="O39" i="10"/>
  <c r="O40" i="10"/>
  <c r="O41" i="10"/>
  <c r="O45" i="10"/>
  <c r="O437" i="10"/>
  <c r="O568" i="10"/>
  <c r="O203" i="10"/>
  <c r="O229" i="10"/>
  <c r="O501" i="10"/>
  <c r="O502" i="10"/>
  <c r="O422" i="10"/>
  <c r="O428" i="10"/>
  <c r="O662" i="10"/>
  <c r="O420" i="10"/>
  <c r="O55" i="10"/>
  <c r="O138" i="10"/>
  <c r="O493" i="10"/>
  <c r="O421" i="10"/>
  <c r="O224" i="10"/>
  <c r="O125" i="10"/>
  <c r="O122" i="10"/>
  <c r="O667" i="10"/>
  <c r="O441" i="10"/>
  <c r="O130" i="10"/>
  <c r="O139" i="10"/>
  <c r="O435" i="10"/>
  <c r="O132" i="10"/>
  <c r="O50" i="10"/>
  <c r="O277" i="10"/>
  <c r="O51" i="10"/>
  <c r="O686" i="10"/>
  <c r="O230" i="10"/>
  <c r="O153" i="10"/>
  <c r="O696" i="10"/>
  <c r="O713" i="10"/>
  <c r="O714" i="10"/>
  <c r="O708" i="10"/>
  <c r="O494" i="10"/>
  <c r="O668" i="10"/>
  <c r="O438" i="10"/>
  <c r="O655" i="10"/>
  <c r="O483" i="10"/>
  <c r="O201" i="10"/>
  <c r="O202" i="10"/>
  <c r="O266" i="10"/>
  <c r="O439" i="10"/>
  <c r="O683" i="10"/>
  <c r="O593" i="10"/>
  <c r="O157" i="10"/>
  <c r="O146" i="10"/>
  <c r="O259" i="10"/>
  <c r="O484" i="10"/>
  <c r="O260" i="10"/>
  <c r="O261" i="10"/>
  <c r="O431" i="10"/>
  <c r="O165" i="10"/>
  <c r="O759" i="10"/>
  <c r="O391" i="10"/>
  <c r="O52" i="10"/>
  <c r="O702" i="10"/>
  <c r="O537" i="10"/>
  <c r="O200" i="10"/>
  <c r="O692" i="10"/>
  <c r="O93" i="10"/>
  <c r="O272" i="10"/>
  <c r="O273" i="10"/>
  <c r="O728" i="10"/>
  <c r="O729" i="10"/>
  <c r="O345" i="10"/>
  <c r="O344" i="10"/>
  <c r="O687" i="10"/>
  <c r="O127" i="10"/>
  <c r="O415" i="10"/>
  <c r="O234" i="10"/>
  <c r="O222" i="10"/>
  <c r="O223" i="10"/>
  <c r="O220" i="10"/>
  <c r="O227" i="10"/>
  <c r="O194" i="10"/>
  <c r="O313" i="10"/>
  <c r="O698" i="10"/>
  <c r="O470" i="10"/>
  <c r="O471" i="10"/>
  <c r="O370" i="10"/>
  <c r="O371" i="10"/>
  <c r="O700" i="10"/>
  <c r="O282" i="10"/>
  <c r="O179" i="10"/>
  <c r="O275" i="10"/>
  <c r="O276" i="10"/>
  <c r="O395" i="10"/>
  <c r="O681" i="10"/>
  <c r="O304" i="10"/>
  <c r="O250" i="10"/>
  <c r="O330" i="10"/>
  <c r="O597" i="10"/>
  <c r="O598" i="10"/>
  <c r="O663" i="10"/>
  <c r="O664" i="10"/>
  <c r="O11" i="10"/>
  <c r="O468" i="10"/>
  <c r="O619" i="10"/>
  <c r="O620" i="10"/>
  <c r="O621" i="10"/>
  <c r="O622" i="10"/>
  <c r="O396" i="10"/>
  <c r="O256" i="10"/>
  <c r="O264" i="10"/>
  <c r="O268" i="10"/>
  <c r="O730" i="10"/>
  <c r="O158" i="10"/>
  <c r="O429" i="10"/>
  <c r="O412" i="10"/>
  <c r="O684" i="10"/>
  <c r="O288" i="10"/>
  <c r="O752" i="10"/>
  <c r="O257" i="10"/>
  <c r="O29" i="10"/>
  <c r="O196" i="10"/>
  <c r="O30" i="10"/>
  <c r="O6" i="10"/>
  <c r="O274" i="10"/>
  <c r="O770" i="10"/>
  <c r="O771" i="10"/>
  <c r="O42" i="10"/>
  <c r="O133" i="10"/>
  <c r="O769" i="10"/>
  <c r="O768" i="10"/>
  <c r="O454" i="10"/>
  <c r="O43" i="10"/>
  <c r="O433" i="10"/>
  <c r="O738" i="10"/>
  <c r="O187" i="10"/>
  <c r="O599" i="10"/>
  <c r="O600" i="10"/>
  <c r="O727" i="10"/>
  <c r="O753" i="10"/>
  <c r="O754" i="10"/>
  <c r="O755" i="10"/>
  <c r="O725" i="10"/>
  <c r="O262" i="10"/>
  <c r="O731" i="10"/>
  <c r="O198" i="10"/>
  <c r="O129" i="10"/>
  <c r="O128" i="10"/>
  <c r="O13" i="10"/>
  <c r="O372" i="10"/>
  <c r="O207" i="10"/>
  <c r="O123" i="10"/>
  <c r="O397" i="10"/>
  <c r="O94" i="10"/>
  <c r="O616" i="10"/>
  <c r="O703" i="10"/>
  <c r="O674" i="10"/>
  <c r="O705" i="10"/>
  <c r="O84" i="10"/>
  <c r="O31" i="10"/>
  <c r="O407" i="10"/>
  <c r="O85" i="10"/>
  <c r="O646" i="10"/>
  <c r="O601" i="10"/>
  <c r="O427" i="10"/>
  <c r="O95" i="10"/>
  <c r="O279" i="10"/>
  <c r="O739" i="10"/>
  <c r="O718" i="10"/>
  <c r="O334" i="10"/>
  <c r="O516" i="10"/>
  <c r="O96" i="10"/>
  <c r="O86" i="10"/>
  <c r="O511" i="10"/>
  <c r="O513" i="10"/>
  <c r="O430" i="10"/>
  <c r="O278" i="10"/>
  <c r="O405" i="10"/>
  <c r="O642" i="10"/>
  <c r="O102" i="10"/>
  <c r="O584" i="10"/>
  <c r="O283" i="10"/>
  <c r="O302" i="10"/>
  <c r="O53" i="10"/>
  <c r="O303" i="10"/>
  <c r="O462" i="10"/>
  <c r="O465" i="10"/>
  <c r="O27" i="10"/>
  <c r="O124" i="10"/>
  <c r="O17" i="10"/>
  <c r="O335" i="10"/>
  <c r="O137" i="10"/>
  <c r="O101" i="10"/>
  <c r="O652" i="10"/>
  <c r="O651" i="10"/>
  <c r="O147" i="10"/>
  <c r="O176" i="10"/>
  <c r="O77" i="10"/>
  <c r="O233" i="10"/>
  <c r="O641" i="10"/>
  <c r="O342" i="10"/>
  <c r="O617" i="10"/>
  <c r="O618" i="10"/>
  <c r="O209" i="10"/>
  <c r="O338" i="10"/>
  <c r="O225" i="10"/>
  <c r="O216" i="10"/>
  <c r="O380" i="10"/>
  <c r="O381" i="10"/>
  <c r="O258" i="10"/>
  <c r="O726" i="10"/>
  <c r="O105" i="10"/>
  <c r="O106" i="10"/>
  <c r="O107" i="10"/>
  <c r="O389" i="10"/>
  <c r="O114" i="10"/>
  <c r="O612" i="10"/>
  <c r="O507" i="10"/>
  <c r="O741" i="10"/>
  <c r="O508" i="10"/>
  <c r="O509" i="10"/>
  <c r="O510" i="10"/>
  <c r="O172" i="10"/>
  <c r="O398" i="10"/>
  <c r="O32" i="10"/>
  <c r="O590" i="10"/>
  <c r="O339" i="10"/>
  <c r="O760" i="10"/>
  <c r="O688" i="10"/>
  <c r="O331" i="10"/>
  <c r="O327" i="10"/>
  <c r="O254" i="10"/>
  <c r="O255" i="10"/>
  <c r="O399" i="10"/>
  <c r="O307" i="10"/>
  <c r="O624" i="10"/>
  <c r="O251" i="10"/>
  <c r="O296" i="10"/>
  <c r="O297" i="10"/>
  <c r="O459" i="10"/>
  <c r="O694" i="10"/>
  <c r="O682" i="10"/>
  <c r="O173" i="10"/>
  <c r="O174" i="10"/>
  <c r="O81" i="10"/>
  <c r="O263" i="10"/>
  <c r="O150" i="10"/>
  <c r="O162" i="10"/>
  <c r="O613" i="10"/>
  <c r="O3" i="10"/>
  <c r="O238" i="10"/>
  <c r="O765" i="10"/>
  <c r="O299" i="10"/>
  <c r="O33" i="10"/>
  <c r="O58" i="10"/>
  <c r="O453" i="10"/>
  <c r="O247" i="10"/>
  <c r="O455" i="10"/>
  <c r="O316" i="10"/>
  <c r="O452" i="10"/>
  <c r="O456" i="10"/>
  <c r="O450" i="10"/>
  <c r="O495" i="10"/>
  <c r="O570" i="10"/>
  <c r="O460" i="10"/>
  <c r="O715" i="10"/>
  <c r="O695" i="10"/>
  <c r="O697" i="10"/>
  <c r="O472" i="10"/>
  <c r="O109" i="10"/>
  <c r="O204" i="10"/>
  <c r="O375" i="10"/>
  <c r="O406" i="10"/>
  <c r="O690" i="10"/>
  <c r="O485" i="10"/>
  <c r="O21" i="10"/>
  <c r="O497" i="10"/>
  <c r="O569" i="10"/>
  <c r="O373" i="10"/>
  <c r="O374" i="10"/>
  <c r="O22" i="10"/>
  <c r="O477" i="10"/>
  <c r="O463" i="10"/>
  <c r="O445" i="10"/>
  <c r="O591" i="10"/>
  <c r="O638" i="10"/>
  <c r="O440" i="10"/>
  <c r="O588" i="10"/>
  <c r="O193" i="10"/>
  <c r="O592" i="10"/>
  <c r="O716" i="10"/>
  <c r="O691" i="10"/>
  <c r="O545" i="10"/>
  <c r="O678" i="10"/>
  <c r="O685" i="10"/>
  <c r="O546" i="10"/>
  <c r="O547" i="10"/>
  <c r="O548" i="10"/>
  <c r="O300" i="10"/>
  <c r="O289" i="10"/>
  <c r="O298" i="10"/>
  <c r="O205" i="10"/>
  <c r="O377" i="10"/>
  <c r="O208" i="10"/>
  <c r="O180" i="10"/>
  <c r="O305" i="10"/>
  <c r="O79" i="10"/>
  <c r="O742" i="10"/>
  <c r="O103" i="10"/>
  <c r="O578" i="10"/>
  <c r="O467" i="10"/>
  <c r="O693" i="10"/>
  <c r="O701" i="10"/>
  <c r="O679" i="10"/>
  <c r="O65" i="10"/>
  <c r="O66" i="10"/>
  <c r="O67" i="10"/>
  <c r="O68" i="10"/>
  <c r="O518" i="10"/>
  <c r="O519" i="10"/>
  <c r="O520" i="10"/>
  <c r="O521" i="10"/>
  <c r="O4" i="10"/>
  <c r="O5" i="10"/>
  <c r="O235" i="10"/>
  <c r="O512" i="10"/>
  <c r="O284" i="10"/>
  <c r="O192" i="10"/>
  <c r="O393" i="10"/>
  <c r="O671" i="10"/>
  <c r="O23" i="10"/>
  <c r="O535" i="10"/>
  <c r="O269" i="10"/>
  <c r="O706" i="10"/>
  <c r="O549" i="10"/>
  <c r="O579" i="10"/>
  <c r="O707" i="10"/>
  <c r="O267" i="10"/>
  <c r="O270" i="10"/>
  <c r="O732" i="10"/>
  <c r="O733" i="10"/>
  <c r="O761" i="10"/>
  <c r="O762" i="10"/>
  <c r="O763" i="10"/>
  <c r="O581" i="10"/>
  <c r="O301" i="10"/>
  <c r="O582" i="10"/>
  <c r="O104" i="10"/>
  <c r="O367" i="10"/>
  <c r="O358" i="10"/>
  <c r="O353" i="10"/>
  <c r="O154" i="10"/>
  <c r="O166" i="10"/>
  <c r="O71" i="10"/>
  <c r="O167" i="10"/>
  <c r="O168" i="10"/>
  <c r="O169" i="10"/>
  <c r="O604" i="10"/>
  <c r="O143" i="10"/>
  <c r="O141" i="10"/>
  <c r="O134" i="10"/>
  <c r="O63" i="10"/>
  <c r="O252" i="10"/>
  <c r="O72" i="10"/>
  <c r="O550" i="10"/>
  <c r="O551" i="10"/>
  <c r="O552" i="10"/>
  <c r="O553" i="10"/>
  <c r="O554" i="10"/>
  <c r="O555" i="10"/>
  <c r="O343" i="10"/>
  <c r="O44" i="10"/>
  <c r="O498" i="10"/>
  <c r="O285" i="10"/>
  <c r="O46" i="10"/>
  <c r="O163" i="10"/>
  <c r="O151" i="10"/>
  <c r="O354" i="10"/>
  <c r="O190" i="10"/>
  <c r="O191" i="10"/>
  <c r="O772" i="10"/>
  <c r="O35" i="10"/>
  <c r="O236" i="10"/>
  <c r="O36" i="10"/>
  <c r="O416" i="10"/>
  <c r="O418" i="10"/>
  <c r="O34" i="10"/>
  <c r="O474" i="10"/>
  <c r="O634" i="10"/>
  <c r="O26" i="10"/>
  <c r="O25" i="10"/>
  <c r="O625" i="10"/>
  <c r="O556" i="10"/>
  <c r="O188" i="10"/>
  <c r="O626" i="10"/>
  <c r="O606" i="10"/>
  <c r="O607" i="10"/>
  <c r="O603" i="10"/>
  <c r="O37" i="10"/>
  <c r="O314" i="10"/>
  <c r="O560" i="10"/>
  <c r="O210" i="10"/>
  <c r="O144" i="10"/>
  <c r="O142" i="10"/>
  <c r="O155" i="10"/>
  <c r="O219" i="10"/>
  <c r="O499" i="10"/>
  <c r="O61" i="10"/>
  <c r="O350" i="10"/>
  <c r="O355" i="10"/>
  <c r="O571" i="10"/>
  <c r="O580" i="10"/>
  <c r="O561" i="10"/>
  <c r="O243" i="10"/>
  <c r="O500" i="10"/>
  <c r="O538" i="10"/>
  <c r="O347" i="10"/>
  <c r="O378" i="10"/>
  <c r="O743" i="10"/>
  <c r="O605" i="10"/>
  <c r="O211" i="10"/>
  <c r="O206" i="10"/>
  <c r="O419" i="10"/>
  <c r="O286" i="10"/>
  <c r="O177" i="10"/>
  <c r="O672" i="10"/>
  <c r="O673" i="10"/>
  <c r="O379" i="10"/>
  <c r="O159" i="10"/>
  <c r="O386" i="10"/>
  <c r="O73" i="10"/>
  <c r="O649" i="10"/>
  <c r="O469" i="10"/>
  <c r="O271" i="10"/>
  <c r="O90" i="10"/>
  <c r="O91" i="10"/>
  <c r="O87" i="10"/>
  <c r="O108" i="10"/>
  <c r="O442" i="10"/>
  <c r="O436" i="10"/>
  <c r="O388" i="10"/>
  <c r="O602" i="10"/>
  <c r="O199" i="10"/>
  <c r="O244" i="10"/>
  <c r="O245" i="10"/>
  <c r="O246" i="10"/>
  <c r="O83" i="10"/>
  <c r="O308" i="10"/>
  <c r="O348" i="10"/>
  <c r="O351" i="10"/>
  <c r="O359" i="10"/>
  <c r="O368" i="10"/>
  <c r="O360" i="10"/>
  <c r="O74" i="10"/>
  <c r="O64" i="10"/>
  <c r="O627" i="10"/>
  <c r="O228" i="10"/>
  <c r="O115" i="10"/>
  <c r="O239" i="10"/>
  <c r="O766" i="10"/>
  <c r="O767" i="10"/>
  <c r="O9" i="10"/>
  <c r="O324" i="10"/>
  <c r="O403" i="10"/>
  <c r="O97" i="10"/>
  <c r="O387" i="10"/>
  <c r="O486" i="10"/>
  <c r="O49" i="10"/>
  <c r="O539" i="10"/>
  <c r="O540" i="10"/>
  <c r="O541" i="10"/>
  <c r="O226" i="10"/>
  <c r="O182" i="10"/>
  <c r="O637" i="10"/>
  <c r="O639" i="10"/>
  <c r="O563" i="10"/>
  <c r="O748" i="10"/>
  <c r="O749" i="10"/>
  <c r="O253" i="10"/>
  <c r="O248" i="10"/>
  <c r="O249" i="10"/>
  <c r="O408" i="10"/>
  <c r="O522" i="10"/>
  <c r="O175" i="10"/>
  <c r="O536" i="10"/>
  <c r="O653" i="10"/>
  <c r="O503" i="10"/>
  <c r="O572" i="10"/>
  <c r="O564" i="10"/>
  <c r="O110" i="10"/>
  <c r="O504" i="10"/>
  <c r="O645" i="10"/>
  <c r="O594" i="10"/>
  <c r="O587" i="10"/>
  <c r="O413" i="10"/>
  <c r="O306" i="10"/>
  <c r="O366" i="10"/>
  <c r="O315" i="10"/>
  <c r="O357" i="10"/>
  <c r="O237" i="10"/>
  <c r="O156" i="10"/>
  <c r="O478" i="10"/>
  <c r="O566" i="10"/>
  <c r="O376" i="10"/>
  <c r="O349" i="10"/>
  <c r="O186" i="10"/>
  <c r="O417" i="10"/>
  <c r="O152" i="10"/>
  <c r="O644" i="10"/>
  <c r="O629" i="10"/>
  <c r="O630" i="10"/>
  <c r="O423" i="10"/>
  <c r="O28" i="10"/>
  <c r="O383" i="10"/>
  <c r="O240" i="10"/>
  <c r="O489" i="10"/>
  <c r="O181" i="10"/>
  <c r="O481" i="10"/>
  <c r="O534" i="10"/>
  <c r="O526" i="10"/>
  <c r="O735" i="10"/>
  <c r="O711" i="10"/>
  <c r="O448" i="10"/>
  <c r="O614" i="10"/>
  <c r="O615" i="10"/>
  <c r="O291" i="10"/>
  <c r="O292" i="10"/>
  <c r="O294" i="10"/>
  <c r="O709" i="10"/>
  <c r="O583" i="10"/>
  <c r="O446" i="10"/>
  <c r="O710" i="10"/>
  <c r="O675" i="10"/>
  <c r="O317" i="10"/>
  <c r="O309" i="10"/>
  <c r="O659" i="10"/>
  <c r="O479" i="10"/>
  <c r="O424" i="10"/>
  <c r="O111" i="10"/>
  <c r="O723" i="10"/>
  <c r="O669" i="10"/>
  <c r="O126" i="10"/>
  <c r="O189" i="10"/>
  <c r="O434" i="10"/>
  <c r="O724" i="10"/>
  <c r="O326" i="10"/>
  <c r="O575" i="10"/>
  <c r="O647" i="10"/>
  <c r="O184" i="10"/>
  <c r="O160" i="10"/>
  <c r="O340" i="10"/>
  <c r="O394" i="10"/>
  <c r="O75" i="10"/>
  <c r="O527" i="10"/>
  <c r="O528" i="10"/>
  <c r="O529" i="10"/>
  <c r="O530" i="10"/>
  <c r="O531" i="10"/>
  <c r="O532" i="10"/>
  <c r="O533" i="10"/>
  <c r="O336" i="10"/>
  <c r="O490" i="10"/>
  <c r="O487" i="10"/>
  <c r="O119" i="10"/>
  <c r="O491" i="10"/>
  <c r="O635" i="10"/>
  <c r="O197" i="10"/>
  <c r="O19" i="10"/>
  <c r="O88" i="10"/>
  <c r="O475" i="10"/>
  <c r="O505" i="10"/>
  <c r="O506" i="10"/>
  <c r="O523" i="10"/>
  <c r="O524" i="10"/>
  <c r="O525" i="10"/>
  <c r="O557" i="10"/>
  <c r="O734" i="10"/>
  <c r="O56" i="10"/>
  <c r="O57" i="10"/>
  <c r="O573" i="10"/>
  <c r="O466" i="10"/>
  <c r="O241" i="10"/>
  <c r="O242" i="10"/>
  <c r="O585" i="10"/>
  <c r="O217" i="10"/>
  <c r="O116" i="10"/>
  <c r="O117" i="10"/>
  <c r="O118" i="10"/>
  <c r="O295" i="10"/>
  <c r="O293" i="10"/>
  <c r="O643" i="10"/>
  <c r="O565" i="10"/>
  <c r="O650" i="10"/>
  <c r="O414" i="10"/>
  <c r="O312" i="10"/>
  <c r="O170" i="10"/>
  <c r="O736" i="10"/>
  <c r="O140" i="10"/>
  <c r="O676" i="10"/>
  <c r="O425" i="10"/>
  <c r="O161" i="10"/>
  <c r="O660" i="10"/>
  <c r="O60" i="10"/>
  <c r="O648" i="10"/>
  <c r="O496" i="10"/>
  <c r="O558" i="10"/>
  <c r="O135" i="10"/>
  <c r="O136" i="10"/>
  <c r="O665" i="10"/>
  <c r="O113" i="10"/>
  <c r="O321" i="10"/>
  <c r="O461" i="10"/>
  <c r="O171" i="10"/>
  <c r="O120" i="10"/>
  <c r="O719" i="10"/>
  <c r="O457" i="10"/>
  <c r="O576" i="10"/>
  <c r="O322" i="10"/>
  <c r="O458" i="10"/>
  <c r="O69" i="10"/>
  <c r="O185" i="10"/>
  <c r="O574" i="10"/>
  <c r="O677" i="10"/>
  <c r="O145" i="10"/>
  <c r="O488" i="10"/>
  <c r="O48" i="10"/>
  <c r="O409" i="10"/>
  <c r="O361" i="10"/>
  <c r="O712" i="10"/>
  <c r="O70" i="10"/>
  <c r="O320" i="10"/>
  <c r="O404" i="10"/>
  <c r="O318" i="10"/>
  <c r="O577" i="10"/>
  <c r="O722" i="10"/>
  <c r="O178" i="10"/>
  <c r="O112" i="10"/>
  <c r="O740" i="10"/>
  <c r="O567" i="10"/>
  <c r="O514" i="10"/>
  <c r="O515" i="10"/>
  <c r="O746" i="10"/>
  <c r="O62" i="10"/>
  <c r="O595" i="10"/>
  <c r="O451" i="10"/>
  <c r="O231" i="10"/>
  <c r="O232" i="10"/>
  <c r="O596" i="10"/>
  <c r="O747" i="10"/>
  <c r="O443" i="10"/>
  <c r="O444" i="10"/>
  <c r="O562" i="10"/>
  <c r="O384" i="10"/>
  <c r="O310" i="10"/>
  <c r="O311" i="10"/>
  <c r="O362" i="10"/>
  <c r="O346" i="10"/>
  <c r="O76" i="10"/>
  <c r="O392" i="10"/>
  <c r="O631" i="10"/>
  <c r="O14" i="10"/>
  <c r="O480" i="10"/>
  <c r="O341" i="10"/>
  <c r="O670" i="10"/>
  <c r="O737" i="10"/>
  <c r="O744" i="10"/>
  <c r="O121" i="10"/>
  <c r="O517" i="10"/>
  <c r="O78" i="10"/>
  <c r="O390" i="10"/>
  <c r="O745" i="10"/>
  <c r="O20" i="10"/>
  <c r="O15" i="10"/>
  <c r="O400" i="10"/>
  <c r="O476" i="10"/>
  <c r="O654" i="10"/>
  <c r="O337" i="10"/>
  <c r="O59" i="10"/>
  <c r="O290" i="10"/>
  <c r="O16" i="10"/>
  <c r="O3" i="15"/>
  <c r="U750" i="10"/>
  <c r="U751" i="10"/>
  <c r="V751" i="10" s="1"/>
  <c r="U98" i="10"/>
  <c r="V98" i="10" s="1"/>
  <c r="U99" i="10"/>
  <c r="U100" i="10"/>
  <c r="V100" i="10" s="1"/>
  <c r="U640" i="10"/>
  <c r="U432" i="10"/>
  <c r="U323" i="10"/>
  <c r="U473" i="10"/>
  <c r="U10" i="10"/>
  <c r="U195" i="10"/>
  <c r="U80" i="10"/>
  <c r="U287" i="10"/>
  <c r="U426" i="10"/>
  <c r="U89" i="10"/>
  <c r="U328" i="10"/>
  <c r="U329" i="10"/>
  <c r="U215" i="10"/>
  <c r="U221" i="10"/>
  <c r="V221" i="10" s="1"/>
  <c r="U265" i="10"/>
  <c r="U38" i="10"/>
  <c r="U661" i="10"/>
  <c r="U356" i="10"/>
  <c r="U365" i="10"/>
  <c r="V365" i="10" s="1"/>
  <c r="U364" i="10"/>
  <c r="U363" i="10"/>
  <c r="V363" i="10" s="1"/>
  <c r="U369" i="10"/>
  <c r="V369" i="10" s="1"/>
  <c r="U352" i="10"/>
  <c r="U608" i="10"/>
  <c r="V608" i="10" s="1"/>
  <c r="U609" i="10"/>
  <c r="U610" i="10"/>
  <c r="U611" i="10"/>
  <c r="V611" i="10" s="1"/>
  <c r="U92" i="10"/>
  <c r="V92" i="10" s="1"/>
  <c r="U666" i="10"/>
  <c r="V666" i="10" s="1"/>
  <c r="U636" i="10"/>
  <c r="U586" i="10"/>
  <c r="V586" i="10" s="1"/>
  <c r="U12" i="10"/>
  <c r="U54" i="10"/>
  <c r="U449" i="10"/>
  <c r="U756" i="10"/>
  <c r="V756" i="10" s="1"/>
  <c r="U757" i="10"/>
  <c r="V757" i="10" s="1"/>
  <c r="U758" i="10"/>
  <c r="U18" i="10"/>
  <c r="V18" i="10" s="1"/>
  <c r="U213" i="10"/>
  <c r="U657" i="10"/>
  <c r="U689" i="10"/>
  <c r="U447" i="10"/>
  <c r="U699" i="10"/>
  <c r="U704" i="10"/>
  <c r="V704" i="10" s="1"/>
  <c r="U24" i="10"/>
  <c r="V24" i="10" s="1"/>
  <c r="U382" i="10"/>
  <c r="U131" i="10"/>
  <c r="U280" i="10"/>
  <c r="U656" i="10"/>
  <c r="U183" i="10"/>
  <c r="V183" i="10" s="1"/>
  <c r="U82" i="10"/>
  <c r="U632" i="10"/>
  <c r="V632" i="10" s="1"/>
  <c r="U482" i="10"/>
  <c r="V482" i="10" s="1"/>
  <c r="U542" i="10"/>
  <c r="V542" i="10" s="1"/>
  <c r="U543" i="10"/>
  <c r="V543" i="10" s="1"/>
  <c r="U544" i="10"/>
  <c r="V544" i="10" s="1"/>
  <c r="U623" i="10"/>
  <c r="U281" i="10"/>
  <c r="U633" i="10"/>
  <c r="U39" i="10"/>
  <c r="V39" i="10" s="1"/>
  <c r="U40" i="10"/>
  <c r="V40" i="10" s="1"/>
  <c r="U41" i="10"/>
  <c r="V41" i="10" s="1"/>
  <c r="U45" i="10"/>
  <c r="U437" i="10"/>
  <c r="U568" i="10"/>
  <c r="V568" i="10" s="1"/>
  <c r="U203" i="10"/>
  <c r="U229" i="10"/>
  <c r="U501" i="10"/>
  <c r="V501" i="10" s="1"/>
  <c r="U502" i="10"/>
  <c r="V502" i="10" s="1"/>
  <c r="U422" i="10"/>
  <c r="V422" i="10" s="1"/>
  <c r="U428" i="10"/>
  <c r="V428" i="10" s="1"/>
  <c r="U662" i="10"/>
  <c r="U420" i="10"/>
  <c r="V420" i="10" s="1"/>
  <c r="U55" i="10"/>
  <c r="U138" i="10"/>
  <c r="V138" i="10" s="1"/>
  <c r="U493" i="10"/>
  <c r="V493" i="10" s="1"/>
  <c r="U421" i="10"/>
  <c r="V421" i="10" s="1"/>
  <c r="U224" i="10"/>
  <c r="U125" i="10"/>
  <c r="V125" i="10" s="1"/>
  <c r="U122" i="10"/>
  <c r="V122" i="10" s="1"/>
  <c r="U667" i="10"/>
  <c r="V667" i="10" s="1"/>
  <c r="U441" i="10"/>
  <c r="U130" i="10"/>
  <c r="U139" i="10"/>
  <c r="U435" i="10"/>
  <c r="V435" i="10" s="1"/>
  <c r="U132" i="10"/>
  <c r="V132" i="10" s="1"/>
  <c r="U50" i="10"/>
  <c r="V50" i="10" s="1"/>
  <c r="U277" i="10"/>
  <c r="U51" i="10"/>
  <c r="V51" i="10" s="1"/>
  <c r="U686" i="10"/>
  <c r="V686" i="10" s="1"/>
  <c r="U230" i="10"/>
  <c r="V230" i="10" s="1"/>
  <c r="U153" i="10"/>
  <c r="U696" i="10"/>
  <c r="V696" i="10" s="1"/>
  <c r="U713" i="10"/>
  <c r="V713" i="10" s="1"/>
  <c r="U714" i="10"/>
  <c r="V714" i="10" s="1"/>
  <c r="U708" i="10"/>
  <c r="U494" i="10"/>
  <c r="V494" i="10" s="1"/>
  <c r="U668" i="10"/>
  <c r="U438" i="10"/>
  <c r="V438" i="10" s="1"/>
  <c r="U655" i="10"/>
  <c r="U483" i="10"/>
  <c r="V483" i="10" s="1"/>
  <c r="U201" i="10"/>
  <c r="U202" i="10"/>
  <c r="U266" i="10"/>
  <c r="V266" i="10" s="1"/>
  <c r="U439" i="10"/>
  <c r="V439" i="10" s="1"/>
  <c r="U683" i="10"/>
  <c r="V683" i="10" s="1"/>
  <c r="U593" i="10"/>
  <c r="U157" i="10"/>
  <c r="V157" i="10" s="1"/>
  <c r="U146" i="10"/>
  <c r="V146" i="10" s="1"/>
  <c r="U259" i="10"/>
  <c r="V259" i="10" s="1"/>
  <c r="U484" i="10"/>
  <c r="V484" i="10" s="1"/>
  <c r="U260" i="10"/>
  <c r="V260" i="10" s="1"/>
  <c r="U261" i="10"/>
  <c r="V261" i="10" s="1"/>
  <c r="U431" i="10"/>
  <c r="U165" i="10"/>
  <c r="U759" i="10"/>
  <c r="V759" i="10" s="1"/>
  <c r="U391" i="10"/>
  <c r="U52" i="10"/>
  <c r="V52" i="10" s="1"/>
  <c r="U702" i="10"/>
  <c r="U537" i="10"/>
  <c r="V537" i="10" s="1"/>
  <c r="U200" i="10"/>
  <c r="U692" i="10"/>
  <c r="U93" i="10"/>
  <c r="V93" i="10" s="1"/>
  <c r="U272" i="10"/>
  <c r="V272" i="10" s="1"/>
  <c r="U273" i="10"/>
  <c r="V273" i="10" s="1"/>
  <c r="U728" i="10"/>
  <c r="V728" i="10" s="1"/>
  <c r="U729" i="10"/>
  <c r="V729" i="10" s="1"/>
  <c r="U345" i="10"/>
  <c r="U344" i="10"/>
  <c r="U687" i="10"/>
  <c r="V687" i="10" s="1"/>
  <c r="U127" i="10"/>
  <c r="V127" i="10" s="1"/>
  <c r="U415" i="10"/>
  <c r="U234" i="10"/>
  <c r="U222" i="10"/>
  <c r="V222" i="10" s="1"/>
  <c r="U223" i="10"/>
  <c r="V223" i="10" s="1"/>
  <c r="U220" i="10"/>
  <c r="V220" i="10" s="1"/>
  <c r="U227" i="10"/>
  <c r="U194" i="10"/>
  <c r="U313" i="10"/>
  <c r="U698" i="10"/>
  <c r="U470" i="10"/>
  <c r="U471" i="10"/>
  <c r="V471" i="10" s="1"/>
  <c r="U370" i="10"/>
  <c r="U371" i="10"/>
  <c r="V371" i="10" s="1"/>
  <c r="U700" i="10"/>
  <c r="V700" i="10" s="1"/>
  <c r="U282" i="10"/>
  <c r="U179" i="10"/>
  <c r="V179" i="10" s="1"/>
  <c r="U275" i="10"/>
  <c r="V275" i="10" s="1"/>
  <c r="U276" i="10"/>
  <c r="V276" i="10" s="1"/>
  <c r="U395" i="10"/>
  <c r="U681" i="10"/>
  <c r="U304" i="10"/>
  <c r="U250" i="10"/>
  <c r="U330" i="10"/>
  <c r="U597" i="10"/>
  <c r="U598" i="10"/>
  <c r="U663" i="10"/>
  <c r="V663" i="10" s="1"/>
  <c r="U664" i="10"/>
  <c r="V664" i="10" s="1"/>
  <c r="U11" i="10"/>
  <c r="U468" i="10"/>
  <c r="V468" i="10" s="1"/>
  <c r="U619" i="10"/>
  <c r="V619" i="10" s="1"/>
  <c r="U620" i="10"/>
  <c r="V620" i="10" s="1"/>
  <c r="U621" i="10"/>
  <c r="U622" i="10"/>
  <c r="V622" i="10" s="1"/>
  <c r="U396" i="10"/>
  <c r="V396" i="10" s="1"/>
  <c r="U256" i="10"/>
  <c r="U264" i="10"/>
  <c r="V264" i="10" s="1"/>
  <c r="U268" i="10"/>
  <c r="U730" i="10"/>
  <c r="U158" i="10"/>
  <c r="V158" i="10" s="1"/>
  <c r="U429" i="10"/>
  <c r="U412" i="10"/>
  <c r="U684" i="10"/>
  <c r="V684" i="10" s="1"/>
  <c r="U288" i="10"/>
  <c r="U752" i="10"/>
  <c r="V752" i="10" s="1"/>
  <c r="U257" i="10"/>
  <c r="V257" i="10" s="1"/>
  <c r="U29" i="10"/>
  <c r="V29" i="10" s="1"/>
  <c r="U196" i="10"/>
  <c r="U30" i="10"/>
  <c r="V30" i="10" s="1"/>
  <c r="U6" i="10"/>
  <c r="V6" i="10" s="1"/>
  <c r="U274" i="10"/>
  <c r="U770" i="10"/>
  <c r="U771" i="10"/>
  <c r="U42" i="10"/>
  <c r="U133" i="10"/>
  <c r="U769" i="10"/>
  <c r="U768" i="10"/>
  <c r="U454" i="10"/>
  <c r="U43" i="10"/>
  <c r="U433" i="10"/>
  <c r="U738" i="10"/>
  <c r="U187" i="10"/>
  <c r="U599" i="10"/>
  <c r="V599" i="10" s="1"/>
  <c r="U600" i="10"/>
  <c r="U727" i="10"/>
  <c r="U753" i="10"/>
  <c r="V753" i="10" s="1"/>
  <c r="U754" i="10"/>
  <c r="V754" i="10" s="1"/>
  <c r="U755" i="10"/>
  <c r="U725" i="10"/>
  <c r="U262" i="10"/>
  <c r="U731" i="10"/>
  <c r="V731" i="10" s="1"/>
  <c r="U198" i="10"/>
  <c r="U129" i="10"/>
  <c r="U128" i="10"/>
  <c r="V128" i="10" s="1"/>
  <c r="U13" i="10"/>
  <c r="V13" i="10" s="1"/>
  <c r="U372" i="10"/>
  <c r="U207" i="10"/>
  <c r="V207" i="10" s="1"/>
  <c r="U123" i="10"/>
  <c r="U397" i="10"/>
  <c r="U94" i="10"/>
  <c r="V94" i="10" s="1"/>
  <c r="U616" i="10"/>
  <c r="V616" i="10" s="1"/>
  <c r="U703" i="10"/>
  <c r="V703" i="10" s="1"/>
  <c r="U674" i="10"/>
  <c r="V674" i="10" s="1"/>
  <c r="U705" i="10"/>
  <c r="V705" i="10" s="1"/>
  <c r="U84" i="10"/>
  <c r="V84" i="10" s="1"/>
  <c r="U31" i="10"/>
  <c r="V31" i="10" s="1"/>
  <c r="U407" i="10"/>
  <c r="U85" i="10"/>
  <c r="V85" i="10" s="1"/>
  <c r="U646" i="10"/>
  <c r="U601" i="10"/>
  <c r="U427" i="10"/>
  <c r="U95" i="10"/>
  <c r="V95" i="10" s="1"/>
  <c r="U279" i="10"/>
  <c r="U739" i="10"/>
  <c r="U718" i="10"/>
  <c r="U334" i="10"/>
  <c r="U516" i="10"/>
  <c r="V516" i="10" s="1"/>
  <c r="U96" i="10"/>
  <c r="V96" i="10" s="1"/>
  <c r="U86" i="10"/>
  <c r="V86" i="10" s="1"/>
  <c r="U511" i="10"/>
  <c r="V511" i="10" s="1"/>
  <c r="U513" i="10"/>
  <c r="U430" i="10"/>
  <c r="U278" i="10"/>
  <c r="V278" i="10" s="1"/>
  <c r="U405" i="10"/>
  <c r="U642" i="10"/>
  <c r="U102" i="10"/>
  <c r="V102" i="10" s="1"/>
  <c r="U584" i="10"/>
  <c r="U283" i="10"/>
  <c r="U302" i="10"/>
  <c r="U53" i="10"/>
  <c r="U303" i="10"/>
  <c r="U462" i="10"/>
  <c r="U465" i="10"/>
  <c r="U27" i="10"/>
  <c r="U124" i="10"/>
  <c r="U17" i="10"/>
  <c r="V17" i="10" s="1"/>
  <c r="U335" i="10"/>
  <c r="U137" i="10"/>
  <c r="U101" i="10"/>
  <c r="U652" i="10"/>
  <c r="V652" i="10" s="1"/>
  <c r="U651" i="10"/>
  <c r="U147" i="10"/>
  <c r="U176" i="10"/>
  <c r="U77" i="10"/>
  <c r="U233" i="10"/>
  <c r="U641" i="10"/>
  <c r="V641" i="10" s="1"/>
  <c r="U342" i="10"/>
  <c r="U617" i="10"/>
  <c r="U618" i="10"/>
  <c r="V618" i="10" s="1"/>
  <c r="U209" i="10"/>
  <c r="U338" i="10"/>
  <c r="U225" i="10"/>
  <c r="U216" i="10"/>
  <c r="U380" i="10"/>
  <c r="U381" i="10"/>
  <c r="U258" i="10"/>
  <c r="U726" i="10"/>
  <c r="U105" i="10"/>
  <c r="V105" i="10" s="1"/>
  <c r="U106" i="10"/>
  <c r="V106" i="10" s="1"/>
  <c r="U107" i="10"/>
  <c r="V107" i="10" s="1"/>
  <c r="U389" i="10"/>
  <c r="U114" i="10"/>
  <c r="U612" i="10"/>
  <c r="U507" i="10"/>
  <c r="U741" i="10"/>
  <c r="V741" i="10" s="1"/>
  <c r="U508" i="10"/>
  <c r="U509" i="10"/>
  <c r="V509" i="10" s="1"/>
  <c r="U510" i="10"/>
  <c r="U172" i="10"/>
  <c r="U398" i="10"/>
  <c r="U32" i="10"/>
  <c r="V32" i="10" s="1"/>
  <c r="U590" i="10"/>
  <c r="U339" i="10"/>
  <c r="V339" i="10" s="1"/>
  <c r="U760" i="10"/>
  <c r="V760" i="10" s="1"/>
  <c r="U688" i="10"/>
  <c r="U331" i="10"/>
  <c r="U327" i="10"/>
  <c r="U254" i="10"/>
  <c r="U255" i="10"/>
  <c r="U399" i="10"/>
  <c r="U307" i="10"/>
  <c r="U624" i="10"/>
  <c r="U251" i="10"/>
  <c r="U296" i="10"/>
  <c r="V296" i="10" s="1"/>
  <c r="U297" i="10"/>
  <c r="V297" i="10" s="1"/>
  <c r="U459" i="10"/>
  <c r="V459" i="10" s="1"/>
  <c r="U694" i="10"/>
  <c r="V694" i="10" s="1"/>
  <c r="U682" i="10"/>
  <c r="V682" i="10" s="1"/>
  <c r="U173" i="10"/>
  <c r="V173" i="10" s="1"/>
  <c r="U174" i="10"/>
  <c r="V174" i="10" s="1"/>
  <c r="U81" i="10"/>
  <c r="U263" i="10"/>
  <c r="V263" i="10" s="1"/>
  <c r="U150" i="10"/>
  <c r="V150" i="10" s="1"/>
  <c r="U162" i="10"/>
  <c r="V162" i="10" s="1"/>
  <c r="U613" i="10"/>
  <c r="V613" i="10" s="1"/>
  <c r="U3" i="10"/>
  <c r="V3" i="10" s="1"/>
  <c r="U238" i="10"/>
  <c r="V238" i="10" s="1"/>
  <c r="U765" i="10"/>
  <c r="V765" i="10" s="1"/>
  <c r="U299" i="10"/>
  <c r="V299" i="10" s="1"/>
  <c r="U33" i="10"/>
  <c r="V33" i="10" s="1"/>
  <c r="U58" i="10"/>
  <c r="U453" i="10"/>
  <c r="U247" i="10"/>
  <c r="U455" i="10"/>
  <c r="U316" i="10"/>
  <c r="U452" i="10"/>
  <c r="U456" i="10"/>
  <c r="U450" i="10"/>
  <c r="U495" i="10"/>
  <c r="V495" i="10" s="1"/>
  <c r="U570" i="10"/>
  <c r="V570" i="10" s="1"/>
  <c r="U460" i="10"/>
  <c r="V460" i="10" s="1"/>
  <c r="U715" i="10"/>
  <c r="V715" i="10" s="1"/>
  <c r="U695" i="10"/>
  <c r="U697" i="10"/>
  <c r="V697" i="10" s="1"/>
  <c r="U472" i="10"/>
  <c r="U109" i="10"/>
  <c r="U204" i="10"/>
  <c r="U375" i="10"/>
  <c r="U406" i="10"/>
  <c r="U690" i="10"/>
  <c r="V690" i="10" s="1"/>
  <c r="U485" i="10"/>
  <c r="U21" i="10"/>
  <c r="V21" i="10" s="1"/>
  <c r="U497" i="10"/>
  <c r="V497" i="10" s="1"/>
  <c r="U569" i="10"/>
  <c r="U373" i="10"/>
  <c r="V373" i="10" s="1"/>
  <c r="U374" i="10"/>
  <c r="U22" i="10"/>
  <c r="V22" i="10" s="1"/>
  <c r="U477" i="10"/>
  <c r="U463" i="10"/>
  <c r="V463" i="10" s="1"/>
  <c r="U445" i="10"/>
  <c r="V445" i="10" s="1"/>
  <c r="U591" i="10"/>
  <c r="V591" i="10" s="1"/>
  <c r="U638" i="10"/>
  <c r="U440" i="10"/>
  <c r="U588" i="10"/>
  <c r="U193" i="10"/>
  <c r="U592" i="10"/>
  <c r="V592" i="10" s="1"/>
  <c r="U716" i="10"/>
  <c r="U691" i="10"/>
  <c r="U545" i="10"/>
  <c r="U678" i="10"/>
  <c r="U685" i="10"/>
  <c r="V685" i="10" s="1"/>
  <c r="U546" i="10"/>
  <c r="V546" i="10" s="1"/>
  <c r="U547" i="10"/>
  <c r="V547" i="10" s="1"/>
  <c r="U548" i="10"/>
  <c r="V548" i="10" s="1"/>
  <c r="U300" i="10"/>
  <c r="U289" i="10"/>
  <c r="U298" i="10"/>
  <c r="U205" i="10"/>
  <c r="V205" i="10" s="1"/>
  <c r="U377" i="10"/>
  <c r="U208" i="10"/>
  <c r="U180" i="10"/>
  <c r="V180" i="10" s="1"/>
  <c r="U305" i="10"/>
  <c r="U79" i="10"/>
  <c r="U742" i="10"/>
  <c r="V742" i="10" s="1"/>
  <c r="U103" i="10"/>
  <c r="V103" i="10" s="1"/>
  <c r="U578" i="10"/>
  <c r="U467" i="10"/>
  <c r="U693" i="10"/>
  <c r="U701" i="10"/>
  <c r="U679" i="10"/>
  <c r="U65" i="10"/>
  <c r="V65" i="10" s="1"/>
  <c r="U66" i="10"/>
  <c r="V66" i="10" s="1"/>
  <c r="U67" i="10"/>
  <c r="V67" i="10" s="1"/>
  <c r="U68" i="10"/>
  <c r="V68" i="10" s="1"/>
  <c r="U518" i="10"/>
  <c r="V518" i="10" s="1"/>
  <c r="U519" i="10"/>
  <c r="V519" i="10" s="1"/>
  <c r="U520" i="10"/>
  <c r="V520" i="10" s="1"/>
  <c r="U521" i="10"/>
  <c r="V521" i="10" s="1"/>
  <c r="U4" i="10"/>
  <c r="V4" i="10" s="1"/>
  <c r="U5" i="10"/>
  <c r="U235" i="10"/>
  <c r="U512" i="10"/>
  <c r="V512" i="10" s="1"/>
  <c r="U284" i="10"/>
  <c r="U192" i="10"/>
  <c r="U393" i="10"/>
  <c r="U671" i="10"/>
  <c r="U23" i="10"/>
  <c r="U535" i="10"/>
  <c r="U269" i="10"/>
  <c r="U706" i="10"/>
  <c r="V706" i="10" s="1"/>
  <c r="U549" i="10"/>
  <c r="U579" i="10"/>
  <c r="V579" i="10" s="1"/>
  <c r="U707" i="10"/>
  <c r="U267" i="10"/>
  <c r="U270" i="10"/>
  <c r="U732" i="10"/>
  <c r="V732" i="10" s="1"/>
  <c r="U733" i="10"/>
  <c r="V733" i="10" s="1"/>
  <c r="U761" i="10"/>
  <c r="V761" i="10" s="1"/>
  <c r="U762" i="10"/>
  <c r="V762" i="10" s="1"/>
  <c r="U763" i="10"/>
  <c r="V763" i="10" s="1"/>
  <c r="U581" i="10"/>
  <c r="V581" i="10" s="1"/>
  <c r="U301" i="10"/>
  <c r="U582" i="10"/>
  <c r="V582" i="10" s="1"/>
  <c r="U104" i="10"/>
  <c r="V104" i="10" s="1"/>
  <c r="U367" i="10"/>
  <c r="V367" i="10" s="1"/>
  <c r="U358" i="10"/>
  <c r="V358" i="10" s="1"/>
  <c r="U353" i="10"/>
  <c r="U154" i="10"/>
  <c r="V154" i="10" s="1"/>
  <c r="U166" i="10"/>
  <c r="V166" i="10" s="1"/>
  <c r="U71" i="10"/>
  <c r="U167" i="10"/>
  <c r="V167" i="10" s="1"/>
  <c r="U168" i="10"/>
  <c r="V168" i="10" s="1"/>
  <c r="U169" i="10"/>
  <c r="V169" i="10" s="1"/>
  <c r="U604" i="10"/>
  <c r="U143" i="10"/>
  <c r="U141" i="10"/>
  <c r="V141" i="10" s="1"/>
  <c r="U134" i="10"/>
  <c r="V134" i="10" s="1"/>
  <c r="U63" i="10"/>
  <c r="U252" i="10"/>
  <c r="V252" i="10" s="1"/>
  <c r="U72" i="10"/>
  <c r="V72" i="10" s="1"/>
  <c r="U550" i="10"/>
  <c r="V550" i="10" s="1"/>
  <c r="U551" i="10"/>
  <c r="V551" i="10" s="1"/>
  <c r="U552" i="10"/>
  <c r="V552" i="10" s="1"/>
  <c r="U553" i="10"/>
  <c r="V553" i="10" s="1"/>
  <c r="U554" i="10"/>
  <c r="U555" i="10"/>
  <c r="U343" i="10"/>
  <c r="U44" i="10"/>
  <c r="U498" i="10"/>
  <c r="U285" i="10"/>
  <c r="V285" i="10" s="1"/>
  <c r="U46" i="10"/>
  <c r="U163" i="10"/>
  <c r="U151" i="10"/>
  <c r="V151" i="10" s="1"/>
  <c r="U354" i="10"/>
  <c r="U190" i="10"/>
  <c r="V190" i="10" s="1"/>
  <c r="U191" i="10"/>
  <c r="U772" i="10"/>
  <c r="V772" i="10" s="1"/>
  <c r="U35" i="10"/>
  <c r="V35" i="10" s="1"/>
  <c r="U236" i="10"/>
  <c r="V236" i="10" s="1"/>
  <c r="U36" i="10"/>
  <c r="V36" i="10" s="1"/>
  <c r="U416" i="10"/>
  <c r="V416" i="10" s="1"/>
  <c r="U418" i="10"/>
  <c r="V418" i="10" s="1"/>
  <c r="U34" i="10"/>
  <c r="U474" i="10"/>
  <c r="U634" i="10"/>
  <c r="U26" i="10"/>
  <c r="U25" i="10"/>
  <c r="U625" i="10"/>
  <c r="V625" i="10" s="1"/>
  <c r="U556" i="10"/>
  <c r="U188" i="10"/>
  <c r="V188" i="10" s="1"/>
  <c r="U626" i="10"/>
  <c r="V626" i="10" s="1"/>
  <c r="U606" i="10"/>
  <c r="U607" i="10"/>
  <c r="U603" i="10"/>
  <c r="U37" i="10"/>
  <c r="V37" i="10" s="1"/>
  <c r="U314" i="10"/>
  <c r="V314" i="10" s="1"/>
  <c r="U560" i="10"/>
  <c r="V560" i="10" s="1"/>
  <c r="U210" i="10"/>
  <c r="V210" i="10" s="1"/>
  <c r="U144" i="10"/>
  <c r="V144" i="10" s="1"/>
  <c r="U142" i="10"/>
  <c r="V142" i="10" s="1"/>
  <c r="U155" i="10"/>
  <c r="V155" i="10" s="1"/>
  <c r="U219" i="10"/>
  <c r="U499" i="10"/>
  <c r="V499" i="10" s="1"/>
  <c r="U61" i="10"/>
  <c r="U350" i="10"/>
  <c r="U355" i="10"/>
  <c r="U571" i="10"/>
  <c r="V571" i="10" s="1"/>
  <c r="U580" i="10"/>
  <c r="V580" i="10" s="1"/>
  <c r="U561" i="10"/>
  <c r="V561" i="10" s="1"/>
  <c r="U243" i="10"/>
  <c r="V243" i="10" s="1"/>
  <c r="U500" i="10"/>
  <c r="V500" i="10" s="1"/>
  <c r="U538" i="10"/>
  <c r="V538" i="10" s="1"/>
  <c r="U347" i="10"/>
  <c r="V347" i="10" s="1"/>
  <c r="U378" i="10"/>
  <c r="U743" i="10"/>
  <c r="U605" i="10"/>
  <c r="U211" i="10"/>
  <c r="V211" i="10" s="1"/>
  <c r="U206" i="10"/>
  <c r="U419" i="10"/>
  <c r="V419" i="10" s="1"/>
  <c r="U286" i="10"/>
  <c r="U177" i="10"/>
  <c r="U672" i="10"/>
  <c r="V672" i="10" s="1"/>
  <c r="U673" i="10"/>
  <c r="V673" i="10" s="1"/>
  <c r="U379" i="10"/>
  <c r="U159" i="10"/>
  <c r="U386" i="10"/>
  <c r="V386" i="10" s="1"/>
  <c r="U73" i="10"/>
  <c r="U649" i="10"/>
  <c r="V649" i="10" s="1"/>
  <c r="U469" i="10"/>
  <c r="V469" i="10" s="1"/>
  <c r="U271" i="10"/>
  <c r="V271" i="10" s="1"/>
  <c r="U90" i="10"/>
  <c r="V90" i="10" s="1"/>
  <c r="U91" i="10"/>
  <c r="V91" i="10" s="1"/>
  <c r="U87" i="10"/>
  <c r="V87" i="10" s="1"/>
  <c r="U108" i="10"/>
  <c r="U442" i="10"/>
  <c r="U436" i="10"/>
  <c r="U388" i="10"/>
  <c r="U602" i="10"/>
  <c r="V602" i="10" s="1"/>
  <c r="U199" i="10"/>
  <c r="V199" i="10" s="1"/>
  <c r="U244" i="10"/>
  <c r="U245" i="10"/>
  <c r="U246" i="10"/>
  <c r="U83" i="10"/>
  <c r="U308" i="10"/>
  <c r="V308" i="10" s="1"/>
  <c r="U348" i="10"/>
  <c r="U351" i="10"/>
  <c r="U359" i="10"/>
  <c r="V359" i="10" s="1"/>
  <c r="U368" i="10"/>
  <c r="V368" i="10" s="1"/>
  <c r="U360" i="10"/>
  <c r="V360" i="10" s="1"/>
  <c r="U74" i="10"/>
  <c r="U64" i="10"/>
  <c r="V64" i="10" s="1"/>
  <c r="U627" i="10"/>
  <c r="V627" i="10" s="1"/>
  <c r="U228" i="10"/>
  <c r="V228" i="10" s="1"/>
  <c r="U115" i="10"/>
  <c r="U239" i="10"/>
  <c r="V239" i="10" s="1"/>
  <c r="U766" i="10"/>
  <c r="V766" i="10" s="1"/>
  <c r="U767" i="10"/>
  <c r="U9" i="10"/>
  <c r="U324" i="10"/>
  <c r="U403" i="10"/>
  <c r="V403" i="10" s="1"/>
  <c r="U97" i="10"/>
  <c r="V97" i="10" s="1"/>
  <c r="U387" i="10"/>
  <c r="V387" i="10" s="1"/>
  <c r="U486" i="10"/>
  <c r="V486" i="10" s="1"/>
  <c r="U49" i="10"/>
  <c r="U539" i="10"/>
  <c r="V539" i="10" s="1"/>
  <c r="U540" i="10"/>
  <c r="V540" i="10" s="1"/>
  <c r="U541" i="10"/>
  <c r="V541" i="10" s="1"/>
  <c r="U226" i="10"/>
  <c r="V226" i="10" s="1"/>
  <c r="U182" i="10"/>
  <c r="U637" i="10"/>
  <c r="U639" i="10"/>
  <c r="V639" i="10" s="1"/>
  <c r="U563" i="10"/>
  <c r="U748" i="10"/>
  <c r="U749" i="10"/>
  <c r="V749" i="10" s="1"/>
  <c r="U253" i="10"/>
  <c r="U248" i="10"/>
  <c r="U249" i="10"/>
  <c r="U408" i="10"/>
  <c r="U522" i="10"/>
  <c r="V522" i="10" s="1"/>
  <c r="U175" i="10"/>
  <c r="U536" i="10"/>
  <c r="U653" i="10"/>
  <c r="V653" i="10" s="1"/>
  <c r="U503" i="10"/>
  <c r="V503" i="10" s="1"/>
  <c r="U572" i="10"/>
  <c r="V572" i="10" s="1"/>
  <c r="U564" i="10"/>
  <c r="V564" i="10" s="1"/>
  <c r="U110" i="10"/>
  <c r="U504" i="10"/>
  <c r="U645" i="10"/>
  <c r="U594" i="10"/>
  <c r="V594" i="10" s="1"/>
  <c r="U587" i="10"/>
  <c r="U413" i="10"/>
  <c r="U306" i="10"/>
  <c r="U366" i="10"/>
  <c r="U315" i="10"/>
  <c r="V315" i="10" s="1"/>
  <c r="U357" i="10"/>
  <c r="U237" i="10"/>
  <c r="V237" i="10" s="1"/>
  <c r="U156" i="10"/>
  <c r="V156" i="10" s="1"/>
  <c r="U478" i="10"/>
  <c r="U566" i="10"/>
  <c r="V566" i="10" s="1"/>
  <c r="U376" i="10"/>
  <c r="U349" i="10"/>
  <c r="U186" i="10"/>
  <c r="U417" i="10"/>
  <c r="V417" i="10" s="1"/>
  <c r="U152" i="10"/>
  <c r="V152" i="10" s="1"/>
  <c r="U644" i="10"/>
  <c r="U629" i="10"/>
  <c r="V629" i="10" s="1"/>
  <c r="U630" i="10"/>
  <c r="V630" i="10" s="1"/>
  <c r="U423" i="10"/>
  <c r="U28" i="10"/>
  <c r="U383" i="10"/>
  <c r="V383" i="10" s="1"/>
  <c r="U240" i="10"/>
  <c r="V240" i="10" s="1"/>
  <c r="U489" i="10"/>
  <c r="V489" i="10" s="1"/>
  <c r="U181" i="10"/>
  <c r="V181" i="10" s="1"/>
  <c r="U481" i="10"/>
  <c r="U534" i="10"/>
  <c r="V534" i="10" s="1"/>
  <c r="U526" i="10"/>
  <c r="U735" i="10"/>
  <c r="V735" i="10" s="1"/>
  <c r="U711" i="10"/>
  <c r="U448" i="10"/>
  <c r="U614" i="10"/>
  <c r="U615" i="10"/>
  <c r="V615" i="10" s="1"/>
  <c r="U291" i="10"/>
  <c r="V291" i="10" s="1"/>
  <c r="U292" i="10"/>
  <c r="V292" i="10" s="1"/>
  <c r="U294" i="10"/>
  <c r="V294" i="10" s="1"/>
  <c r="U709" i="10"/>
  <c r="U583" i="10"/>
  <c r="V583" i="10" s="1"/>
  <c r="U446" i="10"/>
  <c r="V446" i="10" s="1"/>
  <c r="U710" i="10"/>
  <c r="V710" i="10" s="1"/>
  <c r="U675" i="10"/>
  <c r="U317" i="10"/>
  <c r="V317" i="10" s="1"/>
  <c r="U309" i="10"/>
  <c r="U659" i="10"/>
  <c r="U479" i="10"/>
  <c r="V479" i="10" s="1"/>
  <c r="U424" i="10"/>
  <c r="V424" i="10" s="1"/>
  <c r="U111" i="10"/>
  <c r="U723" i="10"/>
  <c r="U669" i="10"/>
  <c r="U126" i="10"/>
  <c r="U189" i="10"/>
  <c r="V189" i="10" s="1"/>
  <c r="U434" i="10"/>
  <c r="U724" i="10"/>
  <c r="U326" i="10"/>
  <c r="U575" i="10"/>
  <c r="U647" i="10"/>
  <c r="V647" i="10" s="1"/>
  <c r="U184" i="10"/>
  <c r="V184" i="10" s="1"/>
  <c r="U160" i="10"/>
  <c r="V160" i="10" s="1"/>
  <c r="U340" i="10"/>
  <c r="V340" i="10" s="1"/>
  <c r="U394" i="10"/>
  <c r="U75" i="10"/>
  <c r="U527" i="10"/>
  <c r="V527" i="10" s="1"/>
  <c r="U528" i="10"/>
  <c r="V528" i="10" s="1"/>
  <c r="U529" i="10"/>
  <c r="V529" i="10" s="1"/>
  <c r="U530" i="10"/>
  <c r="V530" i="10" s="1"/>
  <c r="U531" i="10"/>
  <c r="V531" i="10" s="1"/>
  <c r="U532" i="10"/>
  <c r="V532" i="10" s="1"/>
  <c r="U533" i="10"/>
  <c r="V533" i="10" s="1"/>
  <c r="U336" i="10"/>
  <c r="V336" i="10" s="1"/>
  <c r="U490" i="10"/>
  <c r="V490" i="10" s="1"/>
  <c r="U487" i="10"/>
  <c r="V487" i="10" s="1"/>
  <c r="U119" i="10"/>
  <c r="V119" i="10" s="1"/>
  <c r="U491" i="10"/>
  <c r="V491" i="10" s="1"/>
  <c r="U635" i="10"/>
  <c r="V635" i="10" s="1"/>
  <c r="U197" i="10"/>
  <c r="V197" i="10" s="1"/>
  <c r="U19" i="10"/>
  <c r="V19" i="10" s="1"/>
  <c r="U88" i="10"/>
  <c r="V88" i="10" s="1"/>
  <c r="U475" i="10"/>
  <c r="U505" i="10"/>
  <c r="U506" i="10"/>
  <c r="U523" i="10"/>
  <c r="U524" i="10"/>
  <c r="V524" i="10" s="1"/>
  <c r="U525" i="10"/>
  <c r="U557" i="10"/>
  <c r="V557" i="10" s="1"/>
  <c r="U734" i="10"/>
  <c r="U56" i="10"/>
  <c r="U57" i="10"/>
  <c r="V57" i="10" s="1"/>
  <c r="U573" i="10"/>
  <c r="V573" i="10" s="1"/>
  <c r="U466" i="10"/>
  <c r="U241" i="10"/>
  <c r="V241" i="10" s="1"/>
  <c r="U242" i="10"/>
  <c r="V242" i="10" s="1"/>
  <c r="U585" i="10"/>
  <c r="U217" i="10"/>
  <c r="U116" i="10"/>
  <c r="U117" i="10"/>
  <c r="V117" i="10" s="1"/>
  <c r="U118" i="10"/>
  <c r="U295" i="10"/>
  <c r="U293" i="10"/>
  <c r="V293" i="10" s="1"/>
  <c r="U643" i="10"/>
  <c r="V643" i="10" s="1"/>
  <c r="U565" i="10"/>
  <c r="V565" i="10" s="1"/>
  <c r="U650" i="10"/>
  <c r="U414" i="10"/>
  <c r="U312" i="10"/>
  <c r="U170" i="10"/>
  <c r="U736" i="10"/>
  <c r="U140" i="10"/>
  <c r="U676" i="10"/>
  <c r="V676" i="10" s="1"/>
  <c r="U425" i="10"/>
  <c r="U161" i="10"/>
  <c r="V161" i="10" s="1"/>
  <c r="U660" i="10"/>
  <c r="U60" i="10"/>
  <c r="U648" i="10"/>
  <c r="U496" i="10"/>
  <c r="V496" i="10" s="1"/>
  <c r="U558" i="10"/>
  <c r="V558" i="10" s="1"/>
  <c r="U135" i="10"/>
  <c r="V135" i="10" s="1"/>
  <c r="U136" i="10"/>
  <c r="V136" i="10" s="1"/>
  <c r="U665" i="10"/>
  <c r="V665" i="10" s="1"/>
  <c r="U113" i="10"/>
  <c r="U321" i="10"/>
  <c r="V321" i="10" s="1"/>
  <c r="U461" i="10"/>
  <c r="U171" i="10"/>
  <c r="V171" i="10" s="1"/>
  <c r="U120" i="10"/>
  <c r="U719" i="10"/>
  <c r="V719" i="10" s="1"/>
  <c r="U457" i="10"/>
  <c r="V457" i="10" s="1"/>
  <c r="U576" i="10"/>
  <c r="V576" i="10" s="1"/>
  <c r="U322" i="10"/>
  <c r="V322" i="10" s="1"/>
  <c r="U458" i="10"/>
  <c r="V458" i="10" s="1"/>
  <c r="U69" i="10"/>
  <c r="V69" i="10" s="1"/>
  <c r="U185" i="10"/>
  <c r="U574" i="10"/>
  <c r="V574" i="10" s="1"/>
  <c r="U677" i="10"/>
  <c r="V677" i="10" s="1"/>
  <c r="U145" i="10"/>
  <c r="V145" i="10" s="1"/>
  <c r="U488" i="10"/>
  <c r="V488" i="10" s="1"/>
  <c r="U48" i="10"/>
  <c r="V48" i="10" s="1"/>
  <c r="U409" i="10"/>
  <c r="U361" i="10"/>
  <c r="V361" i="10" s="1"/>
  <c r="U712" i="10"/>
  <c r="U70" i="10"/>
  <c r="V70" i="10" s="1"/>
  <c r="U320" i="10"/>
  <c r="U404" i="10"/>
  <c r="V404" i="10" s="1"/>
  <c r="U318" i="10"/>
  <c r="U577" i="10"/>
  <c r="U722" i="10"/>
  <c r="V722" i="10" s="1"/>
  <c r="U178" i="10"/>
  <c r="U112" i="10"/>
  <c r="U740" i="10"/>
  <c r="U567" i="10"/>
  <c r="V567" i="10" s="1"/>
  <c r="U514" i="10"/>
  <c r="U515" i="10"/>
  <c r="U746" i="10"/>
  <c r="U62" i="10"/>
  <c r="U595" i="10"/>
  <c r="U451" i="10"/>
  <c r="U231" i="10"/>
  <c r="U232" i="10"/>
  <c r="U596" i="10"/>
  <c r="U747" i="10"/>
  <c r="V747" i="10" s="1"/>
  <c r="U443" i="10"/>
  <c r="V443" i="10" s="1"/>
  <c r="U444" i="10"/>
  <c r="V444" i="10" s="1"/>
  <c r="U562" i="10"/>
  <c r="V562" i="10" s="1"/>
  <c r="U384" i="10"/>
  <c r="V384" i="10" s="1"/>
  <c r="U310" i="10"/>
  <c r="U311" i="10"/>
  <c r="U362" i="10"/>
  <c r="U346" i="10"/>
  <c r="U76" i="10"/>
  <c r="U392" i="10"/>
  <c r="V392" i="10" s="1"/>
  <c r="U631" i="10"/>
  <c r="V631" i="10" s="1"/>
  <c r="U14" i="10"/>
  <c r="V14" i="10" s="1"/>
  <c r="U480" i="10"/>
  <c r="U341" i="10"/>
  <c r="V341" i="10" s="1"/>
  <c r="U670" i="10"/>
  <c r="U737" i="10"/>
  <c r="U744" i="10"/>
  <c r="U121" i="10"/>
  <c r="V121" i="10" s="1"/>
  <c r="U517" i="10"/>
  <c r="V517" i="10" s="1"/>
  <c r="U78" i="10"/>
  <c r="U390" i="10"/>
  <c r="V390" i="10" s="1"/>
  <c r="U745" i="10"/>
  <c r="U20" i="10"/>
  <c r="V20" i="10" s="1"/>
  <c r="U15" i="10"/>
  <c r="V15" i="10" s="1"/>
  <c r="U400" i="10"/>
  <c r="V400" i="10" s="1"/>
  <c r="U476" i="10"/>
  <c r="V476" i="10" s="1"/>
  <c r="U654" i="10"/>
  <c r="V654" i="10" s="1"/>
  <c r="U337" i="10"/>
  <c r="V337" i="10" s="1"/>
  <c r="U59" i="10"/>
  <c r="V59" i="10" s="1"/>
  <c r="U290" i="10"/>
  <c r="V290" i="10" s="1"/>
  <c r="U16" i="10"/>
  <c r="AA290" i="10"/>
  <c r="AE290" i="10" s="1"/>
  <c r="R290" i="10"/>
  <c r="T290" i="10" s="1"/>
  <c r="R16" i="10"/>
  <c r="Q290" i="10"/>
  <c r="Q16" i="10"/>
  <c r="AB16" i="10" s="1"/>
  <c r="P290" i="10"/>
  <c r="P16" i="10"/>
  <c r="X16" i="10" s="1"/>
  <c r="Y16" i="10" s="1"/>
  <c r="AA59" i="10"/>
  <c r="AE59" i="10" s="1"/>
  <c r="R59" i="10"/>
  <c r="T59" i="10" s="1"/>
  <c r="Q59" i="10"/>
  <c r="P59" i="10"/>
  <c r="AA78" i="10"/>
  <c r="AE78" i="10" s="1"/>
  <c r="AA745" i="10"/>
  <c r="AE745" i="10" s="1"/>
  <c r="R744" i="10"/>
  <c r="T744" i="10" s="1"/>
  <c r="R121" i="10"/>
  <c r="R517" i="10"/>
  <c r="R78" i="10"/>
  <c r="T78" i="10" s="1"/>
  <c r="R390" i="10"/>
  <c r="R745" i="10"/>
  <c r="T745" i="10" s="1"/>
  <c r="R20" i="10"/>
  <c r="T20" i="10" s="1"/>
  <c r="R15" i="10"/>
  <c r="T15" i="10" s="1"/>
  <c r="R400" i="10"/>
  <c r="R476" i="10"/>
  <c r="R654" i="10"/>
  <c r="T654" i="10" s="1"/>
  <c r="R337" i="10"/>
  <c r="Q744" i="10"/>
  <c r="Q121" i="10"/>
  <c r="Q517" i="10"/>
  <c r="Q78" i="10"/>
  <c r="AB78" i="10" s="1"/>
  <c r="Q390" i="10"/>
  <c r="Q745" i="10"/>
  <c r="Q20" i="10"/>
  <c r="Q15" i="10"/>
  <c r="Q400" i="10"/>
  <c r="Q476" i="10"/>
  <c r="Q654" i="10"/>
  <c r="Q337" i="10"/>
  <c r="P744" i="10"/>
  <c r="P121" i="10"/>
  <c r="W121" i="10" s="1"/>
  <c r="P517" i="10"/>
  <c r="AA517" i="10" s="1"/>
  <c r="AE517" i="10" s="1"/>
  <c r="P78" i="10"/>
  <c r="Z78" i="10" s="1"/>
  <c r="P390" i="10"/>
  <c r="W390" i="10" s="1"/>
  <c r="P745" i="10"/>
  <c r="P20" i="10"/>
  <c r="W20" i="10" s="1"/>
  <c r="P15" i="10"/>
  <c r="P400" i="10"/>
  <c r="P476" i="10"/>
  <c r="P654" i="10"/>
  <c r="P337" i="10"/>
  <c r="AA340" i="10" s="1"/>
  <c r="AE340" i="10" s="1"/>
  <c r="R670" i="10"/>
  <c r="T670" i="10" s="1"/>
  <c r="R737" i="10"/>
  <c r="T737" i="10" s="1"/>
  <c r="Q670" i="10"/>
  <c r="Q737" i="10"/>
  <c r="P670" i="10"/>
  <c r="P737" i="10"/>
  <c r="R341" i="10"/>
  <c r="T341" i="10" s="1"/>
  <c r="Q341" i="10"/>
  <c r="S341" i="10" s="1"/>
  <c r="P341" i="10"/>
  <c r="AA480" i="10"/>
  <c r="AE480" i="10" s="1"/>
  <c r="R631" i="10"/>
  <c r="R14" i="10"/>
  <c r="R480" i="10"/>
  <c r="T480" i="10" s="1"/>
  <c r="Q631" i="10"/>
  <c r="S631" i="10" s="1"/>
  <c r="Q14" i="10"/>
  <c r="S14" i="10" s="1"/>
  <c r="Q480" i="10"/>
  <c r="P631" i="10"/>
  <c r="P14" i="10"/>
  <c r="AA15" i="10" s="1"/>
  <c r="AE15" i="10" s="1"/>
  <c r="P480" i="10"/>
  <c r="AA346" i="10"/>
  <c r="AE346" i="10" s="1"/>
  <c r="AA76" i="10"/>
  <c r="AE76" i="10" s="1"/>
  <c r="R346" i="10"/>
  <c r="T346" i="10" s="1"/>
  <c r="R76" i="10"/>
  <c r="T76" i="10" s="1"/>
  <c r="R392" i="10"/>
  <c r="T392" i="10" s="1"/>
  <c r="Q346" i="10"/>
  <c r="Q76" i="10"/>
  <c r="Q392" i="10"/>
  <c r="P346" i="10"/>
  <c r="W346" i="10" s="1"/>
  <c r="P76" i="10"/>
  <c r="P392" i="10"/>
  <c r="AA311" i="10"/>
  <c r="AE311" i="10" s="1"/>
  <c r="R596" i="10"/>
  <c r="T596" i="10" s="1"/>
  <c r="R747" i="10"/>
  <c r="R443" i="10"/>
  <c r="R444" i="10"/>
  <c r="T444" i="10" s="1"/>
  <c r="R562" i="10"/>
  <c r="T562" i="10" s="1"/>
  <c r="R384" i="10"/>
  <c r="T384" i="10" s="1"/>
  <c r="R310" i="10"/>
  <c r="T310" i="10" s="1"/>
  <c r="R311" i="10"/>
  <c r="T311" i="10" s="1"/>
  <c r="R362" i="10"/>
  <c r="Q596" i="10"/>
  <c r="Q747" i="10"/>
  <c r="Q443" i="10"/>
  <c r="S443" i="10" s="1"/>
  <c r="Q444" i="10"/>
  <c r="Q562" i="10"/>
  <c r="S562" i="10" s="1"/>
  <c r="Q384" i="10"/>
  <c r="Q310" i="10"/>
  <c r="S310" i="10" s="1"/>
  <c r="Q311" i="10"/>
  <c r="Q362" i="10"/>
  <c r="P596" i="10"/>
  <c r="P747" i="10"/>
  <c r="P443" i="10"/>
  <c r="AA443" i="10" s="1"/>
  <c r="AE443" i="10" s="1"/>
  <c r="P444" i="10"/>
  <c r="P562" i="10"/>
  <c r="P384" i="10"/>
  <c r="P310" i="10"/>
  <c r="P311" i="10"/>
  <c r="P362" i="10"/>
  <c r="AA362" i="10" s="1"/>
  <c r="AE362" i="10" s="1"/>
  <c r="AA232" i="10"/>
  <c r="AE232" i="10" s="1"/>
  <c r="R232" i="10"/>
  <c r="T232" i="10" s="1"/>
  <c r="Q232" i="10"/>
  <c r="P232" i="10"/>
  <c r="AA231" i="10"/>
  <c r="AE231" i="10" s="1"/>
  <c r="R451" i="10"/>
  <c r="R231" i="10"/>
  <c r="T231" i="10" s="1"/>
  <c r="Q451" i="10"/>
  <c r="S451" i="10" s="1"/>
  <c r="Q231" i="10"/>
  <c r="P451" i="10"/>
  <c r="W451" i="10" s="1"/>
  <c r="P231" i="10"/>
  <c r="R62" i="10"/>
  <c r="T62" i="10" s="1"/>
  <c r="R595" i="10"/>
  <c r="Q62" i="10"/>
  <c r="S62" i="10" s="1"/>
  <c r="Q595" i="10"/>
  <c r="S595" i="10" s="1"/>
  <c r="P62" i="10"/>
  <c r="W62" i="10" s="1"/>
  <c r="P595" i="10"/>
  <c r="R515" i="10"/>
  <c r="T515" i="10" s="1"/>
  <c r="R746" i="10"/>
  <c r="Q515" i="10"/>
  <c r="Q746" i="10"/>
  <c r="P515" i="10"/>
  <c r="W515" i="10" s="1"/>
  <c r="P746" i="10"/>
  <c r="R112" i="10"/>
  <c r="T112" i="10" s="1"/>
  <c r="R740" i="10"/>
  <c r="R567" i="10"/>
  <c r="T567" i="10" s="1"/>
  <c r="R514" i="10"/>
  <c r="Q112" i="10"/>
  <c r="Q740" i="10"/>
  <c r="AB740" i="10" s="1"/>
  <c r="AC740" i="10" s="1"/>
  <c r="Q567" i="10"/>
  <c r="Q514" i="10"/>
  <c r="S514" i="10" s="1"/>
  <c r="P112" i="10"/>
  <c r="P740" i="10"/>
  <c r="AA740" i="10" s="1"/>
  <c r="AE740" i="10" s="1"/>
  <c r="P567" i="10"/>
  <c r="P514" i="10"/>
  <c r="AA515" i="10" s="1"/>
  <c r="AE515" i="10" s="1"/>
  <c r="AA178" i="10"/>
  <c r="AE178" i="10" s="1"/>
  <c r="R722" i="10"/>
  <c r="R178" i="10"/>
  <c r="T178" i="10" s="1"/>
  <c r="Q722" i="10"/>
  <c r="Q178" i="10"/>
  <c r="P722" i="10"/>
  <c r="Z722" i="10" s="1"/>
  <c r="P178" i="10"/>
  <c r="AA577" i="10"/>
  <c r="AE577" i="10" s="1"/>
  <c r="R577" i="10"/>
  <c r="T577" i="10" s="1"/>
  <c r="Q577" i="10"/>
  <c r="S577" i="10" s="1"/>
  <c r="P577" i="10"/>
  <c r="W577" i="10" s="1"/>
  <c r="AA318" i="10"/>
  <c r="AE318" i="10" s="1"/>
  <c r="R318" i="10"/>
  <c r="T318" i="10" s="1"/>
  <c r="Q318" i="10"/>
  <c r="S318" i="10" s="1"/>
  <c r="P318" i="10"/>
  <c r="R404" i="10"/>
  <c r="Q404" i="10"/>
  <c r="P404" i="10"/>
  <c r="AA409" i="10" s="1"/>
  <c r="AE409" i="10" s="1"/>
  <c r="AA320" i="10"/>
  <c r="AE320" i="10" s="1"/>
  <c r="R712" i="10"/>
  <c r="R70" i="10"/>
  <c r="T70" i="10" s="1"/>
  <c r="R320" i="10"/>
  <c r="T320" i="10" s="1"/>
  <c r="Q712" i="10"/>
  <c r="S712" i="10" s="1"/>
  <c r="Q70" i="10"/>
  <c r="Q320" i="10"/>
  <c r="S320" i="10" s="1"/>
  <c r="P712" i="10"/>
  <c r="Z712" i="10" s="1"/>
  <c r="P70" i="10"/>
  <c r="P320" i="10"/>
  <c r="R361" i="10"/>
  <c r="Q361" i="10"/>
  <c r="S361" i="10" s="1"/>
  <c r="P361" i="10"/>
  <c r="Z361" i="10" s="1"/>
  <c r="R488" i="10"/>
  <c r="T488" i="10" s="1"/>
  <c r="R48" i="10"/>
  <c r="R409" i="10"/>
  <c r="T409" i="10" s="1"/>
  <c r="Q488" i="10"/>
  <c r="Q48" i="10"/>
  <c r="S48" i="10" s="1"/>
  <c r="Q409" i="10"/>
  <c r="P488" i="10"/>
  <c r="P48" i="10"/>
  <c r="X48" i="10" s="1"/>
  <c r="Y48" i="10" s="1"/>
  <c r="P409" i="10"/>
  <c r="R145" i="10"/>
  <c r="T145" i="10" s="1"/>
  <c r="Q145" i="10"/>
  <c r="P145" i="10"/>
  <c r="W145" i="10" s="1"/>
  <c r="R677" i="10"/>
  <c r="T677" i="10" s="1"/>
  <c r="Q677" i="10"/>
  <c r="P677" i="10"/>
  <c r="R574" i="10"/>
  <c r="Q574" i="10"/>
  <c r="P574" i="10"/>
  <c r="AA185" i="10"/>
  <c r="AE185" i="10" s="1"/>
  <c r="R185" i="10"/>
  <c r="T185" i="10" s="1"/>
  <c r="Q185" i="10"/>
  <c r="P185" i="10"/>
  <c r="R458" i="10"/>
  <c r="T458" i="10" s="1"/>
  <c r="R69" i="10"/>
  <c r="Q458" i="10"/>
  <c r="Q69" i="10"/>
  <c r="P458" i="10"/>
  <c r="P69" i="10"/>
  <c r="W69" i="10" s="1"/>
  <c r="R322" i="10"/>
  <c r="T322" i="10" s="1"/>
  <c r="Q322" i="10"/>
  <c r="P322" i="10"/>
  <c r="AA576" i="10"/>
  <c r="AE576" i="10" s="1"/>
  <c r="R576" i="10"/>
  <c r="T576" i="10" s="1"/>
  <c r="Q576" i="10"/>
  <c r="P576" i="10"/>
  <c r="W576" i="10" s="1"/>
  <c r="R457" i="10"/>
  <c r="Q457" i="10"/>
  <c r="P457" i="10"/>
  <c r="AA458" i="10" s="1"/>
  <c r="AE458" i="10" s="1"/>
  <c r="R719" i="10"/>
  <c r="Q719" i="10"/>
  <c r="P719" i="10"/>
  <c r="R171" i="10"/>
  <c r="R120" i="10"/>
  <c r="T120" i="10" s="1"/>
  <c r="Q171" i="10"/>
  <c r="Q120" i="10"/>
  <c r="P171" i="10"/>
  <c r="W171" i="10" s="1"/>
  <c r="P120" i="10"/>
  <c r="AA113" i="10"/>
  <c r="AE113" i="10" s="1"/>
  <c r="R113" i="10"/>
  <c r="T113" i="10" s="1"/>
  <c r="R321" i="10"/>
  <c r="R461" i="10"/>
  <c r="T461" i="10" s="1"/>
  <c r="Q113" i="10"/>
  <c r="Q321" i="10"/>
  <c r="Q461" i="10"/>
  <c r="P113" i="10"/>
  <c r="P321" i="10"/>
  <c r="AA321" i="10" s="1"/>
  <c r="AE321" i="10" s="1"/>
  <c r="P461" i="10"/>
  <c r="AA665" i="10"/>
  <c r="AE665" i="10" s="1"/>
  <c r="R665" i="10"/>
  <c r="T665" i="10" s="1"/>
  <c r="Q665" i="10"/>
  <c r="P665" i="10"/>
  <c r="R136" i="10"/>
  <c r="T136" i="10" s="1"/>
  <c r="Q136" i="10"/>
  <c r="P136" i="10"/>
  <c r="W136" i="10" s="1"/>
  <c r="R135" i="10"/>
  <c r="T135" i="10" s="1"/>
  <c r="Q135" i="10"/>
  <c r="P135" i="10"/>
  <c r="AA60" i="10"/>
  <c r="AE60" i="10" s="1"/>
  <c r="AA648" i="10"/>
  <c r="AE648" i="10" s="1"/>
  <c r="AA558" i="10"/>
  <c r="AE558" i="10" s="1"/>
  <c r="R60" i="10"/>
  <c r="T60" i="10" s="1"/>
  <c r="R648" i="10"/>
  <c r="T648" i="10" s="1"/>
  <c r="R496" i="10"/>
  <c r="R558" i="10"/>
  <c r="T558" i="10" s="1"/>
  <c r="Q60" i="10"/>
  <c r="Q648" i="10"/>
  <c r="S648" i="10" s="1"/>
  <c r="Q496" i="10"/>
  <c r="S496" i="10" s="1"/>
  <c r="Q558" i="10"/>
  <c r="P60" i="10"/>
  <c r="W60" i="10" s="1"/>
  <c r="P648" i="10"/>
  <c r="P496" i="10"/>
  <c r="P558" i="10"/>
  <c r="W558" i="10" s="1"/>
  <c r="R161" i="10"/>
  <c r="R660" i="10"/>
  <c r="Q161" i="10"/>
  <c r="Q660" i="10"/>
  <c r="P161" i="10"/>
  <c r="W161" i="10" s="1"/>
  <c r="P660" i="10"/>
  <c r="X660" i="10" s="1"/>
  <c r="Y660" i="10" s="1"/>
  <c r="R676" i="10"/>
  <c r="R425" i="10"/>
  <c r="T425" i="10" s="1"/>
  <c r="Q676" i="10"/>
  <c r="S676" i="10" s="1"/>
  <c r="Q425" i="10"/>
  <c r="P676" i="10"/>
  <c r="P425" i="10"/>
  <c r="AA140" i="10"/>
  <c r="AE140" i="10" s="1"/>
  <c r="R140" i="10"/>
  <c r="T140" i="10" s="1"/>
  <c r="Q140" i="10"/>
  <c r="AB140" i="10" s="1"/>
  <c r="P140" i="10"/>
  <c r="X140" i="10" s="1"/>
  <c r="Y140" i="10" s="1"/>
  <c r="R170" i="10"/>
  <c r="R736" i="10"/>
  <c r="T736" i="10" s="1"/>
  <c r="Q170" i="10"/>
  <c r="S170" i="10" s="1"/>
  <c r="Q736" i="10"/>
  <c r="P170" i="10"/>
  <c r="P736" i="10"/>
  <c r="W736" i="10" s="1"/>
  <c r="AA312" i="10"/>
  <c r="AE312" i="10" s="1"/>
  <c r="R312" i="10"/>
  <c r="T312" i="10" s="1"/>
  <c r="Q312" i="10"/>
  <c r="S312" i="10" s="1"/>
  <c r="P312" i="10"/>
  <c r="X312" i="10" s="1"/>
  <c r="Y312" i="10" s="1"/>
  <c r="R414" i="10"/>
  <c r="T414" i="10" s="1"/>
  <c r="Q414" i="10"/>
  <c r="P414" i="10"/>
  <c r="AA650" i="10"/>
  <c r="AE650" i="10" s="1"/>
  <c r="R565" i="10"/>
  <c r="T565" i="10" s="1"/>
  <c r="R650" i="10"/>
  <c r="T650" i="10" s="1"/>
  <c r="Q565" i="10"/>
  <c r="Q650" i="10"/>
  <c r="P565" i="10"/>
  <c r="P650" i="10"/>
  <c r="R643" i="10"/>
  <c r="Q643" i="10"/>
  <c r="S643" i="10" s="1"/>
  <c r="P643" i="10"/>
  <c r="R293" i="10"/>
  <c r="T293" i="10" s="1"/>
  <c r="Q293" i="10"/>
  <c r="P293" i="10"/>
  <c r="R295" i="10"/>
  <c r="T295" i="10" s="1"/>
  <c r="Q295" i="10"/>
  <c r="P295" i="10"/>
  <c r="R118" i="10"/>
  <c r="T118" i="10" s="1"/>
  <c r="Q118" i="10"/>
  <c r="P118" i="10"/>
  <c r="R116" i="10"/>
  <c r="T116" i="10" s="1"/>
  <c r="R117" i="10"/>
  <c r="T117" i="10" s="1"/>
  <c r="Q116" i="10"/>
  <c r="Q117" i="10"/>
  <c r="P116" i="10"/>
  <c r="P117" i="10"/>
  <c r="R217" i="10"/>
  <c r="Q217" i="10"/>
  <c r="P217" i="10"/>
  <c r="W217" i="10" s="1"/>
  <c r="R585" i="10"/>
  <c r="T585" i="10" s="1"/>
  <c r="Q585" i="10"/>
  <c r="P585" i="10"/>
  <c r="R573" i="10"/>
  <c r="R466" i="10"/>
  <c r="R241" i="10"/>
  <c r="R242" i="10"/>
  <c r="Q573" i="10"/>
  <c r="Q466" i="10"/>
  <c r="Q241" i="10"/>
  <c r="Q242" i="10"/>
  <c r="S242" i="10" s="1"/>
  <c r="P573" i="10"/>
  <c r="W573" i="10" s="1"/>
  <c r="P466" i="10"/>
  <c r="AA466" i="10" s="1"/>
  <c r="AE466" i="10" s="1"/>
  <c r="P241" i="10"/>
  <c r="P242" i="10"/>
  <c r="W242" i="10" s="1"/>
  <c r="R57" i="10"/>
  <c r="T57" i="10" s="1"/>
  <c r="Q57" i="10"/>
  <c r="P57" i="10"/>
  <c r="W57" i="10" s="1"/>
  <c r="R56" i="10"/>
  <c r="Q56" i="10"/>
  <c r="P56" i="10"/>
  <c r="AA57" i="10" s="1"/>
  <c r="AE57" i="10" s="1"/>
  <c r="R734" i="10"/>
  <c r="T734" i="10" s="1"/>
  <c r="Q734" i="10"/>
  <c r="S734" i="10" s="1"/>
  <c r="P734" i="10"/>
  <c r="W734" i="10" s="1"/>
  <c r="AA557" i="10"/>
  <c r="AE557" i="10" s="1"/>
  <c r="R524" i="10"/>
  <c r="T524" i="10" s="1"/>
  <c r="R525" i="10"/>
  <c r="T525" i="10" s="1"/>
  <c r="R557" i="10"/>
  <c r="T557" i="10" s="1"/>
  <c r="Q524" i="10"/>
  <c r="Q525" i="10"/>
  <c r="S525" i="10" s="1"/>
  <c r="Q557" i="10"/>
  <c r="P524" i="10"/>
  <c r="P525" i="10"/>
  <c r="W525" i="10" s="1"/>
  <c r="P557" i="10"/>
  <c r="R523" i="10"/>
  <c r="T523" i="10" s="1"/>
  <c r="Q523" i="10"/>
  <c r="P523" i="10"/>
  <c r="W523" i="10" s="1"/>
  <c r="R506" i="10"/>
  <c r="T506" i="10" s="1"/>
  <c r="Q506" i="10"/>
  <c r="P506" i="10"/>
  <c r="R475" i="10"/>
  <c r="R505" i="10"/>
  <c r="T505" i="10" s="1"/>
  <c r="Q475" i="10"/>
  <c r="Q505" i="10"/>
  <c r="P475" i="10"/>
  <c r="W475" i="10" s="1"/>
  <c r="P505" i="10"/>
  <c r="W505" i="10" s="1"/>
  <c r="AA88" i="10"/>
  <c r="AE88" i="10" s="1"/>
  <c r="R88" i="10"/>
  <c r="T88" i="10" s="1"/>
  <c r="Q88" i="10"/>
  <c r="P88" i="10"/>
  <c r="R635" i="10"/>
  <c r="R197" i="10"/>
  <c r="R19" i="10"/>
  <c r="Q635" i="10"/>
  <c r="Q197" i="10"/>
  <c r="Q19" i="10"/>
  <c r="S19" i="10" s="1"/>
  <c r="P635" i="10"/>
  <c r="AA635" i="10" s="1"/>
  <c r="AE635" i="10" s="1"/>
  <c r="P197" i="10"/>
  <c r="P19" i="10"/>
  <c r="R336" i="10"/>
  <c r="R490" i="10"/>
  <c r="T490" i="10" s="1"/>
  <c r="R487" i="10"/>
  <c r="R119" i="10"/>
  <c r="R491" i="10"/>
  <c r="Q336" i="10"/>
  <c r="S336" i="10" s="1"/>
  <c r="Q490" i="10"/>
  <c r="Q487" i="10"/>
  <c r="Q119" i="10"/>
  <c r="Q491" i="10"/>
  <c r="S491" i="10" s="1"/>
  <c r="P336" i="10"/>
  <c r="AA336" i="10" s="1"/>
  <c r="AE336" i="10" s="1"/>
  <c r="P490" i="10"/>
  <c r="W490" i="10" s="1"/>
  <c r="P487" i="10"/>
  <c r="W487" i="10" s="1"/>
  <c r="P119" i="10"/>
  <c r="AA120" i="10" s="1"/>
  <c r="AE120" i="10" s="1"/>
  <c r="P491" i="10"/>
  <c r="R533" i="10"/>
  <c r="Q533" i="10"/>
  <c r="S533" i="10" s="1"/>
  <c r="P533" i="10"/>
  <c r="R532" i="10"/>
  <c r="Q532" i="10"/>
  <c r="P532" i="10"/>
  <c r="AA587" i="10" s="1"/>
  <c r="AE587" i="10" s="1"/>
  <c r="R531" i="10"/>
  <c r="T531" i="10" s="1"/>
  <c r="Q531" i="10"/>
  <c r="P531" i="10"/>
  <c r="R529" i="10"/>
  <c r="T529" i="10" s="1"/>
  <c r="R530" i="10"/>
  <c r="Q529" i="10"/>
  <c r="Q530" i="10"/>
  <c r="P529" i="10"/>
  <c r="P530" i="10"/>
  <c r="W530" i="10" s="1"/>
  <c r="R528" i="10"/>
  <c r="T528" i="10" s="1"/>
  <c r="Q528" i="10"/>
  <c r="P528" i="10"/>
  <c r="AA394" i="10"/>
  <c r="AE394" i="10" s="1"/>
  <c r="AA75" i="10"/>
  <c r="AE75" i="10" s="1"/>
  <c r="R160" i="10"/>
  <c r="T160" i="10" s="1"/>
  <c r="R340" i="10"/>
  <c r="T340" i="10" s="1"/>
  <c r="R394" i="10"/>
  <c r="T394" i="10" s="1"/>
  <c r="R75" i="10"/>
  <c r="T75" i="10" s="1"/>
  <c r="R527" i="10"/>
  <c r="Q160" i="10"/>
  <c r="Q340" i="10"/>
  <c r="Q394" i="10"/>
  <c r="Q75" i="10"/>
  <c r="Q527" i="10"/>
  <c r="P160" i="10"/>
  <c r="W160" i="10" s="1"/>
  <c r="P340" i="10"/>
  <c r="P394" i="10"/>
  <c r="P75" i="10"/>
  <c r="P527" i="10"/>
  <c r="AA326" i="10"/>
  <c r="AE326" i="10" s="1"/>
  <c r="AA184" i="10"/>
  <c r="AE184" i="10" s="1"/>
  <c r="R326" i="10"/>
  <c r="T326" i="10" s="1"/>
  <c r="R575" i="10"/>
  <c r="R647" i="10"/>
  <c r="T647" i="10" s="1"/>
  <c r="R184" i="10"/>
  <c r="T184" i="10" s="1"/>
  <c r="Q326" i="10"/>
  <c r="AB326" i="10" s="1"/>
  <c r="Q575" i="10"/>
  <c r="Q647" i="10"/>
  <c r="Q184" i="10"/>
  <c r="P326" i="10"/>
  <c r="W326" i="10" s="1"/>
  <c r="P575" i="10"/>
  <c r="AA575" i="10" s="1"/>
  <c r="AE575" i="10" s="1"/>
  <c r="P647" i="10"/>
  <c r="P184" i="10"/>
  <c r="W184" i="10" s="1"/>
  <c r="R724" i="10"/>
  <c r="Q724" i="10"/>
  <c r="S724" i="10" s="1"/>
  <c r="P724" i="10"/>
  <c r="AA724" i="10" s="1"/>
  <c r="AE724" i="10" s="1"/>
  <c r="R434" i="10"/>
  <c r="T434" i="10" s="1"/>
  <c r="Q434" i="10"/>
  <c r="P434" i="10"/>
  <c r="R189" i="10"/>
  <c r="T189" i="10" s="1"/>
  <c r="Q189" i="10"/>
  <c r="P189" i="10"/>
  <c r="R126" i="10"/>
  <c r="T126" i="10" s="1"/>
  <c r="Q126" i="10"/>
  <c r="P126" i="10"/>
  <c r="R424" i="10"/>
  <c r="R111" i="10"/>
  <c r="T111" i="10" s="1"/>
  <c r="R723" i="10"/>
  <c r="R669" i="10"/>
  <c r="Q424" i="10"/>
  <c r="Q111" i="10"/>
  <c r="Q723" i="10"/>
  <c r="S723" i="10" s="1"/>
  <c r="Q669" i="10"/>
  <c r="P424" i="10"/>
  <c r="W424" i="10" s="1"/>
  <c r="P111" i="10"/>
  <c r="P723" i="10"/>
  <c r="Z723" i="10" s="1"/>
  <c r="P669" i="10"/>
  <c r="AA669" i="10" s="1"/>
  <c r="AE669" i="10" s="1"/>
  <c r="R479" i="10"/>
  <c r="Q479" i="10"/>
  <c r="P479" i="10"/>
  <c r="AA479" i="10" s="1"/>
  <c r="AE479" i="10" s="1"/>
  <c r="AA659" i="10"/>
  <c r="AE659" i="10" s="1"/>
  <c r="R659" i="10"/>
  <c r="T659" i="10" s="1"/>
  <c r="Q659" i="10"/>
  <c r="S659" i="10" s="1"/>
  <c r="P659" i="10"/>
  <c r="AA309" i="10"/>
  <c r="AE309" i="10" s="1"/>
  <c r="R309" i="10"/>
  <c r="T309" i="10" s="1"/>
  <c r="Q309" i="10"/>
  <c r="P309" i="10"/>
  <c r="AA317" i="10"/>
  <c r="AE317" i="10" s="1"/>
  <c r="R317" i="10"/>
  <c r="T317" i="10" s="1"/>
  <c r="Q317" i="10"/>
  <c r="P317" i="10"/>
  <c r="R675" i="10"/>
  <c r="T675" i="10" s="1"/>
  <c r="Q675" i="10"/>
  <c r="S675" i="10" s="1"/>
  <c r="P675" i="10"/>
  <c r="W675" i="10" s="1"/>
  <c r="R615" i="10"/>
  <c r="T615" i="10" s="1"/>
  <c r="R291" i="10"/>
  <c r="R292" i="10"/>
  <c r="T292" i="10" s="1"/>
  <c r="R294" i="10"/>
  <c r="R709" i="10"/>
  <c r="R583" i="10"/>
  <c r="R446" i="10"/>
  <c r="T446" i="10" s="1"/>
  <c r="R710" i="10"/>
  <c r="Q615" i="10"/>
  <c r="Q291" i="10"/>
  <c r="Q292" i="10"/>
  <c r="Q294" i="10"/>
  <c r="Q709" i="10"/>
  <c r="S709" i="10" s="1"/>
  <c r="Q583" i="10"/>
  <c r="Q446" i="10"/>
  <c r="Q710" i="10"/>
  <c r="P615" i="10"/>
  <c r="W615" i="10" s="1"/>
  <c r="P291" i="10"/>
  <c r="P292" i="10"/>
  <c r="W292" i="10" s="1"/>
  <c r="P294" i="10"/>
  <c r="P709" i="10"/>
  <c r="W709" i="10" s="1"/>
  <c r="P583" i="10"/>
  <c r="W583" i="10" s="1"/>
  <c r="P446" i="10"/>
  <c r="P710" i="10"/>
  <c r="R614" i="10"/>
  <c r="T614" i="10" s="1"/>
  <c r="Q614" i="10"/>
  <c r="P614" i="10"/>
  <c r="W614" i="10" s="1"/>
  <c r="AA711" i="10"/>
  <c r="AE711" i="10" s="1"/>
  <c r="AA448" i="10"/>
  <c r="AE448" i="10" s="1"/>
  <c r="R489" i="10"/>
  <c r="R181" i="10"/>
  <c r="T181" i="10" s="1"/>
  <c r="R481" i="10"/>
  <c r="T481" i="10" s="1"/>
  <c r="R534" i="10"/>
  <c r="T534" i="10" s="1"/>
  <c r="R526" i="10"/>
  <c r="R735" i="10"/>
  <c r="T735" i="10" s="1"/>
  <c r="R711" i="10"/>
  <c r="T711" i="10" s="1"/>
  <c r="R448" i="10"/>
  <c r="T448" i="10" s="1"/>
  <c r="Q489" i="10"/>
  <c r="Q181" i="10"/>
  <c r="Q481" i="10"/>
  <c r="Q534" i="10"/>
  <c r="Q526" i="10"/>
  <c r="Q735" i="10"/>
  <c r="Q711" i="10"/>
  <c r="AB711" i="10" s="1"/>
  <c r="Q448" i="10"/>
  <c r="S448" i="10" s="1"/>
  <c r="P489" i="10"/>
  <c r="W489" i="10" s="1"/>
  <c r="P181" i="10"/>
  <c r="W181" i="10" s="1"/>
  <c r="P481" i="10"/>
  <c r="P534" i="10"/>
  <c r="P526" i="10"/>
  <c r="P735" i="10"/>
  <c r="W735" i="10" s="1"/>
  <c r="P711" i="10"/>
  <c r="Z711" i="10" s="1"/>
  <c r="P448" i="10"/>
  <c r="R240" i="10"/>
  <c r="Q240" i="10"/>
  <c r="P240" i="10"/>
  <c r="AA28" i="10"/>
  <c r="AE28" i="10" s="1"/>
  <c r="R28" i="10"/>
  <c r="T28" i="10" s="1"/>
  <c r="R383" i="10"/>
  <c r="Q28" i="10"/>
  <c r="Q383" i="10"/>
  <c r="S383" i="10" s="1"/>
  <c r="P28" i="10"/>
  <c r="W28" i="10" s="1"/>
  <c r="P383" i="10"/>
  <c r="R630" i="10"/>
  <c r="T630" i="10" s="1"/>
  <c r="R423" i="10"/>
  <c r="Q630" i="10"/>
  <c r="Q423" i="10"/>
  <c r="S423" i="10" s="1"/>
  <c r="P630" i="10"/>
  <c r="P423" i="10"/>
  <c r="AA423" i="10" s="1"/>
  <c r="AE423" i="10" s="1"/>
  <c r="R566" i="10"/>
  <c r="R376" i="10"/>
  <c r="R349" i="10"/>
  <c r="T349" i="10" s="1"/>
  <c r="R186" i="10"/>
  <c r="T186" i="10" s="1"/>
  <c r="R417" i="10"/>
  <c r="T417" i="10" s="1"/>
  <c r="R152" i="10"/>
  <c r="R644" i="10"/>
  <c r="R629" i="10"/>
  <c r="Q566" i="10"/>
  <c r="Q376" i="10"/>
  <c r="AB376" i="10" s="1"/>
  <c r="Q349" i="10"/>
  <c r="Q186" i="10"/>
  <c r="Q417" i="10"/>
  <c r="Q152" i="10"/>
  <c r="Q644" i="10"/>
  <c r="S644" i="10" s="1"/>
  <c r="Q629" i="10"/>
  <c r="P566" i="10"/>
  <c r="AA566" i="10" s="1"/>
  <c r="AE566" i="10" s="1"/>
  <c r="P376" i="10"/>
  <c r="W376" i="10" s="1"/>
  <c r="P349" i="10"/>
  <c r="P186" i="10"/>
  <c r="P417" i="10"/>
  <c r="P152" i="10"/>
  <c r="W152" i="10" s="1"/>
  <c r="P644" i="10"/>
  <c r="W644" i="10" s="1"/>
  <c r="P629" i="10"/>
  <c r="R478" i="10"/>
  <c r="Q478" i="10"/>
  <c r="S478" i="10" s="1"/>
  <c r="P478" i="10"/>
  <c r="W478" i="10" s="1"/>
  <c r="R156" i="10"/>
  <c r="T156" i="10" s="1"/>
  <c r="Q156" i="10"/>
  <c r="P156" i="10"/>
  <c r="W156" i="10" s="1"/>
  <c r="R357" i="10"/>
  <c r="R237" i="10"/>
  <c r="T237" i="10" s="1"/>
  <c r="Q357" i="10"/>
  <c r="S357" i="10" s="1"/>
  <c r="Q237" i="10"/>
  <c r="P357" i="10"/>
  <c r="AA357" i="10" s="1"/>
  <c r="AE357" i="10" s="1"/>
  <c r="P237" i="10"/>
  <c r="AA413" i="10"/>
  <c r="AE413" i="10" s="1"/>
  <c r="AA306" i="10"/>
  <c r="AE306" i="10" s="1"/>
  <c r="R504" i="10"/>
  <c r="T504" i="10" s="1"/>
  <c r="R645" i="10"/>
  <c r="R594" i="10"/>
  <c r="T594" i="10" s="1"/>
  <c r="R587" i="10"/>
  <c r="T587" i="10" s="1"/>
  <c r="R413" i="10"/>
  <c r="T413" i="10" s="1"/>
  <c r="R306" i="10"/>
  <c r="T306" i="10" s="1"/>
  <c r="R366" i="10"/>
  <c r="R315" i="10"/>
  <c r="T315" i="10" s="1"/>
  <c r="Q504" i="10"/>
  <c r="Q645" i="10"/>
  <c r="S645" i="10" s="1"/>
  <c r="Q594" i="10"/>
  <c r="Q587" i="10"/>
  <c r="S587" i="10" s="1"/>
  <c r="Q413" i="10"/>
  <c r="Q306" i="10"/>
  <c r="Q366" i="10"/>
  <c r="Q315" i="10"/>
  <c r="P504" i="10"/>
  <c r="P645" i="10"/>
  <c r="AA645" i="10" s="1"/>
  <c r="AE645" i="10" s="1"/>
  <c r="P594" i="10"/>
  <c r="P587" i="10"/>
  <c r="P413" i="10"/>
  <c r="W413" i="10" s="1"/>
  <c r="P306" i="10"/>
  <c r="P366" i="10"/>
  <c r="P315" i="10"/>
  <c r="W315" i="10" s="1"/>
  <c r="R110" i="10"/>
  <c r="T110" i="10" s="1"/>
  <c r="Q110" i="10"/>
  <c r="P110" i="10"/>
  <c r="R564" i="10"/>
  <c r="T564" i="10" s="1"/>
  <c r="Q564" i="10"/>
  <c r="P564" i="10"/>
  <c r="AA536" i="10"/>
  <c r="AE536" i="10" s="1"/>
  <c r="R536" i="10"/>
  <c r="T536" i="10" s="1"/>
  <c r="R653" i="10"/>
  <c r="R503" i="10"/>
  <c r="R572" i="10"/>
  <c r="Q536" i="10"/>
  <c r="S536" i="10" s="1"/>
  <c r="Q653" i="10"/>
  <c r="Q503" i="10"/>
  <c r="S503" i="10" s="1"/>
  <c r="Q572" i="10"/>
  <c r="P536" i="10"/>
  <c r="W536" i="10" s="1"/>
  <c r="P653" i="10"/>
  <c r="P503" i="10"/>
  <c r="AA503" i="10" s="1"/>
  <c r="AE503" i="10" s="1"/>
  <c r="P572" i="10"/>
  <c r="AA572" i="10" s="1"/>
  <c r="AE572" i="10" s="1"/>
  <c r="R175" i="10"/>
  <c r="T175" i="10" s="1"/>
  <c r="Q175" i="10"/>
  <c r="P175" i="10"/>
  <c r="R522" i="10"/>
  <c r="Q522" i="10"/>
  <c r="P522" i="10"/>
  <c r="AA408" i="10"/>
  <c r="AE408" i="10" s="1"/>
  <c r="R408" i="10"/>
  <c r="T408" i="10" s="1"/>
  <c r="Q408" i="10"/>
  <c r="S408" i="10" s="1"/>
  <c r="P408" i="10"/>
  <c r="Z408" i="10" s="1"/>
  <c r="AA249" i="10"/>
  <c r="AE249" i="10" s="1"/>
  <c r="R249" i="10"/>
  <c r="T249" i="10" s="1"/>
  <c r="Q249" i="10"/>
  <c r="S249" i="10" s="1"/>
  <c r="P249" i="10"/>
  <c r="AA248" i="10"/>
  <c r="AE248" i="10" s="1"/>
  <c r="R248" i="10"/>
  <c r="T248" i="10" s="1"/>
  <c r="Q248" i="10"/>
  <c r="AB248" i="10" s="1"/>
  <c r="P248" i="10"/>
  <c r="Z248" i="10" s="1"/>
  <c r="AA253" i="10"/>
  <c r="AE253" i="10" s="1"/>
  <c r="R253" i="10"/>
  <c r="T253" i="10" s="1"/>
  <c r="Q253" i="10"/>
  <c r="S253" i="10" s="1"/>
  <c r="P253" i="10"/>
  <c r="W253" i="10" s="1"/>
  <c r="R749" i="10"/>
  <c r="T749" i="10" s="1"/>
  <c r="Q749" i="10"/>
  <c r="P749" i="10"/>
  <c r="R639" i="10"/>
  <c r="R563" i="10"/>
  <c r="R748" i="10"/>
  <c r="Q639" i="10"/>
  <c r="Q563" i="10"/>
  <c r="Q748" i="10"/>
  <c r="P639" i="10"/>
  <c r="P563" i="10"/>
  <c r="P748" i="10"/>
  <c r="AA182" i="10"/>
  <c r="AE182" i="10" s="1"/>
  <c r="R541" i="10"/>
  <c r="T541" i="10" s="1"/>
  <c r="R226" i="10"/>
  <c r="R182" i="10"/>
  <c r="T182" i="10" s="1"/>
  <c r="R637" i="10"/>
  <c r="Q541" i="10"/>
  <c r="Q226" i="10"/>
  <c r="Q182" i="10"/>
  <c r="AB182" i="10" s="1"/>
  <c r="Q637" i="10"/>
  <c r="S637" i="10" s="1"/>
  <c r="P541" i="10"/>
  <c r="P226" i="10"/>
  <c r="P182" i="10"/>
  <c r="Z182" i="10" s="1"/>
  <c r="P637" i="10"/>
  <c r="Z637" i="10" s="1"/>
  <c r="AA49" i="10"/>
  <c r="AE49" i="10" s="1"/>
  <c r="R49" i="10"/>
  <c r="T49" i="10" s="1"/>
  <c r="R539" i="10"/>
  <c r="T539" i="10" s="1"/>
  <c r="R540" i="10"/>
  <c r="T540" i="10" s="1"/>
  <c r="Q49" i="10"/>
  <c r="Q539" i="10"/>
  <c r="Q540" i="10"/>
  <c r="P49" i="10"/>
  <c r="P539" i="10"/>
  <c r="W539" i="10" s="1"/>
  <c r="P540" i="10"/>
  <c r="R486" i="10"/>
  <c r="Q486" i="10"/>
  <c r="P486" i="10"/>
  <c r="R97" i="10"/>
  <c r="R387" i="10"/>
  <c r="Q97" i="10"/>
  <c r="S97" i="10" s="1"/>
  <c r="Q387" i="10"/>
  <c r="P97" i="10"/>
  <c r="W97" i="10" s="1"/>
  <c r="P387" i="10"/>
  <c r="R403" i="10"/>
  <c r="Q403" i="10"/>
  <c r="P403" i="10"/>
  <c r="AA403" i="10" s="1"/>
  <c r="AE403" i="10" s="1"/>
  <c r="AA766" i="10"/>
  <c r="AE766" i="10" s="1"/>
  <c r="AA767" i="10"/>
  <c r="AE767" i="10" s="1"/>
  <c r="AA9" i="10"/>
  <c r="AE9" i="10" s="1"/>
  <c r="AA324" i="10"/>
  <c r="AE324" i="10" s="1"/>
  <c r="R239" i="10"/>
  <c r="R766" i="10"/>
  <c r="T766" i="10" s="1"/>
  <c r="R767" i="10"/>
  <c r="T767" i="10" s="1"/>
  <c r="R9" i="10"/>
  <c r="T9" i="10" s="1"/>
  <c r="R324" i="10"/>
  <c r="T324" i="10" s="1"/>
  <c r="Q239" i="10"/>
  <c r="Q766" i="10"/>
  <c r="Q767" i="10"/>
  <c r="Q9" i="10"/>
  <c r="AB9" i="10" s="1"/>
  <c r="AC9" i="10" s="1"/>
  <c r="Q324" i="10"/>
  <c r="AB324" i="10" s="1"/>
  <c r="P239" i="10"/>
  <c r="P766" i="10"/>
  <c r="P767" i="10"/>
  <c r="W767" i="10" s="1"/>
  <c r="P9" i="10"/>
  <c r="Z9" i="10" s="1"/>
  <c r="P324" i="10"/>
  <c r="W324" i="10" s="1"/>
  <c r="R115" i="10"/>
  <c r="Q115" i="10"/>
  <c r="S115" i="10" s="1"/>
  <c r="P115" i="10"/>
  <c r="AA116" i="10" s="1"/>
  <c r="AE116" i="10" s="1"/>
  <c r="AA74" i="10"/>
  <c r="AE74" i="10" s="1"/>
  <c r="R360" i="10"/>
  <c r="R74" i="10"/>
  <c r="T74" i="10" s="1"/>
  <c r="R64" i="10"/>
  <c r="T64" i="10" s="1"/>
  <c r="R627" i="10"/>
  <c r="R228" i="10"/>
  <c r="Q360" i="10"/>
  <c r="Q74" i="10"/>
  <c r="Q64" i="10"/>
  <c r="Q627" i="10"/>
  <c r="Q228" i="10"/>
  <c r="P360" i="10"/>
  <c r="P74" i="10"/>
  <c r="P64" i="10"/>
  <c r="W64" i="10" s="1"/>
  <c r="P627" i="10"/>
  <c r="P228" i="10"/>
  <c r="R359" i="10"/>
  <c r="R368" i="10"/>
  <c r="T368" i="10" s="1"/>
  <c r="Q359" i="10"/>
  <c r="Q368" i="10"/>
  <c r="P359" i="10"/>
  <c r="P368" i="10"/>
  <c r="AA351" i="10"/>
  <c r="AE351" i="10" s="1"/>
  <c r="R348" i="10"/>
  <c r="T348" i="10" s="1"/>
  <c r="R351" i="10"/>
  <c r="T351" i="10" s="1"/>
  <c r="Q348" i="10"/>
  <c r="Q351" i="10"/>
  <c r="P348" i="10"/>
  <c r="P351" i="10"/>
  <c r="R308" i="10"/>
  <c r="T308" i="10" s="1"/>
  <c r="Q308" i="10"/>
  <c r="P308" i="10"/>
  <c r="R83" i="10"/>
  <c r="T83" i="10" s="1"/>
  <c r="Q83" i="10"/>
  <c r="P83" i="10"/>
  <c r="W83" i="10" s="1"/>
  <c r="R245" i="10"/>
  <c r="T245" i="10" s="1"/>
  <c r="R246" i="10"/>
  <c r="T246" i="10" s="1"/>
  <c r="Q245" i="10"/>
  <c r="Q246" i="10"/>
  <c r="S246" i="10" s="1"/>
  <c r="P245" i="10"/>
  <c r="P246" i="10"/>
  <c r="W246" i="10" s="1"/>
  <c r="R244" i="10"/>
  <c r="T244" i="10" s="1"/>
  <c r="Q244" i="10"/>
  <c r="P244" i="10"/>
  <c r="AA199" i="10"/>
  <c r="AE199" i="10" s="1"/>
  <c r="R199" i="10"/>
  <c r="T199" i="10" s="1"/>
  <c r="Q199" i="10"/>
  <c r="S199" i="10" s="1"/>
  <c r="P199" i="10"/>
  <c r="Z199" i="10" s="1"/>
  <c r="AM43" i="8"/>
  <c r="X43" i="8"/>
  <c r="Q43" i="8"/>
  <c r="K43" i="8"/>
  <c r="E43" i="8"/>
  <c r="D43" i="8"/>
  <c r="C43" i="8"/>
  <c r="Q47" i="8" l="1"/>
  <c r="AA786" i="10"/>
  <c r="AE786" i="10" s="1"/>
  <c r="AB786" i="10"/>
  <c r="X783" i="10"/>
  <c r="Y783" i="10" s="1"/>
  <c r="AB773" i="10"/>
  <c r="AC773" i="10" s="1"/>
  <c r="W782" i="10"/>
  <c r="AD783" i="10"/>
  <c r="T645" i="10"/>
  <c r="S791" i="10"/>
  <c r="AB178" i="10"/>
  <c r="AC178" i="10" s="1"/>
  <c r="X320" i="10"/>
  <c r="Y320" i="10" s="1"/>
  <c r="E14" i="19"/>
  <c r="O25" i="17"/>
  <c r="D17" i="19"/>
  <c r="D16" i="19"/>
  <c r="D15" i="19"/>
  <c r="D14" i="19"/>
  <c r="O27" i="17"/>
  <c r="O26" i="17"/>
  <c r="N27" i="17"/>
  <c r="N26" i="17"/>
  <c r="N25" i="17"/>
  <c r="X778" i="10"/>
  <c r="Y778" i="10" s="1"/>
  <c r="V783" i="10"/>
  <c r="S781" i="10"/>
  <c r="W778" i="10"/>
  <c r="AE783" i="10"/>
  <c r="V778" i="10"/>
  <c r="W777" i="10"/>
  <c r="Z777" i="10"/>
  <c r="AB409" i="10"/>
  <c r="S782" i="10"/>
  <c r="T478" i="10"/>
  <c r="T366" i="10"/>
  <c r="AA631" i="10"/>
  <c r="AE631" i="10" s="1"/>
  <c r="T740" i="10"/>
  <c r="V112" i="10"/>
  <c r="V505" i="10"/>
  <c r="V349" i="10"/>
  <c r="V767" i="10"/>
  <c r="AA680" i="10"/>
  <c r="AE680" i="10" s="1"/>
  <c r="V76" i="10"/>
  <c r="V475" i="10"/>
  <c r="V376" i="10"/>
  <c r="AA186" i="10"/>
  <c r="AE186" i="10" s="1"/>
  <c r="T360" i="10"/>
  <c r="W783" i="10"/>
  <c r="T786" i="10"/>
  <c r="AD791" i="10"/>
  <c r="AC791" i="10"/>
  <c r="V149" i="10"/>
  <c r="T476" i="10"/>
  <c r="AA785" i="10"/>
  <c r="AE785" i="10" s="1"/>
  <c r="T747" i="10"/>
  <c r="V217" i="10"/>
  <c r="S773" i="10"/>
  <c r="AB785" i="10"/>
  <c r="Z785" i="10"/>
  <c r="V628" i="10"/>
  <c r="AA773" i="10"/>
  <c r="AE773" i="10" s="1"/>
  <c r="V596" i="10"/>
  <c r="V648" i="10"/>
  <c r="V351" i="10"/>
  <c r="AD782" i="10"/>
  <c r="Z791" i="10"/>
  <c r="W776" i="10"/>
  <c r="V777" i="10"/>
  <c r="T575" i="10"/>
  <c r="V78" i="10"/>
  <c r="V232" i="10"/>
  <c r="V348" i="10"/>
  <c r="W774" i="10"/>
  <c r="V776" i="10"/>
  <c r="S785" i="10"/>
  <c r="AB778" i="10"/>
  <c r="AD778" i="10" s="1"/>
  <c r="Z782" i="10"/>
  <c r="S639" i="10"/>
  <c r="V506" i="10"/>
  <c r="X776" i="10"/>
  <c r="Y776" i="10" s="1"/>
  <c r="T773" i="10"/>
  <c r="V401" i="10"/>
  <c r="T631" i="10"/>
  <c r="V563" i="10"/>
  <c r="V410" i="10"/>
  <c r="T164" i="10"/>
  <c r="V723" i="10"/>
  <c r="T424" i="10"/>
  <c r="T644" i="10"/>
  <c r="V451" i="10"/>
  <c r="V504" i="10"/>
  <c r="AB777" i="10"/>
  <c r="AD777" i="10" s="1"/>
  <c r="V774" i="10"/>
  <c r="T152" i="10"/>
  <c r="V595" i="10"/>
  <c r="V56" i="10"/>
  <c r="V423" i="10"/>
  <c r="V8" i="10"/>
  <c r="AB776" i="10"/>
  <c r="AD776" i="10" s="1"/>
  <c r="V245" i="10"/>
  <c r="AB774" i="10"/>
  <c r="AC774" i="10" s="1"/>
  <c r="T710" i="10"/>
  <c r="V746" i="10"/>
  <c r="T241" i="10"/>
  <c r="AA366" i="10"/>
  <c r="AE366" i="10" s="1"/>
  <c r="T390" i="10"/>
  <c r="W643" i="10"/>
  <c r="AA643" i="10"/>
  <c r="AE643" i="10" s="1"/>
  <c r="AB722" i="10"/>
  <c r="AC722" i="10" s="1"/>
  <c r="T359" i="10"/>
  <c r="AA533" i="10"/>
  <c r="AE533" i="10" s="1"/>
  <c r="T242" i="10"/>
  <c r="V16" i="10"/>
  <c r="V120" i="10"/>
  <c r="T573" i="10"/>
  <c r="AA675" i="10"/>
  <c r="AE675" i="10" s="1"/>
  <c r="T643" i="10"/>
  <c r="W310" i="10"/>
  <c r="Z789" i="10"/>
  <c r="AA647" i="10"/>
  <c r="AE647" i="10" s="1"/>
  <c r="T466" i="10"/>
  <c r="AA240" i="10"/>
  <c r="AE240" i="10" s="1"/>
  <c r="AA171" i="10"/>
  <c r="AE171" i="10" s="1"/>
  <c r="V74" i="10"/>
  <c r="X789" i="10"/>
  <c r="Y789" i="10" s="1"/>
  <c r="AA644" i="10"/>
  <c r="AE644" i="10" s="1"/>
  <c r="T574" i="10"/>
  <c r="AA390" i="10"/>
  <c r="AE390" i="10" s="1"/>
  <c r="V712" i="10"/>
  <c r="AB789" i="10"/>
  <c r="V526" i="10"/>
  <c r="V306" i="10"/>
  <c r="AD786" i="10"/>
  <c r="AA161" i="10"/>
  <c r="AE161" i="10" s="1"/>
  <c r="T97" i="10"/>
  <c r="V116" i="10"/>
  <c r="AA384" i="10"/>
  <c r="AE384" i="10" s="1"/>
  <c r="V637" i="10"/>
  <c r="S228" i="10"/>
  <c r="AA677" i="10"/>
  <c r="AE677" i="10" s="1"/>
  <c r="S670" i="10"/>
  <c r="V111" i="10"/>
  <c r="V182" i="10"/>
  <c r="S789" i="10"/>
  <c r="T404" i="10"/>
  <c r="V660" i="10"/>
  <c r="S780" i="10"/>
  <c r="W532" i="10"/>
  <c r="AA585" i="10"/>
  <c r="AE585" i="10" s="1"/>
  <c r="AA670" i="10"/>
  <c r="AE670" i="10" s="1"/>
  <c r="T532" i="10"/>
  <c r="T362" i="10"/>
  <c r="AA337" i="10"/>
  <c r="AE337" i="10" s="1"/>
  <c r="AA341" i="10"/>
  <c r="AE341" i="10" s="1"/>
  <c r="V425" i="10"/>
  <c r="V110" i="10"/>
  <c r="V246" i="10"/>
  <c r="V185" i="10"/>
  <c r="X780" i="10"/>
  <c r="Y780" i="10" s="1"/>
  <c r="V244" i="10"/>
  <c r="W476" i="10"/>
  <c r="AA736" i="10"/>
  <c r="AE736" i="10" s="1"/>
  <c r="T337" i="10"/>
  <c r="Z290" i="10"/>
  <c r="Z780" i="10"/>
  <c r="T240" i="10"/>
  <c r="T533" i="10"/>
  <c r="V515" i="10"/>
  <c r="V525" i="10"/>
  <c r="V75" i="10"/>
  <c r="T171" i="10"/>
  <c r="S290" i="10"/>
  <c r="AB780" i="10"/>
  <c r="V514" i="10"/>
  <c r="V170" i="10"/>
  <c r="V394" i="10"/>
  <c r="AA478" i="10"/>
  <c r="AE478" i="10" s="1"/>
  <c r="T161" i="10"/>
  <c r="X178" i="10"/>
  <c r="Y178" i="10" s="1"/>
  <c r="V523" i="10"/>
  <c r="V709" i="10"/>
  <c r="V324" i="10"/>
  <c r="T680" i="10"/>
  <c r="AE774" i="10"/>
  <c r="X774" i="10"/>
  <c r="Y774" i="10" s="1"/>
  <c r="V492" i="10"/>
  <c r="X773" i="10"/>
  <c r="Y773" i="10" s="1"/>
  <c r="W791" i="10"/>
  <c r="AC786" i="10"/>
  <c r="W790" i="10"/>
  <c r="AB680" i="10"/>
  <c r="AC680" i="10" s="1"/>
  <c r="T724" i="10"/>
  <c r="T530" i="10"/>
  <c r="X650" i="10"/>
  <c r="Y650" i="10" s="1"/>
  <c r="T517" i="10"/>
  <c r="V614" i="10"/>
  <c r="V115" i="10"/>
  <c r="T357" i="10"/>
  <c r="T121" i="10"/>
  <c r="V295" i="10"/>
  <c r="AA291" i="10"/>
  <c r="AE291" i="10" s="1"/>
  <c r="T336" i="10"/>
  <c r="V310" i="10"/>
  <c r="V118" i="10"/>
  <c r="S566" i="10"/>
  <c r="T669" i="10"/>
  <c r="S565" i="10"/>
  <c r="V748" i="10"/>
  <c r="AC782" i="10"/>
  <c r="Z773" i="10"/>
  <c r="W786" i="10"/>
  <c r="W785" i="10"/>
  <c r="T402" i="10"/>
  <c r="S319" i="10"/>
  <c r="X786" i="10"/>
  <c r="Y786" i="10" s="1"/>
  <c r="V717" i="10"/>
  <c r="S721" i="10"/>
  <c r="AD781" i="10"/>
  <c r="X785" i="10"/>
  <c r="Y785" i="10" s="1"/>
  <c r="X680" i="10"/>
  <c r="Y680" i="10" s="1"/>
  <c r="T148" i="10"/>
  <c r="V164" i="10"/>
  <c r="T583" i="10"/>
  <c r="V325" i="10"/>
  <c r="V332" i="10"/>
  <c r="V333" i="10"/>
  <c r="V346" i="10"/>
  <c r="T197" i="10"/>
  <c r="W212" i="10"/>
  <c r="T403" i="10"/>
  <c r="T387" i="10"/>
  <c r="AA720" i="10"/>
  <c r="AE720" i="10" s="1"/>
  <c r="V644" i="10"/>
  <c r="T69" i="10"/>
  <c r="T660" i="10"/>
  <c r="T709" i="10"/>
  <c r="T443" i="10"/>
  <c r="V480" i="10"/>
  <c r="T637" i="10"/>
  <c r="V408" i="10"/>
  <c r="V62" i="10"/>
  <c r="V413" i="10"/>
  <c r="V587" i="10"/>
  <c r="T522" i="10"/>
  <c r="V736" i="10"/>
  <c r="T170" i="10"/>
  <c r="V734" i="10"/>
  <c r="T721" i="10"/>
  <c r="V650" i="10"/>
  <c r="T376" i="10"/>
  <c r="T746" i="10"/>
  <c r="T16" i="10"/>
  <c r="V675" i="10"/>
  <c r="T361" i="10"/>
  <c r="V312" i="10"/>
  <c r="V414" i="10"/>
  <c r="V536" i="10"/>
  <c r="T14" i="10"/>
  <c r="V186" i="10"/>
  <c r="V175" i="10"/>
  <c r="V9" i="10"/>
  <c r="T457" i="10"/>
  <c r="V178" i="10"/>
  <c r="V249" i="10"/>
  <c r="T487" i="10"/>
  <c r="T475" i="10"/>
  <c r="V362" i="10"/>
  <c r="V577" i="10"/>
  <c r="V461" i="10"/>
  <c r="V326" i="10"/>
  <c r="V478" i="10"/>
  <c r="T719" i="10"/>
  <c r="T572" i="10"/>
  <c r="V740" i="10"/>
  <c r="T503" i="10"/>
  <c r="V248" i="10"/>
  <c r="T321" i="10"/>
  <c r="T653" i="10"/>
  <c r="T56" i="10"/>
  <c r="T595" i="10"/>
  <c r="V724" i="10"/>
  <c r="T383" i="10"/>
  <c r="T712" i="10"/>
  <c r="V434" i="10"/>
  <c r="T239" i="10"/>
  <c r="T629" i="10"/>
  <c r="T723" i="10"/>
  <c r="X19" i="10"/>
  <c r="Y19" i="10" s="1"/>
  <c r="T496" i="10"/>
  <c r="T527" i="10"/>
  <c r="T218" i="10"/>
  <c r="V319" i="10"/>
  <c r="V659" i="10"/>
  <c r="T115" i="10"/>
  <c r="T559" i="10"/>
  <c r="AB149" i="10"/>
  <c r="AC149" i="10" s="1"/>
  <c r="T627" i="10"/>
  <c r="V464" i="10"/>
  <c r="V680" i="10"/>
  <c r="W410" i="10"/>
  <c r="T410" i="10"/>
  <c r="T19" i="10"/>
  <c r="V311" i="10"/>
  <c r="V253" i="10"/>
  <c r="V113" i="10"/>
  <c r="V711" i="10"/>
  <c r="V214" i="10"/>
  <c r="T212" i="10"/>
  <c r="T228" i="10"/>
  <c r="X409" i="10"/>
  <c r="Y409" i="10" s="1"/>
  <c r="V409" i="10"/>
  <c r="V320" i="10"/>
  <c r="AB563" i="10"/>
  <c r="AC563" i="10" s="1"/>
  <c r="V126" i="10"/>
  <c r="T514" i="10"/>
  <c r="T217" i="10"/>
  <c r="V357" i="10"/>
  <c r="V448" i="10"/>
  <c r="V575" i="10"/>
  <c r="T291" i="10"/>
  <c r="T294" i="10"/>
  <c r="T717" i="10"/>
  <c r="T526" i="10"/>
  <c r="T748" i="10"/>
  <c r="V481" i="10"/>
  <c r="T563" i="10"/>
  <c r="T451" i="10"/>
  <c r="T489" i="10"/>
  <c r="T676" i="10"/>
  <c r="V60" i="10"/>
  <c r="V466" i="10"/>
  <c r="T589" i="10"/>
  <c r="T48" i="10"/>
  <c r="V231" i="10"/>
  <c r="V645" i="10"/>
  <c r="T47" i="10"/>
  <c r="T566" i="10"/>
  <c r="V309" i="10"/>
  <c r="V28" i="10"/>
  <c r="V83" i="10"/>
  <c r="T635" i="10"/>
  <c r="V744" i="10"/>
  <c r="V49" i="10"/>
  <c r="V585" i="10"/>
  <c r="S218" i="10"/>
  <c r="V658" i="10"/>
  <c r="V737" i="10"/>
  <c r="V670" i="10"/>
  <c r="V140" i="10"/>
  <c r="T423" i="10"/>
  <c r="T479" i="10"/>
  <c r="T400" i="10"/>
  <c r="T226" i="10"/>
  <c r="V764" i="10"/>
  <c r="V669" i="10"/>
  <c r="V366" i="10"/>
  <c r="T639" i="10"/>
  <c r="T486" i="10"/>
  <c r="T491" i="10"/>
  <c r="T722" i="10"/>
  <c r="T628" i="10"/>
  <c r="T119" i="10"/>
  <c r="Z148" i="10"/>
  <c r="S214" i="10"/>
  <c r="AA170" i="10"/>
  <c r="AE170" i="10" s="1"/>
  <c r="AA70" i="10"/>
  <c r="AE70" i="10" s="1"/>
  <c r="AB410" i="10"/>
  <c r="AC410" i="10" s="1"/>
  <c r="AA239" i="10"/>
  <c r="AE239" i="10" s="1"/>
  <c r="AB309" i="10"/>
  <c r="AD309" i="10" s="1"/>
  <c r="AA149" i="10"/>
  <c r="AE149" i="10" s="1"/>
  <c r="AA628" i="10"/>
  <c r="AE628" i="10" s="1"/>
  <c r="AA589" i="10"/>
  <c r="AE589" i="10" s="1"/>
  <c r="Z680" i="10"/>
  <c r="X596" i="10"/>
  <c r="Y596" i="10" s="1"/>
  <c r="AA444" i="10"/>
  <c r="AE444" i="10" s="1"/>
  <c r="AA376" i="10"/>
  <c r="AE376" i="10" s="1"/>
  <c r="AA491" i="10"/>
  <c r="AE491" i="10" s="1"/>
  <c r="AA712" i="10"/>
  <c r="AE712" i="10" s="1"/>
  <c r="Z720" i="10"/>
  <c r="S401" i="10"/>
  <c r="AA14" i="10"/>
  <c r="AE14" i="10" s="1"/>
  <c r="W717" i="10"/>
  <c r="W680" i="10"/>
  <c r="AA19" i="10"/>
  <c r="AE19" i="10" s="1"/>
  <c r="S444" i="10"/>
  <c r="AB413" i="10"/>
  <c r="AC413" i="10" s="1"/>
  <c r="AA48" i="10"/>
  <c r="AE48" i="10" s="1"/>
  <c r="AA709" i="10"/>
  <c r="AE709" i="10" s="1"/>
  <c r="AA451" i="10"/>
  <c r="AE451" i="10" s="1"/>
  <c r="AA476" i="10"/>
  <c r="AE476" i="10" s="1"/>
  <c r="Z15" i="10"/>
  <c r="AB720" i="10"/>
  <c r="AC717" i="10"/>
  <c r="AD717" i="10"/>
  <c r="AC214" i="10"/>
  <c r="AD214" i="10"/>
  <c r="AA492" i="10"/>
  <c r="AE492" i="10" s="1"/>
  <c r="AA217" i="10"/>
  <c r="AE217" i="10" s="1"/>
  <c r="S75" i="10"/>
  <c r="AA530" i="10"/>
  <c r="AE530" i="10" s="1"/>
  <c r="AA121" i="10"/>
  <c r="AE121" i="10" s="1"/>
  <c r="X149" i="10"/>
  <c r="Y149" i="10" s="1"/>
  <c r="AB402" i="10"/>
  <c r="AC402" i="10" s="1"/>
  <c r="S20" i="10"/>
  <c r="Z74" i="10"/>
  <c r="AA723" i="10"/>
  <c r="AE723" i="10" s="1"/>
  <c r="AA676" i="10"/>
  <c r="AE676" i="10" s="1"/>
  <c r="AA424" i="10"/>
  <c r="AE424" i="10" s="1"/>
  <c r="AA322" i="10"/>
  <c r="AE322" i="10" s="1"/>
  <c r="W333" i="10"/>
  <c r="AA47" i="10"/>
  <c r="AE47" i="10" s="1"/>
  <c r="S717" i="10"/>
  <c r="AA488" i="10"/>
  <c r="AE488" i="10" s="1"/>
  <c r="AA523" i="10"/>
  <c r="AE523" i="10" s="1"/>
  <c r="AA457" i="10"/>
  <c r="AE457" i="10" s="1"/>
  <c r="AA119" i="10"/>
  <c r="AE119" i="10" s="1"/>
  <c r="S458" i="10"/>
  <c r="S628" i="10"/>
  <c r="S476" i="10"/>
  <c r="Z488" i="10"/>
  <c r="Z747" i="10"/>
  <c r="AA532" i="10"/>
  <c r="AE532" i="10" s="1"/>
  <c r="S488" i="10"/>
  <c r="X404" i="10"/>
  <c r="Y404" i="10" s="1"/>
  <c r="AA630" i="10"/>
  <c r="AE630" i="10" s="1"/>
  <c r="AA660" i="10"/>
  <c r="AE660" i="10" s="1"/>
  <c r="AB401" i="10"/>
  <c r="AC401" i="10" s="1"/>
  <c r="X492" i="10"/>
  <c r="Y492" i="10" s="1"/>
  <c r="AB526" i="10"/>
  <c r="AC526" i="10" s="1"/>
  <c r="Z56" i="10"/>
  <c r="AA69" i="10"/>
  <c r="AE69" i="10" s="1"/>
  <c r="AB748" i="10"/>
  <c r="AC748" i="10" s="1"/>
  <c r="AA710" i="10"/>
  <c r="AE710" i="10" s="1"/>
  <c r="AA16" i="10"/>
  <c r="AE16" i="10" s="1"/>
  <c r="S16" i="10"/>
  <c r="W214" i="10"/>
  <c r="Z628" i="10"/>
  <c r="W164" i="10"/>
  <c r="W639" i="10"/>
  <c r="AA639" i="10"/>
  <c r="AE639" i="10" s="1"/>
  <c r="X563" i="10"/>
  <c r="Y563" i="10" s="1"/>
  <c r="AA564" i="10"/>
  <c r="AE564" i="10" s="1"/>
  <c r="AA563" i="10"/>
  <c r="AE563" i="10" s="1"/>
  <c r="AA565" i="10"/>
  <c r="AE565" i="10" s="1"/>
  <c r="AA496" i="10"/>
  <c r="AE496" i="10" s="1"/>
  <c r="AB148" i="10"/>
  <c r="S148" i="10"/>
  <c r="W218" i="10"/>
  <c r="AA218" i="10"/>
  <c r="AE218" i="10" s="1"/>
  <c r="AA404" i="10"/>
  <c r="AE404" i="10" s="1"/>
  <c r="Z719" i="10"/>
  <c r="X720" i="10"/>
  <c r="Y720" i="10" s="1"/>
  <c r="AA719" i="10"/>
  <c r="AE719" i="10" s="1"/>
  <c r="AA721" i="10"/>
  <c r="AE721" i="10" s="1"/>
  <c r="Z721" i="10"/>
  <c r="AB721" i="10"/>
  <c r="S47" i="10"/>
  <c r="X721" i="10"/>
  <c r="Y721" i="10" s="1"/>
  <c r="S680" i="10"/>
  <c r="W319" i="10"/>
  <c r="X319" i="10"/>
  <c r="Y319" i="10" s="1"/>
  <c r="Z8" i="10"/>
  <c r="W748" i="10"/>
  <c r="AA748" i="10"/>
  <c r="AE748" i="10" s="1"/>
  <c r="AB557" i="10"/>
  <c r="AD557" i="10" s="1"/>
  <c r="S492" i="10"/>
  <c r="W503" i="10"/>
  <c r="AA506" i="10"/>
  <c r="AE506" i="10" s="1"/>
  <c r="AA504" i="10"/>
  <c r="AE504" i="10" s="1"/>
  <c r="S505" i="10"/>
  <c r="AB746" i="10"/>
  <c r="AC746" i="10" s="1"/>
  <c r="Z319" i="10"/>
  <c r="S589" i="10"/>
  <c r="AA115" i="10"/>
  <c r="AE115" i="10" s="1"/>
  <c r="X717" i="10"/>
  <c r="Y717" i="10" s="1"/>
  <c r="X214" i="10"/>
  <c r="Y214" i="10" s="1"/>
  <c r="AA410" i="10"/>
  <c r="AE410" i="10" s="1"/>
  <c r="X410" i="10"/>
  <c r="Y410" i="10" s="1"/>
  <c r="Z410" i="10"/>
  <c r="S573" i="10"/>
  <c r="Z746" i="10"/>
  <c r="AA747" i="10"/>
  <c r="AE747" i="10" s="1"/>
  <c r="W325" i="10"/>
  <c r="X325" i="10"/>
  <c r="Y325" i="10" s="1"/>
  <c r="Z325" i="10"/>
  <c r="AA653" i="10"/>
  <c r="AE653" i="10" s="1"/>
  <c r="S489" i="10"/>
  <c r="AB492" i="10"/>
  <c r="X294" i="10"/>
  <c r="Y294" i="10" s="1"/>
  <c r="AA295" i="10"/>
  <c r="AE295" i="10" s="1"/>
  <c r="Z295" i="10"/>
  <c r="S515" i="10"/>
  <c r="AA20" i="10"/>
  <c r="AE20" i="10" s="1"/>
  <c r="X8" i="10"/>
  <c r="Y8" i="10" s="1"/>
  <c r="X557" i="10"/>
  <c r="Y557" i="10" s="1"/>
  <c r="S558" i="10"/>
  <c r="X401" i="10"/>
  <c r="Y401" i="10" s="1"/>
  <c r="W387" i="10"/>
  <c r="S116" i="10"/>
  <c r="W464" i="10"/>
  <c r="W658" i="10"/>
  <c r="AA148" i="10"/>
  <c r="AE148" i="10" s="1"/>
  <c r="X148" i="10"/>
  <c r="Y148" i="10" s="1"/>
  <c r="W148" i="10"/>
  <c r="Z149" i="10"/>
  <c r="X383" i="10"/>
  <c r="Y383" i="10" s="1"/>
  <c r="AB572" i="10"/>
  <c r="AC572" i="10" s="1"/>
  <c r="AA629" i="10"/>
  <c r="AE629" i="10" s="1"/>
  <c r="W291" i="10"/>
  <c r="AA293" i="10"/>
  <c r="AE293" i="10" s="1"/>
  <c r="AA292" i="10"/>
  <c r="AE292" i="10" s="1"/>
  <c r="AA294" i="10"/>
  <c r="AE294" i="10" s="1"/>
  <c r="AB559" i="10"/>
  <c r="X402" i="10"/>
  <c r="Y402" i="10" s="1"/>
  <c r="W566" i="10"/>
  <c r="S117" i="10"/>
  <c r="S720" i="10"/>
  <c r="S333" i="10"/>
  <c r="S8" i="10"/>
  <c r="W239" i="10"/>
  <c r="AA241" i="10"/>
  <c r="AE241" i="10" s="1"/>
  <c r="AA242" i="10"/>
  <c r="AE242" i="10" s="1"/>
  <c r="S241" i="10"/>
  <c r="AB747" i="10"/>
  <c r="AC747" i="10" s="1"/>
  <c r="AB596" i="10"/>
  <c r="AC596" i="10" s="1"/>
  <c r="S410" i="10"/>
  <c r="Z572" i="10"/>
  <c r="AA574" i="10"/>
  <c r="AE574" i="10" s="1"/>
  <c r="AA573" i="10"/>
  <c r="AE573" i="10" s="1"/>
  <c r="AB118" i="10"/>
  <c r="AC118" i="10" s="1"/>
  <c r="Z717" i="10"/>
  <c r="AA722" i="10"/>
  <c r="AE722" i="10" s="1"/>
  <c r="X384" i="10"/>
  <c r="Y384" i="10" s="1"/>
  <c r="AB319" i="10"/>
  <c r="W7" i="10"/>
  <c r="AA401" i="10"/>
  <c r="Z402" i="10"/>
  <c r="AA402" i="10"/>
  <c r="AE402" i="10" s="1"/>
  <c r="W115" i="10"/>
  <c r="AA118" i="10"/>
  <c r="AE118" i="10" s="1"/>
  <c r="W228" i="10"/>
  <c r="AA228" i="10"/>
  <c r="AE228" i="10" s="1"/>
  <c r="AA559" i="10"/>
  <c r="AE559" i="10" s="1"/>
  <c r="X559" i="10"/>
  <c r="Y559" i="10" s="1"/>
  <c r="W559" i="10"/>
  <c r="AA117" i="10"/>
  <c r="AE117" i="10" s="1"/>
  <c r="S15" i="10"/>
  <c r="S149" i="10"/>
  <c r="AA583" i="10"/>
  <c r="AE583" i="10" s="1"/>
  <c r="AA383" i="10"/>
  <c r="AE383" i="10" s="1"/>
  <c r="AA637" i="10"/>
  <c r="AE637" i="10" s="1"/>
  <c r="X240" i="10"/>
  <c r="Y240" i="10" s="1"/>
  <c r="AA505" i="10"/>
  <c r="AE505" i="10" s="1"/>
  <c r="AA746" i="10"/>
  <c r="AE746" i="10" s="1"/>
  <c r="AA627" i="10"/>
  <c r="AE627" i="10" s="1"/>
  <c r="AB240" i="10"/>
  <c r="S710" i="10"/>
  <c r="AA475" i="10"/>
  <c r="AE475" i="10" s="1"/>
  <c r="X504" i="10"/>
  <c r="Y504" i="10" s="1"/>
  <c r="S171" i="10"/>
  <c r="Z514" i="10"/>
  <c r="AA514" i="10"/>
  <c r="AE514" i="10" s="1"/>
  <c r="X595" i="10"/>
  <c r="Y595" i="10" s="1"/>
  <c r="AA596" i="10"/>
  <c r="AE596" i="10" s="1"/>
  <c r="AA595" i="10"/>
  <c r="AE595" i="10" s="1"/>
  <c r="AB325" i="10"/>
  <c r="W764" i="10"/>
  <c r="AA525" i="10"/>
  <c r="AE525" i="10" s="1"/>
  <c r="Z118" i="10"/>
  <c r="S402" i="10"/>
  <c r="Z492" i="10"/>
  <c r="W628" i="10"/>
  <c r="AB8" i="10"/>
  <c r="W385" i="10"/>
  <c r="AB239" i="10"/>
  <c r="AC239" i="10" s="1"/>
  <c r="AB56" i="10"/>
  <c r="AC56" i="10" s="1"/>
  <c r="AB384" i="10"/>
  <c r="AC384" i="10" s="1"/>
  <c r="S424" i="10"/>
  <c r="AA361" i="10"/>
  <c r="AE361" i="10" s="1"/>
  <c r="S523" i="10"/>
  <c r="AA56" i="10"/>
  <c r="AE56" i="10" s="1"/>
  <c r="Z76" i="10"/>
  <c r="S528" i="10"/>
  <c r="S295" i="10"/>
  <c r="AB74" i="10"/>
  <c r="AD74" i="10" s="1"/>
  <c r="X526" i="10"/>
  <c r="Y526" i="10" s="1"/>
  <c r="AA528" i="10"/>
  <c r="AE528" i="10" s="1"/>
  <c r="AA526" i="10"/>
  <c r="AE526" i="10" s="1"/>
  <c r="AA425" i="10"/>
  <c r="AE425" i="10" s="1"/>
  <c r="AB504" i="10"/>
  <c r="AC504" i="10" s="1"/>
  <c r="Z293" i="10"/>
  <c r="Z677" i="10"/>
  <c r="S749" i="10"/>
  <c r="AA489" i="10"/>
  <c r="AE489" i="10" s="1"/>
  <c r="Z401" i="10"/>
  <c r="AB404" i="10"/>
  <c r="AC404" i="10" s="1"/>
  <c r="Z14" i="10"/>
  <c r="AB294" i="10"/>
  <c r="AC294" i="10" s="1"/>
  <c r="Z491" i="10"/>
  <c r="Z506" i="10"/>
  <c r="S121" i="10"/>
  <c r="S630" i="10"/>
  <c r="AB506" i="10"/>
  <c r="AD409" i="10"/>
  <c r="W514" i="10"/>
  <c r="W56" i="10"/>
  <c r="S574" i="10"/>
  <c r="S409" i="10"/>
  <c r="W637" i="10"/>
  <c r="Z178" i="10"/>
  <c r="AD140" i="10"/>
  <c r="S404" i="10"/>
  <c r="AB408" i="10"/>
  <c r="AC408" i="10" s="1"/>
  <c r="W723" i="10"/>
  <c r="X74" i="10"/>
  <c r="Y74" i="10" s="1"/>
  <c r="S239" i="10"/>
  <c r="W110" i="10"/>
  <c r="S748" i="10"/>
  <c r="X536" i="10"/>
  <c r="Y536" i="10" s="1"/>
  <c r="W19" i="10"/>
  <c r="X56" i="10"/>
  <c r="Y56" i="10" s="1"/>
  <c r="W120" i="10"/>
  <c r="W719" i="10"/>
  <c r="W711" i="10"/>
  <c r="AB295" i="10"/>
  <c r="AC295" i="10" s="1"/>
  <c r="X711" i="10"/>
  <c r="Y711" i="10" s="1"/>
  <c r="AB488" i="10"/>
  <c r="AC488" i="10" s="1"/>
  <c r="Z596" i="10"/>
  <c r="AB14" i="10"/>
  <c r="AC14" i="10" s="1"/>
  <c r="X566" i="10"/>
  <c r="Y566" i="10" s="1"/>
  <c r="W574" i="10"/>
  <c r="W677" i="10"/>
  <c r="S232" i="10"/>
  <c r="X76" i="10"/>
  <c r="Y76" i="10" s="1"/>
  <c r="AB723" i="10"/>
  <c r="S322" i="10"/>
  <c r="X677" i="10"/>
  <c r="Y677" i="10" s="1"/>
  <c r="Z384" i="10"/>
  <c r="S627" i="10"/>
  <c r="W226" i="10"/>
  <c r="W669" i="10"/>
  <c r="W575" i="10"/>
  <c r="AB528" i="10"/>
  <c r="AC528" i="10" s="1"/>
  <c r="W119" i="10"/>
  <c r="S425" i="10"/>
  <c r="AB320" i="10"/>
  <c r="AD320" i="10" s="1"/>
  <c r="W480" i="10"/>
  <c r="AB573" i="10"/>
  <c r="AC573" i="10" s="1"/>
  <c r="W295" i="10"/>
  <c r="W293" i="10"/>
  <c r="AB451" i="10"/>
  <c r="W14" i="10"/>
  <c r="S745" i="10"/>
  <c r="S563" i="10"/>
  <c r="W240" i="10"/>
  <c r="X295" i="10"/>
  <c r="Y295" i="10" s="1"/>
  <c r="X293" i="10"/>
  <c r="Y293" i="10" s="1"/>
  <c r="W496" i="10"/>
  <c r="Z240" i="10"/>
  <c r="W341" i="10"/>
  <c r="S376" i="10"/>
  <c r="X217" i="10"/>
  <c r="Y217" i="10" s="1"/>
  <c r="S747" i="10"/>
  <c r="W526" i="10"/>
  <c r="W564" i="10"/>
  <c r="W9" i="10"/>
  <c r="X748" i="10"/>
  <c r="Y748" i="10" s="1"/>
  <c r="AB503" i="10"/>
  <c r="AC503" i="10" s="1"/>
  <c r="W348" i="10"/>
  <c r="X9" i="10"/>
  <c r="Y9" i="10" s="1"/>
  <c r="Z748" i="10"/>
  <c r="AB253" i="10"/>
  <c r="AC253" i="10" s="1"/>
  <c r="W653" i="10"/>
  <c r="AB536" i="10"/>
  <c r="AC536" i="10" s="1"/>
  <c r="S326" i="10"/>
  <c r="S185" i="10"/>
  <c r="Z404" i="10"/>
  <c r="Z383" i="10"/>
  <c r="W59" i="10"/>
  <c r="X525" i="10"/>
  <c r="Y525" i="10" s="1"/>
  <c r="S57" i="10"/>
  <c r="W118" i="10"/>
  <c r="Z650" i="10"/>
  <c r="W170" i="10"/>
  <c r="S161" i="10"/>
  <c r="S113" i="10"/>
  <c r="AB712" i="10"/>
  <c r="AC712" i="10" s="1"/>
  <c r="W178" i="10"/>
  <c r="X514" i="10"/>
  <c r="Y514" i="10" s="1"/>
  <c r="W595" i="10"/>
  <c r="W562" i="10"/>
  <c r="W182" i="10"/>
  <c r="W504" i="10"/>
  <c r="Z376" i="10"/>
  <c r="X723" i="10"/>
  <c r="Y723" i="10" s="1"/>
  <c r="S88" i="10"/>
  <c r="W361" i="10"/>
  <c r="W712" i="10"/>
  <c r="X722" i="10"/>
  <c r="Y722" i="10" s="1"/>
  <c r="Z595" i="10"/>
  <c r="W290" i="10"/>
  <c r="AB478" i="10"/>
  <c r="W534" i="10"/>
  <c r="W710" i="10"/>
  <c r="X712" i="10"/>
  <c r="Y712" i="10" s="1"/>
  <c r="X14" i="10"/>
  <c r="Y14" i="10" s="1"/>
  <c r="W737" i="10"/>
  <c r="W745" i="10"/>
  <c r="Z16" i="10"/>
  <c r="AB491" i="10"/>
  <c r="S635" i="10"/>
  <c r="Z451" i="10"/>
  <c r="W392" i="10"/>
  <c r="W744" i="10"/>
  <c r="AD324" i="10"/>
  <c r="AC324" i="10"/>
  <c r="W199" i="10"/>
  <c r="W349" i="10"/>
  <c r="Z566" i="10"/>
  <c r="S526" i="10"/>
  <c r="S531" i="10"/>
  <c r="X475" i="10"/>
  <c r="Y475" i="10" s="1"/>
  <c r="Z475" i="10"/>
  <c r="W359" i="10"/>
  <c r="X199" i="10"/>
  <c r="Y199" i="10" s="1"/>
  <c r="S413" i="10"/>
  <c r="W237" i="10"/>
  <c r="AB566" i="10"/>
  <c r="AC566" i="10" s="1"/>
  <c r="S240" i="10"/>
  <c r="S294" i="10"/>
  <c r="S669" i="10"/>
  <c r="W336" i="10"/>
  <c r="W540" i="10"/>
  <c r="AB637" i="10"/>
  <c r="AC637" i="10" s="1"/>
  <c r="AD248" i="10"/>
  <c r="W49" i="10"/>
  <c r="AB583" i="10"/>
  <c r="AC583" i="10" s="1"/>
  <c r="S583" i="10"/>
  <c r="Z294" i="10"/>
  <c r="S324" i="10"/>
  <c r="W245" i="10"/>
  <c r="S9" i="10"/>
  <c r="X239" i="10"/>
  <c r="Y239" i="10" s="1"/>
  <c r="W541" i="10"/>
  <c r="W408" i="10"/>
  <c r="W630" i="10"/>
  <c r="AB199" i="10"/>
  <c r="W74" i="10"/>
  <c r="Z324" i="10"/>
  <c r="W749" i="10"/>
  <c r="S248" i="10"/>
  <c r="X408" i="10"/>
  <c r="Y408" i="10" s="1"/>
  <c r="W572" i="10"/>
  <c r="X376" i="10"/>
  <c r="Y376" i="10" s="1"/>
  <c r="Z526" i="10"/>
  <c r="S317" i="10"/>
  <c r="W479" i="10"/>
  <c r="S186" i="10"/>
  <c r="X659" i="10"/>
  <c r="Y659" i="10" s="1"/>
  <c r="Z659" i="10"/>
  <c r="X413" i="10"/>
  <c r="Y413" i="10" s="1"/>
  <c r="W383" i="10"/>
  <c r="W294" i="10"/>
  <c r="S479" i="10"/>
  <c r="S530" i="10"/>
  <c r="S74" i="10"/>
  <c r="S403" i="10"/>
  <c r="AD182" i="10"/>
  <c r="W368" i="10"/>
  <c r="Z563" i="10"/>
  <c r="W186" i="10"/>
  <c r="Z309" i="10"/>
  <c r="X309" i="10"/>
  <c r="Y309" i="10" s="1"/>
  <c r="W309" i="10"/>
  <c r="W111" i="10"/>
  <c r="S575" i="10"/>
  <c r="W531" i="10"/>
  <c r="W635" i="10"/>
  <c r="AB293" i="10"/>
  <c r="S293" i="10"/>
  <c r="W189" i="10"/>
  <c r="W434" i="10"/>
  <c r="S394" i="10"/>
  <c r="W506" i="10"/>
  <c r="W660" i="10"/>
  <c r="W722" i="10"/>
  <c r="AB595" i="10"/>
  <c r="AB631" i="10"/>
  <c r="AC631" i="10" s="1"/>
  <c r="W670" i="10"/>
  <c r="W517" i="10"/>
  <c r="X290" i="10"/>
  <c r="Y290" i="10" s="1"/>
  <c r="X506" i="10"/>
  <c r="Y506" i="10" s="1"/>
  <c r="W529" i="10"/>
  <c r="W557" i="10"/>
  <c r="S56" i="10"/>
  <c r="Z217" i="10"/>
  <c r="Z60" i="10"/>
  <c r="W48" i="10"/>
  <c r="AC409" i="10"/>
  <c r="X361" i="10"/>
  <c r="Y361" i="10" s="1"/>
  <c r="W567" i="10"/>
  <c r="AB514" i="10"/>
  <c r="AC514" i="10" s="1"/>
  <c r="S231" i="10"/>
  <c r="W232" i="10"/>
  <c r="W384" i="10"/>
  <c r="AB20" i="10"/>
  <c r="AC20" i="10" s="1"/>
  <c r="W527" i="10"/>
  <c r="W524" i="10"/>
  <c r="AB525" i="10"/>
  <c r="AC525" i="10" s="1"/>
  <c r="W585" i="10"/>
  <c r="W140" i="10"/>
  <c r="W461" i="10"/>
  <c r="W185" i="10"/>
  <c r="W488" i="10"/>
  <c r="W404" i="10"/>
  <c r="AD740" i="10"/>
  <c r="W340" i="10"/>
  <c r="AB312" i="10"/>
  <c r="AD312" i="10" s="1"/>
  <c r="Z140" i="10"/>
  <c r="W648" i="10"/>
  <c r="X488" i="10"/>
  <c r="Y488" i="10" s="1"/>
  <c r="AB361" i="10"/>
  <c r="AC361" i="10" s="1"/>
  <c r="Z320" i="10"/>
  <c r="S178" i="10"/>
  <c r="S746" i="10"/>
  <c r="S384" i="10"/>
  <c r="W747" i="10"/>
  <c r="W654" i="10"/>
  <c r="W650" i="10"/>
  <c r="W318" i="10"/>
  <c r="S722" i="10"/>
  <c r="X515" i="10"/>
  <c r="Y515" i="10" s="1"/>
  <c r="W400" i="10"/>
  <c r="W16" i="10"/>
  <c r="W320" i="10"/>
  <c r="W76" i="10"/>
  <c r="W15" i="10"/>
  <c r="AB75" i="10"/>
  <c r="AC75" i="10" s="1"/>
  <c r="S461" i="10"/>
  <c r="Z515" i="10"/>
  <c r="X747" i="10"/>
  <c r="Y747" i="10" s="1"/>
  <c r="S767" i="10"/>
  <c r="W244" i="10"/>
  <c r="W360" i="10"/>
  <c r="X324" i="10"/>
  <c r="Y324" i="10" s="1"/>
  <c r="AD9" i="10"/>
  <c r="S182" i="10"/>
  <c r="X637" i="10"/>
  <c r="Y637" i="10" s="1"/>
  <c r="X503" i="10"/>
  <c r="Y503" i="10" s="1"/>
  <c r="AB444" i="10"/>
  <c r="S564" i="10"/>
  <c r="S504" i="10"/>
  <c r="W587" i="10"/>
  <c r="S49" i="10"/>
  <c r="Z253" i="10"/>
  <c r="W175" i="10"/>
  <c r="S653" i="10"/>
  <c r="W594" i="10"/>
  <c r="Z504" i="10"/>
  <c r="AC376" i="10"/>
  <c r="W351" i="10"/>
  <c r="W766" i="10"/>
  <c r="W629" i="10"/>
  <c r="S629" i="10"/>
  <c r="W423" i="10"/>
  <c r="Z423" i="10"/>
  <c r="X423" i="10"/>
  <c r="Y423" i="10" s="1"/>
  <c r="W481" i="10"/>
  <c r="W308" i="10"/>
  <c r="W627" i="10"/>
  <c r="W403" i="10"/>
  <c r="W563" i="10"/>
  <c r="W249" i="10"/>
  <c r="Z503" i="10"/>
  <c r="W357" i="10"/>
  <c r="X478" i="10"/>
  <c r="Y478" i="10" s="1"/>
  <c r="AC182" i="10"/>
  <c r="X248" i="10"/>
  <c r="Y248" i="10" s="1"/>
  <c r="W248" i="10"/>
  <c r="AC248" i="10"/>
  <c r="Z413" i="10"/>
  <c r="Z478" i="10"/>
  <c r="AB423" i="10"/>
  <c r="X253" i="10"/>
  <c r="Y253" i="10" s="1"/>
  <c r="Z536" i="10"/>
  <c r="AC711" i="10"/>
  <c r="AD711" i="10"/>
  <c r="W486" i="10"/>
  <c r="W522" i="10"/>
  <c r="S572" i="10"/>
  <c r="W645" i="10"/>
  <c r="AB644" i="10"/>
  <c r="S711" i="10"/>
  <c r="S292" i="10"/>
  <c r="Z583" i="10"/>
  <c r="S475" i="10"/>
  <c r="AB475" i="10"/>
  <c r="Z644" i="10"/>
  <c r="AB60" i="10"/>
  <c r="S60" i="10"/>
  <c r="X583" i="10"/>
  <c r="Y583" i="10" s="1"/>
  <c r="W659" i="10"/>
  <c r="W647" i="10"/>
  <c r="Z528" i="10"/>
  <c r="X528" i="10"/>
  <c r="Y528" i="10" s="1"/>
  <c r="X182" i="10"/>
  <c r="Y182" i="10" s="1"/>
  <c r="S366" i="10"/>
  <c r="W366" i="10"/>
  <c r="X644" i="10"/>
  <c r="Y644" i="10" s="1"/>
  <c r="AB383" i="10"/>
  <c r="S309" i="10"/>
  <c r="S532" i="10"/>
  <c r="W533" i="10"/>
  <c r="AB19" i="10"/>
  <c r="W88" i="10"/>
  <c r="Z239" i="10"/>
  <c r="X572" i="10"/>
  <c r="Y572" i="10" s="1"/>
  <c r="W306" i="10"/>
  <c r="Z326" i="10"/>
  <c r="X326" i="10"/>
  <c r="Y326" i="10" s="1"/>
  <c r="X75" i="10"/>
  <c r="Y75" i="10" s="1"/>
  <c r="Z75" i="10"/>
  <c r="W75" i="10"/>
  <c r="S506" i="10"/>
  <c r="W724" i="10"/>
  <c r="W241" i="10"/>
  <c r="Z312" i="10"/>
  <c r="W312" i="10"/>
  <c r="W135" i="10"/>
  <c r="W317" i="10"/>
  <c r="S487" i="10"/>
  <c r="W466" i="10"/>
  <c r="S217" i="10"/>
  <c r="AB217" i="10"/>
  <c r="W116" i="10"/>
  <c r="W117" i="10"/>
  <c r="W425" i="10"/>
  <c r="AB659" i="10"/>
  <c r="W126" i="10"/>
  <c r="W394" i="10"/>
  <c r="W528" i="10"/>
  <c r="W491" i="10"/>
  <c r="X491" i="10"/>
  <c r="Y491" i="10" s="1"/>
  <c r="S119" i="10"/>
  <c r="W197" i="10"/>
  <c r="W417" i="10"/>
  <c r="W448" i="10"/>
  <c r="W446" i="10"/>
  <c r="S585" i="10"/>
  <c r="W565" i="10"/>
  <c r="W665" i="10"/>
  <c r="Z525" i="10"/>
  <c r="S118" i="10"/>
  <c r="S650" i="10"/>
  <c r="AB650" i="10"/>
  <c r="W321" i="10"/>
  <c r="W322" i="10"/>
  <c r="W113" i="10"/>
  <c r="AB660" i="10"/>
  <c r="S660" i="10"/>
  <c r="S70" i="10"/>
  <c r="AD326" i="10"/>
  <c r="AC326" i="10"/>
  <c r="S557" i="10"/>
  <c r="S466" i="10"/>
  <c r="S120" i="10"/>
  <c r="X444" i="10"/>
  <c r="Y444" i="10" s="1"/>
  <c r="W676" i="10"/>
  <c r="W112" i="10"/>
  <c r="S677" i="10"/>
  <c r="AB677" i="10"/>
  <c r="W444" i="10"/>
  <c r="X573" i="10"/>
  <c r="Y573" i="10" s="1"/>
  <c r="Z573" i="10"/>
  <c r="X118" i="10"/>
  <c r="Y118" i="10" s="1"/>
  <c r="AC140" i="10"/>
  <c r="Z660" i="10"/>
  <c r="X60" i="10"/>
  <c r="Y60" i="10" s="1"/>
  <c r="X719" i="10"/>
  <c r="Y719" i="10" s="1"/>
  <c r="W443" i="10"/>
  <c r="S140" i="10"/>
  <c r="AB48" i="10"/>
  <c r="S392" i="10"/>
  <c r="Z19" i="10"/>
  <c r="Z557" i="10"/>
  <c r="W457" i="10"/>
  <c r="W70" i="10"/>
  <c r="W746" i="10"/>
  <c r="X746" i="10"/>
  <c r="Y746" i="10" s="1"/>
  <c r="Z444" i="10"/>
  <c r="AB76" i="10"/>
  <c r="S76" i="10"/>
  <c r="Z409" i="10"/>
  <c r="AD178" i="10"/>
  <c r="X311" i="10"/>
  <c r="Y311" i="10" s="1"/>
  <c r="W311" i="10"/>
  <c r="Z311" i="10"/>
  <c r="S362" i="10"/>
  <c r="S346" i="10"/>
  <c r="W414" i="10"/>
  <c r="S719" i="10"/>
  <c r="AB719" i="10"/>
  <c r="W458" i="10"/>
  <c r="W409" i="10"/>
  <c r="Z48" i="10"/>
  <c r="X740" i="10"/>
  <c r="Y740" i="10" s="1"/>
  <c r="Z740" i="10"/>
  <c r="W740" i="10"/>
  <c r="W231" i="10"/>
  <c r="S112" i="10"/>
  <c r="X451" i="10"/>
  <c r="Y451" i="10" s="1"/>
  <c r="W362" i="10"/>
  <c r="Z20" i="10"/>
  <c r="AB515" i="10"/>
  <c r="S311" i="10"/>
  <c r="AB311" i="10"/>
  <c r="X631" i="10"/>
  <c r="Y631" i="10" s="1"/>
  <c r="W631" i="10"/>
  <c r="Z631" i="10"/>
  <c r="S740" i="10"/>
  <c r="S596" i="10"/>
  <c r="W596" i="10"/>
  <c r="AD78" i="10"/>
  <c r="AC78" i="10"/>
  <c r="X20" i="10"/>
  <c r="Y20" i="10" s="1"/>
  <c r="S390" i="10"/>
  <c r="AB290" i="10"/>
  <c r="S78" i="10"/>
  <c r="W337" i="10"/>
  <c r="W78" i="10"/>
  <c r="X15" i="10"/>
  <c r="Y15" i="10" s="1"/>
  <c r="AB15" i="10"/>
  <c r="AC16" i="10"/>
  <c r="X78" i="10"/>
  <c r="Y78" i="10" s="1"/>
  <c r="F43" i="8"/>
  <c r="P618" i="10"/>
  <c r="AA618" i="10" s="1"/>
  <c r="AE618" i="10" s="1"/>
  <c r="P209" i="10"/>
  <c r="W209" i="10" s="1"/>
  <c r="P338" i="10"/>
  <c r="V338" i="10" s="1"/>
  <c r="P225" i="10"/>
  <c r="W225" i="10" s="1"/>
  <c r="P216" i="10"/>
  <c r="W216" i="10" s="1"/>
  <c r="P380" i="10"/>
  <c r="W380" i="10" s="1"/>
  <c r="P381" i="10"/>
  <c r="W381" i="10" s="1"/>
  <c r="P258" i="10"/>
  <c r="W258" i="10" s="1"/>
  <c r="P726" i="10"/>
  <c r="X710" i="10" s="1"/>
  <c r="Y710" i="10" s="1"/>
  <c r="P105" i="10"/>
  <c r="P260" i="10"/>
  <c r="P634" i="10"/>
  <c r="AA634" i="10" s="1"/>
  <c r="AE634" i="10" s="1"/>
  <c r="P389" i="10"/>
  <c r="W389" i="10" s="1"/>
  <c r="P114" i="10"/>
  <c r="W114" i="10" s="1"/>
  <c r="P612" i="10"/>
  <c r="AA612" i="10" s="1"/>
  <c r="AE612" i="10" s="1"/>
  <c r="P507" i="10"/>
  <c r="W507" i="10" s="1"/>
  <c r="P741" i="10"/>
  <c r="W741" i="10" s="1"/>
  <c r="P508" i="10"/>
  <c r="V508" i="10" s="1"/>
  <c r="P509" i="10"/>
  <c r="W509" i="10" s="1"/>
  <c r="P510" i="10"/>
  <c r="W510" i="10" s="1"/>
  <c r="P172" i="10"/>
  <c r="P398" i="10"/>
  <c r="V398" i="10" s="1"/>
  <c r="P32" i="10"/>
  <c r="P590" i="10"/>
  <c r="V590" i="10" s="1"/>
  <c r="P339" i="10"/>
  <c r="X339" i="10" s="1"/>
  <c r="Y339" i="10" s="1"/>
  <c r="P760" i="10"/>
  <c r="P688" i="10"/>
  <c r="V688" i="10" s="1"/>
  <c r="P331" i="10"/>
  <c r="X333" i="10" s="1"/>
  <c r="Y333" i="10" s="1"/>
  <c r="P327" i="10"/>
  <c r="V327" i="10" s="1"/>
  <c r="P254" i="10"/>
  <c r="V254" i="10" s="1"/>
  <c r="P255" i="10"/>
  <c r="V255" i="10" s="1"/>
  <c r="P127" i="10"/>
  <c r="P307" i="10"/>
  <c r="W307" i="10" s="1"/>
  <c r="P624" i="10"/>
  <c r="V624" i="10" s="1"/>
  <c r="P251" i="10"/>
  <c r="W251" i="10" s="1"/>
  <c r="P296" i="10"/>
  <c r="P297" i="10"/>
  <c r="AA392" i="10" s="1"/>
  <c r="AE392" i="10" s="1"/>
  <c r="P459" i="10"/>
  <c r="W459" i="10" s="1"/>
  <c r="P694" i="10"/>
  <c r="W694" i="10" s="1"/>
  <c r="P682" i="10"/>
  <c r="P173" i="10"/>
  <c r="AA175" i="10" s="1"/>
  <c r="AE175" i="10" s="1"/>
  <c r="P174" i="10"/>
  <c r="P81" i="10"/>
  <c r="V81" i="10" s="1"/>
  <c r="P263" i="10"/>
  <c r="P150" i="10"/>
  <c r="AA152" i="10" s="1"/>
  <c r="AE152" i="10" s="1"/>
  <c r="P162" i="10"/>
  <c r="W162" i="10" s="1"/>
  <c r="P613" i="10"/>
  <c r="P3" i="10"/>
  <c r="W3" i="10" s="1"/>
  <c r="P698" i="10"/>
  <c r="W698" i="10" s="1"/>
  <c r="P765" i="10"/>
  <c r="X629" i="10" s="1"/>
  <c r="Y629" i="10" s="1"/>
  <c r="P299" i="10"/>
  <c r="W299" i="10" s="1"/>
  <c r="P33" i="10"/>
  <c r="W33" i="10" s="1"/>
  <c r="P58" i="10"/>
  <c r="W58" i="10" s="1"/>
  <c r="P453" i="10"/>
  <c r="X453" i="10" s="1"/>
  <c r="Y453" i="10" s="1"/>
  <c r="P247" i="10"/>
  <c r="W247" i="10" s="1"/>
  <c r="P455" i="10"/>
  <c r="X455" i="10" s="1"/>
  <c r="Y455" i="10" s="1"/>
  <c r="P316" i="10"/>
  <c r="W316" i="10" s="1"/>
  <c r="P452" i="10"/>
  <c r="V452" i="10" s="1"/>
  <c r="P456" i="10"/>
  <c r="AA456" i="10" s="1"/>
  <c r="AE456" i="10" s="1"/>
  <c r="P450" i="10"/>
  <c r="W450" i="10" s="1"/>
  <c r="P495" i="10"/>
  <c r="W495" i="10" s="1"/>
  <c r="P570" i="10"/>
  <c r="P460" i="10"/>
  <c r="P715" i="10"/>
  <c r="P695" i="10"/>
  <c r="V695" i="10" s="1"/>
  <c r="P697" i="10"/>
  <c r="Z709" i="10" s="1"/>
  <c r="P472" i="10"/>
  <c r="P109" i="10"/>
  <c r="X111" i="10" s="1"/>
  <c r="Y111" i="10" s="1"/>
  <c r="P204" i="10"/>
  <c r="W204" i="10" s="1"/>
  <c r="P375" i="10"/>
  <c r="Z375" i="10" s="1"/>
  <c r="P406" i="10"/>
  <c r="W406" i="10" s="1"/>
  <c r="P690" i="10"/>
  <c r="P485" i="10"/>
  <c r="P21" i="10"/>
  <c r="AA21" i="10" s="1"/>
  <c r="AE21" i="10" s="1"/>
  <c r="P497" i="10"/>
  <c r="W497" i="10" s="1"/>
  <c r="P569" i="10"/>
  <c r="V569" i="10" s="1"/>
  <c r="P373" i="10"/>
  <c r="W373" i="10" s="1"/>
  <c r="P374" i="10"/>
  <c r="Z790" i="10" s="1"/>
  <c r="P22" i="10"/>
  <c r="AA638" i="10" s="1"/>
  <c r="P477" i="10"/>
  <c r="V477" i="10" s="1"/>
  <c r="P463" i="10"/>
  <c r="P445" i="10"/>
  <c r="P591" i="10"/>
  <c r="W591" i="10" s="1"/>
  <c r="P638" i="10"/>
  <c r="V638" i="10" s="1"/>
  <c r="P440" i="10"/>
  <c r="V440" i="10" s="1"/>
  <c r="P588" i="10"/>
  <c r="V588" i="10" s="1"/>
  <c r="P193" i="10"/>
  <c r="V193" i="10" s="1"/>
  <c r="P592" i="10"/>
  <c r="P597" i="10"/>
  <c r="V597" i="10" s="1"/>
  <c r="P691" i="10"/>
  <c r="V691" i="10" s="1"/>
  <c r="P545" i="10"/>
  <c r="W545" i="10" s="1"/>
  <c r="P678" i="10"/>
  <c r="X737" i="10" s="1"/>
  <c r="Y737" i="10" s="1"/>
  <c r="P685" i="10"/>
  <c r="P546" i="10"/>
  <c r="W546" i="10" s="1"/>
  <c r="P547" i="10"/>
  <c r="P548" i="10"/>
  <c r="W548" i="10" s="1"/>
  <c r="P300" i="10"/>
  <c r="V300" i="10" s="1"/>
  <c r="P289" i="10"/>
  <c r="V289" i="10" s="1"/>
  <c r="P298" i="10"/>
  <c r="W298" i="10" s="1"/>
  <c r="P205" i="10"/>
  <c r="P377" i="10"/>
  <c r="AA377" i="10" s="1"/>
  <c r="AE377" i="10" s="1"/>
  <c r="P208" i="10"/>
  <c r="V208" i="10" s="1"/>
  <c r="P180" i="10"/>
  <c r="AA181" i="10" s="1"/>
  <c r="AE181" i="10" s="1"/>
  <c r="P305" i="10"/>
  <c r="W305" i="10" s="1"/>
  <c r="P79" i="10"/>
  <c r="W79" i="10" s="1"/>
  <c r="P742" i="10"/>
  <c r="P103" i="10"/>
  <c r="W103" i="10" s="1"/>
  <c r="P578" i="10"/>
  <c r="W578" i="10" s="1"/>
  <c r="P467" i="10"/>
  <c r="AA569" i="10" s="1"/>
  <c r="AE569" i="10" s="1"/>
  <c r="P693" i="10"/>
  <c r="V693" i="10" s="1"/>
  <c r="P701" i="10"/>
  <c r="V701" i="10" s="1"/>
  <c r="P679" i="10"/>
  <c r="P65" i="10"/>
  <c r="W65" i="10" s="1"/>
  <c r="P66" i="10"/>
  <c r="P67" i="10"/>
  <c r="W67" i="10" s="1"/>
  <c r="P68" i="10"/>
  <c r="Z69" i="10" s="1"/>
  <c r="P518" i="10"/>
  <c r="AA529" i="10" s="1"/>
  <c r="AE529" i="10" s="1"/>
  <c r="P519" i="10"/>
  <c r="P520" i="10"/>
  <c r="AA649" i="10" s="1"/>
  <c r="AE649" i="10" s="1"/>
  <c r="P521" i="10"/>
  <c r="P580" i="10"/>
  <c r="AA744" i="10" s="1"/>
  <c r="AE744" i="10" s="1"/>
  <c r="P5" i="10"/>
  <c r="W5" i="10" s="1"/>
  <c r="P235" i="10"/>
  <c r="V235" i="10" s="1"/>
  <c r="P512" i="10"/>
  <c r="W512" i="10" s="1"/>
  <c r="P284" i="10"/>
  <c r="V284" i="10" s="1"/>
  <c r="P192" i="10"/>
  <c r="W192" i="10" s="1"/>
  <c r="P393" i="10"/>
  <c r="W393" i="10" s="1"/>
  <c r="P671" i="10"/>
  <c r="V671" i="10" s="1"/>
  <c r="P23" i="10"/>
  <c r="W23" i="10" s="1"/>
  <c r="P535" i="10"/>
  <c r="W535" i="10" s="1"/>
  <c r="P269" i="10"/>
  <c r="P706" i="10"/>
  <c r="AA707" i="10" s="1"/>
  <c r="AE707" i="10" s="1"/>
  <c r="P549" i="10"/>
  <c r="W549" i="10" s="1"/>
  <c r="P187" i="10"/>
  <c r="V187" i="10" s="1"/>
  <c r="P707" i="10"/>
  <c r="V707" i="10" s="1"/>
  <c r="P267" i="10"/>
  <c r="W267" i="10" s="1"/>
  <c r="P270" i="10"/>
  <c r="W270" i="10" s="1"/>
  <c r="P732" i="10"/>
  <c r="W732" i="10" s="1"/>
  <c r="P733" i="10"/>
  <c r="P761" i="10"/>
  <c r="P762" i="10"/>
  <c r="P763" i="10"/>
  <c r="P581" i="10"/>
  <c r="P301" i="10"/>
  <c r="W301" i="10" s="1"/>
  <c r="P582" i="10"/>
  <c r="W582" i="10" s="1"/>
  <c r="P104" i="10"/>
  <c r="P367" i="10"/>
  <c r="AA368" i="10" s="1"/>
  <c r="AE368" i="10" s="1"/>
  <c r="P358" i="10"/>
  <c r="P353" i="10"/>
  <c r="W353" i="10" s="1"/>
  <c r="P154" i="10"/>
  <c r="P166" i="10"/>
  <c r="W166" i="10" s="1"/>
  <c r="P71" i="10"/>
  <c r="AA71" i="10" s="1"/>
  <c r="AE71" i="10" s="1"/>
  <c r="P167" i="10"/>
  <c r="P168" i="10"/>
  <c r="Z164" i="10" s="1"/>
  <c r="P169" i="10"/>
  <c r="AA414" i="10" s="1"/>
  <c r="AE414" i="10" s="1"/>
  <c r="P604" i="10"/>
  <c r="P143" i="10"/>
  <c r="AA145" i="10" s="1"/>
  <c r="AE145" i="10" s="1"/>
  <c r="P141" i="10"/>
  <c r="P134" i="10"/>
  <c r="P63" i="10"/>
  <c r="Z64" i="10" s="1"/>
  <c r="P252" i="10"/>
  <c r="W252" i="10" s="1"/>
  <c r="P72" i="10"/>
  <c r="P550" i="10"/>
  <c r="AA553" i="10" s="1"/>
  <c r="AE553" i="10" s="1"/>
  <c r="P551" i="10"/>
  <c r="P552" i="10"/>
  <c r="P553" i="10"/>
  <c r="P554" i="10"/>
  <c r="W554" i="10" s="1"/>
  <c r="P555" i="10"/>
  <c r="W555" i="10" s="1"/>
  <c r="P343" i="10"/>
  <c r="V343" i="10" s="1"/>
  <c r="P44" i="10"/>
  <c r="W44" i="10" s="1"/>
  <c r="P498" i="10"/>
  <c r="W498" i="10" s="1"/>
  <c r="P285" i="10"/>
  <c r="P46" i="10"/>
  <c r="P163" i="10"/>
  <c r="V163" i="10" s="1"/>
  <c r="P151" i="10"/>
  <c r="P354" i="10"/>
  <c r="X564" i="10" s="1"/>
  <c r="Y564" i="10" s="1"/>
  <c r="P190" i="10"/>
  <c r="P191" i="10"/>
  <c r="V191" i="10" s="1"/>
  <c r="P772" i="10"/>
  <c r="P35" i="10"/>
  <c r="P236" i="10"/>
  <c r="W236" i="10" s="1"/>
  <c r="P36" i="10"/>
  <c r="P416" i="10"/>
  <c r="P605" i="10"/>
  <c r="W605" i="10" s="1"/>
  <c r="P34" i="10"/>
  <c r="AA34" i="10" s="1"/>
  <c r="AE34" i="10" s="1"/>
  <c r="P474" i="10"/>
  <c r="P388" i="10"/>
  <c r="P26" i="10"/>
  <c r="P25" i="10"/>
  <c r="Z25" i="10" s="1"/>
  <c r="P625" i="10"/>
  <c r="AA625" i="10" s="1"/>
  <c r="AE625" i="10" s="1"/>
  <c r="P556" i="10"/>
  <c r="AA556" i="10" s="1"/>
  <c r="AE556" i="10" s="1"/>
  <c r="P188" i="10"/>
  <c r="P626" i="10"/>
  <c r="W626" i="10" s="1"/>
  <c r="P606" i="10"/>
  <c r="V606" i="10" s="1"/>
  <c r="P607" i="10"/>
  <c r="V607" i="10" s="1"/>
  <c r="P603" i="10"/>
  <c r="V603" i="10" s="1"/>
  <c r="P37" i="10"/>
  <c r="P314" i="10"/>
  <c r="P560" i="10"/>
  <c r="AA562" i="10" s="1"/>
  <c r="AE562" i="10" s="1"/>
  <c r="P210" i="10"/>
  <c r="P144" i="10"/>
  <c r="W144" i="10" s="1"/>
  <c r="P142" i="10"/>
  <c r="P155" i="10"/>
  <c r="W155" i="10" s="1"/>
  <c r="P219" i="10"/>
  <c r="P499" i="10"/>
  <c r="W499" i="10" s="1"/>
  <c r="P61" i="10"/>
  <c r="Z589" i="10" s="1"/>
  <c r="P350" i="10"/>
  <c r="X351" i="10" s="1"/>
  <c r="Y351" i="10" s="1"/>
  <c r="P355" i="10"/>
  <c r="W355" i="10" s="1"/>
  <c r="P571" i="10"/>
  <c r="Z479" i="10" s="1"/>
  <c r="P616" i="10"/>
  <c r="P561" i="10"/>
  <c r="P243" i="10"/>
  <c r="Z245" i="10" s="1"/>
  <c r="P500" i="10"/>
  <c r="W500" i="10" s="1"/>
  <c r="P538" i="10"/>
  <c r="P347" i="10"/>
  <c r="P378" i="10"/>
  <c r="P743" i="10"/>
  <c r="V743" i="10" s="1"/>
  <c r="P513" i="10"/>
  <c r="X513" i="10" s="1"/>
  <c r="Y513" i="10" s="1"/>
  <c r="P211" i="10"/>
  <c r="Z212" i="10" s="1"/>
  <c r="P206" i="10"/>
  <c r="V206" i="10" s="1"/>
  <c r="P419" i="10"/>
  <c r="P286" i="10"/>
  <c r="V286" i="10" s="1"/>
  <c r="P177" i="10"/>
  <c r="W177" i="10" s="1"/>
  <c r="P672" i="10"/>
  <c r="W672" i="10" s="1"/>
  <c r="P673" i="10"/>
  <c r="W673" i="10" s="1"/>
  <c r="P379" i="10"/>
  <c r="V379" i="10" s="1"/>
  <c r="P159" i="10"/>
  <c r="Z385" i="10" s="1"/>
  <c r="P386" i="10"/>
  <c r="W386" i="10" s="1"/>
  <c r="P73" i="10"/>
  <c r="V73" i="10" s="1"/>
  <c r="P649" i="10"/>
  <c r="W649" i="10" s="1"/>
  <c r="P469" i="10"/>
  <c r="W469" i="10" s="1"/>
  <c r="P271" i="10"/>
  <c r="P90" i="10"/>
  <c r="W90" i="10" s="1"/>
  <c r="P91" i="10"/>
  <c r="AA91" i="10" s="1"/>
  <c r="AE91" i="10" s="1"/>
  <c r="P87" i="10"/>
  <c r="Z88" i="10" s="1"/>
  <c r="P108" i="10"/>
  <c r="W108" i="10" s="1"/>
  <c r="P442" i="10"/>
  <c r="P436" i="10"/>
  <c r="V436" i="10" s="1"/>
  <c r="P106" i="10"/>
  <c r="P602" i="10"/>
  <c r="Q618" i="10"/>
  <c r="Q209" i="10"/>
  <c r="Q338" i="10"/>
  <c r="Q225" i="10"/>
  <c r="Q216" i="10"/>
  <c r="Q380" i="10"/>
  <c r="Q381" i="10"/>
  <c r="S381" i="10" s="1"/>
  <c r="Q258" i="10"/>
  <c r="Q726" i="10"/>
  <c r="Q105" i="10"/>
  <c r="Q260" i="10"/>
  <c r="Q634" i="10"/>
  <c r="Q389" i="10"/>
  <c r="Q114" i="10"/>
  <c r="S114" i="10" s="1"/>
  <c r="Q612" i="10"/>
  <c r="S612" i="10" s="1"/>
  <c r="Q507" i="10"/>
  <c r="S507" i="10" s="1"/>
  <c r="Q741" i="10"/>
  <c r="S741" i="10" s="1"/>
  <c r="Q508" i="10"/>
  <c r="Q509" i="10"/>
  <c r="Q510" i="10"/>
  <c r="Q172" i="10"/>
  <c r="Q398" i="10"/>
  <c r="Q32" i="10"/>
  <c r="Q590" i="10"/>
  <c r="S590" i="10" s="1"/>
  <c r="Q339" i="10"/>
  <c r="Q760" i="10"/>
  <c r="Q688" i="10"/>
  <c r="Q331" i="10"/>
  <c r="S332" i="10" s="1"/>
  <c r="Q327" i="10"/>
  <c r="Q254" i="10"/>
  <c r="Q255" i="10"/>
  <c r="S255" i="10" s="1"/>
  <c r="Q127" i="10"/>
  <c r="Q307" i="10"/>
  <c r="S307" i="10" s="1"/>
  <c r="Q624" i="10"/>
  <c r="Q251" i="10"/>
  <c r="Q296" i="10"/>
  <c r="Q297" i="10"/>
  <c r="AB392" i="10" s="1"/>
  <c r="Q459" i="10"/>
  <c r="Q694" i="10"/>
  <c r="Q682" i="10"/>
  <c r="Q173" i="10"/>
  <c r="S175" i="10" s="1"/>
  <c r="Q174" i="10"/>
  <c r="Q81" i="10"/>
  <c r="Q263" i="10"/>
  <c r="Q150" i="10"/>
  <c r="Q162" i="10"/>
  <c r="Q613" i="10"/>
  <c r="Q3" i="10"/>
  <c r="Q698" i="10"/>
  <c r="S698" i="10" s="1"/>
  <c r="Q765" i="10"/>
  <c r="AB629" i="10" s="1"/>
  <c r="Q299" i="10"/>
  <c r="Q33" i="10"/>
  <c r="S33" i="10" s="1"/>
  <c r="Q58" i="10"/>
  <c r="Q453" i="10"/>
  <c r="AB453" i="10" s="1"/>
  <c r="AC453" i="10" s="1"/>
  <c r="Q247" i="10"/>
  <c r="Q455" i="10"/>
  <c r="Q316" i="10"/>
  <c r="AB318" i="10" s="1"/>
  <c r="Q452" i="10"/>
  <c r="S452" i="10" s="1"/>
  <c r="Q456" i="10"/>
  <c r="S456" i="10" s="1"/>
  <c r="Q450" i="10"/>
  <c r="Q495" i="10"/>
  <c r="Q570" i="10"/>
  <c r="S570" i="10" s="1"/>
  <c r="Q460" i="10"/>
  <c r="Q715" i="10"/>
  <c r="Q695" i="10"/>
  <c r="Q697" i="10"/>
  <c r="Q472" i="10"/>
  <c r="Q109" i="10"/>
  <c r="S111" i="10" s="1"/>
  <c r="Q204" i="10"/>
  <c r="Q375" i="10"/>
  <c r="Q406" i="10"/>
  <c r="Q690" i="10"/>
  <c r="Q485" i="10"/>
  <c r="Q21" i="10"/>
  <c r="Q497" i="10"/>
  <c r="Q569" i="10"/>
  <c r="Q373" i="10"/>
  <c r="Q374" i="10"/>
  <c r="AB790" i="10" s="1"/>
  <c r="Q22" i="10"/>
  <c r="Q477" i="10"/>
  <c r="Q463" i="10"/>
  <c r="Q445" i="10"/>
  <c r="Q591" i="10"/>
  <c r="Q638" i="10"/>
  <c r="Q440" i="10"/>
  <c r="S440" i="10" s="1"/>
  <c r="Q588" i="10"/>
  <c r="Q193" i="10"/>
  <c r="Q592" i="10"/>
  <c r="Q597" i="10"/>
  <c r="Q691" i="10"/>
  <c r="Q545" i="10"/>
  <c r="S545" i="10" s="1"/>
  <c r="Q678" i="10"/>
  <c r="S737" i="10" s="1"/>
  <c r="Q685" i="10"/>
  <c r="AB787" i="10" s="1"/>
  <c r="Q546" i="10"/>
  <c r="Q547" i="10"/>
  <c r="Q548" i="10"/>
  <c r="Q300" i="10"/>
  <c r="Q289" i="10"/>
  <c r="Q298" i="10"/>
  <c r="Q205" i="10"/>
  <c r="Q377" i="10"/>
  <c r="Q208" i="10"/>
  <c r="Q180" i="10"/>
  <c r="Q305" i="10"/>
  <c r="S306" i="10" s="1"/>
  <c r="Q79" i="10"/>
  <c r="Q742" i="10"/>
  <c r="Q103" i="10"/>
  <c r="Q578" i="10"/>
  <c r="Q467" i="10"/>
  <c r="Q693" i="10"/>
  <c r="Q701" i="10"/>
  <c r="Q679" i="10"/>
  <c r="Q65" i="10"/>
  <c r="Q66" i="10"/>
  <c r="Q67" i="10"/>
  <c r="Q68" i="10"/>
  <c r="Q518" i="10"/>
  <c r="S529" i="10" s="1"/>
  <c r="Q519" i="10"/>
  <c r="Q520" i="10"/>
  <c r="Q521" i="10"/>
  <c r="Q580" i="10"/>
  <c r="AB744" i="10" s="1"/>
  <c r="Q5" i="10"/>
  <c r="Q235" i="10"/>
  <c r="Q512" i="10"/>
  <c r="Q284" i="10"/>
  <c r="Q192" i="10"/>
  <c r="Q393" i="10"/>
  <c r="AB394" i="10" s="1"/>
  <c r="Q671" i="10"/>
  <c r="Q23" i="10"/>
  <c r="Q535" i="10"/>
  <c r="Q269" i="10"/>
  <c r="Q706" i="10"/>
  <c r="Q549" i="10"/>
  <c r="Q187" i="10"/>
  <c r="Q707" i="10"/>
  <c r="Q267" i="10"/>
  <c r="S267" i="10" s="1"/>
  <c r="Q270" i="10"/>
  <c r="Q732" i="10"/>
  <c r="Q733" i="10"/>
  <c r="Q761" i="10"/>
  <c r="Q762" i="10"/>
  <c r="Q763" i="10"/>
  <c r="Q581" i="10"/>
  <c r="S581" i="10" s="1"/>
  <c r="Q301" i="10"/>
  <c r="Q582" i="10"/>
  <c r="Q104" i="10"/>
  <c r="Q367" i="10"/>
  <c r="S367" i="10" s="1"/>
  <c r="Q358" i="10"/>
  <c r="AB359" i="10" s="1"/>
  <c r="AC359" i="10" s="1"/>
  <c r="Q353" i="10"/>
  <c r="S353" i="10" s="1"/>
  <c r="Q154" i="10"/>
  <c r="Q166" i="10"/>
  <c r="Q71" i="10"/>
  <c r="Q167" i="10"/>
  <c r="Q168" i="10"/>
  <c r="Q169" i="10"/>
  <c r="Q604" i="10"/>
  <c r="Q143" i="10"/>
  <c r="Q141" i="10"/>
  <c r="Q134" i="10"/>
  <c r="S134" i="10" s="1"/>
  <c r="Q63" i="10"/>
  <c r="S63" i="10" s="1"/>
  <c r="Q252" i="10"/>
  <c r="Q72" i="10"/>
  <c r="Q550" i="10"/>
  <c r="Q551" i="10"/>
  <c r="Q552" i="10"/>
  <c r="Q553" i="10"/>
  <c r="Q554" i="10"/>
  <c r="Q555" i="10"/>
  <c r="Q343" i="10"/>
  <c r="S343" i="10" s="1"/>
  <c r="Q44" i="10"/>
  <c r="S44" i="10" s="1"/>
  <c r="Q498" i="10"/>
  <c r="Q285" i="10"/>
  <c r="Q46" i="10"/>
  <c r="Q163" i="10"/>
  <c r="Q151" i="10"/>
  <c r="Q354" i="10"/>
  <c r="AB564" i="10" s="1"/>
  <c r="AC564" i="10" s="1"/>
  <c r="Q190" i="10"/>
  <c r="Q191" i="10"/>
  <c r="Q772" i="10"/>
  <c r="S772" i="10" s="1"/>
  <c r="Q35" i="10"/>
  <c r="Q236" i="10"/>
  <c r="Q36" i="10"/>
  <c r="Q416" i="10"/>
  <c r="Q605" i="10"/>
  <c r="Q34" i="10"/>
  <c r="Q474" i="10"/>
  <c r="Q388" i="10"/>
  <c r="Q26" i="10"/>
  <c r="S197" i="10" s="1"/>
  <c r="Q25" i="10"/>
  <c r="S25" i="10" s="1"/>
  <c r="Q625" i="10"/>
  <c r="Q556" i="10"/>
  <c r="S556" i="10" s="1"/>
  <c r="Q188" i="10"/>
  <c r="Q626" i="10"/>
  <c r="Q606" i="10"/>
  <c r="Q607" i="10"/>
  <c r="Q603" i="10"/>
  <c r="Q37" i="10"/>
  <c r="Q314" i="10"/>
  <c r="S314" i="10" s="1"/>
  <c r="Q560" i="10"/>
  <c r="Q210" i="10"/>
  <c r="Q144" i="10"/>
  <c r="Q142" i="10"/>
  <c r="Q155" i="10"/>
  <c r="Q219" i="10"/>
  <c r="Q499" i="10"/>
  <c r="Q61" i="10"/>
  <c r="AB589" i="10" s="1"/>
  <c r="AC589" i="10" s="1"/>
  <c r="Q350" i="10"/>
  <c r="S350" i="10" s="1"/>
  <c r="Q355" i="10"/>
  <c r="Q571" i="10"/>
  <c r="Q616" i="10"/>
  <c r="Q561" i="10"/>
  <c r="Q243" i="10"/>
  <c r="S244" i="10" s="1"/>
  <c r="Q500" i="10"/>
  <c r="Q538" i="10"/>
  <c r="AB539" i="10" s="1"/>
  <c r="Q347" i="10"/>
  <c r="S347" i="10" s="1"/>
  <c r="Q378" i="10"/>
  <c r="Q743" i="10"/>
  <c r="Q513" i="10"/>
  <c r="S513" i="10" s="1"/>
  <c r="Q211" i="10"/>
  <c r="AB212" i="10" s="1"/>
  <c r="AC212" i="10" s="1"/>
  <c r="Q206" i="10"/>
  <c r="Q419" i="10"/>
  <c r="Q286" i="10"/>
  <c r="Q177" i="10"/>
  <c r="Q672" i="10"/>
  <c r="Q673" i="10"/>
  <c r="Q379" i="10"/>
  <c r="Q159" i="10"/>
  <c r="S159" i="10" s="1"/>
  <c r="Q386" i="10"/>
  <c r="Q73" i="10"/>
  <c r="Q649" i="10"/>
  <c r="Q469" i="10"/>
  <c r="S522" i="10" s="1"/>
  <c r="Q271" i="10"/>
  <c r="S308" i="10" s="1"/>
  <c r="Q90" i="10"/>
  <c r="Q91" i="10"/>
  <c r="Q87" i="10"/>
  <c r="Q108" i="10"/>
  <c r="Q442" i="10"/>
  <c r="S442" i="10" s="1"/>
  <c r="Q436" i="10"/>
  <c r="Q106" i="10"/>
  <c r="Q602" i="10"/>
  <c r="R618" i="10"/>
  <c r="R209" i="10"/>
  <c r="T209" i="10" s="1"/>
  <c r="R338" i="10"/>
  <c r="R225" i="10"/>
  <c r="T225" i="10" s="1"/>
  <c r="R216" i="10"/>
  <c r="T216" i="10" s="1"/>
  <c r="R380" i="10"/>
  <c r="T380" i="10" s="1"/>
  <c r="R381" i="10"/>
  <c r="T381" i="10" s="1"/>
  <c r="R258" i="10"/>
  <c r="T258" i="10" s="1"/>
  <c r="R726" i="10"/>
  <c r="T726" i="10" s="1"/>
  <c r="R105" i="10"/>
  <c r="R260" i="10"/>
  <c r="T260" i="10" s="1"/>
  <c r="R634" i="10"/>
  <c r="T634" i="10" s="1"/>
  <c r="R389" i="10"/>
  <c r="R114" i="10"/>
  <c r="T114" i="10" s="1"/>
  <c r="R612" i="10"/>
  <c r="R507" i="10"/>
  <c r="R741" i="10"/>
  <c r="R508" i="10"/>
  <c r="T508" i="10" s="1"/>
  <c r="R509" i="10"/>
  <c r="R510" i="10"/>
  <c r="T510" i="10" s="1"/>
  <c r="R172" i="10"/>
  <c r="R398" i="10"/>
  <c r="T398" i="10" s="1"/>
  <c r="R32" i="10"/>
  <c r="T32" i="10" s="1"/>
  <c r="R590" i="10"/>
  <c r="R339" i="10"/>
  <c r="T339" i="10" s="1"/>
  <c r="R760" i="10"/>
  <c r="R688" i="10"/>
  <c r="T688" i="10" s="1"/>
  <c r="R331" i="10"/>
  <c r="R327" i="10"/>
  <c r="T327" i="10" s="1"/>
  <c r="R254" i="10"/>
  <c r="T254" i="10" s="1"/>
  <c r="R255" i="10"/>
  <c r="T255" i="10" s="1"/>
  <c r="R127" i="10"/>
  <c r="T127" i="10" s="1"/>
  <c r="R307" i="10"/>
  <c r="T307" i="10" s="1"/>
  <c r="R624" i="10"/>
  <c r="T624" i="10" s="1"/>
  <c r="R251" i="10"/>
  <c r="T251" i="10" s="1"/>
  <c r="R296" i="10"/>
  <c r="R297" i="10"/>
  <c r="R459" i="10"/>
  <c r="R694" i="10"/>
  <c r="R682" i="10"/>
  <c r="R173" i="10"/>
  <c r="R174" i="10"/>
  <c r="T174" i="10" s="1"/>
  <c r="R81" i="10"/>
  <c r="T81" i="10" s="1"/>
  <c r="R263" i="10"/>
  <c r="R150" i="10"/>
  <c r="R162" i="10"/>
  <c r="R613" i="10"/>
  <c r="T613" i="10" s="1"/>
  <c r="R3" i="10"/>
  <c r="T3" i="10" s="1"/>
  <c r="R698" i="10"/>
  <c r="T698" i="10" s="1"/>
  <c r="R765" i="10"/>
  <c r="T765" i="10" s="1"/>
  <c r="R299" i="10"/>
  <c r="R33" i="10"/>
  <c r="T33" i="10" s="1"/>
  <c r="R58" i="10"/>
  <c r="T58" i="10" s="1"/>
  <c r="R453" i="10"/>
  <c r="T453" i="10" s="1"/>
  <c r="R247" i="10"/>
  <c r="T247" i="10" s="1"/>
  <c r="R455" i="10"/>
  <c r="T455" i="10" s="1"/>
  <c r="R316" i="10"/>
  <c r="T316" i="10" s="1"/>
  <c r="R452" i="10"/>
  <c r="R456" i="10"/>
  <c r="T456" i="10" s="1"/>
  <c r="R450" i="10"/>
  <c r="T450" i="10" s="1"/>
  <c r="R495" i="10"/>
  <c r="T495" i="10" s="1"/>
  <c r="R570" i="10"/>
  <c r="R460" i="10"/>
  <c r="T460" i="10" s="1"/>
  <c r="R715" i="10"/>
  <c r="T715" i="10" s="1"/>
  <c r="R695" i="10"/>
  <c r="T695" i="10" s="1"/>
  <c r="R697" i="10"/>
  <c r="T697" i="10" s="1"/>
  <c r="R472" i="10"/>
  <c r="T472" i="10" s="1"/>
  <c r="R109" i="10"/>
  <c r="R204" i="10"/>
  <c r="R375" i="10"/>
  <c r="T375" i="10" s="1"/>
  <c r="R406" i="10"/>
  <c r="T406" i="10" s="1"/>
  <c r="R690" i="10"/>
  <c r="R485" i="10"/>
  <c r="T485" i="10" s="1"/>
  <c r="R21" i="10"/>
  <c r="R497" i="10"/>
  <c r="R569" i="10"/>
  <c r="T569" i="10" s="1"/>
  <c r="R373" i="10"/>
  <c r="T373" i="10" s="1"/>
  <c r="R374" i="10"/>
  <c r="T374" i="10" s="1"/>
  <c r="R22" i="10"/>
  <c r="T22" i="10" s="1"/>
  <c r="R477" i="10"/>
  <c r="R463" i="10"/>
  <c r="R445" i="10"/>
  <c r="R591" i="10"/>
  <c r="R638" i="10"/>
  <c r="T638" i="10" s="1"/>
  <c r="R440" i="10"/>
  <c r="T440" i="10" s="1"/>
  <c r="R588" i="10"/>
  <c r="R193" i="10"/>
  <c r="T193" i="10" s="1"/>
  <c r="R592" i="10"/>
  <c r="R597" i="10"/>
  <c r="R691" i="10"/>
  <c r="T691" i="10" s="1"/>
  <c r="R545" i="10"/>
  <c r="R678" i="10"/>
  <c r="R685" i="10"/>
  <c r="R546" i="10"/>
  <c r="R547" i="10"/>
  <c r="T547" i="10" s="1"/>
  <c r="R548" i="10"/>
  <c r="T548" i="10" s="1"/>
  <c r="R300" i="10"/>
  <c r="T300" i="10" s="1"/>
  <c r="R289" i="10"/>
  <c r="T289" i="10" s="1"/>
  <c r="R298" i="10"/>
  <c r="T298" i="10" s="1"/>
  <c r="R205" i="10"/>
  <c r="T205" i="10" s="1"/>
  <c r="R377" i="10"/>
  <c r="R208" i="10"/>
  <c r="T208" i="10" s="1"/>
  <c r="R180" i="10"/>
  <c r="R305" i="10"/>
  <c r="T305" i="10" s="1"/>
  <c r="R79" i="10"/>
  <c r="T79" i="10" s="1"/>
  <c r="R742" i="10"/>
  <c r="T742" i="10" s="1"/>
  <c r="R103" i="10"/>
  <c r="R578" i="10"/>
  <c r="R467" i="10"/>
  <c r="R693" i="10"/>
  <c r="T693" i="10" s="1"/>
  <c r="R701" i="10"/>
  <c r="T701" i="10" s="1"/>
  <c r="R679" i="10"/>
  <c r="R65" i="10"/>
  <c r="R66" i="10"/>
  <c r="T66" i="10" s="1"/>
  <c r="R67" i="10"/>
  <c r="T67" i="10" s="1"/>
  <c r="R68" i="10"/>
  <c r="T68" i="10" s="1"/>
  <c r="R518" i="10"/>
  <c r="R519" i="10"/>
  <c r="R520" i="10"/>
  <c r="T520" i="10" s="1"/>
  <c r="R521" i="10"/>
  <c r="T521" i="10" s="1"/>
  <c r="R580" i="10"/>
  <c r="R5" i="10"/>
  <c r="T5" i="10" s="1"/>
  <c r="R235" i="10"/>
  <c r="R512" i="10"/>
  <c r="T512" i="10" s="1"/>
  <c r="R284" i="10"/>
  <c r="T284" i="10" s="1"/>
  <c r="R192" i="10"/>
  <c r="T192" i="10" s="1"/>
  <c r="R393" i="10"/>
  <c r="R671" i="10"/>
  <c r="T671" i="10" s="1"/>
  <c r="R23" i="10"/>
  <c r="T23" i="10" s="1"/>
  <c r="R535" i="10"/>
  <c r="T535" i="10" s="1"/>
  <c r="R269" i="10"/>
  <c r="T269" i="10" s="1"/>
  <c r="R706" i="10"/>
  <c r="R549" i="10"/>
  <c r="T549" i="10" s="1"/>
  <c r="R187" i="10"/>
  <c r="T187" i="10" s="1"/>
  <c r="R707" i="10"/>
  <c r="T707" i="10" s="1"/>
  <c r="R267" i="10"/>
  <c r="T267" i="10" s="1"/>
  <c r="R270" i="10"/>
  <c r="R732" i="10"/>
  <c r="R733" i="10"/>
  <c r="T733" i="10" s="1"/>
  <c r="R761" i="10"/>
  <c r="T761" i="10" s="1"/>
  <c r="R762" i="10"/>
  <c r="R763" i="10"/>
  <c r="T763" i="10" s="1"/>
  <c r="R581" i="10"/>
  <c r="R301" i="10"/>
  <c r="T301" i="10" s="1"/>
  <c r="R582" i="10"/>
  <c r="R104" i="10"/>
  <c r="R367" i="10"/>
  <c r="R358" i="10"/>
  <c r="R353" i="10"/>
  <c r="R154" i="10"/>
  <c r="R166" i="10"/>
  <c r="R71" i="10"/>
  <c r="R167" i="10"/>
  <c r="T167" i="10" s="1"/>
  <c r="R168" i="10"/>
  <c r="T168" i="10" s="1"/>
  <c r="R169" i="10"/>
  <c r="R604" i="10"/>
  <c r="R143" i="10"/>
  <c r="R141" i="10"/>
  <c r="R134" i="10"/>
  <c r="R63" i="10"/>
  <c r="R252" i="10"/>
  <c r="T252" i="10" s="1"/>
  <c r="R72" i="10"/>
  <c r="T72" i="10" s="1"/>
  <c r="R550" i="10"/>
  <c r="R551" i="10"/>
  <c r="T551" i="10" s="1"/>
  <c r="R552" i="10"/>
  <c r="T552" i="10" s="1"/>
  <c r="R553" i="10"/>
  <c r="T553" i="10" s="1"/>
  <c r="R554" i="10"/>
  <c r="T554" i="10" s="1"/>
  <c r="R555" i="10"/>
  <c r="T555" i="10" s="1"/>
  <c r="R343" i="10"/>
  <c r="T343" i="10" s="1"/>
  <c r="R44" i="10"/>
  <c r="T44" i="10" s="1"/>
  <c r="R498" i="10"/>
  <c r="T498" i="10" s="1"/>
  <c r="R285" i="10"/>
  <c r="R46" i="10"/>
  <c r="T46" i="10" s="1"/>
  <c r="R163" i="10"/>
  <c r="T163" i="10" s="1"/>
  <c r="R151" i="10"/>
  <c r="T151" i="10" s="1"/>
  <c r="R354" i="10"/>
  <c r="T354" i="10" s="1"/>
  <c r="R190" i="10"/>
  <c r="R191" i="10"/>
  <c r="T191" i="10" s="1"/>
  <c r="R772" i="10"/>
  <c r="T772" i="10" s="1"/>
  <c r="R35" i="10"/>
  <c r="R236" i="10"/>
  <c r="T236" i="10" s="1"/>
  <c r="R36" i="10"/>
  <c r="T36" i="10" s="1"/>
  <c r="R416" i="10"/>
  <c r="R605" i="10"/>
  <c r="T605" i="10" s="1"/>
  <c r="R34" i="10"/>
  <c r="T34" i="10" s="1"/>
  <c r="R474" i="10"/>
  <c r="T474" i="10" s="1"/>
  <c r="R388" i="10"/>
  <c r="T388" i="10" s="1"/>
  <c r="R26" i="10"/>
  <c r="R25" i="10"/>
  <c r="T25" i="10" s="1"/>
  <c r="R625" i="10"/>
  <c r="R556" i="10"/>
  <c r="T556" i="10" s="1"/>
  <c r="R188" i="10"/>
  <c r="R626" i="10"/>
  <c r="T626" i="10" s="1"/>
  <c r="R606" i="10"/>
  <c r="T606" i="10" s="1"/>
  <c r="R607" i="10"/>
  <c r="T607" i="10" s="1"/>
  <c r="R603" i="10"/>
  <c r="R37" i="10"/>
  <c r="T37" i="10" s="1"/>
  <c r="R314" i="10"/>
  <c r="R560" i="10"/>
  <c r="R210" i="10"/>
  <c r="R144" i="10"/>
  <c r="T144" i="10" s="1"/>
  <c r="R142" i="10"/>
  <c r="T142" i="10" s="1"/>
  <c r="R155" i="10"/>
  <c r="R219" i="10"/>
  <c r="T219" i="10" s="1"/>
  <c r="R499" i="10"/>
  <c r="R61" i="10"/>
  <c r="T61" i="10" s="1"/>
  <c r="R350" i="10"/>
  <c r="T350" i="10" s="1"/>
  <c r="R355" i="10"/>
  <c r="T355" i="10" s="1"/>
  <c r="R571" i="10"/>
  <c r="T571" i="10" s="1"/>
  <c r="R616" i="10"/>
  <c r="T616" i="10" s="1"/>
  <c r="R561" i="10"/>
  <c r="T561" i="10" s="1"/>
  <c r="R243" i="10"/>
  <c r="R500" i="10"/>
  <c r="T500" i="10" s="1"/>
  <c r="R538" i="10"/>
  <c r="R347" i="10"/>
  <c r="R378" i="10"/>
  <c r="T378" i="10" s="1"/>
  <c r="R743" i="10"/>
  <c r="T743" i="10" s="1"/>
  <c r="R513" i="10"/>
  <c r="T513" i="10" s="1"/>
  <c r="R211" i="10"/>
  <c r="R206" i="10"/>
  <c r="T206" i="10" s="1"/>
  <c r="R419" i="10"/>
  <c r="T419" i="10" s="1"/>
  <c r="R286" i="10"/>
  <c r="T286" i="10" s="1"/>
  <c r="R177" i="10"/>
  <c r="T177" i="10" s="1"/>
  <c r="R672" i="10"/>
  <c r="R673" i="10"/>
  <c r="T673" i="10" s="1"/>
  <c r="R379" i="10"/>
  <c r="T379" i="10" s="1"/>
  <c r="R159" i="10"/>
  <c r="R386" i="10"/>
  <c r="R73" i="10"/>
  <c r="T73" i="10" s="1"/>
  <c r="R649" i="10"/>
  <c r="T649" i="10" s="1"/>
  <c r="R469" i="10"/>
  <c r="R271" i="10"/>
  <c r="R90" i="10"/>
  <c r="T90" i="10" s="1"/>
  <c r="R91" i="10"/>
  <c r="T91" i="10" s="1"/>
  <c r="R87" i="10"/>
  <c r="T87" i="10" s="1"/>
  <c r="R108" i="10"/>
  <c r="T108" i="10" s="1"/>
  <c r="R442" i="10"/>
  <c r="T442" i="10" s="1"/>
  <c r="R436" i="10"/>
  <c r="T436" i="10" s="1"/>
  <c r="R106" i="10"/>
  <c r="T106" i="10" s="1"/>
  <c r="R602" i="10"/>
  <c r="AA381" i="10"/>
  <c r="AE381" i="10" s="1"/>
  <c r="AA114" i="10"/>
  <c r="AE114" i="10" s="1"/>
  <c r="AA453" i="10"/>
  <c r="AE453" i="10" s="1"/>
  <c r="AA455" i="10"/>
  <c r="AE455" i="10" s="1"/>
  <c r="AA373" i="10"/>
  <c r="AE373" i="10" s="1"/>
  <c r="AA5" i="10"/>
  <c r="AE5" i="10" s="1"/>
  <c r="AA284" i="10"/>
  <c r="AE284" i="10" s="1"/>
  <c r="AA269" i="10"/>
  <c r="AA252" i="10"/>
  <c r="AE252" i="10" s="1"/>
  <c r="AA343" i="10"/>
  <c r="AE343" i="10" s="1"/>
  <c r="AA44" i="10"/>
  <c r="AE44" i="10" s="1"/>
  <c r="AA61" i="10"/>
  <c r="AE61" i="10" s="1"/>
  <c r="AA87" i="10"/>
  <c r="AE87" i="10" s="1"/>
  <c r="P3" i="15"/>
  <c r="Q3" i="15"/>
  <c r="R3" i="15"/>
  <c r="Q750" i="10"/>
  <c r="Q751" i="10"/>
  <c r="Q98" i="10"/>
  <c r="Q99" i="10"/>
  <c r="Q100" i="10"/>
  <c r="Q640" i="10"/>
  <c r="AB639" i="10" s="1"/>
  <c r="Q432" i="10"/>
  <c r="Q323" i="10"/>
  <c r="Q473" i="10"/>
  <c r="Q10" i="10"/>
  <c r="Q195" i="10"/>
  <c r="Q80" i="10"/>
  <c r="Q287" i="10"/>
  <c r="Q426" i="10"/>
  <c r="Q89" i="10"/>
  <c r="Q328" i="10"/>
  <c r="Q329" i="10"/>
  <c r="Q215" i="10"/>
  <c r="Q221" i="10"/>
  <c r="Q265" i="10"/>
  <c r="Q38" i="10"/>
  <c r="Q661" i="10"/>
  <c r="Q356" i="10"/>
  <c r="AB480" i="10" s="1"/>
  <c r="AD480" i="10" s="1"/>
  <c r="Q365" i="10"/>
  <c r="Q364" i="10"/>
  <c r="Q363" i="10"/>
  <c r="Q369" i="10"/>
  <c r="Q352" i="10"/>
  <c r="Q608" i="10"/>
  <c r="AB170" i="10" s="1"/>
  <c r="Q609" i="10"/>
  <c r="Q610" i="10"/>
  <c r="Q611" i="10"/>
  <c r="Q92" i="10"/>
  <c r="Q666" i="10"/>
  <c r="Q636" i="10"/>
  <c r="Q586" i="10"/>
  <c r="Q12" i="10"/>
  <c r="Q54" i="10"/>
  <c r="Q449" i="10"/>
  <c r="Q756" i="10"/>
  <c r="Q757" i="10"/>
  <c r="Q107" i="10"/>
  <c r="Q18" i="10"/>
  <c r="Q213" i="10"/>
  <c r="Q657" i="10"/>
  <c r="Q689" i="10"/>
  <c r="Q758" i="10"/>
  <c r="Q699" i="10"/>
  <c r="Q704" i="10"/>
  <c r="Q24" i="10"/>
  <c r="Q382" i="10"/>
  <c r="Q131" i="10"/>
  <c r="Q280" i="10"/>
  <c r="Q656" i="10"/>
  <c r="Q183" i="10"/>
  <c r="S184" i="10" s="1"/>
  <c r="Q82" i="10"/>
  <c r="Q632" i="10"/>
  <c r="Q482" i="10"/>
  <c r="Q542" i="10"/>
  <c r="Q543" i="10"/>
  <c r="Q544" i="10"/>
  <c r="Q623" i="10"/>
  <c r="Q281" i="10"/>
  <c r="Q4" i="10"/>
  <c r="Q39" i="10"/>
  <c r="Q447" i="10"/>
  <c r="Q41" i="10"/>
  <c r="Q45" i="10"/>
  <c r="Q437" i="10"/>
  <c r="Q568" i="10"/>
  <c r="Q203" i="10"/>
  <c r="Q229" i="10"/>
  <c r="Q501" i="10"/>
  <c r="Q502" i="10"/>
  <c r="Q422" i="10"/>
  <c r="Q428" i="10"/>
  <c r="Q662" i="10"/>
  <c r="Q420" i="10"/>
  <c r="Q55" i="10"/>
  <c r="Q138" i="10"/>
  <c r="Q493" i="10"/>
  <c r="Q421" i="10"/>
  <c r="Q224" i="10"/>
  <c r="Q125" i="10"/>
  <c r="Q122" i="10"/>
  <c r="Q667" i="10"/>
  <c r="Q441" i="10"/>
  <c r="Q130" i="10"/>
  <c r="Q139" i="10"/>
  <c r="Q435" i="10"/>
  <c r="Q132" i="10"/>
  <c r="Q50" i="10"/>
  <c r="Q277" i="10"/>
  <c r="Q51" i="10"/>
  <c r="Q686" i="10"/>
  <c r="Q230" i="10"/>
  <c r="Q153" i="10"/>
  <c r="Q696" i="10"/>
  <c r="Q713" i="10"/>
  <c r="Q633" i="10"/>
  <c r="Q40" i="10"/>
  <c r="Q714" i="10"/>
  <c r="Q668" i="10"/>
  <c r="Q438" i="10"/>
  <c r="Q655" i="10"/>
  <c r="Q483" i="10"/>
  <c r="Q201" i="10"/>
  <c r="Q708" i="10"/>
  <c r="Q266" i="10"/>
  <c r="Q439" i="10"/>
  <c r="Q683" i="10"/>
  <c r="Q593" i="10"/>
  <c r="AB594" i="10" s="1"/>
  <c r="Q157" i="10"/>
  <c r="Q146" i="10"/>
  <c r="Q259" i="10"/>
  <c r="Q484" i="10"/>
  <c r="Q579" i="10"/>
  <c r="Q261" i="10"/>
  <c r="Q431" i="10"/>
  <c r="Q165" i="10"/>
  <c r="Q759" i="10"/>
  <c r="Q391" i="10"/>
  <c r="Q52" i="10"/>
  <c r="Q702" i="10"/>
  <c r="Q537" i="10"/>
  <c r="Q200" i="10"/>
  <c r="Q692" i="10"/>
  <c r="Q93" i="10"/>
  <c r="Q272" i="10"/>
  <c r="Q273" i="10"/>
  <c r="Q728" i="10"/>
  <c r="Q729" i="10"/>
  <c r="Q345" i="10"/>
  <c r="Q344" i="10"/>
  <c r="Q687" i="10"/>
  <c r="Q399" i="10"/>
  <c r="Q415" i="10"/>
  <c r="Q234" i="10"/>
  <c r="Q222" i="10"/>
  <c r="Q223" i="10"/>
  <c r="Q220" i="10"/>
  <c r="Q227" i="10"/>
  <c r="Q194" i="10"/>
  <c r="Q313" i="10"/>
  <c r="Q238" i="10"/>
  <c r="Q470" i="10"/>
  <c r="Q471" i="10"/>
  <c r="S481" i="10" s="1"/>
  <c r="Q370" i="10"/>
  <c r="Q371" i="10"/>
  <c r="Q700" i="10"/>
  <c r="Q282" i="10"/>
  <c r="Q179" i="10"/>
  <c r="Q275" i="10"/>
  <c r="Q276" i="10"/>
  <c r="Q395" i="10"/>
  <c r="S400" i="10" s="1"/>
  <c r="Q681" i="10"/>
  <c r="Q304" i="10"/>
  <c r="Q250" i="10"/>
  <c r="Q330" i="10"/>
  <c r="Q494" i="10"/>
  <c r="Q598" i="10"/>
  <c r="Q663" i="10"/>
  <c r="Q664" i="10"/>
  <c r="Q11" i="10"/>
  <c r="Q468" i="10"/>
  <c r="Q619" i="10"/>
  <c r="Q620" i="10"/>
  <c r="Q621" i="10"/>
  <c r="Q622" i="10"/>
  <c r="Q396" i="10"/>
  <c r="AB531" i="10" s="1"/>
  <c r="Q256" i="10"/>
  <c r="Q264" i="10"/>
  <c r="Q268" i="10"/>
  <c r="Q730" i="10"/>
  <c r="Q158" i="10"/>
  <c r="S387" i="10" s="1"/>
  <c r="Q429" i="10"/>
  <c r="Q412" i="10"/>
  <c r="Q684" i="10"/>
  <c r="Q288" i="10"/>
  <c r="Q752" i="10"/>
  <c r="Q257" i="10"/>
  <c r="Q29" i="10"/>
  <c r="Q196" i="10"/>
  <c r="Q30" i="10"/>
  <c r="Q6" i="10"/>
  <c r="Q274" i="10"/>
  <c r="Q770" i="10"/>
  <c r="Q771" i="10"/>
  <c r="Q42" i="10"/>
  <c r="Q133" i="10"/>
  <c r="Q769" i="10"/>
  <c r="Q768" i="10"/>
  <c r="Q454" i="10"/>
  <c r="Q43" i="10"/>
  <c r="Q433" i="10"/>
  <c r="Q738" i="10"/>
  <c r="Q418" i="10"/>
  <c r="Q599" i="10"/>
  <c r="Q600" i="10"/>
  <c r="Q727" i="10"/>
  <c r="Q753" i="10"/>
  <c r="Q754" i="10"/>
  <c r="Q755" i="10"/>
  <c r="Q725" i="10"/>
  <c r="Q262" i="10"/>
  <c r="Q731" i="10"/>
  <c r="Q198" i="10"/>
  <c r="Q129" i="10"/>
  <c r="Q128" i="10"/>
  <c r="Q13" i="10"/>
  <c r="Q372" i="10"/>
  <c r="Q207" i="10"/>
  <c r="Q123" i="10"/>
  <c r="Q397" i="10"/>
  <c r="Q94" i="10"/>
  <c r="Q202" i="10"/>
  <c r="Q703" i="10"/>
  <c r="Q674" i="10"/>
  <c r="Q705" i="10"/>
  <c r="Q84" i="10"/>
  <c r="Q31" i="10"/>
  <c r="Q407" i="10"/>
  <c r="Q85" i="10"/>
  <c r="Q646" i="10"/>
  <c r="AB648" i="10" s="1"/>
  <c r="AC648" i="10" s="1"/>
  <c r="Q601" i="10"/>
  <c r="Q427" i="10"/>
  <c r="Q95" i="10"/>
  <c r="Q279" i="10"/>
  <c r="Q739" i="10"/>
  <c r="Q718" i="10"/>
  <c r="Q334" i="10"/>
  <c r="Q516" i="10"/>
  <c r="Q96" i="10"/>
  <c r="Q86" i="10"/>
  <c r="Q511" i="10"/>
  <c r="S658" i="10" s="1"/>
  <c r="Q716" i="10"/>
  <c r="Q430" i="10"/>
  <c r="Q278" i="10"/>
  <c r="Q405" i="10"/>
  <c r="Q642" i="10"/>
  <c r="Q102" i="10"/>
  <c r="Q584" i="10"/>
  <c r="Q283" i="10"/>
  <c r="Q302" i="10"/>
  <c r="Q53" i="10"/>
  <c r="Q303" i="10"/>
  <c r="Q462" i="10"/>
  <c r="AB464" i="10" s="1"/>
  <c r="Q465" i="10"/>
  <c r="Q27" i="10"/>
  <c r="Q124" i="10"/>
  <c r="Q17" i="10"/>
  <c r="Q335" i="10"/>
  <c r="Q137" i="10"/>
  <c r="Q101" i="10"/>
  <c r="Q652" i="10"/>
  <c r="Q651" i="10"/>
  <c r="Q147" i="10"/>
  <c r="Q176" i="10"/>
  <c r="Q77" i="10"/>
  <c r="Q233" i="10"/>
  <c r="Q641" i="10"/>
  <c r="Q342" i="10"/>
  <c r="Q617" i="10"/>
  <c r="AB534" i="10" l="1"/>
  <c r="AC534" i="10" s="1"/>
  <c r="Z745" i="10"/>
  <c r="Z541" i="10"/>
  <c r="T678" i="10"/>
  <c r="AB197" i="10"/>
  <c r="AC197" i="10" s="1"/>
  <c r="AB710" i="10"/>
  <c r="AC710" i="10" s="1"/>
  <c r="Z629" i="10"/>
  <c r="X332" i="10"/>
  <c r="Y332" i="10" s="1"/>
  <c r="AB333" i="10"/>
  <c r="AB47" i="10"/>
  <c r="AC47" i="10" s="1"/>
  <c r="AB496" i="10"/>
  <c r="AC496" i="10" s="1"/>
  <c r="AB332" i="10"/>
  <c r="AC332" i="10" s="1"/>
  <c r="V507" i="10"/>
  <c r="Z332" i="10"/>
  <c r="AB567" i="10"/>
  <c r="AC567" i="10" s="1"/>
  <c r="Z764" i="10"/>
  <c r="Z496" i="10"/>
  <c r="Z70" i="10"/>
  <c r="S527" i="10"/>
  <c r="Z529" i="10"/>
  <c r="AD774" i="10"/>
  <c r="X736" i="10"/>
  <c r="Y736" i="10" s="1"/>
  <c r="AA26" i="10"/>
  <c r="AE26" i="10" s="1"/>
  <c r="AB734" i="10"/>
  <c r="Z736" i="10"/>
  <c r="AB481" i="10"/>
  <c r="AC481" i="10" s="1"/>
  <c r="Z315" i="10"/>
  <c r="AC777" i="10"/>
  <c r="AB489" i="10"/>
  <c r="X529" i="10"/>
  <c r="Y529" i="10" s="1"/>
  <c r="AA385" i="10"/>
  <c r="AE385" i="10" s="1"/>
  <c r="Z710" i="10"/>
  <c r="X745" i="10"/>
  <c r="Y745" i="10" s="1"/>
  <c r="AB764" i="10"/>
  <c r="AC764" i="10" s="1"/>
  <c r="V63" i="10"/>
  <c r="AB28" i="10"/>
  <c r="AC28" i="10" s="1"/>
  <c r="AB476" i="10"/>
  <c r="AC476" i="10" s="1"/>
  <c r="AA389" i="10"/>
  <c r="AE389" i="10" s="1"/>
  <c r="AB745" i="10"/>
  <c r="AC745" i="10" s="1"/>
  <c r="Z360" i="10"/>
  <c r="X764" i="10"/>
  <c r="Y764" i="10" s="1"/>
  <c r="O28" i="17"/>
  <c r="O29" i="17"/>
  <c r="E10" i="19" a="1"/>
  <c r="E10" i="19" s="1"/>
  <c r="W29" i="17" s="1"/>
  <c r="F10" i="19" a="1"/>
  <c r="F10" i="19" s="1"/>
  <c r="X29" i="17" s="1"/>
  <c r="E7" i="19" a="1"/>
  <c r="E7" i="19" s="1"/>
  <c r="W26" i="17" s="1"/>
  <c r="F9" i="19" a="1"/>
  <c r="F9" i="19" s="1"/>
  <c r="X28" i="17" s="1"/>
  <c r="E9" i="19" a="1"/>
  <c r="E9" i="19" s="1"/>
  <c r="F8" i="19" a="1"/>
  <c r="F8" i="19" s="1"/>
  <c r="X27" i="17" s="1"/>
  <c r="E8" i="19" a="1"/>
  <c r="E8" i="19" s="1"/>
  <c r="W27" i="17" s="1"/>
  <c r="F7" i="19" a="1"/>
  <c r="F7" i="19" s="1"/>
  <c r="X26" i="17" s="1"/>
  <c r="E6" i="19" a="1"/>
  <c r="E6" i="19" s="1"/>
  <c r="W25" i="17" s="1"/>
  <c r="F6" i="19" a="1"/>
  <c r="F6" i="19" s="1"/>
  <c r="X25" i="17" s="1"/>
  <c r="N28" i="17"/>
  <c r="N29" i="17"/>
  <c r="AC776" i="10"/>
  <c r="S541" i="10"/>
  <c r="S385" i="10"/>
  <c r="S446" i="10"/>
  <c r="S744" i="10"/>
  <c r="AC778" i="10"/>
  <c r="AD478" i="10"/>
  <c r="AB530" i="10"/>
  <c r="AD530" i="10" s="1"/>
  <c r="X489" i="10"/>
  <c r="Y489" i="10" s="1"/>
  <c r="T159" i="10"/>
  <c r="T499" i="10"/>
  <c r="AA590" i="10"/>
  <c r="AE590" i="10" s="1"/>
  <c r="T169" i="10"/>
  <c r="T618" i="10"/>
  <c r="S615" i="10"/>
  <c r="Z749" i="10"/>
  <c r="AB164" i="10"/>
  <c r="AC164" i="10" s="1"/>
  <c r="X47" i="10"/>
  <c r="Y47" i="10" s="1"/>
  <c r="X530" i="10"/>
  <c r="Y530" i="10" s="1"/>
  <c r="AB654" i="10"/>
  <c r="AC654" i="10" s="1"/>
  <c r="AB479" i="10"/>
  <c r="AC479" i="10" s="1"/>
  <c r="AB83" i="10"/>
  <c r="AC83" i="10" s="1"/>
  <c r="AB337" i="10"/>
  <c r="AD337" i="10" s="1"/>
  <c r="AB117" i="10"/>
  <c r="AC117" i="10" s="1"/>
  <c r="Z414" i="10"/>
  <c r="T338" i="10"/>
  <c r="AB414" i="10"/>
  <c r="AD414" i="10" s="1"/>
  <c r="X665" i="10"/>
  <c r="Y665" i="10" s="1"/>
  <c r="AB737" i="10"/>
  <c r="AA338" i="10"/>
  <c r="AE338" i="10" s="1"/>
  <c r="T592" i="10"/>
  <c r="AB665" i="10"/>
  <c r="AC665" i="10" s="1"/>
  <c r="S567" i="10"/>
  <c r="AB749" i="10"/>
  <c r="X414" i="10"/>
  <c r="Y414" i="10" s="1"/>
  <c r="AB527" i="10"/>
  <c r="AC527" i="10" s="1"/>
  <c r="AB57" i="10"/>
  <c r="AC57" i="10" s="1"/>
  <c r="AD680" i="10"/>
  <c r="S464" i="10"/>
  <c r="S735" i="10"/>
  <c r="S226" i="10"/>
  <c r="AB736" i="10"/>
  <c r="AD736" i="10" s="1"/>
  <c r="S726" i="10"/>
  <c r="S28" i="10"/>
  <c r="X476" i="10"/>
  <c r="Y476" i="10" s="1"/>
  <c r="AB529" i="10"/>
  <c r="AC529" i="10" s="1"/>
  <c r="AD773" i="10"/>
  <c r="T604" i="10"/>
  <c r="T679" i="10"/>
  <c r="T590" i="10"/>
  <c r="S693" i="10"/>
  <c r="AB126" i="10"/>
  <c r="AC126" i="10" s="1"/>
  <c r="AB635" i="10"/>
  <c r="AC635" i="10" s="1"/>
  <c r="Z189" i="10"/>
  <c r="AD785" i="10"/>
  <c r="AC785" i="10"/>
  <c r="V354" i="10"/>
  <c r="S550" i="10"/>
  <c r="T762" i="10"/>
  <c r="AB69" i="10"/>
  <c r="AC69" i="10" s="1"/>
  <c r="X385" i="10"/>
  <c r="Y385" i="10" s="1"/>
  <c r="AD744" i="10"/>
  <c r="AC744" i="10"/>
  <c r="AC464" i="10"/>
  <c r="S602" i="10"/>
  <c r="AB788" i="10"/>
  <c r="X567" i="10"/>
  <c r="Y567" i="10" s="1"/>
  <c r="Z665" i="10"/>
  <c r="X670" i="10"/>
  <c r="Y670" i="10" s="1"/>
  <c r="X635" i="10"/>
  <c r="Y635" i="10" s="1"/>
  <c r="AB524" i="10"/>
  <c r="AC524" i="10" s="1"/>
  <c r="X589" i="10"/>
  <c r="Y589" i="10" s="1"/>
  <c r="V374" i="10"/>
  <c r="S788" i="10"/>
  <c r="S534" i="10"/>
  <c r="T211" i="10"/>
  <c r="T467" i="10"/>
  <c r="T172" i="10"/>
  <c r="S46" i="10"/>
  <c r="X349" i="10"/>
  <c r="Y349" i="10" s="1"/>
  <c r="AA461" i="10"/>
  <c r="AE461" i="10" s="1"/>
  <c r="Z635" i="10"/>
  <c r="V5" i="10"/>
  <c r="S83" i="10"/>
  <c r="V44" i="10"/>
  <c r="T603" i="10"/>
  <c r="Z392" i="10"/>
  <c r="AB411" i="10"/>
  <c r="AC411" i="10" s="1"/>
  <c r="V301" i="10"/>
  <c r="V555" i="10"/>
  <c r="AD789" i="10"/>
  <c r="AC789" i="10"/>
  <c r="Z564" i="10"/>
  <c r="AB385" i="10"/>
  <c r="AC385" i="10" s="1"/>
  <c r="AB400" i="10"/>
  <c r="AC400" i="10" s="1"/>
  <c r="Z744" i="10"/>
  <c r="V578" i="10"/>
  <c r="V498" i="10"/>
  <c r="W271" i="10"/>
  <c r="AA308" i="10"/>
  <c r="AE308" i="10" s="1"/>
  <c r="V71" i="10"/>
  <c r="V204" i="10"/>
  <c r="X461" i="10"/>
  <c r="Y461" i="10" s="1"/>
  <c r="AA467" i="10"/>
  <c r="AE467" i="10" s="1"/>
  <c r="T477" i="10"/>
  <c r="S553" i="10"/>
  <c r="V545" i="10"/>
  <c r="T602" i="10"/>
  <c r="T509" i="10"/>
  <c r="AA297" i="10"/>
  <c r="AE297" i="10" s="1"/>
  <c r="Z57" i="10"/>
  <c r="AB181" i="10"/>
  <c r="AC181" i="10" s="1"/>
  <c r="V26" i="10"/>
  <c r="AA83" i="10"/>
  <c r="AE83" i="10" s="1"/>
  <c r="T104" i="10"/>
  <c r="T452" i="10"/>
  <c r="AD790" i="10"/>
  <c r="AC790" i="10"/>
  <c r="X744" i="10"/>
  <c r="Y744" i="10" s="1"/>
  <c r="AB443" i="10"/>
  <c r="AC443" i="10" s="1"/>
  <c r="Z567" i="10"/>
  <c r="T582" i="10"/>
  <c r="T389" i="10"/>
  <c r="S247" i="10"/>
  <c r="S665" i="10"/>
  <c r="X164" i="10"/>
  <c r="Y164" i="10" s="1"/>
  <c r="Z670" i="10"/>
  <c r="AA654" i="10"/>
  <c r="AE654" i="10" s="1"/>
  <c r="AB189" i="10"/>
  <c r="AC189" i="10" s="1"/>
  <c r="X388" i="10"/>
  <c r="Y388" i="10" s="1"/>
  <c r="X734" i="10"/>
  <c r="Y734" i="10" s="1"/>
  <c r="X479" i="10"/>
  <c r="Y479" i="10" s="1"/>
  <c r="V745" i="10"/>
  <c r="AB658" i="10"/>
  <c r="V377" i="10"/>
  <c r="AA522" i="10"/>
  <c r="AE522" i="10" s="1"/>
  <c r="AA197" i="10"/>
  <c r="AE197" i="10" s="1"/>
  <c r="V143" i="10"/>
  <c r="AB226" i="10"/>
  <c r="AC226" i="10" s="1"/>
  <c r="AB784" i="10"/>
  <c r="S784" i="10"/>
  <c r="T103" i="10"/>
  <c r="AB670" i="10"/>
  <c r="AD670" i="10" s="1"/>
  <c r="T271" i="10"/>
  <c r="T26" i="10"/>
  <c r="S105" i="10"/>
  <c r="X116" i="10"/>
  <c r="Y116" i="10" s="1"/>
  <c r="X443" i="10"/>
  <c r="Y443" i="10" s="1"/>
  <c r="Z461" i="10"/>
  <c r="AB403" i="10"/>
  <c r="AC403" i="10" s="1"/>
  <c r="T469" i="10"/>
  <c r="T580" i="10"/>
  <c r="Z159" i="10"/>
  <c r="AA160" i="10"/>
  <c r="AE160" i="10" s="1"/>
  <c r="W518" i="10"/>
  <c r="AA764" i="10"/>
  <c r="AE764" i="10" s="1"/>
  <c r="Z476" i="10"/>
  <c r="Z443" i="10"/>
  <c r="X496" i="10"/>
  <c r="Y496" i="10" s="1"/>
  <c r="Z530" i="10"/>
  <c r="V612" i="10"/>
  <c r="V177" i="10"/>
  <c r="AA603" i="10"/>
  <c r="AE603" i="10" s="1"/>
  <c r="Z47" i="10"/>
  <c r="AA749" i="10"/>
  <c r="AE749" i="10" s="1"/>
  <c r="S212" i="10"/>
  <c r="V554" i="10"/>
  <c r="AD780" i="10"/>
  <c r="AC780" i="10"/>
  <c r="V378" i="10"/>
  <c r="X70" i="10"/>
  <c r="Y70" i="10" s="1"/>
  <c r="AA411" i="10"/>
  <c r="AE411" i="10" s="1"/>
  <c r="AA567" i="10"/>
  <c r="AE567" i="10" s="1"/>
  <c r="X212" i="10"/>
  <c r="Y212" i="10" s="1"/>
  <c r="V298" i="10"/>
  <c r="W602" i="10"/>
  <c r="AA788" i="10"/>
  <c r="AE788" i="10" s="1"/>
  <c r="Z788" i="10"/>
  <c r="X788" i="10"/>
  <c r="Y788" i="10" s="1"/>
  <c r="X57" i="10"/>
  <c r="Y57" i="10" s="1"/>
  <c r="AA588" i="10"/>
  <c r="AE588" i="10" s="1"/>
  <c r="AA333" i="10"/>
  <c r="AE333" i="10" s="1"/>
  <c r="AA332" i="10"/>
  <c r="AE332" i="10" s="1"/>
  <c r="S654" i="10"/>
  <c r="Z734" i="10"/>
  <c r="S219" i="10"/>
  <c r="AB490" i="10"/>
  <c r="AC490" i="10" s="1"/>
  <c r="S434" i="10"/>
  <c r="X749" i="10"/>
  <c r="Y749" i="10" s="1"/>
  <c r="Z411" i="10"/>
  <c r="X392" i="10"/>
  <c r="Y392" i="10" s="1"/>
  <c r="Z333" i="10"/>
  <c r="V109" i="10"/>
  <c r="V192" i="10"/>
  <c r="AD529" i="10"/>
  <c r="V510" i="10"/>
  <c r="S68" i="10"/>
  <c r="W678" i="10"/>
  <c r="AA737" i="10"/>
  <c r="AE737" i="10" s="1"/>
  <c r="Z737" i="10"/>
  <c r="AB461" i="10"/>
  <c r="S736" i="10"/>
  <c r="T588" i="10"/>
  <c r="AD240" i="10"/>
  <c r="S445" i="10"/>
  <c r="T393" i="10"/>
  <c r="V79" i="10"/>
  <c r="T297" i="10"/>
  <c r="Z135" i="10"/>
  <c r="W685" i="10"/>
  <c r="AA787" i="10"/>
  <c r="AE787" i="10" s="1"/>
  <c r="Z787" i="10"/>
  <c r="X787" i="10"/>
  <c r="Y787" i="10" s="1"/>
  <c r="Z772" i="10"/>
  <c r="T732" i="10"/>
  <c r="T546" i="10"/>
  <c r="T331" i="10"/>
  <c r="V604" i="10"/>
  <c r="AA734" i="10"/>
  <c r="AE734" i="10" s="1"/>
  <c r="V679" i="10"/>
  <c r="AA779" i="10"/>
  <c r="AE779" i="10" s="1"/>
  <c r="S126" i="10"/>
  <c r="S69" i="10"/>
  <c r="S414" i="10"/>
  <c r="S524" i="10"/>
  <c r="T519" i="10"/>
  <c r="AC787" i="10"/>
  <c r="S688" i="10"/>
  <c r="S490" i="10"/>
  <c r="X69" i="10"/>
  <c r="Y69" i="10" s="1"/>
  <c r="T155" i="10"/>
  <c r="T270" i="10"/>
  <c r="T685" i="10"/>
  <c r="S339" i="10"/>
  <c r="AB70" i="10"/>
  <c r="AC70" i="10" s="1"/>
  <c r="Z489" i="10"/>
  <c r="Z654" i="10"/>
  <c r="V388" i="10"/>
  <c r="AB49" i="10"/>
  <c r="S787" i="10"/>
  <c r="V355" i="10"/>
  <c r="V513" i="10"/>
  <c r="S411" i="10"/>
  <c r="X411" i="10"/>
  <c r="Y411" i="10" s="1"/>
  <c r="S594" i="10"/>
  <c r="S480" i="10"/>
  <c r="V353" i="10"/>
  <c r="V269" i="10"/>
  <c r="X654" i="10"/>
  <c r="Y654" i="10" s="1"/>
  <c r="AA212" i="10"/>
  <c r="AE212" i="10" s="1"/>
  <c r="V406" i="10"/>
  <c r="X790" i="10"/>
  <c r="Y790" i="10" s="1"/>
  <c r="AC309" i="10"/>
  <c r="V393" i="10"/>
  <c r="V305" i="10"/>
  <c r="AD720" i="10"/>
  <c r="T314" i="10"/>
  <c r="T706" i="10"/>
  <c r="T263" i="10"/>
  <c r="T570" i="10"/>
  <c r="T682" i="10"/>
  <c r="V307" i="10"/>
  <c r="V549" i="10"/>
  <c r="T166" i="10"/>
  <c r="V209" i="10"/>
  <c r="T694" i="10"/>
  <c r="T173" i="10"/>
  <c r="T285" i="10"/>
  <c r="T154" i="10"/>
  <c r="T347" i="10"/>
  <c r="T353" i="10"/>
  <c r="T591" i="10"/>
  <c r="T741" i="10"/>
  <c r="T538" i="10"/>
  <c r="T188" i="10"/>
  <c r="T358" i="10"/>
  <c r="T445" i="10"/>
  <c r="T459" i="10"/>
  <c r="T507" i="10"/>
  <c r="V46" i="10"/>
  <c r="V108" i="10"/>
  <c r="T134" i="10"/>
  <c r="V455" i="10"/>
  <c r="T672" i="10"/>
  <c r="T35" i="10"/>
  <c r="T141" i="10"/>
  <c r="T760" i="10"/>
  <c r="T143" i="10"/>
  <c r="T65" i="10"/>
  <c r="T545" i="10"/>
  <c r="T204" i="10"/>
  <c r="V159" i="10"/>
  <c r="V270" i="10"/>
  <c r="V474" i="10"/>
  <c r="AD376" i="10"/>
  <c r="AD491" i="10"/>
  <c r="T71" i="10"/>
  <c r="T578" i="10"/>
  <c r="T367" i="10"/>
  <c r="T180" i="10"/>
  <c r="T463" i="10"/>
  <c r="T612" i="10"/>
  <c r="AD628" i="10"/>
  <c r="V216" i="10"/>
  <c r="V23" i="10"/>
  <c r="V389" i="10"/>
  <c r="T581" i="10"/>
  <c r="W485" i="10"/>
  <c r="V485" i="10"/>
  <c r="V316" i="10"/>
  <c r="V381" i="10"/>
  <c r="T243" i="10"/>
  <c r="T105" i="10"/>
  <c r="W331" i="10"/>
  <c r="V331" i="10"/>
  <c r="T550" i="10"/>
  <c r="T497" i="10"/>
  <c r="V247" i="10"/>
  <c r="T386" i="10"/>
  <c r="T21" i="10"/>
  <c r="V634" i="10"/>
  <c r="T416" i="10"/>
  <c r="T518" i="10"/>
  <c r="T299" i="10"/>
  <c r="V535" i="10"/>
  <c r="V450" i="10"/>
  <c r="T625" i="10"/>
  <c r="T235" i="10"/>
  <c r="AA219" i="10"/>
  <c r="AE219" i="10" s="1"/>
  <c r="V219" i="10"/>
  <c r="V25" i="10"/>
  <c r="T63" i="10"/>
  <c r="T690" i="10"/>
  <c r="V605" i="10"/>
  <c r="V380" i="10"/>
  <c r="V698" i="10"/>
  <c r="V225" i="10"/>
  <c r="V58" i="10"/>
  <c r="V375" i="10"/>
  <c r="V258" i="10"/>
  <c r="V114" i="10"/>
  <c r="V34" i="10"/>
  <c r="T377" i="10"/>
  <c r="V678" i="10"/>
  <c r="V350" i="10"/>
  <c r="T210" i="10"/>
  <c r="W467" i="10"/>
  <c r="V467" i="10"/>
  <c r="W172" i="10"/>
  <c r="V172" i="10"/>
  <c r="T109" i="10"/>
  <c r="T162" i="10"/>
  <c r="V267" i="10"/>
  <c r="T560" i="10"/>
  <c r="T190" i="10"/>
  <c r="T597" i="10"/>
  <c r="T150" i="10"/>
  <c r="T296" i="10"/>
  <c r="W442" i="10"/>
  <c r="V442" i="10"/>
  <c r="V453" i="10"/>
  <c r="V456" i="10"/>
  <c r="V318" i="10"/>
  <c r="V61" i="10"/>
  <c r="V556" i="10"/>
  <c r="V251" i="10"/>
  <c r="AC720" i="10"/>
  <c r="AD451" i="10"/>
  <c r="AD723" i="10"/>
  <c r="AD595" i="10"/>
  <c r="AB244" i="10"/>
  <c r="AC244" i="10" s="1"/>
  <c r="AA673" i="10"/>
  <c r="AE673" i="10" s="1"/>
  <c r="Z539" i="10"/>
  <c r="AB562" i="10"/>
  <c r="AC562" i="10" s="1"/>
  <c r="AC74" i="10"/>
  <c r="AA300" i="10"/>
  <c r="AE300" i="10" s="1"/>
  <c r="AD149" i="10"/>
  <c r="AD589" i="10"/>
  <c r="X88" i="10"/>
  <c r="Y88" i="10" s="1"/>
  <c r="S160" i="10"/>
  <c r="AB136" i="10"/>
  <c r="AC136" i="10" s="1"/>
  <c r="AA206" i="10"/>
  <c r="AE206" i="10" s="1"/>
  <c r="AD596" i="10"/>
  <c r="Z340" i="10"/>
  <c r="AA741" i="10"/>
  <c r="AE741" i="10" s="1"/>
  <c r="Z351" i="10"/>
  <c r="S156" i="10"/>
  <c r="AA519" i="10"/>
  <c r="AE519" i="10" s="1"/>
  <c r="AA763" i="10"/>
  <c r="AE763" i="10" s="1"/>
  <c r="AC557" i="10"/>
  <c r="AB88" i="10"/>
  <c r="AD88" i="10" s="1"/>
  <c r="AA65" i="10"/>
  <c r="AE65" i="10" s="1"/>
  <c r="S237" i="10"/>
  <c r="AA144" i="10"/>
  <c r="AE144" i="10" s="1"/>
  <c r="AB317" i="10"/>
  <c r="AC317" i="10" s="1"/>
  <c r="X340" i="10"/>
  <c r="Y340" i="10" s="1"/>
  <c r="X614" i="10"/>
  <c r="Y614" i="10" s="1"/>
  <c r="AA546" i="10"/>
  <c r="AE546" i="10" s="1"/>
  <c r="AA386" i="10"/>
  <c r="AE386" i="10" s="1"/>
  <c r="AD639" i="10"/>
  <c r="AD47" i="10"/>
  <c r="AA205" i="10"/>
  <c r="AE205" i="10" s="1"/>
  <c r="AD413" i="10"/>
  <c r="X341" i="10"/>
  <c r="Y341" i="10" s="1"/>
  <c r="AA497" i="10"/>
  <c r="AE497" i="10" s="1"/>
  <c r="AA68" i="10"/>
  <c r="AE68" i="10" s="1"/>
  <c r="AB766" i="10"/>
  <c r="AC766" i="10" s="1"/>
  <c r="AD506" i="10"/>
  <c r="X161" i="10"/>
  <c r="Y161" i="10" s="1"/>
  <c r="S181" i="10"/>
  <c r="AD294" i="10"/>
  <c r="S64" i="10"/>
  <c r="AB767" i="10"/>
  <c r="AC767" i="10" s="1"/>
  <c r="AD504" i="10"/>
  <c r="AB246" i="10"/>
  <c r="AC246" i="10" s="1"/>
  <c r="S189" i="10"/>
  <c r="AD722" i="10"/>
  <c r="AD572" i="10"/>
  <c r="AB368" i="10"/>
  <c r="AD368" i="10" s="1"/>
  <c r="S66" i="10"/>
  <c r="S177" i="10"/>
  <c r="Z615" i="10"/>
  <c r="AA554" i="10"/>
  <c r="AE554" i="10" s="1"/>
  <c r="Z614" i="10"/>
  <c r="S152" i="10"/>
  <c r="AB735" i="10"/>
  <c r="AC735" i="10" s="1"/>
  <c r="X540" i="10"/>
  <c r="Y540" i="10" s="1"/>
  <c r="AB341" i="10"/>
  <c r="AC341" i="10" s="1"/>
  <c r="Z341" i="10"/>
  <c r="AB64" i="10"/>
  <c r="AC64" i="10" s="1"/>
  <c r="S145" i="10"/>
  <c r="X446" i="10"/>
  <c r="Y446" i="10" s="1"/>
  <c r="S136" i="10"/>
  <c r="AA168" i="10"/>
  <c r="AE168" i="10" s="1"/>
  <c r="AA174" i="10"/>
  <c r="AE174" i="10" s="1"/>
  <c r="S359" i="10"/>
  <c r="Z318" i="10"/>
  <c r="AA499" i="10"/>
  <c r="AE499" i="10" s="1"/>
  <c r="S647" i="10"/>
  <c r="AD239" i="10"/>
  <c r="S766" i="10"/>
  <c r="S614" i="10"/>
  <c r="S351" i="10"/>
  <c r="AD16" i="10"/>
  <c r="AB135" i="10"/>
  <c r="AC135" i="10" s="1"/>
  <c r="X135" i="10"/>
  <c r="Y135" i="10" s="1"/>
  <c r="AC506" i="10"/>
  <c r="S135" i="10"/>
  <c r="AB647" i="10"/>
  <c r="AC647" i="10" s="1"/>
  <c r="X64" i="10"/>
  <c r="Y64" i="10" s="1"/>
  <c r="AA106" i="10"/>
  <c r="AE106" i="10" s="1"/>
  <c r="S368" i="10"/>
  <c r="AA521" i="10"/>
  <c r="AE521" i="10" s="1"/>
  <c r="Z181" i="10"/>
  <c r="AD118" i="10"/>
  <c r="AD629" i="10"/>
  <c r="AC240" i="10"/>
  <c r="S245" i="10"/>
  <c r="AD402" i="10"/>
  <c r="AC539" i="10"/>
  <c r="AC394" i="10"/>
  <c r="AD394" i="10"/>
  <c r="S110" i="10"/>
  <c r="AB152" i="10"/>
  <c r="AC319" i="10"/>
  <c r="AD319" i="10"/>
  <c r="AD721" i="10"/>
  <c r="AC721" i="10"/>
  <c r="Z112" i="10"/>
  <c r="AD385" i="10"/>
  <c r="AB111" i="10"/>
  <c r="AB184" i="10"/>
  <c r="S742" i="10"/>
  <c r="S508" i="10"/>
  <c r="W538" i="10"/>
  <c r="AA539" i="10"/>
  <c r="AE539" i="10" s="1"/>
  <c r="AA541" i="10"/>
  <c r="AE541" i="10" s="1"/>
  <c r="AA540" i="10"/>
  <c r="AE540" i="10" s="1"/>
  <c r="W188" i="10"/>
  <c r="AA189" i="10"/>
  <c r="AE189" i="10" s="1"/>
  <c r="W358" i="10"/>
  <c r="AA360" i="10"/>
  <c r="AE360" i="10" s="1"/>
  <c r="AA359" i="10"/>
  <c r="AE359" i="10" s="1"/>
  <c r="W445" i="10"/>
  <c r="AA446" i="10"/>
  <c r="AE446" i="10" s="1"/>
  <c r="AD747" i="10"/>
  <c r="AB185" i="10"/>
  <c r="X348" i="10"/>
  <c r="Y348" i="10" s="1"/>
  <c r="AB112" i="10"/>
  <c r="AB237" i="10"/>
  <c r="S211" i="10"/>
  <c r="X112" i="10"/>
  <c r="Y112" i="10" s="1"/>
  <c r="X297" i="10"/>
  <c r="Y297" i="10" s="1"/>
  <c r="AA615" i="10"/>
  <c r="AE615" i="10" s="1"/>
  <c r="AA614" i="10"/>
  <c r="AE614" i="10" s="1"/>
  <c r="X181" i="10"/>
  <c r="Y181" i="10" s="1"/>
  <c r="S540" i="10"/>
  <c r="AC333" i="10"/>
  <c r="S167" i="10"/>
  <c r="X315" i="10"/>
  <c r="Y315" i="10" s="1"/>
  <c r="AB340" i="10"/>
  <c r="AD746" i="10"/>
  <c r="X308" i="10"/>
  <c r="Y308" i="10" s="1"/>
  <c r="X541" i="10"/>
  <c r="Y541" i="10" s="1"/>
  <c r="AD404" i="10"/>
  <c r="AB336" i="10"/>
  <c r="AC336" i="10" s="1"/>
  <c r="Z110" i="10"/>
  <c r="AB306" i="10"/>
  <c r="Z508" i="10"/>
  <c r="AA244" i="10"/>
  <c r="AE244" i="10" s="1"/>
  <c r="AA245" i="10"/>
  <c r="AE245" i="10" s="1"/>
  <c r="AA246" i="10"/>
  <c r="AE246" i="10" s="1"/>
  <c r="Z561" i="10"/>
  <c r="AD8" i="10"/>
  <c r="AC8" i="10"/>
  <c r="Z306" i="10"/>
  <c r="AD410" i="10"/>
  <c r="AB351" i="10"/>
  <c r="AC351" i="10" s="1"/>
  <c r="Z359" i="10"/>
  <c r="Z161" i="10"/>
  <c r="AB349" i="10"/>
  <c r="Z308" i="10"/>
  <c r="Z348" i="10"/>
  <c r="X318" i="10"/>
  <c r="Y318" i="10" s="1"/>
  <c r="X189" i="10"/>
  <c r="Y189" i="10" s="1"/>
  <c r="X359" i="10"/>
  <c r="Y359" i="10" s="1"/>
  <c r="S349" i="10"/>
  <c r="S348" i="10"/>
  <c r="AD748" i="10"/>
  <c r="AB245" i="10"/>
  <c r="AB360" i="10"/>
  <c r="AD492" i="10"/>
  <c r="AC492" i="10"/>
  <c r="S315" i="10"/>
  <c r="AA602" i="10"/>
  <c r="AE602" i="10" s="1"/>
  <c r="AD559" i="10"/>
  <c r="AC559" i="10"/>
  <c r="AB110" i="10"/>
  <c r="X562" i="10"/>
  <c r="Y562" i="10" s="1"/>
  <c r="AC325" i="10"/>
  <c r="AD325" i="10"/>
  <c r="W235" i="10"/>
  <c r="AA237" i="10"/>
  <c r="AE237" i="10" s="1"/>
  <c r="AA191" i="10"/>
  <c r="AE191" i="10" s="1"/>
  <c r="AA112" i="10"/>
  <c r="AE112" i="10" s="1"/>
  <c r="AA111" i="10"/>
  <c r="AE111" i="10" s="1"/>
  <c r="AA110" i="10"/>
  <c r="AE110" i="10" s="1"/>
  <c r="AB65" i="10"/>
  <c r="AC65" i="10" s="1"/>
  <c r="S286" i="10"/>
  <c r="S191" i="10"/>
  <c r="AB615" i="10"/>
  <c r="S592" i="10"/>
  <c r="Z562" i="10"/>
  <c r="AA560" i="10"/>
  <c r="AE560" i="10" s="1"/>
  <c r="S104" i="10"/>
  <c r="S337" i="10"/>
  <c r="AA190" i="10"/>
  <c r="AE190" i="10" s="1"/>
  <c r="S561" i="10"/>
  <c r="Z152" i="10"/>
  <c r="AA354" i="10"/>
  <c r="AE354" i="10" s="1"/>
  <c r="S205" i="10"/>
  <c r="X152" i="10"/>
  <c r="Y152" i="10" s="1"/>
  <c r="S360" i="10"/>
  <c r="AD564" i="10"/>
  <c r="X110" i="10"/>
  <c r="Y110" i="10" s="1"/>
  <c r="AB388" i="10"/>
  <c r="AC388" i="10" s="1"/>
  <c r="S552" i="10"/>
  <c r="AA163" i="10"/>
  <c r="AE163" i="10" s="1"/>
  <c r="S72" i="10"/>
  <c r="S519" i="10"/>
  <c r="X36" i="10"/>
  <c r="Y36" i="10" s="1"/>
  <c r="W63" i="10"/>
  <c r="AA64" i="10"/>
  <c r="AE64" i="10" s="1"/>
  <c r="S547" i="10"/>
  <c r="W134" i="10"/>
  <c r="AA135" i="10"/>
  <c r="AE135" i="10" s="1"/>
  <c r="AA136" i="10"/>
  <c r="AE136" i="10" s="1"/>
  <c r="X394" i="10"/>
  <c r="Y394" i="10" s="1"/>
  <c r="AD526" i="10"/>
  <c r="AB161" i="10"/>
  <c r="AA72" i="10"/>
  <c r="AE72" i="10" s="1"/>
  <c r="AA459" i="10"/>
  <c r="AE459" i="10" s="1"/>
  <c r="AB36" i="10"/>
  <c r="AC36" i="10" s="1"/>
  <c r="S546" i="10"/>
  <c r="S765" i="10"/>
  <c r="S539" i="10"/>
  <c r="AB541" i="10"/>
  <c r="AC148" i="10"/>
  <c r="AD148" i="10"/>
  <c r="AA743" i="10"/>
  <c r="AE743" i="10" s="1"/>
  <c r="AA315" i="10"/>
  <c r="AE315" i="10" s="1"/>
  <c r="Z111" i="10"/>
  <c r="S103" i="10"/>
  <c r="S460" i="10"/>
  <c r="S509" i="10"/>
  <c r="W347" i="10"/>
  <c r="AA348" i="10"/>
  <c r="AE348" i="10" s="1"/>
  <c r="AA349" i="10"/>
  <c r="AE349" i="10" s="1"/>
  <c r="AD563" i="10"/>
  <c r="S90" i="10"/>
  <c r="S22" i="10"/>
  <c r="X306" i="10"/>
  <c r="Y306" i="10" s="1"/>
  <c r="S340" i="10"/>
  <c r="AB315" i="10"/>
  <c r="AC315" i="10" s="1"/>
  <c r="Z540" i="10"/>
  <c r="AB614" i="10"/>
  <c r="Z317" i="10"/>
  <c r="X360" i="10"/>
  <c r="Y360" i="10" s="1"/>
  <c r="S469" i="10"/>
  <c r="Z762" i="10"/>
  <c r="AA151" i="10"/>
  <c r="AE151" i="10" s="1"/>
  <c r="S551" i="10"/>
  <c r="AA555" i="10"/>
  <c r="AE555" i="10" s="1"/>
  <c r="S762" i="10"/>
  <c r="S300" i="10"/>
  <c r="S761" i="10"/>
  <c r="AA63" i="10"/>
  <c r="AE63" i="10" s="1"/>
  <c r="Z394" i="10"/>
  <c r="X245" i="10"/>
  <c r="Y245" i="10" s="1"/>
  <c r="AB348" i="10"/>
  <c r="X317" i="10"/>
  <c r="Y317" i="10" s="1"/>
  <c r="Z349" i="10"/>
  <c r="AA550" i="10"/>
  <c r="AE550" i="10" s="1"/>
  <c r="S499" i="10"/>
  <c r="S155" i="10"/>
  <c r="S236" i="10"/>
  <c r="S67" i="10"/>
  <c r="AA551" i="10"/>
  <c r="AE551" i="10" s="1"/>
  <c r="AD384" i="10"/>
  <c r="S417" i="10"/>
  <c r="AD56" i="10"/>
  <c r="X539" i="10"/>
  <c r="Y539" i="10" s="1"/>
  <c r="AB540" i="10"/>
  <c r="AB308" i="10"/>
  <c r="AC308" i="10" s="1"/>
  <c r="AE401" i="10"/>
  <c r="AD401" i="10"/>
  <c r="AC594" i="10"/>
  <c r="AB505" i="10"/>
  <c r="AD505" i="10" s="1"/>
  <c r="AD20" i="10"/>
  <c r="AD573" i="10"/>
  <c r="AD476" i="10"/>
  <c r="AD488" i="10"/>
  <c r="AB145" i="10"/>
  <c r="AC145" i="10" s="1"/>
  <c r="AD295" i="10"/>
  <c r="AD631" i="10"/>
  <c r="AA698" i="10"/>
  <c r="AE698" i="10" s="1"/>
  <c r="AA535" i="10"/>
  <c r="AE535" i="10" s="1"/>
  <c r="AC734" i="10"/>
  <c r="AC639" i="10"/>
  <c r="AC531" i="10"/>
  <c r="AD503" i="10"/>
  <c r="X241" i="10"/>
  <c r="Y241" i="10" s="1"/>
  <c r="AD566" i="10"/>
  <c r="AC320" i="10"/>
  <c r="AC480" i="10"/>
  <c r="AC595" i="10"/>
  <c r="AD408" i="10"/>
  <c r="AD525" i="10"/>
  <c r="AC451" i="10"/>
  <c r="AD496" i="10"/>
  <c r="AC723" i="10"/>
  <c r="AC629" i="10"/>
  <c r="AC491" i="10"/>
  <c r="AC478" i="10"/>
  <c r="AD583" i="10"/>
  <c r="AD514" i="10"/>
  <c r="AC312" i="10"/>
  <c r="AD637" i="10"/>
  <c r="AD253" i="10"/>
  <c r="AD710" i="10"/>
  <c r="AA513" i="10"/>
  <c r="AE513" i="10" s="1"/>
  <c r="AA518" i="10"/>
  <c r="AE518" i="10" s="1"/>
  <c r="AA549" i="10"/>
  <c r="AE549" i="10" s="1"/>
  <c r="AA67" i="10"/>
  <c r="AE67" i="10" s="1"/>
  <c r="AD648" i="10"/>
  <c r="AD712" i="10"/>
  <c r="AA66" i="10"/>
  <c r="AE66" i="10" s="1"/>
  <c r="AA508" i="10"/>
  <c r="AE508" i="10" s="1"/>
  <c r="AD14" i="10"/>
  <c r="AD536" i="10"/>
  <c r="AA393" i="10"/>
  <c r="AE393" i="10" s="1"/>
  <c r="AD528" i="10"/>
  <c r="Z65" i="10"/>
  <c r="AD361" i="10"/>
  <c r="AD75" i="10"/>
  <c r="Z522" i="10"/>
  <c r="AD293" i="10"/>
  <c r="AC293" i="10"/>
  <c r="Z357" i="10"/>
  <c r="AC199" i="10"/>
  <c r="AD199" i="10"/>
  <c r="AA192" i="10"/>
  <c r="AE192" i="10" s="1"/>
  <c r="AA347" i="10"/>
  <c r="AE347" i="10" s="1"/>
  <c r="AC170" i="10"/>
  <c r="AD170" i="10"/>
  <c r="X709" i="10"/>
  <c r="Y709" i="10" s="1"/>
  <c r="AC489" i="10"/>
  <c r="AD489" i="10"/>
  <c r="AD423" i="10"/>
  <c r="AC423" i="10"/>
  <c r="AB62" i="10"/>
  <c r="AB310" i="10"/>
  <c r="S206" i="10"/>
  <c r="AB446" i="10"/>
  <c r="AB569" i="10"/>
  <c r="AC569" i="10" s="1"/>
  <c r="AB160" i="10"/>
  <c r="X569" i="10"/>
  <c r="Y569" i="10" s="1"/>
  <c r="Z160" i="10"/>
  <c r="X160" i="10"/>
  <c r="Y160" i="10" s="1"/>
  <c r="AD318" i="10"/>
  <c r="AC318" i="10"/>
  <c r="X676" i="10"/>
  <c r="Y676" i="10" s="1"/>
  <c r="AC659" i="10"/>
  <c r="AD659" i="10"/>
  <c r="AC749" i="10"/>
  <c r="AD290" i="10"/>
  <c r="AC290" i="10"/>
  <c r="AC76" i="10"/>
  <c r="AD76" i="10"/>
  <c r="AC48" i="10"/>
  <c r="AD48" i="10"/>
  <c r="AC650" i="10"/>
  <c r="AD650" i="10"/>
  <c r="AD217" i="10"/>
  <c r="AC217" i="10"/>
  <c r="AC60" i="10"/>
  <c r="AD60" i="10"/>
  <c r="AB523" i="10"/>
  <c r="S697" i="10"/>
  <c r="AB709" i="10"/>
  <c r="W168" i="10"/>
  <c r="Z145" i="10"/>
  <c r="W21" i="10"/>
  <c r="Z523" i="10"/>
  <c r="X523" i="10"/>
  <c r="Y523" i="10" s="1"/>
  <c r="AD311" i="10"/>
  <c r="AC311" i="10"/>
  <c r="X145" i="10"/>
  <c r="Y145" i="10" s="1"/>
  <c r="AD660" i="10"/>
  <c r="AC660" i="10"/>
  <c r="AD383" i="10"/>
  <c r="AC383" i="10"/>
  <c r="Z446" i="10"/>
  <c r="AA298" i="10"/>
  <c r="AE298" i="10" s="1"/>
  <c r="Z505" i="10"/>
  <c r="X505" i="10"/>
  <c r="Y505" i="10" s="1"/>
  <c r="AA548" i="10"/>
  <c r="AE548" i="10" s="1"/>
  <c r="S252" i="10"/>
  <c r="AB676" i="10"/>
  <c r="AC677" i="10"/>
  <c r="AD677" i="10"/>
  <c r="Z241" i="10"/>
  <c r="AC475" i="10"/>
  <c r="AD475" i="10"/>
  <c r="Z244" i="10"/>
  <c r="AC719" i="10"/>
  <c r="AD719" i="10"/>
  <c r="AC392" i="10"/>
  <c r="AD392" i="10"/>
  <c r="X244" i="10"/>
  <c r="Y244" i="10" s="1"/>
  <c r="AD444" i="10"/>
  <c r="AC444" i="10"/>
  <c r="AB522" i="10"/>
  <c r="AB455" i="10"/>
  <c r="AC455" i="10" s="1"/>
  <c r="W690" i="10"/>
  <c r="X522" i="10"/>
  <c r="Y522" i="10" s="1"/>
  <c r="Z676" i="10"/>
  <c r="X357" i="10"/>
  <c r="Y357" i="10" s="1"/>
  <c r="AA672" i="10"/>
  <c r="AE672" i="10" s="1"/>
  <c r="AA606" i="10"/>
  <c r="AE606" i="10" s="1"/>
  <c r="AB241" i="10"/>
  <c r="S61" i="10"/>
  <c r="AB116" i="10"/>
  <c r="S588" i="10"/>
  <c r="AB357" i="10"/>
  <c r="X61" i="10"/>
  <c r="Y61" i="10" s="1"/>
  <c r="Z116" i="10"/>
  <c r="AC15" i="10"/>
  <c r="AD15" i="10"/>
  <c r="AC515" i="10"/>
  <c r="AD515" i="10"/>
  <c r="AD19" i="10"/>
  <c r="AC19" i="10"/>
  <c r="AD644" i="10"/>
  <c r="AC644" i="10"/>
  <c r="X615" i="10"/>
  <c r="Y615" i="10" s="1"/>
  <c r="AA678" i="10"/>
  <c r="AE678" i="10" s="1"/>
  <c r="AA299" i="10"/>
  <c r="AE299" i="10" s="1"/>
  <c r="AA571" i="10"/>
  <c r="AE571" i="10" s="1"/>
  <c r="AB386" i="10"/>
  <c r="AB379" i="10"/>
  <c r="AC379" i="10" s="1"/>
  <c r="AA270" i="10"/>
  <c r="AE270" i="10" s="1"/>
  <c r="AA3" i="10"/>
  <c r="AE3" i="10" s="1"/>
  <c r="AA613" i="10"/>
  <c r="AE613" i="10" s="1"/>
  <c r="AA545" i="10"/>
  <c r="AE545" i="10" s="1"/>
  <c r="AB508" i="10"/>
  <c r="AC508" i="10" s="1"/>
  <c r="AA355" i="10"/>
  <c r="AE355" i="10" s="1"/>
  <c r="AA498" i="10"/>
  <c r="AE498" i="10" s="1"/>
  <c r="AA624" i="10"/>
  <c r="AE624" i="10" s="1"/>
  <c r="AA327" i="10"/>
  <c r="AE327" i="10" s="1"/>
  <c r="Z678" i="10"/>
  <c r="Z141" i="10"/>
  <c r="AA765" i="10"/>
  <c r="AE765" i="10" s="1"/>
  <c r="W68" i="10"/>
  <c r="X545" i="10"/>
  <c r="Y545" i="10" s="1"/>
  <c r="AB159" i="10"/>
  <c r="AC159" i="10" s="1"/>
  <c r="AB406" i="10"/>
  <c r="AC406" i="10" s="1"/>
  <c r="AB513" i="10"/>
  <c r="AC513" i="10" s="1"/>
  <c r="AA378" i="10"/>
  <c r="AE378" i="10" s="1"/>
  <c r="Z339" i="10"/>
  <c r="AB211" i="10"/>
  <c r="AC211" i="10" s="1"/>
  <c r="AA247" i="10"/>
  <c r="AE247" i="10" s="1"/>
  <c r="W765" i="10"/>
  <c r="AA289" i="10"/>
  <c r="AE289" i="10" s="1"/>
  <c r="AB588" i="10"/>
  <c r="AC588" i="10" s="1"/>
  <c r="Z211" i="10"/>
  <c r="X678" i="10"/>
  <c r="Y678" i="10" s="1"/>
  <c r="Z513" i="10"/>
  <c r="X707" i="10"/>
  <c r="Y707" i="10" s="1"/>
  <c r="Z63" i="10"/>
  <c r="Z327" i="10"/>
  <c r="Z143" i="10"/>
  <c r="AB166" i="10"/>
  <c r="AC166" i="10" s="1"/>
  <c r="AB358" i="10"/>
  <c r="AC358" i="10" s="1"/>
  <c r="AB634" i="10"/>
  <c r="AD634" i="10" s="1"/>
  <c r="S477" i="10"/>
  <c r="Z552" i="10"/>
  <c r="AB510" i="10"/>
  <c r="AC510" i="10" s="1"/>
  <c r="AB252" i="10"/>
  <c r="AD252" i="10" s="1"/>
  <c r="X375" i="10"/>
  <c r="Y375" i="10" s="1"/>
  <c r="W219" i="10"/>
  <c r="AB26" i="10"/>
  <c r="AC26" i="10" s="1"/>
  <c r="Z625" i="10"/>
  <c r="AB495" i="10"/>
  <c r="AC495" i="10" s="1"/>
  <c r="S450" i="10"/>
  <c r="AB127" i="10"/>
  <c r="AC127" i="10" s="1"/>
  <c r="Z192" i="10"/>
  <c r="X108" i="10"/>
  <c r="Y108" i="10" s="1"/>
  <c r="AB393" i="10"/>
  <c r="AC393" i="10" s="1"/>
  <c r="AB192" i="10"/>
  <c r="AC192" i="10" s="1"/>
  <c r="X604" i="10"/>
  <c r="Y604" i="10" s="1"/>
  <c r="AB591" i="10"/>
  <c r="AC591" i="10" s="1"/>
  <c r="AB71" i="10"/>
  <c r="AD71" i="10" s="1"/>
  <c r="S485" i="10"/>
  <c r="W375" i="10"/>
  <c r="Z571" i="10"/>
  <c r="AB592" i="10"/>
  <c r="AC592" i="10" s="1"/>
  <c r="S379" i="10"/>
  <c r="S327" i="10"/>
  <c r="Z247" i="10"/>
  <c r="Z477" i="10"/>
  <c r="W66" i="10"/>
  <c r="AB284" i="10"/>
  <c r="AC284" i="10" s="1"/>
  <c r="X377" i="10"/>
  <c r="Y377" i="10" s="1"/>
  <c r="W571" i="10"/>
  <c r="AB763" i="10"/>
  <c r="AC763" i="10" s="1"/>
  <c r="Z355" i="10"/>
  <c r="X613" i="10"/>
  <c r="Y613" i="10" s="1"/>
  <c r="X763" i="10"/>
  <c r="Y763" i="10" s="1"/>
  <c r="X521" i="10"/>
  <c r="Y521" i="10" s="1"/>
  <c r="S21" i="10"/>
  <c r="AB550" i="10"/>
  <c r="AA142" i="10"/>
  <c r="AE142" i="10" s="1"/>
  <c r="AA267" i="10"/>
  <c r="AE267" i="10" s="1"/>
  <c r="Z545" i="10"/>
  <c r="W142" i="10"/>
  <c r="W613" i="10"/>
  <c r="AB552" i="10"/>
  <c r="AC552" i="10" s="1"/>
  <c r="S270" i="10"/>
  <c r="X143" i="10"/>
  <c r="Y143" i="10" s="1"/>
  <c r="AB104" i="10"/>
  <c r="AC104" i="10" s="1"/>
  <c r="AA339" i="10"/>
  <c r="AE339" i="10" s="1"/>
  <c r="W339" i="10"/>
  <c r="AB445" i="10"/>
  <c r="AC445" i="10" s="1"/>
  <c r="AB521" i="10"/>
  <c r="AC521" i="10" s="1"/>
  <c r="AB216" i="10"/>
  <c r="AC216" i="10" s="1"/>
  <c r="X271" i="10"/>
  <c r="Y271" i="10" s="1"/>
  <c r="AB626" i="10"/>
  <c r="AC626" i="10" s="1"/>
  <c r="AB188" i="10"/>
  <c r="AC188" i="10" s="1"/>
  <c r="AB298" i="10"/>
  <c r="AC298" i="10" s="1"/>
  <c r="X379" i="10"/>
  <c r="Y379" i="10" s="1"/>
  <c r="AA605" i="10"/>
  <c r="AE605" i="10" s="1"/>
  <c r="AB21" i="10"/>
  <c r="AC21" i="10" s="1"/>
  <c r="AA36" i="10"/>
  <c r="AE36" i="10" s="1"/>
  <c r="X672" i="10"/>
  <c r="Y672" i="10" s="1"/>
  <c r="W707" i="10"/>
  <c r="X72" i="10"/>
  <c r="Y72" i="10" s="1"/>
  <c r="AB331" i="10"/>
  <c r="AC331" i="10" s="1"/>
  <c r="AB698" i="10"/>
  <c r="AC698" i="10" s="1"/>
  <c r="X772" i="10"/>
  <c r="Y772" i="10" s="1"/>
  <c r="W327" i="10"/>
  <c r="X270" i="10"/>
  <c r="Y270" i="10" s="1"/>
  <c r="W580" i="10"/>
  <c r="AB327" i="10"/>
  <c r="AC327" i="10" s="1"/>
  <c r="W519" i="10"/>
  <c r="Z331" i="10"/>
  <c r="AA772" i="10"/>
  <c r="AE772" i="10" s="1"/>
  <c r="X65" i="10"/>
  <c r="Y65" i="10" s="1"/>
  <c r="X208" i="10"/>
  <c r="Y208" i="10" s="1"/>
  <c r="W350" i="10"/>
  <c r="S571" i="10"/>
  <c r="Z707" i="10"/>
  <c r="X68" i="10"/>
  <c r="Y68" i="10" s="1"/>
  <c r="W61" i="10"/>
  <c r="X205" i="10"/>
  <c r="Y205" i="10" s="1"/>
  <c r="Z66" i="10"/>
  <c r="S625" i="10"/>
  <c r="AB638" i="10"/>
  <c r="AC638" i="10" s="1"/>
  <c r="X300" i="10"/>
  <c r="Y300" i="10" s="1"/>
  <c r="AB378" i="10"/>
  <c r="AC378" i="10" s="1"/>
  <c r="AB762" i="10"/>
  <c r="AC762" i="10" s="1"/>
  <c r="AB254" i="10"/>
  <c r="AC254" i="10" s="1"/>
  <c r="AA580" i="10"/>
  <c r="AE580" i="10" s="1"/>
  <c r="Z243" i="10"/>
  <c r="W36" i="10"/>
  <c r="W760" i="10"/>
  <c r="S34" i="10"/>
  <c r="S690" i="10"/>
  <c r="X236" i="10"/>
  <c r="Y236" i="10" s="1"/>
  <c r="AB154" i="10"/>
  <c r="AC154" i="10" s="1"/>
  <c r="AB353" i="10"/>
  <c r="AC353" i="10" s="1"/>
  <c r="AA350" i="10"/>
  <c r="AE350" i="10" s="1"/>
  <c r="Z347" i="10"/>
  <c r="X649" i="10"/>
  <c r="Y649" i="10" s="1"/>
  <c r="S388" i="10"/>
  <c r="S569" i="10"/>
  <c r="AB649" i="10"/>
  <c r="AD649" i="10" s="1"/>
  <c r="Z500" i="10"/>
  <c r="X159" i="10"/>
  <c r="Y159" i="10" s="1"/>
  <c r="AA552" i="10"/>
  <c r="AE552" i="10" s="1"/>
  <c r="AA520" i="10"/>
  <c r="AE520" i="10" s="1"/>
  <c r="AA331" i="10"/>
  <c r="AE331" i="10" s="1"/>
  <c r="Z22" i="10"/>
  <c r="X327" i="10"/>
  <c r="Y327" i="10" s="1"/>
  <c r="W35" i="10"/>
  <c r="W260" i="10"/>
  <c r="AA37" i="10"/>
  <c r="AE37" i="10" s="1"/>
  <c r="X331" i="10"/>
  <c r="Y331" i="10" s="1"/>
  <c r="W772" i="10"/>
  <c r="W547" i="10"/>
  <c r="S36" i="10"/>
  <c r="S127" i="10"/>
  <c r="AB551" i="10"/>
  <c r="AC551" i="10" s="1"/>
  <c r="X187" i="10"/>
  <c r="Y187" i="10" s="1"/>
  <c r="AB477" i="10"/>
  <c r="AC477" i="10" s="1"/>
  <c r="Z521" i="10"/>
  <c r="AB707" i="10"/>
  <c r="AD707" i="10" s="1"/>
  <c r="Z388" i="10"/>
  <c r="X252" i="10"/>
  <c r="Y252" i="10" s="1"/>
  <c r="Z255" i="10"/>
  <c r="W416" i="10"/>
  <c r="S474" i="10"/>
  <c r="Z379" i="10"/>
  <c r="AB301" i="10"/>
  <c r="AC301" i="10" s="1"/>
  <c r="AB518" i="10"/>
  <c r="AA375" i="10"/>
  <c r="AE375" i="10" s="1"/>
  <c r="X63" i="10"/>
  <c r="Y63" i="10" s="1"/>
  <c r="S331" i="10"/>
  <c r="AB561" i="10"/>
  <c r="AC561" i="10" s="1"/>
  <c r="AB761" i="10"/>
  <c r="AC761" i="10" s="1"/>
  <c r="W300" i="10"/>
  <c r="S605" i="10"/>
  <c r="AB61" i="10"/>
  <c r="AC61" i="10" s="1"/>
  <c r="AB270" i="10"/>
  <c r="AC270" i="10" s="1"/>
  <c r="AB606" i="10"/>
  <c r="AB726" i="10"/>
  <c r="AC726" i="10" s="1"/>
  <c r="Z61" i="10"/>
  <c r="Z569" i="10"/>
  <c r="W143" i="10"/>
  <c r="W338" i="10"/>
  <c r="S254" i="10"/>
  <c r="AB556" i="10"/>
  <c r="AC556" i="10" s="1"/>
  <c r="AA626" i="10"/>
  <c r="AE626" i="10" s="1"/>
  <c r="AB150" i="10"/>
  <c r="AC150" i="10" s="1"/>
  <c r="AB25" i="10"/>
  <c r="AC25" i="10" s="1"/>
  <c r="AB68" i="10"/>
  <c r="AC68" i="10" s="1"/>
  <c r="AA188" i="10"/>
  <c r="AE188" i="10" s="1"/>
  <c r="AA141" i="10"/>
  <c r="AE141" i="10" s="1"/>
  <c r="Z36" i="10"/>
  <c r="X141" i="10"/>
  <c r="Y141" i="10" s="1"/>
  <c r="AB765" i="10"/>
  <c r="AB693" i="10"/>
  <c r="AC693" i="10" s="1"/>
  <c r="AB691" i="10"/>
  <c r="AC691" i="10" s="1"/>
  <c r="S144" i="10"/>
  <c r="AB625" i="10"/>
  <c r="AC625" i="10" s="1"/>
  <c r="AB67" i="10"/>
  <c r="AC67" i="10" s="1"/>
  <c r="AA143" i="10"/>
  <c r="AE143" i="10" s="1"/>
  <c r="AA578" i="10"/>
  <c r="AE578" i="10" s="1"/>
  <c r="Z455" i="10"/>
  <c r="W581" i="10"/>
  <c r="W569" i="10"/>
  <c r="AB354" i="10"/>
  <c r="Z638" i="10"/>
  <c r="AA73" i="10"/>
  <c r="AE73" i="10" s="1"/>
  <c r="AA159" i="10"/>
  <c r="AE159" i="10" s="1"/>
  <c r="AB497" i="10"/>
  <c r="AC497" i="10" s="1"/>
  <c r="AA379" i="10"/>
  <c r="AE379" i="10" s="1"/>
  <c r="AA305" i="10"/>
  <c r="AE305" i="10" s="1"/>
  <c r="AA450" i="10"/>
  <c r="AE450" i="10" s="1"/>
  <c r="W733" i="10"/>
  <c r="AB743" i="10"/>
  <c r="AC743" i="10" s="1"/>
  <c r="AA607" i="10"/>
  <c r="AE607" i="10" s="1"/>
  <c r="AE269" i="10"/>
  <c r="AB520" i="10"/>
  <c r="AC520" i="10" s="1"/>
  <c r="AA388" i="10"/>
  <c r="AE388" i="10" s="1"/>
  <c r="AA733" i="10"/>
  <c r="AE733" i="10" s="1"/>
  <c r="Z252" i="10"/>
  <c r="W243" i="10"/>
  <c r="S65" i="10"/>
  <c r="AE638" i="10"/>
  <c r="AB671" i="10"/>
  <c r="AC671" i="10" s="1"/>
  <c r="W32" i="10"/>
  <c r="AB177" i="10"/>
  <c r="AC177" i="10" s="1"/>
  <c r="S695" i="10"/>
  <c r="AB307" i="10"/>
  <c r="AB286" i="10"/>
  <c r="AC286" i="10" s="1"/>
  <c r="S163" i="10"/>
  <c r="S578" i="10"/>
  <c r="AB23" i="10"/>
  <c r="AC23" i="10" s="1"/>
  <c r="AB339" i="10"/>
  <c r="AC339" i="10" s="1"/>
  <c r="AB350" i="10"/>
  <c r="AC350" i="10" s="1"/>
  <c r="AB34" i="10"/>
  <c r="Z556" i="10"/>
  <c r="Z187" i="10"/>
  <c r="AB467" i="10"/>
  <c r="AB509" i="10"/>
  <c r="AC509" i="10" s="1"/>
  <c r="S296" i="10"/>
  <c r="Z301" i="10"/>
  <c r="AA236" i="10"/>
  <c r="AE236" i="10" s="1"/>
  <c r="AB742" i="10"/>
  <c r="AC742" i="10" s="1"/>
  <c r="AB612" i="10"/>
  <c r="X347" i="10"/>
  <c r="Y347" i="10" s="1"/>
  <c r="AB109" i="10"/>
  <c r="AC109" i="10" s="1"/>
  <c r="AB590" i="10"/>
  <c r="AA35" i="10"/>
  <c r="AE35" i="10" s="1"/>
  <c r="AB450" i="10"/>
  <c r="AB347" i="10"/>
  <c r="AC347" i="10" s="1"/>
  <c r="AB772" i="10"/>
  <c r="AC772" i="10" s="1"/>
  <c r="AB582" i="10"/>
  <c r="AC582" i="10" s="1"/>
  <c r="AB695" i="10"/>
  <c r="AC695" i="10" s="1"/>
  <c r="AB500" i="10"/>
  <c r="AC500" i="10" s="1"/>
  <c r="AB151" i="10"/>
  <c r="AB377" i="10"/>
  <c r="AB624" i="10"/>
  <c r="AB456" i="10"/>
  <c r="AD456" i="10" s="1"/>
  <c r="AA358" i="10"/>
  <c r="AE358" i="10" s="1"/>
  <c r="W106" i="10"/>
  <c r="X393" i="10"/>
  <c r="Y393" i="10" s="1"/>
  <c r="AB243" i="10"/>
  <c r="AC243" i="10" s="1"/>
  <c r="Z381" i="10"/>
  <c r="Z548" i="10"/>
  <c r="AB236" i="10"/>
  <c r="AC236" i="10" s="1"/>
  <c r="S358" i="10"/>
  <c r="X625" i="10"/>
  <c r="Y625" i="10" s="1"/>
  <c r="AB191" i="10"/>
  <c r="AC191" i="10" s="1"/>
  <c r="AB103" i="10"/>
  <c r="AC103" i="10" s="1"/>
  <c r="AB507" i="10"/>
  <c r="AC507" i="10" s="1"/>
  <c r="AA154" i="10"/>
  <c r="AE154" i="10" s="1"/>
  <c r="AA353" i="10"/>
  <c r="AE353" i="10" s="1"/>
  <c r="AA445" i="10"/>
  <c r="Z605" i="10"/>
  <c r="Z79" i="10"/>
  <c r="AB613" i="10"/>
  <c r="Z467" i="10"/>
  <c r="X243" i="10"/>
  <c r="Y243" i="10" s="1"/>
  <c r="S289" i="10"/>
  <c r="AB355" i="10"/>
  <c r="AC355" i="10" s="1"/>
  <c r="AB72" i="10"/>
  <c r="X144" i="10"/>
  <c r="Y144" i="10" s="1"/>
  <c r="AB300" i="10"/>
  <c r="AB105" i="10"/>
  <c r="AC105" i="10" s="1"/>
  <c r="AB210" i="10"/>
  <c r="AC210" i="10" s="1"/>
  <c r="AB498" i="10"/>
  <c r="AC498" i="10" s="1"/>
  <c r="AA108" i="10"/>
  <c r="AE108" i="10" s="1"/>
  <c r="Z73" i="10"/>
  <c r="X605" i="10"/>
  <c r="Y605" i="10" s="1"/>
  <c r="W159" i="10"/>
  <c r="S243" i="10"/>
  <c r="S521" i="10"/>
  <c r="S453" i="10"/>
  <c r="AB296" i="10"/>
  <c r="AC296" i="10" s="1"/>
  <c r="AB144" i="10"/>
  <c r="AB548" i="10"/>
  <c r="AB247" i="10"/>
  <c r="AB547" i="10"/>
  <c r="AA301" i="10"/>
  <c r="AE301" i="10" s="1"/>
  <c r="AA477" i="10"/>
  <c r="AA46" i="10"/>
  <c r="AE46" i="10" s="1"/>
  <c r="AA581" i="10"/>
  <c r="W379" i="10"/>
  <c r="S520" i="10"/>
  <c r="Z270" i="10"/>
  <c r="AB163" i="10"/>
  <c r="Z34" i="10"/>
  <c r="X467" i="10"/>
  <c r="Y467" i="10" s="1"/>
  <c r="S649" i="10"/>
  <c r="Z271" i="10"/>
  <c r="Z305" i="10"/>
  <c r="X305" i="10"/>
  <c r="Y305" i="10" s="1"/>
  <c r="W552" i="10"/>
  <c r="S500" i="10"/>
  <c r="S269" i="10"/>
  <c r="AB155" i="10"/>
  <c r="AC155" i="10" s="1"/>
  <c r="AB343" i="10"/>
  <c r="AC343" i="10" s="1"/>
  <c r="AB545" i="10"/>
  <c r="AA285" i="10"/>
  <c r="AE285" i="10" s="1"/>
  <c r="AA701" i="10"/>
  <c r="AE701" i="10" s="1"/>
  <c r="X298" i="10"/>
  <c r="Y298" i="10" s="1"/>
  <c r="W624" i="10"/>
  <c r="AB46" i="10"/>
  <c r="AB205" i="10"/>
  <c r="AA582" i="10"/>
  <c r="AE582" i="10" s="1"/>
  <c r="AB258" i="10"/>
  <c r="AC258" i="10" s="1"/>
  <c r="AB73" i="10"/>
  <c r="AB554" i="10"/>
  <c r="AC554" i="10" s="1"/>
  <c r="AA271" i="10"/>
  <c r="AE271" i="10" s="1"/>
  <c r="AA307" i="10"/>
  <c r="AE307" i="10" s="1"/>
  <c r="Z672" i="10"/>
  <c r="Z551" i="10"/>
  <c r="Z591" i="10"/>
  <c r="W141" i="10"/>
  <c r="W289" i="10"/>
  <c r="AB141" i="10"/>
  <c r="AB143" i="10"/>
  <c r="S707" i="10"/>
  <c r="S338" i="10"/>
  <c r="S193" i="10"/>
  <c r="AB58" i="10"/>
  <c r="AC58" i="10" s="1"/>
  <c r="Z649" i="10"/>
  <c r="W521" i="10"/>
  <c r="S210" i="10"/>
  <c r="S604" i="10"/>
  <c r="S187" i="10"/>
  <c r="AB187" i="10"/>
  <c r="AC187" i="10" s="1"/>
  <c r="X706" i="10"/>
  <c r="Y706" i="10" s="1"/>
  <c r="W706" i="10"/>
  <c r="W269" i="10"/>
  <c r="AB553" i="10"/>
  <c r="AC553" i="10" s="1"/>
  <c r="S37" i="10"/>
  <c r="AB63" i="10"/>
  <c r="AB255" i="10"/>
  <c r="AC255" i="10" s="1"/>
  <c r="S81" i="10"/>
  <c r="S603" i="10"/>
  <c r="S174" i="10"/>
  <c r="AB174" i="10"/>
  <c r="W742" i="10"/>
  <c r="Z742" i="10"/>
  <c r="S305" i="10"/>
  <c r="S106" i="10"/>
  <c r="AB106" i="10"/>
  <c r="AC106" i="10" s="1"/>
  <c r="S166" i="10"/>
  <c r="AB604" i="10"/>
  <c r="AC604" i="10" s="1"/>
  <c r="S180" i="10"/>
  <c r="X87" i="10"/>
  <c r="Y87" i="10" s="1"/>
  <c r="Z87" i="10"/>
  <c r="W87" i="10"/>
  <c r="AA500" i="10"/>
  <c r="AE500" i="10" s="1"/>
  <c r="X180" i="10"/>
  <c r="Y180" i="10" s="1"/>
  <c r="W180" i="10"/>
  <c r="Z180" i="10"/>
  <c r="X612" i="10"/>
  <c r="Y612" i="10" s="1"/>
  <c r="W612" i="10"/>
  <c r="AB108" i="10"/>
  <c r="S108" i="10"/>
  <c r="S188" i="10"/>
  <c r="AB605" i="10"/>
  <c r="S192" i="10"/>
  <c r="AB706" i="10"/>
  <c r="S459" i="10"/>
  <c r="AB459" i="10"/>
  <c r="W91" i="10"/>
  <c r="AA180" i="10"/>
  <c r="AE180" i="10" s="1"/>
  <c r="W208" i="10"/>
  <c r="AA208" i="10"/>
  <c r="AE208" i="10" s="1"/>
  <c r="Z208" i="10"/>
  <c r="W477" i="10"/>
  <c r="X477" i="10"/>
  <c r="Y477" i="10" s="1"/>
  <c r="Z445" i="10"/>
  <c r="AB87" i="10"/>
  <c r="S87" i="10"/>
  <c r="S284" i="10"/>
  <c r="S297" i="10"/>
  <c r="AB297" i="10"/>
  <c r="W561" i="10"/>
  <c r="AA561" i="10"/>
  <c r="AE561" i="10" s="1"/>
  <c r="X561" i="10"/>
  <c r="Y561" i="10" s="1"/>
  <c r="W25" i="10"/>
  <c r="AA25" i="10"/>
  <c r="AE25" i="10" s="1"/>
  <c r="W377" i="10"/>
  <c r="Z377" i="10"/>
  <c r="W22" i="10"/>
  <c r="X22" i="10"/>
  <c r="Y22" i="10" s="1"/>
  <c r="AB91" i="10"/>
  <c r="S91" i="10"/>
  <c r="AB208" i="10"/>
  <c r="AB180" i="10"/>
  <c r="S208" i="10"/>
  <c r="AA616" i="10"/>
  <c r="AE616" i="10" s="1"/>
  <c r="W616" i="10"/>
  <c r="W26" i="10"/>
  <c r="Z205" i="10"/>
  <c r="W205" i="10"/>
  <c r="AA374" i="10"/>
  <c r="AE374" i="10" s="1"/>
  <c r="AA79" i="10"/>
  <c r="AE79" i="10" s="1"/>
  <c r="W634" i="10"/>
  <c r="AA742" i="10"/>
  <c r="AE742" i="10" s="1"/>
  <c r="S355" i="10"/>
  <c r="Z298" i="10"/>
  <c r="S271" i="10"/>
  <c r="AB271" i="10"/>
  <c r="S616" i="10"/>
  <c r="S374" i="10"/>
  <c r="S634" i="10"/>
  <c r="AB79" i="10"/>
  <c r="X355" i="10"/>
  <c r="Y355" i="10" s="1"/>
  <c r="W474" i="10"/>
  <c r="X551" i="10"/>
  <c r="Y551" i="10" s="1"/>
  <c r="Z613" i="10"/>
  <c r="Z763" i="10"/>
  <c r="W763" i="10"/>
  <c r="W453" i="10"/>
  <c r="Z453" i="10"/>
  <c r="AA296" i="10"/>
  <c r="AA243" i="10"/>
  <c r="X571" i="10"/>
  <c r="Y571" i="10" s="1"/>
  <c r="W374" i="10"/>
  <c r="AB225" i="10"/>
  <c r="AC225" i="10" s="1"/>
  <c r="AB380" i="10"/>
  <c r="AC380" i="10" s="1"/>
  <c r="Z254" i="10"/>
  <c r="S299" i="10"/>
  <c r="X34" i="10"/>
  <c r="Y34" i="10" s="1"/>
  <c r="W284" i="10"/>
  <c r="S35" i="10"/>
  <c r="S3" i="10"/>
  <c r="S706" i="10"/>
  <c r="S354" i="10"/>
  <c r="S168" i="10"/>
  <c r="Z588" i="10"/>
  <c r="Z174" i="10"/>
  <c r="S386" i="10"/>
  <c r="S436" i="10"/>
  <c r="S606" i="10"/>
  <c r="S285" i="10"/>
  <c r="S154" i="10"/>
  <c r="S671" i="10"/>
  <c r="AB22" i="10"/>
  <c r="AC22" i="10" s="1"/>
  <c r="S548" i="10"/>
  <c r="AA762" i="10"/>
  <c r="AE762" i="10" s="1"/>
  <c r="Z72" i="10"/>
  <c r="X548" i="10"/>
  <c r="Y548" i="10" s="1"/>
  <c r="W71" i="10"/>
  <c r="Z520" i="10"/>
  <c r="Z300" i="10"/>
  <c r="S763" i="10"/>
  <c r="AB305" i="10"/>
  <c r="AA538" i="10"/>
  <c r="AE538" i="10" s="1"/>
  <c r="X386" i="10"/>
  <c r="Y386" i="10" s="1"/>
  <c r="X254" i="10"/>
  <c r="Y254" i="10" s="1"/>
  <c r="W388" i="10"/>
  <c r="W762" i="10"/>
  <c r="AB381" i="10"/>
  <c r="AB571" i="10"/>
  <c r="Z108" i="10"/>
  <c r="Z144" i="10"/>
  <c r="W761" i="10"/>
  <c r="S733" i="10"/>
  <c r="S518" i="10"/>
  <c r="X67" i="10"/>
  <c r="Y67" i="10" s="1"/>
  <c r="AA706" i="10"/>
  <c r="AE706" i="10" s="1"/>
  <c r="Z188" i="10"/>
  <c r="W34" i="10"/>
  <c r="X66" i="10"/>
  <c r="Y66" i="10" s="1"/>
  <c r="S298" i="10"/>
  <c r="AB694" i="10"/>
  <c r="AC694" i="10" s="1"/>
  <c r="AB168" i="10"/>
  <c r="AA254" i="10"/>
  <c r="W73" i="10"/>
  <c r="AD453" i="10"/>
  <c r="AB235" i="10"/>
  <c r="AB251" i="10"/>
  <c r="AB204" i="10"/>
  <c r="AB209" i="10"/>
  <c r="AB469" i="10"/>
  <c r="AB672" i="10"/>
  <c r="S672" i="10"/>
  <c r="S142" i="10"/>
  <c r="S141" i="10"/>
  <c r="AB678" i="10"/>
  <c r="S678" i="10"/>
  <c r="AB375" i="10"/>
  <c r="S375" i="10"/>
  <c r="AB760" i="10"/>
  <c r="S760" i="10"/>
  <c r="AA286" i="10"/>
  <c r="AE286" i="10" s="1"/>
  <c r="Z286" i="10"/>
  <c r="X286" i="10"/>
  <c r="Y286" i="10" s="1"/>
  <c r="W286" i="10"/>
  <c r="Z210" i="10"/>
  <c r="X210" i="10"/>
  <c r="Y210" i="10" s="1"/>
  <c r="W210" i="10"/>
  <c r="Z191" i="10"/>
  <c r="X191" i="10"/>
  <c r="Y191" i="10" s="1"/>
  <c r="W191" i="10"/>
  <c r="Z604" i="10"/>
  <c r="W604" i="10"/>
  <c r="AA187" i="10"/>
  <c r="X301" i="10"/>
  <c r="Y301" i="10" s="1"/>
  <c r="W679" i="10"/>
  <c r="Z691" i="10"/>
  <c r="X691" i="10"/>
  <c r="Y691" i="10" s="1"/>
  <c r="W691" i="10"/>
  <c r="Z518" i="10"/>
  <c r="X518" i="10"/>
  <c r="Y518" i="10" s="1"/>
  <c r="Z109" i="10"/>
  <c r="X109" i="10"/>
  <c r="Y109" i="10" s="1"/>
  <c r="W109" i="10"/>
  <c r="X698" i="10"/>
  <c r="Y698" i="10" s="1"/>
  <c r="Z590" i="10"/>
  <c r="X590" i="10"/>
  <c r="Y590" i="10" s="1"/>
  <c r="S613" i="10"/>
  <c r="W419" i="10"/>
  <c r="Z560" i="10"/>
  <c r="X560" i="10"/>
  <c r="Y560" i="10" s="1"/>
  <c r="W560" i="10"/>
  <c r="Z190" i="10"/>
  <c r="X190" i="10"/>
  <c r="Y190" i="10" s="1"/>
  <c r="W190" i="10"/>
  <c r="Z169" i="10"/>
  <c r="X169" i="10"/>
  <c r="Y169" i="10" s="1"/>
  <c r="W169" i="10"/>
  <c r="W701" i="10"/>
  <c r="AA671" i="10"/>
  <c r="W597" i="10"/>
  <c r="AA597" i="10"/>
  <c r="AE597" i="10" s="1"/>
  <c r="W472" i="10"/>
  <c r="W150" i="10"/>
  <c r="W618" i="10"/>
  <c r="S467" i="10"/>
  <c r="S691" i="10"/>
  <c r="AB193" i="10"/>
  <c r="S109" i="10"/>
  <c r="W206" i="10"/>
  <c r="AA314" i="10"/>
  <c r="W314" i="10"/>
  <c r="Z354" i="10"/>
  <c r="X354" i="10"/>
  <c r="Y354" i="10" s="1"/>
  <c r="W354" i="10"/>
  <c r="Z168" i="10"/>
  <c r="X168" i="10"/>
  <c r="Y168" i="10" s="1"/>
  <c r="Z706" i="10"/>
  <c r="X192" i="10"/>
  <c r="Y192" i="10" s="1"/>
  <c r="W693" i="10"/>
  <c r="Z592" i="10"/>
  <c r="X592" i="10"/>
  <c r="Y592" i="10" s="1"/>
  <c r="W592" i="10"/>
  <c r="AA592" i="10"/>
  <c r="W697" i="10"/>
  <c r="W263" i="10"/>
  <c r="W398" i="10"/>
  <c r="AB419" i="10"/>
  <c r="S419" i="10"/>
  <c r="AB560" i="10"/>
  <c r="S560" i="10"/>
  <c r="S673" i="10"/>
  <c r="AB190" i="10"/>
  <c r="S190" i="10"/>
  <c r="S169" i="10"/>
  <c r="S549" i="10"/>
  <c r="S597" i="10"/>
  <c r="S472" i="10"/>
  <c r="S618" i="10"/>
  <c r="W211" i="10"/>
  <c r="X211" i="10"/>
  <c r="Y211" i="10" s="1"/>
  <c r="W37" i="10"/>
  <c r="W151" i="10"/>
  <c r="Z151" i="10"/>
  <c r="X151" i="10"/>
  <c r="Y151" i="10" s="1"/>
  <c r="AA167" i="10"/>
  <c r="AA211" i="10"/>
  <c r="W167" i="10"/>
  <c r="W193" i="10"/>
  <c r="Z193" i="10"/>
  <c r="X193" i="10"/>
  <c r="Y193" i="10" s="1"/>
  <c r="W695" i="10"/>
  <c r="Z695" i="10"/>
  <c r="X695" i="10"/>
  <c r="Y695" i="10" s="1"/>
  <c r="AA81" i="10"/>
  <c r="W81" i="10"/>
  <c r="AB169" i="10"/>
  <c r="S71" i="10"/>
  <c r="AB549" i="10"/>
  <c r="X378" i="10"/>
  <c r="Y378" i="10" s="1"/>
  <c r="W378" i="10"/>
  <c r="Z386" i="10"/>
  <c r="X350" i="10"/>
  <c r="Y350" i="10" s="1"/>
  <c r="X606" i="10"/>
  <c r="Y606" i="10" s="1"/>
  <c r="Z606" i="10"/>
  <c r="W606" i="10"/>
  <c r="X552" i="10"/>
  <c r="Y552" i="10" s="1"/>
  <c r="W285" i="10"/>
  <c r="X154" i="10"/>
  <c r="Y154" i="10" s="1"/>
  <c r="Z154" i="10"/>
  <c r="W154" i="10"/>
  <c r="X671" i="10"/>
  <c r="Y671" i="10" s="1"/>
  <c r="W671" i="10"/>
  <c r="X742" i="10"/>
  <c r="Y742" i="10" s="1"/>
  <c r="X638" i="10"/>
  <c r="Y638" i="10" s="1"/>
  <c r="W638" i="10"/>
  <c r="AA695" i="10"/>
  <c r="W570" i="10"/>
  <c r="AA570" i="10"/>
  <c r="W682" i="10"/>
  <c r="X508" i="10"/>
  <c r="Y508" i="10" s="1"/>
  <c r="W508" i="10"/>
  <c r="S679" i="10"/>
  <c r="S743" i="10"/>
  <c r="S607" i="10"/>
  <c r="W590" i="10"/>
  <c r="W436" i="10"/>
  <c r="S378" i="10"/>
  <c r="S143" i="10"/>
  <c r="AB172" i="10"/>
  <c r="X79" i="10"/>
  <c r="Y79" i="10" s="1"/>
  <c r="Z378" i="10"/>
  <c r="Z671" i="10"/>
  <c r="W187" i="10"/>
  <c r="S638" i="10"/>
  <c r="Z743" i="10"/>
  <c r="X743" i="10"/>
  <c r="Y743" i="10" s="1"/>
  <c r="Z46" i="10"/>
  <c r="X46" i="10"/>
  <c r="Y46" i="10" s="1"/>
  <c r="AA604" i="10"/>
  <c r="Z460" i="10"/>
  <c r="X460" i="10"/>
  <c r="Y460" i="10" s="1"/>
  <c r="Z509" i="10"/>
  <c r="X509" i="10"/>
  <c r="Y509" i="10" s="1"/>
  <c r="AA509" i="10"/>
  <c r="Z393" i="10"/>
  <c r="X71" i="10"/>
  <c r="Y71" i="10" s="1"/>
  <c r="X507" i="10"/>
  <c r="Y507" i="10" s="1"/>
  <c r="W174" i="10"/>
  <c r="S23" i="10"/>
  <c r="S626" i="10"/>
  <c r="S498" i="10"/>
  <c r="S393" i="10"/>
  <c r="S79" i="10"/>
  <c r="S591" i="10"/>
  <c r="S495" i="10"/>
  <c r="X500" i="10"/>
  <c r="Y500" i="10" s="1"/>
  <c r="X556" i="10"/>
  <c r="Y556" i="10" s="1"/>
  <c r="AA210" i="10"/>
  <c r="X456" i="10"/>
  <c r="Y456" i="10" s="1"/>
  <c r="AA679" i="10"/>
  <c r="X353" i="10"/>
  <c r="Y353" i="10" s="1"/>
  <c r="W367" i="10"/>
  <c r="W173" i="10"/>
  <c r="Z350" i="10"/>
  <c r="Z71" i="10"/>
  <c r="X73" i="10"/>
  <c r="Y73" i="10" s="1"/>
  <c r="X358" i="10"/>
  <c r="Y358" i="10" s="1"/>
  <c r="X174" i="10"/>
  <c r="Y174" i="10" s="1"/>
  <c r="W163" i="10"/>
  <c r="W104" i="10"/>
  <c r="W520" i="10"/>
  <c r="AB460" i="10"/>
  <c r="AA460" i="10"/>
  <c r="AE460" i="10" s="1"/>
  <c r="AA507" i="10"/>
  <c r="Z507" i="10"/>
  <c r="X634" i="10"/>
  <c r="Y634" i="10" s="1"/>
  <c r="W46" i="10"/>
  <c r="W297" i="10"/>
  <c r="W105" i="10"/>
  <c r="Z353" i="10"/>
  <c r="Z612" i="10"/>
  <c r="X163" i="10"/>
  <c r="Y163" i="10" s="1"/>
  <c r="X582" i="10"/>
  <c r="Y582" i="10" s="1"/>
  <c r="X520" i="10"/>
  <c r="Y520" i="10" s="1"/>
  <c r="X459" i="10"/>
  <c r="Y459" i="10" s="1"/>
  <c r="W715" i="10"/>
  <c r="W296" i="10"/>
  <c r="W726" i="10"/>
  <c r="S151" i="10"/>
  <c r="S554" i="10"/>
  <c r="S582" i="10"/>
  <c r="S377" i="10"/>
  <c r="S73" i="10"/>
  <c r="Z358" i="10"/>
  <c r="X498" i="10"/>
  <c r="Y498" i="10" s="1"/>
  <c r="W343" i="10"/>
  <c r="W460" i="10"/>
  <c r="S26" i="10"/>
  <c r="S301" i="10"/>
  <c r="S5" i="10"/>
  <c r="S455" i="10"/>
  <c r="S624" i="10"/>
  <c r="AB66" i="10"/>
  <c r="Z163" i="10"/>
  <c r="W603" i="10"/>
  <c r="Z459" i="10"/>
  <c r="Z634" i="10"/>
  <c r="X624" i="10"/>
  <c r="Y624" i="10" s="1"/>
  <c r="W607" i="10"/>
  <c r="W553" i="10"/>
  <c r="W456" i="10"/>
  <c r="W127" i="10"/>
  <c r="AA193" i="10"/>
  <c r="AE193" i="10" s="1"/>
  <c r="AA691" i="10"/>
  <c r="AE691" i="10" s="1"/>
  <c r="AA169" i="10"/>
  <c r="AE169" i="10" s="1"/>
  <c r="AA591" i="10"/>
  <c r="AE591" i="10" s="1"/>
  <c r="Z498" i="10"/>
  <c r="Z582" i="10"/>
  <c r="Z297" i="10"/>
  <c r="X554" i="10"/>
  <c r="Y554" i="10" s="1"/>
  <c r="X762" i="10"/>
  <c r="Y762" i="10" s="1"/>
  <c r="X450" i="10"/>
  <c r="Y450" i="10" s="1"/>
  <c r="X307" i="10"/>
  <c r="Y307" i="10" s="1"/>
  <c r="X381" i="10"/>
  <c r="Y381" i="10" s="1"/>
  <c r="W588" i="10"/>
  <c r="W452" i="10"/>
  <c r="W255" i="10"/>
  <c r="AA105" i="10"/>
  <c r="X626" i="10"/>
  <c r="Y626" i="10" s="1"/>
  <c r="W556" i="10"/>
  <c r="W551" i="10"/>
  <c r="W440" i="10"/>
  <c r="W455" i="10"/>
  <c r="W254" i="10"/>
  <c r="AA23" i="10"/>
  <c r="AA726" i="10"/>
  <c r="X188" i="10"/>
  <c r="Y188" i="10" s="1"/>
  <c r="X588" i="10"/>
  <c r="Y588" i="10" s="1"/>
  <c r="X255" i="10"/>
  <c r="Y255" i="10" s="1"/>
  <c r="W513" i="10"/>
  <c r="W625" i="10"/>
  <c r="W550" i="10"/>
  <c r="Z236" i="10"/>
  <c r="Z67" i="10"/>
  <c r="AA109" i="10"/>
  <c r="Z698" i="10"/>
  <c r="AA177" i="10"/>
  <c r="AA255" i="10"/>
  <c r="Z68" i="10"/>
  <c r="Z450" i="10"/>
  <c r="Z624" i="10"/>
  <c r="X591" i="10"/>
  <c r="Y591" i="10" s="1"/>
  <c r="W743" i="10"/>
  <c r="W72" i="10"/>
  <c r="W463" i="10"/>
  <c r="AA22" i="10"/>
  <c r="Z626" i="10"/>
  <c r="Z554" i="10"/>
  <c r="Z456" i="10"/>
  <c r="Z307" i="10"/>
  <c r="X25" i="10"/>
  <c r="Y25" i="10" s="1"/>
  <c r="X445" i="10"/>
  <c r="Y445" i="10" s="1"/>
  <c r="X247" i="10"/>
  <c r="Y247" i="10" s="1"/>
  <c r="W688" i="10"/>
  <c r="S447" i="10"/>
  <c r="S10" i="10"/>
  <c r="S433" i="10"/>
  <c r="AA750" i="10"/>
  <c r="AE750" i="10" s="1"/>
  <c r="AA195" i="10"/>
  <c r="AE195" i="10" s="1"/>
  <c r="AA287" i="10"/>
  <c r="AE287" i="10" s="1"/>
  <c r="AA426" i="10"/>
  <c r="AE426" i="10" s="1"/>
  <c r="AA89" i="10"/>
  <c r="AE89" i="10" s="1"/>
  <c r="AA586" i="10"/>
  <c r="AA537" i="10"/>
  <c r="AE537" i="10" s="1"/>
  <c r="AA256" i="10"/>
  <c r="AE256" i="10" s="1"/>
  <c r="AA101" i="10"/>
  <c r="AE101" i="10" s="1"/>
  <c r="AA651" i="10"/>
  <c r="AE651" i="10" s="1"/>
  <c r="AA233" i="10"/>
  <c r="AE233" i="10" s="1"/>
  <c r="S593" i="10"/>
  <c r="S258" i="10"/>
  <c r="S235" i="10"/>
  <c r="S216" i="10"/>
  <c r="S251" i="10"/>
  <c r="S497" i="10"/>
  <c r="S150" i="10"/>
  <c r="S406" i="10"/>
  <c r="S172" i="10"/>
  <c r="S263" i="10"/>
  <c r="S694" i="10"/>
  <c r="S380" i="10"/>
  <c r="P356" i="10"/>
  <c r="P92" i="10"/>
  <c r="X35" i="10" s="1"/>
  <c r="Y35" i="10" s="1"/>
  <c r="P12" i="10"/>
  <c r="V12" i="10" s="1"/>
  <c r="P756" i="10"/>
  <c r="W756" i="10" s="1"/>
  <c r="P99" i="10"/>
  <c r="P221" i="10"/>
  <c r="W221" i="10" s="1"/>
  <c r="P640" i="10"/>
  <c r="Z368" i="10" s="1"/>
  <c r="P449" i="10"/>
  <c r="P609" i="10"/>
  <c r="P608" i="10"/>
  <c r="P287" i="10"/>
  <c r="V287" i="10" s="1"/>
  <c r="R356" i="10"/>
  <c r="T356" i="10" s="1"/>
  <c r="R92" i="10"/>
  <c r="R12" i="10"/>
  <c r="T12" i="10" s="1"/>
  <c r="R756" i="10"/>
  <c r="R99" i="10"/>
  <c r="T99" i="10" s="1"/>
  <c r="R221" i="10"/>
  <c r="T221" i="10" s="1"/>
  <c r="R640" i="10"/>
  <c r="T640" i="10" s="1"/>
  <c r="R449" i="10"/>
  <c r="R609" i="10"/>
  <c r="T609" i="10" s="1"/>
  <c r="R608" i="10"/>
  <c r="R287" i="10"/>
  <c r="T287" i="10" s="1"/>
  <c r="AC15" i="17"/>
  <c r="K18" i="17"/>
  <c r="P250" i="10"/>
  <c r="V250" i="10" s="1"/>
  <c r="P651" i="10"/>
  <c r="P652" i="10"/>
  <c r="W652" i="10" s="1"/>
  <c r="P82" i="10"/>
  <c r="P196" i="10"/>
  <c r="V196" i="10" s="1"/>
  <c r="P718" i="10"/>
  <c r="V718" i="10" s="1"/>
  <c r="P233" i="10"/>
  <c r="P632" i="10"/>
  <c r="P77" i="10"/>
  <c r="X237" i="10" s="1"/>
  <c r="Y237" i="10" s="1"/>
  <c r="P176" i="10"/>
  <c r="V176" i="10" s="1"/>
  <c r="P194" i="10"/>
  <c r="V194" i="10" s="1"/>
  <c r="P227" i="10"/>
  <c r="V227" i="10" s="1"/>
  <c r="P641" i="10"/>
  <c r="W641" i="10" s="1"/>
  <c r="P342" i="10"/>
  <c r="P261" i="10"/>
  <c r="W261" i="10" s="1"/>
  <c r="P137" i="10"/>
  <c r="V137" i="10" s="1"/>
  <c r="P17" i="10"/>
  <c r="W17" i="10" s="1"/>
  <c r="P335" i="10"/>
  <c r="V335" i="10" s="1"/>
  <c r="P124" i="10"/>
  <c r="P511" i="10"/>
  <c r="P147" i="10"/>
  <c r="P494" i="10"/>
  <c r="P95" i="10"/>
  <c r="W95" i="10" s="1"/>
  <c r="P622" i="10"/>
  <c r="W622" i="10" s="1"/>
  <c r="P462" i="10"/>
  <c r="P288" i="10"/>
  <c r="P674" i="10"/>
  <c r="W674" i="10" s="1"/>
  <c r="P544" i="10"/>
  <c r="P617" i="10"/>
  <c r="P223" i="10"/>
  <c r="Z549" i="10" s="1"/>
  <c r="P220" i="10"/>
  <c r="P53" i="10"/>
  <c r="V53" i="10" s="1"/>
  <c r="P303" i="10"/>
  <c r="V303" i="10" s="1"/>
  <c r="P302" i="10"/>
  <c r="V302" i="10" s="1"/>
  <c r="P739" i="10"/>
  <c r="V739" i="10" s="1"/>
  <c r="P725" i="10"/>
  <c r="P101" i="10"/>
  <c r="P304" i="10"/>
  <c r="V304" i="10" s="1"/>
  <c r="P27" i="10"/>
  <c r="V27" i="10" s="1"/>
  <c r="P465" i="10"/>
  <c r="V465" i="10" s="1"/>
  <c r="P6" i="10"/>
  <c r="P86" i="10"/>
  <c r="W86" i="10" s="1"/>
  <c r="P93" i="10"/>
  <c r="W93" i="10" s="1"/>
  <c r="P427" i="10"/>
  <c r="V427" i="10" s="1"/>
  <c r="P430" i="10"/>
  <c r="V430" i="10" s="1"/>
  <c r="P716" i="10"/>
  <c r="V716" i="10" s="1"/>
  <c r="P96" i="10"/>
  <c r="W96" i="10" s="1"/>
  <c r="P42" i="10"/>
  <c r="P543" i="10"/>
  <c r="P771" i="10"/>
  <c r="V771" i="10" s="1"/>
  <c r="P222" i="10"/>
  <c r="P692" i="10"/>
  <c r="V692" i="10" s="1"/>
  <c r="P200" i="10"/>
  <c r="P770" i="10"/>
  <c r="V770" i="10" s="1"/>
  <c r="P13" i="10"/>
  <c r="AA13" i="10" s="1"/>
  <c r="AE13" i="10" s="1"/>
  <c r="P334" i="10"/>
  <c r="V334" i="10" s="1"/>
  <c r="P207" i="10"/>
  <c r="W207" i="10" s="1"/>
  <c r="P10" i="10"/>
  <c r="P30" i="10"/>
  <c r="W30" i="10" s="1"/>
  <c r="P283" i="10"/>
  <c r="P195" i="10"/>
  <c r="V195" i="10" s="1"/>
  <c r="P584" i="10"/>
  <c r="V584" i="10" s="1"/>
  <c r="P102" i="10"/>
  <c r="W102" i="10" s="1"/>
  <c r="P727" i="10"/>
  <c r="AB679" i="10" s="1"/>
  <c r="AC679" i="10" s="1"/>
  <c r="P179" i="10"/>
  <c r="W179" i="10" s="1"/>
  <c r="P272" i="10"/>
  <c r="W272" i="10" s="1"/>
  <c r="P268" i="10"/>
  <c r="AA268" i="10" s="1"/>
  <c r="AE268" i="10" s="1"/>
  <c r="P646" i="10"/>
  <c r="P601" i="10"/>
  <c r="P642" i="10"/>
  <c r="V642" i="10" s="1"/>
  <c r="P405" i="10"/>
  <c r="V405" i="10" s="1"/>
  <c r="P278" i="10"/>
  <c r="P568" i="10"/>
  <c r="AB466" i="10" s="1"/>
  <c r="P729" i="10"/>
  <c r="W729" i="10" s="1"/>
  <c r="P542" i="10"/>
  <c r="P89" i="10"/>
  <c r="V89" i="10" s="1"/>
  <c r="P600" i="10"/>
  <c r="V600" i="10" s="1"/>
  <c r="P664" i="10"/>
  <c r="AB119" i="10" s="1"/>
  <c r="P663" i="10"/>
  <c r="W663" i="10" s="1"/>
  <c r="P84" i="10"/>
  <c r="W84" i="10" s="1"/>
  <c r="P407" i="10"/>
  <c r="V407" i="10" s="1"/>
  <c r="P516" i="10"/>
  <c r="P759" i="10"/>
  <c r="W759" i="10" s="1"/>
  <c r="P165" i="10"/>
  <c r="V165" i="10" s="1"/>
  <c r="P80" i="10"/>
  <c r="V80" i="10" s="1"/>
  <c r="P437" i="10"/>
  <c r="V437" i="10" s="1"/>
  <c r="P768" i="10"/>
  <c r="V768" i="10" s="1"/>
  <c r="P279" i="10"/>
  <c r="P98" i="10"/>
  <c r="W98" i="10" s="1"/>
  <c r="P429" i="10"/>
  <c r="P482" i="10"/>
  <c r="P454" i="10"/>
  <c r="V454" i="10" s="1"/>
  <c r="P705" i="10"/>
  <c r="P256" i="10"/>
  <c r="P31" i="10"/>
  <c r="P396" i="10"/>
  <c r="P470" i="10"/>
  <c r="V470" i="10" s="1"/>
  <c r="P372" i="10"/>
  <c r="AA463" i="10" s="1"/>
  <c r="AE463" i="10" s="1"/>
  <c r="P433" i="10"/>
  <c r="AA436" i="10" s="1"/>
  <c r="AE436" i="10" s="1"/>
  <c r="P684" i="10"/>
  <c r="P29" i="10"/>
  <c r="X21" i="10" s="1"/>
  <c r="Y21" i="10" s="1"/>
  <c r="P257" i="10"/>
  <c r="W257" i="10" s="1"/>
  <c r="P412" i="10"/>
  <c r="V412" i="10" s="1"/>
  <c r="P281" i="10"/>
  <c r="V281" i="10" s="1"/>
  <c r="P620" i="10"/>
  <c r="AB565" i="10" s="1"/>
  <c r="P619" i="10"/>
  <c r="W619" i="10" s="1"/>
  <c r="P43" i="10"/>
  <c r="P266" i="10"/>
  <c r="W266" i="10" s="1"/>
  <c r="P621" i="10"/>
  <c r="P483" i="10"/>
  <c r="W483" i="10" s="1"/>
  <c r="P201" i="10"/>
  <c r="P708" i="10"/>
  <c r="P158" i="10"/>
  <c r="P753" i="10"/>
  <c r="P238" i="10"/>
  <c r="P371" i="10"/>
  <c r="AB120" i="10" s="1"/>
  <c r="P703" i="10"/>
  <c r="AB643" i="10" s="1"/>
  <c r="P728" i="10"/>
  <c r="Z251" i="10" s="1"/>
  <c r="P473" i="10"/>
  <c r="V473" i="10" s="1"/>
  <c r="P123" i="10"/>
  <c r="V123" i="10" s="1"/>
  <c r="P397" i="10"/>
  <c r="V397" i="10" s="1"/>
  <c r="P94" i="10"/>
  <c r="W94" i="10" s="1"/>
  <c r="P202" i="10"/>
  <c r="P129" i="10"/>
  <c r="P262" i="10"/>
  <c r="P731" i="10"/>
  <c r="W731" i="10" s="1"/>
  <c r="P198" i="10"/>
  <c r="Z197" i="10" s="1"/>
  <c r="P133" i="10"/>
  <c r="V133" i="10" s="1"/>
  <c r="P769" i="10"/>
  <c r="V769" i="10" s="1"/>
  <c r="P128" i="10"/>
  <c r="W128" i="10" s="1"/>
  <c r="P752" i="10"/>
  <c r="W752" i="10" s="1"/>
  <c r="P274" i="10"/>
  <c r="AB322" i="10" s="1"/>
  <c r="P438" i="10"/>
  <c r="W438" i="10" s="1"/>
  <c r="P668" i="10"/>
  <c r="V668" i="10" s="1"/>
  <c r="P754" i="10"/>
  <c r="AA761" i="10" s="1"/>
  <c r="P755" i="10"/>
  <c r="V755" i="10" s="1"/>
  <c r="P738" i="10"/>
  <c r="V738" i="10" s="1"/>
  <c r="P418" i="10"/>
  <c r="AB463" i="10" s="1"/>
  <c r="AC463" i="10" s="1"/>
  <c r="P599" i="10"/>
  <c r="P730" i="10"/>
  <c r="V730" i="10" s="1"/>
  <c r="P323" i="10"/>
  <c r="V323" i="10" s="1"/>
  <c r="P52" i="10"/>
  <c r="AA391" i="10" s="1"/>
  <c r="AE391" i="10" s="1"/>
  <c r="P132" i="10"/>
  <c r="AA139" i="10" s="1"/>
  <c r="AE139" i="10" s="1"/>
  <c r="P130" i="10"/>
  <c r="P484" i="10"/>
  <c r="P657" i="10"/>
  <c r="V657" i="10" s="1"/>
  <c r="P157" i="10"/>
  <c r="W157" i="10" s="1"/>
  <c r="P146" i="10"/>
  <c r="W146" i="10" s="1"/>
  <c r="P259" i="10"/>
  <c r="W259" i="10" s="1"/>
  <c r="P447" i="10"/>
  <c r="V447" i="10" s="1"/>
  <c r="P282" i="10"/>
  <c r="P598" i="10"/>
  <c r="P213" i="10"/>
  <c r="P24" i="10"/>
  <c r="W24" i="10" s="1"/>
  <c r="P382" i="10"/>
  <c r="V382" i="10" s="1"/>
  <c r="P704" i="10"/>
  <c r="W704" i="10" s="1"/>
  <c r="P699" i="10"/>
  <c r="V699" i="10" s="1"/>
  <c r="P689" i="10"/>
  <c r="V689" i="10" s="1"/>
  <c r="P758" i="10"/>
  <c r="V758" i="10" s="1"/>
  <c r="P264" i="10"/>
  <c r="AB232" i="10" s="1"/>
  <c r="P696" i="10"/>
  <c r="AB630" i="10" s="1"/>
  <c r="P344" i="10"/>
  <c r="V344" i="10" s="1"/>
  <c r="P468" i="10"/>
  <c r="X495" i="10" s="1"/>
  <c r="Y495" i="10" s="1"/>
  <c r="P428" i="10"/>
  <c r="P11" i="10"/>
  <c r="V11" i="10" s="1"/>
  <c r="P686" i="10"/>
  <c r="W686" i="10" s="1"/>
  <c r="P277" i="10"/>
  <c r="P39" i="10"/>
  <c r="W39" i="10" s="1"/>
  <c r="P441" i="10"/>
  <c r="V441" i="10" s="1"/>
  <c r="P681" i="10"/>
  <c r="V681" i="10" s="1"/>
  <c r="P593" i="10"/>
  <c r="P370" i="10"/>
  <c r="V370" i="10" s="1"/>
  <c r="P273" i="10"/>
  <c r="AB581" i="10" s="1"/>
  <c r="AC581" i="10" s="1"/>
  <c r="P50" i="10"/>
  <c r="W50" i="10" s="1"/>
  <c r="P313" i="10"/>
  <c r="V313" i="10" s="1"/>
  <c r="P345" i="10"/>
  <c r="V345" i="10" s="1"/>
  <c r="P330" i="10"/>
  <c r="P415" i="10"/>
  <c r="V415" i="10" s="1"/>
  <c r="P399" i="10"/>
  <c r="V399" i="10" s="1"/>
  <c r="P471" i="10"/>
  <c r="X547" i="10" s="1"/>
  <c r="Y547" i="10" s="1"/>
  <c r="P579" i="10"/>
  <c r="X580" i="10" s="1"/>
  <c r="Y580" i="10" s="1"/>
  <c r="P18" i="10"/>
  <c r="W18" i="10" s="1"/>
  <c r="P687" i="10"/>
  <c r="P610" i="10"/>
  <c r="V610" i="10" s="1"/>
  <c r="P611" i="10"/>
  <c r="P234" i="10"/>
  <c r="V234" i="10" s="1"/>
  <c r="P40" i="10"/>
  <c r="P275" i="10"/>
  <c r="W275" i="10" s="1"/>
  <c r="P276" i="10"/>
  <c r="W276" i="10" s="1"/>
  <c r="P395" i="10"/>
  <c r="P683" i="10"/>
  <c r="P431" i="10"/>
  <c r="V431" i="10" s="1"/>
  <c r="P435" i="10"/>
  <c r="W435" i="10" s="1"/>
  <c r="P391" i="10"/>
  <c r="P139" i="10"/>
  <c r="V139" i="10" s="1"/>
  <c r="P700" i="10"/>
  <c r="AB701" i="10" s="1"/>
  <c r="P502" i="10"/>
  <c r="W502" i="10" s="1"/>
  <c r="P352" i="10"/>
  <c r="P751" i="10"/>
  <c r="W751" i="10" s="1"/>
  <c r="P750" i="10"/>
  <c r="P432" i="10"/>
  <c r="P537" i="10"/>
  <c r="X519" i="10" s="1"/>
  <c r="Y519" i="10" s="1"/>
  <c r="P655" i="10"/>
  <c r="V655" i="10" s="1"/>
  <c r="P702" i="10"/>
  <c r="V702" i="10" s="1"/>
  <c r="P215" i="10"/>
  <c r="V215" i="10" s="1"/>
  <c r="P230" i="10"/>
  <c r="P713" i="10"/>
  <c r="AA735" i="10" s="1"/>
  <c r="AE735" i="10" s="1"/>
  <c r="P183" i="10"/>
  <c r="P633" i="10"/>
  <c r="V633" i="10" s="1"/>
  <c r="P4" i="10"/>
  <c r="W4" i="10" s="1"/>
  <c r="P51" i="10"/>
  <c r="W51" i="10" s="1"/>
  <c r="P667" i="10"/>
  <c r="W667" i="10" s="1"/>
  <c r="P107" i="10"/>
  <c r="W107" i="10" s="1"/>
  <c r="P439" i="10"/>
  <c r="W439" i="10" s="1"/>
  <c r="P153" i="10"/>
  <c r="X296" i="10" s="1"/>
  <c r="Y296" i="10" s="1"/>
  <c r="P369" i="10"/>
  <c r="W369" i="10" s="1"/>
  <c r="P714" i="10"/>
  <c r="P493" i="10"/>
  <c r="W493" i="10" s="1"/>
  <c r="P45" i="10"/>
  <c r="V45" i="10" s="1"/>
  <c r="P41" i="10"/>
  <c r="W41" i="10" s="1"/>
  <c r="P666" i="10"/>
  <c r="AB346" i="10" s="1"/>
  <c r="P636" i="10"/>
  <c r="P365" i="10"/>
  <c r="P661" i="10"/>
  <c r="P623" i="10"/>
  <c r="V623" i="10" s="1"/>
  <c r="P38" i="10"/>
  <c r="P265" i="10"/>
  <c r="P422" i="10"/>
  <c r="P100" i="10"/>
  <c r="AA100" i="10" s="1"/>
  <c r="AE100" i="10" s="1"/>
  <c r="P54" i="10"/>
  <c r="V54" i="10" s="1"/>
  <c r="P426" i="10"/>
  <c r="V426" i="10" s="1"/>
  <c r="P586" i="10"/>
  <c r="AB587" i="10" s="1"/>
  <c r="AD587" i="10" s="1"/>
  <c r="P122" i="10"/>
  <c r="AA122" i="10" s="1"/>
  <c r="AE122" i="10" s="1"/>
  <c r="P55" i="10"/>
  <c r="V55" i="10" s="1"/>
  <c r="P138" i="10"/>
  <c r="W138" i="10" s="1"/>
  <c r="P420" i="10"/>
  <c r="Z555" i="10" s="1"/>
  <c r="P421" i="10"/>
  <c r="S538" i="10" s="1"/>
  <c r="P224" i="10"/>
  <c r="P125" i="10"/>
  <c r="P662" i="10"/>
  <c r="P757" i="10"/>
  <c r="P131" i="10"/>
  <c r="V131" i="10" s="1"/>
  <c r="P280" i="10"/>
  <c r="P656" i="10"/>
  <c r="V656" i="10" s="1"/>
  <c r="P329" i="10"/>
  <c r="P328" i="10"/>
  <c r="V328" i="10" s="1"/>
  <c r="P363" i="10"/>
  <c r="AB362" i="10" s="1"/>
  <c r="AC362" i="10" s="1"/>
  <c r="P364" i="10"/>
  <c r="V364" i="10" s="1"/>
  <c r="P203" i="10"/>
  <c r="V203" i="10" s="1"/>
  <c r="P229" i="10"/>
  <c r="V229" i="10" s="1"/>
  <c r="P501" i="10"/>
  <c r="R250" i="10"/>
  <c r="T250" i="10" s="1"/>
  <c r="R651" i="10"/>
  <c r="T651" i="10" s="1"/>
  <c r="R652" i="10"/>
  <c r="R82" i="10"/>
  <c r="T82" i="10" s="1"/>
  <c r="R196" i="10"/>
  <c r="R718" i="10"/>
  <c r="T718" i="10" s="1"/>
  <c r="R233" i="10"/>
  <c r="T233" i="10" s="1"/>
  <c r="R632" i="10"/>
  <c r="R77" i="10"/>
  <c r="T77" i="10" s="1"/>
  <c r="R176" i="10"/>
  <c r="T176" i="10" s="1"/>
  <c r="R194" i="10"/>
  <c r="T194" i="10" s="1"/>
  <c r="R227" i="10"/>
  <c r="T227" i="10" s="1"/>
  <c r="R641" i="10"/>
  <c r="R342" i="10"/>
  <c r="T342" i="10" s="1"/>
  <c r="R261" i="10"/>
  <c r="T261" i="10" s="1"/>
  <c r="R137" i="10"/>
  <c r="T137" i="10" s="1"/>
  <c r="R17" i="10"/>
  <c r="T17" i="10" s="1"/>
  <c r="R335" i="10"/>
  <c r="T335" i="10" s="1"/>
  <c r="R124" i="10"/>
  <c r="T124" i="10" s="1"/>
  <c r="R511" i="10"/>
  <c r="R147" i="10"/>
  <c r="T147" i="10" s="1"/>
  <c r="R494" i="10"/>
  <c r="T494" i="10" s="1"/>
  <c r="R95" i="10"/>
  <c r="T95" i="10" s="1"/>
  <c r="R622" i="10"/>
  <c r="T622" i="10" s="1"/>
  <c r="R462" i="10"/>
  <c r="R288" i="10"/>
  <c r="T288" i="10" s="1"/>
  <c r="R674" i="10"/>
  <c r="R544" i="10"/>
  <c r="T544" i="10" s="1"/>
  <c r="R617" i="10"/>
  <c r="T617" i="10" s="1"/>
  <c r="R223" i="10"/>
  <c r="T223" i="10" s="1"/>
  <c r="R220" i="10"/>
  <c r="T220" i="10" s="1"/>
  <c r="R53" i="10"/>
  <c r="T53" i="10" s="1"/>
  <c r="R303" i="10"/>
  <c r="T303" i="10" s="1"/>
  <c r="R302" i="10"/>
  <c r="T302" i="10" s="1"/>
  <c r="R739" i="10"/>
  <c r="T739" i="10" s="1"/>
  <c r="R725" i="10"/>
  <c r="T725" i="10" s="1"/>
  <c r="R101" i="10"/>
  <c r="T101" i="10" s="1"/>
  <c r="R304" i="10"/>
  <c r="T304" i="10" s="1"/>
  <c r="R27" i="10"/>
  <c r="T27" i="10" s="1"/>
  <c r="R465" i="10"/>
  <c r="T465" i="10" s="1"/>
  <c r="R6" i="10"/>
  <c r="T6" i="10" s="1"/>
  <c r="R86" i="10"/>
  <c r="R93" i="10"/>
  <c r="R427" i="10"/>
  <c r="T427" i="10" s="1"/>
  <c r="R430" i="10"/>
  <c r="T430" i="10" s="1"/>
  <c r="R716" i="10"/>
  <c r="R96" i="10"/>
  <c r="T96" i="10" s="1"/>
  <c r="R42" i="10"/>
  <c r="T42" i="10" s="1"/>
  <c r="R543" i="10"/>
  <c r="T543" i="10" s="1"/>
  <c r="R771" i="10"/>
  <c r="T771" i="10" s="1"/>
  <c r="R222" i="10"/>
  <c r="T222" i="10" s="1"/>
  <c r="R692" i="10"/>
  <c r="R200" i="10"/>
  <c r="T200" i="10" s="1"/>
  <c r="R770" i="10"/>
  <c r="T770" i="10" s="1"/>
  <c r="R13" i="10"/>
  <c r="R334" i="10"/>
  <c r="T334" i="10" s="1"/>
  <c r="R207" i="10"/>
  <c r="R10" i="10"/>
  <c r="T10" i="10" s="1"/>
  <c r="R30" i="10"/>
  <c r="R283" i="10"/>
  <c r="T283" i="10" s="1"/>
  <c r="R195" i="10"/>
  <c r="T195" i="10" s="1"/>
  <c r="R584" i="10"/>
  <c r="T584" i="10" s="1"/>
  <c r="R102" i="10"/>
  <c r="R727" i="10"/>
  <c r="T727" i="10" s="1"/>
  <c r="R179" i="10"/>
  <c r="R272" i="10"/>
  <c r="T272" i="10" s="1"/>
  <c r="R268" i="10"/>
  <c r="R646" i="10"/>
  <c r="T646" i="10" s="1"/>
  <c r="R601" i="10"/>
  <c r="T601" i="10" s="1"/>
  <c r="R642" i="10"/>
  <c r="T642" i="10" s="1"/>
  <c r="R405" i="10"/>
  <c r="R278" i="10"/>
  <c r="T278" i="10" s="1"/>
  <c r="R568" i="10"/>
  <c r="T568" i="10" s="1"/>
  <c r="R729" i="10"/>
  <c r="R542" i="10"/>
  <c r="R89" i="10"/>
  <c r="T89" i="10" s="1"/>
  <c r="R600" i="10"/>
  <c r="T600" i="10" s="1"/>
  <c r="R664" i="10"/>
  <c r="T664" i="10" s="1"/>
  <c r="R663" i="10"/>
  <c r="T663" i="10" s="1"/>
  <c r="R84" i="10"/>
  <c r="T84" i="10" s="1"/>
  <c r="R407" i="10"/>
  <c r="T407" i="10" s="1"/>
  <c r="R516" i="10"/>
  <c r="T516" i="10" s="1"/>
  <c r="R759" i="10"/>
  <c r="T759" i="10" s="1"/>
  <c r="R165" i="10"/>
  <c r="T165" i="10" s="1"/>
  <c r="R80" i="10"/>
  <c r="T80" i="10" s="1"/>
  <c r="R437" i="10"/>
  <c r="R768" i="10"/>
  <c r="T768" i="10" s="1"/>
  <c r="R279" i="10"/>
  <c r="T279" i="10" s="1"/>
  <c r="R98" i="10"/>
  <c r="R429" i="10"/>
  <c r="T429" i="10" s="1"/>
  <c r="R482" i="10"/>
  <c r="R454" i="10"/>
  <c r="T454" i="10" s="1"/>
  <c r="R705" i="10"/>
  <c r="T705" i="10" s="1"/>
  <c r="R256" i="10"/>
  <c r="T256" i="10" s="1"/>
  <c r="R31" i="10"/>
  <c r="T31" i="10" s="1"/>
  <c r="R396" i="10"/>
  <c r="R470" i="10"/>
  <c r="R372" i="10"/>
  <c r="R433" i="10"/>
  <c r="R684" i="10"/>
  <c r="T684" i="10" s="1"/>
  <c r="R29" i="10"/>
  <c r="R257" i="10"/>
  <c r="T257" i="10" s="1"/>
  <c r="R412" i="10"/>
  <c r="R281" i="10"/>
  <c r="T281" i="10" s="1"/>
  <c r="R620" i="10"/>
  <c r="T620" i="10" s="1"/>
  <c r="R619" i="10"/>
  <c r="R43" i="10"/>
  <c r="T43" i="10" s="1"/>
  <c r="R266" i="10"/>
  <c r="T266" i="10" s="1"/>
  <c r="R621" i="10"/>
  <c r="T621" i="10" s="1"/>
  <c r="R483" i="10"/>
  <c r="T483" i="10" s="1"/>
  <c r="R201" i="10"/>
  <c r="T201" i="10" s="1"/>
  <c r="R708" i="10"/>
  <c r="R158" i="10"/>
  <c r="R753" i="10"/>
  <c r="T753" i="10" s="1"/>
  <c r="R238" i="10"/>
  <c r="R371" i="10"/>
  <c r="T371" i="10" s="1"/>
  <c r="R703" i="10"/>
  <c r="R728" i="10"/>
  <c r="R473" i="10"/>
  <c r="T473" i="10" s="1"/>
  <c r="R123" i="10"/>
  <c r="R397" i="10"/>
  <c r="T397" i="10" s="1"/>
  <c r="R94" i="10"/>
  <c r="T94" i="10" s="1"/>
  <c r="R202" i="10"/>
  <c r="T202" i="10" s="1"/>
  <c r="R129" i="10"/>
  <c r="T129" i="10" s="1"/>
  <c r="R262" i="10"/>
  <c r="T262" i="10" s="1"/>
  <c r="R731" i="10"/>
  <c r="T731" i="10" s="1"/>
  <c r="R198" i="10"/>
  <c r="T198" i="10" s="1"/>
  <c r="R133" i="10"/>
  <c r="T133" i="10" s="1"/>
  <c r="R769" i="10"/>
  <c r="T769" i="10" s="1"/>
  <c r="R128" i="10"/>
  <c r="T128" i="10" s="1"/>
  <c r="R752" i="10"/>
  <c r="R274" i="10"/>
  <c r="T274" i="10" s="1"/>
  <c r="R438" i="10"/>
  <c r="R668" i="10"/>
  <c r="T668" i="10" s="1"/>
  <c r="R754" i="10"/>
  <c r="R755" i="10"/>
  <c r="T755" i="10" s="1"/>
  <c r="R738" i="10"/>
  <c r="R418" i="10"/>
  <c r="R599" i="10"/>
  <c r="R730" i="10"/>
  <c r="T730" i="10" s="1"/>
  <c r="R323" i="10"/>
  <c r="T323" i="10" s="1"/>
  <c r="R52" i="10"/>
  <c r="T52" i="10" s="1"/>
  <c r="R132" i="10"/>
  <c r="R130" i="10"/>
  <c r="T130" i="10" s="1"/>
  <c r="R484" i="10"/>
  <c r="T484" i="10" s="1"/>
  <c r="R657" i="10"/>
  <c r="T657" i="10" s="1"/>
  <c r="R157" i="10"/>
  <c r="R146" i="10"/>
  <c r="R259" i="10"/>
  <c r="R447" i="10"/>
  <c r="T447" i="10" s="1"/>
  <c r="R282" i="10"/>
  <c r="T282" i="10" s="1"/>
  <c r="R598" i="10"/>
  <c r="T598" i="10" s="1"/>
  <c r="R213" i="10"/>
  <c r="T213" i="10" s="1"/>
  <c r="R24" i="10"/>
  <c r="T24" i="10" s="1"/>
  <c r="R382" i="10"/>
  <c r="T382" i="10" s="1"/>
  <c r="R704" i="10"/>
  <c r="T704" i="10" s="1"/>
  <c r="R699" i="10"/>
  <c r="R689" i="10"/>
  <c r="T689" i="10" s="1"/>
  <c r="R758" i="10"/>
  <c r="T758" i="10" s="1"/>
  <c r="R264" i="10"/>
  <c r="R696" i="10"/>
  <c r="R344" i="10"/>
  <c r="T344" i="10" s="1"/>
  <c r="R468" i="10"/>
  <c r="R428" i="10"/>
  <c r="T428" i="10" s="1"/>
  <c r="R11" i="10"/>
  <c r="T11" i="10" s="1"/>
  <c r="R686" i="10"/>
  <c r="R277" i="10"/>
  <c r="T277" i="10" s="1"/>
  <c r="R39" i="10"/>
  <c r="T39" i="10" s="1"/>
  <c r="R441" i="10"/>
  <c r="T441" i="10" s="1"/>
  <c r="R681" i="10"/>
  <c r="R593" i="10"/>
  <c r="R370" i="10"/>
  <c r="T370" i="10" s="1"/>
  <c r="R273" i="10"/>
  <c r="T273" i="10" s="1"/>
  <c r="R50" i="10"/>
  <c r="R313" i="10"/>
  <c r="T313" i="10" s="1"/>
  <c r="R345" i="10"/>
  <c r="T345" i="10" s="1"/>
  <c r="R330" i="10"/>
  <c r="T330" i="10" s="1"/>
  <c r="R415" i="10"/>
  <c r="T415" i="10" s="1"/>
  <c r="R399" i="10"/>
  <c r="T399" i="10" s="1"/>
  <c r="R471" i="10"/>
  <c r="R579" i="10"/>
  <c r="T579" i="10" s="1"/>
  <c r="R18" i="10"/>
  <c r="T18" i="10" s="1"/>
  <c r="R687" i="10"/>
  <c r="T687" i="10" s="1"/>
  <c r="R610" i="10"/>
  <c r="T610" i="10" s="1"/>
  <c r="R611" i="10"/>
  <c r="T611" i="10" s="1"/>
  <c r="R234" i="10"/>
  <c r="T234" i="10" s="1"/>
  <c r="R40" i="10"/>
  <c r="T40" i="10" s="1"/>
  <c r="R275" i="10"/>
  <c r="R276" i="10"/>
  <c r="R395" i="10"/>
  <c r="R683" i="10"/>
  <c r="R431" i="10"/>
  <c r="T431" i="10" s="1"/>
  <c r="R435" i="10"/>
  <c r="T435" i="10" s="1"/>
  <c r="R391" i="10"/>
  <c r="T391" i="10" s="1"/>
  <c r="R139" i="10"/>
  <c r="T139" i="10" s="1"/>
  <c r="R700" i="10"/>
  <c r="T700" i="10" s="1"/>
  <c r="R502" i="10"/>
  <c r="R352" i="10"/>
  <c r="T352" i="10" s="1"/>
  <c r="R751" i="10"/>
  <c r="T751" i="10" s="1"/>
  <c r="R750" i="10"/>
  <c r="T750" i="10" s="1"/>
  <c r="R432" i="10"/>
  <c r="T432" i="10" s="1"/>
  <c r="R537" i="10"/>
  <c r="T537" i="10" s="1"/>
  <c r="R655" i="10"/>
  <c r="R702" i="10"/>
  <c r="T702" i="10" s="1"/>
  <c r="R215" i="10"/>
  <c r="T215" i="10" s="1"/>
  <c r="R230" i="10"/>
  <c r="R713" i="10"/>
  <c r="R183" i="10"/>
  <c r="T183" i="10" s="1"/>
  <c r="R633" i="10"/>
  <c r="T633" i="10" s="1"/>
  <c r="R4" i="10"/>
  <c r="T4" i="10" s="1"/>
  <c r="R51" i="10"/>
  <c r="T51" i="10" s="1"/>
  <c r="R667" i="10"/>
  <c r="T667" i="10" s="1"/>
  <c r="R107" i="10"/>
  <c r="T107" i="10" s="1"/>
  <c r="R439" i="10"/>
  <c r="T439" i="10" s="1"/>
  <c r="R153" i="10"/>
  <c r="T153" i="10" s="1"/>
  <c r="R369" i="10"/>
  <c r="T369" i="10" s="1"/>
  <c r="R714" i="10"/>
  <c r="T714" i="10" s="1"/>
  <c r="R493" i="10"/>
  <c r="T493" i="10" s="1"/>
  <c r="R45" i="10"/>
  <c r="T45" i="10" s="1"/>
  <c r="R41" i="10"/>
  <c r="T41" i="10" s="1"/>
  <c r="R666" i="10"/>
  <c r="R636" i="10"/>
  <c r="T636" i="10" s="1"/>
  <c r="R365" i="10"/>
  <c r="R661" i="10"/>
  <c r="R623" i="10"/>
  <c r="T623" i="10" s="1"/>
  <c r="R38" i="10"/>
  <c r="R265" i="10"/>
  <c r="T265" i="10" s="1"/>
  <c r="R422" i="10"/>
  <c r="R100" i="10"/>
  <c r="T100" i="10" s="1"/>
  <c r="R54" i="10"/>
  <c r="T54" i="10" s="1"/>
  <c r="R426" i="10"/>
  <c r="T426" i="10" s="1"/>
  <c r="R586" i="10"/>
  <c r="T586" i="10" s="1"/>
  <c r="R122" i="10"/>
  <c r="R55" i="10"/>
  <c r="T55" i="10" s="1"/>
  <c r="R138" i="10"/>
  <c r="T138" i="10" s="1"/>
  <c r="R420" i="10"/>
  <c r="T420" i="10" s="1"/>
  <c r="R421" i="10"/>
  <c r="T421" i="10" s="1"/>
  <c r="R224" i="10"/>
  <c r="R125" i="10"/>
  <c r="T125" i="10" s="1"/>
  <c r="R662" i="10"/>
  <c r="T662" i="10" s="1"/>
  <c r="R757" i="10"/>
  <c r="R131" i="10"/>
  <c r="T131" i="10" s="1"/>
  <c r="R280" i="10"/>
  <c r="T280" i="10" s="1"/>
  <c r="R656" i="10"/>
  <c r="T656" i="10" s="1"/>
  <c r="R329" i="10"/>
  <c r="T329" i="10" s="1"/>
  <c r="R328" i="10"/>
  <c r="T328" i="10" s="1"/>
  <c r="R363" i="10"/>
  <c r="T363" i="10" s="1"/>
  <c r="R364" i="10"/>
  <c r="T364" i="10" s="1"/>
  <c r="R203" i="10"/>
  <c r="T203" i="10" s="1"/>
  <c r="R229" i="10"/>
  <c r="R501" i="10"/>
  <c r="T501" i="10" s="1"/>
  <c r="AD590" i="10" l="1"/>
  <c r="E17" i="19"/>
  <c r="W28" i="17"/>
  <c r="AD181" i="10"/>
  <c r="AD164" i="10"/>
  <c r="T655" i="10"/>
  <c r="T754" i="10"/>
  <c r="Z761" i="10"/>
  <c r="AB175" i="10"/>
  <c r="S463" i="10"/>
  <c r="AC530" i="10"/>
  <c r="AB219" i="10"/>
  <c r="AD219" i="10" s="1"/>
  <c r="X474" i="10"/>
  <c r="Y474" i="10" s="1"/>
  <c r="Z760" i="10"/>
  <c r="X368" i="10"/>
  <c r="Y368" i="10" s="1"/>
  <c r="AD745" i="10"/>
  <c r="X761" i="10"/>
  <c r="Y761" i="10" s="1"/>
  <c r="AB576" i="10"/>
  <c r="AC576" i="10" s="1"/>
  <c r="Z474" i="10"/>
  <c r="T365" i="10"/>
  <c r="T599" i="10"/>
  <c r="T471" i="10"/>
  <c r="T699" i="10"/>
  <c r="T238" i="10"/>
  <c r="T652" i="10"/>
  <c r="Z673" i="10"/>
  <c r="T738" i="10"/>
  <c r="T462" i="10"/>
  <c r="AA422" i="10"/>
  <c r="AE422" i="10" s="1"/>
  <c r="AB519" i="10"/>
  <c r="AC519" i="10" s="1"/>
  <c r="T158" i="10"/>
  <c r="AD28" i="10"/>
  <c r="E15" i="19"/>
  <c r="E16" i="19"/>
  <c r="AA472" i="10"/>
  <c r="AE472" i="10" s="1"/>
  <c r="AD737" i="10"/>
  <c r="AD443" i="10"/>
  <c r="AD69" i="10"/>
  <c r="Z693" i="10"/>
  <c r="AD479" i="10"/>
  <c r="AD333" i="10"/>
  <c r="X693" i="10"/>
  <c r="Y693" i="10" s="1"/>
  <c r="X724" i="10"/>
  <c r="Y724" i="10" s="1"/>
  <c r="AC670" i="10"/>
  <c r="AB167" i="10"/>
  <c r="AC167" i="10" s="1"/>
  <c r="AD83" i="10"/>
  <c r="AA693" i="10"/>
  <c r="AE693" i="10" s="1"/>
  <c r="AD764" i="10"/>
  <c r="AB242" i="10"/>
  <c r="AC242" i="10" s="1"/>
  <c r="X549" i="10"/>
  <c r="Y549" i="10" s="1"/>
  <c r="AB267" i="10"/>
  <c r="AD267" i="10" s="1"/>
  <c r="T372" i="10"/>
  <c r="T468" i="10"/>
  <c r="T470" i="10"/>
  <c r="T542" i="10"/>
  <c r="Z570" i="10"/>
  <c r="T422" i="10"/>
  <c r="T230" i="10"/>
  <c r="T728" i="10"/>
  <c r="T396" i="10"/>
  <c r="T729" i="10"/>
  <c r="T692" i="10"/>
  <c r="X607" i="10"/>
  <c r="Y607" i="10" s="1"/>
  <c r="X570" i="10"/>
  <c r="Y570" i="10" s="1"/>
  <c r="AB35" i="10"/>
  <c r="AC35" i="10" s="1"/>
  <c r="Z35" i="10"/>
  <c r="X535" i="10"/>
  <c r="Y535" i="10" s="1"/>
  <c r="AD635" i="10"/>
  <c r="AD749" i="10"/>
  <c r="AD665" i="10"/>
  <c r="Z296" i="10"/>
  <c r="AC414" i="10"/>
  <c r="AB338" i="10"/>
  <c r="AD338" i="10" s="1"/>
  <c r="X37" i="10"/>
  <c r="Y37" i="10" s="1"/>
  <c r="Z37" i="10"/>
  <c r="AB535" i="10"/>
  <c r="AD535" i="10" s="1"/>
  <c r="AC737" i="10"/>
  <c r="S535" i="10"/>
  <c r="AA760" i="10"/>
  <c r="AE760" i="10" s="1"/>
  <c r="T268" i="10"/>
  <c r="AB688" i="10"/>
  <c r="AC688" i="10" s="1"/>
  <c r="Z690" i="10"/>
  <c r="AB367" i="10"/>
  <c r="AC367" i="10" s="1"/>
  <c r="AD411" i="10"/>
  <c r="Z419" i="10"/>
  <c r="X219" i="10"/>
  <c r="Y219" i="10" s="1"/>
  <c r="AA652" i="10"/>
  <c r="AE652" i="10" s="1"/>
  <c r="X673" i="10"/>
  <c r="Y673" i="10" s="1"/>
  <c r="AC736" i="10"/>
  <c r="AD403" i="10"/>
  <c r="AB485" i="10"/>
  <c r="AC485" i="10" s="1"/>
  <c r="T716" i="10"/>
  <c r="T98" i="10"/>
  <c r="Z603" i="10"/>
  <c r="AB673" i="10"/>
  <c r="AC673" i="10" s="1"/>
  <c r="AD117" i="10"/>
  <c r="AD332" i="10"/>
  <c r="AD467" i="10"/>
  <c r="AD70" i="10"/>
  <c r="AD57" i="10"/>
  <c r="Z463" i="10"/>
  <c r="AC337" i="10"/>
  <c r="AB59" i="10"/>
  <c r="AC643" i="10"/>
  <c r="AD643" i="10"/>
  <c r="AD120" i="10"/>
  <c r="AC120" i="10"/>
  <c r="AC466" i="10"/>
  <c r="AD466" i="10"/>
  <c r="AC322" i="10"/>
  <c r="AD322" i="10"/>
  <c r="AD630" i="10"/>
  <c r="AC630" i="10"/>
  <c r="AC232" i="10"/>
  <c r="AD232" i="10"/>
  <c r="AD346" i="10"/>
  <c r="AC346" i="10"/>
  <c r="AD565" i="10"/>
  <c r="AC565" i="10"/>
  <c r="AC119" i="10"/>
  <c r="AD119" i="10"/>
  <c r="W714" i="10"/>
  <c r="Z627" i="10"/>
  <c r="AB653" i="10"/>
  <c r="Z653" i="10"/>
  <c r="X653" i="10"/>
  <c r="Y653" i="10" s="1"/>
  <c r="X627" i="10"/>
  <c r="Y627" i="10" s="1"/>
  <c r="Z299" i="10"/>
  <c r="X81" i="10"/>
  <c r="Y81" i="10" s="1"/>
  <c r="X26" i="10"/>
  <c r="Y26" i="10" s="1"/>
  <c r="X267" i="10"/>
  <c r="Y267" i="10" s="1"/>
  <c r="X417" i="10"/>
  <c r="Y417" i="10" s="1"/>
  <c r="Z581" i="10"/>
  <c r="S486" i="10"/>
  <c r="V277" i="10"/>
  <c r="X113" i="10"/>
  <c r="Y113" i="10" s="1"/>
  <c r="Z113" i="10"/>
  <c r="AA412" i="10"/>
  <c r="AE412" i="10" s="1"/>
  <c r="Z49" i="10"/>
  <c r="AB436" i="10"/>
  <c r="AC436" i="10" s="1"/>
  <c r="AA474" i="10"/>
  <c r="AE474" i="10" s="1"/>
  <c r="Z458" i="10"/>
  <c r="W683" i="10"/>
  <c r="Z784" i="10"/>
  <c r="X784" i="10"/>
  <c r="Y784" i="10" s="1"/>
  <c r="AA784" i="10"/>
  <c r="AE784" i="10" s="1"/>
  <c r="Z218" i="10"/>
  <c r="Z26" i="10"/>
  <c r="AA200" i="10"/>
  <c r="AE200" i="10" s="1"/>
  <c r="V200" i="10"/>
  <c r="AA176" i="10"/>
  <c r="AE176" i="10" s="1"/>
  <c r="V77" i="10"/>
  <c r="T757" i="10"/>
  <c r="T502" i="10"/>
  <c r="T93" i="10"/>
  <c r="AA534" i="10"/>
  <c r="X534" i="10"/>
  <c r="Y534" i="10" s="1"/>
  <c r="Z534" i="10"/>
  <c r="AA682" i="10"/>
  <c r="AE682" i="10" s="1"/>
  <c r="X490" i="10"/>
  <c r="Y490" i="10" s="1"/>
  <c r="Z490" i="10"/>
  <c r="AA490" i="10"/>
  <c r="Z524" i="10"/>
  <c r="X524" i="10"/>
  <c r="Y524" i="10" s="1"/>
  <c r="AA524" i="10"/>
  <c r="AA531" i="10"/>
  <c r="Z531" i="10"/>
  <c r="X531" i="10"/>
  <c r="Y531" i="10" s="1"/>
  <c r="AB424" i="10"/>
  <c r="X424" i="10"/>
  <c r="Y424" i="10" s="1"/>
  <c r="Z424" i="10"/>
  <c r="W608" i="10"/>
  <c r="X170" i="10"/>
  <c r="Y170" i="10" s="1"/>
  <c r="Z170" i="10"/>
  <c r="S344" i="10"/>
  <c r="X603" i="10"/>
  <c r="Y603" i="10" s="1"/>
  <c r="AB398" i="10"/>
  <c r="X701" i="10"/>
  <c r="Y701" i="10" s="1"/>
  <c r="Z219" i="10"/>
  <c r="AB697" i="10"/>
  <c r="AD787" i="10"/>
  <c r="AD734" i="10"/>
  <c r="W129" i="10"/>
  <c r="V129" i="10"/>
  <c r="W342" i="10"/>
  <c r="V342" i="10"/>
  <c r="X142" i="10"/>
  <c r="Y142" i="10" s="1"/>
  <c r="W29" i="10"/>
  <c r="Z28" i="10"/>
  <c r="AB314" i="10"/>
  <c r="AC314" i="10" s="1"/>
  <c r="AB425" i="10"/>
  <c r="Z425" i="10"/>
  <c r="X425" i="10"/>
  <c r="Y425" i="10" s="1"/>
  <c r="AA527" i="10"/>
  <c r="X527" i="10"/>
  <c r="Y527" i="10" s="1"/>
  <c r="Z527" i="10"/>
  <c r="T437" i="10"/>
  <c r="T86" i="10"/>
  <c r="T511" i="10"/>
  <c r="W265" i="10"/>
  <c r="V265" i="10"/>
  <c r="AA697" i="10"/>
  <c r="AE697" i="10" s="1"/>
  <c r="X575" i="10"/>
  <c r="Y575" i="10" s="1"/>
  <c r="Z575" i="10"/>
  <c r="Z630" i="10"/>
  <c r="X630" i="10"/>
  <c r="Y630" i="10" s="1"/>
  <c r="X643" i="10"/>
  <c r="Y643" i="10" s="1"/>
  <c r="Z643" i="10"/>
  <c r="X466" i="10"/>
  <c r="Y466" i="10" s="1"/>
  <c r="Z466" i="10"/>
  <c r="W617" i="10"/>
  <c r="V617" i="10"/>
  <c r="V233" i="10"/>
  <c r="X171" i="10"/>
  <c r="Y171" i="10" s="1"/>
  <c r="Z171" i="10"/>
  <c r="W609" i="10"/>
  <c r="V609" i="10"/>
  <c r="Z701" i="10"/>
  <c r="Z269" i="10"/>
  <c r="AB416" i="10"/>
  <c r="AC416" i="10" s="1"/>
  <c r="AA495" i="10"/>
  <c r="AE495" i="10" s="1"/>
  <c r="AD197" i="10"/>
  <c r="X59" i="10"/>
  <c r="Y59" i="10" s="1"/>
  <c r="X779" i="10"/>
  <c r="Y779" i="10" s="1"/>
  <c r="S416" i="10"/>
  <c r="Z669" i="10"/>
  <c r="S779" i="10"/>
  <c r="W125" i="10"/>
  <c r="X121" i="10"/>
  <c r="Y121" i="10" s="1"/>
  <c r="Z121" i="10"/>
  <c r="X463" i="10"/>
  <c r="Y463" i="10" s="1"/>
  <c r="AA690" i="10"/>
  <c r="AE690" i="10" s="1"/>
  <c r="AB487" i="10"/>
  <c r="Z81" i="10"/>
  <c r="AB113" i="10"/>
  <c r="W38" i="10"/>
  <c r="V38" i="10"/>
  <c r="AB645" i="10"/>
  <c r="AC645" i="10" s="1"/>
  <c r="Z457" i="10"/>
  <c r="X457" i="10"/>
  <c r="Y457" i="10" s="1"/>
  <c r="X232" i="10"/>
  <c r="Y232" i="10" s="1"/>
  <c r="Z232" i="10"/>
  <c r="S373" i="10"/>
  <c r="S576" i="10"/>
  <c r="Z576" i="10"/>
  <c r="X577" i="10"/>
  <c r="Y577" i="10" s="1"/>
  <c r="Z577" i="10"/>
  <c r="X576" i="10"/>
  <c r="Y576" i="10" s="1"/>
  <c r="Z120" i="10"/>
  <c r="X120" i="10"/>
  <c r="Y120" i="10" s="1"/>
  <c r="X292" i="10"/>
  <c r="Y292" i="10" s="1"/>
  <c r="Z292" i="10"/>
  <c r="AB299" i="10"/>
  <c r="AC299" i="10" s="1"/>
  <c r="T224" i="10"/>
  <c r="Z362" i="10"/>
  <c r="X362" i="10"/>
  <c r="Y362" i="10" s="1"/>
  <c r="V640" i="10"/>
  <c r="X639" i="10"/>
  <c r="Y639" i="10" s="1"/>
  <c r="Z639" i="10"/>
  <c r="Z440" i="10"/>
  <c r="Z535" i="10"/>
  <c r="AB37" i="10"/>
  <c r="AC37" i="10" s="1"/>
  <c r="AB538" i="10"/>
  <c r="AC538" i="10" s="1"/>
  <c r="Z679" i="10"/>
  <c r="Z338" i="10"/>
  <c r="AB458" i="10"/>
  <c r="AC458" i="10" s="1"/>
  <c r="X197" i="10"/>
  <c r="Y197" i="10" s="1"/>
  <c r="AA156" i="10"/>
  <c r="AE156" i="10" s="1"/>
  <c r="S7" i="10"/>
  <c r="AB171" i="10"/>
  <c r="W273" i="10"/>
  <c r="X291" i="10"/>
  <c r="Y291" i="10" s="1"/>
  <c r="AB291" i="10"/>
  <c r="Z186" i="10"/>
  <c r="X186" i="10"/>
  <c r="Y186" i="10" s="1"/>
  <c r="Z291" i="10"/>
  <c r="W124" i="10"/>
  <c r="Z117" i="10"/>
  <c r="X117" i="10"/>
  <c r="Y117" i="10" s="1"/>
  <c r="V124" i="10"/>
  <c r="AD175" i="10"/>
  <c r="AC175" i="10"/>
  <c r="V433" i="10"/>
  <c r="AA434" i="10"/>
  <c r="AE434" i="10" s="1"/>
  <c r="Z434" i="10"/>
  <c r="X434" i="10"/>
  <c r="Y434" i="10" s="1"/>
  <c r="W661" i="10"/>
  <c r="V661" i="10"/>
  <c r="AB472" i="10"/>
  <c r="AA481" i="10"/>
  <c r="X481" i="10"/>
  <c r="Y481" i="10" s="1"/>
  <c r="Z481" i="10"/>
  <c r="Z495" i="10"/>
  <c r="X23" i="10"/>
  <c r="Y23" i="10" s="1"/>
  <c r="Z285" i="10"/>
  <c r="X314" i="10"/>
  <c r="Y314" i="10" s="1"/>
  <c r="AB206" i="10"/>
  <c r="AC206" i="10" s="1"/>
  <c r="X550" i="10"/>
  <c r="Y550" i="10" s="1"/>
  <c r="AB7" i="10"/>
  <c r="AB575" i="10"/>
  <c r="AD654" i="10"/>
  <c r="Z142" i="10"/>
  <c r="AA646" i="10"/>
  <c r="AE646" i="10" s="1"/>
  <c r="V202" i="10"/>
  <c r="W130" i="10"/>
  <c r="V130" i="10"/>
  <c r="W664" i="10"/>
  <c r="X119" i="10"/>
  <c r="Y119" i="10" s="1"/>
  <c r="Z119" i="10"/>
  <c r="Z21" i="10"/>
  <c r="X136" i="10"/>
  <c r="Y136" i="10" s="1"/>
  <c r="AC658" i="10"/>
  <c r="V256" i="10"/>
  <c r="X218" i="10"/>
  <c r="Y218" i="10" s="1"/>
  <c r="X558" i="10"/>
  <c r="Y558" i="10" s="1"/>
  <c r="Z558" i="10"/>
  <c r="W449" i="10"/>
  <c r="V449" i="10"/>
  <c r="X440" i="10"/>
  <c r="Y440" i="10" s="1"/>
  <c r="X269" i="10"/>
  <c r="Y269" i="10" s="1"/>
  <c r="T593" i="10"/>
  <c r="AA173" i="10"/>
  <c r="AE173" i="10" s="1"/>
  <c r="V42" i="10"/>
  <c r="AB289" i="10"/>
  <c r="AC289" i="10" s="1"/>
  <c r="V288" i="10"/>
  <c r="Z167" i="10"/>
  <c r="AB285" i="10"/>
  <c r="AD285" i="10" s="1"/>
  <c r="X690" i="10"/>
  <c r="Y690" i="10" s="1"/>
  <c r="AB440" i="10"/>
  <c r="AC440" i="10" s="1"/>
  <c r="X485" i="10"/>
  <c r="Y485" i="10" s="1"/>
  <c r="AB690" i="10"/>
  <c r="T681" i="10"/>
  <c r="W329" i="10"/>
  <c r="V329" i="10"/>
  <c r="AB675" i="10"/>
  <c r="AD675" i="10" s="1"/>
  <c r="W432" i="10"/>
  <c r="V432" i="10"/>
  <c r="W158" i="10"/>
  <c r="AA387" i="10"/>
  <c r="AE387" i="10" s="1"/>
  <c r="W482" i="10"/>
  <c r="X487" i="10"/>
  <c r="Y487" i="10" s="1"/>
  <c r="AA486" i="10"/>
  <c r="AE486" i="10" s="1"/>
  <c r="AA485" i="10"/>
  <c r="AE485" i="10" s="1"/>
  <c r="Z486" i="10"/>
  <c r="AA487" i="10"/>
  <c r="AE487" i="10" s="1"/>
  <c r="Z487" i="10"/>
  <c r="X486" i="10"/>
  <c r="Y486" i="10" s="1"/>
  <c r="X694" i="10"/>
  <c r="Y694" i="10" s="1"/>
  <c r="V601" i="10"/>
  <c r="V462" i="10"/>
  <c r="AA464" i="10"/>
  <c r="Z464" i="10"/>
  <c r="X464" i="10"/>
  <c r="Y464" i="10" s="1"/>
  <c r="W99" i="10"/>
  <c r="V99" i="10"/>
  <c r="Z23" i="10"/>
  <c r="S701" i="10"/>
  <c r="X581" i="10"/>
  <c r="Y581" i="10" s="1"/>
  <c r="AB417" i="10"/>
  <c r="AC417" i="10" s="1"/>
  <c r="S59" i="10"/>
  <c r="S291" i="10"/>
  <c r="W262" i="10"/>
  <c r="V262" i="10"/>
  <c r="AB107" i="10"/>
  <c r="AC107" i="10" s="1"/>
  <c r="AB81" i="10"/>
  <c r="AC81" i="10" s="1"/>
  <c r="V636" i="10"/>
  <c r="AB231" i="10"/>
  <c r="Z231" i="10"/>
  <c r="X231" i="10"/>
  <c r="Y231" i="10" s="1"/>
  <c r="W750" i="10"/>
  <c r="V750" i="10"/>
  <c r="W708" i="10"/>
  <c r="V708" i="10"/>
  <c r="W429" i="10"/>
  <c r="V429" i="10"/>
  <c r="V646" i="10"/>
  <c r="X403" i="10"/>
  <c r="Y403" i="10" s="1"/>
  <c r="Z403" i="10"/>
  <c r="W651" i="10"/>
  <c r="V651" i="10"/>
  <c r="X166" i="10"/>
  <c r="Y166" i="10" s="1"/>
  <c r="X285" i="10"/>
  <c r="Y285" i="10" s="1"/>
  <c r="X167" i="10"/>
  <c r="Y167" i="10" s="1"/>
  <c r="Z314" i="10"/>
  <c r="Z550" i="10"/>
  <c r="Z547" i="10"/>
  <c r="Z538" i="10"/>
  <c r="AB779" i="10"/>
  <c r="AB121" i="10"/>
  <c r="V395" i="10"/>
  <c r="X400" i="10"/>
  <c r="Y400" i="10" s="1"/>
  <c r="Z400" i="10"/>
  <c r="AA400" i="10"/>
  <c r="AA417" i="10"/>
  <c r="AE417" i="10" s="1"/>
  <c r="Z83" i="10"/>
  <c r="V330" i="10"/>
  <c r="AB603" i="10"/>
  <c r="AD603" i="10" s="1"/>
  <c r="X416" i="10"/>
  <c r="Y416" i="10" s="1"/>
  <c r="AB218" i="10"/>
  <c r="AB474" i="10"/>
  <c r="AC474" i="10" s="1"/>
  <c r="AB186" i="10"/>
  <c r="X49" i="10"/>
  <c r="Y49" i="10" s="1"/>
  <c r="W282" i="10"/>
  <c r="V282" i="10"/>
  <c r="W43" i="10"/>
  <c r="V43" i="10"/>
  <c r="V224" i="10"/>
  <c r="Z226" i="10"/>
  <c r="X226" i="10"/>
  <c r="Y226" i="10" s="1"/>
  <c r="AA226" i="10"/>
  <c r="AE226" i="10" s="1"/>
  <c r="AB389" i="10"/>
  <c r="AC389" i="10" s="1"/>
  <c r="V391" i="10"/>
  <c r="X538" i="10"/>
  <c r="Y538" i="10" s="1"/>
  <c r="W586" i="10"/>
  <c r="Z587" i="10"/>
  <c r="X585" i="10"/>
  <c r="Y585" i="10" s="1"/>
  <c r="AB532" i="10"/>
  <c r="X532" i="10"/>
  <c r="Y532" i="10" s="1"/>
  <c r="AB585" i="10"/>
  <c r="X587" i="10"/>
  <c r="Y587" i="10" s="1"/>
  <c r="Z585" i="10"/>
  <c r="Z532" i="10"/>
  <c r="T395" i="10"/>
  <c r="T122" i="10"/>
  <c r="T276" i="10"/>
  <c r="T641" i="10"/>
  <c r="W352" i="10"/>
  <c r="V352" i="10"/>
  <c r="V274" i="10"/>
  <c r="X321" i="10"/>
  <c r="Y321" i="10" s="1"/>
  <c r="Z321" i="10"/>
  <c r="X322" i="10"/>
  <c r="Y322" i="10" s="1"/>
  <c r="AB321" i="10"/>
  <c r="Z322" i="10"/>
  <c r="S321" i="10"/>
  <c r="V279" i="10"/>
  <c r="X242" i="10"/>
  <c r="Y242" i="10" s="1"/>
  <c r="Z242" i="10"/>
  <c r="AA494" i="10"/>
  <c r="AE494" i="10" s="1"/>
  <c r="Z366" i="10"/>
  <c r="X366" i="10"/>
  <c r="Y366" i="10" s="1"/>
  <c r="AB366" i="10"/>
  <c r="Z166" i="10"/>
  <c r="X206" i="10"/>
  <c r="Y206" i="10" s="1"/>
  <c r="X679" i="10"/>
  <c r="Y679" i="10" s="1"/>
  <c r="Z724" i="10"/>
  <c r="AC587" i="10"/>
  <c r="AB724" i="10"/>
  <c r="AC724" i="10" s="1"/>
  <c r="X760" i="10"/>
  <c r="Y760" i="10" s="1"/>
  <c r="S260" i="10"/>
  <c r="X28" i="10"/>
  <c r="Y28" i="10" s="1"/>
  <c r="AB269" i="10"/>
  <c r="AB558" i="10"/>
  <c r="AB499" i="10"/>
  <c r="AD499" i="10" s="1"/>
  <c r="V101" i="10"/>
  <c r="T412" i="10"/>
  <c r="W280" i="10"/>
  <c r="V280" i="10"/>
  <c r="W666" i="10"/>
  <c r="AB775" i="10"/>
  <c r="X346" i="10"/>
  <c r="Y346" i="10" s="1"/>
  <c r="X775" i="10"/>
  <c r="Y775" i="10" s="1"/>
  <c r="Z346" i="10"/>
  <c r="Z775" i="10"/>
  <c r="X553" i="10"/>
  <c r="Y553" i="10" s="1"/>
  <c r="V201" i="10"/>
  <c r="W213" i="10"/>
  <c r="V213" i="10"/>
  <c r="W621" i="10"/>
  <c r="V621" i="10"/>
  <c r="AB546" i="10"/>
  <c r="AC546" i="10" s="1"/>
  <c r="V147" i="10"/>
  <c r="W356" i="10"/>
  <c r="V356" i="10"/>
  <c r="X480" i="10"/>
  <c r="Y480" i="10" s="1"/>
  <c r="Z480" i="10"/>
  <c r="Z206" i="10"/>
  <c r="AB142" i="10"/>
  <c r="AD142" i="10" s="1"/>
  <c r="AB570" i="10"/>
  <c r="AC570" i="10" s="1"/>
  <c r="AA440" i="10"/>
  <c r="AE440" i="10" s="1"/>
  <c r="Z485" i="10"/>
  <c r="AA547" i="10"/>
  <c r="AE547" i="10" s="1"/>
  <c r="X338" i="10"/>
  <c r="Y338" i="10" s="1"/>
  <c r="Z417" i="10"/>
  <c r="X669" i="10"/>
  <c r="Y669" i="10" s="1"/>
  <c r="AB486" i="10"/>
  <c r="AB627" i="10"/>
  <c r="AB292" i="10"/>
  <c r="T132" i="10"/>
  <c r="T433" i="10"/>
  <c r="W662" i="10"/>
  <c r="V662" i="10"/>
  <c r="W700" i="10"/>
  <c r="X574" i="10"/>
  <c r="Y574" i="10" s="1"/>
  <c r="Z574" i="10"/>
  <c r="W598" i="10"/>
  <c r="V598" i="10"/>
  <c r="V727" i="10"/>
  <c r="Z779" i="10"/>
  <c r="AB512" i="10"/>
  <c r="AC512" i="10" s="1"/>
  <c r="AA658" i="10"/>
  <c r="AE658" i="10" s="1"/>
  <c r="Z658" i="10"/>
  <c r="X658" i="10"/>
  <c r="Y658" i="10" s="1"/>
  <c r="Z416" i="10"/>
  <c r="Z519" i="10"/>
  <c r="Z136" i="10"/>
  <c r="AD49" i="10"/>
  <c r="AC49" i="10"/>
  <c r="X175" i="10"/>
  <c r="Y175" i="10" s="1"/>
  <c r="AB457" i="10"/>
  <c r="AB574" i="10"/>
  <c r="X299" i="10"/>
  <c r="Y299" i="10" s="1"/>
  <c r="Z436" i="10"/>
  <c r="AA416" i="10"/>
  <c r="AE416" i="10" s="1"/>
  <c r="Z59" i="10"/>
  <c r="AD567" i="10"/>
  <c r="AD461" i="10"/>
  <c r="AC461" i="10"/>
  <c r="AB577" i="10"/>
  <c r="Z607" i="10"/>
  <c r="X436" i="10"/>
  <c r="Y436" i="10" s="1"/>
  <c r="AB607" i="10"/>
  <c r="AC607" i="10" s="1"/>
  <c r="X458" i="10"/>
  <c r="Y458" i="10" s="1"/>
  <c r="S457" i="10"/>
  <c r="W6" i="10"/>
  <c r="Z7" i="10"/>
  <c r="X7" i="10"/>
  <c r="Y7" i="10" s="1"/>
  <c r="W421" i="10"/>
  <c r="Z390" i="10"/>
  <c r="AB390" i="10"/>
  <c r="X390" i="10"/>
  <c r="Y390" i="10" s="1"/>
  <c r="W153" i="10"/>
  <c r="V153" i="10"/>
  <c r="V593" i="10"/>
  <c r="AA594" i="10"/>
  <c r="V198" i="10"/>
  <c r="X83" i="10"/>
  <c r="Y83" i="10" s="1"/>
  <c r="W620" i="10"/>
  <c r="AB533" i="10"/>
  <c r="Z533" i="10"/>
  <c r="X533" i="10"/>
  <c r="Y533" i="10" s="1"/>
  <c r="Z565" i="10"/>
  <c r="X565" i="10"/>
  <c r="Y565" i="10" s="1"/>
  <c r="AA166" i="10"/>
  <c r="AD166" i="10" s="1"/>
  <c r="AB263" i="10"/>
  <c r="AC263" i="10" s="1"/>
  <c r="AD362" i="10"/>
  <c r="AD212" i="10"/>
  <c r="AC784" i="10"/>
  <c r="AB434" i="10"/>
  <c r="Z267" i="10"/>
  <c r="Z237" i="10"/>
  <c r="S398" i="10"/>
  <c r="Z175" i="10"/>
  <c r="AD788" i="10"/>
  <c r="AC788" i="10"/>
  <c r="AB669" i="10"/>
  <c r="AA610" i="10"/>
  <c r="AE610" i="10" s="1"/>
  <c r="T179" i="10"/>
  <c r="T102" i="10"/>
  <c r="T666" i="10"/>
  <c r="T438" i="10"/>
  <c r="T752" i="10"/>
  <c r="T50" i="10"/>
  <c r="T619" i="10"/>
  <c r="V372" i="10"/>
  <c r="AD386" i="10"/>
  <c r="T29" i="10"/>
  <c r="T207" i="10"/>
  <c r="T275" i="10"/>
  <c r="T686" i="10"/>
  <c r="T146" i="10"/>
  <c r="AD647" i="10"/>
  <c r="T259" i="10"/>
  <c r="T683" i="10"/>
  <c r="T157" i="10"/>
  <c r="T30" i="10"/>
  <c r="AD735" i="10"/>
  <c r="T13" i="10"/>
  <c r="X735" i="10"/>
  <c r="Y735" i="10" s="1"/>
  <c r="V268" i="10"/>
  <c r="T608" i="10"/>
  <c r="T632" i="10"/>
  <c r="T229" i="10"/>
  <c r="T449" i="10"/>
  <c r="T696" i="10"/>
  <c r="Z284" i="10"/>
  <c r="V283" i="10"/>
  <c r="T703" i="10"/>
  <c r="T38" i="10"/>
  <c r="T264" i="10"/>
  <c r="T418" i="10"/>
  <c r="T405" i="10"/>
  <c r="T674" i="10"/>
  <c r="T196" i="10"/>
  <c r="V10" i="10"/>
  <c r="X726" i="10"/>
  <c r="Y726" i="10" s="1"/>
  <c r="V725" i="10"/>
  <c r="T661" i="10"/>
  <c r="T123" i="10"/>
  <c r="AD540" i="10"/>
  <c r="T713" i="10"/>
  <c r="T756" i="10"/>
  <c r="T482" i="10"/>
  <c r="X765" i="10"/>
  <c r="Y765" i="10" s="1"/>
  <c r="V82" i="10"/>
  <c r="T708" i="10"/>
  <c r="T92" i="10"/>
  <c r="V472" i="10"/>
  <c r="V726" i="10"/>
  <c r="X733" i="10"/>
  <c r="Y733" i="10" s="1"/>
  <c r="AA41" i="10"/>
  <c r="AE41" i="10" s="1"/>
  <c r="AC88" i="10"/>
  <c r="AD766" i="10"/>
  <c r="AD562" i="10"/>
  <c r="AD65" i="10"/>
  <c r="Z91" i="10"/>
  <c r="X472" i="10"/>
  <c r="Y472" i="10" s="1"/>
  <c r="AD317" i="10"/>
  <c r="AD341" i="10"/>
  <c r="AD64" i="10"/>
  <c r="X419" i="10"/>
  <c r="Y419" i="10" s="1"/>
  <c r="AB374" i="10"/>
  <c r="AC374" i="10" s="1"/>
  <c r="X91" i="10"/>
  <c r="Y91" i="10" s="1"/>
  <c r="X289" i="10"/>
  <c r="Y289" i="10" s="1"/>
  <c r="Z374" i="10"/>
  <c r="AD110" i="10"/>
  <c r="AC368" i="10"/>
  <c r="AB373" i="10"/>
  <c r="AC373" i="10" s="1"/>
  <c r="AA419" i="10"/>
  <c r="AE419" i="10" s="1"/>
  <c r="AD246" i="10"/>
  <c r="AD308" i="10"/>
  <c r="AA264" i="10"/>
  <c r="AE264" i="10" s="1"/>
  <c r="AB578" i="10"/>
  <c r="AC578" i="10" s="1"/>
  <c r="Z765" i="10"/>
  <c r="Z618" i="10"/>
  <c r="X97" i="10"/>
  <c r="Y97" i="10" s="1"/>
  <c r="Z289" i="10"/>
  <c r="Z578" i="10"/>
  <c r="AA179" i="10"/>
  <c r="AE179" i="10" s="1"/>
  <c r="AB616" i="10"/>
  <c r="AD616" i="10" s="1"/>
  <c r="X688" i="10"/>
  <c r="Y688" i="10" s="1"/>
  <c r="AA688" i="10"/>
  <c r="AE688" i="10" s="1"/>
  <c r="AD615" i="10"/>
  <c r="AA93" i="10"/>
  <c r="AE93" i="10" s="1"/>
  <c r="Z33" i="10"/>
  <c r="AA33" i="10"/>
  <c r="AE33" i="10" s="1"/>
  <c r="AB33" i="10"/>
  <c r="AB5" i="10"/>
  <c r="AC5" i="10" s="1"/>
  <c r="AB685" i="10"/>
  <c r="AC685" i="10" s="1"/>
  <c r="AD767" i="10"/>
  <c r="Z105" i="10"/>
  <c r="AA230" i="10"/>
  <c r="AE230" i="10" s="1"/>
  <c r="AD518" i="10"/>
  <c r="Z580" i="10"/>
  <c r="AA753" i="10"/>
  <c r="AE753" i="10" s="1"/>
  <c r="Z685" i="10"/>
  <c r="X618" i="10"/>
  <c r="Y618" i="10" s="1"/>
  <c r="W584" i="10"/>
  <c r="AB597" i="10"/>
  <c r="AD597" i="10" s="1"/>
  <c r="W516" i="10"/>
  <c r="Z517" i="10"/>
  <c r="S517" i="10"/>
  <c r="X517" i="10"/>
  <c r="Y517" i="10" s="1"/>
  <c r="AB517" i="10"/>
  <c r="W441" i="10"/>
  <c r="W412" i="10"/>
  <c r="AC349" i="10"/>
  <c r="AD349" i="10"/>
  <c r="AC615" i="10"/>
  <c r="Z260" i="10"/>
  <c r="X373" i="10"/>
  <c r="Y373" i="10" s="1"/>
  <c r="AA622" i="10"/>
  <c r="AE622" i="10" s="1"/>
  <c r="Z406" i="10"/>
  <c r="X5" i="10"/>
  <c r="Y5" i="10" s="1"/>
  <c r="X44" i="10"/>
  <c r="Y44" i="10" s="1"/>
  <c r="Z512" i="10"/>
  <c r="X374" i="10"/>
  <c r="Y374" i="10" s="1"/>
  <c r="AD244" i="10"/>
  <c r="AD539" i="10"/>
  <c r="AC306" i="10"/>
  <c r="AD306" i="10"/>
  <c r="W725" i="10"/>
  <c r="Z373" i="10"/>
  <c r="AA234" i="10"/>
  <c r="AE234" i="10" s="1"/>
  <c r="AD135" i="10"/>
  <c r="AC541" i="10"/>
  <c r="AD541" i="10"/>
  <c r="Z472" i="10"/>
  <c r="Z3" i="10"/>
  <c r="AB173" i="10"/>
  <c r="AC173" i="10" s="1"/>
  <c r="Z343" i="10"/>
  <c r="X103" i="10"/>
  <c r="Y103" i="10" s="1"/>
  <c r="X597" i="10"/>
  <c r="Y597" i="10" s="1"/>
  <c r="W642" i="10"/>
  <c r="X33" i="10"/>
  <c r="Y33" i="10" s="1"/>
  <c r="Z597" i="10"/>
  <c r="AB3" i="10"/>
  <c r="AD3" i="10" s="1"/>
  <c r="AC110" i="10"/>
  <c r="AC237" i="10"/>
  <c r="AD237" i="10"/>
  <c r="W139" i="10"/>
  <c r="W769" i="10"/>
  <c r="W224" i="10"/>
  <c r="W447" i="10"/>
  <c r="W27" i="10"/>
  <c r="W283" i="10"/>
  <c r="W657" i="10"/>
  <c r="W10" i="10"/>
  <c r="Z32" i="10"/>
  <c r="Z104" i="10"/>
  <c r="W739" i="10"/>
  <c r="X104" i="10"/>
  <c r="Y104" i="10" s="1"/>
  <c r="AD315" i="10"/>
  <c r="AA131" i="10"/>
  <c r="AE131" i="10" s="1"/>
  <c r="X185" i="10"/>
  <c r="Y185" i="10" s="1"/>
  <c r="Z185" i="10"/>
  <c r="Z184" i="10"/>
  <c r="X184" i="10"/>
  <c r="Y184" i="10" s="1"/>
  <c r="W287" i="10"/>
  <c r="X260" i="10"/>
  <c r="Y260" i="10" s="1"/>
  <c r="X685" i="10"/>
  <c r="Y685" i="10" s="1"/>
  <c r="Z103" i="10"/>
  <c r="W399" i="10"/>
  <c r="W462" i="10"/>
  <c r="S568" i="10"/>
  <c r="Z177" i="10"/>
  <c r="X697" i="10"/>
  <c r="Y697" i="10" s="1"/>
  <c r="AB260" i="10"/>
  <c r="AC260" i="10" s="1"/>
  <c r="X3" i="10"/>
  <c r="Y3" i="10" s="1"/>
  <c r="AC540" i="10"/>
  <c r="AD359" i="10"/>
  <c r="AA104" i="10"/>
  <c r="AE104" i="10" s="1"/>
  <c r="X616" i="10"/>
  <c r="Y616" i="10" s="1"/>
  <c r="AD136" i="10"/>
  <c r="W656" i="10"/>
  <c r="W636" i="10"/>
  <c r="W415" i="10"/>
  <c r="W668" i="10"/>
  <c r="Z648" i="10"/>
  <c r="Z647" i="10"/>
  <c r="X647" i="10"/>
  <c r="Y647" i="10" s="1"/>
  <c r="X648" i="10"/>
  <c r="Y648" i="10" s="1"/>
  <c r="W716" i="10"/>
  <c r="S620" i="10"/>
  <c r="Z697" i="10"/>
  <c r="X602" i="10"/>
  <c r="Y602" i="10" s="1"/>
  <c r="AC505" i="10"/>
  <c r="AD351" i="10"/>
  <c r="Z726" i="10"/>
  <c r="S580" i="10"/>
  <c r="S617" i="10"/>
  <c r="AC360" i="10"/>
  <c r="AD360" i="10"/>
  <c r="W727" i="10"/>
  <c r="W593" i="10"/>
  <c r="X594" i="10"/>
  <c r="Y594" i="10" s="1"/>
  <c r="Z594" i="10"/>
  <c r="W198" i="10"/>
  <c r="W195" i="10"/>
  <c r="W681" i="10"/>
  <c r="AA621" i="10"/>
  <c r="AE621" i="10" s="1"/>
  <c r="X32" i="10"/>
  <c r="Y32" i="10" s="1"/>
  <c r="X106" i="10"/>
  <c r="Y106" i="10" s="1"/>
  <c r="W334" i="10"/>
  <c r="AB44" i="10"/>
  <c r="AC44" i="10" s="1"/>
  <c r="AA32" i="10"/>
  <c r="AE32" i="10" s="1"/>
  <c r="X284" i="10"/>
  <c r="Y284" i="10" s="1"/>
  <c r="Z233" i="10"/>
  <c r="AB602" i="10"/>
  <c r="AC602" i="10" s="1"/>
  <c r="W738" i="10"/>
  <c r="W640" i="10"/>
  <c r="X767" i="10"/>
  <c r="Y767" i="10" s="1"/>
  <c r="X766" i="10"/>
  <c r="Y766" i="10" s="1"/>
  <c r="Z767" i="10"/>
  <c r="Z766" i="10"/>
  <c r="W268" i="10"/>
  <c r="W430" i="10"/>
  <c r="W250" i="10"/>
  <c r="W12" i="10"/>
  <c r="AA685" i="10"/>
  <c r="AE685" i="10" s="1"/>
  <c r="Z735" i="10"/>
  <c r="AD245" i="10"/>
  <c r="AC245" i="10"/>
  <c r="AC184" i="10"/>
  <c r="AD184" i="10"/>
  <c r="W345" i="10"/>
  <c r="Z216" i="10"/>
  <c r="W279" i="10"/>
  <c r="W92" i="10"/>
  <c r="AA97" i="10"/>
  <c r="AE97" i="10" s="1"/>
  <c r="S122" i="10"/>
  <c r="S32" i="10"/>
  <c r="AB580" i="10"/>
  <c r="AC580" i="10" s="1"/>
  <c r="AD550" i="10"/>
  <c r="AB97" i="10"/>
  <c r="AC97" i="10" s="1"/>
  <c r="Z97" i="10"/>
  <c r="AD336" i="10"/>
  <c r="X343" i="10"/>
  <c r="Y343" i="10" s="1"/>
  <c r="AD111" i="10"/>
  <c r="AC111" i="10"/>
  <c r="AD189" i="10"/>
  <c r="W437" i="10"/>
  <c r="W80" i="10"/>
  <c r="W370" i="10"/>
  <c r="W133" i="10"/>
  <c r="W165" i="10"/>
  <c r="W335" i="10"/>
  <c r="Z337" i="10"/>
  <c r="D18" i="19" s="1"/>
  <c r="X337" i="10"/>
  <c r="Y337" i="10" s="1"/>
  <c r="Z336" i="10"/>
  <c r="X336" i="10"/>
  <c r="Y336" i="10" s="1"/>
  <c r="Z44" i="10"/>
  <c r="S715" i="10"/>
  <c r="W431" i="10"/>
  <c r="W281" i="10"/>
  <c r="W304" i="10"/>
  <c r="W137" i="10"/>
  <c r="Z602" i="10"/>
  <c r="W277" i="10"/>
  <c r="Z106" i="10"/>
  <c r="Z733" i="10"/>
  <c r="AD614" i="10"/>
  <c r="AC614" i="10"/>
  <c r="AC152" i="10"/>
  <c r="AD152" i="10"/>
  <c r="W302" i="10"/>
  <c r="W227" i="10"/>
  <c r="AD348" i="10"/>
  <c r="AC348" i="10"/>
  <c r="Z5" i="10"/>
  <c r="AA715" i="10"/>
  <c r="W730" i="10"/>
  <c r="X177" i="10"/>
  <c r="Y177" i="10" s="1"/>
  <c r="AA86" i="10"/>
  <c r="AE86" i="10" s="1"/>
  <c r="W382" i="10"/>
  <c r="S52" i="10"/>
  <c r="AA103" i="10"/>
  <c r="AE103" i="10" s="1"/>
  <c r="X578" i="10"/>
  <c r="Y578" i="10" s="1"/>
  <c r="AB618" i="10"/>
  <c r="AC618" i="10" s="1"/>
  <c r="X105" i="10"/>
  <c r="Y105" i="10" s="1"/>
  <c r="S685" i="10"/>
  <c r="AD340" i="10"/>
  <c r="AC340" i="10"/>
  <c r="AC112" i="10"/>
  <c r="AD112" i="10"/>
  <c r="W45" i="10"/>
  <c r="W313" i="10"/>
  <c r="W768" i="10"/>
  <c r="Z688" i="10"/>
  <c r="AB32" i="10"/>
  <c r="AC32" i="10" s="1"/>
  <c r="AB715" i="10"/>
  <c r="AC715" i="10" s="1"/>
  <c r="Z616" i="10"/>
  <c r="AD354" i="10"/>
  <c r="AB733" i="10"/>
  <c r="AC733" i="10" s="1"/>
  <c r="AA260" i="10"/>
  <c r="AE260" i="10" s="1"/>
  <c r="AC161" i="10"/>
  <c r="AD161" i="10"/>
  <c r="AD185" i="10"/>
  <c r="AC185" i="10"/>
  <c r="W757" i="10"/>
  <c r="AD588" i="10"/>
  <c r="AD765" i="10"/>
  <c r="AD145" i="10"/>
  <c r="AC386" i="10"/>
  <c r="AD548" i="10"/>
  <c r="AD606" i="10"/>
  <c r="AD513" i="10"/>
  <c r="AD455" i="10"/>
  <c r="AD508" i="10"/>
  <c r="AD569" i="10"/>
  <c r="AD763" i="10"/>
  <c r="AD298" i="10"/>
  <c r="AD247" i="10"/>
  <c r="AC649" i="10"/>
  <c r="AD68" i="10"/>
  <c r="AC606" i="10"/>
  <c r="AD36" i="10"/>
  <c r="AD188" i="10"/>
  <c r="AD743" i="10"/>
  <c r="AD495" i="10"/>
  <c r="AD192" i="10"/>
  <c r="AB249" i="10"/>
  <c r="AD249" i="10" s="1"/>
  <c r="AC354" i="10"/>
  <c r="AD61" i="10"/>
  <c r="AD519" i="10"/>
  <c r="AC634" i="10"/>
  <c r="AD26" i="10"/>
  <c r="X156" i="10"/>
  <c r="Y156" i="10" s="1"/>
  <c r="Z156" i="10"/>
  <c r="X387" i="10"/>
  <c r="Y387" i="10" s="1"/>
  <c r="Z387" i="10"/>
  <c r="AD556" i="10"/>
  <c r="AC357" i="10"/>
  <c r="AD357" i="10"/>
  <c r="AC241" i="10"/>
  <c r="AD241" i="10"/>
  <c r="AB115" i="10"/>
  <c r="AD446" i="10"/>
  <c r="AC446" i="10"/>
  <c r="AC707" i="10"/>
  <c r="AD350" i="10"/>
  <c r="AD327" i="10"/>
  <c r="AC252" i="10"/>
  <c r="AC523" i="10"/>
  <c r="AD523" i="10"/>
  <c r="AC116" i="10"/>
  <c r="AD116" i="10"/>
  <c r="AC310" i="10"/>
  <c r="AB228" i="10"/>
  <c r="AC62" i="10"/>
  <c r="AD522" i="10"/>
  <c r="AC522" i="10"/>
  <c r="W365" i="10"/>
  <c r="X675" i="10"/>
  <c r="Y675" i="10" s="1"/>
  <c r="Z228" i="10"/>
  <c r="X228" i="10"/>
  <c r="Y228" i="10" s="1"/>
  <c r="Z675" i="10"/>
  <c r="AC690" i="10"/>
  <c r="AC676" i="10"/>
  <c r="AD676" i="10"/>
  <c r="X115" i="10"/>
  <c r="Y115" i="10" s="1"/>
  <c r="Z249" i="10"/>
  <c r="Z115" i="10"/>
  <c r="X249" i="10"/>
  <c r="Y249" i="10" s="1"/>
  <c r="Z645" i="10"/>
  <c r="X645" i="10"/>
  <c r="Y645" i="10" s="1"/>
  <c r="AD625" i="10"/>
  <c r="AD378" i="10"/>
  <c r="AD698" i="10"/>
  <c r="Z155" i="10"/>
  <c r="X62" i="10"/>
  <c r="Y62" i="10" s="1"/>
  <c r="AA310" i="10"/>
  <c r="AE310" i="10" s="1"/>
  <c r="AA62" i="10"/>
  <c r="AE62" i="10" s="1"/>
  <c r="Z62" i="10"/>
  <c r="X310" i="10"/>
  <c r="Y310" i="10" s="1"/>
  <c r="Z310" i="10"/>
  <c r="S58" i="10"/>
  <c r="AB156" i="10"/>
  <c r="AC709" i="10"/>
  <c r="AD709" i="10"/>
  <c r="AD160" i="10"/>
  <c r="AC160" i="10"/>
  <c r="W699" i="10"/>
  <c r="X246" i="10"/>
  <c r="Y246" i="10" s="1"/>
  <c r="Z246" i="10"/>
  <c r="AA600" i="10"/>
  <c r="AE600" i="10" s="1"/>
  <c r="X448" i="10"/>
  <c r="Y448" i="10" s="1"/>
  <c r="Z448" i="10"/>
  <c r="O11" i="6"/>
  <c r="AC550" i="10"/>
  <c r="AD552" i="10"/>
  <c r="AC71" i="10"/>
  <c r="AB387" i="10"/>
  <c r="AB448" i="10"/>
  <c r="AD553" i="10"/>
  <c r="AD498" i="10"/>
  <c r="AD339" i="10"/>
  <c r="AD284" i="10"/>
  <c r="AD772" i="10"/>
  <c r="AC456" i="10"/>
  <c r="AD638" i="10"/>
  <c r="AD21" i="10"/>
  <c r="AD347" i="10"/>
  <c r="AD393" i="10"/>
  <c r="AA371" i="10"/>
  <c r="AE371" i="10" s="1"/>
  <c r="AD67" i="10"/>
  <c r="AD331" i="10"/>
  <c r="AD521" i="10"/>
  <c r="AD271" i="10"/>
  <c r="AC247" i="10"/>
  <c r="AC765" i="10"/>
  <c r="O10" i="4"/>
  <c r="X465" i="10"/>
  <c r="Y465" i="10" s="1"/>
  <c r="AD520" i="10"/>
  <c r="AA157" i="10"/>
  <c r="AE157" i="10" s="1"/>
  <c r="Z687" i="10"/>
  <c r="AD463" i="10"/>
  <c r="AD742" i="10"/>
  <c r="AA482" i="10"/>
  <c r="AE482" i="10" s="1"/>
  <c r="AD108" i="10"/>
  <c r="Z256" i="10"/>
  <c r="Z215" i="10"/>
  <c r="AC548" i="10"/>
  <c r="AC467" i="10"/>
  <c r="Z134" i="10"/>
  <c r="S493" i="10"/>
  <c r="AC697" i="10"/>
  <c r="AC108" i="10"/>
  <c r="AD388" i="10"/>
  <c r="S173" i="10"/>
  <c r="AA283" i="10"/>
  <c r="AE283" i="10" s="1"/>
  <c r="AA313" i="10"/>
  <c r="AE313" i="10" s="1"/>
  <c r="AD497" i="10"/>
  <c r="AD561" i="10"/>
  <c r="AA617" i="10"/>
  <c r="AE617" i="10" s="1"/>
  <c r="AD551" i="10"/>
  <c r="AD379" i="10"/>
  <c r="AC518" i="10"/>
  <c r="AD236" i="10"/>
  <c r="AD159" i="10"/>
  <c r="AD343" i="10"/>
  <c r="AA584" i="10"/>
  <c r="AE584" i="10" s="1"/>
  <c r="AA601" i="10"/>
  <c r="AE601" i="10" s="1"/>
  <c r="AA257" i="10"/>
  <c r="AE257" i="10" s="1"/>
  <c r="Z703" i="10"/>
  <c r="AA702" i="10"/>
  <c r="AE702" i="10" s="1"/>
  <c r="S221" i="10"/>
  <c r="AB454" i="10"/>
  <c r="AC454" i="10" s="1"/>
  <c r="AD191" i="10"/>
  <c r="AD355" i="10"/>
  <c r="AD270" i="10"/>
  <c r="AD626" i="10"/>
  <c r="AC613" i="10"/>
  <c r="AD613" i="10"/>
  <c r="AD205" i="10"/>
  <c r="AC205" i="10"/>
  <c r="AD353" i="10"/>
  <c r="S674" i="10"/>
  <c r="AC46" i="10"/>
  <c r="AD46" i="10"/>
  <c r="AD445" i="10"/>
  <c r="AE445" i="10"/>
  <c r="S696" i="10"/>
  <c r="S265" i="10"/>
  <c r="AD612" i="10"/>
  <c r="AC612" i="10"/>
  <c r="AC163" i="10"/>
  <c r="AD163" i="10"/>
  <c r="AD554" i="10"/>
  <c r="Z40" i="10"/>
  <c r="AA95" i="10"/>
  <c r="AE95" i="10" s="1"/>
  <c r="AD582" i="10"/>
  <c r="AD106" i="10"/>
  <c r="AD154" i="10"/>
  <c r="AC624" i="10"/>
  <c r="AD624" i="10"/>
  <c r="AD377" i="10"/>
  <c r="AC377" i="10"/>
  <c r="AA703" i="10"/>
  <c r="AE703" i="10" s="1"/>
  <c r="AC590" i="10"/>
  <c r="AD151" i="10"/>
  <c r="AC151" i="10"/>
  <c r="AD358" i="10"/>
  <c r="AE581" i="10"/>
  <c r="AD581" i="10"/>
  <c r="AC307" i="10"/>
  <c r="AD307" i="10"/>
  <c r="AC545" i="10"/>
  <c r="AD545" i="10"/>
  <c r="AC300" i="10"/>
  <c r="AD300" i="10"/>
  <c r="AD500" i="10"/>
  <c r="AD72" i="10"/>
  <c r="AC72" i="10"/>
  <c r="AE761" i="10"/>
  <c r="AD761" i="10"/>
  <c r="AE477" i="10"/>
  <c r="AD477" i="10"/>
  <c r="AC547" i="10"/>
  <c r="AA687" i="10"/>
  <c r="AE687" i="10" s="1"/>
  <c r="AD73" i="10"/>
  <c r="AC73" i="10"/>
  <c r="AC34" i="10"/>
  <c r="AD34" i="10"/>
  <c r="AD693" i="10"/>
  <c r="S609" i="10"/>
  <c r="AC285" i="10"/>
  <c r="AD450" i="10"/>
  <c r="AC450" i="10"/>
  <c r="AD301" i="10"/>
  <c r="AC144" i="10"/>
  <c r="AD144" i="10"/>
  <c r="AB465" i="10"/>
  <c r="AC63" i="10"/>
  <c r="AD63" i="10"/>
  <c r="S162" i="10"/>
  <c r="AD571" i="10"/>
  <c r="AC571" i="10"/>
  <c r="AD381" i="10"/>
  <c r="AC381" i="10"/>
  <c r="AD79" i="10"/>
  <c r="AC79" i="10"/>
  <c r="AD174" i="10"/>
  <c r="AC174" i="10"/>
  <c r="AE254" i="10"/>
  <c r="AD254" i="10"/>
  <c r="AC297" i="10"/>
  <c r="AD297" i="10"/>
  <c r="AA511" i="10"/>
  <c r="AE511" i="10" s="1"/>
  <c r="AD168" i="10"/>
  <c r="AC168" i="10"/>
  <c r="AC535" i="10"/>
  <c r="S682" i="10"/>
  <c r="AA153" i="10"/>
  <c r="AE153" i="10" s="1"/>
  <c r="AA718" i="10"/>
  <c r="AE718" i="10" s="1"/>
  <c r="AC271" i="10"/>
  <c r="AD459" i="10"/>
  <c r="AC459" i="10"/>
  <c r="AE243" i="10"/>
  <c r="AD243" i="10"/>
  <c r="S316" i="10"/>
  <c r="AA427" i="10"/>
  <c r="AE427" i="10" s="1"/>
  <c r="AC180" i="10"/>
  <c r="AD180" i="10"/>
  <c r="AC706" i="10"/>
  <c r="AD706" i="10"/>
  <c r="AA713" i="10"/>
  <c r="AE713" i="10" s="1"/>
  <c r="Z162" i="10"/>
  <c r="AE296" i="10"/>
  <c r="AD296" i="10"/>
  <c r="AC208" i="10"/>
  <c r="AD208" i="10"/>
  <c r="AC87" i="10"/>
  <c r="AD87" i="10"/>
  <c r="S470" i="10"/>
  <c r="AC305" i="10"/>
  <c r="AD305" i="10"/>
  <c r="AC605" i="10"/>
  <c r="AD605" i="10"/>
  <c r="S555" i="10"/>
  <c r="AA769" i="10"/>
  <c r="AE769" i="10" s="1"/>
  <c r="AC91" i="10"/>
  <c r="AD91" i="10"/>
  <c r="AD143" i="10"/>
  <c r="AC143" i="10"/>
  <c r="S449" i="10"/>
  <c r="S389" i="10"/>
  <c r="S6" i="10"/>
  <c r="AA29" i="10"/>
  <c r="AE29" i="10" s="1"/>
  <c r="AD141" i="10"/>
  <c r="AC141" i="10"/>
  <c r="AD762" i="10"/>
  <c r="AB741" i="10"/>
  <c r="AD741" i="10" s="1"/>
  <c r="X452" i="10"/>
  <c r="Y452" i="10" s="1"/>
  <c r="AA11" i="10"/>
  <c r="AE11" i="10" s="1"/>
  <c r="AB230" i="10"/>
  <c r="AC230" i="10" s="1"/>
  <c r="AD25" i="10"/>
  <c r="AA261" i="10"/>
  <c r="AE261" i="10" s="1"/>
  <c r="AE509" i="10"/>
  <c r="AD509" i="10"/>
  <c r="AA714" i="10"/>
  <c r="AE714" i="10" s="1"/>
  <c r="AB757" i="10"/>
  <c r="AC757" i="10" s="1"/>
  <c r="X741" i="10"/>
  <c r="Y741" i="10" s="1"/>
  <c r="AE671" i="10"/>
  <c r="AD671" i="10"/>
  <c r="AC672" i="10"/>
  <c r="AD672" i="10"/>
  <c r="AA752" i="10"/>
  <c r="AE752" i="10" s="1"/>
  <c r="AA40" i="10"/>
  <c r="AE40" i="10" s="1"/>
  <c r="AB713" i="10"/>
  <c r="AC713" i="10" s="1"/>
  <c r="AD35" i="10"/>
  <c r="S512" i="10"/>
  <c r="Z682" i="10"/>
  <c r="AD472" i="10"/>
  <c r="AC472" i="10"/>
  <c r="AE592" i="10"/>
  <c r="AD592" i="10"/>
  <c r="AA633" i="10"/>
  <c r="AE633" i="10" s="1"/>
  <c r="X316" i="10"/>
  <c r="Y316" i="10" s="1"/>
  <c r="X682" i="10"/>
  <c r="Y682" i="10" s="1"/>
  <c r="AA4" i="10"/>
  <c r="AE4" i="10" s="1"/>
  <c r="AB27" i="10"/>
  <c r="AC27" i="10" s="1"/>
  <c r="Z235" i="10"/>
  <c r="AC701" i="10"/>
  <c r="AD701" i="10"/>
  <c r="AE570" i="10"/>
  <c r="AD193" i="10"/>
  <c r="AC193" i="10"/>
  <c r="S204" i="10"/>
  <c r="AA82" i="10"/>
  <c r="AE82" i="10" s="1"/>
  <c r="AB584" i="10"/>
  <c r="AC584" i="10" s="1"/>
  <c r="AB215" i="10"/>
  <c r="X715" i="10"/>
  <c r="Y715" i="10" s="1"/>
  <c r="X173" i="10"/>
  <c r="Y173" i="10" s="1"/>
  <c r="AD591" i="10"/>
  <c r="AA397" i="10"/>
  <c r="AE397" i="10" s="1"/>
  <c r="AB442" i="10"/>
  <c r="X225" i="10"/>
  <c r="Y225" i="10" s="1"/>
  <c r="X380" i="10"/>
  <c r="Y380" i="10" s="1"/>
  <c r="Z225" i="10"/>
  <c r="Z380" i="10"/>
  <c r="AA225" i="10"/>
  <c r="AA380" i="10"/>
  <c r="AA342" i="10"/>
  <c r="AE342" i="10" s="1"/>
  <c r="AA396" i="10"/>
  <c r="AE396" i="10" s="1"/>
  <c r="AA756" i="10"/>
  <c r="AE756" i="10" s="1"/>
  <c r="AB716" i="10"/>
  <c r="AD255" i="10"/>
  <c r="AE255" i="10"/>
  <c r="Z173" i="10"/>
  <c r="S732" i="10"/>
  <c r="AA641" i="10"/>
  <c r="AE641" i="10" s="1"/>
  <c r="AA54" i="10"/>
  <c r="AE54" i="10" s="1"/>
  <c r="AB516" i="10"/>
  <c r="AC516" i="10" s="1"/>
  <c r="Z694" i="10"/>
  <c r="S510" i="10"/>
  <c r="AE211" i="10"/>
  <c r="AD211" i="10"/>
  <c r="X162" i="10"/>
  <c r="Y162" i="10" s="1"/>
  <c r="AB555" i="10"/>
  <c r="AA345" i="10"/>
  <c r="AE345" i="10" s="1"/>
  <c r="AA204" i="10"/>
  <c r="AE204" i="10" s="1"/>
  <c r="AA251" i="10"/>
  <c r="AE251" i="10" s="1"/>
  <c r="X251" i="10"/>
  <c r="Y251" i="10" s="1"/>
  <c r="Z204" i="10"/>
  <c r="X204" i="10"/>
  <c r="Y204" i="10" s="1"/>
  <c r="AA367" i="10"/>
  <c r="AE367" i="10" s="1"/>
  <c r="AA632" i="10"/>
  <c r="AE632" i="10" s="1"/>
  <c r="AA725" i="10"/>
  <c r="AE725" i="10" s="1"/>
  <c r="AA12" i="10"/>
  <c r="AE12" i="10" s="1"/>
  <c r="AD177" i="10"/>
  <c r="AE177" i="10"/>
  <c r="Z367" i="10"/>
  <c r="AD695" i="10"/>
  <c r="AE695" i="10"/>
  <c r="AE167" i="10"/>
  <c r="AD167" i="10"/>
  <c r="AD190" i="10"/>
  <c r="AC190" i="10"/>
  <c r="AC204" i="10"/>
  <c r="AA433" i="10"/>
  <c r="AE433" i="10" s="1"/>
  <c r="X732" i="10"/>
  <c r="Y732" i="10" s="1"/>
  <c r="AA732" i="10"/>
  <c r="AE732" i="10" s="1"/>
  <c r="Z732" i="10"/>
  <c r="AA755" i="10"/>
  <c r="AE755" i="10" s="1"/>
  <c r="AA598" i="10"/>
  <c r="AE598" i="10" s="1"/>
  <c r="AB703" i="10"/>
  <c r="AC703" i="10" s="1"/>
  <c r="AE726" i="10"/>
  <c r="AD726" i="10"/>
  <c r="Z741" i="10"/>
  <c r="AC549" i="10"/>
  <c r="AD549" i="10"/>
  <c r="AC251" i="10"/>
  <c r="AA172" i="10"/>
  <c r="AE172" i="10" s="1"/>
  <c r="X510" i="10"/>
  <c r="Y510" i="10" s="1"/>
  <c r="AA510" i="10"/>
  <c r="AA398" i="10"/>
  <c r="AE398" i="10" s="1"/>
  <c r="X172" i="10"/>
  <c r="Y172" i="10" s="1"/>
  <c r="Z172" i="10"/>
  <c r="AA442" i="10"/>
  <c r="AE442" i="10" s="1"/>
  <c r="X442" i="10"/>
  <c r="Y442" i="10" s="1"/>
  <c r="Z442" i="10"/>
  <c r="AA754" i="10"/>
  <c r="AE754" i="10" s="1"/>
  <c r="AA611" i="10"/>
  <c r="AE611" i="10" s="1"/>
  <c r="AE23" i="10"/>
  <c r="AD23" i="10"/>
  <c r="AD66" i="10"/>
  <c r="AC66" i="10"/>
  <c r="W418" i="10"/>
  <c r="Z469" i="10"/>
  <c r="AA469" i="10"/>
  <c r="AE469" i="10" s="1"/>
  <c r="X235" i="10"/>
  <c r="Y235" i="10" s="1"/>
  <c r="X469" i="10"/>
  <c r="Y469" i="10" s="1"/>
  <c r="X512" i="10"/>
  <c r="Y512" i="10" s="1"/>
  <c r="AA235" i="10"/>
  <c r="AE235" i="10" s="1"/>
  <c r="AA512" i="10"/>
  <c r="AE512" i="10" s="1"/>
  <c r="Z655" i="10"/>
  <c r="Z579" i="10"/>
  <c r="AA162" i="10"/>
  <c r="AE162" i="10" s="1"/>
  <c r="W705" i="10"/>
  <c r="AA150" i="10"/>
  <c r="W405" i="10"/>
  <c r="AA209" i="10"/>
  <c r="AE209" i="10" s="1"/>
  <c r="AA263" i="10"/>
  <c r="AE263" i="10" s="1"/>
  <c r="Z209" i="10"/>
  <c r="X209" i="10"/>
  <c r="Y209" i="10" s="1"/>
  <c r="AA330" i="10"/>
  <c r="AE330" i="10" s="1"/>
  <c r="AB682" i="10"/>
  <c r="AC169" i="10"/>
  <c r="AD169" i="10"/>
  <c r="AC560" i="10"/>
  <c r="AD560" i="10"/>
  <c r="AC235" i="10"/>
  <c r="Z753" i="10"/>
  <c r="Z454" i="10"/>
  <c r="AA727" i="10"/>
  <c r="AE727" i="10" s="1"/>
  <c r="AA250" i="10"/>
  <c r="AE250" i="10" s="1"/>
  <c r="AD109" i="10"/>
  <c r="AE109" i="10"/>
  <c r="AB90" i="10"/>
  <c r="S225" i="10"/>
  <c r="AA454" i="10"/>
  <c r="AE454" i="10" s="1"/>
  <c r="AA304" i="10"/>
  <c r="AE304" i="10" s="1"/>
  <c r="AC419" i="10"/>
  <c r="AB114" i="10"/>
  <c r="S209" i="10"/>
  <c r="W420" i="10"/>
  <c r="X555" i="10"/>
  <c r="Y555" i="10" s="1"/>
  <c r="Z288" i="10"/>
  <c r="W601" i="10"/>
  <c r="AA694" i="10"/>
  <c r="AA102" i="10"/>
  <c r="AE102" i="10" s="1"/>
  <c r="AA768" i="10"/>
  <c r="AE768" i="10" s="1"/>
  <c r="AB702" i="10"/>
  <c r="AC702" i="10" s="1"/>
  <c r="AE507" i="10"/>
  <c r="AD507" i="10"/>
  <c r="Z510" i="10"/>
  <c r="AC760" i="10"/>
  <c r="AC209" i="10"/>
  <c r="Z633" i="10"/>
  <c r="AA316" i="10"/>
  <c r="AE316" i="10" s="1"/>
  <c r="AA452" i="10"/>
  <c r="AE452" i="10" s="1"/>
  <c r="Z316" i="10"/>
  <c r="Z452" i="10"/>
  <c r="Z715" i="10"/>
  <c r="X150" i="10"/>
  <c r="Y150" i="10" s="1"/>
  <c r="AB655" i="10"/>
  <c r="AC655" i="10" s="1"/>
  <c r="X398" i="10"/>
  <c r="Y398" i="10" s="1"/>
  <c r="Z150" i="10"/>
  <c r="AD375" i="10"/>
  <c r="AC375" i="10"/>
  <c r="AB316" i="10"/>
  <c r="AD691" i="10"/>
  <c r="AB162" i="10"/>
  <c r="X216" i="10"/>
  <c r="Y216" i="10" s="1"/>
  <c r="AA216" i="10"/>
  <c r="W427" i="10"/>
  <c r="X134" i="10"/>
  <c r="Y134" i="10" s="1"/>
  <c r="AA134" i="10"/>
  <c r="AE134" i="10" s="1"/>
  <c r="AA133" i="10"/>
  <c r="AE133" i="10" s="1"/>
  <c r="AC460" i="10"/>
  <c r="AD460" i="10"/>
  <c r="AE604" i="10"/>
  <c r="AD604" i="10"/>
  <c r="W147" i="10"/>
  <c r="Z546" i="10"/>
  <c r="X546" i="10"/>
  <c r="Y546" i="10" s="1"/>
  <c r="AA96" i="10"/>
  <c r="AE96" i="10" s="1"/>
  <c r="AA42" i="10"/>
  <c r="AE42" i="10" s="1"/>
  <c r="AA99" i="10"/>
  <c r="AE99" i="10" s="1"/>
  <c r="AB633" i="10"/>
  <c r="AC633" i="10" s="1"/>
  <c r="AD679" i="10"/>
  <c r="AE679" i="10"/>
  <c r="AC172" i="10"/>
  <c r="Z398" i="10"/>
  <c r="W202" i="10"/>
  <c r="Z90" i="10"/>
  <c r="X90" i="10"/>
  <c r="Y90" i="10" s="1"/>
  <c r="AA90" i="10"/>
  <c r="AE90" i="10" s="1"/>
  <c r="AA272" i="10"/>
  <c r="AE272" i="10" s="1"/>
  <c r="W511" i="10"/>
  <c r="AB134" i="10"/>
  <c r="AA334" i="10"/>
  <c r="AE334" i="10" s="1"/>
  <c r="AA771" i="10"/>
  <c r="AE771" i="10" s="1"/>
  <c r="AA692" i="10"/>
  <c r="AE692" i="10" s="1"/>
  <c r="AA98" i="10"/>
  <c r="AE98" i="10" s="1"/>
  <c r="AD678" i="10"/>
  <c r="AC678" i="10"/>
  <c r="AA770" i="10"/>
  <c r="AE770" i="10" s="1"/>
  <c r="AA751" i="10"/>
  <c r="AE751" i="10" s="1"/>
  <c r="AE22" i="10"/>
  <c r="AD22" i="10"/>
  <c r="AE105" i="10"/>
  <c r="AD105" i="10"/>
  <c r="AC398" i="10"/>
  <c r="X263" i="10"/>
  <c r="Y263" i="10" s="1"/>
  <c r="AE314" i="10"/>
  <c r="AC469" i="10"/>
  <c r="AB579" i="10"/>
  <c r="AC579" i="10" s="1"/>
  <c r="AA739" i="10"/>
  <c r="AE739" i="10" s="1"/>
  <c r="AA274" i="10"/>
  <c r="AE274" i="10" s="1"/>
  <c r="X367" i="10"/>
  <c r="Y367" i="10" s="1"/>
  <c r="AD81" i="10"/>
  <c r="AE81" i="10"/>
  <c r="Z263" i="10"/>
  <c r="AB732" i="10"/>
  <c r="AB452" i="10"/>
  <c r="W407" i="10"/>
  <c r="X406" i="10"/>
  <c r="Y406" i="10" s="1"/>
  <c r="AA406" i="10"/>
  <c r="W101" i="10"/>
  <c r="Z499" i="10"/>
  <c r="X499" i="10"/>
  <c r="Y499" i="10" s="1"/>
  <c r="W395" i="10"/>
  <c r="X155" i="10"/>
  <c r="Y155" i="10" s="1"/>
  <c r="X58" i="10"/>
  <c r="Y58" i="10" s="1"/>
  <c r="Z58" i="10"/>
  <c r="AA58" i="10"/>
  <c r="AA155" i="10"/>
  <c r="W599" i="10"/>
  <c r="AA258" i="10"/>
  <c r="X258" i="10"/>
  <c r="Y258" i="10" s="1"/>
  <c r="W201" i="10"/>
  <c r="Z497" i="10"/>
  <c r="X497" i="10"/>
  <c r="Y497" i="10" s="1"/>
  <c r="Z553" i="10"/>
  <c r="W391" i="10"/>
  <c r="Z389" i="10"/>
  <c r="D19" i="19" s="1"/>
  <c r="Z114" i="10"/>
  <c r="X389" i="10"/>
  <c r="Y389" i="10" s="1"/>
  <c r="X114" i="10"/>
  <c r="Y114" i="10" s="1"/>
  <c r="AA279" i="10"/>
  <c r="AE279" i="10" s="1"/>
  <c r="AA196" i="10"/>
  <c r="AE196" i="10" s="1"/>
  <c r="AA431" i="10"/>
  <c r="AE431" i="10" s="1"/>
  <c r="AB632" i="10"/>
  <c r="AC632" i="10" s="1"/>
  <c r="AE210" i="10"/>
  <c r="AD210" i="10"/>
  <c r="Z258" i="10"/>
  <c r="AE187" i="10"/>
  <c r="AD187" i="10"/>
  <c r="AD286" i="10"/>
  <c r="K16" i="17"/>
  <c r="Q29" i="17"/>
  <c r="O12" i="6"/>
  <c r="AB586" i="10"/>
  <c r="AD586" i="10" s="1"/>
  <c r="AB101" i="10"/>
  <c r="AD101" i="10" s="1"/>
  <c r="AB334" i="10"/>
  <c r="AC334" i="10" s="1"/>
  <c r="AB195" i="10"/>
  <c r="AD195" i="10" s="1"/>
  <c r="AB739" i="10"/>
  <c r="AC739" i="10" s="1"/>
  <c r="AB261" i="10"/>
  <c r="AC261" i="10" s="1"/>
  <c r="O10" i="3"/>
  <c r="O11" i="3"/>
  <c r="O12" i="3"/>
  <c r="AB279" i="10"/>
  <c r="AC279" i="10" s="1"/>
  <c r="AB40" i="10"/>
  <c r="AC40" i="10" s="1"/>
  <c r="O11" i="4"/>
  <c r="O12" i="4"/>
  <c r="O10" i="5"/>
  <c r="O11" i="5"/>
  <c r="AB617" i="10"/>
  <c r="AC617" i="10" s="1"/>
  <c r="AB102" i="10"/>
  <c r="AC102" i="10" s="1"/>
  <c r="O12" i="5"/>
  <c r="AB179" i="10"/>
  <c r="AC179" i="10" s="1"/>
  <c r="O10" i="6"/>
  <c r="AB233" i="10"/>
  <c r="AD233" i="10" s="1"/>
  <c r="AB756" i="10"/>
  <c r="AC756" i="10" s="1"/>
  <c r="AA77" i="10"/>
  <c r="AE77" i="10" s="1"/>
  <c r="AA303" i="10"/>
  <c r="AE303" i="10" s="1"/>
  <c r="AA663" i="10"/>
  <c r="AE663" i="10" s="1"/>
  <c r="AA53" i="10"/>
  <c r="AE53" i="10" s="1"/>
  <c r="AB38" i="10"/>
  <c r="AB264" i="10"/>
  <c r="AB729" i="10"/>
  <c r="AB412" i="10"/>
  <c r="AB283" i="10"/>
  <c r="Z328" i="10"/>
  <c r="AB395" i="10"/>
  <c r="P27" i="17"/>
  <c r="P28" i="17"/>
  <c r="Q25" i="17"/>
  <c r="Q26" i="17"/>
  <c r="Q27" i="17"/>
  <c r="Q28" i="17"/>
  <c r="P26" i="17"/>
  <c r="P25" i="17"/>
  <c r="AB610" i="10"/>
  <c r="AA405" i="10"/>
  <c r="AE405" i="10" s="1"/>
  <c r="AA329" i="10"/>
  <c r="AE329" i="10" s="1"/>
  <c r="AB256" i="10"/>
  <c r="AA471" i="10"/>
  <c r="AE471" i="10" s="1"/>
  <c r="AB705" i="10"/>
  <c r="AA642" i="10"/>
  <c r="AE642" i="10" s="1"/>
  <c r="AB281" i="10"/>
  <c r="AB96" i="10"/>
  <c r="AB651" i="10"/>
  <c r="AB668" i="10"/>
  <c r="AB213" i="10"/>
  <c r="AB718" i="10"/>
  <c r="AB221" i="10"/>
  <c r="AB364" i="10"/>
  <c r="AB278" i="10"/>
  <c r="AB272" i="10"/>
  <c r="AB752" i="10"/>
  <c r="AB356" i="10"/>
  <c r="AB449" i="10"/>
  <c r="AA430" i="10"/>
  <c r="AE430" i="10" s="1"/>
  <c r="AA107" i="10"/>
  <c r="AE107" i="10" s="1"/>
  <c r="AB699" i="10"/>
  <c r="AB599" i="10"/>
  <c r="AB329" i="10"/>
  <c r="AB537" i="10"/>
  <c r="AA370" i="10"/>
  <c r="AE370" i="10" s="1"/>
  <c r="AA666" i="10"/>
  <c r="AE666" i="10" s="1"/>
  <c r="AA92" i="10"/>
  <c r="AE92" i="10" s="1"/>
  <c r="AB751" i="10"/>
  <c r="AB304" i="10"/>
  <c r="AA30" i="10"/>
  <c r="AE30" i="10" s="1"/>
  <c r="AB700" i="10"/>
  <c r="AB50" i="10"/>
  <c r="AB128" i="10"/>
  <c r="AB727" i="10"/>
  <c r="AB609" i="10"/>
  <c r="AB330" i="10"/>
  <c r="AB45" i="10"/>
  <c r="AB344" i="10"/>
  <c r="AB30" i="10"/>
  <c r="AA124" i="10"/>
  <c r="AE124" i="10" s="1"/>
  <c r="AA429" i="10"/>
  <c r="AE429" i="10" s="1"/>
  <c r="AB494" i="10"/>
  <c r="AB122" i="10"/>
  <c r="AB139" i="10"/>
  <c r="AB157" i="10"/>
  <c r="AB124" i="10"/>
  <c r="AB345" i="10"/>
  <c r="AA462" i="10"/>
  <c r="AE462" i="10" s="1"/>
  <c r="AA202" i="10"/>
  <c r="AE202" i="10" s="1"/>
  <c r="AA579" i="10"/>
  <c r="AE579" i="10" s="1"/>
  <c r="AA655" i="10"/>
  <c r="AE655" i="10" s="1"/>
  <c r="AB274" i="10"/>
  <c r="AB664" i="10"/>
  <c r="AB262" i="10"/>
  <c r="AB6" i="10"/>
  <c r="AA438" i="10"/>
  <c r="AE438" i="10" s="1"/>
  <c r="AB99" i="10"/>
  <c r="AB51" i="10"/>
  <c r="AA137" i="10"/>
  <c r="AE137" i="10" s="1"/>
  <c r="AB439" i="10"/>
  <c r="AB484" i="10"/>
  <c r="AB623" i="10"/>
  <c r="AB429" i="10"/>
  <c r="AB646" i="10"/>
  <c r="AA439" i="10"/>
  <c r="AE439" i="10" s="1"/>
  <c r="AA276" i="10"/>
  <c r="AE276" i="10" s="1"/>
  <c r="AB657" i="10"/>
  <c r="AB352" i="10"/>
  <c r="AA275" i="10"/>
  <c r="AE275" i="10" s="1"/>
  <c r="AB482" i="10"/>
  <c r="AB399" i="10"/>
  <c r="AB382" i="10"/>
  <c r="AB621" i="10"/>
  <c r="AB287" i="10"/>
  <c r="AB608" i="10"/>
  <c r="AA674" i="10"/>
  <c r="AE674" i="10" s="1"/>
  <c r="AA668" i="10"/>
  <c r="AE668" i="10" s="1"/>
  <c r="AB125" i="10"/>
  <c r="AB435" i="10"/>
  <c r="AB43" i="10"/>
  <c r="AB335" i="10"/>
  <c r="AA661" i="10"/>
  <c r="AE661" i="10" s="1"/>
  <c r="AB652" i="10"/>
  <c r="AB165" i="10"/>
  <c r="AA215" i="10"/>
  <c r="AE215" i="10" s="1"/>
  <c r="AB642" i="10"/>
  <c r="AB708" i="10"/>
  <c r="AB238" i="10"/>
  <c r="AB620" i="10"/>
  <c r="AA27" i="10"/>
  <c r="AE27" i="10" s="1"/>
  <c r="AA465" i="10"/>
  <c r="AE465" i="10" s="1"/>
  <c r="AB656" i="10"/>
  <c r="AA84" i="10"/>
  <c r="AE84" i="10" s="1"/>
  <c r="AB52" i="10"/>
  <c r="AB370" i="10"/>
  <c r="AB133" i="10"/>
  <c r="AB696" i="10"/>
  <c r="AA223" i="10"/>
  <c r="AE223" i="10" s="1"/>
  <c r="AA328" i="10"/>
  <c r="AE328" i="10" s="1"/>
  <c r="AB138" i="10"/>
  <c r="AB129" i="10"/>
  <c r="AA278" i="10"/>
  <c r="AE278" i="10" s="1"/>
  <c r="AA158" i="10"/>
  <c r="AE158" i="10" s="1"/>
  <c r="AA415" i="10"/>
  <c r="AE415" i="10" s="1"/>
  <c r="AA130" i="10"/>
  <c r="AE130" i="10" s="1"/>
  <c r="AB82" i="10"/>
  <c r="AA730" i="10"/>
  <c r="AE730" i="10" s="1"/>
  <c r="AA399" i="10"/>
  <c r="AE399" i="10" s="1"/>
  <c r="AA447" i="10"/>
  <c r="AE447" i="10" s="1"/>
  <c r="AA716" i="10"/>
  <c r="AE716" i="10" s="1"/>
  <c r="AB420" i="10"/>
  <c r="AB754" i="10"/>
  <c r="AB674" i="10"/>
  <c r="AA729" i="10"/>
  <c r="AE729" i="10" s="1"/>
  <c r="AA281" i="10"/>
  <c r="AE281" i="10" s="1"/>
  <c r="AA728" i="10"/>
  <c r="AE728" i="10" s="1"/>
  <c r="AA623" i="10"/>
  <c r="AE623" i="10" s="1"/>
  <c r="AB731" i="10"/>
  <c r="AB153" i="10"/>
  <c r="AB11" i="10"/>
  <c r="AB77" i="10"/>
  <c r="AB600" i="10"/>
  <c r="AA599" i="10"/>
  <c r="AE599" i="10" s="1"/>
  <c r="AA273" i="10"/>
  <c r="AE273" i="10" s="1"/>
  <c r="AA544" i="10"/>
  <c r="AE544" i="10" s="1"/>
  <c r="AB365" i="10"/>
  <c r="AB12" i="10"/>
  <c r="AB234" i="10"/>
  <c r="AB422" i="10"/>
  <c r="AB94" i="10"/>
  <c r="AB372" i="10"/>
  <c r="AB42" i="10"/>
  <c r="AC42" i="10" s="1"/>
  <c r="AB302" i="10"/>
  <c r="AB100" i="10"/>
  <c r="AB468" i="10"/>
  <c r="AB323" i="10"/>
  <c r="AB543" i="10"/>
  <c r="AB200" i="10"/>
  <c r="AA516" i="10"/>
  <c r="AE516" i="10" s="1"/>
  <c r="AA418" i="10"/>
  <c r="AE418" i="10" s="1"/>
  <c r="AA543" i="10"/>
  <c r="AE543" i="10" s="1"/>
  <c r="AB268" i="10"/>
  <c r="AB405" i="10"/>
  <c r="AB259" i="10"/>
  <c r="AB661" i="10"/>
  <c r="AB683" i="10"/>
  <c r="AB473" i="10"/>
  <c r="AB428" i="10"/>
  <c r="AB611" i="10"/>
  <c r="AB730" i="10"/>
  <c r="AB396" i="10"/>
  <c r="AA738" i="10"/>
  <c r="AE738" i="10" s="1"/>
  <c r="AA542" i="10"/>
  <c r="AE542" i="10" s="1"/>
  <c r="AB471" i="10"/>
  <c r="AB689" i="10"/>
  <c r="AB280" i="10"/>
  <c r="AB92" i="10"/>
  <c r="AB431" i="10"/>
  <c r="AB224" i="10"/>
  <c r="AB421" i="10"/>
  <c r="AB681" i="10"/>
  <c r="AB198" i="10"/>
  <c r="AB501" i="10"/>
  <c r="AB273" i="10"/>
  <c r="AB17" i="10"/>
  <c r="AB41" i="10"/>
  <c r="AB203" i="10"/>
  <c r="AB687" i="10"/>
  <c r="AB738" i="10"/>
  <c r="AB407" i="10"/>
  <c r="AA619" i="10"/>
  <c r="AE619" i="10" s="1"/>
  <c r="AA213" i="10"/>
  <c r="AE213" i="10" s="1"/>
  <c r="AA266" i="10"/>
  <c r="AE266" i="10" s="1"/>
  <c r="AA441" i="10"/>
  <c r="AE441" i="10" s="1"/>
  <c r="AA39" i="10"/>
  <c r="AE39" i="10" s="1"/>
  <c r="AA18" i="10"/>
  <c r="AE18" i="10" s="1"/>
  <c r="AA38" i="10"/>
  <c r="AE38" i="10" s="1"/>
  <c r="AA705" i="10"/>
  <c r="AE705" i="10" s="1"/>
  <c r="AB18" i="10"/>
  <c r="AA708" i="10"/>
  <c r="AE708" i="10" s="1"/>
  <c r="AA667" i="10"/>
  <c r="AE667" i="10" s="1"/>
  <c r="AA265" i="10"/>
  <c r="AE265" i="10" s="1"/>
  <c r="AA221" i="10"/>
  <c r="AE221" i="10" s="1"/>
  <c r="AB441" i="10"/>
  <c r="AB342" i="10"/>
  <c r="AB641" i="10"/>
  <c r="AB418" i="10"/>
  <c r="AB158" i="10"/>
  <c r="AA449" i="10"/>
  <c r="AE449" i="10" s="1"/>
  <c r="AB130" i="10"/>
  <c r="AB750" i="10"/>
  <c r="AB433" i="10"/>
  <c r="AB282" i="10"/>
  <c r="AB201" i="10"/>
  <c r="AB371" i="10"/>
  <c r="AB692" i="10"/>
  <c r="AB328" i="10"/>
  <c r="AB39" i="10"/>
  <c r="AA201" i="10"/>
  <c r="AE201" i="10" s="1"/>
  <c r="AA43" i="10"/>
  <c r="AE43" i="10" s="1"/>
  <c r="AA125" i="10"/>
  <c r="AE125" i="10" s="1"/>
  <c r="AB202" i="10"/>
  <c r="AB93" i="10"/>
  <c r="AB483" i="10"/>
  <c r="AB544" i="10"/>
  <c r="AB176" i="10"/>
  <c r="AB397" i="10"/>
  <c r="AB768" i="10"/>
  <c r="AB438" i="10"/>
  <c r="AB54" i="10"/>
  <c r="AA123" i="10"/>
  <c r="AE123" i="10" s="1"/>
  <c r="AA207" i="10"/>
  <c r="AE207" i="10" s="1"/>
  <c r="AA138" i="10"/>
  <c r="AE138" i="10" s="1"/>
  <c r="AB265" i="10"/>
  <c r="AA282" i="10"/>
  <c r="AE282" i="10" s="1"/>
  <c r="AA483" i="10"/>
  <c r="AE483" i="10" s="1"/>
  <c r="AA94" i="10"/>
  <c r="AE94" i="10" s="1"/>
  <c r="AA421" i="10"/>
  <c r="AE421" i="10" s="1"/>
  <c r="AA147" i="10"/>
  <c r="AE147" i="10" s="1"/>
  <c r="AA493" i="10"/>
  <c r="AE493" i="10" s="1"/>
  <c r="AB147" i="10"/>
  <c r="AC147" i="10" s="1"/>
  <c r="AB511" i="10"/>
  <c r="AB123" i="10"/>
  <c r="AB769" i="10"/>
  <c r="AB622" i="10"/>
  <c r="AB493" i="10"/>
  <c r="AB542" i="10"/>
  <c r="AB89" i="10"/>
  <c r="AA470" i="10"/>
  <c r="AE470" i="10" s="1"/>
  <c r="AB207" i="10"/>
  <c r="AC207" i="10" s="1"/>
  <c r="AB470" i="10"/>
  <c r="AB714" i="10"/>
  <c r="AC714" i="10" s="1"/>
  <c r="AB426" i="10"/>
  <c r="AA372" i="10"/>
  <c r="AE372" i="10" s="1"/>
  <c r="AA620" i="10"/>
  <c r="AE620" i="10" s="1"/>
  <c r="AA238" i="10"/>
  <c r="AE238" i="10" s="1"/>
  <c r="AA52" i="10"/>
  <c r="AE52" i="10" s="1"/>
  <c r="AA55" i="10"/>
  <c r="AE55" i="10" s="1"/>
  <c r="AA636" i="10"/>
  <c r="AE636" i="10" s="1"/>
  <c r="AB667" i="10"/>
  <c r="AA700" i="10"/>
  <c r="AE700" i="10" s="1"/>
  <c r="AB55" i="10"/>
  <c r="AB636" i="10"/>
  <c r="AA420" i="10"/>
  <c r="AE420" i="10" s="1"/>
  <c r="AA80" i="10"/>
  <c r="AE80" i="10" s="1"/>
  <c r="AB4" i="10"/>
  <c r="AA757" i="10"/>
  <c r="AE757" i="10" s="1"/>
  <c r="AA224" i="10"/>
  <c r="AE224" i="10" s="1"/>
  <c r="AB13" i="10"/>
  <c r="AB771" i="10"/>
  <c r="AB619" i="10"/>
  <c r="AB313" i="10"/>
  <c r="AB391" i="10"/>
  <c r="AB666" i="10"/>
  <c r="AB80" i="10"/>
  <c r="AC80" i="10" s="1"/>
  <c r="AA468" i="10"/>
  <c r="AE468" i="10" s="1"/>
  <c r="AB276" i="10"/>
  <c r="AB447" i="10"/>
  <c r="AB275" i="10"/>
  <c r="AB728" i="10"/>
  <c r="AB266" i="10"/>
  <c r="AA194" i="10"/>
  <c r="AE194" i="10" s="1"/>
  <c r="AA183" i="10"/>
  <c r="AE183" i="10" s="1"/>
  <c r="AB137" i="10"/>
  <c r="AB770" i="10"/>
  <c r="AB194" i="10"/>
  <c r="AB759" i="10"/>
  <c r="AB662" i="10"/>
  <c r="AC662" i="10" s="1"/>
  <c r="AB183" i="10"/>
  <c r="AA227" i="10"/>
  <c r="AE227" i="10" s="1"/>
  <c r="AA165" i="10"/>
  <c r="AE165" i="10" s="1"/>
  <c r="AA696" i="10"/>
  <c r="AE696" i="10" s="1"/>
  <c r="AA428" i="10"/>
  <c r="AE428" i="10" s="1"/>
  <c r="AA656" i="10"/>
  <c r="AE656" i="10" s="1"/>
  <c r="AA10" i="10"/>
  <c r="AE10" i="10" s="1"/>
  <c r="AB430" i="10"/>
  <c r="AC430" i="10" s="1"/>
  <c r="AA759" i="10"/>
  <c r="AE759" i="10" s="1"/>
  <c r="AA662" i="10"/>
  <c r="AE662" i="10" s="1"/>
  <c r="AA335" i="10"/>
  <c r="AE335" i="10" s="1"/>
  <c r="AA129" i="10"/>
  <c r="AE129" i="10" s="1"/>
  <c r="AB227" i="10"/>
  <c r="AB10" i="10"/>
  <c r="AA17" i="10"/>
  <c r="AE17" i="10" s="1"/>
  <c r="AA198" i="10"/>
  <c r="AE198" i="10" s="1"/>
  <c r="AA6" i="10"/>
  <c r="AE6" i="10" s="1"/>
  <c r="AA664" i="10"/>
  <c r="AE664" i="10" s="1"/>
  <c r="AA220" i="10"/>
  <c r="AE220" i="10" s="1"/>
  <c r="AA280" i="10"/>
  <c r="AE280" i="10" s="1"/>
  <c r="AA473" i="10"/>
  <c r="AE473" i="10" s="1"/>
  <c r="AA502" i="10"/>
  <c r="AE502" i="10" s="1"/>
  <c r="AA609" i="10"/>
  <c r="AE609" i="10" s="1"/>
  <c r="AA323" i="10"/>
  <c r="AE323" i="10" s="1"/>
  <c r="AB220" i="10"/>
  <c r="AA731" i="10"/>
  <c r="AE731" i="10" s="1"/>
  <c r="AB502" i="10"/>
  <c r="AB131" i="10"/>
  <c r="AA262" i="10"/>
  <c r="AE262" i="10" s="1"/>
  <c r="AA222" i="10"/>
  <c r="AE222" i="10" s="1"/>
  <c r="AA686" i="10"/>
  <c r="AE686" i="10" s="1"/>
  <c r="AA501" i="10"/>
  <c r="AE501" i="10" s="1"/>
  <c r="AA382" i="10"/>
  <c r="AE382" i="10" s="1"/>
  <c r="AA608" i="10"/>
  <c r="AE608" i="10" s="1"/>
  <c r="AA432" i="10"/>
  <c r="AE432" i="10" s="1"/>
  <c r="AB663" i="10"/>
  <c r="AB196" i="10"/>
  <c r="AA484" i="10"/>
  <c r="AE484" i="10" s="1"/>
  <c r="AA51" i="10"/>
  <c r="AE51" i="10" s="1"/>
  <c r="AA229" i="10"/>
  <c r="AE229" i="10" s="1"/>
  <c r="AA24" i="10"/>
  <c r="AE24" i="10" s="1"/>
  <c r="AA352" i="10"/>
  <c r="AE352" i="10" s="1"/>
  <c r="AA640" i="10"/>
  <c r="AE640" i="10" s="1"/>
  <c r="AB95" i="10"/>
  <c r="AC95" i="10" s="1"/>
  <c r="AB725" i="10"/>
  <c r="AA259" i="10"/>
  <c r="AE259" i="10" s="1"/>
  <c r="AA277" i="10"/>
  <c r="AE277" i="10" s="1"/>
  <c r="AA203" i="10"/>
  <c r="AE203" i="10" s="1"/>
  <c r="AA704" i="10"/>
  <c r="AE704" i="10" s="1"/>
  <c r="AA369" i="10"/>
  <c r="AE369" i="10" s="1"/>
  <c r="AB223" i="10"/>
  <c r="AB598" i="10"/>
  <c r="AB222" i="10"/>
  <c r="AB432" i="10"/>
  <c r="AB427" i="10"/>
  <c r="AB29" i="10"/>
  <c r="AB640" i="10"/>
  <c r="AA146" i="10"/>
  <c r="AE146" i="10" s="1"/>
  <c r="AA50" i="10"/>
  <c r="AE50" i="10" s="1"/>
  <c r="AA568" i="10"/>
  <c r="AE568" i="10" s="1"/>
  <c r="AA699" i="10"/>
  <c r="AE699" i="10" s="1"/>
  <c r="AA363" i="10"/>
  <c r="AE363" i="10" s="1"/>
  <c r="AA132" i="10"/>
  <c r="AE132" i="10" s="1"/>
  <c r="AA437" i="10"/>
  <c r="AE437" i="10" s="1"/>
  <c r="AA758" i="10"/>
  <c r="AE758" i="10" s="1"/>
  <c r="AA364" i="10"/>
  <c r="AE364" i="10" s="1"/>
  <c r="AB229" i="10"/>
  <c r="AB24" i="10"/>
  <c r="AB462" i="10"/>
  <c r="AB601" i="10"/>
  <c r="AB755" i="10"/>
  <c r="AB257" i="10"/>
  <c r="AB415" i="10"/>
  <c r="AB277" i="10"/>
  <c r="AB704" i="10"/>
  <c r="AB369" i="10"/>
  <c r="AB303" i="10"/>
  <c r="AB250" i="10"/>
  <c r="AB146" i="10"/>
  <c r="AB568" i="10"/>
  <c r="AB363" i="10"/>
  <c r="AB53" i="10"/>
  <c r="AB753" i="10"/>
  <c r="AB288" i="10"/>
  <c r="AB132" i="10"/>
  <c r="AB437" i="10"/>
  <c r="AB758" i="10"/>
  <c r="AB98" i="10"/>
  <c r="AA302" i="10"/>
  <c r="AE302" i="10" s="1"/>
  <c r="AA407" i="10"/>
  <c r="AE407" i="10" s="1"/>
  <c r="AA684" i="10"/>
  <c r="AE684" i="10" s="1"/>
  <c r="AA681" i="10"/>
  <c r="AE681" i="10" s="1"/>
  <c r="AA344" i="10"/>
  <c r="AE344" i="10" s="1"/>
  <c r="AA593" i="10"/>
  <c r="AE593" i="10" s="1"/>
  <c r="AA435" i="10"/>
  <c r="AE435" i="10" s="1"/>
  <c r="AA45" i="10"/>
  <c r="AE45" i="10" s="1"/>
  <c r="AA689" i="10"/>
  <c r="AE689" i="10" s="1"/>
  <c r="AA365" i="10"/>
  <c r="AE365" i="10" s="1"/>
  <c r="AB686" i="10"/>
  <c r="AA288" i="10"/>
  <c r="AE288" i="10" s="1"/>
  <c r="AB684" i="10"/>
  <c r="AB593" i="10"/>
  <c r="AA31" i="10"/>
  <c r="AE31" i="10" s="1"/>
  <c r="AA395" i="10"/>
  <c r="AE395" i="10" s="1"/>
  <c r="AA683" i="10"/>
  <c r="AE683" i="10" s="1"/>
  <c r="AA657" i="10"/>
  <c r="AE657" i="10" s="1"/>
  <c r="AA356" i="10"/>
  <c r="AE356" i="10" s="1"/>
  <c r="AE586" i="10"/>
  <c r="S716" i="10"/>
  <c r="W131" i="10"/>
  <c r="W274" i="10"/>
  <c r="W494" i="10"/>
  <c r="W330" i="10"/>
  <c r="S465" i="10"/>
  <c r="Z702" i="10"/>
  <c r="Z718" i="10"/>
  <c r="Z82" i="10"/>
  <c r="W754" i="10"/>
  <c r="W646" i="10"/>
  <c r="Z668" i="10"/>
  <c r="Z55" i="10"/>
  <c r="Z430" i="10"/>
  <c r="Z716" i="10"/>
  <c r="Z405" i="10"/>
  <c r="Z334" i="10"/>
  <c r="Z264" i="10"/>
  <c r="Z278" i="10"/>
  <c r="Z739" i="10"/>
  <c r="Z674" i="10"/>
  <c r="Z429" i="10"/>
  <c r="Z158" i="10"/>
  <c r="Z730" i="10"/>
  <c r="Z268" i="10"/>
  <c r="Z261" i="10"/>
  <c r="Z439" i="10"/>
  <c r="Z438" i="10"/>
  <c r="Z122" i="10"/>
  <c r="Z420" i="10"/>
  <c r="Z433" i="10"/>
  <c r="Z600" i="10"/>
  <c r="Z13" i="10"/>
  <c r="Z447" i="10"/>
  <c r="Z617" i="10"/>
  <c r="Z4" i="10"/>
  <c r="Z642" i="10"/>
  <c r="Z661" i="10"/>
  <c r="Z137" i="10"/>
  <c r="Z418" i="10"/>
  <c r="Z272" i="10"/>
  <c r="Z224" i="10"/>
  <c r="Z221" i="10"/>
  <c r="Z335" i="10"/>
  <c r="Z738" i="10"/>
  <c r="Z759" i="10"/>
  <c r="Z421" i="10"/>
  <c r="Z329" i="10"/>
  <c r="Z768" i="10"/>
  <c r="Z769" i="10"/>
  <c r="Z266" i="10"/>
  <c r="Z662" i="10"/>
  <c r="Z133" i="10"/>
  <c r="Z708" i="10"/>
  <c r="Z39" i="10"/>
  <c r="Z483" i="10"/>
  <c r="Z516" i="10"/>
  <c r="Z281" i="10"/>
  <c r="Z623" i="10"/>
  <c r="Z622" i="10"/>
  <c r="Z714" i="10"/>
  <c r="Z213" i="10"/>
  <c r="Z620" i="10"/>
  <c r="Z18" i="10"/>
  <c r="Z684" i="10"/>
  <c r="Z705" i="10"/>
  <c r="Z619" i="10"/>
  <c r="Z107" i="10"/>
  <c r="Z664" i="10"/>
  <c r="Z686" i="10"/>
  <c r="Z757" i="10"/>
  <c r="X221" i="10"/>
  <c r="Y221" i="10" s="1"/>
  <c r="Z663" i="10"/>
  <c r="Z51" i="10"/>
  <c r="Z756" i="10"/>
  <c r="Z276" i="10"/>
  <c r="Z130" i="10"/>
  <c r="Z449" i="10"/>
  <c r="Z342" i="10"/>
  <c r="Z129" i="10"/>
  <c r="Z275" i="10"/>
  <c r="Z441" i="10"/>
  <c r="Z586" i="10"/>
  <c r="Z153" i="10"/>
  <c r="Z568" i="10"/>
  <c r="Z641" i="10"/>
  <c r="Z198" i="10"/>
  <c r="Z179" i="10"/>
  <c r="Z667" i="10"/>
  <c r="Z364" i="10"/>
  <c r="Z371" i="10"/>
  <c r="Z147" i="10"/>
  <c r="Z731" i="10"/>
  <c r="Z282" i="10"/>
  <c r="Z38" i="10"/>
  <c r="Z363" i="10"/>
  <c r="Z758" i="10"/>
  <c r="Z29" i="10"/>
  <c r="Z101" i="10"/>
  <c r="Z599" i="10"/>
  <c r="Z700" i="10"/>
  <c r="Z125" i="10"/>
  <c r="Z265" i="10"/>
  <c r="Z471" i="10"/>
  <c r="Z689" i="10"/>
  <c r="Z755" i="10"/>
  <c r="Z511" i="10"/>
  <c r="Z201" i="10"/>
  <c r="Z584" i="10"/>
  <c r="Z165" i="10"/>
  <c r="Z493" i="10"/>
  <c r="Z80" i="10"/>
  <c r="Z102" i="10"/>
  <c r="Z43" i="10"/>
  <c r="Z431" i="10"/>
  <c r="Z138" i="10"/>
  <c r="Z195" i="10"/>
  <c r="W53" i="10"/>
  <c r="Z53" i="10"/>
  <c r="Z303" i="10"/>
  <c r="W54" i="10"/>
  <c r="Z12" i="10"/>
  <c r="Z54" i="10"/>
  <c r="W183" i="10"/>
  <c r="Z183" i="10"/>
  <c r="W234" i="10"/>
  <c r="Z234" i="10"/>
  <c r="Z227" i="10"/>
  <c r="Z194" i="10"/>
  <c r="W428" i="10"/>
  <c r="Z428" i="10"/>
  <c r="W52" i="10"/>
  <c r="Z391" i="10"/>
  <c r="Z52" i="10"/>
  <c r="W123" i="10"/>
  <c r="Z123" i="10"/>
  <c r="Z397" i="10"/>
  <c r="Z94" i="10"/>
  <c r="Z202" i="10"/>
  <c r="W372" i="10"/>
  <c r="Z372" i="10"/>
  <c r="Z207" i="10"/>
  <c r="W89" i="10"/>
  <c r="Z89" i="10"/>
  <c r="X176" i="10"/>
  <c r="Y176" i="10" s="1"/>
  <c r="Z176" i="10"/>
  <c r="W100" i="10"/>
  <c r="Z100" i="10"/>
  <c r="W611" i="10"/>
  <c r="Z611" i="10"/>
  <c r="W323" i="10"/>
  <c r="Z323" i="10"/>
  <c r="Z10" i="10"/>
  <c r="W470" i="10"/>
  <c r="Z470" i="10"/>
  <c r="W200" i="10"/>
  <c r="Z200" i="10"/>
  <c r="Z93" i="10"/>
  <c r="W77" i="10"/>
  <c r="Z77" i="10"/>
  <c r="W230" i="10"/>
  <c r="Z230" i="10"/>
  <c r="W344" i="10"/>
  <c r="Z344" i="10"/>
  <c r="W692" i="10"/>
  <c r="Z692" i="10"/>
  <c r="Z203" i="10"/>
  <c r="Z771" i="10"/>
  <c r="Z544" i="10"/>
  <c r="Z537" i="10"/>
  <c r="Z42" i="10"/>
  <c r="Z729" i="10"/>
  <c r="W770" i="10"/>
  <c r="Z770" i="10"/>
  <c r="Z313" i="10"/>
  <c r="W501" i="10"/>
  <c r="Z501" i="10"/>
  <c r="W713" i="10"/>
  <c r="Z713" i="10"/>
  <c r="W468" i="10"/>
  <c r="Z11" i="10"/>
  <c r="Z468" i="10"/>
  <c r="W473" i="10"/>
  <c r="Z473" i="10"/>
  <c r="W542" i="10"/>
  <c r="Z542" i="10"/>
  <c r="W220" i="10"/>
  <c r="Z220" i="10"/>
  <c r="W229" i="10"/>
  <c r="Z229" i="10"/>
  <c r="W422" i="10"/>
  <c r="Z422" i="10"/>
  <c r="W610" i="10"/>
  <c r="Z610" i="10"/>
  <c r="W728" i="10"/>
  <c r="Z273" i="10"/>
  <c r="W396" i="10"/>
  <c r="Z396" i="10"/>
  <c r="W223" i="10"/>
  <c r="Z223" i="10"/>
  <c r="W632" i="10"/>
  <c r="Z632" i="10"/>
  <c r="Z222" i="10"/>
  <c r="Z543" i="10"/>
  <c r="Z728" i="10"/>
  <c r="Z462" i="10"/>
  <c r="Z601" i="10"/>
  <c r="Z257" i="10"/>
  <c r="Z330" i="10"/>
  <c r="Z415" i="10"/>
  <c r="Z259" i="10"/>
  <c r="Z277" i="10"/>
  <c r="Z704" i="10"/>
  <c r="Z369" i="10"/>
  <c r="Z646" i="10"/>
  <c r="Z754" i="10"/>
  <c r="Z752" i="10"/>
  <c r="Z250" i="10"/>
  <c r="Z399" i="10"/>
  <c r="Z146" i="10"/>
  <c r="Z50" i="10"/>
  <c r="Z699" i="10"/>
  <c r="Z99" i="10"/>
  <c r="Z370" i="10"/>
  <c r="Z651" i="10"/>
  <c r="Z621" i="10"/>
  <c r="Z482" i="10"/>
  <c r="Z426" i="10"/>
  <c r="Z652" i="10"/>
  <c r="Z96" i="10"/>
  <c r="Z238" i="10"/>
  <c r="Z636" i="10"/>
  <c r="Z287" i="10"/>
  <c r="Z666" i="10"/>
  <c r="Z92" i="10"/>
  <c r="Z274" i="10"/>
  <c r="Z696" i="10"/>
  <c r="Z656" i="10"/>
  <c r="Z17" i="10"/>
  <c r="Z6" i="10"/>
  <c r="Z280" i="10"/>
  <c r="Z304" i="10"/>
  <c r="Z157" i="10"/>
  <c r="Z132" i="10"/>
  <c r="Z437" i="10"/>
  <c r="Z98" i="10"/>
  <c r="Z124" i="10"/>
  <c r="Z279" i="10"/>
  <c r="Z30" i="10"/>
  <c r="Z502" i="10"/>
  <c r="Z131" i="10"/>
  <c r="Z609" i="10"/>
  <c r="Z27" i="10"/>
  <c r="Z95" i="10"/>
  <c r="Z262" i="10"/>
  <c r="Z196" i="10"/>
  <c r="Z598" i="10"/>
  <c r="Z382" i="10"/>
  <c r="Z608" i="10"/>
  <c r="Z432" i="10"/>
  <c r="Z465" i="10"/>
  <c r="Z427" i="10"/>
  <c r="Z725" i="10"/>
  <c r="Z494" i="10"/>
  <c r="Z484" i="10"/>
  <c r="Z24" i="10"/>
  <c r="Z352" i="10"/>
  <c r="Z640" i="10"/>
  <c r="Z302" i="10"/>
  <c r="Z407" i="10"/>
  <c r="Z727" i="10"/>
  <c r="Z681" i="10"/>
  <c r="Z593" i="10"/>
  <c r="Z435" i="10"/>
  <c r="Z45" i="10"/>
  <c r="Z365" i="10"/>
  <c r="Z751" i="10"/>
  <c r="Z283" i="10"/>
  <c r="Z412" i="10"/>
  <c r="Z395" i="10"/>
  <c r="Z345" i="10"/>
  <c r="Z683" i="10"/>
  <c r="Z139" i="10"/>
  <c r="Z41" i="10"/>
  <c r="Z657" i="10"/>
  <c r="Z356" i="10"/>
  <c r="Z750" i="10"/>
  <c r="W364" i="10"/>
  <c r="W371" i="10"/>
  <c r="W278" i="10"/>
  <c r="W718" i="10"/>
  <c r="W758" i="10"/>
  <c r="W288" i="10"/>
  <c r="W31" i="10"/>
  <c r="W215" i="10"/>
  <c r="W222" i="10"/>
  <c r="W771" i="10"/>
  <c r="W655" i="10"/>
  <c r="W238" i="10"/>
  <c r="W203" i="10"/>
  <c r="W687" i="10"/>
  <c r="W568" i="10"/>
  <c r="W233" i="10"/>
  <c r="W702" i="10"/>
  <c r="W264" i="10"/>
  <c r="W256" i="10"/>
  <c r="W544" i="10"/>
  <c r="W623" i="10"/>
  <c r="W328" i="10"/>
  <c r="W689" i="10"/>
  <c r="W753" i="10"/>
  <c r="W42" i="10"/>
  <c r="W397" i="10"/>
  <c r="W433" i="10"/>
  <c r="W600" i="10"/>
  <c r="W13" i="10"/>
  <c r="W194" i="10"/>
  <c r="W696" i="10"/>
  <c r="W363" i="10"/>
  <c r="W579" i="10"/>
  <c r="W543" i="10"/>
  <c r="W196" i="10"/>
  <c r="W537" i="10"/>
  <c r="W471" i="10"/>
  <c r="W755" i="10"/>
  <c r="W454" i="10"/>
  <c r="W82" i="10"/>
  <c r="W426" i="10"/>
  <c r="W633" i="10"/>
  <c r="W40" i="10"/>
  <c r="W11" i="10"/>
  <c r="W303" i="10"/>
  <c r="X584" i="10"/>
  <c r="Y584" i="10" s="1"/>
  <c r="X102" i="10"/>
  <c r="Y102" i="10" s="1"/>
  <c r="X759" i="10"/>
  <c r="Y759" i="10" s="1"/>
  <c r="X133" i="10"/>
  <c r="Y133" i="10" s="1"/>
  <c r="X6" i="10"/>
  <c r="Y6" i="10" s="1"/>
  <c r="X684" i="10"/>
  <c r="Y684" i="10" s="1"/>
  <c r="X132" i="10"/>
  <c r="Y132" i="10" s="1"/>
  <c r="X17" i="10"/>
  <c r="Y17" i="10" s="1"/>
  <c r="X27" i="10"/>
  <c r="Y27" i="10" s="1"/>
  <c r="X516" i="10"/>
  <c r="Y516" i="10" s="1"/>
  <c r="X769" i="10"/>
  <c r="Y769" i="10" s="1"/>
  <c r="X619" i="10"/>
  <c r="Y619" i="10" s="1"/>
  <c r="X282" i="10"/>
  <c r="Y282" i="10" s="1"/>
  <c r="X334" i="10"/>
  <c r="Y334" i="10" s="1"/>
  <c r="W703" i="10"/>
  <c r="X703" i="10"/>
  <c r="Y703" i="10" s="1"/>
  <c r="X272" i="10"/>
  <c r="Y272" i="10" s="1"/>
  <c r="X714" i="10"/>
  <c r="Y714" i="10" s="1"/>
  <c r="X662" i="10"/>
  <c r="Y662" i="10" s="1"/>
  <c r="X439" i="10"/>
  <c r="Y439" i="10" s="1"/>
  <c r="X55" i="10"/>
  <c r="Y55" i="10" s="1"/>
  <c r="X165" i="10"/>
  <c r="Y165" i="10" s="1"/>
  <c r="X756" i="10"/>
  <c r="Y756" i="10" s="1"/>
  <c r="X224" i="10"/>
  <c r="Y224" i="10" s="1"/>
  <c r="X484" i="10"/>
  <c r="Y484" i="10" s="1"/>
  <c r="X449" i="10"/>
  <c r="Y449" i="10" s="1"/>
  <c r="X447" i="10"/>
  <c r="Y447" i="10" s="1"/>
  <c r="X642" i="10"/>
  <c r="Y642" i="10" s="1"/>
  <c r="X158" i="10"/>
  <c r="Y158" i="10" s="1"/>
  <c r="X266" i="10"/>
  <c r="Y266" i="10" s="1"/>
  <c r="X4" i="10"/>
  <c r="Y4" i="10" s="1"/>
  <c r="X405" i="10"/>
  <c r="Y405" i="10" s="1"/>
  <c r="X730" i="10"/>
  <c r="Y730" i="10" s="1"/>
  <c r="X708" i="10"/>
  <c r="Y708" i="10" s="1"/>
  <c r="X281" i="10"/>
  <c r="Y281" i="10" s="1"/>
  <c r="X429" i="10"/>
  <c r="Y429" i="10" s="1"/>
  <c r="X278" i="10"/>
  <c r="Y278" i="10" s="1"/>
  <c r="X268" i="10"/>
  <c r="Y268" i="10" s="1"/>
  <c r="X201" i="10"/>
  <c r="Y201" i="10" s="1"/>
  <c r="X623" i="10"/>
  <c r="Y623" i="10" s="1"/>
  <c r="X430" i="10"/>
  <c r="Y430" i="10" s="1"/>
  <c r="X264" i="10"/>
  <c r="Y264" i="10" s="1"/>
  <c r="X483" i="10"/>
  <c r="Y483" i="10" s="1"/>
  <c r="X213" i="10"/>
  <c r="Y213" i="10" s="1"/>
  <c r="X420" i="10"/>
  <c r="Y420" i="10" s="1"/>
  <c r="X39" i="10"/>
  <c r="Y39" i="10" s="1"/>
  <c r="X716" i="10"/>
  <c r="Y716" i="10" s="1"/>
  <c r="X622" i="10"/>
  <c r="Y622" i="10" s="1"/>
  <c r="X655" i="10"/>
  <c r="Y655" i="10" s="1"/>
  <c r="X18" i="10"/>
  <c r="Y18" i="10" s="1"/>
  <c r="X511" i="10"/>
  <c r="Y511" i="10" s="1"/>
  <c r="X621" i="10"/>
  <c r="Y621" i="10" s="1"/>
  <c r="X438" i="10"/>
  <c r="Y438" i="10" s="1"/>
  <c r="X107" i="10"/>
  <c r="Y107" i="10" s="1"/>
  <c r="X620" i="10"/>
  <c r="Y620" i="10" s="1"/>
  <c r="X668" i="10"/>
  <c r="Y668" i="10" s="1"/>
  <c r="X757" i="10"/>
  <c r="Y757" i="10" s="1"/>
  <c r="X739" i="10"/>
  <c r="Y739" i="10" s="1"/>
  <c r="X663" i="10"/>
  <c r="Y663" i="10" s="1"/>
  <c r="X441" i="10"/>
  <c r="Y441" i="10" s="1"/>
  <c r="X586" i="10"/>
  <c r="Y586" i="10" s="1"/>
  <c r="X664" i="10"/>
  <c r="Y664" i="10" s="1"/>
  <c r="X130" i="10"/>
  <c r="Y130" i="10" s="1"/>
  <c r="X276" i="10"/>
  <c r="Y276" i="10" s="1"/>
  <c r="X667" i="10"/>
  <c r="Y667" i="10" s="1"/>
  <c r="X661" i="10"/>
  <c r="Y661" i="10" s="1"/>
  <c r="X617" i="10"/>
  <c r="Y617" i="10" s="1"/>
  <c r="X705" i="10"/>
  <c r="Y705" i="10" s="1"/>
  <c r="X275" i="10"/>
  <c r="Y275" i="10" s="1"/>
  <c r="X122" i="10"/>
  <c r="Y122" i="10" s="1"/>
  <c r="X38" i="10"/>
  <c r="Y38" i="10" s="1"/>
  <c r="X342" i="10"/>
  <c r="Y342" i="10" s="1"/>
  <c r="X674" i="10"/>
  <c r="Y674" i="10" s="1"/>
  <c r="X179" i="10"/>
  <c r="Y179" i="10" s="1"/>
  <c r="X125" i="10"/>
  <c r="Y125" i="10" s="1"/>
  <c r="X265" i="10"/>
  <c r="Y265" i="10" s="1"/>
  <c r="X147" i="10"/>
  <c r="Y147" i="10" s="1"/>
  <c r="X129" i="10"/>
  <c r="Y129" i="10" s="1"/>
  <c r="X700" i="10"/>
  <c r="Y700" i="10" s="1"/>
  <c r="X421" i="10"/>
  <c r="Y421" i="10" s="1"/>
  <c r="X329" i="10"/>
  <c r="Y329" i="10" s="1"/>
  <c r="X101" i="10"/>
  <c r="Y101" i="10" s="1"/>
  <c r="X198" i="10"/>
  <c r="Y198" i="10" s="1"/>
  <c r="X729" i="10"/>
  <c r="Y729" i="10" s="1"/>
  <c r="X493" i="10"/>
  <c r="Y493" i="10" s="1"/>
  <c r="X328" i="10"/>
  <c r="Y328" i="10" s="1"/>
  <c r="X137" i="10"/>
  <c r="Y137" i="10" s="1"/>
  <c r="X454" i="10"/>
  <c r="Y454" i="10" s="1"/>
  <c r="X728" i="10"/>
  <c r="Y728" i="10" s="1"/>
  <c r="X138" i="10"/>
  <c r="Y138" i="10" s="1"/>
  <c r="X80" i="10"/>
  <c r="Y80" i="10" s="1"/>
  <c r="X641" i="10"/>
  <c r="Y641" i="10" s="1"/>
  <c r="X335" i="10"/>
  <c r="Y335" i="10" s="1"/>
  <c r="X768" i="10"/>
  <c r="Y768" i="10" s="1"/>
  <c r="X273" i="10"/>
  <c r="Y273" i="10" s="1"/>
  <c r="X195" i="10"/>
  <c r="Y195" i="10" s="1"/>
  <c r="X418" i="10"/>
  <c r="Y418" i="10" s="1"/>
  <c r="X599" i="10"/>
  <c r="Y599" i="10" s="1"/>
  <c r="X738" i="10"/>
  <c r="Y738" i="10" s="1"/>
  <c r="X93" i="10"/>
  <c r="Y93" i="10" s="1"/>
  <c r="X215" i="10"/>
  <c r="Y215" i="10" s="1"/>
  <c r="X433" i="10"/>
  <c r="Y433" i="10" s="1"/>
  <c r="X202" i="10"/>
  <c r="Y202" i="10" s="1"/>
  <c r="X43" i="10"/>
  <c r="Y43" i="10" s="1"/>
  <c r="X544" i="10"/>
  <c r="Y544" i="10" s="1"/>
  <c r="X770" i="10"/>
  <c r="Y770" i="10" s="1"/>
  <c r="X468" i="10"/>
  <c r="Y468" i="10" s="1"/>
  <c r="X194" i="10"/>
  <c r="Y194" i="10" s="1"/>
  <c r="X256" i="10"/>
  <c r="Y256" i="10" s="1"/>
  <c r="X371" i="10"/>
  <c r="Y371" i="10" s="1"/>
  <c r="X692" i="10"/>
  <c r="Y692" i="10" s="1"/>
  <c r="X543" i="10"/>
  <c r="Y543" i="10" s="1"/>
  <c r="X54" i="10"/>
  <c r="Y54" i="10" s="1"/>
  <c r="X471" i="10"/>
  <c r="Y471" i="10" s="1"/>
  <c r="X537" i="10"/>
  <c r="Y537" i="10" s="1"/>
  <c r="X238" i="10"/>
  <c r="Y238" i="10" s="1"/>
  <c r="X52" i="10"/>
  <c r="Y52" i="10" s="1"/>
  <c r="X40" i="10"/>
  <c r="Y40" i="10" s="1"/>
  <c r="X313" i="10"/>
  <c r="Y313" i="10" s="1"/>
  <c r="X391" i="10"/>
  <c r="Y391" i="10" s="1"/>
  <c r="X633" i="10"/>
  <c r="Y633" i="10" s="1"/>
  <c r="X713" i="10"/>
  <c r="Y713" i="10" s="1"/>
  <c r="X718" i="10"/>
  <c r="Y718" i="10" s="1"/>
  <c r="X220" i="10"/>
  <c r="Y220" i="10" s="1"/>
  <c r="X431" i="10"/>
  <c r="Y431" i="10" s="1"/>
  <c r="X153" i="10"/>
  <c r="Y153" i="10" s="1"/>
  <c r="X422" i="10"/>
  <c r="Y422" i="10" s="1"/>
  <c r="X280" i="10"/>
  <c r="Y280" i="10" s="1"/>
  <c r="X610" i="10"/>
  <c r="Y610" i="10" s="1"/>
  <c r="X473" i="10"/>
  <c r="Y473" i="10" s="1"/>
  <c r="X223" i="10"/>
  <c r="Y223" i="10" s="1"/>
  <c r="X261" i="10"/>
  <c r="Y261" i="10" s="1"/>
  <c r="X230" i="10"/>
  <c r="Y230" i="10" s="1"/>
  <c r="X502" i="10"/>
  <c r="Y502" i="10" s="1"/>
  <c r="X131" i="10"/>
  <c r="Y131" i="10" s="1"/>
  <c r="X609" i="10"/>
  <c r="Y609" i="10" s="1"/>
  <c r="X323" i="10"/>
  <c r="Y323" i="10" s="1"/>
  <c r="X123" i="10"/>
  <c r="Y123" i="10" s="1"/>
  <c r="X542" i="10"/>
  <c r="Y542" i="10" s="1"/>
  <c r="X12" i="10"/>
  <c r="Y12" i="10" s="1"/>
  <c r="X89" i="10"/>
  <c r="Y89" i="10" s="1"/>
  <c r="X651" i="10"/>
  <c r="Y651" i="10" s="1"/>
  <c r="X482" i="10"/>
  <c r="Y482" i="10" s="1"/>
  <c r="X426" i="10"/>
  <c r="Y426" i="10" s="1"/>
  <c r="X652" i="10"/>
  <c r="Y652" i="10" s="1"/>
  <c r="X96" i="10"/>
  <c r="Y96" i="10" s="1"/>
  <c r="X372" i="10"/>
  <c r="Y372" i="10" s="1"/>
  <c r="X42" i="10"/>
  <c r="Y42" i="10" s="1"/>
  <c r="X124" i="10"/>
  <c r="Y124" i="10" s="1"/>
  <c r="X279" i="10"/>
  <c r="Y279" i="10" s="1"/>
  <c r="X731" i="10"/>
  <c r="Y731" i="10" s="1"/>
  <c r="X30" i="10"/>
  <c r="Y30" i="10" s="1"/>
  <c r="X95" i="10"/>
  <c r="Y95" i="10" s="1"/>
  <c r="X262" i="10"/>
  <c r="Y262" i="10" s="1"/>
  <c r="X196" i="10"/>
  <c r="Y196" i="10" s="1"/>
  <c r="X598" i="10"/>
  <c r="Y598" i="10" s="1"/>
  <c r="X222" i="10"/>
  <c r="Y222" i="10" s="1"/>
  <c r="X579" i="10"/>
  <c r="Y579" i="10" s="1"/>
  <c r="X686" i="10"/>
  <c r="Y686" i="10" s="1"/>
  <c r="X501" i="10"/>
  <c r="Y501" i="10" s="1"/>
  <c r="X382" i="10"/>
  <c r="Y382" i="10" s="1"/>
  <c r="X608" i="10"/>
  <c r="Y608" i="10" s="1"/>
  <c r="X432" i="10"/>
  <c r="Y432" i="10" s="1"/>
  <c r="X427" i="10"/>
  <c r="Y427" i="10" s="1"/>
  <c r="X725" i="10"/>
  <c r="Y725" i="10" s="1"/>
  <c r="X29" i="10"/>
  <c r="Y29" i="10" s="1"/>
  <c r="X494" i="10"/>
  <c r="Y494" i="10" s="1"/>
  <c r="X234" i="10"/>
  <c r="Y234" i="10" s="1"/>
  <c r="X51" i="10"/>
  <c r="Y51" i="10" s="1"/>
  <c r="X229" i="10"/>
  <c r="Y229" i="10" s="1"/>
  <c r="X24" i="10"/>
  <c r="Y24" i="10" s="1"/>
  <c r="X352" i="10"/>
  <c r="Y352" i="10" s="1"/>
  <c r="X640" i="10"/>
  <c r="Y640" i="10" s="1"/>
  <c r="X94" i="10"/>
  <c r="Y94" i="10" s="1"/>
  <c r="X396" i="10"/>
  <c r="Y396" i="10" s="1"/>
  <c r="X370" i="10"/>
  <c r="Y370" i="10" s="1"/>
  <c r="X200" i="10"/>
  <c r="Y200" i="10" s="1"/>
  <c r="X207" i="10"/>
  <c r="Y207" i="10" s="1"/>
  <c r="X13" i="10"/>
  <c r="Y13" i="10" s="1"/>
  <c r="X771" i="10"/>
  <c r="Y771" i="10" s="1"/>
  <c r="X274" i="10"/>
  <c r="Y274" i="10" s="1"/>
  <c r="X11" i="10"/>
  <c r="Y11" i="10" s="1"/>
  <c r="X227" i="10"/>
  <c r="Y227" i="10" s="1"/>
  <c r="X462" i="10"/>
  <c r="Y462" i="10" s="1"/>
  <c r="X601" i="10"/>
  <c r="Y601" i="10" s="1"/>
  <c r="X755" i="10"/>
  <c r="Y755" i="10" s="1"/>
  <c r="X257" i="10"/>
  <c r="Y257" i="10" s="1"/>
  <c r="X330" i="10"/>
  <c r="Y330" i="10" s="1"/>
  <c r="X415" i="10"/>
  <c r="Y415" i="10" s="1"/>
  <c r="X259" i="10"/>
  <c r="Y259" i="10" s="1"/>
  <c r="X277" i="10"/>
  <c r="Y277" i="10" s="1"/>
  <c r="X203" i="10"/>
  <c r="Y203" i="10" s="1"/>
  <c r="X704" i="10"/>
  <c r="Y704" i="10" s="1"/>
  <c r="X369" i="10"/>
  <c r="Y369" i="10" s="1"/>
  <c r="X100" i="10"/>
  <c r="Y100" i="10" s="1"/>
  <c r="X303" i="10"/>
  <c r="Y303" i="10" s="1"/>
  <c r="X646" i="10"/>
  <c r="Y646" i="10" s="1"/>
  <c r="X754" i="10"/>
  <c r="Y754" i="10" s="1"/>
  <c r="X752" i="10"/>
  <c r="Y752" i="10" s="1"/>
  <c r="X250" i="10"/>
  <c r="Y250" i="10" s="1"/>
  <c r="X399" i="10"/>
  <c r="Y399" i="10" s="1"/>
  <c r="X146" i="10"/>
  <c r="Y146" i="10" s="1"/>
  <c r="X50" i="10"/>
  <c r="Y50" i="10" s="1"/>
  <c r="X568" i="10"/>
  <c r="Y568" i="10" s="1"/>
  <c r="X699" i="10"/>
  <c r="Y699" i="10" s="1"/>
  <c r="X363" i="10"/>
  <c r="Y363" i="10" s="1"/>
  <c r="X99" i="10"/>
  <c r="Y99" i="10" s="1"/>
  <c r="X288" i="10"/>
  <c r="Y288" i="10" s="1"/>
  <c r="X687" i="10"/>
  <c r="Y687" i="10" s="1"/>
  <c r="X758" i="10"/>
  <c r="Y758" i="10" s="1"/>
  <c r="X98" i="10"/>
  <c r="Y98" i="10" s="1"/>
  <c r="X302" i="10"/>
  <c r="Y302" i="10" s="1"/>
  <c r="X407" i="10"/>
  <c r="Y407" i="10" s="1"/>
  <c r="X727" i="10"/>
  <c r="Y727" i="10" s="1"/>
  <c r="X681" i="10"/>
  <c r="Y681" i="10" s="1"/>
  <c r="X344" i="10"/>
  <c r="Y344" i="10" s="1"/>
  <c r="X593" i="10"/>
  <c r="Y593" i="10" s="1"/>
  <c r="X435" i="10"/>
  <c r="Y435" i="10" s="1"/>
  <c r="X45" i="10"/>
  <c r="Y45" i="10" s="1"/>
  <c r="X689" i="10"/>
  <c r="Y689" i="10" s="1"/>
  <c r="X365" i="10"/>
  <c r="Y365" i="10" s="1"/>
  <c r="X751" i="10"/>
  <c r="Y751" i="10" s="1"/>
  <c r="X233" i="10"/>
  <c r="Y233" i="10" s="1"/>
  <c r="X77" i="10"/>
  <c r="Y77" i="10" s="1"/>
  <c r="X397" i="10"/>
  <c r="Y397" i="10" s="1"/>
  <c r="X470" i="10"/>
  <c r="Y470" i="10" s="1"/>
  <c r="X702" i="10"/>
  <c r="Y702" i="10" s="1"/>
  <c r="X632" i="10"/>
  <c r="Y632" i="10" s="1"/>
  <c r="X636" i="10"/>
  <c r="Y636" i="10" s="1"/>
  <c r="X287" i="10"/>
  <c r="Y287" i="10" s="1"/>
  <c r="X82" i="10"/>
  <c r="Y82" i="10" s="1"/>
  <c r="X666" i="10"/>
  <c r="Y666" i="10" s="1"/>
  <c r="X183" i="10"/>
  <c r="Y183" i="10" s="1"/>
  <c r="X92" i="10"/>
  <c r="Y92" i="10" s="1"/>
  <c r="X696" i="10"/>
  <c r="Y696" i="10" s="1"/>
  <c r="X428" i="10"/>
  <c r="Y428" i="10" s="1"/>
  <c r="X656" i="10"/>
  <c r="Y656" i="10" s="1"/>
  <c r="X611" i="10"/>
  <c r="Y611" i="10" s="1"/>
  <c r="X10" i="10"/>
  <c r="Y10" i="10" s="1"/>
  <c r="X53" i="10"/>
  <c r="Y53" i="10" s="1"/>
  <c r="X753" i="10"/>
  <c r="Y753" i="10" s="1"/>
  <c r="X304" i="10"/>
  <c r="Y304" i="10" s="1"/>
  <c r="X157" i="10"/>
  <c r="Y157" i="10" s="1"/>
  <c r="X437" i="10"/>
  <c r="Y437" i="10" s="1"/>
  <c r="X364" i="10"/>
  <c r="Y364" i="10" s="1"/>
  <c r="X283" i="10"/>
  <c r="Y283" i="10" s="1"/>
  <c r="X600" i="10"/>
  <c r="Y600" i="10" s="1"/>
  <c r="X412" i="10"/>
  <c r="Y412" i="10" s="1"/>
  <c r="X395" i="10"/>
  <c r="Y395" i="10" s="1"/>
  <c r="X345" i="10"/>
  <c r="Y345" i="10" s="1"/>
  <c r="X683" i="10"/>
  <c r="Y683" i="10" s="1"/>
  <c r="X139" i="10"/>
  <c r="Y139" i="10" s="1"/>
  <c r="X41" i="10"/>
  <c r="Y41" i="10" s="1"/>
  <c r="X657" i="10"/>
  <c r="Y657" i="10" s="1"/>
  <c r="X356" i="10"/>
  <c r="Y356" i="10" s="1"/>
  <c r="X750" i="10"/>
  <c r="Y750" i="10" s="1"/>
  <c r="W465" i="10"/>
  <c r="W176" i="10"/>
  <c r="W55" i="10"/>
  <c r="W122" i="10"/>
  <c r="W484" i="10"/>
  <c r="W132" i="10"/>
  <c r="W684" i="10"/>
  <c r="S356" i="10"/>
  <c r="S756" i="10"/>
  <c r="S501" i="10"/>
  <c r="S13" i="10"/>
  <c r="S303" i="10"/>
  <c r="S640" i="10"/>
  <c r="S99" i="10"/>
  <c r="S608" i="10"/>
  <c r="S12" i="10"/>
  <c r="S287" i="10"/>
  <c r="S92" i="10"/>
  <c r="S29" i="10"/>
  <c r="S739" i="10"/>
  <c r="S334" i="10"/>
  <c r="S302" i="10"/>
  <c r="S89" i="10"/>
  <c r="S770" i="10"/>
  <c r="S53" i="10"/>
  <c r="S768" i="10"/>
  <c r="S621" i="10"/>
  <c r="S598" i="10"/>
  <c r="S213" i="10"/>
  <c r="S179" i="10"/>
  <c r="S50" i="10"/>
  <c r="S364" i="10"/>
  <c r="S264" i="10"/>
  <c r="S418" i="10"/>
  <c r="S278" i="10"/>
  <c r="S751" i="10"/>
  <c r="S201" i="10"/>
  <c r="S268" i="10"/>
  <c r="S372" i="10"/>
  <c r="S323" i="10"/>
  <c r="S200" i="10"/>
  <c r="S220" i="10"/>
  <c r="S730" i="10"/>
  <c r="S728" i="10"/>
  <c r="S223" i="10"/>
  <c r="S599" i="10"/>
  <c r="S222" i="10"/>
  <c r="S738" i="10"/>
  <c r="S238" i="10"/>
  <c r="S705" i="10"/>
  <c r="S543" i="10"/>
  <c r="S471" i="10"/>
  <c r="S753" i="10"/>
  <c r="S704" i="10"/>
  <c r="S708" i="10"/>
  <c r="S646" i="10"/>
  <c r="S345" i="10"/>
  <c r="S483" i="10"/>
  <c r="S133" i="10"/>
  <c r="S370" i="10"/>
  <c r="S421" i="10"/>
  <c r="S431" i="10"/>
  <c r="S165" i="10"/>
  <c r="S138" i="10"/>
  <c r="S683" i="10"/>
  <c r="S441" i="10"/>
  <c r="S157" i="10"/>
  <c r="S262" i="10"/>
  <c r="S30" i="10"/>
  <c r="S101" i="10"/>
  <c r="S619" i="10"/>
  <c r="S725" i="10"/>
  <c r="K19" i="17"/>
  <c r="L16" i="17"/>
  <c r="L18" i="17"/>
  <c r="L19" i="17"/>
  <c r="L20" i="17"/>
  <c r="S128" i="10"/>
  <c r="S714" i="10"/>
  <c r="S139" i="10"/>
  <c r="S43" i="10"/>
  <c r="S80" i="10"/>
  <c r="S124" i="10"/>
  <c r="S369" i="10"/>
  <c r="S335" i="10"/>
  <c r="S153" i="10"/>
  <c r="S17" i="10"/>
  <c r="S439" i="10"/>
  <c r="S391" i="10"/>
  <c r="S435" i="10"/>
  <c r="S45" i="10"/>
  <c r="S261" i="10"/>
  <c r="S304" i="10"/>
  <c r="S202" i="10"/>
  <c r="S641" i="10"/>
  <c r="S198" i="10"/>
  <c r="S195" i="10"/>
  <c r="S633" i="10"/>
  <c r="S40" i="10"/>
  <c r="S11" i="10"/>
  <c r="S132" i="10"/>
  <c r="S397" i="10"/>
  <c r="S600" i="10"/>
  <c r="S662" i="10"/>
  <c r="S700" i="10"/>
  <c r="S437" i="10"/>
  <c r="S727" i="10"/>
  <c r="S511" i="10"/>
  <c r="S125" i="10"/>
  <c r="S273" i="10"/>
  <c r="S282" i="10"/>
  <c r="S102" i="10"/>
  <c r="S276" i="10"/>
  <c r="S207" i="10"/>
  <c r="S275" i="10"/>
  <c r="S130" i="10"/>
  <c r="S502" i="10"/>
  <c r="S224" i="10"/>
  <c r="S420" i="10"/>
  <c r="S584" i="10"/>
  <c r="S277" i="10"/>
  <c r="S663" i="10"/>
  <c r="S4" i="10"/>
  <c r="S686" i="10"/>
  <c r="S94" i="10"/>
  <c r="S147" i="10"/>
  <c r="S259" i="10"/>
  <c r="S759" i="10"/>
  <c r="S731" i="10"/>
  <c r="S107" i="10"/>
  <c r="S757" i="10"/>
  <c r="S407" i="10"/>
  <c r="S752" i="10"/>
  <c r="S93" i="10"/>
  <c r="S51" i="10"/>
  <c r="S516" i="10"/>
  <c r="S484" i="10"/>
  <c r="S313" i="10"/>
  <c r="S146" i="10"/>
  <c r="S681" i="10"/>
  <c r="S137" i="10"/>
  <c r="S266" i="10"/>
  <c r="S702" i="10"/>
  <c r="S371" i="10"/>
  <c r="S256" i="10"/>
  <c r="S544" i="10"/>
  <c r="S718" i="10"/>
  <c r="S363" i="10"/>
  <c r="S655" i="10"/>
  <c r="S758" i="10"/>
  <c r="S405" i="10"/>
  <c r="S196" i="10"/>
  <c r="S537" i="10"/>
  <c r="S689" i="10"/>
  <c r="S755" i="10"/>
  <c r="S454" i="10"/>
  <c r="S642" i="10"/>
  <c r="S42" i="10"/>
  <c r="S82" i="10"/>
  <c r="S365" i="10"/>
  <c r="S432" i="10"/>
  <c r="S699" i="10"/>
  <c r="S158" i="10"/>
  <c r="S482" i="10"/>
  <c r="S601" i="10"/>
  <c r="S96" i="10"/>
  <c r="S636" i="10"/>
  <c r="S750" i="10"/>
  <c r="S622" i="10"/>
  <c r="S55" i="10"/>
  <c r="S667" i="10"/>
  <c r="S395" i="10"/>
  <c r="S39" i="10"/>
  <c r="S657" i="10"/>
  <c r="S129" i="10"/>
  <c r="S257" i="10"/>
  <c r="S84" i="10"/>
  <c r="S342" i="10"/>
  <c r="S771" i="10"/>
  <c r="S86" i="10"/>
  <c r="S227" i="10"/>
  <c r="S426" i="10"/>
  <c r="S428" i="10"/>
  <c r="S100" i="10"/>
  <c r="S473" i="10"/>
  <c r="S229" i="10"/>
  <c r="S230" i="10"/>
  <c r="S692" i="10"/>
  <c r="S632" i="10"/>
  <c r="S579" i="10"/>
  <c r="S328" i="10"/>
  <c r="S661" i="10"/>
  <c r="S288" i="10"/>
  <c r="S586" i="10"/>
  <c r="S713" i="10"/>
  <c r="S468" i="10"/>
  <c r="S77" i="10"/>
  <c r="S422" i="10"/>
  <c r="S610" i="10"/>
  <c r="S396" i="10"/>
  <c r="S215" i="10"/>
  <c r="S31" i="10"/>
  <c r="S233" i="10"/>
  <c r="S623" i="10"/>
  <c r="S754" i="10"/>
  <c r="S462" i="10"/>
  <c r="S656" i="10"/>
  <c r="S668" i="10"/>
  <c r="S429" i="10"/>
  <c r="S769" i="10"/>
  <c r="S664" i="10"/>
  <c r="S194" i="10"/>
  <c r="S729" i="10"/>
  <c r="S203" i="10"/>
  <c r="S687" i="10"/>
  <c r="S703" i="10"/>
  <c r="S18" i="10"/>
  <c r="S415" i="10"/>
  <c r="S280" i="10"/>
  <c r="S666" i="10"/>
  <c r="S330" i="10"/>
  <c r="S382" i="10"/>
  <c r="S438" i="10"/>
  <c r="S98" i="10"/>
  <c r="S430" i="10"/>
  <c r="S95" i="10"/>
  <c r="S283" i="10"/>
  <c r="S27" i="10"/>
  <c r="S684" i="10"/>
  <c r="S412" i="10"/>
  <c r="S281" i="10"/>
  <c r="S54" i="10"/>
  <c r="S183" i="10"/>
  <c r="S234" i="10"/>
  <c r="S123" i="10"/>
  <c r="S176" i="10"/>
  <c r="S611" i="10"/>
  <c r="S542" i="10"/>
  <c r="S38" i="10"/>
  <c r="S329" i="10"/>
  <c r="S399" i="10"/>
  <c r="S131" i="10"/>
  <c r="S41" i="10"/>
  <c r="S352" i="10"/>
  <c r="S24" i="10"/>
  <c r="S274" i="10"/>
  <c r="S279" i="10"/>
  <c r="S272" i="10"/>
  <c r="S427" i="10"/>
  <c r="S494" i="10"/>
  <c r="AC219" i="10" l="1"/>
  <c r="AD576" i="10"/>
  <c r="AD673" i="10"/>
  <c r="AD37" i="10"/>
  <c r="AD440" i="10"/>
  <c r="M27" i="17"/>
  <c r="D20" i="19"/>
  <c r="AD697" i="10"/>
  <c r="AC603" i="10"/>
  <c r="AC338" i="10"/>
  <c r="AD547" i="10"/>
  <c r="AD458" i="10"/>
  <c r="AC267" i="10"/>
  <c r="AC675" i="10"/>
  <c r="AD242" i="10"/>
  <c r="AD760" i="10"/>
  <c r="AD645" i="10"/>
  <c r="AD436" i="10"/>
  <c r="AC499" i="10"/>
  <c r="AD474" i="10"/>
  <c r="AD389" i="10"/>
  <c r="AD314" i="10"/>
  <c r="AD226" i="10"/>
  <c r="AD59" i="10"/>
  <c r="AC59" i="10"/>
  <c r="AD289" i="10"/>
  <c r="AD546" i="10"/>
  <c r="AD538" i="10"/>
  <c r="AD416" i="10"/>
  <c r="AE166" i="10"/>
  <c r="AD485" i="10"/>
  <c r="AD669" i="10"/>
  <c r="AC669" i="10"/>
  <c r="AE594" i="10"/>
  <c r="AD594" i="10"/>
  <c r="AE531" i="10"/>
  <c r="AD531" i="10"/>
  <c r="AC291" i="10"/>
  <c r="AD291" i="10"/>
  <c r="AE524" i="10"/>
  <c r="AD524" i="10"/>
  <c r="AC142" i="10"/>
  <c r="AC457" i="10"/>
  <c r="AD457" i="10"/>
  <c r="AC292" i="10"/>
  <c r="AD292" i="10"/>
  <c r="AC574" i="10"/>
  <c r="AD574" i="10"/>
  <c r="AC186" i="10"/>
  <c r="AD186" i="10"/>
  <c r="AC627" i="10"/>
  <c r="AD627" i="10"/>
  <c r="AC218" i="10"/>
  <c r="AD218" i="10"/>
  <c r="AC171" i="10"/>
  <c r="AD171" i="10"/>
  <c r="AE490" i="10"/>
  <c r="AD490" i="10"/>
  <c r="AC653" i="10"/>
  <c r="AD653" i="10"/>
  <c r="AD570" i="10"/>
  <c r="AD390" i="10"/>
  <c r="AC390" i="10"/>
  <c r="AC486" i="10"/>
  <c r="AD486" i="10"/>
  <c r="AC366" i="10"/>
  <c r="AD366" i="10"/>
  <c r="AD658" i="10"/>
  <c r="AD585" i="10"/>
  <c r="AC585" i="10"/>
  <c r="AE481" i="10"/>
  <c r="AD481" i="10"/>
  <c r="AC434" i="10"/>
  <c r="AD434" i="10"/>
  <c r="AC532" i="10"/>
  <c r="AD532" i="10"/>
  <c r="AD690" i="10"/>
  <c r="AD417" i="10"/>
  <c r="AD784" i="10"/>
  <c r="AD775" i="10"/>
  <c r="AC775" i="10"/>
  <c r="AE400" i="10"/>
  <c r="AD400" i="10"/>
  <c r="AE464" i="10"/>
  <c r="AD464" i="10"/>
  <c r="AE534" i="10"/>
  <c r="AD534" i="10"/>
  <c r="AD299" i="10"/>
  <c r="AC321" i="10"/>
  <c r="AD321" i="10"/>
  <c r="AC121" i="10"/>
  <c r="AD121" i="10"/>
  <c r="AC231" i="10"/>
  <c r="AD231" i="10"/>
  <c r="AD607" i="10"/>
  <c r="AD779" i="10"/>
  <c r="AC779" i="10"/>
  <c r="AE527" i="10"/>
  <c r="AD527" i="10"/>
  <c r="AD724" i="10"/>
  <c r="AD577" i="10"/>
  <c r="AC577" i="10"/>
  <c r="AC558" i="10"/>
  <c r="AD558" i="10"/>
  <c r="AC269" i="10"/>
  <c r="AD269" i="10"/>
  <c r="AC113" i="10"/>
  <c r="AD113" i="10"/>
  <c r="AD533" i="10"/>
  <c r="AC533" i="10"/>
  <c r="AC575" i="10"/>
  <c r="AD575" i="10"/>
  <c r="AC425" i="10"/>
  <c r="AD425" i="10"/>
  <c r="AD206" i="10"/>
  <c r="AC7" i="10"/>
  <c r="AD7" i="10"/>
  <c r="AC487" i="10"/>
  <c r="AD487" i="10"/>
  <c r="AD424" i="10"/>
  <c r="AC424" i="10"/>
  <c r="AD419" i="10"/>
  <c r="AD373" i="10"/>
  <c r="AD103" i="10"/>
  <c r="AC616" i="10"/>
  <c r="AD374" i="10"/>
  <c r="AC597" i="10"/>
  <c r="AD260" i="10"/>
  <c r="AD733" i="10"/>
  <c r="AD33" i="10"/>
  <c r="AD688" i="10"/>
  <c r="AD715" i="10"/>
  <c r="AD753" i="10"/>
  <c r="AD685" i="10"/>
  <c r="AD578" i="10"/>
  <c r="AC33" i="10"/>
  <c r="AD97" i="10"/>
  <c r="AD5" i="10"/>
  <c r="AD580" i="10"/>
  <c r="AD618" i="10"/>
  <c r="AD602" i="10"/>
  <c r="AD173" i="10"/>
  <c r="AD517" i="10"/>
  <c r="AC517" i="10"/>
  <c r="AD32" i="10"/>
  <c r="AD104" i="10"/>
  <c r="AC3" i="10"/>
  <c r="AE715" i="10"/>
  <c r="AD44" i="10"/>
  <c r="AD215" i="10"/>
  <c r="AC249" i="10"/>
  <c r="AC215" i="10"/>
  <c r="AC195" i="10"/>
  <c r="AC586" i="10"/>
  <c r="AD633" i="10"/>
  <c r="AD398" i="10"/>
  <c r="AD713" i="10"/>
  <c r="AD334" i="10"/>
  <c r="AD632" i="10"/>
  <c r="AD454" i="10"/>
  <c r="AD40" i="10"/>
  <c r="AD179" i="10"/>
  <c r="AD703" i="10"/>
  <c r="AD584" i="10"/>
  <c r="AD310" i="10"/>
  <c r="AC101" i="10"/>
  <c r="AD261" i="10"/>
  <c r="AD279" i="10"/>
  <c r="AD27" i="10"/>
  <c r="AD617" i="10"/>
  <c r="AD702" i="10"/>
  <c r="AD230" i="10"/>
  <c r="AD42" i="10"/>
  <c r="AD107" i="10"/>
  <c r="AD62" i="10"/>
  <c r="AC228" i="10"/>
  <c r="AD228" i="10"/>
  <c r="AD115" i="10"/>
  <c r="AC115" i="10"/>
  <c r="AD655" i="10"/>
  <c r="AD739" i="10"/>
  <c r="AD102" i="10"/>
  <c r="AC233" i="10"/>
  <c r="AD579" i="10"/>
  <c r="AD756" i="10"/>
  <c r="AD448" i="10"/>
  <c r="AC448" i="10"/>
  <c r="AC387" i="10"/>
  <c r="AD387" i="10"/>
  <c r="AD156" i="10"/>
  <c r="AC156" i="10"/>
  <c r="AD469" i="10"/>
  <c r="AC741" i="10"/>
  <c r="AD516" i="10"/>
  <c r="AD204" i="10"/>
  <c r="AD251" i="10"/>
  <c r="AC316" i="10"/>
  <c r="AD316" i="10"/>
  <c r="AE150" i="10"/>
  <c r="AD150" i="10"/>
  <c r="AE225" i="10"/>
  <c r="AD225" i="10"/>
  <c r="AE258" i="10"/>
  <c r="M26" i="17" s="1"/>
  <c r="AD258" i="10"/>
  <c r="AE694" i="10"/>
  <c r="AD694" i="10"/>
  <c r="AE155" i="10"/>
  <c r="AD155" i="10"/>
  <c r="AE58" i="10"/>
  <c r="AD58" i="10"/>
  <c r="AD367" i="10"/>
  <c r="AD134" i="10"/>
  <c r="AC134" i="10"/>
  <c r="AE510" i="10"/>
  <c r="AD510" i="10"/>
  <c r="AD442" i="10"/>
  <c r="AC442" i="10"/>
  <c r="AD235" i="10"/>
  <c r="AD263" i="10"/>
  <c r="AC114" i="10"/>
  <c r="AD114" i="10"/>
  <c r="AD512" i="10"/>
  <c r="AE406" i="10"/>
  <c r="AD406" i="10"/>
  <c r="AD209" i="10"/>
  <c r="AC682" i="10"/>
  <c r="AD682" i="10"/>
  <c r="AE216" i="10"/>
  <c r="AD216" i="10"/>
  <c r="AC452" i="10"/>
  <c r="AD452" i="10"/>
  <c r="AD172" i="10"/>
  <c r="AD732" i="10"/>
  <c r="AC732" i="10"/>
  <c r="AC90" i="10"/>
  <c r="AD90" i="10"/>
  <c r="AD162" i="10"/>
  <c r="AC162" i="10"/>
  <c r="AC555" i="10"/>
  <c r="AD555" i="10"/>
  <c r="AD380" i="10"/>
  <c r="AE380" i="10"/>
  <c r="AD147" i="10"/>
  <c r="AD757" i="10"/>
  <c r="M18" i="17"/>
  <c r="P29" i="17"/>
  <c r="AD714" i="10"/>
  <c r="AD207" i="10"/>
  <c r="AD95" i="10"/>
  <c r="AD430" i="10"/>
  <c r="AD662" i="10"/>
  <c r="AD288" i="10"/>
  <c r="AD80" i="10"/>
  <c r="AC288" i="10"/>
  <c r="AC753" i="10"/>
  <c r="M19" i="17"/>
  <c r="AC428" i="10"/>
  <c r="AD428" i="10"/>
  <c r="AC352" i="10"/>
  <c r="AD352" i="10"/>
  <c r="AC82" i="10"/>
  <c r="AD82" i="10"/>
  <c r="AC130" i="10"/>
  <c r="AD130" i="10"/>
  <c r="AC146" i="10"/>
  <c r="AD146" i="10"/>
  <c r="AC494" i="10"/>
  <c r="AD494" i="10"/>
  <c r="AC302" i="10"/>
  <c r="AD302" i="10"/>
  <c r="AC769" i="10"/>
  <c r="AD769" i="10"/>
  <c r="AC18" i="10"/>
  <c r="AD18" i="10"/>
  <c r="AC122" i="10"/>
  <c r="AD122" i="10"/>
  <c r="AC227" i="10"/>
  <c r="AD227" i="10"/>
  <c r="AC24" i="10"/>
  <c r="AD24" i="10"/>
  <c r="AC43" i="10"/>
  <c r="AD43" i="10"/>
  <c r="AC157" i="10"/>
  <c r="AD157" i="10"/>
  <c r="AC681" i="10"/>
  <c r="AD681" i="10"/>
  <c r="AC77" i="10"/>
  <c r="AD77" i="10"/>
  <c r="AC370" i="10"/>
  <c r="AD370" i="10"/>
  <c r="AC730" i="10"/>
  <c r="AD730" i="10"/>
  <c r="AC438" i="10"/>
  <c r="AD438" i="10"/>
  <c r="AC194" i="10"/>
  <c r="AD194" i="10"/>
  <c r="AC229" i="10"/>
  <c r="AD229" i="10"/>
  <c r="AC382" i="10"/>
  <c r="AD382" i="10"/>
  <c r="AC636" i="10"/>
  <c r="AD636" i="10"/>
  <c r="AC52" i="10"/>
  <c r="AD52" i="10"/>
  <c r="AC274" i="10"/>
  <c r="AD274" i="10"/>
  <c r="AC395" i="10"/>
  <c r="AD395" i="10"/>
  <c r="AC728" i="10"/>
  <c r="AD728" i="10"/>
  <c r="AC754" i="10"/>
  <c r="AD754" i="10"/>
  <c r="AC441" i="10"/>
  <c r="AD441" i="10"/>
  <c r="AC668" i="10"/>
  <c r="AD668" i="10"/>
  <c r="AC313" i="10"/>
  <c r="AD313" i="10"/>
  <c r="AC234" i="10"/>
  <c r="AD234" i="10"/>
  <c r="AC666" i="10"/>
  <c r="AD666" i="10"/>
  <c r="AC640" i="10"/>
  <c r="AD640" i="10"/>
  <c r="AC483" i="10"/>
  <c r="AD483" i="10"/>
  <c r="AC598" i="10"/>
  <c r="AD598" i="10"/>
  <c r="AC399" i="10"/>
  <c r="AD399" i="10"/>
  <c r="AC158" i="10"/>
  <c r="AD158" i="10"/>
  <c r="AC278" i="10"/>
  <c r="AD278" i="10"/>
  <c r="AC771" i="10"/>
  <c r="AD771" i="10"/>
  <c r="AC426" i="10"/>
  <c r="AD426" i="10"/>
  <c r="AC250" i="10"/>
  <c r="AD250" i="10"/>
  <c r="AC92" i="10"/>
  <c r="AD92" i="10"/>
  <c r="AC432" i="10"/>
  <c r="AD432" i="10"/>
  <c r="AC328" i="10"/>
  <c r="AD328" i="10"/>
  <c r="AC750" i="10"/>
  <c r="AD750" i="10"/>
  <c r="AC544" i="10"/>
  <c r="AD544" i="10"/>
  <c r="AC213" i="10"/>
  <c r="AD213" i="10"/>
  <c r="AC429" i="10"/>
  <c r="AD429" i="10"/>
  <c r="AC405" i="10"/>
  <c r="AD405" i="10"/>
  <c r="AC751" i="10"/>
  <c r="AD751" i="10"/>
  <c r="AC708" i="10"/>
  <c r="AD708" i="10"/>
  <c r="AC304" i="10"/>
  <c r="AD304" i="10"/>
  <c r="AC275" i="10"/>
  <c r="AD275" i="10"/>
  <c r="AC537" i="10"/>
  <c r="AD537" i="10"/>
  <c r="AC281" i="10"/>
  <c r="AD281" i="10"/>
  <c r="AC738" i="10"/>
  <c r="AD738" i="10"/>
  <c r="AC221" i="10"/>
  <c r="AD221" i="10"/>
  <c r="AC371" i="10"/>
  <c r="AD371" i="10"/>
  <c r="AC661" i="10"/>
  <c r="AD661" i="10"/>
  <c r="AC365" i="10"/>
  <c r="AD365" i="10"/>
  <c r="AC276" i="10"/>
  <c r="AD276" i="10"/>
  <c r="AC39" i="10"/>
  <c r="AD39" i="10"/>
  <c r="AC330" i="10"/>
  <c r="AD330" i="10"/>
  <c r="AC132" i="10"/>
  <c r="AD132" i="10"/>
  <c r="AC439" i="10"/>
  <c r="AD439" i="10"/>
  <c r="AC222" i="10"/>
  <c r="AD222" i="10"/>
  <c r="AC768" i="10"/>
  <c r="AD768" i="10"/>
  <c r="AC96" i="10"/>
  <c r="AD96" i="10"/>
  <c r="AC687" i="10"/>
  <c r="AD687" i="10"/>
  <c r="AC93" i="10"/>
  <c r="AD93" i="10"/>
  <c r="AC45" i="10"/>
  <c r="AD45" i="10"/>
  <c r="AC651" i="10"/>
  <c r="AD651" i="10"/>
  <c r="AC202" i="10"/>
  <c r="AD202" i="10"/>
  <c r="AC435" i="10"/>
  <c r="AD435" i="10"/>
  <c r="AC621" i="10"/>
  <c r="AD621" i="10"/>
  <c r="AC447" i="10"/>
  <c r="AD447" i="10"/>
  <c r="AC700" i="10"/>
  <c r="AD700" i="10"/>
  <c r="AC256" i="10"/>
  <c r="AD256" i="10"/>
  <c r="AC449" i="10"/>
  <c r="AD449" i="10"/>
  <c r="AC344" i="10"/>
  <c r="AD344" i="10"/>
  <c r="AC664" i="10"/>
  <c r="AD664" i="10"/>
  <c r="AC696" i="10"/>
  <c r="AD696" i="10"/>
  <c r="AC89" i="10"/>
  <c r="AD89" i="10"/>
  <c r="AC139" i="10"/>
  <c r="AD139" i="10"/>
  <c r="AC397" i="10"/>
  <c r="AD397" i="10"/>
  <c r="AC138" i="10"/>
  <c r="AD138" i="10"/>
  <c r="AC176" i="10"/>
  <c r="AD176" i="10"/>
  <c r="AC470" i="10"/>
  <c r="AD470" i="10"/>
  <c r="AC407" i="10"/>
  <c r="AD407" i="10"/>
  <c r="AC663" i="10"/>
  <c r="AD663" i="10"/>
  <c r="AC153" i="10"/>
  <c r="AD153" i="10"/>
  <c r="AC266" i="10"/>
  <c r="AD266" i="10"/>
  <c r="AC609" i="10"/>
  <c r="AD609" i="10"/>
  <c r="AC593" i="10"/>
  <c r="AD593" i="10"/>
  <c r="AC277" i="10"/>
  <c r="AD277" i="10"/>
  <c r="AC619" i="10"/>
  <c r="AD619" i="10"/>
  <c r="AC482" i="10"/>
  <c r="AD482" i="10"/>
  <c r="AC770" i="10"/>
  <c r="AD770" i="10"/>
  <c r="AC471" i="10"/>
  <c r="AD471" i="10"/>
  <c r="AC98" i="10"/>
  <c r="AD98" i="10"/>
  <c r="AC51" i="10"/>
  <c r="AD51" i="10"/>
  <c r="AC718" i="10"/>
  <c r="AD718" i="10"/>
  <c r="AC620" i="10"/>
  <c r="AD620" i="10"/>
  <c r="AC608" i="10"/>
  <c r="AD608" i="10"/>
  <c r="AC683" i="10"/>
  <c r="AD683" i="10"/>
  <c r="AC50" i="10"/>
  <c r="AD50" i="10"/>
  <c r="AC391" i="10"/>
  <c r="AD391" i="10"/>
  <c r="AC282" i="10"/>
  <c r="AD282" i="10"/>
  <c r="AC372" i="10"/>
  <c r="AD372" i="10"/>
  <c r="AC329" i="10"/>
  <c r="AD329" i="10"/>
  <c r="AC758" i="10"/>
  <c r="AD758" i="10"/>
  <c r="AC686" i="10"/>
  <c r="AD686" i="10"/>
  <c r="AC123" i="10"/>
  <c r="AD123" i="10"/>
  <c r="AC13" i="10"/>
  <c r="AD13" i="10"/>
  <c r="AC55" i="10"/>
  <c r="AD55" i="10"/>
  <c r="AC272" i="10"/>
  <c r="AD272" i="10"/>
  <c r="AC200" i="10"/>
  <c r="AD200" i="10"/>
  <c r="AC511" i="10"/>
  <c r="AD511" i="10"/>
  <c r="AC356" i="10"/>
  <c r="AD356" i="10"/>
  <c r="AC437" i="10"/>
  <c r="AD437" i="10"/>
  <c r="AC427" i="10"/>
  <c r="AD427" i="10"/>
  <c r="AC6" i="10"/>
  <c r="AD6" i="10"/>
  <c r="AC128" i="10"/>
  <c r="AC420" i="10"/>
  <c r="AD420" i="10"/>
  <c r="AC433" i="10"/>
  <c r="AD433" i="10"/>
  <c r="AC729" i="10"/>
  <c r="AD729" i="10"/>
  <c r="AC657" i="10"/>
  <c r="AD657" i="10"/>
  <c r="AC641" i="10"/>
  <c r="AD641" i="10"/>
  <c r="AC363" i="10"/>
  <c r="AD363" i="10"/>
  <c r="AC601" i="10"/>
  <c r="AD601" i="10"/>
  <c r="AC30" i="10"/>
  <c r="AD30" i="10"/>
  <c r="AC287" i="10"/>
  <c r="AD287" i="10"/>
  <c r="AC183" i="10"/>
  <c r="AD183" i="10"/>
  <c r="AC418" i="10"/>
  <c r="AD418" i="10"/>
  <c r="AC265" i="10"/>
  <c r="AD265" i="10"/>
  <c r="AC364" i="10"/>
  <c r="AD364" i="10"/>
  <c r="AC133" i="10"/>
  <c r="AD133" i="10"/>
  <c r="AC568" i="10"/>
  <c r="AD568" i="10"/>
  <c r="AC29" i="10"/>
  <c r="AD29" i="10"/>
  <c r="AC412" i="10"/>
  <c r="AD412" i="10"/>
  <c r="AC54" i="10"/>
  <c r="AD54" i="10"/>
  <c r="AC280" i="10"/>
  <c r="AD280" i="10"/>
  <c r="AC692" i="10"/>
  <c r="AD692" i="10"/>
  <c r="AC342" i="10"/>
  <c r="AD342" i="10"/>
  <c r="AC543" i="10"/>
  <c r="AD543" i="10"/>
  <c r="AC502" i="10"/>
  <c r="AD502" i="10"/>
  <c r="AC752" i="10"/>
  <c r="AD752" i="10"/>
  <c r="AC257" i="10"/>
  <c r="AD257" i="10"/>
  <c r="AC759" i="10"/>
  <c r="AD759" i="10"/>
  <c r="AC129" i="10"/>
  <c r="AD129" i="10"/>
  <c r="AC646" i="10"/>
  <c r="AD646" i="10"/>
  <c r="AC131" i="10"/>
  <c r="AD131" i="10"/>
  <c r="AC705" i="10"/>
  <c r="AD705" i="10"/>
  <c r="AC238" i="10"/>
  <c r="AD238" i="10"/>
  <c r="AC501" i="10"/>
  <c r="AD501" i="10"/>
  <c r="AC599" i="10"/>
  <c r="AD599" i="10"/>
  <c r="AC699" i="10"/>
  <c r="AD699" i="10"/>
  <c r="AC684" i="10"/>
  <c r="AD684" i="10"/>
  <c r="AC656" i="10"/>
  <c r="AD656" i="10"/>
  <c r="AC542" i="10"/>
  <c r="AD542" i="10"/>
  <c r="AC642" i="10"/>
  <c r="AD642" i="10"/>
  <c r="AC223" i="10"/>
  <c r="AD223" i="10"/>
  <c r="AC369" i="10"/>
  <c r="AD369" i="10"/>
  <c r="AC196" i="10"/>
  <c r="AD196" i="10"/>
  <c r="AC165" i="10"/>
  <c r="AD165" i="10"/>
  <c r="AC198" i="10"/>
  <c r="AD198" i="10"/>
  <c r="AC667" i="10"/>
  <c r="AD667" i="10"/>
  <c r="AC283" i="10"/>
  <c r="AD283" i="10"/>
  <c r="AC674" i="10"/>
  <c r="AD674" i="10"/>
  <c r="AC421" i="10"/>
  <c r="AD421" i="10"/>
  <c r="AC4" i="10"/>
  <c r="AD4" i="10"/>
  <c r="AC652" i="10"/>
  <c r="AD652" i="10"/>
  <c r="AC465" i="10"/>
  <c r="AD465" i="10"/>
  <c r="AC345" i="10"/>
  <c r="AD345" i="10"/>
  <c r="AC38" i="10"/>
  <c r="AD38" i="10"/>
  <c r="AC396" i="10"/>
  <c r="AD396" i="10"/>
  <c r="AC273" i="10"/>
  <c r="AD273" i="10"/>
  <c r="AC473" i="10"/>
  <c r="AD473" i="10"/>
  <c r="AC704" i="10"/>
  <c r="AD704" i="10"/>
  <c r="AC100" i="10"/>
  <c r="AD100" i="10"/>
  <c r="AC137" i="10"/>
  <c r="AD137" i="10"/>
  <c r="AC731" i="10"/>
  <c r="AD731" i="10"/>
  <c r="AC689" i="10"/>
  <c r="AD689" i="10"/>
  <c r="AC201" i="10"/>
  <c r="AD201" i="10"/>
  <c r="AC623" i="10"/>
  <c r="AD623" i="10"/>
  <c r="AC41" i="10"/>
  <c r="AD41" i="10"/>
  <c r="AC323" i="10"/>
  <c r="AD323" i="10"/>
  <c r="AC12" i="10"/>
  <c r="AD12" i="10"/>
  <c r="AC220" i="10"/>
  <c r="AD220" i="10"/>
  <c r="AC203" i="10"/>
  <c r="AD203" i="10"/>
  <c r="AC99" i="10"/>
  <c r="AD99" i="10"/>
  <c r="AC335" i="10"/>
  <c r="AD335" i="10"/>
  <c r="AC262" i="10"/>
  <c r="AD262" i="10"/>
  <c r="AC600" i="10"/>
  <c r="AD600" i="10"/>
  <c r="AC462" i="10"/>
  <c r="AD462" i="10"/>
  <c r="AC431" i="10"/>
  <c r="AD431" i="10"/>
  <c r="AC622" i="10"/>
  <c r="AD622" i="10"/>
  <c r="AC224" i="10"/>
  <c r="AD224" i="10"/>
  <c r="AC268" i="10"/>
  <c r="AD268" i="10"/>
  <c r="AC10" i="10"/>
  <c r="AD10" i="10"/>
  <c r="AC415" i="10"/>
  <c r="AD415" i="10"/>
  <c r="AC725" i="10"/>
  <c r="AD725" i="10"/>
  <c r="AC17" i="10"/>
  <c r="AD17" i="10"/>
  <c r="AC484" i="10"/>
  <c r="AD484" i="10"/>
  <c r="AC468" i="10"/>
  <c r="AD468" i="10"/>
  <c r="AC303" i="10"/>
  <c r="AD303" i="10"/>
  <c r="AC493" i="10"/>
  <c r="AD493" i="10"/>
  <c r="AC610" i="10"/>
  <c r="AD610" i="10"/>
  <c r="AC125" i="10"/>
  <c r="AD125" i="10"/>
  <c r="AC264" i="10"/>
  <c r="AD264" i="10"/>
  <c r="AC611" i="10"/>
  <c r="AD611" i="10"/>
  <c r="AC755" i="10"/>
  <c r="AD755" i="10"/>
  <c r="AC124" i="10"/>
  <c r="AD124" i="10"/>
  <c r="AC259" i="10"/>
  <c r="AD259" i="10"/>
  <c r="AC11" i="10"/>
  <c r="AD11" i="10"/>
  <c r="AC53" i="10"/>
  <c r="AD53" i="10"/>
  <c r="AC727" i="10"/>
  <c r="AD727" i="10"/>
  <c r="AC422" i="10"/>
  <c r="AD422" i="10"/>
  <c r="AC94" i="10"/>
  <c r="AD94" i="10"/>
  <c r="AC716" i="10"/>
  <c r="AD716" i="10"/>
  <c r="M20" i="17"/>
  <c r="C3" i="3"/>
  <c r="AO4" i="8"/>
  <c r="AO5" i="8"/>
  <c r="AO6" i="8"/>
  <c r="AO7" i="8"/>
  <c r="AO8" i="8"/>
  <c r="K26" i="17" l="1"/>
  <c r="L26" i="17"/>
  <c r="K27" i="17"/>
  <c r="M28" i="17"/>
  <c r="K28" i="17"/>
  <c r="L27" i="17"/>
  <c r="S6" i="3"/>
  <c r="G6" i="3"/>
  <c r="L28" i="17"/>
  <c r="S7" i="3"/>
  <c r="B14" i="3"/>
  <c r="K6" i="3"/>
  <c r="K7" i="3"/>
  <c r="K8" i="3"/>
  <c r="K32" i="9"/>
  <c r="K27" i="9"/>
  <c r="K2" i="9"/>
  <c r="K29" i="9"/>
  <c r="J45" i="9"/>
  <c r="J46" i="9"/>
  <c r="AM41" i="8"/>
  <c r="X41" i="8"/>
  <c r="Q41" i="8"/>
  <c r="K41" i="8"/>
  <c r="E41" i="8"/>
  <c r="D41" i="8"/>
  <c r="C41" i="8"/>
  <c r="K45" i="9" l="1"/>
  <c r="M45" i="9" s="1"/>
  <c r="K42" i="9"/>
  <c r="K43" i="9"/>
  <c r="K25" i="9"/>
  <c r="K26" i="9"/>
  <c r="K44" i="9"/>
  <c r="K33" i="9"/>
  <c r="K31" i="9"/>
  <c r="K28" i="9"/>
  <c r="F41" i="8"/>
  <c r="N2" i="6" l="1"/>
  <c r="N2" i="5"/>
  <c r="N2" i="4"/>
  <c r="N2" i="3"/>
  <c r="G10" i="3" s="1"/>
  <c r="AB5" i="17"/>
  <c r="K41" i="9"/>
  <c r="K40" i="9"/>
  <c r="K39" i="9"/>
  <c r="K38" i="9"/>
  <c r="K37" i="9"/>
  <c r="K36" i="9"/>
  <c r="K30" i="9"/>
  <c r="K35" i="9"/>
  <c r="K34" i="9"/>
  <c r="K3" i="9"/>
  <c r="K46" i="9"/>
  <c r="M46" i="9" s="1"/>
  <c r="J5" i="9"/>
  <c r="M5" i="9" s="1"/>
  <c r="J44" i="9"/>
  <c r="M44" i="9" s="1"/>
  <c r="J4" i="9"/>
  <c r="M4" i="9" s="1"/>
  <c r="J43" i="9"/>
  <c r="M43" i="9" s="1"/>
  <c r="J42" i="9"/>
  <c r="M42" i="9" s="1"/>
  <c r="J41" i="9"/>
  <c r="J17" i="9"/>
  <c r="M17" i="9" s="1"/>
  <c r="J16" i="9"/>
  <c r="M16" i="9" s="1"/>
  <c r="J40" i="9"/>
  <c r="J24" i="9"/>
  <c r="M24" i="9" s="1"/>
  <c r="J39" i="9"/>
  <c r="J38" i="9"/>
  <c r="J37" i="9"/>
  <c r="J15" i="9"/>
  <c r="M15" i="9" s="1"/>
  <c r="J23" i="9"/>
  <c r="M23" i="9" s="1"/>
  <c r="J36" i="9"/>
  <c r="J14" i="9"/>
  <c r="M14" i="9" s="1"/>
  <c r="J22" i="9"/>
  <c r="M22" i="9" s="1"/>
  <c r="J35" i="9"/>
  <c r="J34" i="9"/>
  <c r="J3" i="9"/>
  <c r="J33" i="9"/>
  <c r="M33" i="9" s="1"/>
  <c r="J32" i="9"/>
  <c r="M32" i="9" s="1"/>
  <c r="J31" i="9"/>
  <c r="M31" i="9" s="1"/>
  <c r="J30" i="9"/>
  <c r="J21" i="9"/>
  <c r="M21" i="9" s="1"/>
  <c r="J13" i="9"/>
  <c r="M13" i="9" s="1"/>
  <c r="J12" i="9"/>
  <c r="M12" i="9" s="1"/>
  <c r="J6" i="9"/>
  <c r="M6" i="9" s="1"/>
  <c r="J29" i="9"/>
  <c r="M29" i="9" s="1"/>
  <c r="J11" i="9"/>
  <c r="M11" i="9" s="1"/>
  <c r="J10" i="9"/>
  <c r="M10" i="9" s="1"/>
  <c r="J20" i="9"/>
  <c r="M20" i="9" s="1"/>
  <c r="J19" i="9"/>
  <c r="M19" i="9" s="1"/>
  <c r="J28" i="9"/>
  <c r="M28" i="9" s="1"/>
  <c r="J9" i="9"/>
  <c r="M9" i="9" s="1"/>
  <c r="J8" i="9"/>
  <c r="M8" i="9" s="1"/>
  <c r="J27" i="9"/>
  <c r="M27" i="9" s="1"/>
  <c r="J18" i="9"/>
  <c r="M18" i="9" s="1"/>
  <c r="J26" i="9"/>
  <c r="M26" i="9" s="1"/>
  <c r="J7" i="9"/>
  <c r="M7" i="9" s="1"/>
  <c r="J25" i="9"/>
  <c r="M25" i="9" s="1"/>
  <c r="J2" i="9"/>
  <c r="M2" i="9" s="1"/>
  <c r="AG47" i="8"/>
  <c r="AE47" i="8"/>
  <c r="AD47" i="8"/>
  <c r="K47" i="8"/>
  <c r="AM40" i="8"/>
  <c r="X40" i="8"/>
  <c r="Q40" i="8"/>
  <c r="K40" i="8"/>
  <c r="E40" i="8"/>
  <c r="D40" i="8"/>
  <c r="C40" i="8"/>
  <c r="AM39" i="8"/>
  <c r="X39" i="8"/>
  <c r="Q39" i="8"/>
  <c r="K39" i="8"/>
  <c r="E39" i="8"/>
  <c r="D39" i="8"/>
  <c r="C39" i="8"/>
  <c r="AM38" i="8"/>
  <c r="X38" i="8"/>
  <c r="E38" i="8"/>
  <c r="D38" i="8"/>
  <c r="C38" i="8"/>
  <c r="AM37" i="8"/>
  <c r="Q37" i="8"/>
  <c r="K37" i="8"/>
  <c r="E37" i="8"/>
  <c r="D37" i="8"/>
  <c r="C37" i="8"/>
  <c r="AM36" i="8"/>
  <c r="AF36" i="8"/>
  <c r="Q36" i="8"/>
  <c r="K36" i="8"/>
  <c r="E36" i="8"/>
  <c r="D36" i="8"/>
  <c r="C36" i="8"/>
  <c r="AM35" i="8"/>
  <c r="AF35" i="8"/>
  <c r="X35" i="8"/>
  <c r="Q35" i="8"/>
  <c r="K35" i="8"/>
  <c r="E35" i="8"/>
  <c r="D35" i="8"/>
  <c r="C35" i="8"/>
  <c r="AM34" i="8"/>
  <c r="X34" i="8"/>
  <c r="E34" i="8"/>
  <c r="D34" i="8"/>
  <c r="C34" i="8"/>
  <c r="X33" i="8"/>
  <c r="K33" i="8"/>
  <c r="E33" i="8"/>
  <c r="D33" i="8"/>
  <c r="C33" i="8"/>
  <c r="E32" i="8"/>
  <c r="D32" i="8"/>
  <c r="C32" i="8"/>
  <c r="X31" i="8"/>
  <c r="Q31" i="8"/>
  <c r="K31" i="8"/>
  <c r="E31" i="8"/>
  <c r="D31" i="8"/>
  <c r="C31" i="8"/>
  <c r="X30" i="8"/>
  <c r="K30" i="8"/>
  <c r="E30" i="8"/>
  <c r="D30" i="8"/>
  <c r="C30" i="8"/>
  <c r="X29" i="8"/>
  <c r="K29" i="8"/>
  <c r="E29" i="8"/>
  <c r="D29" i="8"/>
  <c r="C29" i="8"/>
  <c r="K28" i="8"/>
  <c r="E28" i="8"/>
  <c r="D28" i="8"/>
  <c r="C28" i="8"/>
  <c r="K27" i="8"/>
  <c r="E27" i="8"/>
  <c r="D27" i="8"/>
  <c r="C27" i="8"/>
  <c r="K26" i="8"/>
  <c r="E26" i="8"/>
  <c r="D26" i="8"/>
  <c r="C26" i="8"/>
  <c r="AB10" i="8"/>
  <c r="AA10" i="8"/>
  <c r="Z10" i="8"/>
  <c r="Y10" i="8"/>
  <c r="X10" i="8"/>
  <c r="W10" i="8"/>
  <c r="V10" i="8"/>
  <c r="U10" i="8"/>
  <c r="S10" i="8"/>
  <c r="M10" i="8"/>
  <c r="K10" i="8"/>
  <c r="I10" i="8"/>
  <c r="G10" i="8"/>
  <c r="AD9" i="8"/>
  <c r="AB9" i="8"/>
  <c r="Z9" i="8"/>
  <c r="Y9" i="8"/>
  <c r="U9" i="8"/>
  <c r="Q9" i="8"/>
  <c r="M9" i="8"/>
  <c r="K9" i="8"/>
  <c r="I9" i="8"/>
  <c r="G9" i="8"/>
  <c r="T44" i="7"/>
  <c r="T110" i="7" s="1"/>
  <c r="C3" i="6"/>
  <c r="S7" i="6" s="1"/>
  <c r="C3" i="5"/>
  <c r="C3" i="4"/>
  <c r="R85" i="10"/>
  <c r="P85" i="10"/>
  <c r="C47" i="8" l="1"/>
  <c r="D47" i="8"/>
  <c r="E47" i="8"/>
  <c r="G6" i="4"/>
  <c r="G10" i="4"/>
  <c r="C6" i="5"/>
  <c r="L245" i="14"/>
  <c r="L222" i="14"/>
  <c r="L246" i="14"/>
  <c r="C10" i="5"/>
  <c r="L247" i="14"/>
  <c r="L186" i="14"/>
  <c r="L248" i="14"/>
  <c r="G10" i="5"/>
  <c r="L249" i="14"/>
  <c r="L240" i="14"/>
  <c r="L251" i="14"/>
  <c r="G6" i="5"/>
  <c r="L250" i="14"/>
  <c r="L241" i="14"/>
  <c r="L242" i="14"/>
  <c r="L243" i="14"/>
  <c r="L244" i="14"/>
  <c r="M249" i="14"/>
  <c r="M250" i="14"/>
  <c r="M251" i="14"/>
  <c r="M241" i="14"/>
  <c r="M222" i="14"/>
  <c r="M242" i="14"/>
  <c r="M240" i="14"/>
  <c r="M243" i="14"/>
  <c r="M186" i="14"/>
  <c r="M244" i="14"/>
  <c r="M245" i="14"/>
  <c r="M246" i="14"/>
  <c r="M247" i="14"/>
  <c r="M248" i="14"/>
  <c r="T85" i="10"/>
  <c r="S7" i="5" s="1"/>
  <c r="S6" i="5"/>
  <c r="AA126" i="10"/>
  <c r="X126" i="10"/>
  <c r="Y126" i="10" s="1"/>
  <c r="Z126" i="10"/>
  <c r="AA127" i="10"/>
  <c r="Z127" i="10"/>
  <c r="X128" i="10"/>
  <c r="Y128" i="10" s="1"/>
  <c r="Z128" i="10"/>
  <c r="X127" i="10"/>
  <c r="Y127" i="10" s="1"/>
  <c r="AA128" i="10"/>
  <c r="AA85" i="10"/>
  <c r="AE85" i="10" s="1"/>
  <c r="L231" i="14"/>
  <c r="L218" i="14"/>
  <c r="L196" i="14"/>
  <c r="L232" i="14"/>
  <c r="L217" i="14"/>
  <c r="L195" i="14"/>
  <c r="L234" i="14"/>
  <c r="L215" i="14"/>
  <c r="L193" i="14"/>
  <c r="L235" i="14"/>
  <c r="L214" i="14"/>
  <c r="L192" i="14"/>
  <c r="L236" i="14"/>
  <c r="L213" i="14"/>
  <c r="L191" i="14"/>
  <c r="L239" i="14"/>
  <c r="L210" i="14"/>
  <c r="L188" i="14"/>
  <c r="L228" i="14"/>
  <c r="L199" i="14"/>
  <c r="L233" i="14"/>
  <c r="L216" i="14"/>
  <c r="L237" i="14"/>
  <c r="L212" i="14"/>
  <c r="L190" i="14"/>
  <c r="L238" i="14"/>
  <c r="L211" i="14"/>
  <c r="L189" i="14"/>
  <c r="L221" i="14"/>
  <c r="L220" i="14"/>
  <c r="L219" i="14"/>
  <c r="L194" i="14"/>
  <c r="L209" i="14"/>
  <c r="L187" i="14"/>
  <c r="L208" i="14"/>
  <c r="L207" i="14"/>
  <c r="L205" i="14"/>
  <c r="L229" i="14"/>
  <c r="L198" i="14"/>
  <c r="L230" i="14"/>
  <c r="L197" i="14"/>
  <c r="L206" i="14"/>
  <c r="L223" i="14"/>
  <c r="L204" i="14"/>
  <c r="L224" i="14"/>
  <c r="L203" i="14"/>
  <c r="L225" i="14"/>
  <c r="L202" i="14"/>
  <c r="L227" i="14"/>
  <c r="L200" i="14"/>
  <c r="L226" i="14"/>
  <c r="L201" i="14"/>
  <c r="M235" i="14"/>
  <c r="M205" i="14"/>
  <c r="M236" i="14"/>
  <c r="M204" i="14"/>
  <c r="M238" i="14"/>
  <c r="M202" i="14"/>
  <c r="M239" i="14"/>
  <c r="M201" i="14"/>
  <c r="M200" i="14"/>
  <c r="M219" i="14"/>
  <c r="M197" i="14"/>
  <c r="M208" i="14"/>
  <c r="M237" i="14"/>
  <c r="M203" i="14"/>
  <c r="M221" i="14"/>
  <c r="M199" i="14"/>
  <c r="M220" i="14"/>
  <c r="M198" i="14"/>
  <c r="M232" i="14"/>
  <c r="M234" i="14"/>
  <c r="M218" i="14"/>
  <c r="M196" i="14"/>
  <c r="M223" i="14"/>
  <c r="M217" i="14"/>
  <c r="M195" i="14"/>
  <c r="M224" i="14"/>
  <c r="M216" i="14"/>
  <c r="M194" i="14"/>
  <c r="M226" i="14"/>
  <c r="M214" i="14"/>
  <c r="M192" i="14"/>
  <c r="M233" i="14"/>
  <c r="M207" i="14"/>
  <c r="M206" i="14"/>
  <c r="M225" i="14"/>
  <c r="M215" i="14"/>
  <c r="M193" i="14"/>
  <c r="M227" i="14"/>
  <c r="M213" i="14"/>
  <c r="M191" i="14"/>
  <c r="M228" i="14"/>
  <c r="M212" i="14"/>
  <c r="M190" i="14"/>
  <c r="M229" i="14"/>
  <c r="M211" i="14"/>
  <c r="M189" i="14"/>
  <c r="M231" i="14"/>
  <c r="M209" i="14"/>
  <c r="M187" i="14"/>
  <c r="M230" i="14"/>
  <c r="M210" i="14"/>
  <c r="M188" i="14"/>
  <c r="Z84" i="10"/>
  <c r="X84" i="10"/>
  <c r="Y84" i="10" s="1"/>
  <c r="AB86" i="10"/>
  <c r="Z86" i="10"/>
  <c r="AB84" i="10"/>
  <c r="X86" i="10"/>
  <c r="Y86" i="10" s="1"/>
  <c r="C11" i="4"/>
  <c r="F14" i="4"/>
  <c r="S6" i="4"/>
  <c r="S7" i="4"/>
  <c r="S11" i="3"/>
  <c r="F15" i="4"/>
  <c r="M2" i="14"/>
  <c r="L2" i="14"/>
  <c r="AB9" i="17"/>
  <c r="AB12" i="17" s="1"/>
  <c r="L17" i="17"/>
  <c r="K17" i="17"/>
  <c r="K21" i="17" s="1"/>
  <c r="F14" i="3"/>
  <c r="O14" i="3" s="1"/>
  <c r="L48" i="14"/>
  <c r="L61" i="14"/>
  <c r="L70" i="14"/>
  <c r="L71" i="14"/>
  <c r="L103" i="14"/>
  <c r="L110" i="14"/>
  <c r="L130" i="14"/>
  <c r="L139" i="14"/>
  <c r="L153" i="14"/>
  <c r="L178" i="14"/>
  <c r="L51" i="14"/>
  <c r="L62" i="14"/>
  <c r="L74" i="14"/>
  <c r="L93" i="14"/>
  <c r="L105" i="14"/>
  <c r="L112" i="14"/>
  <c r="L131" i="14"/>
  <c r="L144" i="14"/>
  <c r="L156" i="14"/>
  <c r="L179" i="14"/>
  <c r="L55" i="14"/>
  <c r="L66" i="14"/>
  <c r="L77" i="14"/>
  <c r="L94" i="14"/>
  <c r="L107" i="14"/>
  <c r="L113" i="14"/>
  <c r="L132" i="14"/>
  <c r="L150" i="14"/>
  <c r="L167" i="14"/>
  <c r="L185" i="14"/>
  <c r="L60" i="14"/>
  <c r="L69" i="14"/>
  <c r="L79" i="14"/>
  <c r="L96" i="14"/>
  <c r="L109" i="14"/>
  <c r="L122" i="14"/>
  <c r="L133" i="14"/>
  <c r="L152" i="14"/>
  <c r="L168" i="14"/>
  <c r="M48" i="14"/>
  <c r="M61" i="14"/>
  <c r="M70" i="14"/>
  <c r="M71" i="14"/>
  <c r="M103" i="14"/>
  <c r="M110" i="14"/>
  <c r="M130" i="14"/>
  <c r="M139" i="14"/>
  <c r="M153" i="14"/>
  <c r="M178" i="14"/>
  <c r="M51" i="14"/>
  <c r="M62" i="14"/>
  <c r="M74" i="14"/>
  <c r="M93" i="14"/>
  <c r="M105" i="14"/>
  <c r="M112" i="14"/>
  <c r="M131" i="14"/>
  <c r="M144" i="14"/>
  <c r="M156" i="14"/>
  <c r="M179" i="14"/>
  <c r="M55" i="14"/>
  <c r="M66" i="14"/>
  <c r="M77" i="14"/>
  <c r="M94" i="14"/>
  <c r="M107" i="14"/>
  <c r="M113" i="14"/>
  <c r="M132" i="14"/>
  <c r="M150" i="14"/>
  <c r="M167" i="14"/>
  <c r="M185" i="14"/>
  <c r="M60" i="14"/>
  <c r="M69" i="14"/>
  <c r="M79" i="14"/>
  <c r="M96" i="14"/>
  <c r="M109" i="14"/>
  <c r="M122" i="14"/>
  <c r="M133" i="14"/>
  <c r="M152" i="14"/>
  <c r="M168" i="14"/>
  <c r="W11" i="17"/>
  <c r="W10" i="17"/>
  <c r="W9" i="17"/>
  <c r="W8" i="17"/>
  <c r="V9" i="17"/>
  <c r="V10" i="17"/>
  <c r="T11" i="17"/>
  <c r="V8" i="17"/>
  <c r="T8" i="17"/>
  <c r="V11" i="17"/>
  <c r="T10" i="17"/>
  <c r="T9" i="17"/>
  <c r="S11" i="4"/>
  <c r="S11" i="5"/>
  <c r="S11" i="6"/>
  <c r="X47" i="8"/>
  <c r="L181" i="14"/>
  <c r="L119" i="14"/>
  <c r="L184" i="14"/>
  <c r="L174" i="14"/>
  <c r="M181" i="14"/>
  <c r="M184" i="14"/>
  <c r="M174" i="14"/>
  <c r="P17" i="17"/>
  <c r="R17" i="17" s="1"/>
  <c r="S18" i="17"/>
  <c r="S17" i="17"/>
  <c r="T18" i="17"/>
  <c r="S19" i="17"/>
  <c r="S20" i="17"/>
  <c r="P18" i="17"/>
  <c r="R18" i="17" s="1"/>
  <c r="P19" i="17"/>
  <c r="U19" i="17" s="1"/>
  <c r="T17" i="17"/>
  <c r="T20" i="17"/>
  <c r="P20" i="17"/>
  <c r="R20" i="17" s="1"/>
  <c r="Q19" i="17"/>
  <c r="T19" i="17"/>
  <c r="Q17" i="17"/>
  <c r="Q20" i="17"/>
  <c r="Q18" i="17"/>
  <c r="Z31" i="10"/>
  <c r="AB31" i="10"/>
  <c r="X31" i="10"/>
  <c r="Y31" i="10" s="1"/>
  <c r="S11" i="17"/>
  <c r="S10" i="17"/>
  <c r="S9" i="17"/>
  <c r="S8" i="17"/>
  <c r="F14" i="6"/>
  <c r="B14" i="6"/>
  <c r="K6" i="6"/>
  <c r="K7" i="6"/>
  <c r="K8" i="6"/>
  <c r="O6" i="6"/>
  <c r="K10" i="4"/>
  <c r="K11" i="4"/>
  <c r="K12" i="4"/>
  <c r="F15" i="5"/>
  <c r="K10" i="5"/>
  <c r="K12" i="5"/>
  <c r="K11" i="5"/>
  <c r="K11" i="3"/>
  <c r="K10" i="3"/>
  <c r="K12" i="3"/>
  <c r="F15" i="6"/>
  <c r="O18" i="6" s="1" a="1"/>
  <c r="O18" i="6" s="1"/>
  <c r="K10" i="6"/>
  <c r="K12" i="6"/>
  <c r="K11" i="6"/>
  <c r="B14" i="4"/>
  <c r="K8" i="4"/>
  <c r="K6" i="4"/>
  <c r="K7" i="4"/>
  <c r="O6" i="4"/>
  <c r="O7" i="4"/>
  <c r="O8" i="4"/>
  <c r="F14" i="5"/>
  <c r="B14" i="5"/>
  <c r="K6" i="5"/>
  <c r="K7" i="5"/>
  <c r="K8" i="5"/>
  <c r="O6" i="5"/>
  <c r="AB85" i="10"/>
  <c r="Z85" i="10"/>
  <c r="X85" i="10"/>
  <c r="Y85" i="10" s="1"/>
  <c r="W85" i="10"/>
  <c r="S85" i="10"/>
  <c r="O8" i="5" s="1"/>
  <c r="O6" i="3"/>
  <c r="G6" i="6"/>
  <c r="G10" i="6"/>
  <c r="L166" i="14"/>
  <c r="L165" i="14"/>
  <c r="L169" i="14"/>
  <c r="L164" i="14"/>
  <c r="L170" i="14"/>
  <c r="L180" i="14"/>
  <c r="L171" i="14"/>
  <c r="L173" i="14"/>
  <c r="L175" i="14"/>
  <c r="S10" i="4"/>
  <c r="S6" i="6"/>
  <c r="M165" i="14"/>
  <c r="M169" i="14"/>
  <c r="M166" i="14"/>
  <c r="M164" i="14"/>
  <c r="M180" i="14"/>
  <c r="M170" i="14"/>
  <c r="M171" i="14"/>
  <c r="M173" i="14"/>
  <c r="M175" i="14"/>
  <c r="S10" i="3"/>
  <c r="F15" i="3"/>
  <c r="S10" i="6"/>
  <c r="S651" i="10"/>
  <c r="S652" i="10"/>
  <c r="S250" i="10"/>
  <c r="C6" i="3"/>
  <c r="C11" i="3"/>
  <c r="C10" i="3"/>
  <c r="C7" i="3"/>
  <c r="M123" i="14"/>
  <c r="M127" i="14"/>
  <c r="M120" i="14"/>
  <c r="M134" i="14"/>
  <c r="M137" i="14"/>
  <c r="M141" i="14"/>
  <c r="M143" i="14"/>
  <c r="M145" i="14"/>
  <c r="M151" i="14"/>
  <c r="M155" i="14"/>
  <c r="M157" i="14"/>
  <c r="M158" i="14"/>
  <c r="M160" i="14"/>
  <c r="M162" i="14"/>
  <c r="M163" i="14"/>
  <c r="M176" i="14"/>
  <c r="M18" i="14"/>
  <c r="M22" i="14"/>
  <c r="M15" i="14"/>
  <c r="M17" i="14"/>
  <c r="M21" i="14"/>
  <c r="M182" i="14"/>
  <c r="M183" i="14"/>
  <c r="M177" i="14"/>
  <c r="M146" i="14"/>
  <c r="M136" i="14"/>
  <c r="M121" i="14"/>
  <c r="M124" i="14"/>
  <c r="M3" i="14"/>
  <c r="M6" i="14"/>
  <c r="M5" i="14"/>
  <c r="M4" i="14"/>
  <c r="M7" i="14"/>
  <c r="M8" i="14"/>
  <c r="M9" i="14"/>
  <c r="M10" i="14"/>
  <c r="M11" i="14"/>
  <c r="M14" i="14"/>
  <c r="M12" i="14"/>
  <c r="M16" i="14"/>
  <c r="M13" i="14"/>
  <c r="M20" i="14"/>
  <c r="M19" i="14"/>
  <c r="M24" i="14"/>
  <c r="M26" i="14"/>
  <c r="M28" i="14"/>
  <c r="M25" i="14"/>
  <c r="M23" i="14"/>
  <c r="M30" i="14"/>
  <c r="M27" i="14"/>
  <c r="M29" i="14"/>
  <c r="M33" i="14"/>
  <c r="M32" i="14"/>
  <c r="M34" i="14"/>
  <c r="M46" i="14"/>
  <c r="M36" i="14"/>
  <c r="M38" i="14"/>
  <c r="M39" i="14"/>
  <c r="M52" i="14"/>
  <c r="M37" i="14"/>
  <c r="M35" i="14"/>
  <c r="M31" i="14"/>
  <c r="M40" i="14"/>
  <c r="M41" i="14"/>
  <c r="M42" i="14"/>
  <c r="M44" i="14"/>
  <c r="M43" i="14"/>
  <c r="M80" i="14"/>
  <c r="M47" i="14"/>
  <c r="M45" i="14"/>
  <c r="M53" i="14"/>
  <c r="M54" i="14"/>
  <c r="M50" i="14"/>
  <c r="M49" i="14"/>
  <c r="M56" i="14"/>
  <c r="M58" i="14"/>
  <c r="M59" i="14"/>
  <c r="M63" i="14"/>
  <c r="M64" i="14"/>
  <c r="M67" i="14"/>
  <c r="M65" i="14"/>
  <c r="M68" i="14"/>
  <c r="M72" i="14"/>
  <c r="M75" i="14"/>
  <c r="M73" i="14"/>
  <c r="M76" i="14"/>
  <c r="M81" i="14"/>
  <c r="M82" i="14"/>
  <c r="M83" i="14"/>
  <c r="M78" i="14"/>
  <c r="M87" i="14"/>
  <c r="M90" i="14"/>
  <c r="M85" i="14"/>
  <c r="M97" i="14"/>
  <c r="M95" i="14"/>
  <c r="M88" i="14"/>
  <c r="M86" i="14"/>
  <c r="M91" i="14"/>
  <c r="M57" i="14"/>
  <c r="M98" i="14"/>
  <c r="M92" i="14"/>
  <c r="M89" i="14"/>
  <c r="M108" i="14"/>
  <c r="M84" i="14"/>
  <c r="M99" i="14"/>
  <c r="M100" i="14"/>
  <c r="M104" i="14"/>
  <c r="M101" i="14"/>
  <c r="M106" i="14"/>
  <c r="M102" i="14"/>
  <c r="M111" i="14"/>
  <c r="M115" i="14"/>
  <c r="M114" i="14"/>
  <c r="M116" i="14"/>
  <c r="M117" i="14"/>
  <c r="M118" i="14"/>
  <c r="M129" i="14"/>
  <c r="M128" i="14"/>
  <c r="M154" i="14"/>
  <c r="M142" i="14"/>
  <c r="M135" i="14"/>
  <c r="M147" i="14"/>
  <c r="M149" i="14"/>
  <c r="M138" i="14"/>
  <c r="M125" i="14"/>
  <c r="M126" i="14"/>
  <c r="M148" i="14"/>
  <c r="M140" i="14"/>
  <c r="M159" i="14"/>
  <c r="M161" i="14"/>
  <c r="M172" i="14"/>
  <c r="M119" i="14"/>
  <c r="L123" i="14"/>
  <c r="L127" i="14"/>
  <c r="L120" i="14"/>
  <c r="L134" i="14"/>
  <c r="L137" i="14"/>
  <c r="L141" i="14"/>
  <c r="L143" i="14"/>
  <c r="L145" i="14"/>
  <c r="L151" i="14"/>
  <c r="L155" i="14"/>
  <c r="L157" i="14"/>
  <c r="L158" i="14"/>
  <c r="L160" i="14"/>
  <c r="L162" i="14"/>
  <c r="L163" i="14"/>
  <c r="L176" i="14"/>
  <c r="L18" i="14"/>
  <c r="L22" i="14"/>
  <c r="L15" i="14"/>
  <c r="L17" i="14"/>
  <c r="L21" i="14"/>
  <c r="L182" i="14"/>
  <c r="L183" i="14"/>
  <c r="L177" i="14"/>
  <c r="L146" i="14"/>
  <c r="L136" i="14"/>
  <c r="L121" i="14"/>
  <c r="L124" i="14"/>
  <c r="L3" i="14"/>
  <c r="L6" i="14"/>
  <c r="L5" i="14"/>
  <c r="L4" i="14"/>
  <c r="L7" i="14"/>
  <c r="L8" i="14"/>
  <c r="L9" i="14"/>
  <c r="L10" i="14"/>
  <c r="L11" i="14"/>
  <c r="L14" i="14"/>
  <c r="L12" i="14"/>
  <c r="L16" i="14"/>
  <c r="L13" i="14"/>
  <c r="L20" i="14"/>
  <c r="L19" i="14"/>
  <c r="L24" i="14"/>
  <c r="L26" i="14"/>
  <c r="L28" i="14"/>
  <c r="L25" i="14"/>
  <c r="L23" i="14"/>
  <c r="L30" i="14"/>
  <c r="L27" i="14"/>
  <c r="L29" i="14"/>
  <c r="L33" i="14"/>
  <c r="L32" i="14"/>
  <c r="L34" i="14"/>
  <c r="L46" i="14"/>
  <c r="L36" i="14"/>
  <c r="L38" i="14"/>
  <c r="L39" i="14"/>
  <c r="L52" i="14"/>
  <c r="L37" i="14"/>
  <c r="L35" i="14"/>
  <c r="L31" i="14"/>
  <c r="L40" i="14"/>
  <c r="L41" i="14"/>
  <c r="L42" i="14"/>
  <c r="L44" i="14"/>
  <c r="L43" i="14"/>
  <c r="L80" i="14"/>
  <c r="L47" i="14"/>
  <c r="L45" i="14"/>
  <c r="L53" i="14"/>
  <c r="L54" i="14"/>
  <c r="L50" i="14"/>
  <c r="L49" i="14"/>
  <c r="L56" i="14"/>
  <c r="L58" i="14"/>
  <c r="L59" i="14"/>
  <c r="L63" i="14"/>
  <c r="L64" i="14"/>
  <c r="L67" i="14"/>
  <c r="L65" i="14"/>
  <c r="L68" i="14"/>
  <c r="L72" i="14"/>
  <c r="L75" i="14"/>
  <c r="L73" i="14"/>
  <c r="L76" i="14"/>
  <c r="L81" i="14"/>
  <c r="L82" i="14"/>
  <c r="L83" i="14"/>
  <c r="L78" i="14"/>
  <c r="L87" i="14"/>
  <c r="L90" i="14"/>
  <c r="L85" i="14"/>
  <c r="L97" i="14"/>
  <c r="L95" i="14"/>
  <c r="L88" i="14"/>
  <c r="L86" i="14"/>
  <c r="L91" i="14"/>
  <c r="L57" i="14"/>
  <c r="L98" i="14"/>
  <c r="L92" i="14"/>
  <c r="L89" i="14"/>
  <c r="L108" i="14"/>
  <c r="L84" i="14"/>
  <c r="L99" i="14"/>
  <c r="L100" i="14"/>
  <c r="L104" i="14"/>
  <c r="L101" i="14"/>
  <c r="L106" i="14"/>
  <c r="L102" i="14"/>
  <c r="L111" i="14"/>
  <c r="L115" i="14"/>
  <c r="L114" i="14"/>
  <c r="L116" i="14"/>
  <c r="L117" i="14"/>
  <c r="L118" i="14"/>
  <c r="L129" i="14"/>
  <c r="L128" i="14"/>
  <c r="L154" i="14"/>
  <c r="L142" i="14"/>
  <c r="L135" i="14"/>
  <c r="L147" i="14"/>
  <c r="L149" i="14"/>
  <c r="L138" i="14"/>
  <c r="L125" i="14"/>
  <c r="L126" i="14"/>
  <c r="L148" i="14"/>
  <c r="L140" i="14"/>
  <c r="L159" i="14"/>
  <c r="L161" i="14"/>
  <c r="L172" i="14"/>
  <c r="C7" i="6" a="1"/>
  <c r="C6" i="6"/>
  <c r="G7" i="6" s="1"/>
  <c r="C11" i="6" a="1"/>
  <c r="C10" i="6"/>
  <c r="AO9" i="8"/>
  <c r="F32" i="8"/>
  <c r="AO10" i="8"/>
  <c r="M38" i="9"/>
  <c r="M37" i="9"/>
  <c r="M39" i="9"/>
  <c r="M3" i="9"/>
  <c r="M41" i="9"/>
  <c r="M40" i="9"/>
  <c r="M34" i="9"/>
  <c r="M35" i="9"/>
  <c r="M36" i="9"/>
  <c r="M30" i="9"/>
  <c r="C7" i="4"/>
  <c r="C10" i="4"/>
  <c r="C6" i="4"/>
  <c r="AF47" i="8"/>
  <c r="F39" i="8"/>
  <c r="F28" i="8"/>
  <c r="F26" i="8"/>
  <c r="F31" i="8"/>
  <c r="F36" i="8"/>
  <c r="F33" i="8"/>
  <c r="F40" i="8"/>
  <c r="F29" i="8"/>
  <c r="F37" i="8"/>
  <c r="F34" i="8"/>
  <c r="F30" i="8"/>
  <c r="F38" i="8"/>
  <c r="F35" i="8"/>
  <c r="F27" i="8"/>
  <c r="B28" i="17"/>
  <c r="C28" i="17" s="1"/>
  <c r="B27" i="17"/>
  <c r="C27" i="17" s="1"/>
  <c r="B26" i="17"/>
  <c r="B25" i="17"/>
  <c r="B24" i="17"/>
  <c r="B23" i="17"/>
  <c r="B22" i="17"/>
  <c r="B21" i="17"/>
  <c r="B20" i="17"/>
  <c r="B19" i="17"/>
  <c r="B18" i="17"/>
  <c r="B17" i="17"/>
  <c r="M25" i="17" l="1"/>
  <c r="M29" i="17"/>
  <c r="C7" i="5"/>
  <c r="C11" i="5"/>
  <c r="AE128" i="10"/>
  <c r="AD128" i="10"/>
  <c r="AE126" i="10"/>
  <c r="AD126" i="10"/>
  <c r="AE127" i="10"/>
  <c r="AD127" i="10"/>
  <c r="AD84" i="10"/>
  <c r="AC84" i="10"/>
  <c r="AD86" i="10"/>
  <c r="L25" i="17" s="1"/>
  <c r="AC86" i="10"/>
  <c r="K25" i="17" s="1"/>
  <c r="O7" i="5"/>
  <c r="O18" i="4"/>
  <c r="O19" i="6"/>
  <c r="O18" i="5"/>
  <c r="F25" i="17"/>
  <c r="C25" i="17"/>
  <c r="F26" i="17"/>
  <c r="C26" i="17"/>
  <c r="F23" i="17"/>
  <c r="C23" i="17"/>
  <c r="F17" i="17"/>
  <c r="C17" i="17"/>
  <c r="F18" i="17"/>
  <c r="C18" i="17"/>
  <c r="F19" i="17"/>
  <c r="C19" i="17"/>
  <c r="F20" i="17"/>
  <c r="C20" i="17"/>
  <c r="F24" i="17"/>
  <c r="C24" i="17"/>
  <c r="F21" i="17"/>
  <c r="C21" i="17"/>
  <c r="F22" i="17"/>
  <c r="C22" i="17"/>
  <c r="F28" i="17"/>
  <c r="F27" i="17"/>
  <c r="L21" i="17"/>
  <c r="M21" i="17" s="1"/>
  <c r="M17" i="17"/>
  <c r="V12" i="17"/>
  <c r="X11" i="17"/>
  <c r="O17" i="3"/>
  <c r="X9" i="17"/>
  <c r="W12" i="17"/>
  <c r="X10" i="17"/>
  <c r="X8" i="17"/>
  <c r="F8" i="17"/>
  <c r="E9" i="17"/>
  <c r="D10" i="17"/>
  <c r="E8" i="17"/>
  <c r="D9" i="17"/>
  <c r="F10" i="17"/>
  <c r="D11" i="17"/>
  <c r="C11" i="17"/>
  <c r="F9" i="17"/>
  <c r="F11" i="17"/>
  <c r="G8" i="17"/>
  <c r="G9" i="17"/>
  <c r="D8" i="17"/>
  <c r="U18" i="17"/>
  <c r="R19" i="17"/>
  <c r="H18" i="17"/>
  <c r="H19" i="17"/>
  <c r="H20" i="17"/>
  <c r="H21" i="17"/>
  <c r="H22" i="17"/>
  <c r="H23" i="17"/>
  <c r="H24" i="17"/>
  <c r="H26" i="17"/>
  <c r="H27" i="17"/>
  <c r="H28" i="17"/>
  <c r="H17" i="17"/>
  <c r="H25" i="17"/>
  <c r="U20" i="17"/>
  <c r="U17" i="17"/>
  <c r="P21" i="17"/>
  <c r="S21" i="17" s="1"/>
  <c r="O14" i="6"/>
  <c r="T12" i="17"/>
  <c r="AC31" i="10"/>
  <c r="B10" i="19" s="1" a="1"/>
  <c r="B10" i="19" s="1"/>
  <c r="T29" i="17" s="1"/>
  <c r="AD31" i="10"/>
  <c r="C6" i="19" s="1" a="1"/>
  <c r="C6" i="19" s="1"/>
  <c r="U25" i="17" s="1"/>
  <c r="O14" i="4"/>
  <c r="S12" i="17"/>
  <c r="O14" i="5"/>
  <c r="F14" i="2"/>
  <c r="I8" i="17"/>
  <c r="U8" i="17" s="1"/>
  <c r="O15" i="3"/>
  <c r="C9" i="17"/>
  <c r="O16" i="4"/>
  <c r="I11" i="17"/>
  <c r="U11" i="17" s="1"/>
  <c r="O15" i="6"/>
  <c r="O15" i="5"/>
  <c r="I10" i="17"/>
  <c r="U10" i="17" s="1"/>
  <c r="C10" i="17"/>
  <c r="O16" i="5"/>
  <c r="O15" i="4"/>
  <c r="I9" i="17"/>
  <c r="U9" i="17" s="1"/>
  <c r="F15" i="2"/>
  <c r="AC85" i="10"/>
  <c r="AD85" i="10"/>
  <c r="O8" i="6"/>
  <c r="O16" i="6"/>
  <c r="O7" i="6"/>
  <c r="O16" i="3"/>
  <c r="J8" i="17"/>
  <c r="O7" i="3"/>
  <c r="O8" i="3"/>
  <c r="J9" i="17"/>
  <c r="D25" i="17"/>
  <c r="D28" i="17"/>
  <c r="D17" i="17"/>
  <c r="D18" i="17"/>
  <c r="D19" i="17"/>
  <c r="D21" i="17"/>
  <c r="D22" i="17"/>
  <c r="D23" i="17"/>
  <c r="D24" i="17"/>
  <c r="D26" i="17"/>
  <c r="D20" i="17"/>
  <c r="D27" i="17"/>
  <c r="H10" i="17"/>
  <c r="H9" i="17"/>
  <c r="G7" i="3"/>
  <c r="G6" i="2"/>
  <c r="G10" i="2"/>
  <c r="G7" i="4"/>
  <c r="G11" i="5"/>
  <c r="G11" i="3"/>
  <c r="S6" i="2"/>
  <c r="O6" i="2"/>
  <c r="H11" i="17"/>
  <c r="F47" i="8"/>
  <c r="C8" i="17"/>
  <c r="C6" i="2"/>
  <c r="E21" i="17"/>
  <c r="E22" i="17"/>
  <c r="E24" i="17"/>
  <c r="E19" i="17"/>
  <c r="E26" i="17"/>
  <c r="E25" i="17"/>
  <c r="E17" i="17"/>
  <c r="E18" i="17"/>
  <c r="E20" i="17"/>
  <c r="E23" i="17"/>
  <c r="E27" i="17"/>
  <c r="E28" i="17"/>
  <c r="H8" i="17"/>
  <c r="S12" i="6"/>
  <c r="G11" i="17"/>
  <c r="G10" i="17"/>
  <c r="K10" i="2"/>
  <c r="S12" i="4"/>
  <c r="S7" i="2"/>
  <c r="S10" i="5"/>
  <c r="S12" i="5" s="1"/>
  <c r="S12" i="3"/>
  <c r="G11" i="6"/>
  <c r="G11" i="4"/>
  <c r="K11" i="2"/>
  <c r="K6" i="2"/>
  <c r="K7" i="2"/>
  <c r="C10" i="2"/>
  <c r="G7" i="5"/>
  <c r="D6" i="19" l="1" a="1"/>
  <c r="D6" i="19" s="1"/>
  <c r="V25" i="17" s="1"/>
  <c r="K29" i="17"/>
  <c r="L29" i="17"/>
  <c r="B8" i="19" a="1"/>
  <c r="B8" i="19" s="1"/>
  <c r="T27" i="17" s="1"/>
  <c r="B7" i="19" a="1"/>
  <c r="B7" i="19" s="1"/>
  <c r="T26" i="17" s="1"/>
  <c r="D7" i="19" a="1"/>
  <c r="D7" i="19" s="1"/>
  <c r="V26" i="17" s="1"/>
  <c r="D9" i="19" a="1"/>
  <c r="D9" i="19" s="1"/>
  <c r="V28" i="17" s="1"/>
  <c r="D8" i="19" a="1"/>
  <c r="D8" i="19" s="1"/>
  <c r="V27" i="17" s="1"/>
  <c r="C10" i="19" a="1"/>
  <c r="C10" i="19" s="1"/>
  <c r="U29" i="17" s="1"/>
  <c r="D10" i="19" a="1"/>
  <c r="D10" i="19" s="1"/>
  <c r="V29" i="17" s="1"/>
  <c r="C7" i="19" a="1"/>
  <c r="C7" i="19" s="1"/>
  <c r="U26" i="17" s="1"/>
  <c r="B9" i="19" a="1"/>
  <c r="B9" i="19" s="1"/>
  <c r="T28" i="17" s="1"/>
  <c r="C8" i="19" a="1"/>
  <c r="C8" i="19" s="1"/>
  <c r="U27" i="17" s="1"/>
  <c r="C9" i="19" a="1"/>
  <c r="C9" i="19" s="1"/>
  <c r="B6" i="19" a="1"/>
  <c r="B6" i="19" s="1"/>
  <c r="T25" i="17" s="1"/>
  <c r="O9" i="17"/>
  <c r="O8" i="17"/>
  <c r="L10" i="17"/>
  <c r="P9" i="17"/>
  <c r="K11" i="17"/>
  <c r="N10" i="17"/>
  <c r="D12" i="17"/>
  <c r="X12" i="17"/>
  <c r="N8" i="17"/>
  <c r="P8" i="17"/>
  <c r="F12" i="17"/>
  <c r="N11" i="17"/>
  <c r="N9" i="17"/>
  <c r="L11" i="17"/>
  <c r="AB7" i="17"/>
  <c r="AB10" i="17" s="1"/>
  <c r="K3" i="17" s="1"/>
  <c r="E10" i="17"/>
  <c r="Q11" i="17"/>
  <c r="U21" i="17"/>
  <c r="R21" i="17"/>
  <c r="T21" i="17"/>
  <c r="Q21" i="17"/>
  <c r="O14" i="2"/>
  <c r="K10" i="17"/>
  <c r="P11" i="17"/>
  <c r="Q9" i="17"/>
  <c r="Q10" i="17"/>
  <c r="Q8" i="17"/>
  <c r="R9" i="17"/>
  <c r="I12" i="17"/>
  <c r="U12" i="17" s="1"/>
  <c r="J11" i="17"/>
  <c r="J10" i="17"/>
  <c r="K8" i="17"/>
  <c r="R8" i="17"/>
  <c r="L8" i="17"/>
  <c r="O15" i="2"/>
  <c r="M8" i="17"/>
  <c r="G11" i="2"/>
  <c r="G7" i="2"/>
  <c r="O11" i="2"/>
  <c r="O7" i="2"/>
  <c r="M9" i="17"/>
  <c r="G23" i="17"/>
  <c r="G28" i="17"/>
  <c r="K9" i="17"/>
  <c r="L9" i="17"/>
  <c r="C12" i="17"/>
  <c r="G24" i="17"/>
  <c r="G26" i="17"/>
  <c r="G19" i="17"/>
  <c r="G20" i="17"/>
  <c r="G22" i="17"/>
  <c r="G18" i="17"/>
  <c r="G17" i="17"/>
  <c r="G21" i="17"/>
  <c r="G25" i="17"/>
  <c r="G27" i="17"/>
  <c r="S11" i="2"/>
  <c r="O10" i="2"/>
  <c r="O12" i="2" s="1"/>
  <c r="S10" i="2"/>
  <c r="S12" i="2" s="1"/>
  <c r="P10" i="17"/>
  <c r="M10" i="17"/>
  <c r="G12" i="17"/>
  <c r="M11" i="17"/>
  <c r="H12" i="17"/>
  <c r="K12" i="2"/>
  <c r="K8" i="2"/>
  <c r="E20" i="19" l="1"/>
  <c r="U28" i="17"/>
  <c r="E18" i="19"/>
  <c r="E19" i="19"/>
  <c r="O10" i="17"/>
  <c r="N12" i="17"/>
  <c r="O16" i="2"/>
  <c r="O17" i="2"/>
  <c r="AB13" i="17"/>
  <c r="AB11" i="17"/>
  <c r="R11" i="17"/>
  <c r="R10" i="17"/>
  <c r="J12" i="17"/>
  <c r="Q12" i="17"/>
  <c r="L12" i="17"/>
  <c r="K12" i="17"/>
  <c r="M12" i="17"/>
  <c r="P12" i="17"/>
  <c r="R12" i="17" l="1"/>
  <c r="C11" i="6"/>
  <c r="C7" i="6"/>
  <c r="C7" i="2" s="1"/>
  <c r="E11" i="17" l="1"/>
  <c r="C11" i="2"/>
  <c r="O11" i="17" l="1"/>
  <c r="E12" i="17"/>
  <c r="O12" i="17" s="1"/>
  <c r="AM47"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tc={2964B396-2FE6-4FEB-B95E-2BA7F2EF9A48}</author>
  </authors>
  <commentList>
    <comment ref="X7" authorId="0" shapeId="0" xr:uid="{2964B396-2FE6-4FEB-B95E-2BA7F2EF9A48}">
      <text>
        <t xml:space="preserve">[Threaded comment]
Your version of Excel allows you to read this threaded comment; however, any edits to it will get removed if the file is opened in a newer version of Excel. Learn more: https://go.microsoft.com/fwlink/?linkid=870924
Comment:
    Win Rate (Decided): Won Net New ACV ÷ (Won + Lost ACV) over the last 18 months. Only includes deals that reached a final decision, open pipeline is excluded. Higher = better close quality on decided deals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tc={62E256A9-08C5-420B-9CDE-C9092E426AEA}</author>
  </authors>
  <commentList>
    <comment ref="Z41" authorId="0" shapeId="0" xr:uid="{62E256A9-08C5-420B-9CDE-C9092E426AEA}">
      <text>
        <t>[Threaded comment]
Your version of Excel allows you to read this threaded comment; however, any edits to it will get removed if the file is opened in a newer version of Excel. Learn more: https://go.microsoft.com/fwlink/?linkid=870924
Comment:
    4 leads according to SFDC report- https://intradiem2023.lightning.force.com/lightning/r/Report/00OV5000000YVB3MAO/view?queryScope=userFolders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tc={88D1A5DC-6603-4DBE-9E30-5AE8DA4F5859}</author>
    <author>Ellen Hoy</author>
  </authors>
  <commentList>
    <comment ref="G2" authorId="0" shapeId="0" xr:uid="{88D1A5DC-6603-4DBE-9E30-5AE8DA4F5859}">
      <text>
        <t xml:space="preserve">[Threaded comment]
Your version of Excel allows you to read this threaded comment; however, any edits to it will get removed if the file is opened in a newer version of Excel. Learn more: https://go.microsoft.com/fwlink/?linkid=870924
Comment:
    First touch (11/2/22): Primary contact, Kimberly Wilkerson, converted on ROI calculator form via google ad
11/8/24: Oscar Barnes demo request via google ad
Reply:
    10/8/24: Galina Petrenko demo req via Bing Organic
</t>
      </text>
    </comment>
    <comment ref="F14" authorId="1" shapeId="0" xr:uid="{BD755D5E-1219-4BFA-9BBD-FC14D86C9772}">
      <text>
        <r>
          <rPr>
            <sz val="11"/>
            <color theme="1"/>
            <rFont val="Aptos Narrow"/>
            <family val="2"/>
            <scheme val="minor"/>
          </rPr>
          <t xml:space="preserve">Ellen Hoy:
UPT addtl  opp 9/15
34560 ACV
65000 SVC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FA33CC-BB85-4919-BDD3-09FDDA75AEE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<sst xmlns="http://schemas.openxmlformats.org/spreadsheetml/2006/main" count="17643" uniqueCount="5095">
  <si>
    <t>Marketing Performance Dashboard</t>
  </si>
  <si>
    <t>Report Month End</t>
  </si>
  <si>
    <t>Rolling Months</t>
  </si>
  <si>
    <t>Reporting Month Total Spend</t>
  </si>
  <si>
    <t>Channel</t>
  </si>
  <si>
    <t>Spend</t>
  </si>
  <si>
    <t>MQL</t>
  </si>
  <si>
    <t>MQA</t>
  </si>
  <si>
    <t>Meetings</t>
  </si>
  <si>
    <t>Opps Created</t>
  </si>
  <si>
    <t>Total Amount Created</t>
  </si>
  <si>
    <t>ACV Created</t>
  </si>
  <si>
    <t>Late Stage</t>
  </si>
  <si>
    <t>Cost/MQL</t>
  </si>
  <si>
    <t>Cost/Meeting</t>
  </si>
  <si>
    <t>Cost/Opp</t>
  </si>
  <si>
    <t>Meeting Rate (Meetings/MQL)</t>
  </si>
  <si>
    <t>Meeting Rate (Meetings/MQA)</t>
  </si>
  <si>
    <t>Opp Rate</t>
  </si>
  <si>
    <t>Spend / $ Created</t>
  </si>
  <si>
    <t>Spend / $ Late Stage</t>
  </si>
  <si>
    <t>Won Deals</t>
  </si>
  <si>
    <t>Won Net New ACV</t>
  </si>
  <si>
    <t>ACV Conversion %</t>
  </si>
  <si>
    <t>Total Amount Won</t>
  </si>
  <si>
    <t>Total Lost ACV</t>
  </si>
  <si>
    <t>Win Rate (Decided)</t>
  </si>
  <si>
    <t>Digital</t>
  </si>
  <si>
    <t>Prior Month Spend</t>
  </si>
  <si>
    <t>Events</t>
  </si>
  <si>
    <t>Cold</t>
  </si>
  <si>
    <t>MoM%</t>
  </si>
  <si>
    <t>Alliances</t>
  </si>
  <si>
    <t>arrow</t>
  </si>
  <si>
    <t>TOTAL</t>
  </si>
  <si>
    <t>comparison text</t>
  </si>
  <si>
    <t>red helper</t>
  </si>
  <si>
    <t>green helper</t>
  </si>
  <si>
    <t>12-Month Trend</t>
  </si>
  <si>
    <t>MoM Spend by Channel</t>
  </si>
  <si>
    <t>Opp Quality by Channel</t>
  </si>
  <si>
    <t>channel spend helper</t>
  </si>
  <si>
    <t>Month Created</t>
  </si>
  <si>
    <t>Amount Created</t>
  </si>
  <si>
    <t>Avg Deal Size</t>
  </si>
  <si>
    <t>% Change</t>
  </si>
  <si>
    <t>Open Opps</t>
  </si>
  <si>
    <t>Avg ACV</t>
  </si>
  <si>
    <t>% with ACV &gt; $0</t>
  </si>
  <si>
    <t>Avg Opp Age (days)</t>
  </si>
  <si>
    <t>Avg Stage Duration</t>
  </si>
  <si>
    <t>Late Stage %</t>
  </si>
  <si>
    <t>Cold Outreach</t>
  </si>
  <si>
    <t xml:space="preserve"> </t>
  </si>
  <si>
    <t>Aging &amp; Velocity by Channel</t>
  </si>
  <si>
    <t>Aging &amp; Velocity — Median (Outlier-Resistant)</t>
  </si>
  <si>
    <t>Days to Late Stage</t>
  </si>
  <si>
    <t>Late Stage to Won</t>
  </si>
  <si>
    <t>Days to Won</t>
  </si>
  <si>
    <t>Avg Open Opp Age</t>
  </si>
  <si>
    <t>Avg Open Late</t>
  </si>
  <si>
    <t>Late Stage Deals 30+ Days</t>
  </si>
  <si>
    <t>Median Days to Late Stage</t>
  </si>
  <si>
    <t>Median Late Stage to Won</t>
  </si>
  <si>
    <t>Median Days to Won</t>
  </si>
  <si>
    <t>Median Open Opp Age</t>
  </si>
  <si>
    <t>Median Open Late</t>
  </si>
  <si>
    <t>Open tab →</t>
  </si>
  <si>
    <t>Aging &amp; Velocity — Outlier &amp; Median Detail</t>
  </si>
  <si>
    <t>Backs the Aging &amp; Velocity by Channel section on the Marketing Dashboard tab. Flip 'Include in Aging Calc?' below to include/exclude a flagged deal from the headline averages.</t>
  </si>
  <si>
    <t>Median (Outlier-Resistant View)</t>
  </si>
  <si>
    <t>Outlier Watch List — Aging &amp; Velocity</t>
  </si>
  <si>
    <t>Opportunity / Account</t>
  </si>
  <si>
    <t>Metric Flagged</t>
  </si>
  <si>
    <t>Days</t>
  </si>
  <si>
    <t>Why It's Flagged</t>
  </si>
  <si>
    <t>Include in Aging Calc?</t>
  </si>
  <si>
    <t>Recommendation</t>
  </si>
  <si>
    <t>Opp ID (lookup key)</t>
  </si>
  <si>
    <t>TIAA-CREF - NCC - Post Pilot / TIAA-CREF</t>
  </si>
  <si>
    <t>Avg Open Opp Age &amp; Avg Open Late</t>
  </si>
  <si>
    <t>Exclude — n=1, not a real average</t>
  </si>
  <si>
    <t>006V50000052eDA</t>
  </si>
  <si>
    <t>Toyota Financial / Toyota Financial Services Corporation</t>
  </si>
  <si>
    <t>Exclude — stale, recommend reviewing for close-out</t>
  </si>
  <si>
    <t>006V50000052Y5D</t>
  </si>
  <si>
    <t>Cardworks / CardWorks Inc</t>
  </si>
  <si>
    <t>006V50000052SJD</t>
  </si>
  <si>
    <t>Humana - BPO Post Pilot / Humana</t>
  </si>
  <si>
    <t>006V50000052Zud</t>
  </si>
  <si>
    <t>RACV-Insurance + Roadside - Post Pilot / RACV</t>
  </si>
  <si>
    <t>Days to Late Stage &amp; Days to Won</t>
  </si>
  <si>
    <t>Keep — real closed-won deal; flagged for visibility only</t>
  </si>
  <si>
    <t>006V50000052bFG</t>
  </si>
  <si>
    <t>BSW Health - Phase 1 / Baylor Scott &amp; White Health</t>
  </si>
  <si>
    <t>006V50000052Obr</t>
  </si>
  <si>
    <t>SCAN Health / SCAN Health Plan</t>
  </si>
  <si>
    <t>006V500000DoExx</t>
  </si>
  <si>
    <t>Pipeline Council - BIG PICTURE</t>
  </si>
  <si>
    <t>Running Cohort</t>
  </si>
  <si>
    <t>Months</t>
  </si>
  <si>
    <t>Month</t>
  </si>
  <si>
    <t>MQL / MQA</t>
  </si>
  <si>
    <t>MEETINGS</t>
  </si>
  <si>
    <t>OPPORTUNITIES</t>
  </si>
  <si>
    <t>LATE STAGE</t>
  </si>
  <si>
    <t>CLOSED WON</t>
  </si>
  <si>
    <t>Last Month</t>
  </si>
  <si>
    <t>Created</t>
  </si>
  <si>
    <t>Moved</t>
  </si>
  <si>
    <t>Won</t>
  </si>
  <si>
    <t>MQL to Meeting</t>
  </si>
  <si>
    <t>ACV $</t>
  </si>
  <si>
    <t>Meeting to Opp</t>
  </si>
  <si>
    <t>Running Total</t>
  </si>
  <si>
    <t>% in Late</t>
  </si>
  <si>
    <t>% in Closed</t>
  </si>
  <si>
    <t>Last Month Spend</t>
  </si>
  <si>
    <t xml:space="preserve">$1 Spend drives </t>
  </si>
  <si>
    <t>In new ACV Pipeline</t>
  </si>
  <si>
    <t>Running Spend</t>
  </si>
  <si>
    <t>In Late Stage ACV Pipeline</t>
  </si>
  <si>
    <t>$1 Spend Drives</t>
  </si>
  <si>
    <t xml:space="preserve">In new ACV </t>
  </si>
  <si>
    <t>Includes all spend, activities and results from Alliances, Digital, Events and Cold Outreach</t>
  </si>
  <si>
    <t>Total Amount</t>
  </si>
  <si>
    <t>Total Count</t>
  </si>
  <si>
    <t>Includes all spend, activities and results from Digital ONLY</t>
  </si>
  <si>
    <t>MQLs:</t>
  </si>
  <si>
    <t>Meetings:</t>
  </si>
  <si>
    <t>Created:</t>
  </si>
  <si>
    <t>Late Stage:</t>
  </si>
  <si>
    <t>Closed Won:</t>
  </si>
  <si>
    <t>Hubspot</t>
  </si>
  <si>
    <t>Instructure</t>
  </si>
  <si>
    <t>Alorica - Front Office tranche 2</t>
  </si>
  <si>
    <t>Blue Cross Blue Shield of NC - 553 BPO</t>
  </si>
  <si>
    <t>TIAA-CREF - NCC - Pilot</t>
  </si>
  <si>
    <t>InDrive</t>
  </si>
  <si>
    <t>Alorica - Front Office tranche 3</t>
  </si>
  <si>
    <t>Principal Financial Group</t>
  </si>
  <si>
    <t>Indrive</t>
  </si>
  <si>
    <t>Verity Credit Union</t>
  </si>
  <si>
    <t>Verizon</t>
  </si>
  <si>
    <t>Total Opps</t>
  </si>
  <si>
    <t>Includes all spend, activities and results from Events ONLY</t>
  </si>
  <si>
    <t>Includes all spend, activities and results from Cold Outreach ONLY (MemoryBlue / Nathan)</t>
  </si>
  <si>
    <t>Includes all spend, activities and results from Alliances ONLY</t>
  </si>
  <si>
    <t>Partner</t>
  </si>
  <si>
    <t>Date</t>
  </si>
  <si>
    <t>Type</t>
  </si>
  <si>
    <t>Five9/SKO</t>
  </si>
  <si>
    <t>Travel</t>
  </si>
  <si>
    <t>Connex</t>
  </si>
  <si>
    <t>Avaya</t>
  </si>
  <si>
    <t>Alvaria</t>
  </si>
  <si>
    <t>Call Design</t>
  </si>
  <si>
    <t>Genesys</t>
  </si>
  <si>
    <t>Five 9</t>
  </si>
  <si>
    <t>3 Silver Sponsorship passes</t>
  </si>
  <si>
    <t>Silver Sponsorship</t>
  </si>
  <si>
    <t>SagesS3</t>
  </si>
  <si>
    <t>Retainer</t>
  </si>
  <si>
    <t>Gold Sponsorship</t>
  </si>
  <si>
    <t>Exhibit Buildout for Contact Center Expo in London Co-located with Alvaria</t>
  </si>
  <si>
    <t>Gold CX Summit Sponsorship</t>
  </si>
  <si>
    <t>Silver SKO Sponsorship</t>
  </si>
  <si>
    <t>Genesys London Travel</t>
  </si>
  <si>
    <t>Enterprise Connect Partner Program</t>
  </si>
  <si>
    <t>Five9</t>
  </si>
  <si>
    <t>Five9 Partner Powered Reception travel and event spend</t>
  </si>
  <si>
    <t>Genesys Dallas</t>
  </si>
  <si>
    <t>Allan Taxi/Public Transportation/Ride Sharing April Claim Taxi to airport for Genesys event in London</t>
  </si>
  <si>
    <t>Allan Taxi/Public Transportation/Ride Sharing April Claim Taxi from airport for Genesys event in London</t>
  </si>
  <si>
    <t>Genesys Xperience Travel</t>
  </si>
  <si>
    <t>Alvaria CCW Business Meal</t>
  </si>
  <si>
    <t>CCW Partner Conference Travel</t>
  </si>
  <si>
    <t>Company</t>
  </si>
  <si>
    <t>Week End</t>
  </si>
  <si>
    <t>Date Converted</t>
  </si>
  <si>
    <t>Notes</t>
  </si>
  <si>
    <t>Job Title</t>
  </si>
  <si>
    <t>First Name</t>
  </si>
  <si>
    <t>Last Name</t>
  </si>
  <si>
    <t>Form</t>
  </si>
  <si>
    <t>Assigned To?</t>
  </si>
  <si>
    <t>Status</t>
  </si>
  <si>
    <t>Meeting Scheduled?</t>
  </si>
  <si>
    <t>Email</t>
  </si>
  <si>
    <t>Source</t>
  </si>
  <si>
    <t>Source Referrer / comments</t>
  </si>
  <si>
    <t>Outcome?</t>
  </si>
  <si>
    <t>Oppty</t>
  </si>
  <si>
    <t xml:space="preserve">Stage </t>
  </si>
  <si>
    <t>Amount</t>
  </si>
  <si>
    <t>SFDC Record</t>
  </si>
  <si>
    <t>Form Comments</t>
  </si>
  <si>
    <t>Altice</t>
  </si>
  <si>
    <t>Julia</t>
  </si>
  <si>
    <t>Fagan</t>
  </si>
  <si>
    <t xml:space="preserve">Form Submission: Website - Get In Touch Form 2020 - USE </t>
  </si>
  <si>
    <t>Julfaga@alticeusa.com</t>
  </si>
  <si>
    <t>Website</t>
  </si>
  <si>
    <t>EE</t>
  </si>
  <si>
    <t xml:space="preserve">Lee </t>
  </si>
  <si>
    <t>Waller</t>
  </si>
  <si>
    <t>Form: SWPP Webinar 5.2.23 - Watch On-Demand Form US</t>
  </si>
  <si>
    <t>lee.2.waller@ee.co.uk</t>
  </si>
  <si>
    <t>Webinar on Demand</t>
  </si>
  <si>
    <t xml:space="preserve">Bank of Scotland </t>
  </si>
  <si>
    <t xml:space="preserve">Antony </t>
  </si>
  <si>
    <t xml:space="preserve">McCarthy </t>
  </si>
  <si>
    <t xml:space="preserve">Form: TEI Report </t>
  </si>
  <si>
    <t xml:space="preserve">antonymccarthy@bankofscotland.co.uk </t>
  </si>
  <si>
    <t>TD Bank</t>
  </si>
  <si>
    <t>Genesys WFO Product Owner</t>
  </si>
  <si>
    <t xml:space="preserve">Bruno </t>
  </si>
  <si>
    <t xml:space="preserve">Menses </t>
  </si>
  <si>
    <t>Form UK Resource Increase Agent Engagement</t>
  </si>
  <si>
    <t>WorldPay</t>
  </si>
  <si>
    <t>Enterprise Solution Architect </t>
  </si>
  <si>
    <t>Jim</t>
  </si>
  <si>
    <t>Ritter</t>
  </si>
  <si>
    <t xml:space="preserve">Website Lead - contact us </t>
  </si>
  <si>
    <t>james.ritter@worldpay.com</t>
  </si>
  <si>
    <t>Convey Health Solutions</t>
  </si>
  <si>
    <t>Vice President, Product &amp; Service Delivery</t>
  </si>
  <si>
    <t xml:space="preserve">Ameerah </t>
  </si>
  <si>
    <t>Murray</t>
  </si>
  <si>
    <t>Form: Healthcare Customer Story (lander) - WebEx Modal Confirmation w/ button</t>
  </si>
  <si>
    <t>amurray1@conveyhs.com</t>
  </si>
  <si>
    <t>Web Personalization</t>
  </si>
  <si>
    <t>Nexon Asia Pacific</t>
  </si>
  <si>
    <t>Malcolm</t>
  </si>
  <si>
    <t>Thompson</t>
  </si>
  <si>
    <t>Website - Contact Us - USE</t>
  </si>
  <si>
    <t>Intraday Manager</t>
  </si>
  <si>
    <t xml:space="preserve">Dawn </t>
  </si>
  <si>
    <t xml:space="preserve">Squires </t>
  </si>
  <si>
    <t xml:space="preserve">Form  Webinar The Human Side of AI </t>
  </si>
  <si>
    <t>dawn.squires@td.com</t>
  </si>
  <si>
    <t xml:space="preserve">Verizon </t>
  </si>
  <si>
    <t>Cslt-WkForce Plng&amp;Anlys</t>
  </si>
  <si>
    <t xml:space="preserve">Eric </t>
  </si>
  <si>
    <t xml:space="preserve">McCreery </t>
  </si>
  <si>
    <t>Form: Website - Contact Us - USE</t>
  </si>
  <si>
    <t>eric.mccreery@verizonwireless.com</t>
  </si>
  <si>
    <t>Meeting Scheduled</t>
  </si>
  <si>
    <t>Current Opp</t>
  </si>
  <si>
    <t xml:space="preserve">Meeting scheduled </t>
  </si>
  <si>
    <t>NZ Airlines</t>
  </si>
  <si>
    <t>Nick</t>
  </si>
  <si>
    <t>Baldock</t>
  </si>
  <si>
    <t>Form Handler: ROI Calc USE (handler)</t>
  </si>
  <si>
    <t>nick.baldock@airnz.co.nz</t>
  </si>
  <si>
    <t>Wayfair</t>
  </si>
  <si>
    <t xml:space="preserve"> Jason</t>
  </si>
  <si>
    <t>Landis-Spuur</t>
  </si>
  <si>
    <t>Form: Website - Forrester TEI Report 2022</t>
  </si>
  <si>
    <t>jlandisspuur@wayfair.com</t>
  </si>
  <si>
    <t>Sutherland Global</t>
  </si>
  <si>
    <t>Allen</t>
  </si>
  <si>
    <t>Larsen</t>
  </si>
  <si>
    <t>Form: Website - Get In Touch Form 2020 - USE</t>
  </si>
  <si>
    <t>allen.larsen@sutherlandglobal.com</t>
  </si>
  <si>
    <t>1-800 Got Junk</t>
  </si>
  <si>
    <t xml:space="preserve">Greg </t>
  </si>
  <si>
    <t>Brown</t>
  </si>
  <si>
    <t>Form: Website - Attrition Calculator</t>
  </si>
  <si>
    <t>greg.brown@1800gotjunk.com</t>
  </si>
  <si>
    <t>Achmea</t>
  </si>
  <si>
    <t>Sr Business Innovation Manager</t>
  </si>
  <si>
    <t>Jeroen</t>
  </si>
  <si>
    <t>Bartelse</t>
  </si>
  <si>
    <t>jeroen.bartelse@achmea.nl</t>
  </si>
  <si>
    <t>TEI Report, Attrition Calc, Contact Us (Apr 24-25, 2024)</t>
  </si>
  <si>
    <t>Christian Foumboua</t>
  </si>
  <si>
    <t>Associated with Burnout Oppty 5/2</t>
  </si>
  <si>
    <t>https://intradiem2023.lightning.force.com/lightning/r/Contact/003V5000008gSwFIAU/view</t>
  </si>
  <si>
    <t>TTEC</t>
  </si>
  <si>
    <t xml:space="preserve">Maurilo </t>
  </si>
  <si>
    <t xml:space="preserve">Borges </t>
  </si>
  <si>
    <t>Form Submission: Website Download - WP - How AI May Help with Contact Center Operations - 2023 update (form)</t>
  </si>
  <si>
    <t>maurilo.borges@ttec.com</t>
  </si>
  <si>
    <t>Program Manager/Engagement Executive - Professional Services</t>
  </si>
  <si>
    <t>Ryan</t>
  </si>
  <si>
    <t>Ballew</t>
  </si>
  <si>
    <t>Form: Website - Forrester TEI Report 2022 - new site</t>
  </si>
  <si>
    <t>ryan.ballew@verizon.com</t>
  </si>
  <si>
    <t xml:space="preserve">Nick assigned to Verizon. confirm if MQL </t>
  </si>
  <si>
    <t>US Cellular</t>
  </si>
  <si>
    <t>Workforce Forcasting Analyst</t>
  </si>
  <si>
    <t>Caitlan</t>
  </si>
  <si>
    <t>Johnston</t>
  </si>
  <si>
    <t>Form: SWPP Cigna Webinar 4.4.24 - Watch On-Demand Form US</t>
  </si>
  <si>
    <t>caitlan.johnston@uscellular.com</t>
  </si>
  <si>
    <t>AIA Austraila</t>
  </si>
  <si>
    <t xml:space="preserve">Senior Manager Workforce Planning </t>
  </si>
  <si>
    <t>Scott</t>
  </si>
  <si>
    <t>Cumming</t>
  </si>
  <si>
    <t>scott.cumming@aia.com</t>
  </si>
  <si>
    <t>https://www.google.com/
Google Google Natural Search
https://go.intradiem.com/</t>
  </si>
  <si>
    <t>Covetrus</t>
  </si>
  <si>
    <t>Anna</t>
  </si>
  <si>
    <t>Sanders</t>
  </si>
  <si>
    <t xml:space="preserve">Form Submission: Website US - Demo Requested </t>
  </si>
  <si>
    <t>anna.sanders@covetrus.com</t>
  </si>
  <si>
    <t xml:space="preserve">Steve </t>
  </si>
  <si>
    <t>Miles</t>
  </si>
  <si>
    <t xml:space="preserve">Form Submission: Website Download - WP - How AI May Help with Contact Center Operations - 2023 update (form) </t>
  </si>
  <si>
    <t>steve.miles@ttec.com </t>
  </si>
  <si>
    <t>https://www.google.com/
Google Google Natural Search *searched for "architecture -  intradiem"</t>
  </si>
  <si>
    <t>MailChimp</t>
  </si>
  <si>
    <t>Senior Manager Product Support/ BPO Vendor management; https://www.linkedin.com/in/estela-turqui-28104643</t>
  </si>
  <si>
    <t xml:space="preserve">Estela </t>
  </si>
  <si>
    <t>Turqui</t>
  </si>
  <si>
    <t xml:space="preserve">Linkedin Ad: ops-ebook </t>
  </si>
  <si>
    <t>Re-MQL July'25</t>
  </si>
  <si>
    <t>eturqui@rsglab.com</t>
  </si>
  <si>
    <t>LinkedIn Ad</t>
  </si>
  <si>
    <t>Nurture</t>
  </si>
  <si>
    <t>https://intradiem2023.lightning.force.com/lightning/r/Lead/00QV5000007XSb0MAG/view</t>
  </si>
  <si>
    <t>Beyond Financial</t>
  </si>
  <si>
    <t>Senior Manager Strategic Workforce Planning</t>
  </si>
  <si>
    <t>Ana</t>
  </si>
  <si>
    <t>Hughey</t>
  </si>
  <si>
    <t xml:space="preserve">Form Handler: Intradiem_TEI-Forrester-Report_US </t>
  </si>
  <si>
    <t>unconfirmed - likely organic. Came from unbounce lander</t>
  </si>
  <si>
    <t>ahughey@beyondfinance.com</t>
  </si>
  <si>
    <t>https://intradiem2023.lightning.force.com/lightning/r/Lead/00QV5000008I4LsMAK/view</t>
  </si>
  <si>
    <t>HomeServe USA</t>
  </si>
  <si>
    <t>VP Total Rewards &amp; People Operations; https://www.linkedin.com/in/ktobrien; in progress from Vic</t>
  </si>
  <si>
    <t xml:space="preserve">Kevin </t>
  </si>
  <si>
    <t>O'Brien</t>
  </si>
  <si>
    <t>Brady</t>
  </si>
  <si>
    <t>kevin.obrien@homeserveusa.com</t>
  </si>
  <si>
    <t>Oppty (created Jan'25) this contact not associated</t>
  </si>
  <si>
    <t xml:space="preserve">HomeServe USA </t>
  </si>
  <si>
    <t>Qualification</t>
  </si>
  <si>
    <t>https://intradiem2023.lightning.force.com/lightning/r/Lead/00QV5000008Rr6rMAC/view</t>
  </si>
  <si>
    <t>Cardinal Health</t>
  </si>
  <si>
    <t>Manager; Quality Performance</t>
  </si>
  <si>
    <t>Connie</t>
  </si>
  <si>
    <t>Brock</t>
  </si>
  <si>
    <t>constance.brock@rollins.com</t>
  </si>
  <si>
    <t>https://intradiem2023.lightning.force.com/lightning/r/Lead/00QV5000008oH2fMAE/view</t>
  </si>
  <si>
    <t>Vice President, Delivery Transformation</t>
  </si>
  <si>
    <t>Michelle</t>
  </si>
  <si>
    <t>Fox</t>
  </si>
  <si>
    <t>Organic Search</t>
  </si>
  <si>
    <t>Form: Website - Demo Form</t>
  </si>
  <si>
    <t>Organic (duckduckgo.com)</t>
  </si>
  <si>
    <t>Mike Reagan</t>
  </si>
  <si>
    <t>michelle.fox@ttec.com</t>
  </si>
  <si>
    <t>Working</t>
  </si>
  <si>
    <t>Hyatt Hotel Companies</t>
  </si>
  <si>
    <t>SVP Contact Centers &amp; Operations</t>
  </si>
  <si>
    <t>Anderson</t>
  </si>
  <si>
    <t>Hernandez, MBA</t>
  </si>
  <si>
    <t>preexisting contact. not created as lead via LI ad submission due to this? intially sales invited to access online demo (2022)</t>
  </si>
  <si>
    <t>Anhernandez@algvacations.com</t>
  </si>
  <si>
    <t>https://intradiem2023.lightning.force.com/lightning/r/Contact/003V500000682J5IAI/view</t>
  </si>
  <si>
    <t>Cambia Health Solutions</t>
  </si>
  <si>
    <t>Director Medicare Operations</t>
  </si>
  <si>
    <t>Dana</t>
  </si>
  <si>
    <t>Franke</t>
  </si>
  <si>
    <t>dana.franke@regence.com</t>
  </si>
  <si>
    <t>https://intradiem2023.lightning.force.com/lightning/r/Lead/00QV5000009KFCEMA4/view</t>
  </si>
  <si>
    <t xml:space="preserve">Michelle </t>
  </si>
  <si>
    <t>Form: Website Lead - Demo Form</t>
  </si>
  <si>
    <t>duckduckgo.com</t>
  </si>
  <si>
    <t>Towergate Insurance Brokers</t>
  </si>
  <si>
    <t>Contact Center Operations Director</t>
  </si>
  <si>
    <t>Paul</t>
  </si>
  <si>
    <t>Roberts</t>
  </si>
  <si>
    <t>urn:li:sponsoredCreative:457243374</t>
  </si>
  <si>
    <t>https://intradiem2023.lightning.force.com/lightning/r/Lead/00QV500000AdM2wMAF/view</t>
  </si>
  <si>
    <t xml:space="preserve">Domestic and General </t>
  </si>
  <si>
    <t>Director of Contact Centre Operations - European Union</t>
  </si>
  <si>
    <t>Alison</t>
  </si>
  <si>
    <t>Comins</t>
  </si>
  <si>
    <t>alison.jones@domesticandgeneral.com</t>
  </si>
  <si>
    <t>https://intradiem2023.lightning.force.com/lightning/r/Lead/00QV5000006N85wMAC/view</t>
  </si>
  <si>
    <t>Highmark Health</t>
  </si>
  <si>
    <t>FEP Plan Executive and Commercial Customer Experience Leader</t>
  </si>
  <si>
    <t>Christina</t>
  </si>
  <si>
    <t>Palughi</t>
  </si>
  <si>
    <t> </t>
  </si>
  <si>
    <t>Towergate insurance brokers</t>
  </si>
  <si>
    <t>G4S</t>
  </si>
  <si>
    <t>Director of Operations</t>
  </si>
  <si>
    <t>Alexander</t>
  </si>
  <si>
    <t>Barr</t>
  </si>
  <si>
    <t>Christian</t>
  </si>
  <si>
    <t>alexander.barr@uk.g4s.com</t>
  </si>
  <si>
    <t>2 Oppty's on acct (unqualified)</t>
  </si>
  <si>
    <t>Qualfon</t>
  </si>
  <si>
    <t>VP Data Management and Analytics</t>
  </si>
  <si>
    <t>Galina</t>
  </si>
  <si>
    <t>Petrenko</t>
  </si>
  <si>
    <t>Website Lead - Demo Form</t>
  </si>
  <si>
    <t>Nate</t>
  </si>
  <si>
    <t>Qualified</t>
  </si>
  <si>
    <t>galina.petrenko@qualfon.com</t>
  </si>
  <si>
    <t>Bing Natural Search</t>
  </si>
  <si>
    <t>https://www.youtube.com/, https://chatgpt.com/, https://www.bing.com/</t>
  </si>
  <si>
    <t>OPPTY</t>
  </si>
  <si>
    <t>Qualfon - NL</t>
  </si>
  <si>
    <t>Discovery</t>
  </si>
  <si>
    <t>https://intradiem2023.lightning.force.com/lightning/r/Contact/003V500000FaktVIAR/view</t>
  </si>
  <si>
    <t>Mercy</t>
  </si>
  <si>
    <t>Autumn</t>
  </si>
  <si>
    <t>Frazier</t>
  </si>
  <si>
    <t>Nathan Belfield</t>
  </si>
  <si>
    <t>Autumn.frazier@mercy.net</t>
  </si>
  <si>
    <t>Thompson Reuters</t>
  </si>
  <si>
    <t>Senior Global Workforce Manager</t>
  </si>
  <si>
    <t>Jonathan</t>
  </si>
  <si>
    <t>Lim</t>
  </si>
  <si>
    <t>Form: Webinar 9.5.22 LB - Erlang-O Files Downloaded</t>
  </si>
  <si>
    <t>N/A</t>
  </si>
  <si>
    <t>Not assigned (prospect, not TAM)</t>
  </si>
  <si>
    <t>jonathan.lim@thomsonreuters.com</t>
  </si>
  <si>
    <t>Queued for wfm nurture</t>
  </si>
  <si>
    <t>https://intradiem2023.lightning.force.com/lightning/r/Lead/00QV500000B4wALMAZ/view</t>
  </si>
  <si>
    <t>Gainwell Technologies</t>
  </si>
  <si>
    <t>Director Workforce Management</t>
  </si>
  <si>
    <t>Dwight</t>
  </si>
  <si>
    <t>Simpson</t>
  </si>
  <si>
    <t>Vic passed to Haresh/Frank</t>
  </si>
  <si>
    <t>dwight.simpson@gainwelltechnologies.com</t>
  </si>
  <si>
    <t xml:space="preserve">Google Natural Search </t>
  </si>
  <si>
    <t>https://intradiem2023.lightning.force.com/lightning/r/Lead/00QV500000BI9eRMAT/view</t>
  </si>
  <si>
    <t>I have vetted this tool with another organization but interested in seeing fit in Gainwell. We leverage IEX for voice agents and Verint OM for non-voice agents. Looking for a demo to show team and possible R.O.I. to include for C Suite.</t>
  </si>
  <si>
    <t xml:space="preserve">HHA Hospital Medicine </t>
  </si>
  <si>
    <t>Director of Information Technology</t>
  </si>
  <si>
    <t>Akhil</t>
  </si>
  <si>
    <t>Danda</t>
  </si>
  <si>
    <t>areddy@hhamedicine.com</t>
  </si>
  <si>
    <t>Google Ad</t>
  </si>
  <si>
    <t>Promoted to Dir. IT</t>
  </si>
  <si>
    <t>Not Responsive</t>
  </si>
  <si>
    <t>confirm whether to add to ops nurture or circle back w/ nate</t>
  </si>
  <si>
    <t>https://intradiem2023.lightning.force.com/lightning/r/Lead/00QV500000BWtkbMAD/view</t>
  </si>
  <si>
    <t>2024-10-23 09:04:31 (PDT) I'm lookin g to auto9mate Front desk for my hospital clinic</t>
  </si>
  <si>
    <t>REI</t>
  </si>
  <si>
    <t>Assistant Manager of Operations</t>
  </si>
  <si>
    <t>Walter</t>
  </si>
  <si>
    <t>Rowland</t>
  </si>
  <si>
    <t>Contact Us</t>
  </si>
  <si>
    <t>wrowlan@rei.com</t>
  </si>
  <si>
    <t>no connect?</t>
  </si>
  <si>
    <t>Queued for ops nurture</t>
  </si>
  <si>
    <t>https://intradiem2023.lightning.force.com/lightning/r/Lead/00QV500000CBCRyMAP/view</t>
  </si>
  <si>
    <t>TIAA</t>
  </si>
  <si>
    <t>Director Channel Delivery &amp; Innovation</t>
  </si>
  <si>
    <t>Oscar</t>
  </si>
  <si>
    <t>Barnes</t>
  </si>
  <si>
    <t>Qualified - preexisting oppty</t>
  </si>
  <si>
    <t>obarnes@tiaa.org</t>
  </si>
  <si>
    <t>preexisting oppty</t>
  </si>
  <si>
    <t>TIAA-CREF - NCC</t>
  </si>
  <si>
    <t>Propose</t>
  </si>
  <si>
    <t>https://intradiem2023.lightning.force.com/lightning/r/Contact/003V500000ErlFHIAZ/view</t>
  </si>
  <si>
    <t>belairdirect</t>
  </si>
  <si>
    <t xml:space="preserve">Director Workforce Management </t>
  </si>
  <si>
    <t xml:space="preserve">Gary </t>
  </si>
  <si>
    <t>Ersan</t>
  </si>
  <si>
    <t>SQL</t>
  </si>
  <si>
    <t xml:space="preserve">gary.ersan@belairdirect.com </t>
  </si>
  <si>
    <t>Google Natural Search</t>
  </si>
  <si>
    <t>Belair Direct - NL</t>
  </si>
  <si>
    <t>https://intradiem2023.lightning.force.com/lightning/r/Contact/003V500000675FHIAY/view</t>
  </si>
  <si>
    <t>Marshmallow</t>
  </si>
  <si>
    <t>Senior Workforce Manager</t>
  </si>
  <si>
    <t>Chris</t>
  </si>
  <si>
    <t>Bateson</t>
  </si>
  <si>
    <t>DQ</t>
  </si>
  <si>
    <t>chris.bateson@marshmallow.co</t>
  </si>
  <si>
    <t>Size</t>
  </si>
  <si>
    <t>https://intradiem2023.lightning.force.com/lightning/r/Lead/00QV500000D6vgsMAB/view</t>
  </si>
  <si>
    <t>BetMGM</t>
  </si>
  <si>
    <t>Sr. Manager, Workforce Management</t>
  </si>
  <si>
    <t>Phillabaum</t>
  </si>
  <si>
    <t>ryan.phillabaum@betmgm.com</t>
  </si>
  <si>
    <t>OPPTY (2)</t>
  </si>
  <si>
    <t>BetMGM - Entain LOB</t>
  </si>
  <si>
    <t>https://intradiem2023.lightning.force.com/lightning/r/Contact/003V500000I7JtCIAV/view</t>
  </si>
  <si>
    <t>GE Appliances, a Haier company</t>
  </si>
  <si>
    <t>VP Director of Operation</t>
  </si>
  <si>
    <t xml:space="preserve">Jenifer </t>
  </si>
  <si>
    <t>Spurgeon</t>
  </si>
  <si>
    <t xml:space="preserve">LinkedIn Ad ebook- 5 charactersistc </t>
  </si>
  <si>
    <t>jenifer.spurgeon@geappliances.com</t>
  </si>
  <si>
    <t>https://intradiem2023.lightning.force.com/lightning/r/Contact/003V50000067VW1IAM/view</t>
  </si>
  <si>
    <t>Disney</t>
  </si>
  <si>
    <t>Global Workforce Management Sr. Consultant</t>
  </si>
  <si>
    <t>Ameer</t>
  </si>
  <si>
    <t>Salam</t>
  </si>
  <si>
    <t>ameer.salam@workforcemanagement101.com</t>
  </si>
  <si>
    <t>no connect</t>
  </si>
  <si>
    <t>https://intradiem2023.my.salesforce.com/00QV500000EE0U1MAL</t>
  </si>
  <si>
    <t>Cole Electric</t>
  </si>
  <si>
    <t>Director, fulfillment and support</t>
  </si>
  <si>
    <t xml:space="preserve">Chloe </t>
  </si>
  <si>
    <t>Batts</t>
  </si>
  <si>
    <t>chloe.batts@bannerhealth.com</t>
  </si>
  <si>
    <t>https://intradiem2023.lightning.force.com/lightning/r/Lead/00QV500000FdUqTMAV/view</t>
  </si>
  <si>
    <t>TechStyle</t>
  </si>
  <si>
    <t>Director, WFM</t>
  </si>
  <si>
    <t>Damon</t>
  </si>
  <si>
    <t xml:space="preserve">Spurlock </t>
  </si>
  <si>
    <t>Website - Contact Us</t>
  </si>
  <si>
    <t>dspurlock@techstyle.com</t>
  </si>
  <si>
    <t>TechStyle Fashion Group - NL</t>
  </si>
  <si>
    <t>https://intradiem2023.lightning.force.com/lightning/r/Lead/00QV5000009xIOtMAM/view</t>
  </si>
  <si>
    <t>Capital Group</t>
  </si>
  <si>
    <t>Senior Solution Engineer</t>
  </si>
  <si>
    <t>Jason</t>
  </si>
  <si>
    <t>Neuman</t>
  </si>
  <si>
    <t>Form Handler Submission: Intradiem_TEI-Forrester-Report_US</t>
  </si>
  <si>
    <t>Mike</t>
  </si>
  <si>
    <t>jsnn@capgroup.com</t>
  </si>
  <si>
    <t>http://pages.intradiem.com/boost-employee-engagement-reduce-costly-attrition/ (unbounce lander)</t>
  </si>
  <si>
    <t>preexisting. re-MQL'd on 3/18 - reached out to Nate/Mike asking if associated with open oppty</t>
  </si>
  <si>
    <t>Capital Group - NL</t>
  </si>
  <si>
    <t>Procure</t>
  </si>
  <si>
    <t>https://intradiem2023.lightning.force.com/lightning/r/Contact/003V500000L3ryBIAR/view</t>
  </si>
  <si>
    <t>per Mike 3/18: Yes. Actively engaged. This is The Capital Group opp. Jason is part of CapGroup’s IT/Architecture team. We’re also heavily engaged with the Business &amp; Procurement groups. In flight. Thanks for sharing!</t>
  </si>
  <si>
    <t xml:space="preserve">Banner Health </t>
  </si>
  <si>
    <t xml:space="preserve">Batt </t>
  </si>
  <si>
    <t>Wellcare (Centene)</t>
  </si>
  <si>
    <t>Director, Workforce</t>
  </si>
  <si>
    <t>Mark</t>
  </si>
  <si>
    <t>Thomas</t>
  </si>
  <si>
    <t xml:space="preserve">Website - downloaded 4.4.24 Webinar on Demand (Cigna/SWPP) </t>
  </si>
  <si>
    <t xml:space="preserve">mark.thomas@wellcare.com </t>
  </si>
  <si>
    <t>Not assoc. with open opptys. scheduled a meeting with intradiem in 2022 (SJ sent info to RD, NB 6/13)</t>
  </si>
  <si>
    <t>Flagship Credit Union</t>
  </si>
  <si>
    <t xml:space="preserve">Vice President, Loan Servicing </t>
  </si>
  <si>
    <t xml:space="preserve">Chuck </t>
  </si>
  <si>
    <t>Blommaert</t>
  </si>
  <si>
    <t xml:space="preserve">chuck.blommaert@flagshipcredit.com </t>
  </si>
  <si>
    <t>no activity logged on record</t>
  </si>
  <si>
    <t>https://intradiem2023.lightning.force.com/lightning/r/Contact/003V500000671jPIAQ/view</t>
  </si>
  <si>
    <t>Manulife</t>
  </si>
  <si>
    <t>Contact Center Director</t>
  </si>
  <si>
    <t xml:space="preserve">Jake </t>
  </si>
  <si>
    <t>Turner</t>
  </si>
  <si>
    <t>LinkedIn Ad ebook- 5 characteristics</t>
  </si>
  <si>
    <t>Jake_turner@manulife.ca</t>
  </si>
  <si>
    <t xml:space="preserve">Open Opp but contact not associated. SE logged - No connect (2 emails opened) </t>
  </si>
  <si>
    <t>Manulife Back Office</t>
  </si>
  <si>
    <t>Manulife Backoffice Expansion</t>
  </si>
  <si>
    <t>https://intradiem2023.lightning.force.com/lightning/r/Contact/003V500000KLqePIAT/view</t>
  </si>
  <si>
    <t>Royal Automobile Club Victoria (RACV)</t>
  </si>
  <si>
    <t>General Manager - Member Service Delivery</t>
  </si>
  <si>
    <t>Website- downloaded SWPP Webinar Empowering Supervisors 2.25.25</t>
  </si>
  <si>
    <t>Larry? (contact owner - no account team assoc. w acct.</t>
  </si>
  <si>
    <t>Qualified- preexisting opportunity</t>
  </si>
  <si>
    <t>michelle_scott@racv.com.au</t>
  </si>
  <si>
    <t>preexisting oppty - no meeting</t>
  </si>
  <si>
    <t>RACV-Insurance + Roadside - 60 60 POV</t>
  </si>
  <si>
    <t>Closed Won</t>
  </si>
  <si>
    <t>https://intradiem2023.lightning.force.com/lightning/r/Contact/003V500000MBSHVIA5/view</t>
  </si>
  <si>
    <t>correspondence from larry linked</t>
  </si>
  <si>
    <t>Dominion Energy</t>
  </si>
  <si>
    <t>Manager, Contact Center Support Group</t>
  </si>
  <si>
    <t>Kevin</t>
  </si>
  <si>
    <t>Monaghan</t>
  </si>
  <si>
    <t>Form Handler Submission: Request Demo - G2 Lead (handler)</t>
  </si>
  <si>
    <t>kevin.monaghan@dominionenergy.com</t>
  </si>
  <si>
    <t>G2</t>
  </si>
  <si>
    <t>https://intradiem2023.lightning.force.com/lightning/r/Contact/003V500000680fcIAA/view</t>
  </si>
  <si>
    <t>Wawanesa Insurance</t>
  </si>
  <si>
    <t>Manager of Workforce Management</t>
  </si>
  <si>
    <t>Shane</t>
  </si>
  <si>
    <t>Tankoy</t>
  </si>
  <si>
    <t>Nate lead owner but Nick assigned to account</t>
  </si>
  <si>
    <t>stankoy@wawanesa.com</t>
  </si>
  <si>
    <t>https://intradiem2023.lightning.force.com/lightning/r/Contact/003V50000067dxLIAQ/view</t>
  </si>
  <si>
    <t>dup record (prospect linked to contact record</t>
  </si>
  <si>
    <t>Progressive Leasing</t>
  </si>
  <si>
    <t>Senior Information Security Analyst</t>
  </si>
  <si>
    <t>Tanner</t>
  </si>
  <si>
    <t>Porter</t>
  </si>
  <si>
    <t>Form: Website - Frost &amp; Sullivan 2024 Report</t>
  </si>
  <si>
    <t>Steve</t>
  </si>
  <si>
    <t>tanner.porter@progleasing.com</t>
  </si>
  <si>
    <t>preexisting (closed won)- Steve confirmed part of convos. SJ converted 6/17</t>
  </si>
  <si>
    <t>Renewal - Progressive Leasing - 60 60 POV</t>
  </si>
  <si>
    <t>Prove</t>
  </si>
  <si>
    <t>CAA Club Group</t>
  </si>
  <si>
    <t>Director, Operational Efficiency, Reporting &amp; Insight</t>
  </si>
  <si>
    <t>Jaaic</t>
  </si>
  <si>
    <t>Marketing Qualified Lead - CRM Status Change</t>
  </si>
  <si>
    <t>Keegan</t>
  </si>
  <si>
    <t>cjai@caasco.ca</t>
  </si>
  <si>
    <t>Oppty - confirm</t>
  </si>
  <si>
    <t>Renewal - CAA Club Group (Avaya) - Post Pilot</t>
  </si>
  <si>
    <t>https://intradiem2023.lightning.force.com/lightning/r/Contact/003V50000067lVEIAY/view</t>
  </si>
  <si>
    <t>Covertrus</t>
  </si>
  <si>
    <t>Sr. Director Customer Experience Operations</t>
  </si>
  <si>
    <t>Silvia</t>
  </si>
  <si>
    <t>Glowka</t>
  </si>
  <si>
    <t>Form: Website - Contact Us - new site</t>
  </si>
  <si>
    <t>silvia.glowka@covetrus.com</t>
  </si>
  <si>
    <t>OPPTY (was not assoc. SJ converted 6/17)</t>
  </si>
  <si>
    <t>https://intradiem2023.lightning.force.com/lightning/r/Lead/00QV500000Hi2QxMAJ/view</t>
  </si>
  <si>
    <t>Capital One</t>
  </si>
  <si>
    <t>Director of Workforce, Reporting, &amp; Analytics and Process Excellence</t>
  </si>
  <si>
    <t>Charlie</t>
  </si>
  <si>
    <t>Canela</t>
  </si>
  <si>
    <t>Form: Website - Webinar 9.5.24 - SWPP Erlang-O Download on Demand</t>
  </si>
  <si>
    <t>charlemagne.canela@capitalone.com</t>
  </si>
  <si>
    <t>no activity logged on record? SJ marked nurture 6/17 + queue WFM nurtu</t>
  </si>
  <si>
    <t>Hilton</t>
  </si>
  <si>
    <t xml:space="preserve">Hayden </t>
  </si>
  <si>
    <t>Bowman</t>
  </si>
  <si>
    <t>LinkedIn Ad Lead Gen Form ops-ebook-2025</t>
  </si>
  <si>
    <t>hayden.bowman@hilton.com</t>
  </si>
  <si>
    <t>https://intradiem2023.lightning.force.com/lightning/r/Lead/00QV500000JgBKNMA3/view</t>
  </si>
  <si>
    <t>Hummingbird Healthcare</t>
  </si>
  <si>
    <t>Performance Programs Leader</t>
  </si>
  <si>
    <t xml:space="preserve">Morgan </t>
  </si>
  <si>
    <t>Minogue</t>
  </si>
  <si>
    <t xml:space="preserve">morgan.minogue@hummingbird.healthcare </t>
  </si>
  <si>
    <t>https://intradiem2023.lightning.force.com/lightning/r/Lead/00QV500000KASKUMA5/view</t>
  </si>
  <si>
    <t>2025-06-03 14:58:53 (PDT) Healthcare BPO interested in this capability</t>
  </si>
  <si>
    <t>MCI BPO LC</t>
  </si>
  <si>
    <t>Sr Director</t>
  </si>
  <si>
    <t>Jared</t>
  </si>
  <si>
    <t>Myers</t>
  </si>
  <si>
    <t>jared.myers@bpoaas.com</t>
  </si>
  <si>
    <t>https://www.google.com/</t>
  </si>
  <si>
    <t>Nurture (Not a Fit: Product Gap)</t>
  </si>
  <si>
    <t>https://intradiem2023.lightning.force.com/lightning/r/Lead/00QV500000KTD82MAH/view</t>
  </si>
  <si>
    <t>2025-06-10 11:54:11 (PDT) Looking for a WFM solution that will allow me to project staffing needs for a variety of current clients as well as potential clients. Would like to discuss pricing.</t>
  </si>
  <si>
    <t>Think Forward</t>
  </si>
  <si>
    <t>Executive Assistant (on behalf of Sabrina Gibson)</t>
  </si>
  <si>
    <t xml:space="preserve">Sabrina </t>
  </si>
  <si>
    <t>Garcia</t>
  </si>
  <si>
    <t>SAL</t>
  </si>
  <si>
    <t>sabrina@thnkforward.com</t>
  </si>
  <si>
    <t>SAL(partner lead)</t>
  </si>
  <si>
    <t>https://intradiem2023.lightning.force.com/lightning/r/Lead/00QV500000KqTiOMAV/view</t>
  </si>
  <si>
    <t>I’m reaching out on behalf of Gina Gibson, who has contacted you previously. Gina is an agent representing a customer interested in seeing a demonstration of your product.| *Gina submitted inbound partner form fill 6/6/25https://intradiem2023.lightning.force.com/lightning/r/Lead/00QV500000KIkNRMA1/view
Could you please arrange a demo at your earliest convenience? Let us know your availability and any details we should prepare in advance.</t>
  </si>
  <si>
    <t>Blue Cross Blue Shield of North Carolina</t>
  </si>
  <si>
    <t>Command Center Manager</t>
  </si>
  <si>
    <t xml:space="preserve">Ken </t>
  </si>
  <si>
    <t xml:space="preserve">Hessing </t>
  </si>
  <si>
    <t>ken.hessing@bcbsnc.com</t>
  </si>
  <si>
    <t>Blue Cross Blue Shield of NC</t>
  </si>
  <si>
    <t>https://intradiem2023.lightning.force.com/lightning/r/Contact/003V50000067k9IIAQ/view</t>
  </si>
  <si>
    <t>2025-06-20 08:42:06 (PDT) It has been several years since I last saw a demo and I am interested in what you have available and building a business case for using Intradiem for use in our Contact Center/Back Office.</t>
  </si>
  <si>
    <t>Concentrix</t>
  </si>
  <si>
    <t xml:space="preserve">WFM Manager </t>
  </si>
  <si>
    <t>Niraj</t>
  </si>
  <si>
    <t>Sehgal</t>
  </si>
  <si>
    <t xml:space="preserve">niraj.sehgal@concentrix.com </t>
  </si>
  <si>
    <t>https://de3e40908ca541d2b66fa733cfd37e0b.pages.ubembed.com/</t>
  </si>
  <si>
    <t>https://intradiem2023.lightning.force.com/lightning/r/Lead/00QV500000L10I1MAJ/view</t>
  </si>
  <si>
    <t>per Nate 6/25: Got Mike in contact with Niraj. They are discussing via e-mail. No meeting set. Will let you know if Mike books one.</t>
  </si>
  <si>
    <t>NHS Business Services Authority</t>
  </si>
  <si>
    <t>Service Delivery Manager</t>
  </si>
  <si>
    <t>Sian</t>
  </si>
  <si>
    <t>Pedder</t>
  </si>
  <si>
    <t>Simon</t>
  </si>
  <si>
    <t>MQL (pending conf. # agents)</t>
  </si>
  <si>
    <t>sian.pedder@nhsbsa.nhs.uk</t>
  </si>
  <si>
    <t>https://www.ecosia.org/</t>
  </si>
  <si>
    <t>MQL(?)</t>
  </si>
  <si>
    <t>https://intradiem2023.lightning.force.com/lightning/r/Lead/00QV500000LH6mUMAT/view</t>
  </si>
  <si>
    <t>Vice President, Customer Experience Transformation</t>
  </si>
  <si>
    <t>Serafini</t>
  </si>
  <si>
    <t>Form: Webinar 6.26.25 - AI Won’t Save Your Agents from Burnout - Registration Form</t>
  </si>
  <si>
    <t>chris.serafini@qualfon.com</t>
  </si>
  <si>
    <t>https://www.bing.com/</t>
  </si>
  <si>
    <t>https://intradiem2023.lightning.force.com/lightning/r/Contact/003V50000067xBgIAI/view</t>
  </si>
  <si>
    <t>Comms &amp; Engagement Manager</t>
  </si>
  <si>
    <t>Julie</t>
  </si>
  <si>
    <t>Owens</t>
  </si>
  <si>
    <t>Form: Webinar 6.26.25 - Actionary SWPP Fixing Attrition Key to AI Success - Watch On-Demand (form)</t>
  </si>
  <si>
    <t>Simon?</t>
  </si>
  <si>
    <t>julie.owens@uk.g4s.com</t>
  </si>
  <si>
    <t>https://intradiem2023.lightning.force.com/lightning/r/Lead/00QV500000KW6BoMAL/view</t>
  </si>
  <si>
    <t>Datavant</t>
  </si>
  <si>
    <t>Workforce Planning Manager</t>
  </si>
  <si>
    <t>Kyle</t>
  </si>
  <si>
    <t>Baker</t>
  </si>
  <si>
    <t>Jean-Ann/Nate</t>
  </si>
  <si>
    <t>kyle.baker@datavant.com</t>
  </si>
  <si>
    <t>Social Media - Organic</t>
  </si>
  <si>
    <t>https://www.linkedin.com/</t>
  </si>
  <si>
    <t>https://intradiem2023.lightning.force.com/lightning/r/Lead/00QV500000JwxXuMAJ/view</t>
  </si>
  <si>
    <t>TeKnowledge</t>
  </si>
  <si>
    <t>WFM Global Client Leader</t>
  </si>
  <si>
    <t>Aizel</t>
  </si>
  <si>
    <t>McGarry</t>
  </si>
  <si>
    <t>(Score Automation) Form: Webinar 6.26.25 - Actionary SWPP Fixing Attrition Key to AI Success - Watch On-Demand (form)</t>
  </si>
  <si>
    <t>aizel.mcgarry@teknowledge.com</t>
  </si>
  <si>
    <t>MQL (partner lead)</t>
  </si>
  <si>
    <t>https://intradiem2023.lightning.force.com/lightning/r/Lead/00QV500000LUIQIMA5/view</t>
  </si>
  <si>
    <t>Sistemas MER</t>
  </si>
  <si>
    <t xml:space="preserve">Partner </t>
  </si>
  <si>
    <t>unknown</t>
  </si>
  <si>
    <t>Victor</t>
  </si>
  <si>
    <t>Delgado</t>
  </si>
  <si>
    <t>Form: Webinar 6.18.24 - Thrive - Watch On-Demand Form</t>
  </si>
  <si>
    <t>SQL: Partner</t>
  </si>
  <si>
    <t>vdelgado@sistemasmer.com</t>
  </si>
  <si>
    <t>SAL (partner lead)</t>
  </si>
  <si>
    <t>https://intradiem2023.lightning.force.com/lightning/r/Lead/00QV500000LjhazMAB/view</t>
  </si>
  <si>
    <t>Crash Champions</t>
  </si>
  <si>
    <t>Manager WFM</t>
  </si>
  <si>
    <t>Arthur</t>
  </si>
  <si>
    <t>Lance</t>
  </si>
  <si>
    <t>Demo Form (LP: SEO Blog Calculating Call Center Shrinkage)</t>
  </si>
  <si>
    <t>DQ - Size / product fit</t>
  </si>
  <si>
    <t>arthur.springer@crashchampions.com</t>
  </si>
  <si>
    <t>https://www.google.com/
https://urlwatch.com/</t>
  </si>
  <si>
    <t>DQ - Too Small 100 Agents and no WFM</t>
  </si>
  <si>
    <t>https://intradiem2023.lightning.force.com/lightning/r/Lead/00QV500000LyxCRMAZ/view</t>
  </si>
  <si>
    <t xml:space="preserve">T-Mobile </t>
  </si>
  <si>
    <t>Director, Solutions Engineering</t>
  </si>
  <si>
    <t>Craig</t>
  </si>
  <si>
    <t xml:space="preserve">Ward </t>
  </si>
  <si>
    <t>Form: Webinar - SWPP Empower Supervisors 02.27.25 - Watch On-Demand Form US</t>
  </si>
  <si>
    <t>Nolan</t>
  </si>
  <si>
    <t>craig.ward19@t-mobile.com</t>
  </si>
  <si>
    <t>MQL - Working - Reached out to Nolan. He is working T-Mobile very heavily.</t>
  </si>
  <si>
    <t>https://intradiem2023.lightning.force.com/lightning/r/Lead/00QV500000M6l9HMAR/view</t>
  </si>
  <si>
    <t>Independence Pet Group</t>
  </si>
  <si>
    <t>President</t>
  </si>
  <si>
    <t xml:space="preserve">Chad </t>
  </si>
  <si>
    <t>Bellin</t>
  </si>
  <si>
    <t>Form: Website - Partner Lead Registration</t>
  </si>
  <si>
    <t>cbellin@independenceamerican.com</t>
  </si>
  <si>
    <t>SAL - meeting booked</t>
  </si>
  <si>
    <t>https://intradiem2023.lightning.force.com/lightning/r/Lead/00QV500000MRpt0MAD/view</t>
  </si>
  <si>
    <t xml:space="preserve">Invesco </t>
  </si>
  <si>
    <t xml:space="preserve">Associate Director </t>
  </si>
  <si>
    <t xml:space="preserve">Karen </t>
  </si>
  <si>
    <t>Chin</t>
  </si>
  <si>
    <t>Form: Website - Contact Us</t>
  </si>
  <si>
    <t>karen.chin@invesco.com</t>
  </si>
  <si>
    <t>Invesco</t>
  </si>
  <si>
    <t>https://intradiem2023.lightning.force.com/lightning/r/Lead/00QV500000MjLTVMA3/view</t>
  </si>
  <si>
    <t>The Standard Insurance Company</t>
  </si>
  <si>
    <t>Boyd</t>
  </si>
  <si>
    <t>Form: Website - Demo - new site</t>
  </si>
  <si>
    <t>robert.boyd@standard.com</t>
  </si>
  <si>
    <t>Bing Natural Search - Blog - https://intradiem.com/resources/blog/how-to-calculate-call-center-shrinkage/</t>
  </si>
  <si>
    <t>https://intradiem2023.lightning.force.com/lightning/r/Lead/00QV500000Mjnw2MAB/view</t>
  </si>
  <si>
    <t>C.H. Robinson Worldwide, Inc.</t>
  </si>
  <si>
    <t>Senior Capacity Manager</t>
  </si>
  <si>
    <t>Reid</t>
  </si>
  <si>
    <t>LI Ad: 5 Critial Questions to Ask When Updating Your Contact Center Tech Stack (ad converted: https://www.linkedin.com/feed/update/urn:li:sponsoredContentV2:(urn:li:share:7319060524791459842,urn:li:sponsoredCreative:653315034)/?actorCompanyId=20184&amp;viewContext=REVIEWER).</t>
  </si>
  <si>
    <t>Open - working</t>
  </si>
  <si>
    <t>mike.reid@chrobinson.com</t>
  </si>
  <si>
    <t>LinkedIn Ad (VITO campaign)</t>
  </si>
  <si>
    <t>Open - Working</t>
  </si>
  <si>
    <t>https://intradiem2023.lightning.force.com/lightning/r/Lead/00QV500000N0Pu2MAF/view</t>
  </si>
  <si>
    <t>Teleperformance</t>
  </si>
  <si>
    <t>VP Workforce Management</t>
  </si>
  <si>
    <t>Raj</t>
  </si>
  <si>
    <t>Gupta</t>
  </si>
  <si>
    <t>Filled Out Contact Us Form on Website</t>
  </si>
  <si>
    <t>raj.gupta2@teleperformance.com</t>
  </si>
  <si>
    <t>https://intradiem2023.my.salesforce.com/00QV500000N9N3P</t>
  </si>
  <si>
    <t>(JCPenny) Catalyst Brands</t>
  </si>
  <si>
    <t>Manager, Ivr &amp; Technology</t>
  </si>
  <si>
    <t xml:space="preserve">John </t>
  </si>
  <si>
    <t>DiNapoli</t>
  </si>
  <si>
    <t xml:space="preserve">jdinapo1@jcp.com </t>
  </si>
  <si>
    <t>SAL(meeting secured 8/13)</t>
  </si>
  <si>
    <t>https://intradiem2023.lightning.force.com/lightning/r/Lead/00QV500000NApP0MAL/view</t>
  </si>
  <si>
    <t>https://pi.pardot.com/prospect/read?id=39782317</t>
  </si>
  <si>
    <t>Headway</t>
  </si>
  <si>
    <t>Manager, CX Systems</t>
  </si>
  <si>
    <t>Tessa</t>
  </si>
  <si>
    <t>Loftus</t>
  </si>
  <si>
    <t>tessa.loftus@findheadway.com</t>
  </si>
  <si>
    <t>https://intradiem2023.my.salesforce.com/00QV500000NHCh3</t>
  </si>
  <si>
    <t>Fresenius Medical Care</t>
  </si>
  <si>
    <t xml:space="preserve">Director, People Analytics </t>
  </si>
  <si>
    <t xml:space="preserve">Gunter </t>
  </si>
  <si>
    <t>Hartmann</t>
  </si>
  <si>
    <t>SAL : Meeting Booked</t>
  </si>
  <si>
    <t>gunter.hartmann@fmc-na.com</t>
  </si>
  <si>
    <t>https://intradiem2023.lightning.force.com/lightning/r/Lead/00QV5000006N5nYMAS/view</t>
  </si>
  <si>
    <t>AwesomeCX (BPO for TechStyle)</t>
  </si>
  <si>
    <t>Scheduler</t>
  </si>
  <si>
    <t xml:space="preserve">Geleez </t>
  </si>
  <si>
    <t>Usop</t>
  </si>
  <si>
    <t>Form: ...LB - Erlang-O Files Downloaded</t>
  </si>
  <si>
    <t>MQL - Working</t>
  </si>
  <si>
    <t>geleez.usop@awesomecx.com</t>
  </si>
  <si>
    <t>Website (no referrer info available)</t>
  </si>
  <si>
    <t>Email sent and opened 9/3</t>
  </si>
  <si>
    <t>MQL - Working | email sent &amp; opened 9/3</t>
  </si>
  <si>
    <t>https://intradiem2023.lightning.force.com/lightning/r/Lead/00QV5000006N7myMAC/view</t>
  </si>
  <si>
    <t>Global Fidelis (BPO for TechStyle)</t>
  </si>
  <si>
    <t>Adherence Analyst</t>
  </si>
  <si>
    <t xml:space="preserve">Rodrigo </t>
  </si>
  <si>
    <t>Coronel</t>
  </si>
  <si>
    <t>rcoronel@globalfidelis.com</t>
  </si>
  <si>
    <t>https://intradiem2023.lightning.force.com/lightning/r/Lead/00QV5000006N7lmMAC/view</t>
  </si>
  <si>
    <t>BINA</t>
  </si>
  <si>
    <t>Head of International Operations</t>
  </si>
  <si>
    <t>Ekansh</t>
  </si>
  <si>
    <t>Barthwal</t>
  </si>
  <si>
    <t>DQ - no contact center</t>
  </si>
  <si>
    <t>ekansh.barthwal@binaconf.com</t>
  </si>
  <si>
    <t>no response - Nate sent eml 9/2 to determine partner fit (opened 9/8)</t>
  </si>
  <si>
    <t>https://intradiem2023.lightning.force.com/lightning/_classic/%2F00QV500000NuyAjMAJ</t>
  </si>
  <si>
    <t>NUSD</t>
  </si>
  <si>
    <t>Legal Assistant</t>
  </si>
  <si>
    <t>Amelia</t>
  </si>
  <si>
    <t>Hall</t>
  </si>
  <si>
    <t>Website Lead - demo form</t>
  </si>
  <si>
    <t>DQ - bad data</t>
  </si>
  <si>
    <t>mcmaster@net.bandai.co</t>
  </si>
  <si>
    <t>Google Ad - Display remarketing</t>
  </si>
  <si>
    <t>Working | email bounced 9/11</t>
  </si>
  <si>
    <t>https://intradiem2023.lightning.force.com/lightning/r/Lead/00QV500000OADEHMA5/view</t>
  </si>
  <si>
    <t>DPR Constructions</t>
  </si>
  <si>
    <t>Corporate Procurement Manager</t>
  </si>
  <si>
    <t>O-Brien</t>
  </si>
  <si>
    <t>mark.obrien@dpr-grp.com</t>
  </si>
  <si>
    <t>Likely organic - entered via about us page (no referrer info). left comment. Nate reached out on email and LI.</t>
  </si>
  <si>
    <t>DQ 9/12: Mark O'Brien confirmed that the "contact us" demo request was not from them and that this is SPAM. Disqualifying the lead.</t>
  </si>
  <si>
    <t>https://intradiem2023.lightning.force.com/lightning/r/Lead/00QV500000OCFDaMAP/view</t>
  </si>
  <si>
    <t>Dear Sir/Madam, I am writing to express our interest in your services. After reviewing your company brochure online, we are eager to learn more about specific offerings that may suit our needs. Could you kindly connect me with the appropriate contact person to facilitate further communication? I would like to share our specifications and requirements in detail and request a quote at your earliest convenience. I look forward to your response. Kind regards, Mark O'Brien</t>
  </si>
  <si>
    <t>Virtual Help Partner</t>
  </si>
  <si>
    <t>Executive Assistant</t>
  </si>
  <si>
    <t>Brenda</t>
  </si>
  <si>
    <t>Cruz</t>
  </si>
  <si>
    <t>?</t>
  </si>
  <si>
    <t>b.cruz@virtualhelppartner.com</t>
  </si>
  <si>
    <t>Email sent &amp; opened 9/11 (sent to Larry 9/24 for outreach support week nate was out)</t>
  </si>
  <si>
    <t>https://intradiem2023.lightning.force.com/lightning/r/Lead/00QV500000OKBj5MAH/view</t>
  </si>
  <si>
    <t>Supply House</t>
  </si>
  <si>
    <t>error syncing acct to sfdc</t>
  </si>
  <si>
    <t>Customer Service Manager</t>
  </si>
  <si>
    <t>Nicole</t>
  </si>
  <si>
    <t>Lewis</t>
  </si>
  <si>
    <t>nicolelew@supplyhouse.com</t>
  </si>
  <si>
    <t>no activity or notes</t>
  </si>
  <si>
    <t>https://intradiem2023.lightning.force.com/lightning/r/Lead/00QV500000Obt7oMAB/view</t>
  </si>
  <si>
    <t>Rycon Construction</t>
  </si>
  <si>
    <t>CEO</t>
  </si>
  <si>
    <t>John</t>
  </si>
  <si>
    <t>Sabatos</t>
  </si>
  <si>
    <t>Nate/Larry</t>
  </si>
  <si>
    <t>jsabatos@ryconic.com</t>
  </si>
  <si>
    <t>Disqualified (sent to Larry 9/24 for outreach support)</t>
  </si>
  <si>
    <t>https://intradiem2023.lightning.force.com/lightning/r/Lead/00QV500000OdupMMAR/view</t>
  </si>
  <si>
    <t>Kids Help Phone</t>
  </si>
  <si>
    <t>y</t>
  </si>
  <si>
    <t>Director of Clinical Service Operations</t>
  </si>
  <si>
    <t>Sara</t>
  </si>
  <si>
    <t>Smith</t>
  </si>
  <si>
    <t>SWPP Busting Burnout Webinar 9.14 - Watch On-Demand Form US</t>
  </si>
  <si>
    <t>sara.smith@kidshelpphone.ca</t>
  </si>
  <si>
    <t>Sent to Larry 9/24 for outreach support</t>
  </si>
  <si>
    <t>https://intradiem2023.lightning.force.com/lightning/r/Lead/00QV500000OjdIjMAJ/view</t>
  </si>
  <si>
    <t>Global Atlantic Financial Group</t>
  </si>
  <si>
    <t>Senior Analyst Workforce Management</t>
  </si>
  <si>
    <t>Tiffany</t>
  </si>
  <si>
    <t>Kelderhouse-Tucker</t>
  </si>
  <si>
    <t>Watched Webinar On Demand - From Plan to Performance: How WFM Leaders Are Orchestrating the AI-Powered Contact Center</t>
  </si>
  <si>
    <t>DQ - Role</t>
  </si>
  <si>
    <t>tiffany.tucker@gafg.com</t>
  </si>
  <si>
    <t>Social Media - Organic (SocialHP)</t>
  </si>
  <si>
    <t>https://intradiem2023.lightning.force.com/lightning/r/Lead/00QV5000009uLofMAE/view</t>
  </si>
  <si>
    <t>WFM Trainer</t>
  </si>
  <si>
    <t>Wenzel</t>
  </si>
  <si>
    <t>Buaquina</t>
  </si>
  <si>
    <t>Webinar on Demand: Webinar 3.19.20 - What is Workforce Automation (form) | Video: Adherence Management</t>
  </si>
  <si>
    <t>MQL - ?</t>
  </si>
  <si>
    <t>wenzel.s.buaquina@ttec.com</t>
  </si>
  <si>
    <t>https://intradiem2023.lightning.force.com/lightning/r/Lead/00QV5000009uLTXMA2/view</t>
  </si>
  <si>
    <t>Bank of America</t>
  </si>
  <si>
    <t>Assistant Manager - TMT Sector Specialist</t>
  </si>
  <si>
    <t>Mohammed</t>
  </si>
  <si>
    <t>Hussein</t>
  </si>
  <si>
    <t>Website - Frost &amp; Sullivan 2024 Report</t>
  </si>
  <si>
    <t>mohammed.n.hussain@bofa.com</t>
  </si>
  <si>
    <t>https://intradiem2023.lightning.force.com/lightning/r/Lead/00QV500000PtSOiMAN/view</t>
  </si>
  <si>
    <t>Onepoint</t>
  </si>
  <si>
    <t>consulting/partner?</t>
  </si>
  <si>
    <t>Change Management &amp; Training Consultant</t>
  </si>
  <si>
    <t>Ninon</t>
  </si>
  <si>
    <t>Ribreau</t>
  </si>
  <si>
    <t>Demo Form</t>
  </si>
  <si>
    <t>n.ribreau@groupeonepoint.com</t>
  </si>
  <si>
    <t>https://intradiem2023.lightning.force.com/lightning/r/Lead/00QV500000QBfyXMAT/view</t>
  </si>
  <si>
    <t>Gusto</t>
  </si>
  <si>
    <t>WFM Scheduling &amp; Planning Analyst</t>
  </si>
  <si>
    <t>Bunny</t>
  </si>
  <si>
    <t>Bates</t>
  </si>
  <si>
    <t>bunny.bates@gusto.com</t>
  </si>
  <si>
    <t>https://intradiem2023.lightning.force.com/lightning/r/Lead/00QV5000009uMVzMAM/view</t>
  </si>
  <si>
    <t>iOPEX</t>
  </si>
  <si>
    <t>possible partner play</t>
  </si>
  <si>
    <t>VP Business Development</t>
  </si>
  <si>
    <t xml:space="preserve">Susan </t>
  </si>
  <si>
    <t>Cohen</t>
  </si>
  <si>
    <t>DQ - Size</t>
  </si>
  <si>
    <t>susan.cohen@iopex.com</t>
  </si>
  <si>
    <t>https://intradiem2023.lightning.force.com/lightning/r/Lead/00QV500000QTzvZMAT/view</t>
  </si>
  <si>
    <t>SOL Systems</t>
  </si>
  <si>
    <t>Co-Founder and Managing Partner</t>
  </si>
  <si>
    <t>Sameer</t>
  </si>
  <si>
    <t>Hasan</t>
  </si>
  <si>
    <t>Contact Us Form on Website</t>
  </si>
  <si>
    <t>sameer.hasan@solgulf.com</t>
  </si>
  <si>
    <t>Google Ad (referrer: https://amamgame.com/)- display remarketing</t>
  </si>
  <si>
    <t>https://intradiem2023.lightning.force.com/lightning/r/Lead/00QV500000QT6BAMA1/view</t>
  </si>
  <si>
    <t>Teva Pharmaceuticals</t>
  </si>
  <si>
    <t>n/a</t>
  </si>
  <si>
    <t>Keithe</t>
  </si>
  <si>
    <t>Naoetter</t>
  </si>
  <si>
    <t>tonyamoney@ccast.net</t>
  </si>
  <si>
    <t>Execviva</t>
  </si>
  <si>
    <t>Senior Executive Assistant</t>
  </si>
  <si>
    <t xml:space="preserve">Fabiana </t>
  </si>
  <si>
    <t>Heredia</t>
  </si>
  <si>
    <t>Form: Webinar 09.30.25 - From Plan to Performance: How WFM Leaders Are Orchestrating (Watch On Demand form)</t>
  </si>
  <si>
    <t>fabiana.heredia@execviva.com</t>
  </si>
  <si>
    <t>https://intradiem2023.lightning.force.com/lightning/r/Lead/00QV500000QdHTRMA3/view</t>
  </si>
  <si>
    <t>DQ - not responsive</t>
  </si>
  <si>
    <t>AutologiQ</t>
  </si>
  <si>
    <t>Virtual Service Advisor</t>
  </si>
  <si>
    <t>Andrea</t>
  </si>
  <si>
    <t>Luxon</t>
  </si>
  <si>
    <t>aluxon@autologiq.ca</t>
  </si>
  <si>
    <t>Google Ad (referrer: https://newshubbi.com/)</t>
  </si>
  <si>
    <t>https://intradiem2023.lightning.force.com/lightning/r/Lead/00QV500000R2565MAB/view</t>
  </si>
  <si>
    <t>CT ACTIVA</t>
  </si>
  <si>
    <t>EMEA Business Process Referent</t>
  </si>
  <si>
    <t>Gabriel</t>
  </si>
  <si>
    <t>Martinez</t>
  </si>
  <si>
    <t>Demo Request</t>
  </si>
  <si>
    <t>gabriel.martinez@biomerieux.com</t>
  </si>
  <si>
    <t>https://intradiem2023.lightning.force.com/lightning/r/Lead/00QV500000REZzFMAX/view</t>
  </si>
  <si>
    <t>OSF Healthcare</t>
  </si>
  <si>
    <t>EVS Tech</t>
  </si>
  <si>
    <t xml:space="preserve">Jacquita </t>
  </si>
  <si>
    <t>Borden</t>
  </si>
  <si>
    <t>jacquita.f.borden@osfhealthcare.org</t>
  </si>
  <si>
    <t xml:space="preserve">Google Natural search </t>
  </si>
  <si>
    <t>https://intradiem2023.lightning.force.com/lightning/r/Lead/00QV500000RGZiEMAX/view</t>
  </si>
  <si>
    <t xml:space="preserve">BT Sourced </t>
  </si>
  <si>
    <t>Senior Category Buyer</t>
  </si>
  <si>
    <t xml:space="preserve">Mei </t>
  </si>
  <si>
    <t>Han</t>
  </si>
  <si>
    <t>Matt R.</t>
  </si>
  <si>
    <t>mei.2.han@btsourced.com</t>
  </si>
  <si>
    <t>https://intradiem2023.lightning.force.com/lightning/r/Lead/00QV500000RSfBzMAL/view</t>
  </si>
  <si>
    <t>ASDA</t>
  </si>
  <si>
    <t>Store Manager</t>
  </si>
  <si>
    <t>Samantha</t>
  </si>
  <si>
    <t>Lee</t>
  </si>
  <si>
    <t>samantha.lee1@asda.uk</t>
  </si>
  <si>
    <t>https://intradiem2023.lightning.force.com/lightning/r/Lead/00QV500000RUxBDMA1/view</t>
  </si>
  <si>
    <t>Quaker Houghton Ind</t>
  </si>
  <si>
    <t>Jolly</t>
  </si>
  <si>
    <t>Joseph</t>
  </si>
  <si>
    <t>jollyjoe@quakerhoughtonind.com</t>
  </si>
  <si>
    <t>https://intradiem2023.lightning.force.com/lightning/r/Lead/00QV500000RiT5BMAV/view</t>
  </si>
  <si>
    <t>American Airlines</t>
  </si>
  <si>
    <t>Vice President, Customer &amp; Operations Excellence</t>
  </si>
  <si>
    <t xml:space="preserve">Carolyne </t>
  </si>
  <si>
    <t>Truelove</t>
  </si>
  <si>
    <t>LinkedIn Ad: 5 Critical Questions When Evaluating Your Contact Center Tech Stack 4.10.25 V3</t>
  </si>
  <si>
    <t>carolyne.truelove@aa.com</t>
  </si>
  <si>
    <t>Deloitte</t>
  </si>
  <si>
    <t>partner lead</t>
  </si>
  <si>
    <t>Manager, Technology Strategy &amp; Transformation, Future of Service</t>
  </si>
  <si>
    <t>Form: Website - Where Should AI Fit in Your Workforce Management (LSF Download)</t>
  </si>
  <si>
    <t>Partner Re-MQL</t>
  </si>
  <si>
    <t>LinkedIn - SocialHP</t>
  </si>
  <si>
    <t>https://intradiem2023.lightning.force.com/lightning/r/Lead/00QV5000006N7FuMAK/view</t>
  </si>
  <si>
    <t xml:space="preserve">re-MQL (partner lead) - please confirm if plan to reach out - update lead status to contacted or update lifecycle stage to nurture </t>
  </si>
  <si>
    <t>William</t>
  </si>
  <si>
    <t>Cudges</t>
  </si>
  <si>
    <t>DQ - Bad data</t>
  </si>
  <si>
    <t>https://intradiem2023.lightning.force.com/lightning/r/Lead/00QV500000SGTXPMA5/view</t>
  </si>
  <si>
    <t>weird email but account engagement not showing as bounced - please update lead status or lifecycle stage accordingly</t>
  </si>
  <si>
    <t>Bingham Mechanical, Inc</t>
  </si>
  <si>
    <t>Vice President</t>
  </si>
  <si>
    <t>Josh</t>
  </si>
  <si>
    <t>Olson</t>
  </si>
  <si>
    <t>Website Lead - contact us</t>
  </si>
  <si>
    <t>josholson@binghammechanical.cam</t>
  </si>
  <si>
    <t>https://intradiem2023.lightning.force.com/lightning/r/Lead/00QV500000SH73PMAT/view</t>
  </si>
  <si>
    <t>account likely too small but VP title - please confirm if plan to reach out  (update lead status to working or DQ)</t>
  </si>
  <si>
    <t>The Travelers Companies</t>
  </si>
  <si>
    <t>existing customer</t>
  </si>
  <si>
    <t>Senior Underwriter</t>
  </si>
  <si>
    <t>Andrew</t>
  </si>
  <si>
    <t>Customer account</t>
  </si>
  <si>
    <t>Customer</t>
  </si>
  <si>
    <t>aboyd2@travelers.com</t>
  </si>
  <si>
    <t>https://intradiem2023.lightning.force.com/lightning/r/Lead/00QV500000SHWkzMAH/view</t>
  </si>
  <si>
    <t>still showing as not contacted</t>
  </si>
  <si>
    <t xml:space="preserve">Accurate Background </t>
  </si>
  <si>
    <t>Director of Procurement</t>
  </si>
  <si>
    <t>O'Reilly</t>
  </si>
  <si>
    <t>joreilly@accurate.com</t>
  </si>
  <si>
    <t>https://intradiem2023.lightning.force.com/lightning/r/Lead/00QV500000SZKoaMAH/view</t>
  </si>
  <si>
    <t>CR Plasma Ireland</t>
  </si>
  <si>
    <t>COO</t>
  </si>
  <si>
    <t xml:space="preserve">Robert </t>
  </si>
  <si>
    <t>McGrath</t>
  </si>
  <si>
    <t>LinkedIn Ad Lead Gen form: Where Should AI Fit in Your Workforce Automation? - 2025.11.10</t>
  </si>
  <si>
    <t>robmcgrath.rm@gmail.com</t>
  </si>
  <si>
    <t>https://intradiem2023.lightning.force.com/lightning/r/Lead/00QV500000SzOuyMAF/view</t>
  </si>
  <si>
    <t>Mercer</t>
  </si>
  <si>
    <t xml:space="preserve">Director Of Business Development </t>
  </si>
  <si>
    <t>Somveer</t>
  </si>
  <si>
    <t>Singh</t>
  </si>
  <si>
    <t>Form: Website Lead Demo</t>
  </si>
  <si>
    <t xml:space="preserve">somveer.singh@mercer.com </t>
  </si>
  <si>
    <t>https://intradiem2023.lightning.force.com/lightning/r/Lead/00QV500000TAWnWMAX/view</t>
  </si>
  <si>
    <t>Aflac</t>
  </si>
  <si>
    <t>Senior Workforce Management Coordinator</t>
  </si>
  <si>
    <t>Marnie</t>
  </si>
  <si>
    <t>Hamilton</t>
  </si>
  <si>
    <t>MQL - working</t>
  </si>
  <si>
    <t>mhamilton2@aflac.com</t>
  </si>
  <si>
    <t>https://intradiem2023.lightning.force.com/lightning/r/Lead/00QV500000FXbGIMA1/view</t>
  </si>
  <si>
    <t>TaxNinja</t>
  </si>
  <si>
    <t>Administrative Assistant</t>
  </si>
  <si>
    <t>Ekaterina</t>
  </si>
  <si>
    <t>Pavlova</t>
  </si>
  <si>
    <t>MQL - not contacted</t>
  </si>
  <si>
    <t>kpavlova@taxninja.com</t>
  </si>
  <si>
    <t>https://intradiem2023.lightning.force.com/lightning/r/Lead/00QV500000TI9QjMAL/view</t>
  </si>
  <si>
    <t>Hope</t>
  </si>
  <si>
    <t>Cerda</t>
  </si>
  <si>
    <t>Website Lead - Demo form</t>
  </si>
  <si>
    <t>hope.cerda@concentrix.com</t>
  </si>
  <si>
    <t>https://intradiem2023.lightning.force.com/lightning/_classic/%2F00QV500000TRlrlMAD</t>
  </si>
  <si>
    <t>Alorica</t>
  </si>
  <si>
    <t>Vice President, Workforce Management</t>
  </si>
  <si>
    <t>Mary Ann</t>
  </si>
  <si>
    <t>De Guzman</t>
  </si>
  <si>
    <t>Contact  Us Form</t>
  </si>
  <si>
    <t>SAL: Demo Scheduled 2/6</t>
  </si>
  <si>
    <t>maryann.deguzman@alorica.com</t>
  </si>
  <si>
    <t>Mary Ann De Guzman | Lead | Salesforce</t>
  </si>
  <si>
    <t>Stitchfix</t>
  </si>
  <si>
    <t>Workforce Management Coordinator</t>
  </si>
  <si>
    <t xml:space="preserve">Rebekah </t>
  </si>
  <si>
    <t>Kilpatrick</t>
  </si>
  <si>
    <t>SWPP Webinar 9.5.24 - Watch On-Demand Form US</t>
  </si>
  <si>
    <t>rebekah.kilpatrick@stitchfix.com</t>
  </si>
  <si>
    <t>Rebekah Kilpatrick | Lead | Salesforce</t>
  </si>
  <si>
    <t xml:space="preserve">McDonald's </t>
  </si>
  <si>
    <t>Labour &amp; Scheduling Management (LSM) Consultant</t>
  </si>
  <si>
    <t xml:space="preserve">Claudine </t>
  </si>
  <si>
    <t>Poole</t>
  </si>
  <si>
    <t>LinkedIn Ad: "Where AI Fits"</t>
  </si>
  <si>
    <t>claudine.poole@ca.mcd.com</t>
  </si>
  <si>
    <t>LinkedIn</t>
  </si>
  <si>
    <t>Claudine Poole | Lead | Salesforce</t>
  </si>
  <si>
    <t>Northmarq</t>
  </si>
  <si>
    <t>Senior Human Resources Business Partner</t>
  </si>
  <si>
    <t>Sarah</t>
  </si>
  <si>
    <t>Melander</t>
  </si>
  <si>
    <t>smelander@northmarq.com</t>
  </si>
  <si>
    <t>Sarah Melander | Lead | Salesforce</t>
  </si>
  <si>
    <t>CPG Assurance Services Pvt Ltd</t>
  </si>
  <si>
    <t>Service Management Director</t>
  </si>
  <si>
    <t>Sudarshan</t>
  </si>
  <si>
    <t>Mandyam</t>
  </si>
  <si>
    <t>Bing Ads</t>
  </si>
  <si>
    <t>sudi@mandyam.me</t>
  </si>
  <si>
    <t>LI Connect - flipped to nurture</t>
  </si>
  <si>
    <t>https://intradiem2023.lightning.force.com/lightning/r/Lead/00QV500000VScuvMAD/view</t>
  </si>
  <si>
    <t>Booking.com</t>
  </si>
  <si>
    <t>Global Capacity Planning Manager</t>
  </si>
  <si>
    <t>Matthew</t>
  </si>
  <si>
    <t>Train</t>
  </si>
  <si>
    <t>LinkedIn Ad: : eBook: Placing Agent Well-Being at the Heart of Contact Center Operations V5 (w/out state) - Mar 2025 [USE</t>
  </si>
  <si>
    <t>matthew.train@booking.com</t>
  </si>
  <si>
    <t>LinkedIn Ads</t>
  </si>
  <si>
    <t>Motus</t>
  </si>
  <si>
    <t>Director, Operations</t>
  </si>
  <si>
    <t>Afton</t>
  </si>
  <si>
    <t>Rupert</t>
  </si>
  <si>
    <t>arupert@motus.com</t>
  </si>
  <si>
    <t>https://intradiem2023.lightning.force.com/lightning/r/Lead/00QV500000X2cW8MAJ/view</t>
  </si>
  <si>
    <t>Ticketmaster UK</t>
  </si>
  <si>
    <t>Senior Director, Workforce Planning &amp; Forecasting</t>
  </si>
  <si>
    <t xml:space="preserve">Shirley </t>
  </si>
  <si>
    <t>Graham</t>
  </si>
  <si>
    <t xml:space="preserve">SWPP Webinar 1.28.26 - Watch on Demand Form </t>
  </si>
  <si>
    <t>shirley.graham@ticketmaster.co.uk</t>
  </si>
  <si>
    <t>Email Nurture</t>
  </si>
  <si>
    <t>shirley graham | Lead | Salesforce</t>
  </si>
  <si>
    <t>Techniker Krankenkasse</t>
  </si>
  <si>
    <t>Workforce Management Expertin</t>
  </si>
  <si>
    <t xml:space="preserve">Olga </t>
  </si>
  <si>
    <t>Schneidewind</t>
  </si>
  <si>
    <t>Form: SWPP Webinar 9.5.24 - Watch On-Demand Form US (use)</t>
  </si>
  <si>
    <t>olga.schneidewind@tk.de</t>
  </si>
  <si>
    <t>https://intradiem2023.lightning.force.com/lightning/r/Lead/00QV500000XEm9pMAD/view</t>
  </si>
  <si>
    <t xml:space="preserve">Ascension </t>
  </si>
  <si>
    <t>Manager, Member &amp; Provider Operations (Director Level – STAR/CHIP)</t>
  </si>
  <si>
    <t xml:space="preserve">Patrice </t>
  </si>
  <si>
    <t>Chance</t>
  </si>
  <si>
    <t>LinkedIn Ad: "Actionary Analyst Report Attrition"</t>
  </si>
  <si>
    <t>pchance@ascension.org</t>
  </si>
  <si>
    <t>Patrice Chance | Lead | Salesforce</t>
  </si>
  <si>
    <t xml:space="preserve">CareSource </t>
  </si>
  <si>
    <t xml:space="preserve">Call Center Analyst </t>
  </si>
  <si>
    <t xml:space="preserve">Stephanie </t>
  </si>
  <si>
    <t>Dixon</t>
  </si>
  <si>
    <t>stephanie.dixon@caresource.com</t>
  </si>
  <si>
    <t>Stephanie Dixon | Lead | Salesforce</t>
  </si>
  <si>
    <t>Kore Insulation</t>
  </si>
  <si>
    <t>Radial</t>
  </si>
  <si>
    <t>Lennar Corporation</t>
  </si>
  <si>
    <t>Troy</t>
  </si>
  <si>
    <t>Gibbins</t>
  </si>
  <si>
    <t>Contact Us Form</t>
  </si>
  <si>
    <t>tgibbins@lenarcorporation.com</t>
  </si>
  <si>
    <t>GMV</t>
  </si>
  <si>
    <t>Business Development Manager for Financial Services, Cybersecurity, AI, FinTech</t>
  </si>
  <si>
    <t>Marce</t>
  </si>
  <si>
    <t>Perez</t>
  </si>
  <si>
    <t>Watched Webinar On Demand - Why AI Alone isn't Enough (SWPP)</t>
  </si>
  <si>
    <t>mmperez@gmv.es</t>
  </si>
  <si>
    <t>Manager, Wealth Management Consultant</t>
  </si>
  <si>
    <t>Benny</t>
  </si>
  <si>
    <t>Webinar - SWPP Why Real-Time Automation is the Missing Link to Effective AI 05.08.25 - Watch On-Demand Form US</t>
  </si>
  <si>
    <t>besimpson@tiaa.org</t>
  </si>
  <si>
    <t>IT Park Uzbekistan</t>
  </si>
  <si>
    <t>Business and Export Development Manager</t>
  </si>
  <si>
    <t>Ayurna</t>
  </si>
  <si>
    <t>Mambetbayeva    </t>
  </si>
  <si>
    <t>a.mambetbayeva@outsource.gov.uz</t>
  </si>
  <si>
    <t>StoneEagle</t>
  </si>
  <si>
    <t>Director, Strategic Initiatives</t>
  </si>
  <si>
    <t>Rawlo</t>
  </si>
  <si>
    <t>Webinar 01.28.26 - Why AI Alone Isn’t Enough (Watch On Demand form)</t>
  </si>
  <si>
    <t>rsmith@rhsmith.umd.edu</t>
  </si>
  <si>
    <t>Texas Capital</t>
  </si>
  <si>
    <t>Solution Architect</t>
  </si>
  <si>
    <t>Thaddeus</t>
  </si>
  <si>
    <t>Thigpen</t>
  </si>
  <si>
    <t>tthigpen@amplifai.com</t>
  </si>
  <si>
    <t>https://intradiem2023.lightning.force.com/lightning/r/Lead/00QV500000aOZ4jMAG/view</t>
  </si>
  <si>
    <t>Boston Consulting Group</t>
  </si>
  <si>
    <t>Consultant</t>
  </si>
  <si>
    <t>Sachan</t>
  </si>
  <si>
    <t>sachan.akhil@bcg.com</t>
  </si>
  <si>
    <t>https://intradiem2023.lightning.force.com/lightning/r/Lead/00QV500000aIic9MAC/view</t>
  </si>
  <si>
    <t>American Express</t>
  </si>
  <si>
    <t>Analyst</t>
  </si>
  <si>
    <t>Shaun</t>
  </si>
  <si>
    <t>Williams</t>
  </si>
  <si>
    <t>Webinar on demand - Humana case study 5.19.26</t>
  </si>
  <si>
    <t>steven.s.williams@aexp.com</t>
  </si>
  <si>
    <t>Email Campaign</t>
  </si>
  <si>
    <t>https://intradiem2023.lightning.force.com/lightning/_classic/%2F00QV5000006N7CyMAK</t>
  </si>
  <si>
    <t>Bread Financial</t>
  </si>
  <si>
    <t>Brent</t>
  </si>
  <si>
    <t>Straus</t>
  </si>
  <si>
    <t>Form: Webinar 05.19.26 - CASE STUDY How Humana Leverages Automation to Transform Contact Center Operations (Watch On Demand form)</t>
  </si>
  <si>
    <t>brent.staus@breadfinancial.com</t>
  </si>
  <si>
    <t>https://intradiem2023.lightning.force.com/lightning/r/Lead/00QV500000bbOsVMAU/view</t>
  </si>
  <si>
    <t>Cars Protection Plus</t>
  </si>
  <si>
    <t>Senior Manager</t>
  </si>
  <si>
    <t>Cari</t>
  </si>
  <si>
    <t>Brooks</t>
  </si>
  <si>
    <t>cari.brooks@carspp.com</t>
  </si>
  <si>
    <t>https://intradiem2023.lightning.force.com/lightning/r/Lead/00QV500000bnIJRMA2/view</t>
  </si>
  <si>
    <t>MSC</t>
  </si>
  <si>
    <t>VP Contact Center Operations</t>
  </si>
  <si>
    <t>Massimo</t>
  </si>
  <si>
    <t>Bergamaschi</t>
  </si>
  <si>
    <t>Website - Partner Lead Registration</t>
  </si>
  <si>
    <t>massimo.bergamaschi@msccruisesusa.com</t>
  </si>
  <si>
    <t>https://intradiem2023.lightning.force.com/lightning/_classic/%2F00QV500000cSS57MAG</t>
  </si>
  <si>
    <t>Carnival Cruise Lines</t>
  </si>
  <si>
    <t>Director, Voice Solutions &amp; Infra PMO</t>
  </si>
  <si>
    <t>Tina</t>
  </si>
  <si>
    <t>Hernandez</t>
  </si>
  <si>
    <t>thernandez@carnival.com</t>
  </si>
  <si>
    <t>https://intradiem2023.lightning.force.com/lightning/r/Lead/00QV500000cSHPrMAO/view</t>
  </si>
  <si>
    <t>G-Hub-Pro Services Group</t>
  </si>
  <si>
    <t>Gideon</t>
  </si>
  <si>
    <t>Elbert</t>
  </si>
  <si>
    <t>Website - Partner Request - new</t>
  </si>
  <si>
    <t>gideon@ghubllc.com</t>
  </si>
  <si>
    <t>https://intradiem2023.lightning.force.com/lightning/r/Lead/00QV500000cnRm7MAE/view</t>
  </si>
  <si>
    <t>Millie and Severson Central Contractor</t>
  </si>
  <si>
    <t>Ben</t>
  </si>
  <si>
    <t>Severson</t>
  </si>
  <si>
    <t>bseverson@mandslnc.com</t>
  </si>
  <si>
    <t>https://intradiem2023.lightning.force.com/lightning/r/Lead/00QV500000d9cdtMAA/view</t>
  </si>
  <si>
    <t>Auto &amp; General Australia</t>
  </si>
  <si>
    <t>Solutions Advisor</t>
  </si>
  <si>
    <t>Adam</t>
  </si>
  <si>
    <t>Bowcut</t>
  </si>
  <si>
    <t>Website: Contact Us Form</t>
  </si>
  <si>
    <t>adam.bowcutt@autogeneral.com.au</t>
  </si>
  <si>
    <t>https://intradiem2023.lightning.force.com/lightning/r/Lead/00QV500000dKqX4MAK/view</t>
  </si>
  <si>
    <t>Shivani</t>
  </si>
  <si>
    <t>Collinson</t>
  </si>
  <si>
    <t>shivani.collinson@autogeneral.com.au</t>
  </si>
  <si>
    <t>https://intradiem2023.lightning.force.com/lightning/r/Lead/00QV500000dKtoHMAS/view</t>
  </si>
  <si>
    <t>Actionfi</t>
  </si>
  <si>
    <t>Arushi</t>
  </si>
  <si>
    <t>Website Lead - Filled out Partner Request Form</t>
  </si>
  <si>
    <t>arushi@actionfi.com</t>
  </si>
  <si>
    <t>https://intradiem2023.lightning.force.com/lightning/_classic/%2F00QV500000dGc9KMAS</t>
  </si>
  <si>
    <t>Manager, Product Management | Service Cloud Platform</t>
  </si>
  <si>
    <t>Jennifer</t>
  </si>
  <si>
    <t>De Mello</t>
  </si>
  <si>
    <t>Form: Website - DMG - Beyond the Myths: The Realities of AI in CX - Download</t>
  </si>
  <si>
    <t>jdemello@hubspot.com</t>
  </si>
  <si>
    <t>https://intradiem2023.lightning.force.com/lightning/r/Lead/00QV500000daA7FMAU/view</t>
  </si>
  <si>
    <t>Workforce Management Analyst</t>
  </si>
  <si>
    <t>Madeline</t>
  </si>
  <si>
    <t>Sacripanti</t>
  </si>
  <si>
    <t>demo form</t>
  </si>
  <si>
    <t>madeline.sacripanti@instructure.com</t>
  </si>
  <si>
    <t>Organic Search (duckduckgo)</t>
  </si>
  <si>
    <t>https://intradiem2023.lightning.force.com/lightning/r/Lead/00QV500000dXkC9MAK/view</t>
  </si>
  <si>
    <t>https://www.linkedin.com/in/madeline-sacripanti-01236320a/</t>
  </si>
  <si>
    <t>Assistant Director, Corporate Contact Center</t>
  </si>
  <si>
    <t>Stephanie</t>
  </si>
  <si>
    <t>Tiedens</t>
  </si>
  <si>
    <t>Value Report</t>
  </si>
  <si>
    <t>tiedens.stephenie@principal.com</t>
  </si>
  <si>
    <t>https://intradiem2023.lightning.force.com/lightning/_classic/%2F003V50000067IO7IAM</t>
  </si>
  <si>
    <t>Global Procurement Lead</t>
  </si>
  <si>
    <t>Kseniya</t>
  </si>
  <si>
    <t>Piniagina</t>
  </si>
  <si>
    <t>Demo form</t>
  </si>
  <si>
    <t>kseniya.piniagina@indriver.com</t>
  </si>
  <si>
    <t>https://intradiem2023.lightning.force.com/lightning/r/Lead/00QV500000dfKFfMAM/view</t>
  </si>
  <si>
    <t>JP Morgan</t>
  </si>
  <si>
    <t>Associate</t>
  </si>
  <si>
    <t>Pratiksha</t>
  </si>
  <si>
    <t>Tauro</t>
  </si>
  <si>
    <t>Filled Out Request Demo Form on Website</t>
  </si>
  <si>
    <t>pratiksha.barmera@chase.com</t>
  </si>
  <si>
    <t>https://intradiem2023.lightning.force.com/lightning/r/Lead/00QV500000dgCcfMAE/view</t>
  </si>
  <si>
    <t>Social Security Administration</t>
  </si>
  <si>
    <t>Melissa</t>
  </si>
  <si>
    <t>Poussart</t>
  </si>
  <si>
    <t>melissa.poussart@ssa.gov</t>
  </si>
  <si>
    <t>https://intradiem2023.lightning.force.com/lightning/r/Lead/00QV500000eWsPeMAK/view</t>
  </si>
  <si>
    <t>Torrealva</t>
  </si>
  <si>
    <t>oscar.torrealva@veritycu.com</t>
  </si>
  <si>
    <t>Bing Ad</t>
  </si>
  <si>
    <t>https://intradiem2023.lightning.force.com/lightning/r/Lead/00QV500000eoaPTMAY/view</t>
  </si>
  <si>
    <t>JPMC</t>
  </si>
  <si>
    <t>Workforce Analyst</t>
  </si>
  <si>
    <t>Nagel</t>
  </si>
  <si>
    <t>Senior Account Manager Business</t>
  </si>
  <si>
    <t>Donette</t>
  </si>
  <si>
    <t>Leathers</t>
  </si>
  <si>
    <t>donette.leathers@verizonwireless.com</t>
  </si>
  <si>
    <t>https://intradiem2023.lightning.force.com/lightning/r/Lead/00QV500000fAq7PMAS/view</t>
  </si>
  <si>
    <t># of MQL's</t>
  </si>
  <si>
    <t xml:space="preserve">Source </t>
  </si>
  <si>
    <t>Nov</t>
  </si>
  <si>
    <t>Google Ad - 2, Website - 1, Google Natural Search - 2</t>
  </si>
  <si>
    <t>Dec</t>
  </si>
  <si>
    <t xml:space="preserve">Bing Natural Search -1 </t>
  </si>
  <si>
    <t>RUNNING TOTALS:</t>
  </si>
  <si>
    <t>Jan</t>
  </si>
  <si>
    <t>LI Ad -1, Website - 1,  Bing natural search - 2</t>
  </si>
  <si>
    <t>6sense</t>
  </si>
  <si>
    <t>6sense ads attributed MQLs</t>
  </si>
  <si>
    <t>Feb</t>
  </si>
  <si>
    <t>LinkedIn Ad - 1, Google Natural Search - 2</t>
  </si>
  <si>
    <t>LinkedIn ads attributed MQLs</t>
  </si>
  <si>
    <t>Mar</t>
  </si>
  <si>
    <t>LinkedIn Ad - 1, G2 - 1, Website - 1</t>
  </si>
  <si>
    <t>Google Ads</t>
  </si>
  <si>
    <t>Google Ads attributed MQLs</t>
  </si>
  <si>
    <t>Apr</t>
  </si>
  <si>
    <t>Google Natural Search - 2</t>
  </si>
  <si>
    <t>Organic Search MQLs</t>
  </si>
  <si>
    <t>May</t>
  </si>
  <si>
    <t>LinkedIn Ad - 1</t>
  </si>
  <si>
    <t>Website (source NA/other)</t>
  </si>
  <si>
    <t>Website MQLs (source N/A)</t>
  </si>
  <si>
    <t>June</t>
  </si>
  <si>
    <t>Bing Natural Search - 2, Google Natural Search - 2, Google Ad - 1, Website - 1</t>
  </si>
  <si>
    <t>TOTAL INBOUND</t>
  </si>
  <si>
    <t>Digital MQLs (all sources)</t>
  </si>
  <si>
    <t>July</t>
  </si>
  <si>
    <t>Google Natural Search - 2, Google Ad- 1,  Organic Social - 1, Website - 1</t>
  </si>
  <si>
    <t>Paid Media Only</t>
  </si>
  <si>
    <t>inbound MQLs from Paid Media</t>
  </si>
  <si>
    <t>August</t>
  </si>
  <si>
    <t>Google Natural Search - 4, LinkedIn Ad - 1</t>
  </si>
  <si>
    <t>September</t>
  </si>
  <si>
    <t>Google Natural Search - 1, Website - 4</t>
  </si>
  <si>
    <t>October</t>
  </si>
  <si>
    <t>Google Ad - 2, Google Natural Search - 1, Website - 2</t>
  </si>
  <si>
    <t>November</t>
  </si>
  <si>
    <t xml:space="preserve">LinkedIn Ad - 1, Google Ad - 1, Google Natural Search - 2 </t>
  </si>
  <si>
    <t>December</t>
  </si>
  <si>
    <t>Google Natural Search - 1, Google Ad - 1</t>
  </si>
  <si>
    <t>Bing Natural Search - 1, Google Ad - 1</t>
  </si>
  <si>
    <t>LinkedIn Ads - 2, Google Natural Search - 2, Email Nurture - 1</t>
  </si>
  <si>
    <t>Paid Media Overview by Month 2025</t>
  </si>
  <si>
    <t>Google Ads 2025 By Month</t>
  </si>
  <si>
    <t>6sense Ads 2025 By Month</t>
  </si>
  <si>
    <t>LinkedIn Ads 2025 by Month</t>
  </si>
  <si>
    <t>Reddit Ads 2025 by Month</t>
  </si>
  <si>
    <t>Microsoft Ads 2025 by Month</t>
  </si>
  <si>
    <t>Total Spend</t>
  </si>
  <si>
    <t>Impressions</t>
  </si>
  <si>
    <t>Total Clicks</t>
  </si>
  <si>
    <t>CTR</t>
  </si>
  <si>
    <t>Clicks</t>
  </si>
  <si>
    <t>Conv. Rate</t>
  </si>
  <si>
    <t>Cost</t>
  </si>
  <si>
    <t>Accounts Reached</t>
  </si>
  <si>
    <t>eCPM</t>
  </si>
  <si>
    <t>Avg CTR</t>
  </si>
  <si>
    <t>Leads</t>
  </si>
  <si>
    <t>Conversions</t>
  </si>
  <si>
    <t>Conversion Rate</t>
  </si>
  <si>
    <t>Next steps:</t>
  </si>
  <si>
    <t>Inbound Leads by Source</t>
  </si>
  <si>
    <t>2 leads</t>
  </si>
  <si>
    <t>0 leads</t>
  </si>
  <si>
    <t>6 conversions</t>
  </si>
  <si>
    <t>future state goal: report on touches per account across channels. need to define touch - tech stack currently unable to report on for multiple ad channels.</t>
  </si>
  <si>
    <t>https://intradiem.sharepoint.com/:x:/s/Marketing/EYnefu445hBJsEDhO4OTbNEBOmW6jvB5oEHbdAm4aLe3IQ?e=DtvzHP</t>
  </si>
  <si>
    <t>0 conversions</t>
  </si>
  <si>
    <t>MQA and SAL stage coverage - automate marketing emails to the area where "leads go to die"</t>
  </si>
  <si>
    <t>1 lead</t>
  </si>
  <si>
    <t>shine a light on stage 1-2 (sits there a long time and some go back to nurture)</t>
  </si>
  <si>
    <t>how does marketing help sales get higher in an account?</t>
  </si>
  <si>
    <t>Paid Media Overview by Channel</t>
  </si>
  <si>
    <t xml:space="preserve">2 leads </t>
  </si>
  <si>
    <t>https://intradiem.sharepoint.com/:x:/s/Marketing/EWAVQhBPQd1IqXPP3e6_D4wBBZ_9wxxk5RaSakyG4hJAYQ?e=KDs8s6</t>
  </si>
  <si>
    <t>4 leads (0 MQLs)</t>
  </si>
  <si>
    <t>engagement campaign for SWPP webinar registrants, attendees to generate SALs</t>
  </si>
  <si>
    <t>1 lead (G4S), 12 conversions</t>
  </si>
  <si>
    <t>1 lead (1 MQL)</t>
  </si>
  <si>
    <t>Spend vs. Budget Tracker</t>
  </si>
  <si>
    <t>https://intradiem.sharepoint.com/:x:/s/Marketing/EblifdWqOG9EnHC7GKBI0lABXYWAP1WFbbyt5mvWk6htaA?e=2CexqB</t>
  </si>
  <si>
    <t>1 conversion</t>
  </si>
  <si>
    <t>7 leads (0 MQL)</t>
  </si>
  <si>
    <t>5 conversions</t>
  </si>
  <si>
    <t>2 leads (1 MQL) - VITO RT</t>
  </si>
  <si>
    <t>3 leads</t>
  </si>
  <si>
    <t>7 conversions</t>
  </si>
  <si>
    <t>2 conversions</t>
  </si>
  <si>
    <t xml:space="preserve">$14,985.00	</t>
  </si>
  <si>
    <t>SUM</t>
  </si>
  <si>
    <t>Prev version:</t>
  </si>
  <si>
    <t>https://intradiem.sharepoint.com/:x:/s/Marketing/ERhfM-J36aVOgegUmQgdOMIB9StV0fT91DuKqsZTWyNWGQ?e=LVUZ5T</t>
  </si>
  <si>
    <t xml:space="preserve">Events </t>
  </si>
  <si>
    <t>MQLs</t>
  </si>
  <si>
    <t xml:space="preserve">Opps </t>
  </si>
  <si>
    <t>Event Date Parsed</t>
  </si>
  <si>
    <t xml:space="preserve">The Forum UK </t>
  </si>
  <si>
    <t>11.5.24</t>
  </si>
  <si>
    <t xml:space="preserve">Five9 CX Summit </t>
  </si>
  <si>
    <t>11.12.24</t>
  </si>
  <si>
    <t xml:space="preserve">SWPP Webinar </t>
  </si>
  <si>
    <t>12.12.24</t>
  </si>
  <si>
    <t>2.25.25</t>
  </si>
  <si>
    <t>Execs in the Know: CRS Spring</t>
  </si>
  <si>
    <t>3.3.25</t>
  </si>
  <si>
    <t xml:space="preserve">CCW Exchange UK </t>
  </si>
  <si>
    <t>3.5.25</t>
  </si>
  <si>
    <t>CCW Exchange Austin</t>
  </si>
  <si>
    <t>3.12.25</t>
  </si>
  <si>
    <t>Forefront Toronto</t>
  </si>
  <si>
    <t>3.26.25</t>
  </si>
  <si>
    <t xml:space="preserve">Frost and Sullivan </t>
  </si>
  <si>
    <t>4.6.25</t>
  </si>
  <si>
    <t xml:space="preserve">SWPP Conference </t>
  </si>
  <si>
    <t>4.25.25</t>
  </si>
  <si>
    <t>4.30.25</t>
  </si>
  <si>
    <t>5.8.25</t>
  </si>
  <si>
    <t xml:space="preserve">Call Miner UK </t>
  </si>
  <si>
    <t>6.3.25</t>
  </si>
  <si>
    <t>CCMA Connect</t>
  </si>
  <si>
    <t>6.10.25</t>
  </si>
  <si>
    <t>Forum Best Practices Showcase</t>
  </si>
  <si>
    <t>6.12.25</t>
  </si>
  <si>
    <t>Actionary/Intradiem webinar</t>
  </si>
  <si>
    <t>6.26.25</t>
  </si>
  <si>
    <t>Genesys Partners and Friends webinar</t>
  </si>
  <si>
    <t>7.21.25</t>
  </si>
  <si>
    <t>Five9 Ampify webnar</t>
  </si>
  <si>
    <t>7.23.25</t>
  </si>
  <si>
    <t>Auriemma</t>
  </si>
  <si>
    <t>8.7.25</t>
  </si>
  <si>
    <t xml:space="preserve">Genesys Xperience </t>
  </si>
  <si>
    <t>9.10.25</t>
  </si>
  <si>
    <t>9.30.25</t>
  </si>
  <si>
    <t xml:space="preserve">CCW Expo - Amsterdam </t>
  </si>
  <si>
    <t>10.6.25</t>
  </si>
  <si>
    <t xml:space="preserve">Call Design WOW </t>
  </si>
  <si>
    <t>10.14.25</t>
  </si>
  <si>
    <t>CCW Exchange</t>
  </si>
  <si>
    <t>11.3.25</t>
  </si>
  <si>
    <t>The Forum Conference</t>
  </si>
  <si>
    <t>GTACC Conference</t>
  </si>
  <si>
    <t>11.17.25</t>
  </si>
  <si>
    <t>Contact Centre Expo</t>
  </si>
  <si>
    <t>11.19.25</t>
  </si>
  <si>
    <t xml:space="preserve">Auriemma WFM Roundtable </t>
  </si>
  <si>
    <t>11.20.25</t>
  </si>
  <si>
    <t>1.28.26</t>
  </si>
  <si>
    <t>2.25.26</t>
  </si>
  <si>
    <t>3.4 - 3.6</t>
  </si>
  <si>
    <t>3.3 - 3.5</t>
  </si>
  <si>
    <t xml:space="preserve">CCW Market Report UK </t>
  </si>
  <si>
    <t xml:space="preserve">Ongoing </t>
  </si>
  <si>
    <t>Frost &amp; Sullivan CCEast</t>
  </si>
  <si>
    <t>4.12 - 4.15</t>
  </si>
  <si>
    <t>Contact NB Awards Gala and Tradeshow</t>
  </si>
  <si>
    <t>SWPP</t>
  </si>
  <si>
    <t>4.27 - 4.29</t>
  </si>
  <si>
    <t>UK Genesys Xperience</t>
  </si>
  <si>
    <t>4.28 - 4.29</t>
  </si>
  <si>
    <t xml:space="preserve">AUS Connect </t>
  </si>
  <si>
    <t>4.29-30</t>
  </si>
  <si>
    <t xml:space="preserve">Genesys Bootcamps </t>
  </si>
  <si>
    <t>Webinar on Demand - Webinar 01.28.26 - Why AI Alone Isn’t Enough (Watch On Demand form)</t>
  </si>
  <si>
    <t xml:space="preserve">UK FEC </t>
  </si>
  <si>
    <t>SWPP/Humana Webinar</t>
  </si>
  <si>
    <t>Consero</t>
  </si>
  <si>
    <t>Genesys Drive for Solution Consultants</t>
  </si>
  <si>
    <t>7.22 - 23</t>
  </si>
  <si>
    <t>Genesys Xperience</t>
  </si>
  <si>
    <t>9.1 - 3</t>
  </si>
  <si>
    <t>DMG Webinar</t>
  </si>
  <si>
    <t>comp</t>
  </si>
  <si>
    <t>Execs in the Know: CRS Fall</t>
  </si>
  <si>
    <t>9.30 - 10.2</t>
  </si>
  <si>
    <t>Five9 CX Connect Americas</t>
  </si>
  <si>
    <t>10.12 - 10.13</t>
  </si>
  <si>
    <t xml:space="preserve">CX BFSI Exchange </t>
  </si>
  <si>
    <t>10.13 - 10.14</t>
  </si>
  <si>
    <t>WOW Call Design Australia Conference</t>
  </si>
  <si>
    <t>10.13-14</t>
  </si>
  <si>
    <t>10.13 10.15</t>
  </si>
  <si>
    <t xml:space="preserve">Alvaria User Conference </t>
  </si>
  <si>
    <t>10.13-16</t>
  </si>
  <si>
    <t>Lead Source</t>
  </si>
  <si>
    <t>Stage</t>
  </si>
  <si>
    <t>Solution Design/Value Creation</t>
  </si>
  <si>
    <t>BDR Outbound</t>
  </si>
  <si>
    <t>memoryBlue-US</t>
  </si>
  <si>
    <t>Sales</t>
  </si>
  <si>
    <t>Exclude</t>
  </si>
  <si>
    <t>Unqualified</t>
  </si>
  <si>
    <t>Hosted Event</t>
  </si>
  <si>
    <t>Closed Lost</t>
  </si>
  <si>
    <t>memoryBlue-UK</t>
  </si>
  <si>
    <t>webhelp-access-requested</t>
  </si>
  <si>
    <t>Negotiate</t>
  </si>
  <si>
    <t>Event</t>
  </si>
  <si>
    <t>Lost</t>
  </si>
  <si>
    <t>Referral</t>
  </si>
  <si>
    <t>Outbound Email</t>
  </si>
  <si>
    <t>Lusha</t>
  </si>
  <si>
    <t>Webinar</t>
  </si>
  <si>
    <t>Display Ad</t>
  </si>
  <si>
    <t>Linkedin Sales Navigator</t>
  </si>
  <si>
    <t>Zoominfo</t>
  </si>
  <si>
    <t>Google Ad - SEM</t>
  </si>
  <si>
    <t>Inside Sales</t>
  </si>
  <si>
    <t>Current customer</t>
  </si>
  <si>
    <t>Web Site</t>
  </si>
  <si>
    <t>Sales Initiated</t>
  </si>
  <si>
    <t>Third Party</t>
  </si>
  <si>
    <t>Partner Program</t>
  </si>
  <si>
    <t>Inbound Email</t>
  </si>
  <si>
    <t>Marketing Research</t>
  </si>
  <si>
    <t>Report:</t>
  </si>
  <si>
    <t>Pipeline Council - Opp Stage History</t>
  </si>
  <si>
    <t>Field / Event</t>
  </si>
  <si>
    <t>Old Value</t>
  </si>
  <si>
    <t>New Value</t>
  </si>
  <si>
    <t>Edit Date</t>
  </si>
  <si>
    <t>Opportunity Name</t>
  </si>
  <si>
    <t>Lead Source Original</t>
  </si>
  <si>
    <t>Created Date</t>
  </si>
  <si>
    <t>Close Date</t>
  </si>
  <si>
    <t>Total Net New ACV</t>
  </si>
  <si>
    <t>Opportunity ID</t>
  </si>
  <si>
    <t>Account Name</t>
  </si>
  <si>
    <t>Change Date</t>
  </si>
  <si>
    <t>Is Late Stage</t>
  </si>
  <si>
    <t>Is Closed Won</t>
  </si>
  <si>
    <t>LateStage_Unique_Monthly_Flag</t>
  </si>
  <si>
    <t>ClosedWon_Unique_Monthly_Flag</t>
  </si>
  <si>
    <t>Is Closed Lost</t>
  </si>
  <si>
    <t>ClostLost_Unique_Monthly_Flag</t>
  </si>
  <si>
    <t>Aging</t>
  </si>
  <si>
    <t>Next Stage Date</t>
  </si>
  <si>
    <t>Days in Stage</t>
  </si>
  <si>
    <t>Current Stage Flag</t>
  </si>
  <si>
    <t>Opp Closed Won Date</t>
  </si>
  <si>
    <t>First Late Stage Date</t>
  </si>
  <si>
    <t>Days Created to Late Stage</t>
  </si>
  <si>
    <t>Days from Late Stage to Closed Won</t>
  </si>
  <si>
    <t>Days Created to Won</t>
  </si>
  <si>
    <t>Include in Aging Calc</t>
  </si>
  <si>
    <t>7/31/2026, 11:49 AM</t>
  </si>
  <si>
    <t>McKesson - Queue Optimizer</t>
  </si>
  <si>
    <t>006V500000QLG61</t>
  </si>
  <si>
    <t>McKesson</t>
  </si>
  <si>
    <t>7/31/2026, 11:28 AM</t>
  </si>
  <si>
    <t>Five9 - Telus - NTT Data</t>
  </si>
  <si>
    <t>006V500000TdK6D</t>
  </si>
  <si>
    <t>NTT Data Group</t>
  </si>
  <si>
    <t>7/31/2026, 9:18 AM</t>
  </si>
  <si>
    <t>Rogers - Shaw Communications</t>
  </si>
  <si>
    <t>006V50000052T6M</t>
  </si>
  <si>
    <t>Rogers Communications Canada</t>
  </si>
  <si>
    <t>7/31/2026, 9:02 AM</t>
  </si>
  <si>
    <t>Farmers - Agent-Aux State Analysis</t>
  </si>
  <si>
    <t>006V500000QVL7f</t>
  </si>
  <si>
    <t>Farmers Insurance</t>
  </si>
  <si>
    <t>7/31/2026, 9:01 AM</t>
  </si>
  <si>
    <t>7/31/2026, 8:28 AM</t>
  </si>
  <si>
    <t>Guardian life insurance</t>
  </si>
  <si>
    <t>006V500000CPD83</t>
  </si>
  <si>
    <t>Guardian Life</t>
  </si>
  <si>
    <t>7/31/2026, 8:27 AM</t>
  </si>
  <si>
    <t>Guardian</t>
  </si>
  <si>
    <t>006V500000CPD82</t>
  </si>
  <si>
    <t>7/31/2026, 7:09 AM</t>
  </si>
  <si>
    <t>7/30/2026, 12:59 PM</t>
  </si>
  <si>
    <t>Snap Finance- Additional UK Licenses &amp; Thrive Reset Licenses</t>
  </si>
  <si>
    <t>006V500000UF4V3</t>
  </si>
  <si>
    <t>Snap Finance LLC</t>
  </si>
  <si>
    <t>7/30/2026, 11:59 AM</t>
  </si>
  <si>
    <t>006V500000J4v1Z</t>
  </si>
  <si>
    <t>Teleperformance USA</t>
  </si>
  <si>
    <t>7/30/2026, 11:57 AM</t>
  </si>
  <si>
    <t>AssetMark - NL</t>
  </si>
  <si>
    <t>006V500000PFy77</t>
  </si>
  <si>
    <t>AssetMark Inc</t>
  </si>
  <si>
    <t>7/30/2026, 11:56 AM</t>
  </si>
  <si>
    <t>Capital Group - sys expansion - Thrive &amp; BI</t>
  </si>
  <si>
    <t>006V500000PGdbh</t>
  </si>
  <si>
    <t>7/30/2026, 11:14 AM</t>
  </si>
  <si>
    <t>MAPFRE Insurance</t>
  </si>
  <si>
    <t>6sense SI</t>
  </si>
  <si>
    <t>006V500000Quple</t>
  </si>
  <si>
    <t>MAPFRE Insurance Company</t>
  </si>
  <si>
    <t>7/29/2026, 1:09 PM</t>
  </si>
  <si>
    <t>RBC Pilot - Branch</t>
  </si>
  <si>
    <t>006V500000DMjdJ</t>
  </si>
  <si>
    <t>Royal Bank of Canada (RBC)</t>
  </si>
  <si>
    <t>7/29/2026, 1:05 PM</t>
  </si>
  <si>
    <t>Piedmont Healthcare</t>
  </si>
  <si>
    <t>Other - Marketing</t>
  </si>
  <si>
    <t>006V500000Q7lhZ</t>
  </si>
  <si>
    <t>Piedmont Healthcare Incorporated</t>
  </si>
  <si>
    <t>7/29/2026, 1:02 PM</t>
  </si>
  <si>
    <t>Nationwide - Pilot</t>
  </si>
  <si>
    <t>006V500000UL4FR</t>
  </si>
  <si>
    <t>Nationwide Mutual Insurance Company</t>
  </si>
  <si>
    <t>7/29/2026, 1:00 PM</t>
  </si>
  <si>
    <t>Five9 - Johnson Controls - Initial Solution</t>
  </si>
  <si>
    <t>006V500000SFYip</t>
  </si>
  <si>
    <t>Johnson Controls</t>
  </si>
  <si>
    <t>7/29/2026, 12:59 PM</t>
  </si>
  <si>
    <t>FedEx - Front Office Deployment</t>
  </si>
  <si>
    <t>006V500000LH121</t>
  </si>
  <si>
    <t>FedEx</t>
  </si>
  <si>
    <t>7/29/2026, 11:13 AM</t>
  </si>
  <si>
    <t>Luxottica $0 POV</t>
  </si>
  <si>
    <t>006V500000UpWvq</t>
  </si>
  <si>
    <t>Luxottica</t>
  </si>
  <si>
    <t>7/23/2026, 4:43 PM</t>
  </si>
  <si>
    <t>MMS - Genesys Migration Effort</t>
  </si>
  <si>
    <t>006V500000Qqpgz</t>
  </si>
  <si>
    <t>McKesson Medical Surgical</t>
  </si>
  <si>
    <t>7/23/2026, 2:07 PM</t>
  </si>
  <si>
    <t>CAA-Club Group (Avaya)- Adaptive Capabilities Solution Add On</t>
  </si>
  <si>
    <t>006V500000RyeUV</t>
  </si>
  <si>
    <t>7/22/2026, 2:24 PM</t>
  </si>
  <si>
    <t>Encoura ( Anthology)-SSO Migration</t>
  </si>
  <si>
    <t>006V500000TNTS1</t>
  </si>
  <si>
    <t>Anthology</t>
  </si>
  <si>
    <t>7/22/2026, 1:59 PM</t>
  </si>
  <si>
    <t>CVS Caremark UPT Pilot (FOC as part of enterrpise contract))</t>
  </si>
  <si>
    <t>006V500000OcDOD</t>
  </si>
  <si>
    <t>CVS Health</t>
  </si>
  <si>
    <t>7/22/2026, 12:43 PM</t>
  </si>
  <si>
    <t>Commonwealth Edison- Additional Licenses</t>
  </si>
  <si>
    <t>006V500000PxnMT</t>
  </si>
  <si>
    <t>Exelon Corporation</t>
  </si>
  <si>
    <t>7/22/2026, 12:19 PM</t>
  </si>
  <si>
    <t>7/22/2026, 8:30 AM</t>
  </si>
  <si>
    <t>7/21/2026, 3:12 PM</t>
  </si>
  <si>
    <t>Synchrony - Genesys Pilot</t>
  </si>
  <si>
    <t>006V500000RgIsE</t>
  </si>
  <si>
    <t>Synchrony Financial</t>
  </si>
  <si>
    <t>7/21/2026, 3:10 PM</t>
  </si>
  <si>
    <t>PNC - Services - Genesys Provider (Manual Failover)</t>
  </si>
  <si>
    <t>006V500000TDfSv</t>
  </si>
  <si>
    <t>PNC Financial</t>
  </si>
  <si>
    <t>PNC - Services - LivePerson SOW</t>
  </si>
  <si>
    <t>006V500000TDlTR</t>
  </si>
  <si>
    <t>7/21/2026, 2:55 PM</t>
  </si>
  <si>
    <t>7/21/2026, 2:48 PM</t>
  </si>
  <si>
    <t>Citi - UMA Changes</t>
  </si>
  <si>
    <t>006V500000IgA73</t>
  </si>
  <si>
    <t>Citicorp Credit Services</t>
  </si>
  <si>
    <t>7/21/2026, 11:01 AM</t>
  </si>
  <si>
    <t>JPMC - Amazon Connect Façade CO 1</t>
  </si>
  <si>
    <t>006V500000PhmxU</t>
  </si>
  <si>
    <t>JPMorgan Chase</t>
  </si>
  <si>
    <t>7/21/2026, 9:39 AM</t>
  </si>
  <si>
    <t>UHG - Disaster Recovery Project</t>
  </si>
  <si>
    <t>Drip Email</t>
  </si>
  <si>
    <t>006V500000Kgpc5</t>
  </si>
  <si>
    <t>Optum</t>
  </si>
  <si>
    <t>7/21/2026, 9:18 AM</t>
  </si>
  <si>
    <t>7/20/2026, 2:17 PM</t>
  </si>
  <si>
    <t>Alaska Airlines</t>
  </si>
  <si>
    <t>006V5000008Mwrx</t>
  </si>
  <si>
    <t>7/20/2026, 10:52 AM</t>
  </si>
  <si>
    <t>KPIT- NICE Migration-NW Clinical</t>
  </si>
  <si>
    <t>006V500000TsuSk</t>
  </si>
  <si>
    <t>Kaiser Permanente (KPIT)</t>
  </si>
  <si>
    <t>7/17/2026, 12:08 PM</t>
  </si>
  <si>
    <t>The Home Depot- User Productivity Tracking Pilot</t>
  </si>
  <si>
    <t>006V500000Ptx2i</t>
  </si>
  <si>
    <t>The Home Depot</t>
  </si>
  <si>
    <t>7/17/2026, 12:05 PM</t>
  </si>
  <si>
    <t>7/14/2026, 10:33 AM</t>
  </si>
  <si>
    <t>Citi - FTP Site Update</t>
  </si>
  <si>
    <t>006V500000BZVdh</t>
  </si>
  <si>
    <t>7/14/2026, 10:31 AM</t>
  </si>
  <si>
    <t>Citi - 8 Hosted RIS Upgrade V11</t>
  </si>
  <si>
    <t>006V500000BKWNB</t>
  </si>
  <si>
    <t>7/9/2026, 1:21 PM</t>
  </si>
  <si>
    <t>The Priceline Group</t>
  </si>
  <si>
    <t>006V500000QSfsT</t>
  </si>
  <si>
    <t>7/9/2026, 1:18 PM</t>
  </si>
  <si>
    <t>7/9/2026, 12:39 PM</t>
  </si>
  <si>
    <t>CAA Club Group- Back Office Pilot</t>
  </si>
  <si>
    <t>006V500000P5DeC</t>
  </si>
  <si>
    <t>7/9/2026, 12:37 PM</t>
  </si>
  <si>
    <t>CAA-Club Group (Avaya)- 40 Additional Licenses</t>
  </si>
  <si>
    <t>006V500000SbfLp</t>
  </si>
  <si>
    <t>7/8/2026, 4:16 PM</t>
  </si>
  <si>
    <t>Wells Fargo Five9 Add'l Use Cases</t>
  </si>
  <si>
    <t>006V500000NBJGg</t>
  </si>
  <si>
    <t>Wells Fargo (Five9)</t>
  </si>
  <si>
    <t>7/8/2026, 4:03 PM</t>
  </si>
  <si>
    <t>BetMGM UPT Pilot</t>
  </si>
  <si>
    <t>006V500000B6SmT</t>
  </si>
  <si>
    <t>7/8/2026, 4:02 PM</t>
  </si>
  <si>
    <t>ADP - HRO Group</t>
  </si>
  <si>
    <t>006V500000Folfp</t>
  </si>
  <si>
    <t>ADP</t>
  </si>
  <si>
    <t>7/8/2026, 2:56 PM</t>
  </si>
  <si>
    <t>TD Bank - AMCB US Contact Center</t>
  </si>
  <si>
    <t>006V500000MDGv7</t>
  </si>
  <si>
    <t>TD Bank Group</t>
  </si>
  <si>
    <t>7/8/2026, 1:09 PM</t>
  </si>
  <si>
    <t>First National Bank of Omaha</t>
  </si>
  <si>
    <t>006V5000007qpiL</t>
  </si>
  <si>
    <t>7/8/2026, 9:43 AM</t>
  </si>
  <si>
    <t>7/8/2026, 9:21 AM</t>
  </si>
  <si>
    <t>Charter Communications</t>
  </si>
  <si>
    <t>006V500000DS7YX</t>
  </si>
  <si>
    <t>7/8/2026, 9:19 AM</t>
  </si>
  <si>
    <t>006V500000KbjaX</t>
  </si>
  <si>
    <t>7/8/2026, 8:47 AM</t>
  </si>
  <si>
    <t>HCSC - LMS Integration</t>
  </si>
  <si>
    <t>006V5000006WvhF</t>
  </si>
  <si>
    <t>Health Care Service Corporation</t>
  </si>
  <si>
    <t>7/8/2026, 7:18 AM</t>
  </si>
  <si>
    <t>Cox Communication Agentic Burnout Reduction Pilot</t>
  </si>
  <si>
    <t>006V500000Kfrck</t>
  </si>
  <si>
    <t>Cox Communications</t>
  </si>
  <si>
    <t>7/7/2026, 4:22 PM</t>
  </si>
  <si>
    <t>Assist Australia - NL - Call Design - Entire Team</t>
  </si>
  <si>
    <t>Call Design - AU</t>
  </si>
  <si>
    <t>006V5000006S1gt</t>
  </si>
  <si>
    <t>Australian Motoring Services</t>
  </si>
  <si>
    <t>7/7/2026, 12:25 PM</t>
  </si>
  <si>
    <t>7/7/2026, 11:44 AM</t>
  </si>
  <si>
    <t>Snap Finance- Agent Burnout Indicator (FOC)</t>
  </si>
  <si>
    <t>006V500000DAGLn</t>
  </si>
  <si>
    <t>7/7/2026, 10:18 AM</t>
  </si>
  <si>
    <t>Cigna UPT Pilot</t>
  </si>
  <si>
    <t>006V50000052Y8M</t>
  </si>
  <si>
    <t>CIGNA</t>
  </si>
  <si>
    <t>7/7/2026, 10:17 AM</t>
  </si>
  <si>
    <t>Cigna - CSC Webex Cloud Migration</t>
  </si>
  <si>
    <t>006V500000CBS25</t>
  </si>
  <si>
    <t>Cigna - Productivity Tracking PIlot WFM Team</t>
  </si>
  <si>
    <t>006V50000052Y7s</t>
  </si>
  <si>
    <t>7/7/2026, 2:57 AM</t>
  </si>
  <si>
    <t>Belron Group - UK Post Pilot 400 agents</t>
  </si>
  <si>
    <t>006V500000MbB9d</t>
  </si>
  <si>
    <t>Belron Group</t>
  </si>
  <si>
    <t>7/7/2026, 2:24 AM</t>
  </si>
  <si>
    <t>Carnival UK- 343 agents post pilot</t>
  </si>
  <si>
    <t>LinkedIn Sales Navigator</t>
  </si>
  <si>
    <t>006V500000CvUP4</t>
  </si>
  <si>
    <t>Carnival UK</t>
  </si>
  <si>
    <t>7/6/2026, 1:13 PM</t>
  </si>
  <si>
    <t>Wells Fargo CCaaS Expansion Q3 2026</t>
  </si>
  <si>
    <t>006V500000MT7hN</t>
  </si>
  <si>
    <t>7/6/2026, 10:53 AM</t>
  </si>
  <si>
    <t>006V500000TwtWU</t>
  </si>
  <si>
    <t>7/6/2026, 10:52 AM</t>
  </si>
  <si>
    <t>7/6/2026, 10:39 AM</t>
  </si>
  <si>
    <t>Startek</t>
  </si>
  <si>
    <t>006V500000IJy7m</t>
  </si>
  <si>
    <t>7/6/2026, 10:24 AM</t>
  </si>
  <si>
    <t>Nationwide - Post-Pilot</t>
  </si>
  <si>
    <t>006V500000UBmo1</t>
  </si>
  <si>
    <t>7/6/2026, 8:59 AM</t>
  </si>
  <si>
    <t>006V500000BKQ4r</t>
  </si>
  <si>
    <t>PG&amp;E Back Office Pilot</t>
  </si>
  <si>
    <t>006V5000009BPif</t>
  </si>
  <si>
    <t>PG&amp;E Corporation</t>
  </si>
  <si>
    <t>Regions Financial Corporation</t>
  </si>
  <si>
    <t>006V500000BcJGF</t>
  </si>
  <si>
    <t>7/6/2026, 8:58 AM</t>
  </si>
  <si>
    <t>CommonSpirit Health</t>
  </si>
  <si>
    <t>006V500000Bc6PR</t>
  </si>
  <si>
    <t>7/6/2026, 8:01 AM</t>
  </si>
  <si>
    <t>Goldman Sachs - Attendance Management - Post Pilot</t>
  </si>
  <si>
    <t>006V5000008Aqn7</t>
  </si>
  <si>
    <t>Goldman Sachs</t>
  </si>
  <si>
    <t>7/6/2026, 7:03 AM</t>
  </si>
  <si>
    <t>Molina Second LOB</t>
  </si>
  <si>
    <t>006V500000NeOXp</t>
  </si>
  <si>
    <t>Molina Healthcare</t>
  </si>
  <si>
    <t>7/6/2026, 5:59 AM</t>
  </si>
  <si>
    <t>006V500000CJ5DC</t>
  </si>
  <si>
    <t>7/6/2026, 5:50 AM</t>
  </si>
  <si>
    <t>Humana - DMS</t>
  </si>
  <si>
    <t>006V500000MYqE2</t>
  </si>
  <si>
    <t>Humana</t>
  </si>
  <si>
    <t>7/6/2026, 5:44 AM</t>
  </si>
  <si>
    <t>CVS</t>
  </si>
  <si>
    <t>006V500000OmpIY</t>
  </si>
  <si>
    <t>7/6/2026, 5:26 AM</t>
  </si>
  <si>
    <t>7/2/2026, 12:06 PM</t>
  </si>
  <si>
    <t>7/2/2026, 8:45 AM</t>
  </si>
  <si>
    <t>Amica Mutual - 90-day POV extension</t>
  </si>
  <si>
    <t>006V500000TDKI1</t>
  </si>
  <si>
    <t>Amica Mutual</t>
  </si>
  <si>
    <t>7/1/2026, 11:35 AM</t>
  </si>
  <si>
    <t>006V500000Pc86D</t>
  </si>
  <si>
    <t>TIAA-CREF</t>
  </si>
  <si>
    <t>7/1/2026, 9:06 AM</t>
  </si>
  <si>
    <t>JPMC - Burnout Pilot</t>
  </si>
  <si>
    <t>006V50000052ZMf</t>
  </si>
  <si>
    <t>7/1/2026, 9:05 AM</t>
  </si>
  <si>
    <t>JPMC - Services - Disaster Recovery</t>
  </si>
  <si>
    <t>006V500000S07W1</t>
  </si>
  <si>
    <t>JPMC - Services - Chat CCaaS Provider</t>
  </si>
  <si>
    <t>006V500000RwlM8</t>
  </si>
  <si>
    <t>JPMC - Services - Back Office CCaaS Provider</t>
  </si>
  <si>
    <t>006V500000Rx35Z</t>
  </si>
  <si>
    <t>7/1/2026, 9:04 AM</t>
  </si>
  <si>
    <t>JPMC Queue and Back Office Optimizer</t>
  </si>
  <si>
    <t>006V500000TnZvB</t>
  </si>
  <si>
    <t>7/1/2026, 8:56 AM</t>
  </si>
  <si>
    <t>6/30/2026, 10:01 PM</t>
  </si>
  <si>
    <t>SCAN- AGENT COUNT</t>
  </si>
  <si>
    <t>006V500000NlN5Z</t>
  </si>
  <si>
    <t>SCAN Health Plan</t>
  </si>
  <si>
    <t>6/30/2026, 10:00 PM</t>
  </si>
  <si>
    <t>6/30/2026, 9:59 PM</t>
  </si>
  <si>
    <t>6/30/2026, 9:58 PM</t>
  </si>
  <si>
    <t>6/30/2026, 3:21 PM</t>
  </si>
  <si>
    <t>006V500000Fw2NO</t>
  </si>
  <si>
    <t>6/29/2026, 9:11 AM</t>
  </si>
  <si>
    <t>Travelers - Genesys CX Cloud ACD Migration</t>
  </si>
  <si>
    <t>006V50000052VUq</t>
  </si>
  <si>
    <t>6/29/2026, 7:48 AM</t>
  </si>
  <si>
    <t>SoFi-Back Office Opportunity.</t>
  </si>
  <si>
    <t>006V500000A2loI</t>
  </si>
  <si>
    <t>Social Finance (SoFi)</t>
  </si>
  <si>
    <t>6/29/2026, 2:50 AM</t>
  </si>
  <si>
    <t>ResultsCX - 60-60 POV</t>
  </si>
  <si>
    <t>006V500000TNGBR</t>
  </si>
  <si>
    <t>ResultsCX</t>
  </si>
  <si>
    <t>6/26/2026, 9:49 AM</t>
  </si>
  <si>
    <t>BCD Travel - NL</t>
  </si>
  <si>
    <t>006V500000DcKpR</t>
  </si>
  <si>
    <t>BCD Travel</t>
  </si>
  <si>
    <t>6/25/2026, 1:22 PM</t>
  </si>
  <si>
    <t>Assurant - Cisco Chat Integration</t>
  </si>
  <si>
    <t>006V500000ScLzN</t>
  </si>
  <si>
    <t>Assurant</t>
  </si>
  <si>
    <t>6/25/2026, 12:23 PM</t>
  </si>
  <si>
    <t>Optum - LP Instance Migration CO1 SOW72</t>
  </si>
  <si>
    <t>006V500000Lh67h</t>
  </si>
  <si>
    <t>6/25/2026, 8:52 AM</t>
  </si>
  <si>
    <t>Wells Fargo CCaaS Q2 2026 Overages</t>
  </si>
  <si>
    <t>006V500000MT7O1</t>
  </si>
  <si>
    <t>6/25/2026, 8:51 AM</t>
  </si>
  <si>
    <t>6/25/2026, 7:50 AM</t>
  </si>
  <si>
    <t>Aetna A1A Integration and Upload</t>
  </si>
  <si>
    <t>006V500000TNiu5</t>
  </si>
  <si>
    <t>Aetna</t>
  </si>
  <si>
    <t>6/24/2026, 11:46 AM</t>
  </si>
  <si>
    <t>6/23/2026, 5:32 AM</t>
  </si>
  <si>
    <t>Test</t>
  </si>
  <si>
    <t>006V500000QhpgF</t>
  </si>
  <si>
    <t>WellMed Medical</t>
  </si>
  <si>
    <t>UHG - Amazon Connect Facade</t>
  </si>
  <si>
    <t>006V500000MjhfH</t>
  </si>
  <si>
    <t>UnitedHealth Group (UHG)</t>
  </si>
  <si>
    <t>6/23/2026, 5:15 AM</t>
  </si>
  <si>
    <t>Optum - Full CC Deployment</t>
  </si>
  <si>
    <t>006V500000Crk0z</t>
  </si>
  <si>
    <t>6/23/2026, 5:09 AM</t>
  </si>
  <si>
    <t>6/23/2026, 5:06 AM</t>
  </si>
  <si>
    <t>UHG - Optum CC &amp; 360 (10,000)</t>
  </si>
  <si>
    <t>006V500000KKZxN</t>
  </si>
  <si>
    <t>6/22/2026, 12:47 PM</t>
  </si>
  <si>
    <t>Alorica - Front Office tranche 1</t>
  </si>
  <si>
    <t>ConvergeOne (C1)</t>
  </si>
  <si>
    <t>006V500000Nl1JZ</t>
  </si>
  <si>
    <t>6/20/2026, 7:50 AM</t>
  </si>
  <si>
    <t>KeyBank NL</t>
  </si>
  <si>
    <t>006V500000QQpZP</t>
  </si>
  <si>
    <t>KeyBank</t>
  </si>
  <si>
    <t>6/19/2026, 5:44 AM</t>
  </si>
  <si>
    <t>Call Design Whakarongorau - POV</t>
  </si>
  <si>
    <t>006V500000SE34M</t>
  </si>
  <si>
    <t>Whakarongorau NZ Telehealth Services</t>
  </si>
  <si>
    <t>6/18/2026, 12:00 PM</t>
  </si>
  <si>
    <t>Genesys -MMS  - Renewal Through Genesys (Upside of Users Only)</t>
  </si>
  <si>
    <t>006V500000OWN0T</t>
  </si>
  <si>
    <t>6/18/2026, 3:24 AM</t>
  </si>
  <si>
    <t>Teleperformance UK (DWP) - Agent Burnout Indicator</t>
  </si>
  <si>
    <t>006V500000FXVnb</t>
  </si>
  <si>
    <t>Teleperformance UK</t>
  </si>
  <si>
    <t>6/17/2026, 11:31 AM</t>
  </si>
  <si>
    <t>Citi - Agent Burnout Indicator Pilot</t>
  </si>
  <si>
    <t>006V500000Bk9Zp</t>
  </si>
  <si>
    <t>6/17/2026, 7:04 AM</t>
  </si>
  <si>
    <t>Willams-Sonoma NL</t>
  </si>
  <si>
    <t>006V500000Bcdej</t>
  </si>
  <si>
    <t>Williams-Sonoma</t>
  </si>
  <si>
    <t>6/16/2026, 10:06 AM</t>
  </si>
  <si>
    <t>Snap Finance LLC- Five9 Integration</t>
  </si>
  <si>
    <t>006V500000T1nfV</t>
  </si>
  <si>
    <t>6/16/2026, 10:01 AM</t>
  </si>
  <si>
    <t>PNC - Additional Licenses (144)</t>
  </si>
  <si>
    <t>006V500000Rcott</t>
  </si>
  <si>
    <t>6/16/2026, 9:03 AM</t>
  </si>
  <si>
    <t>SCE - TCS Expansion</t>
  </si>
  <si>
    <t>Call Design - NA</t>
  </si>
  <si>
    <t>006V50000052bSU</t>
  </si>
  <si>
    <t>Southern California Edison Company</t>
  </si>
  <si>
    <t>6/16/2026, 8:12 AM</t>
  </si>
  <si>
    <t>6/15/2026, 2:25 PM</t>
  </si>
  <si>
    <t>6/12/2026, 11:23 AM</t>
  </si>
  <si>
    <t>6/12/2026, 11:22 AM</t>
  </si>
  <si>
    <t>6/12/2026, 11:19 AM</t>
  </si>
  <si>
    <t>6/11/2026, 1:09 PM</t>
  </si>
  <si>
    <t>Anthology- Agent Burnout Indicator Pilot (FOC)</t>
  </si>
  <si>
    <t>006V500000DAIXF</t>
  </si>
  <si>
    <t>6/11/2026, 12:48 PM</t>
  </si>
  <si>
    <t>Northwestern Mutual- Agent Burnout Indicator Pilot (FOC)</t>
  </si>
  <si>
    <t>006V500000DABh5</t>
  </si>
  <si>
    <t>The Northwestern Mutual Life Insurance Company</t>
  </si>
  <si>
    <t>6/11/2026, 8:21 AM</t>
  </si>
  <si>
    <t>Cox Auto - Extracts</t>
  </si>
  <si>
    <t>006V500000P5EYc</t>
  </si>
  <si>
    <t>Cox Automotive</t>
  </si>
  <si>
    <t>6/11/2026, 8:17 AM</t>
  </si>
  <si>
    <t>CVS Specialty - IEX Integration</t>
  </si>
  <si>
    <t>006V500000QhcT1</t>
  </si>
  <si>
    <t>6/10/2026, 7:33 PM</t>
  </si>
  <si>
    <t>Prudential - UMA Data Source Change - Work Teams to Groups</t>
  </si>
  <si>
    <t>006V500000R7vtH</t>
  </si>
  <si>
    <t>Prudential Financial</t>
  </si>
  <si>
    <t>6/10/2026, 7:28 PM</t>
  </si>
  <si>
    <t>6/10/2026, 8:08 AM</t>
  </si>
  <si>
    <t>MSC- 1000</t>
  </si>
  <si>
    <t>006V500000K8Plh</t>
  </si>
  <si>
    <t>MSC Industrial Direct</t>
  </si>
  <si>
    <t>6/9/2026, 8:05 AM</t>
  </si>
  <si>
    <t>6/8/2026, 1:57 PM</t>
  </si>
  <si>
    <t>Metlife - WFM Transition from NICE to Genesys</t>
  </si>
  <si>
    <t>006V500000Rz6wz</t>
  </si>
  <si>
    <t>MetLife</t>
  </si>
  <si>
    <t>6/8/2026, 12:14 PM</t>
  </si>
  <si>
    <t>6/8/2026, 1:02 AM</t>
  </si>
  <si>
    <t>Carnival UK - 60-60 POV</t>
  </si>
  <si>
    <t>006V500000QgcI1</t>
  </si>
  <si>
    <t>6/4/2026, 12:30 PM</t>
  </si>
  <si>
    <t>Princess Cruises</t>
  </si>
  <si>
    <t>006V500000Pxs9G</t>
  </si>
  <si>
    <t>6/3/2026, 2:07 PM</t>
  </si>
  <si>
    <t>6/3/2026, 10:33 AM</t>
  </si>
  <si>
    <t>CVS HCB - Five9 Migration</t>
  </si>
  <si>
    <t>006V500000MxpRd</t>
  </si>
  <si>
    <t>6/3/2026, 9:20 AM</t>
  </si>
  <si>
    <t>6/3/2026, 9:14 AM</t>
  </si>
  <si>
    <t>6/2/2026, 12:33 PM</t>
  </si>
  <si>
    <t>6/1/2026, 1:58 PM</t>
  </si>
  <si>
    <t>NRMA - Enterprise</t>
  </si>
  <si>
    <t>006V50000052Ywl</t>
  </si>
  <si>
    <t>National Roads and Motorists Association (NRMA)</t>
  </si>
  <si>
    <t>6/1/2026, 1:47 PM</t>
  </si>
  <si>
    <t>Call Design NRMA - RFP</t>
  </si>
  <si>
    <t>006V500000Sauml</t>
  </si>
  <si>
    <t>5/29/2026, 10:58 AM</t>
  </si>
  <si>
    <t>SWBC</t>
  </si>
  <si>
    <t>memoryBlue</t>
  </si>
  <si>
    <t>006V500000H0gv7</t>
  </si>
  <si>
    <t>Southwest Business Corporation (SWBC)</t>
  </si>
  <si>
    <t>5/28/2026, 8:58 AM</t>
  </si>
  <si>
    <t>New Zealand Telehealth Services aka Whakarongorau Aotearoa-</t>
  </si>
  <si>
    <t>006V500000GZMR3</t>
  </si>
  <si>
    <t>5/28/2026, 8:54 AM</t>
  </si>
  <si>
    <t>5/21/2026, 2:45 PM</t>
  </si>
  <si>
    <t>Assurant - Additional Licenses - CCA and Coaching - Co-Term to Renewal</t>
  </si>
  <si>
    <t>006V500000QoFbB</t>
  </si>
  <si>
    <t>5/21/2026, 1:58 PM</t>
  </si>
  <si>
    <t>GE Appliances - UPT</t>
  </si>
  <si>
    <t>006V500000KkLp7</t>
  </si>
  <si>
    <t>GE Appliances</t>
  </si>
  <si>
    <t>5/20/2026, 12:27 PM</t>
  </si>
  <si>
    <t>5/19/2026, 9:17 AM</t>
  </si>
  <si>
    <t>UHG - Amazon Connect 35 Integrations</t>
  </si>
  <si>
    <t>006V500000JtDJU</t>
  </si>
  <si>
    <t>5/19/2026, 8:46 AM</t>
  </si>
  <si>
    <t>5/19/2026, 8:16 AM</t>
  </si>
  <si>
    <t>Charter - Individual Supervisor Availability Detail Report Export</t>
  </si>
  <si>
    <t>006V500000R8eS9</t>
  </si>
  <si>
    <t>5/18/2026, 9:09 AM</t>
  </si>
  <si>
    <t>UHG - CXOne Chat Provider Build</t>
  </si>
  <si>
    <t>006V500000HxgXh</t>
  </si>
  <si>
    <t>UHG Amazon Connect Chat Provider Build</t>
  </si>
  <si>
    <t>006V500000HxU6k</t>
  </si>
  <si>
    <t>5/18/2026, 6:31 AM</t>
  </si>
  <si>
    <t>5/15/2026, 12:49 PM</t>
  </si>
  <si>
    <t>UHG - Reporting Changes_Harmoniq</t>
  </si>
  <si>
    <t>006V500000QBmju</t>
  </si>
  <si>
    <t>5/14/2026, 11:07 AM</t>
  </si>
  <si>
    <t>5/14/2026, 10:17 AM</t>
  </si>
  <si>
    <t>Travelers - RIS Server and MS Windows Upgrade</t>
  </si>
  <si>
    <t>006V500000DkPwo</t>
  </si>
  <si>
    <t>5/13/2026, 10:09 AM</t>
  </si>
  <si>
    <t>Northwestern Mutual Life Insurance - 123 additional licenses</t>
  </si>
  <si>
    <t>006V500000Qjkyz</t>
  </si>
  <si>
    <t>5/13/2026, 9:59 AM</t>
  </si>
  <si>
    <t>TECO - Front Office</t>
  </si>
  <si>
    <t>006V5000006TqEJ</t>
  </si>
  <si>
    <t>Teco Energy, Inc.</t>
  </si>
  <si>
    <t>5/12/2026, 1:37 PM</t>
  </si>
  <si>
    <t>5/12/2026, 11:55 AM</t>
  </si>
  <si>
    <t>5/12/2026, 9:43 AM</t>
  </si>
  <si>
    <t>5/6/2026, 9:23 AM</t>
  </si>
  <si>
    <t>UHG - Additional Support Amendment</t>
  </si>
  <si>
    <t>006V500000HwuXt</t>
  </si>
  <si>
    <t>5/5/2026, 7:06 PM</t>
  </si>
  <si>
    <t>Rogers - UPT Pilot</t>
  </si>
  <si>
    <t>006V500000ERJUk</t>
  </si>
  <si>
    <t>5/4/2026, 2:44 PM</t>
  </si>
  <si>
    <t>Charter - Sales &amp; Retention Post Pilot</t>
  </si>
  <si>
    <t>006V500000HCwGA</t>
  </si>
  <si>
    <t>5/4/2026, 2:26 PM</t>
  </si>
  <si>
    <t>Charter - Commercial &amp; Tandem Integrations</t>
  </si>
  <si>
    <t>006V500000Irbwj</t>
  </si>
  <si>
    <t>5/1/2026, 11:41 AM</t>
  </si>
  <si>
    <t>Evolent 60 60 POV</t>
  </si>
  <si>
    <t>006V500000KFQ9z</t>
  </si>
  <si>
    <t>Evolent</t>
  </si>
  <si>
    <t>5/1/2026, 8:04 AM</t>
  </si>
  <si>
    <t>006V500000RAbGv</t>
  </si>
  <si>
    <t>4/30/2026, 8:24 PM</t>
  </si>
  <si>
    <t>4/30/2026, 8:23 PM</t>
  </si>
  <si>
    <t>4/30/2026, 3:53 PM</t>
  </si>
  <si>
    <t>National Debt Relief - NL</t>
  </si>
  <si>
    <t>006V50000052T2M</t>
  </si>
  <si>
    <t>National Debt Relief</t>
  </si>
  <si>
    <t>4/30/2026, 3:05 PM</t>
  </si>
  <si>
    <t>Empower Retirement - Call Center</t>
  </si>
  <si>
    <t>006V50000052Obo</t>
  </si>
  <si>
    <t>Empower Retirement</t>
  </si>
  <si>
    <t>4/30/2026, 1:53 PM</t>
  </si>
  <si>
    <t>4/27/2026, 2:14 PM</t>
  </si>
  <si>
    <t>Lincoln Financial - C1</t>
  </si>
  <si>
    <t>006V500000OWNgP</t>
  </si>
  <si>
    <t>Lincoln Financial Group</t>
  </si>
  <si>
    <t>4/23/2026, 12:54 PM</t>
  </si>
  <si>
    <t>4/21/2026, 1:55 PM</t>
  </si>
  <si>
    <t>UHG - ID Non WFM Supported Users</t>
  </si>
  <si>
    <t>006V500000OzBNJ</t>
  </si>
  <si>
    <t>4/20/2026, 10:19 AM</t>
  </si>
  <si>
    <t>Renewal - Edward Jones - Enterprise Post Pilot Expansion</t>
  </si>
  <si>
    <t>006V500000HUcin</t>
  </si>
  <si>
    <t>Edward Jones</t>
  </si>
  <si>
    <t>4/20/2026, 5:30 AM</t>
  </si>
  <si>
    <t>Costco - UPT POV</t>
  </si>
  <si>
    <t>006V500000Qgl1x</t>
  </si>
  <si>
    <t>Costco</t>
  </si>
  <si>
    <t>4/17/2026, 8:21 AM</t>
  </si>
  <si>
    <t>UHG - Amazon Facade (SOW #67) Change Order #2</t>
  </si>
  <si>
    <t>006V500000QYyNl</t>
  </si>
  <si>
    <t>4/17/2026, 7:42 AM</t>
  </si>
  <si>
    <t>4/17/2026, 7:29 AM</t>
  </si>
  <si>
    <t>Five9 - Aviva Canada - POV</t>
  </si>
  <si>
    <t>006V500000OloLL</t>
  </si>
  <si>
    <t>Aviva (Canada)</t>
  </si>
  <si>
    <t>4/17/2026, 7:28 AM</t>
  </si>
  <si>
    <t>4/15/2026, 8:03 AM</t>
  </si>
  <si>
    <t>USAA - UPT Pilot</t>
  </si>
  <si>
    <t>006V500000QFTdp</t>
  </si>
  <si>
    <t>USAA</t>
  </si>
  <si>
    <t>4/14/2026, 9:26 AM</t>
  </si>
  <si>
    <t>JetBlue Airlines - Aspect</t>
  </si>
  <si>
    <t>Aspect</t>
  </si>
  <si>
    <t>006V500000HX7gr</t>
  </si>
  <si>
    <t>JetBlue Airlines</t>
  </si>
  <si>
    <t>4/14/2026, 7:19 AM</t>
  </si>
  <si>
    <t>Invesco - UPT</t>
  </si>
  <si>
    <t>006V500000IJFHA</t>
  </si>
  <si>
    <t>4/13/2026, 10:23 AM</t>
  </si>
  <si>
    <t>4/10/2026, 4:34 AM</t>
  </si>
  <si>
    <t>Call Design AU - Genesis Energy - 150 seats</t>
  </si>
  <si>
    <t>006V500000GZLBd</t>
  </si>
  <si>
    <t>Genesis Energy</t>
  </si>
  <si>
    <t>4/9/2026, 12:25 PM</t>
  </si>
  <si>
    <t>MetLife - IEX SSO</t>
  </si>
  <si>
    <t>006V500000QE86p</t>
  </si>
  <si>
    <t>4/9/2026, 4:34 AM</t>
  </si>
  <si>
    <t>DHU Healthcare Burnout Indicator Pilot</t>
  </si>
  <si>
    <t>006V500000GGB6M</t>
  </si>
  <si>
    <t>DHU Healthcare UK</t>
  </si>
  <si>
    <t>4/8/2026, 1:50 PM</t>
  </si>
  <si>
    <t>4/8/2026, 1:49 PM</t>
  </si>
  <si>
    <t>CVS Caremark - UPT Post Pilot 1400 Users</t>
  </si>
  <si>
    <t>006V5000009Fcr1</t>
  </si>
  <si>
    <t>4/8/2026, 10:06 AM</t>
  </si>
  <si>
    <t>CVS PBM- UMA Changes</t>
  </si>
  <si>
    <t>006V50000052amI</t>
  </si>
  <si>
    <t>4/8/2026, 10:05 AM</t>
  </si>
  <si>
    <t>Comcast - Avaya 2.0</t>
  </si>
  <si>
    <t>006V50000052ZWx</t>
  </si>
  <si>
    <t>Comcast Corporation</t>
  </si>
  <si>
    <t>4/7/2026, 12:08 PM</t>
  </si>
  <si>
    <t>HCSC - Burnout and Attrition Indicator Solution Pilot</t>
  </si>
  <si>
    <t>006V5000006X2af</t>
  </si>
  <si>
    <t>4/7/2026, 8:11 AM</t>
  </si>
  <si>
    <t>UHG - Data Extract and UMA update</t>
  </si>
  <si>
    <t>006V500000P1pjg</t>
  </si>
  <si>
    <t>4/6/2026, 2:20 PM</t>
  </si>
  <si>
    <t>PG&amp;E- Agent Burnout Indicator</t>
  </si>
  <si>
    <t>006V500000DAHJR</t>
  </si>
  <si>
    <t>4/6/2026, 2:19 PM</t>
  </si>
  <si>
    <t>4/6/2026, 1:26 PM</t>
  </si>
  <si>
    <t>Kaiser- NCAL Clinical Burnout Indicator</t>
  </si>
  <si>
    <t>006V500000Ifnws</t>
  </si>
  <si>
    <t>4/6/2026, 1:19 PM</t>
  </si>
  <si>
    <t>4/6/2026, 8:23 AM</t>
  </si>
  <si>
    <t>4/6/2026, 8:13 AM</t>
  </si>
  <si>
    <t>4/3/2026, 12:14 PM</t>
  </si>
  <si>
    <t>Cigna - Dedicated Tenant HCSC Change Order</t>
  </si>
  <si>
    <t>006V500000DAIfK</t>
  </si>
  <si>
    <t>Foundever- RIS Upgrade FOC</t>
  </si>
  <si>
    <t>006V500000OtsGV</t>
  </si>
  <si>
    <t>Foundever (Sitel)</t>
  </si>
  <si>
    <t>4/3/2026, 7:26 AM</t>
  </si>
  <si>
    <t>4/2/2026, 10:36 AM</t>
  </si>
  <si>
    <t>006V500000KMzhG</t>
  </si>
  <si>
    <t>4/2/2026, 8:40 AM</t>
  </si>
  <si>
    <t>UHG -  #48 Channel Switching 2.0</t>
  </si>
  <si>
    <t>006V50000052azl</t>
  </si>
  <si>
    <t>Guardian Life - LMS Integration</t>
  </si>
  <si>
    <t>006V5000007YSvV</t>
  </si>
  <si>
    <t>4/2/2026, 8:39 AM</t>
  </si>
  <si>
    <t>Elevance - Custom Data Exports</t>
  </si>
  <si>
    <t>006V50000052VWs</t>
  </si>
  <si>
    <t>Elevance Health</t>
  </si>
  <si>
    <t>4/1/2026, 1:30 PM</t>
  </si>
  <si>
    <t>Humana - Enable SSO</t>
  </si>
  <si>
    <t>006V500000PfGyV</t>
  </si>
  <si>
    <t>3/31/2026, 10:26 AM</t>
  </si>
  <si>
    <t>SagesS3 - Illumifin</t>
  </si>
  <si>
    <t>Sagess3</t>
  </si>
  <si>
    <t>006V500000GT4qE</t>
  </si>
  <si>
    <t>Illumifin</t>
  </si>
  <si>
    <t>3/31/2026, 7:05 AM</t>
  </si>
  <si>
    <t>3/31/2026, 5:29 AM</t>
  </si>
  <si>
    <t>3/30/2026, 3:28 PM</t>
  </si>
  <si>
    <t>3/30/2026, 3:13 PM</t>
  </si>
  <si>
    <t>PayPal - 60 60 POV</t>
  </si>
  <si>
    <t>006V50000052bFn</t>
  </si>
  <si>
    <t>PayPal</t>
  </si>
  <si>
    <t>3/30/2026, 1:42 PM</t>
  </si>
  <si>
    <t>SCAN UPT ( Initial 50 users)</t>
  </si>
  <si>
    <t>006V500000O8kr3</t>
  </si>
  <si>
    <t>3/30/2026, 12:06 PM</t>
  </si>
  <si>
    <t>3/30/2026, 12:05 PM</t>
  </si>
  <si>
    <t>3/30/2026, 11:19 AM</t>
  </si>
  <si>
    <t>006V500000KQLq7</t>
  </si>
  <si>
    <t>3/28/2026, 3:33 PM</t>
  </si>
  <si>
    <t>Verizon Wireless Phase 2</t>
  </si>
  <si>
    <t>006V50000052bcY</t>
  </si>
  <si>
    <t>3/27/2026, 1:28 PM</t>
  </si>
  <si>
    <t>Farmers - add on licenses</t>
  </si>
  <si>
    <t>006V500000OkFO1</t>
  </si>
  <si>
    <t>3/27/2026, 11:57 AM</t>
  </si>
  <si>
    <t>Verizon Wireless - Employees</t>
  </si>
  <si>
    <t>006V50000052Obl</t>
  </si>
  <si>
    <t>3/27/2026, 11:55 AM</t>
  </si>
  <si>
    <t>Verizon POV</t>
  </si>
  <si>
    <t>006V500000IWLWn</t>
  </si>
  <si>
    <t>3/23/2026, 10:13 AM</t>
  </si>
  <si>
    <t>3/23/2026, 6:15 AM</t>
  </si>
  <si>
    <t>3/23/2026, 6:09 AM</t>
  </si>
  <si>
    <t>MetLife - 100 license add</t>
  </si>
  <si>
    <t>006V500000LjRxe</t>
  </si>
  <si>
    <t>3/23/2026, 6:01 AM</t>
  </si>
  <si>
    <t>3/23/2026, 5:58 AM</t>
  </si>
  <si>
    <t>3/20/2026, 1:13 PM</t>
  </si>
  <si>
    <t>Wells Fargo CCaaS Q1 2026 Overages</t>
  </si>
  <si>
    <t>006V500000MT6F3</t>
  </si>
  <si>
    <t>3/20/2026, 7:31 AM</t>
  </si>
  <si>
    <t>3/19/2026, 2:46 PM</t>
  </si>
  <si>
    <t>AMEX GBT- Cisco Integrations Cutover</t>
  </si>
  <si>
    <t>006V500000IBDVp</t>
  </si>
  <si>
    <t>American Express Global Business Travel</t>
  </si>
  <si>
    <t>3/19/2026, 2:45 PM</t>
  </si>
  <si>
    <t>Commonwealth Edison- Custom Reports (FOC)</t>
  </si>
  <si>
    <t>006V500000JqK1J</t>
  </si>
  <si>
    <t>3/18/2026, 10:31 AM</t>
  </si>
  <si>
    <t>Amex GBT- Emea &amp; Apac Additional Licenses</t>
  </si>
  <si>
    <t>006V500000DHfs6</t>
  </si>
  <si>
    <t>3/17/2026, 6:03 AM</t>
  </si>
  <si>
    <t>ACG - ERS</t>
  </si>
  <si>
    <t>006V500000PJ6D0</t>
  </si>
  <si>
    <t>Auto Club Group</t>
  </si>
  <si>
    <t>3/13/2026, 9:58 AM</t>
  </si>
  <si>
    <t>Verizon Wireless - Employees Phase 2</t>
  </si>
  <si>
    <t>006V500000Bck9z</t>
  </si>
  <si>
    <t>3/13/2026, 8:08 AM</t>
  </si>
  <si>
    <t>World Travel Holdings - NL</t>
  </si>
  <si>
    <t>006V5000007yaCg</t>
  </si>
  <si>
    <t>World Travel Holdings</t>
  </si>
  <si>
    <t>3/13/2026, 8:07 AM</t>
  </si>
  <si>
    <t>World Travel Holdings 60 60 POV</t>
  </si>
  <si>
    <t>006V5000007yYVp</t>
  </si>
  <si>
    <t>3/13/2026, 7:41 AM</t>
  </si>
  <si>
    <t>Amica Mutual - NL</t>
  </si>
  <si>
    <t>006V50000052ZIk</t>
  </si>
  <si>
    <t>3/13/2026, 3:52 AM</t>
  </si>
  <si>
    <t>Capita-Alvaria Post Pilot</t>
  </si>
  <si>
    <t>Alvaria - EA</t>
  </si>
  <si>
    <t>006V50000052bPM</t>
  </si>
  <si>
    <t>Capita</t>
  </si>
  <si>
    <t>3/12/2026, 8:57 AM</t>
  </si>
  <si>
    <t>Williams Sonoma Five9 Sell pricing</t>
  </si>
  <si>
    <t>006V500000LTrrF</t>
  </si>
  <si>
    <t>3/12/2026, 8:56 AM</t>
  </si>
  <si>
    <t>Williams Sonoma Five9 Pricing</t>
  </si>
  <si>
    <t>006V500000LRwJx</t>
  </si>
  <si>
    <t>3/10/2026, 10:13 AM</t>
  </si>
  <si>
    <t>Optum Harmoniq Lower Enviornment Set Up</t>
  </si>
  <si>
    <t>006V500000Nupoz</t>
  </si>
  <si>
    <t>3/10/2026, 9:53 AM</t>
  </si>
  <si>
    <t>3/10/2026, 9:26 AM</t>
  </si>
  <si>
    <t>Nationwide BI Pilot</t>
  </si>
  <si>
    <t>006V500000GxUDm</t>
  </si>
  <si>
    <t>Nationwide Building Society</t>
  </si>
  <si>
    <t>3/10/2026, 8:57 AM</t>
  </si>
  <si>
    <t>Very Group - Initial Transaction</t>
  </si>
  <si>
    <t>006V50000052Obb</t>
  </si>
  <si>
    <t>The Very Group (formerly Shop Direct)</t>
  </si>
  <si>
    <t>3/9/2026, 11:30 AM</t>
  </si>
  <si>
    <t>Citi - Coaching Data Extracts</t>
  </si>
  <si>
    <t>006V500000MYuKu</t>
  </si>
  <si>
    <t>Citi</t>
  </si>
  <si>
    <t>3/6/2026, 7:47 AM</t>
  </si>
  <si>
    <t>3/2/2026, 9:12 AM</t>
  </si>
  <si>
    <t>US Bank UPT Post Pilot</t>
  </si>
  <si>
    <t>006V500000G2rVF</t>
  </si>
  <si>
    <t>US Bancorp</t>
  </si>
  <si>
    <t>3/2/2026, 9:04 AM</t>
  </si>
  <si>
    <t>3/2/2026, 9:03 AM</t>
  </si>
  <si>
    <t>3/2/2026, 8:51 AM</t>
  </si>
  <si>
    <t>US Bank UPT Pilot</t>
  </si>
  <si>
    <t>006V500000FyZNF</t>
  </si>
  <si>
    <t>2/27/2026, 4:08 PM</t>
  </si>
  <si>
    <t>2/27/2026, 4:06 PM</t>
  </si>
  <si>
    <t>2/27/2026, 12:29 PM</t>
  </si>
  <si>
    <t>Consumer Cellular - Aspect Referral</t>
  </si>
  <si>
    <t>006V5000007TDVh</t>
  </si>
  <si>
    <t>Consumer Cellular</t>
  </si>
  <si>
    <t>2/27/2026, 7:14 AM</t>
  </si>
  <si>
    <t>Call Design AU - Genesis Energy - Second 150 seats</t>
  </si>
  <si>
    <t>006V500000Ob2cy</t>
  </si>
  <si>
    <t>2/27/2026, 7:08 AM</t>
  </si>
  <si>
    <t>2/25/2026, 10:09 AM</t>
  </si>
  <si>
    <t>Aetna - HCB Service Ops Five9 Integration</t>
  </si>
  <si>
    <t>006V500000N2DiH</t>
  </si>
  <si>
    <t>2/24/2026, 11:32 AM</t>
  </si>
  <si>
    <t>2/20/2026, 8:00 AM</t>
  </si>
  <si>
    <t>Cox Auto - Reporting Extract File Change Order</t>
  </si>
  <si>
    <t>006V500000Mufoc</t>
  </si>
  <si>
    <t>2/12/2026, 11:22 AM</t>
  </si>
  <si>
    <t>CAA-Club Group (Avaya)- 25 Additional Licenses</t>
  </si>
  <si>
    <t>006V500000Ig1mx</t>
  </si>
  <si>
    <t>2/10/2026, 1:46 PM</t>
  </si>
  <si>
    <t>2/10/2026, 12:17 PM</t>
  </si>
  <si>
    <t>2/10/2026, 12:10 PM</t>
  </si>
  <si>
    <t>SCAN UPT ( ADD ON)</t>
  </si>
  <si>
    <t>006V500000JwWEH</t>
  </si>
  <si>
    <t>2/9/2026, 9:52 AM</t>
  </si>
  <si>
    <t>UHG - Message Detail Request SOW #79</t>
  </si>
  <si>
    <t>006V500000Lpi69</t>
  </si>
  <si>
    <t>UHC - LivePerson UMR Integration SOW #78</t>
  </si>
  <si>
    <t>006V500000Lh4vW</t>
  </si>
  <si>
    <t>UnitedHealthcare</t>
  </si>
  <si>
    <t>2/9/2026, 9:21 AM</t>
  </si>
  <si>
    <t>2/6/2026, 12:41 PM</t>
  </si>
  <si>
    <t>Belron Group - 60-60 POV</t>
  </si>
  <si>
    <t>006V500000IJCUv</t>
  </si>
  <si>
    <t>2/6/2026, 12:07 PM</t>
  </si>
  <si>
    <t>2/6/2026, 11:23 AM</t>
  </si>
  <si>
    <t>McKesson Back Office Renewal 2027</t>
  </si>
  <si>
    <t>006V5000008m9yu</t>
  </si>
  <si>
    <t>2/6/2026, 9:33 AM</t>
  </si>
  <si>
    <t>2/6/2026, 8:47 AM</t>
  </si>
  <si>
    <t>Synchrony - Burnout Indicator Pilot</t>
  </si>
  <si>
    <t>006V500000B4eq9</t>
  </si>
  <si>
    <t>2/5/2026, 12:44 PM</t>
  </si>
  <si>
    <t>2/5/2026, 12:35 PM</t>
  </si>
  <si>
    <t>Mr. Cooper NL UPT</t>
  </si>
  <si>
    <t>Email - Sales Outreach</t>
  </si>
  <si>
    <t>006V500000C0bK2</t>
  </si>
  <si>
    <t>Mr. Cooper</t>
  </si>
  <si>
    <t>2/5/2026, 6:28 AM</t>
  </si>
  <si>
    <t>2/4/2026, 8:15 AM</t>
  </si>
  <si>
    <t>Kemper NL</t>
  </si>
  <si>
    <t>006V5000009prmg</t>
  </si>
  <si>
    <t>Kemper Corporation</t>
  </si>
  <si>
    <t>2/4/2026, 4:52 AM</t>
  </si>
  <si>
    <t>Virgin Atlantic 400 Seats CCP</t>
  </si>
  <si>
    <t>Customer Contact Panel (CCP)</t>
  </si>
  <si>
    <t>006V5000008q9sE</t>
  </si>
  <si>
    <t>Virgin Atlantic</t>
  </si>
  <si>
    <t>2/3/2026, 2:19 AM</t>
  </si>
  <si>
    <t>UNIQA- Genesys</t>
  </si>
  <si>
    <t>006V5000006S1gv</t>
  </si>
  <si>
    <t>Uniqa</t>
  </si>
  <si>
    <t>2/3/2026, 2:16 AM</t>
  </si>
  <si>
    <t>Thames Water</t>
  </si>
  <si>
    <t>006V50000052UMB</t>
  </si>
  <si>
    <t>2/2/2026, 1:20 PM</t>
  </si>
  <si>
    <t>RBC - Insurance Pilot</t>
  </si>
  <si>
    <t>006V5000007usuY</t>
  </si>
  <si>
    <t>2/2/2026, 10:22 AM</t>
  </si>
  <si>
    <t>2/2/2026, 2:38 AM</t>
  </si>
  <si>
    <t>1/30/2026, 12:50 PM</t>
  </si>
  <si>
    <t>RBC - Adaptive Handle Time</t>
  </si>
  <si>
    <t>006V500000J0msx</t>
  </si>
  <si>
    <t>RBC - CBO</t>
  </si>
  <si>
    <t>006V5000009Goi5</t>
  </si>
  <si>
    <t>1/30/2026, 7:44 AM</t>
  </si>
  <si>
    <t>Multichoice (3 yr term)</t>
  </si>
  <si>
    <t>Aspect - EA</t>
  </si>
  <si>
    <t>006V50000052axp</t>
  </si>
  <si>
    <t>MultiChoice</t>
  </si>
  <si>
    <t>1/26/2026, 7:20 AM</t>
  </si>
  <si>
    <t>1/23/2026, 12:24 PM</t>
  </si>
  <si>
    <t>McKesson - Technical Integration Upgrades</t>
  </si>
  <si>
    <t>006V500000J1GXd</t>
  </si>
  <si>
    <t>1/22/2026, 2:51 PM</t>
  </si>
  <si>
    <t>State Farm Back Office Pilot v2</t>
  </si>
  <si>
    <t>006V500000N1rBX</t>
  </si>
  <si>
    <t>State Farm Insurance</t>
  </si>
  <si>
    <t>1/22/2026, 1:46 PM</t>
  </si>
  <si>
    <t>British Gas Off Phone Only</t>
  </si>
  <si>
    <t>006V500000BnKot</t>
  </si>
  <si>
    <t>British Gas</t>
  </si>
  <si>
    <t>1/21/2026, 6:09 AM</t>
  </si>
  <si>
    <t>Renewal_Sanlam - Phase 1 250_2027</t>
  </si>
  <si>
    <t>006V50000052Ywc</t>
  </si>
  <si>
    <t>Sanlam RSA</t>
  </si>
  <si>
    <t>1/20/2026, 11:31 AM</t>
  </si>
  <si>
    <t>Goldman Sachs - Amazon Connect Integration</t>
  </si>
  <si>
    <t>006V500000IdzNq</t>
  </si>
  <si>
    <t>1/20/2026, 7:00 AM</t>
  </si>
  <si>
    <t>Goldman Sachs Burnout Indicator Post Pilot</t>
  </si>
  <si>
    <t>006V500000JMLMD</t>
  </si>
  <si>
    <t>1/20/2026, 6:59 AM</t>
  </si>
  <si>
    <t>Assurant - Agent Burnout and Attrition Indicator Post-Pilot</t>
  </si>
  <si>
    <t>006V50000052Us0</t>
  </si>
  <si>
    <t>1/20/2026, 6:55 AM</t>
  </si>
  <si>
    <t>Guardian Life - Burnout and Attrition Solution</t>
  </si>
  <si>
    <t>006V500000AYdsT</t>
  </si>
  <si>
    <t>Optum- OI RevCycleMgmt Middle Office Dignity Health Post Pilot (600 users)</t>
  </si>
  <si>
    <t>006V50000052d09</t>
  </si>
  <si>
    <t>1/20/2026, 6:52 AM</t>
  </si>
  <si>
    <t>Optum Shared - Solutran Pilot</t>
  </si>
  <si>
    <t>006V500000G4mRR</t>
  </si>
  <si>
    <t>1/16/2026, 1:29 PM</t>
  </si>
  <si>
    <t>Ameriprise Financial- Custom File Import</t>
  </si>
  <si>
    <t>006V500000ImJys</t>
  </si>
  <si>
    <t>Ameriprise Financial</t>
  </si>
  <si>
    <t>1/16/2026, 1:05 PM</t>
  </si>
  <si>
    <t>1/16/2026, 7:04 AM</t>
  </si>
  <si>
    <t>Aetna - WFM Testing Changes</t>
  </si>
  <si>
    <t>006V500000MeHtX</t>
  </si>
  <si>
    <t>1/16/2026, 5:03 AM</t>
  </si>
  <si>
    <t>IAG - Genesys Staffing</t>
  </si>
  <si>
    <t>006V50000064aGp</t>
  </si>
  <si>
    <t>International Airlines Group</t>
  </si>
  <si>
    <t>1/16/2026, 3:40 AM</t>
  </si>
  <si>
    <t>Capital One Europe Burnout Indicator Pilot</t>
  </si>
  <si>
    <t>006V500000Gt9xV</t>
  </si>
  <si>
    <t>Capital One Europe</t>
  </si>
  <si>
    <t>1/13/2026, 2:50 AM</t>
  </si>
  <si>
    <t>British Gas Burnout - Services Only</t>
  </si>
  <si>
    <t>006V500000BnPmv</t>
  </si>
  <si>
    <t>1/9/2026, 9:50 AM</t>
  </si>
  <si>
    <t>TD Bank - CBCC Canadian Contact Center</t>
  </si>
  <si>
    <t>006V500000MDIth</t>
  </si>
  <si>
    <t>1/9/2026, 9:46 AM</t>
  </si>
  <si>
    <t>1/9/2026, 9:39 AM</t>
  </si>
  <si>
    <t>1/9/2026, 8:27 AM</t>
  </si>
  <si>
    <t>Cigna - CO #2 to HCSC Dedicated Node Project</t>
  </si>
  <si>
    <t>006V500000H6BgX</t>
  </si>
  <si>
    <t>1/9/2026, 8:01 AM</t>
  </si>
  <si>
    <t>006V500000GwI0A</t>
  </si>
  <si>
    <t>1/8/2026, 8:16 AM</t>
  </si>
  <si>
    <t>Dell NL</t>
  </si>
  <si>
    <t>006V500000BwHjh</t>
  </si>
  <si>
    <t>Dell</t>
  </si>
  <si>
    <t>1/7/2026, 10:56 AM</t>
  </si>
  <si>
    <t>State Farm Back Office Pilot</t>
  </si>
  <si>
    <t>006V500000G2ucn</t>
  </si>
  <si>
    <t>1/7/2026, 10:55 AM</t>
  </si>
  <si>
    <t>Independence Pet Group - Initial Transaction</t>
  </si>
  <si>
    <t>006V500000HYjYq</t>
  </si>
  <si>
    <t>1/7/2026, 9:53 AM</t>
  </si>
  <si>
    <t>1/5/2026, 2:18 PM</t>
  </si>
  <si>
    <t>Cox Automotive-</t>
  </si>
  <si>
    <t>006V500000MJ4BL</t>
  </si>
  <si>
    <t>1/2/2026, 9:37 AM</t>
  </si>
  <si>
    <t>Centene - Medicare</t>
  </si>
  <si>
    <t>006V500000JTJds</t>
  </si>
  <si>
    <t>Centene Corporation</t>
  </si>
  <si>
    <t>1/2/2026, 9:36 AM</t>
  </si>
  <si>
    <t>CVS Health - Clinical (New LOB 3,000)</t>
  </si>
  <si>
    <t>006V50000052amN</t>
  </si>
  <si>
    <t>1/2/2026, 9:32 AM</t>
  </si>
  <si>
    <t>CVS - Caremark BPO</t>
  </si>
  <si>
    <t>006V50000052amQ</t>
  </si>
  <si>
    <t>1/2/2026, 9:31 AM</t>
  </si>
  <si>
    <t>US Bank - Enterprise Contact Ctr - Post Pilot</t>
  </si>
  <si>
    <t>006V50000052Y5H</t>
  </si>
  <si>
    <t>1/2/2026, 9:30 AM</t>
  </si>
  <si>
    <t>Kroger - Shared Services</t>
  </si>
  <si>
    <t>006V50000052boq</t>
  </si>
  <si>
    <t>Kroger</t>
  </si>
  <si>
    <t>1/2/2026, 8:31 AM</t>
  </si>
  <si>
    <t>Ensemble Health Partners (Five9)</t>
  </si>
  <si>
    <t>006V500000E4w29</t>
  </si>
  <si>
    <t>Ensemble Health Partners</t>
  </si>
  <si>
    <t>1/2/2026, 8:29 AM</t>
  </si>
  <si>
    <t>12/31/2025, 9:20 AM</t>
  </si>
  <si>
    <t>British Gas Q4 2025 Overages</t>
  </si>
  <si>
    <t>006V500000M9Z6k</t>
  </si>
  <si>
    <t>12/31/2025, 9:19 AM</t>
  </si>
  <si>
    <t>12/31/2025, 9:18 AM</t>
  </si>
  <si>
    <t>12/29/2025, 2:02 PM</t>
  </si>
  <si>
    <t>006V500000JgRgn</t>
  </si>
  <si>
    <t>12/29/2025, 1:56 PM</t>
  </si>
  <si>
    <t>C1 - Royal Caribbean Cruise Line - Post Pilot</t>
  </si>
  <si>
    <t>006V500000Ebk8g</t>
  </si>
  <si>
    <t>Royal Caribbean Cruises</t>
  </si>
  <si>
    <t>12/29/2025, 10:11 AM</t>
  </si>
  <si>
    <t>SCAN Health</t>
  </si>
  <si>
    <t>12/23/2025, 10:56 AM</t>
  </si>
  <si>
    <t>RACV-Insurance + Roadside - Post Pilot</t>
  </si>
  <si>
    <t>12/23/2025, 7:56 AM</t>
  </si>
  <si>
    <t>Vitality Test Environment</t>
  </si>
  <si>
    <t>006V500000GDphq</t>
  </si>
  <si>
    <t>VitalityHealth</t>
  </si>
  <si>
    <t>12/23/2025, 1:38 AM</t>
  </si>
  <si>
    <t>12/23/2025, 1:37 AM</t>
  </si>
  <si>
    <t>12/23/2025, 1:35 AM</t>
  </si>
  <si>
    <t>12/18/2025, 12:38 PM</t>
  </si>
  <si>
    <t>Cigna - Additional Details for Reporting Extract</t>
  </si>
  <si>
    <t>006V500000JxIZ3</t>
  </si>
  <si>
    <t>12/18/2025, 11:58 AM</t>
  </si>
  <si>
    <t>Farmers - Test Tenant</t>
  </si>
  <si>
    <t>006V500000LHTKr</t>
  </si>
  <si>
    <t>12/8/2025, 9:07 AM</t>
  </si>
  <si>
    <t>12/8/2025, 7:05 AM</t>
  </si>
  <si>
    <t>Rogers - Enhanced Staffing Implementation</t>
  </si>
  <si>
    <t>006V50000052Zgl</t>
  </si>
  <si>
    <t>12/8/2025, 5:29 AM</t>
  </si>
  <si>
    <t>Indeed UK-  412 agents</t>
  </si>
  <si>
    <t>006V500000BV2Ll</t>
  </si>
  <si>
    <t>Indeed UK</t>
  </si>
  <si>
    <t>12/5/2025, 10:21 AM</t>
  </si>
  <si>
    <t>Wells Fargo CCaaS Q4 2025 Overages</t>
  </si>
  <si>
    <t>006V500000IpuaU</t>
  </si>
  <si>
    <t>12/5/2025, 7:43 AM</t>
  </si>
  <si>
    <t>12/4/2025, 8:11 AM</t>
  </si>
  <si>
    <t>Humana - Government</t>
  </si>
  <si>
    <t>006V5000008xaaj</t>
  </si>
  <si>
    <t>12/4/2025, 8:00 AM</t>
  </si>
  <si>
    <t>Humana - BPO placeholder</t>
  </si>
  <si>
    <t>006V50000052Zug</t>
  </si>
  <si>
    <t>12/4/2025, 7:57 AM</t>
  </si>
  <si>
    <t>Emblem Health - Offshore (720)</t>
  </si>
  <si>
    <t>006V50000052bog</t>
  </si>
  <si>
    <t>Emblem Health</t>
  </si>
  <si>
    <t>12/4/2025, 7:42 AM</t>
  </si>
  <si>
    <t>Emblem Health -60 60 POV</t>
  </si>
  <si>
    <t>006V50000052SJA</t>
  </si>
  <si>
    <t>12/4/2025, 7:39 AM</t>
  </si>
  <si>
    <t>Mayo Clinic - 60 60 POV</t>
  </si>
  <si>
    <t>006V50000052ba6</t>
  </si>
  <si>
    <t>Mayo Clinic</t>
  </si>
  <si>
    <t>12/3/2025, 8:20 AM</t>
  </si>
  <si>
    <t>Hagerty</t>
  </si>
  <si>
    <t>Calabrio</t>
  </si>
  <si>
    <t>006V5000009VLUT</t>
  </si>
  <si>
    <t>Hagerty Insurance</t>
  </si>
  <si>
    <t>12/3/2025, 7:28 AM</t>
  </si>
  <si>
    <t>Skipton Building Society- 300 agents</t>
  </si>
  <si>
    <t>006V500000E8eBV</t>
  </si>
  <si>
    <t>Skipton Building Society</t>
  </si>
  <si>
    <t>12/2/2025, 10:31 AM</t>
  </si>
  <si>
    <t>Elevance - SSO Migration</t>
  </si>
  <si>
    <t>006V500000HGG73</t>
  </si>
  <si>
    <t>12/2/2025, 8:02 AM</t>
  </si>
  <si>
    <t>Goldman Sachs - Report Request</t>
  </si>
  <si>
    <t>006V500000HhmM9</t>
  </si>
  <si>
    <t>12/2/2025, 7:22 AM</t>
  </si>
  <si>
    <t>11/25/2025, 2:27 PM</t>
  </si>
  <si>
    <t>Optum ITSS - Amazon Connect Migration</t>
  </si>
  <si>
    <t>006V500000JsiCg</t>
  </si>
  <si>
    <t>11/25/2025, 2:01 PM</t>
  </si>
  <si>
    <t>UHG - Custom Scheduled User Login Report SOW #76</t>
  </si>
  <si>
    <t>006V500000Jsuf7</t>
  </si>
  <si>
    <t>11/24/2025, 2:54 PM</t>
  </si>
  <si>
    <t>UHG - 2025 Overage Users (12500)</t>
  </si>
  <si>
    <t>006V500000KKQpH</t>
  </si>
  <si>
    <t>11/24/2025, 11:34 AM</t>
  </si>
  <si>
    <t>Cigna - Amazon Connect Pilot</t>
  </si>
  <si>
    <t>006V500000Ft9Rp</t>
  </si>
  <si>
    <t>11/24/2025, 7:27 AM</t>
  </si>
  <si>
    <t>11/21/2025, 6:16 AM</t>
  </si>
  <si>
    <t>BCBS Florida</t>
  </si>
  <si>
    <t>006V50000052aKj</t>
  </si>
  <si>
    <t>Florida Blue</t>
  </si>
  <si>
    <t>11/19/2025, 2:22 PM</t>
  </si>
  <si>
    <t>Exelon-Cutover to NICE Cloud</t>
  </si>
  <si>
    <t>006V500000BsLyq</t>
  </si>
  <si>
    <t>11/19/2025, 8:00 AM</t>
  </si>
  <si>
    <t>Charter - Community Solutions Post Pilot</t>
  </si>
  <si>
    <t>006V500000BFLsD</t>
  </si>
  <si>
    <t>11/19/2025, 7:55 AM</t>
  </si>
  <si>
    <t>Charter Chat ASAPP Provider (1500 users)</t>
  </si>
  <si>
    <t>006V50000052Zqh</t>
  </si>
  <si>
    <t>11/18/2025, 12:02 PM</t>
  </si>
  <si>
    <t>11/17/2025, 6:27 AM</t>
  </si>
  <si>
    <t>AAA - ACG- Direct Insurance</t>
  </si>
  <si>
    <t>006V500000IkRXY</t>
  </si>
  <si>
    <t>11/17/2025, 2:49 AM</t>
  </si>
  <si>
    <t>Domestic and General - 60 60 POV</t>
  </si>
  <si>
    <t>006V500000KaGfS</t>
  </si>
  <si>
    <t>Domestic &amp; General</t>
  </si>
  <si>
    <t>11/13/2025, 2:33 PM</t>
  </si>
  <si>
    <t>11/13/2025, 10:19 AM</t>
  </si>
  <si>
    <t>Goldman Sachs Burnout Indicator Pilot</t>
  </si>
  <si>
    <t>006V500000I1bSz</t>
  </si>
  <si>
    <t>11/11/2025, 9:41 AM</t>
  </si>
  <si>
    <t>11/10/2025, 10:31 AM</t>
  </si>
  <si>
    <t>AT&amp;T - Back Office Pilot</t>
  </si>
  <si>
    <t>006V500000BGZ3V</t>
  </si>
  <si>
    <t>AT&amp;T Entertainment Group</t>
  </si>
  <si>
    <t>11/10/2025, 10:25 AM</t>
  </si>
  <si>
    <t>Optum Advocacy Group (500)</t>
  </si>
  <si>
    <t>006V5000009i1hZ</t>
  </si>
  <si>
    <t>11/10/2025, 9:54 AM</t>
  </si>
  <si>
    <t>Elevance - Agent Burn Out &amp; Attrition Indicator</t>
  </si>
  <si>
    <t>006V50000052VWq</t>
  </si>
  <si>
    <t>11/10/2025, 9:53 AM</t>
  </si>
  <si>
    <t>Optum Insight - Amazon Connect Pilot (700 Users)</t>
  </si>
  <si>
    <t>006V50000064aGH</t>
  </si>
  <si>
    <t>11/10/2025, 9:48 AM</t>
  </si>
  <si>
    <t>HCSC - Thrive</t>
  </si>
  <si>
    <t>Thrive Global</t>
  </si>
  <si>
    <t>006V500000B8ron</t>
  </si>
  <si>
    <t>11/10/2025, 9:45 AM</t>
  </si>
  <si>
    <t>Optum - Shared Group Post Pilot ( 2500 - Landmark,Home &amp; Community)</t>
  </si>
  <si>
    <t>006V500000ACveH</t>
  </si>
  <si>
    <t>11/10/2025, 9:44 AM</t>
  </si>
  <si>
    <t>Optum Insights - Member Engagement (Post Pilot - 500)</t>
  </si>
  <si>
    <t>006V5000006jOUB</t>
  </si>
  <si>
    <t>Optum - PacWest (350)</t>
  </si>
  <si>
    <t>006V50000052b2U</t>
  </si>
  <si>
    <t>11/10/2025, 8:17 AM</t>
  </si>
  <si>
    <t>Proctor Loan Protector</t>
  </si>
  <si>
    <t>006V500000Imt6I</t>
  </si>
  <si>
    <t>11/7/2025, 1:40 PM</t>
  </si>
  <si>
    <t>Renewal_Elevance_2025</t>
  </si>
  <si>
    <t>006V5000008tOBb</t>
  </si>
  <si>
    <t>11/7/2025, 12:29 PM</t>
  </si>
  <si>
    <t>11/7/2025, 12:27 PM</t>
  </si>
  <si>
    <t>11/7/2025, 12:26 PM</t>
  </si>
  <si>
    <t>11/4/2025, 10:26 AM</t>
  </si>
  <si>
    <t>10/31/2025, 11:29 AM</t>
  </si>
  <si>
    <t>BSW Health - Phase 1</t>
  </si>
  <si>
    <t>Baylor Scott &amp; White Health</t>
  </si>
  <si>
    <t>10/31/2025, 10:59 AM</t>
  </si>
  <si>
    <t>Cox Auto - Reporting Extract File</t>
  </si>
  <si>
    <t>006V500000Gtcxv</t>
  </si>
  <si>
    <t>10/31/2025, 10:29 AM</t>
  </si>
  <si>
    <t>Kaiser Permanente-</t>
  </si>
  <si>
    <t>006V500000JnYSE</t>
  </si>
  <si>
    <t>Kaiser Permanente</t>
  </si>
  <si>
    <t>10/31/2025, 6:55 AM</t>
  </si>
  <si>
    <t>10/29/2025, 2:04 PM</t>
  </si>
  <si>
    <t>UHG - Amazon Connect Failover</t>
  </si>
  <si>
    <t>006V500000Ipgvh</t>
  </si>
  <si>
    <t>10/29/2025, 10:12 AM</t>
  </si>
  <si>
    <t>PNC - CO LMS Project Add Lower Environment</t>
  </si>
  <si>
    <t>006V500000Jd3vx</t>
  </si>
  <si>
    <t>10/27/2025, 8:14 AM</t>
  </si>
  <si>
    <t>Agent State Analysis Deployment</t>
  </si>
  <si>
    <t>006V500000I1tkt</t>
  </si>
  <si>
    <t>Pepco Holdings(PHI)</t>
  </si>
  <si>
    <t>10/24/2025, 8:30 AM</t>
  </si>
  <si>
    <t>Progressive Leasing - Post Pilot</t>
  </si>
  <si>
    <t>006V50000052Obm</t>
  </si>
  <si>
    <t>10/24/2025, 7:34 AM</t>
  </si>
  <si>
    <t>Renewal_DTE Energy_2026</t>
  </si>
  <si>
    <t>006V50000052bP1</t>
  </si>
  <si>
    <t>DTE Energy</t>
  </si>
  <si>
    <t>10/23/2025, 2:10 PM</t>
  </si>
  <si>
    <t>10/23/2025, 2:08 PM</t>
  </si>
  <si>
    <t>10/23/2025, 12:46 PM</t>
  </si>
  <si>
    <t>10/23/2025, 8:46 AM</t>
  </si>
  <si>
    <t>PG&amp;E Legacy - Add Licenses</t>
  </si>
  <si>
    <t>006V50000052axe</t>
  </si>
  <si>
    <t>10/22/2025, 1:11 PM</t>
  </si>
  <si>
    <t>Optum Serve - New LOB UPT</t>
  </si>
  <si>
    <t>006V5000008skMD</t>
  </si>
  <si>
    <t>Optum - ACD and LivePerson Integrations 72</t>
  </si>
  <si>
    <t>006V500000DHKm5</t>
  </si>
  <si>
    <t>Rogers - UMA Update</t>
  </si>
  <si>
    <t>006V500000HUZWQ</t>
  </si>
  <si>
    <t>10/22/2025, 11:02 AM</t>
  </si>
  <si>
    <t>SoFi-Thrive Resets Pilot</t>
  </si>
  <si>
    <t>006V500000BLLkf</t>
  </si>
  <si>
    <t>10/22/2025, 10:54 AM</t>
  </si>
  <si>
    <t>Northwestern Mutual- Thrive Resets</t>
  </si>
  <si>
    <t>006V500000CH3nN</t>
  </si>
  <si>
    <t>10/22/2025, 8:56 AM</t>
  </si>
  <si>
    <t>Rogers - Agent Burnout &amp; Attrition Indicator Solution Post-Pilot (4,000 licenses)</t>
  </si>
  <si>
    <t>006V50000052T6O</t>
  </si>
  <si>
    <t>10/22/2025, 5:54 AM</t>
  </si>
  <si>
    <t>Coca Cola - North America</t>
  </si>
  <si>
    <t>006V50000052TB9</t>
  </si>
  <si>
    <t>Coca-Cola (Coke)</t>
  </si>
  <si>
    <t>10/20/2025, 11:58 AM</t>
  </si>
  <si>
    <t>UHG Amazon Facade Annual Maintenance Fee</t>
  </si>
  <si>
    <t>006V500000CIT4i</t>
  </si>
  <si>
    <t>10/20/2025, 11:51 AM</t>
  </si>
  <si>
    <t>10/20/2025, 9:21 AM</t>
  </si>
  <si>
    <t>Renewal - Molina Healthcare 60 60 POV</t>
  </si>
  <si>
    <t>006V500000FBI7S</t>
  </si>
  <si>
    <t>10/20/2025, 8:29 AM</t>
  </si>
  <si>
    <t>UHC - UMA EG Addition</t>
  </si>
  <si>
    <t>006V500000Ip3nt</t>
  </si>
  <si>
    <t>10/20/2025, 6:59 AM</t>
  </si>
  <si>
    <t>10/17/2025, 8:58 AM</t>
  </si>
  <si>
    <t>10/16/2025, 8:40 AM</t>
  </si>
  <si>
    <t>10/16/2025, 8:39 AM</t>
  </si>
  <si>
    <t>10/16/2025, 8:37 AM</t>
  </si>
  <si>
    <t>Goldman Sachs - UK Group</t>
  </si>
  <si>
    <t>006V500000IuEyn</t>
  </si>
  <si>
    <t>10/15/2025, 10:53 AM</t>
  </si>
  <si>
    <t>10/15/2025, 10:05 AM</t>
  </si>
  <si>
    <t>Kaiser- SCAL Burnout Indicator Pilot ( FOC)</t>
  </si>
  <si>
    <t>006V500000GvYrm</t>
  </si>
  <si>
    <t>10/15/2025, 6:23 AM</t>
  </si>
  <si>
    <t>006V500000Ibfcw</t>
  </si>
  <si>
    <t>10/14/2025, 9:35 AM</t>
  </si>
  <si>
    <t>Cigna Enterprise - CO (Credit Paid Services - Bucket of Hours)</t>
  </si>
  <si>
    <t>006V50000052Yvf</t>
  </si>
  <si>
    <t>10/14/2025, 9:05 AM</t>
  </si>
  <si>
    <t>Guardian Life - Reporting Extracts</t>
  </si>
  <si>
    <t>006V500000DkY5h</t>
  </si>
  <si>
    <t>10/13/2025, 9:59 AM</t>
  </si>
  <si>
    <t>Barclays Phase 1</t>
  </si>
  <si>
    <t>006V500000JEyUP</t>
  </si>
  <si>
    <t>Barclays (US)</t>
  </si>
  <si>
    <t>10/10/2025, 7:19 AM</t>
  </si>
  <si>
    <t>10/10/2025, 4:09 AM</t>
  </si>
  <si>
    <t>10/9/2025, 7:48 AM</t>
  </si>
  <si>
    <t>OptumServe - IEX Implementation</t>
  </si>
  <si>
    <t>006V500000CVmFy</t>
  </si>
  <si>
    <t>10/9/2025, 7:26 AM</t>
  </si>
  <si>
    <t>UHG - Amazon Facade Change Order #1 to SOW 67</t>
  </si>
  <si>
    <t>006V500000GL7tJ</t>
  </si>
  <si>
    <t>10/9/2025, 7:25 AM</t>
  </si>
  <si>
    <t>UHG - Enterprise Cold Standby RIS</t>
  </si>
  <si>
    <t>006V5000008MloT</t>
  </si>
  <si>
    <t>10/9/2025, 7:24 AM</t>
  </si>
  <si>
    <t>UHC - UMR LivePerson Integration</t>
  </si>
  <si>
    <t>006V5000006S1P7</t>
  </si>
  <si>
    <t>10/8/2025, 2:01 PM</t>
  </si>
  <si>
    <t>Auto &amp; General - 3Q25 License Overages</t>
  </si>
  <si>
    <t>006V500000J5nEr</t>
  </si>
  <si>
    <t>Auto &amp; General Insurance Company</t>
  </si>
  <si>
    <t>10/8/2025, 11:58 AM</t>
  </si>
  <si>
    <t>RBC - Professional Services Bucket of Hours (750)</t>
  </si>
  <si>
    <t>006V500000IXdg9</t>
  </si>
  <si>
    <t>10/8/2025, 6:05 AM</t>
  </si>
  <si>
    <t>10/8/2025, 6:00 AM</t>
  </si>
  <si>
    <t>10/7/2025, 8:56 AM</t>
  </si>
  <si>
    <t>DirecTV (1450 Users)</t>
  </si>
  <si>
    <t>006V50000052YwS</t>
  </si>
  <si>
    <t>DIRECTV</t>
  </si>
  <si>
    <t>10/7/2025, 6:45 AM</t>
  </si>
  <si>
    <t>10/6/2025, 1:59 PM</t>
  </si>
  <si>
    <t>10/6/2025, 1:16 PM</t>
  </si>
  <si>
    <t>10/6/2025, 11:36 AM</t>
  </si>
  <si>
    <t>Love's Travel Stops</t>
  </si>
  <si>
    <t>006V500000CoZbf</t>
  </si>
  <si>
    <t>10/6/2025, 11:35 AM</t>
  </si>
  <si>
    <t>UCSF - Patient Access Services</t>
  </si>
  <si>
    <t>006V50000064Vg7</t>
  </si>
  <si>
    <t>UCSF Health</t>
  </si>
  <si>
    <t>10/6/2025, 11:22 AM</t>
  </si>
  <si>
    <t>Allergan</t>
  </si>
  <si>
    <t>006V500000ER2nF</t>
  </si>
  <si>
    <t>Allergan, Inc.</t>
  </si>
  <si>
    <t>10/6/2025, 11:17 AM</t>
  </si>
  <si>
    <t>TruGreen</t>
  </si>
  <si>
    <t>006V50000052aPl</t>
  </si>
  <si>
    <t>10/6/2025, 9:15 AM</t>
  </si>
  <si>
    <t>Fidelity - Enterprise</t>
  </si>
  <si>
    <t>006V50000052ZsA</t>
  </si>
  <si>
    <t>Fidelity Investments</t>
  </si>
  <si>
    <t>10/6/2025, 7:52 AM</t>
  </si>
  <si>
    <t>UHG - Queue Optimizer SOW 70</t>
  </si>
  <si>
    <t>006V500000EYfLd</t>
  </si>
  <si>
    <t>10/6/2025, 7:49 AM</t>
  </si>
  <si>
    <t>Renewal - Optum Insights - Member Engagement Pilot</t>
  </si>
  <si>
    <t>006V500000CwI47</t>
  </si>
  <si>
    <t>10/6/2025, 5:53 AM</t>
  </si>
  <si>
    <t>10/3/2025, 8:44 AM</t>
  </si>
  <si>
    <t>Farmers - SSO for IEX</t>
  </si>
  <si>
    <t>006V500000IpdZe</t>
  </si>
  <si>
    <t>10/3/2025, 8:20 AM</t>
  </si>
  <si>
    <t>First Horizon Bank</t>
  </si>
  <si>
    <t>006V5000007euyj</t>
  </si>
  <si>
    <t>First Horizon National</t>
  </si>
  <si>
    <t>10/3/2025, 7:29 AM</t>
  </si>
  <si>
    <t>10/2/2025, 12:33 PM</t>
  </si>
  <si>
    <t>10/2/2025, 11:20 AM</t>
  </si>
  <si>
    <t>Renewal_Northwestern Mutual_2025</t>
  </si>
  <si>
    <t>006V5000008KzAn</t>
  </si>
  <si>
    <t>10/2/2025, 7:52 AM</t>
  </si>
  <si>
    <t>10/1/2025, 12:25 PM</t>
  </si>
  <si>
    <t>10/1/2025, 9:42 AM</t>
  </si>
  <si>
    <t>10/1/2025, 9:31 AM</t>
  </si>
  <si>
    <t>JPMC - UMA Update Import SubLOBs and Category Codes</t>
  </si>
  <si>
    <t>006V500000FTSTJ</t>
  </si>
  <si>
    <t>10/1/2025, 9:30 AM</t>
  </si>
  <si>
    <t>JPMC - Daily Extract Coaching Report</t>
  </si>
  <si>
    <t>006V500000E981V</t>
  </si>
  <si>
    <t>JPMC - ASA, Coaching, User Add 2025</t>
  </si>
  <si>
    <t>006V50000052ZMe</t>
  </si>
  <si>
    <t>9/30/2025, 12:41 PM</t>
  </si>
  <si>
    <t>Charter - Sales &amp; Retention Pilot</t>
  </si>
  <si>
    <t>006V500000E4X8b</t>
  </si>
  <si>
    <t>9/30/2025, 9:09 AM</t>
  </si>
  <si>
    <t>CIBC - UMA Changes</t>
  </si>
  <si>
    <t>006V500000Fe51y</t>
  </si>
  <si>
    <t>Canadian Imperial Bank Of Commerce (CIBC)</t>
  </si>
  <si>
    <t>9/30/2025, 8:57 AM</t>
  </si>
  <si>
    <t>Auto &amp; General Genesys WFM</t>
  </si>
  <si>
    <t>006V500000CzXpl</t>
  </si>
  <si>
    <t>9/30/2025, 8:51 AM</t>
  </si>
  <si>
    <t>9/30/2025, 4:47 AM</t>
  </si>
  <si>
    <t>Sanlam - Phase 3 850</t>
  </si>
  <si>
    <t>006V50000052Ywd</t>
  </si>
  <si>
    <t>9/29/2025, 1:54 PM</t>
  </si>
  <si>
    <t>Charter - Avaya CMS Upgrade</t>
  </si>
  <si>
    <t>006V500000BHu5u</t>
  </si>
  <si>
    <t>Charter - Avaya AES Upgrade</t>
  </si>
  <si>
    <t>006V500000DMEZY</t>
  </si>
  <si>
    <t>9/25/2025, 7:20 AM</t>
  </si>
  <si>
    <t>006V50000052Z8M</t>
  </si>
  <si>
    <t>9/24/2025, 11:24 AM</t>
  </si>
  <si>
    <t>AT&amp;T - Future You Phase 2</t>
  </si>
  <si>
    <t>006V500000GWctm</t>
  </si>
  <si>
    <t>AT&amp;T Enterprise Group</t>
  </si>
  <si>
    <t>9/24/2025, 9:13 AM</t>
  </si>
  <si>
    <t>9/22/2025, 8:36 AM</t>
  </si>
  <si>
    <t>9/22/2025, 8:27 AM</t>
  </si>
  <si>
    <t>006V500000D2yK1</t>
  </si>
  <si>
    <t>9/22/2025, 8:24 AM</t>
  </si>
  <si>
    <t>9/21/2025, 10:51 AM</t>
  </si>
  <si>
    <t>9/21/2025, 10:46 AM</t>
  </si>
  <si>
    <t>9/15/2025, 7:21 AM</t>
  </si>
  <si>
    <t>9/12/2025, 2:08 PM</t>
  </si>
  <si>
    <t>9/12/2025, 9:38 AM</t>
  </si>
  <si>
    <t>9/12/2025, 8:42 AM</t>
  </si>
  <si>
    <t>Goldman Sachs - Attendance Management - Pilot</t>
  </si>
  <si>
    <t>006V5000008An9J</t>
  </si>
  <si>
    <t>9/12/2025, 8:26 AM</t>
  </si>
  <si>
    <t>Anthology- Avaya Cloud</t>
  </si>
  <si>
    <t>006V50000052bS2</t>
  </si>
  <si>
    <t>9/11/2025, 6:38 AM</t>
  </si>
  <si>
    <t>9/11/2025, 6:37 AM</t>
  </si>
  <si>
    <t>9/10/2025, 9:33 AM</t>
  </si>
  <si>
    <t>Citi - NICE CXOne Migration</t>
  </si>
  <si>
    <t>006V50000072UfV</t>
  </si>
  <si>
    <t>9/10/2025, 7:53 AM</t>
  </si>
  <si>
    <t>9/10/2025, 7:08 AM</t>
  </si>
  <si>
    <t>Yorkshire Water Alvaria</t>
  </si>
  <si>
    <t>006V50000052baa</t>
  </si>
  <si>
    <t>Yorkshire Water Services</t>
  </si>
  <si>
    <t>9/9/2025, 10:41 AM</t>
  </si>
  <si>
    <t>Amica Mutual - 60 60 POV</t>
  </si>
  <si>
    <t>006V5000009P3AP</t>
  </si>
  <si>
    <t>9/9/2025, 9:01 AM</t>
  </si>
  <si>
    <t>9/9/2025, 8:04 AM</t>
  </si>
  <si>
    <t>9/9/2025, 7:54 AM</t>
  </si>
  <si>
    <t>MetLife - SSO Implementation and UMA Update</t>
  </si>
  <si>
    <t>006V500000En8u1</t>
  </si>
  <si>
    <t>Metlife - UMA Change</t>
  </si>
  <si>
    <t>006V500000GgmVF</t>
  </si>
  <si>
    <t>9/8/2025, 12:51 PM</t>
  </si>
  <si>
    <t>AMEX GBT-Egencia Licenses</t>
  </si>
  <si>
    <t>006V500000723yi</t>
  </si>
  <si>
    <t>9/8/2025, 12:33 PM</t>
  </si>
  <si>
    <t>PG&amp;E Back Office Post Pilot</t>
  </si>
  <si>
    <t>006V5000009BQA5</t>
  </si>
  <si>
    <t>9/8/2025, 11:32 AM</t>
  </si>
  <si>
    <t>SoFi - Genesys WEM Integration</t>
  </si>
  <si>
    <t>006V50000052V8B</t>
  </si>
  <si>
    <t>9/5/2025, 11:26 AM</t>
  </si>
  <si>
    <t>Ameriprise - SM Services</t>
  </si>
  <si>
    <t>006V500000HN6e3</t>
  </si>
  <si>
    <t>9/5/2025, 11:25 AM</t>
  </si>
  <si>
    <t>Ameriprise - Amendment 3</t>
  </si>
  <si>
    <t>006V500000HN5lD</t>
  </si>
  <si>
    <t>9/5/2025, 9:05 AM</t>
  </si>
  <si>
    <t>Snap - Additional Licenses- Back Office &amp; Front Office</t>
  </si>
  <si>
    <t>006V500000HloQz</t>
  </si>
  <si>
    <t>9/3/2025, 7:09 AM</t>
  </si>
  <si>
    <t>Renewal - RACV-Insurance + Roadside - 60 60 POV</t>
  </si>
  <si>
    <t>006V500000Fvvc1</t>
  </si>
  <si>
    <t>9/2/2025, 8:59 AM</t>
  </si>
  <si>
    <t>Citi - LMS Integration</t>
  </si>
  <si>
    <t>006V500000Dug1t</t>
  </si>
  <si>
    <t>9/2/2025, 6:24 AM</t>
  </si>
  <si>
    <t>9/1/2025, 12:54 AM</t>
  </si>
  <si>
    <t>Santam - Commercial</t>
  </si>
  <si>
    <t>006V5000006S1PJ</t>
  </si>
  <si>
    <t>Santam</t>
  </si>
  <si>
    <t>9/1/2025, 12:53 AM</t>
  </si>
  <si>
    <t>Santam - Residential</t>
  </si>
  <si>
    <t>006V5000006S1PI</t>
  </si>
  <si>
    <t>9/1/2025, 12:52 AM</t>
  </si>
  <si>
    <t>Sanlam - Phase 2 600</t>
  </si>
  <si>
    <t>006V50000052Ywb</t>
  </si>
  <si>
    <t>8/29/2025, 12:02 PM</t>
  </si>
  <si>
    <t>8/29/2025, 11:02 AM</t>
  </si>
  <si>
    <t>HCSC - Cisco UCCE Upgrade</t>
  </si>
  <si>
    <t>006V500000EMAwj</t>
  </si>
  <si>
    <t>Renewal_Ameriprise_2025</t>
  </si>
  <si>
    <t>006V50000052Wrq</t>
  </si>
  <si>
    <t>Cox Automotive - ACD Integration</t>
  </si>
  <si>
    <t>006V500000Ejr4v</t>
  </si>
  <si>
    <t>Cox Enterprises Inc</t>
  </si>
  <si>
    <t>8/28/2025, 8:22 AM</t>
  </si>
  <si>
    <t>8/28/2025, 8:19 AM</t>
  </si>
  <si>
    <t>8/28/2025, 8:14 AM</t>
  </si>
  <si>
    <t>8/26/2025, 2:11 PM</t>
  </si>
  <si>
    <t>CVS Aetna - Separate Tenant LMS Integration</t>
  </si>
  <si>
    <t>006V500000GJQte</t>
  </si>
  <si>
    <t>8/24/2025, 9:26 AM</t>
  </si>
  <si>
    <t>8/22/2025, 7:39 AM</t>
  </si>
  <si>
    <t>AT&amp;T - Burnout Pilot</t>
  </si>
  <si>
    <t>006V500000D9MoF</t>
  </si>
  <si>
    <t>8/22/2025, 7:38 AM</t>
  </si>
  <si>
    <t>JPMC - Amazon Connect Façade Annual Fee</t>
  </si>
  <si>
    <t>006V500000Ft3kb</t>
  </si>
  <si>
    <t>8/22/2025, 7:37 AM</t>
  </si>
  <si>
    <t>8/22/2025, 7:34 AM</t>
  </si>
  <si>
    <t>8/22/2025, 7:30 AM</t>
  </si>
  <si>
    <t>8/19/2025, 9:23 AM</t>
  </si>
  <si>
    <t>Edward Jones - Enterprise Post Pilot Expansion</t>
  </si>
  <si>
    <t>006V500000GxtcD</t>
  </si>
  <si>
    <t>8/17/2025, 9:08 AM</t>
  </si>
  <si>
    <t>8/15/2025, 8:37 AM</t>
  </si>
  <si>
    <t>Renewal - Humana 2025</t>
  </si>
  <si>
    <t>006V5000007D6YD</t>
  </si>
  <si>
    <t>8/15/2025, 7:18 AM</t>
  </si>
  <si>
    <t>JPMC - Amazon Connect Façade</t>
  </si>
  <si>
    <t>006V500000FCPYH</t>
  </si>
  <si>
    <t>8/14/2025, 1:32 PM</t>
  </si>
  <si>
    <t>8/13/2025, 6:10 AM</t>
  </si>
  <si>
    <t>Sanlam Test Environment</t>
  </si>
  <si>
    <t>006V50000083tZd</t>
  </si>
  <si>
    <t>8/12/2025, 12:00 PM</t>
  </si>
  <si>
    <t>8/12/2025, 11:58 AM</t>
  </si>
  <si>
    <t>8/12/2025, 11:21 AM</t>
  </si>
  <si>
    <t>8/12/2025, 9:10 AM</t>
  </si>
  <si>
    <t>8/8/2025, 11:04 AM</t>
  </si>
  <si>
    <t>8/8/2025, 10:40 AM</t>
  </si>
  <si>
    <t>UHC - LivePerson Provider Tenant</t>
  </si>
  <si>
    <t>006V500000GR1re</t>
  </si>
  <si>
    <t>8/8/2025, 9:32 AM</t>
  </si>
  <si>
    <t>8/7/2025, 12:45 PM</t>
  </si>
  <si>
    <t>8/7/2025, 8:40 AM</t>
  </si>
  <si>
    <t>Charter Care Group - Burnout Indicator Pilot</t>
  </si>
  <si>
    <t>006V500000CqsgX</t>
  </si>
  <si>
    <t>8/7/2025, 7:50 AM</t>
  </si>
  <si>
    <t>KP Learn LMS Integration ( NCAL)</t>
  </si>
  <si>
    <t>006V500000FHC8z</t>
  </si>
  <si>
    <t>8/6/2025, 6:31 AM</t>
  </si>
  <si>
    <t>8/5/2025, 10:00 AM</t>
  </si>
  <si>
    <t>Synchrony - LOB Add On Messaging</t>
  </si>
  <si>
    <t>006V500000GLgPd</t>
  </si>
  <si>
    <t>8/1/2025, 2:23 PM</t>
  </si>
  <si>
    <t>8/1/2025, 2:21 PM</t>
  </si>
  <si>
    <t>8/1/2025, 2:20 PM</t>
  </si>
  <si>
    <t>8/1/2025, 2:19 PM</t>
  </si>
  <si>
    <t>8/1/2025, 6:48 AM</t>
  </si>
  <si>
    <t>BSW Health - Dev System</t>
  </si>
  <si>
    <t>006V500000FBrzd</t>
  </si>
  <si>
    <t>8/1/2025, 6:41 AM</t>
  </si>
  <si>
    <t>NW-Additional Licenses (150)</t>
  </si>
  <si>
    <t>006V5000009MejB</t>
  </si>
  <si>
    <t>7/31/2025, 11:28 AM</t>
  </si>
  <si>
    <t>NM- Adaptive Handle Time Pilot (FOC)</t>
  </si>
  <si>
    <t>006V50000052bO3</t>
  </si>
  <si>
    <t>7/31/2025, 11:18 AM</t>
  </si>
  <si>
    <t>KP Standardization - Additional Solutions</t>
  </si>
  <si>
    <t>006V500000BHtHu</t>
  </si>
  <si>
    <t>7/31/2025, 9:43 AM</t>
  </si>
  <si>
    <t>7/31/2025, 9:25 AM</t>
  </si>
  <si>
    <t>006V500000EUvGw</t>
  </si>
  <si>
    <t>7/31/2025, 9:13 AM</t>
  </si>
  <si>
    <t>7/30/2025, 2:24 PM</t>
  </si>
  <si>
    <t>006V5000009sOg5</t>
  </si>
  <si>
    <t>Belair Direct</t>
  </si>
  <si>
    <t>7/30/2025, 1:55 PM</t>
  </si>
  <si>
    <t>7/30/2025, 5:31 AM</t>
  </si>
  <si>
    <t>7/30/2025, 5:29 AM</t>
  </si>
  <si>
    <t>7/30/2025, 5:28 AM</t>
  </si>
  <si>
    <t>7/30/2025, 3:56 AM</t>
  </si>
  <si>
    <t>Aviva - Pilot</t>
  </si>
  <si>
    <t>006V500000BF60L</t>
  </si>
  <si>
    <t>Aviva</t>
  </si>
  <si>
    <t>7/28/2025, 10:34 AM</t>
  </si>
  <si>
    <t>7/25/2025, 3:05 PM</t>
  </si>
  <si>
    <t>Snap - LMS Integration</t>
  </si>
  <si>
    <t>006V50000052TPG</t>
  </si>
  <si>
    <t>7/25/2025, 9:35 AM</t>
  </si>
  <si>
    <t>CVS Retail - Coaching &amp; ASA SOW</t>
  </si>
  <si>
    <t>006V5000009bJjF</t>
  </si>
  <si>
    <t>7/23/2025, 6:32 AM</t>
  </si>
  <si>
    <t>CAA Club Group (Avaya) - Insurance Extension</t>
  </si>
  <si>
    <t>006V500000DOyN1</t>
  </si>
  <si>
    <t>7/21/2025, 10:36 AM</t>
  </si>
  <si>
    <t>006V500000CIfKL</t>
  </si>
  <si>
    <t>7/21/2025, 7:01 AM</t>
  </si>
  <si>
    <t>7/21/2025, 7:00 AM</t>
  </si>
  <si>
    <t>7/17/2025, 7:24 AM</t>
  </si>
  <si>
    <t>Achmea- Burnout</t>
  </si>
  <si>
    <t>006V5000006S1gr</t>
  </si>
  <si>
    <t>7/15/2025, 6:34 AM</t>
  </si>
  <si>
    <t>HSBC (UK) Post Pilot (3000 seats)</t>
  </si>
  <si>
    <t>006V50000052YwK</t>
  </si>
  <si>
    <t>HSBC</t>
  </si>
  <si>
    <t>7/15/2025, 5:44 AM</t>
  </si>
  <si>
    <t>McKesson - SSO IDE v16 Upgrade</t>
  </si>
  <si>
    <t>006V500000BlPxV</t>
  </si>
  <si>
    <t>7/14/2025, 7:18 AM</t>
  </si>
  <si>
    <t>7/14/2025, 6:21 AM</t>
  </si>
  <si>
    <t>KP Learn LMS Integration ( SCAL)</t>
  </si>
  <si>
    <t>006V500000EyyE9</t>
  </si>
  <si>
    <t>7/11/2025, 12:07 PM</t>
  </si>
  <si>
    <t>PNC - Workday LMS SOW Term Extension</t>
  </si>
  <si>
    <t>006V500000Fu41t</t>
  </si>
  <si>
    <t>7/9/2025, 8:30 AM</t>
  </si>
  <si>
    <t>Assurant - Add Channel Switching with ASAPP</t>
  </si>
  <si>
    <t>006V500000FGran</t>
  </si>
  <si>
    <t>7/8/2025, 12:37 PM</t>
  </si>
  <si>
    <t>7/8/2025, 6:33 AM</t>
  </si>
  <si>
    <t>CVS PBM- Five9 addl Integration</t>
  </si>
  <si>
    <t>006V500000C2LRG</t>
  </si>
  <si>
    <t>7/8/2025, 6:03 AM</t>
  </si>
  <si>
    <t>7/2/2025, 10:46 AM</t>
  </si>
  <si>
    <t>SoFi-Custom Reports</t>
  </si>
  <si>
    <t>006V500000En67S</t>
  </si>
  <si>
    <t>7/2/2025, 10:44 AM</t>
  </si>
  <si>
    <t>SoFi-Verint Migration</t>
  </si>
  <si>
    <t>006V500000En8XR</t>
  </si>
  <si>
    <t>7/2/2025, 6:13 AM</t>
  </si>
  <si>
    <t>Renewal_Amex GBT_2025</t>
  </si>
  <si>
    <t>006V50000052TEV</t>
  </si>
  <si>
    <t>6/30/2025, 9:45 AM</t>
  </si>
  <si>
    <t>Wells Fargo - Post Pilot (Alvaria UIP)</t>
  </si>
  <si>
    <t>006V50000052a1W</t>
  </si>
  <si>
    <t>Wells Fargo (Alvaria)</t>
  </si>
  <si>
    <t>6/30/2025, 9:44 AM</t>
  </si>
  <si>
    <t>6/30/2025, 9:29 AM</t>
  </si>
  <si>
    <t>Elevance FHPS LOB - CC &amp; BO Post Pilot</t>
  </si>
  <si>
    <t>006V50000064aFj</t>
  </si>
  <si>
    <t>Elevance - CSBD - Post Pilot ASA Solution</t>
  </si>
  <si>
    <t>006V50000052VWW</t>
  </si>
  <si>
    <t>6/30/2025, 9:28 AM</t>
  </si>
  <si>
    <t>Elevance - CSBD Group - Pilot ASA Solution</t>
  </si>
  <si>
    <t>006V50000052cwf</t>
  </si>
  <si>
    <t>6/30/2025, 9:27 AM</t>
  </si>
  <si>
    <t>McKesson MMS - Back Office Pilot</t>
  </si>
  <si>
    <t>006V50000052aQC</t>
  </si>
  <si>
    <t>6/27/2025, 9:43 AM</t>
  </si>
  <si>
    <t>RBC BU Expansion - DI, Advice Centre, Fraud, OET</t>
  </si>
  <si>
    <t>006V500000DaCfu</t>
  </si>
  <si>
    <t>6/27/2025, 6:06 AM</t>
  </si>
  <si>
    <t>Cigna - Burnout Indicator Pilot</t>
  </si>
  <si>
    <t>006V500000DIGjZ</t>
  </si>
  <si>
    <t>6/27/2025, 5:52 AM</t>
  </si>
  <si>
    <t>Renewal - Charter - Community Solutions Pilot (250 users)</t>
  </si>
  <si>
    <t>006V500000BCCYX</t>
  </si>
  <si>
    <t>6/26/2025, 10:17 AM</t>
  </si>
  <si>
    <t>TD Bank - Phase 2</t>
  </si>
  <si>
    <t>006V500000AK6En</t>
  </si>
  <si>
    <t>6/26/2025, 9:17 AM</t>
  </si>
  <si>
    <t>006V500000Aendl</t>
  </si>
  <si>
    <t>6/26/2025, 4:37 AM</t>
  </si>
  <si>
    <t>Renewal_Goldman Sachs_2025</t>
  </si>
  <si>
    <t>006V50000052TAB</t>
  </si>
  <si>
    <t>6/25/2025, 8:34 AM</t>
  </si>
  <si>
    <t>6/24/2025, 2:12 PM</t>
  </si>
  <si>
    <t>6/23/2025, 1:17 PM</t>
  </si>
  <si>
    <t>6/17/2025, 8:39 AM</t>
  </si>
  <si>
    <t>6/17/2025, 8:37 AM</t>
  </si>
  <si>
    <t>Rogers - Agent Burnout &amp; Attrition Indicator Solution Pilot</t>
  </si>
  <si>
    <t>006V50000052TBq</t>
  </si>
  <si>
    <t>6/17/2025, 7:00 AM</t>
  </si>
  <si>
    <t>MetLife - Burnout Pilot</t>
  </si>
  <si>
    <t>006V500000AtMJv</t>
  </si>
  <si>
    <t>6/12/2025, 12:24 PM</t>
  </si>
  <si>
    <t>6/12/2025, 12:18 PM</t>
  </si>
  <si>
    <t>JPMC - UMA Update Import Category Codes</t>
  </si>
  <si>
    <t>006V500000FTSpt</t>
  </si>
  <si>
    <t>6/12/2025, 12:16 PM</t>
  </si>
  <si>
    <t>6/12/2025, 9:02 AM</t>
  </si>
  <si>
    <t>JPMC - Coaching Post Pilot (Fraud_ Collections)</t>
  </si>
  <si>
    <t>006V50000052TBC</t>
  </si>
  <si>
    <t>6/11/2025, 10:04 AM</t>
  </si>
  <si>
    <t>6/11/2025, 9:51 AM</t>
  </si>
  <si>
    <t>6/9/2025, 10:34 AM</t>
  </si>
  <si>
    <t>PG&amp;E- Test Environment</t>
  </si>
  <si>
    <t>006V500000ExOHZ</t>
  </si>
  <si>
    <t>6/9/2025, 10:23 AM</t>
  </si>
  <si>
    <t>Renewal_British Gas - 2025</t>
  </si>
  <si>
    <t>006V50000052RoI</t>
  </si>
  <si>
    <t>6/9/2025, 10:18 AM</t>
  </si>
  <si>
    <t>Kaiser Permanente MSCC- QA Review Enhancement</t>
  </si>
  <si>
    <t>006V500000CZv2w</t>
  </si>
  <si>
    <t>Kaiser MSCC</t>
  </si>
  <si>
    <t>6/6/2025, 6:09 AM</t>
  </si>
  <si>
    <t>6/5/2025, 12:59 PM</t>
  </si>
  <si>
    <t>Citi - Change SFTP Location</t>
  </si>
  <si>
    <t>006V500000EK6XR</t>
  </si>
  <si>
    <t>6/5/2025, 5:26 AM</t>
  </si>
  <si>
    <t>6/4/2025, 10:50 AM</t>
  </si>
  <si>
    <t>6/4/2025, 8:58 AM</t>
  </si>
  <si>
    <t>Sun Life - 60 60 POV</t>
  </si>
  <si>
    <t>006V50000052axz</t>
  </si>
  <si>
    <t>Sun Life Financial</t>
  </si>
  <si>
    <t>6/4/2025, 7:39 AM</t>
  </si>
  <si>
    <t>Snap Finance- Back Office Post Pilot</t>
  </si>
  <si>
    <t>006V500000BG9p1</t>
  </si>
  <si>
    <t>6/3/2025, 9:07 AM</t>
  </si>
  <si>
    <t>6/3/2025, 7:20 AM</t>
  </si>
  <si>
    <t>Molina Healthcare 60 60 POV</t>
  </si>
  <si>
    <t>006V5000007d00v</t>
  </si>
  <si>
    <t>5/30/2025, 12:58 PM</t>
  </si>
  <si>
    <t>AMEX GBT - Use Case Add (Hold, ASA)</t>
  </si>
  <si>
    <t>006V50000052TEg</t>
  </si>
  <si>
    <t>5/30/2025, 11:18 AM</t>
  </si>
  <si>
    <t>KP Learn LMS Integration ( MSCC)</t>
  </si>
  <si>
    <t>006V5000008fpef</t>
  </si>
  <si>
    <t>5/30/2025, 9:03 AM</t>
  </si>
  <si>
    <t>5/29/2025, 6:20 AM</t>
  </si>
  <si>
    <t>PNC- Genesys Cloud_Workday LMS Integration</t>
  </si>
  <si>
    <t>006V50000052Zf4</t>
  </si>
  <si>
    <t>5/28/2025, 11:03 AM</t>
  </si>
  <si>
    <t>5/27/2025, 6:40 AM</t>
  </si>
  <si>
    <t>PHI- Agent Burnout Solution</t>
  </si>
  <si>
    <t>006V50000052azS</t>
  </si>
  <si>
    <t>5/22/2025, 6:56 AM</t>
  </si>
  <si>
    <t>RBC Post-Pilot - LivePerson (Asynch)</t>
  </si>
  <si>
    <t>006V500000EVFAn</t>
  </si>
  <si>
    <t>5/21/2025, 8:15 AM</t>
  </si>
  <si>
    <t>RBC BU Expansion - DI, Advice Centre, Fraud, OET (30-Day Temporary Purchase)</t>
  </si>
  <si>
    <t>006V500000E4ab9</t>
  </si>
  <si>
    <t>5/21/2025, 7:40 AM</t>
  </si>
  <si>
    <t>5/21/2025, 5:17 AM</t>
  </si>
  <si>
    <t>UHG - USHG CXOne Delta Migration SOW xx</t>
  </si>
  <si>
    <t>006V500000EYdV8</t>
  </si>
  <si>
    <t>5/21/2025, 5:12 AM</t>
  </si>
  <si>
    <t>Optum - IEX Data Report</t>
  </si>
  <si>
    <t>006V5000006cuCE</t>
  </si>
  <si>
    <t>5/16/2025, 12:57 PM</t>
  </si>
  <si>
    <t>5/16/2025, 12:56 PM</t>
  </si>
  <si>
    <t>5/16/2025, 7:09 AM</t>
  </si>
  <si>
    <t>Goldman Sachs - Coaching Extracts</t>
  </si>
  <si>
    <t>006V500000CmbpZ</t>
  </si>
  <si>
    <t>Goldman Sachs - Report Extracts User Login History</t>
  </si>
  <si>
    <t>006V500000CEFgF</t>
  </si>
  <si>
    <t>UHG - Server OS 2022 Upgrade #69</t>
  </si>
  <si>
    <t>006V500000CbOMD</t>
  </si>
  <si>
    <t>5/16/2025, 5:41 AM</t>
  </si>
  <si>
    <t>Renewal_PNC_2025</t>
  </si>
  <si>
    <t>006V50000052ZfJ</t>
  </si>
  <si>
    <t>5/14/2025, 12:16 AM</t>
  </si>
  <si>
    <t>5/14/2025, 12:13 AM</t>
  </si>
  <si>
    <t>5/14/2025, 12:10 AM</t>
  </si>
  <si>
    <t>UHC - Performance Testing Support SOW</t>
  </si>
  <si>
    <t>006V500000DOAbR</t>
  </si>
  <si>
    <t>5/13/2025, 6:52 AM</t>
  </si>
  <si>
    <t>5/13/2025, 6:47 AM</t>
  </si>
  <si>
    <t>HCSC - 1,000 license add on</t>
  </si>
  <si>
    <t>006V5000009IMGE</t>
  </si>
  <si>
    <t>5/12/2025, 10:15 AM</t>
  </si>
  <si>
    <t>Walmart</t>
  </si>
  <si>
    <t>006V50000052d0B</t>
  </si>
  <si>
    <t>5/9/2025, 1:36 PM</t>
  </si>
  <si>
    <t>PG&amp;E- V11 Migration</t>
  </si>
  <si>
    <t>006V500000C56yl</t>
  </si>
  <si>
    <t>5/9/2025, 12:08 PM</t>
  </si>
  <si>
    <t>5/9/2025, 12:04 PM</t>
  </si>
  <si>
    <t>5/9/2025, 11:46 AM</t>
  </si>
  <si>
    <t>Unitedhealth Group - Amazon Connect Facade #67</t>
  </si>
  <si>
    <t>006V500000B9gGD</t>
  </si>
  <si>
    <t>5/9/2025, 10:31 AM</t>
  </si>
  <si>
    <t>Flagship Credit Acceptance</t>
  </si>
  <si>
    <t>006V50000052aO2</t>
  </si>
  <si>
    <t>5/8/2025, 7:11 AM</t>
  </si>
  <si>
    <t>006V500000CtMIl</t>
  </si>
  <si>
    <t>5/8/2025, 6:51 AM</t>
  </si>
  <si>
    <t>5/5/2025, 5:53 PM</t>
  </si>
  <si>
    <t>Navy Fed - Back Office</t>
  </si>
  <si>
    <t>006V50000052eD9</t>
  </si>
  <si>
    <t>Navy Federal Credit Union</t>
  </si>
  <si>
    <t>5/5/2025, 5:33 PM</t>
  </si>
  <si>
    <t>Manulife - Back Office</t>
  </si>
  <si>
    <t>006V50000052S7I</t>
  </si>
  <si>
    <t>Manulife Financial Corporation</t>
  </si>
  <si>
    <t>5/5/2025, 5:03 PM</t>
  </si>
  <si>
    <t>Humana - Back Office (850 licenses for SSO and HEDIS)</t>
  </si>
  <si>
    <t>006V5000007GkR4</t>
  </si>
  <si>
    <t>5/5/2025, 7:40 AM</t>
  </si>
  <si>
    <t>Renewal_HealthEquity WageWorks 2025</t>
  </si>
  <si>
    <t>006V50000052b11</t>
  </si>
  <si>
    <t>HealthEquity</t>
  </si>
  <si>
    <t>5/5/2025, 5:56 AM</t>
  </si>
  <si>
    <t>5/5/2025, 5:55 AM</t>
  </si>
  <si>
    <t>5/2/2025, 4:05 AM</t>
  </si>
  <si>
    <t>5/1/2025, 2:16 PM</t>
  </si>
  <si>
    <t>5/1/2025, 8:28 AM</t>
  </si>
  <si>
    <t>4/29/2025, 7:27 AM</t>
  </si>
  <si>
    <t>006V500000E4hXl</t>
  </si>
  <si>
    <t>4/28/2025, 7:43 AM</t>
  </si>
  <si>
    <t>4/28/2025, 7:42 AM</t>
  </si>
  <si>
    <t>4/28/2025, 7:40 AM</t>
  </si>
  <si>
    <t>4/24/2025, 3:19 AM</t>
  </si>
  <si>
    <t>4/23/2025, 8:14 AM</t>
  </si>
  <si>
    <t>4/23/2025, 8:13 AM</t>
  </si>
  <si>
    <t>PNC Financial - Tech Services LOB (100 Agents)</t>
  </si>
  <si>
    <t>006V5000009qq0Y</t>
  </si>
  <si>
    <t>4/23/2025, 6:26 AM</t>
  </si>
  <si>
    <t>CAA Club Group (Avaya) - Post Pilot</t>
  </si>
  <si>
    <t>006V50000052bIp</t>
  </si>
  <si>
    <t>4/23/2025, 4:46 AM</t>
  </si>
  <si>
    <t>4/22/2025, 1:30 PM</t>
  </si>
  <si>
    <t>SoFi- SSO Migration Okta</t>
  </si>
  <si>
    <t>006V500000DVVkp</t>
  </si>
  <si>
    <t>4/21/2025, 2:23 PM</t>
  </si>
  <si>
    <t>Commonwealth Edison UMA Update</t>
  </si>
  <si>
    <t>006V500000CZsbK</t>
  </si>
  <si>
    <t>4/18/2025, 4:43 AM</t>
  </si>
  <si>
    <t>Aetna Medicaid_Provider - Enable ASA, Coaching &amp; Data Exports</t>
  </si>
  <si>
    <t>006V500000AyHwI</t>
  </si>
  <si>
    <t>4/16/2025, 12:08 PM</t>
  </si>
  <si>
    <t>4/11/2025, 11:04 AM</t>
  </si>
  <si>
    <t>PG&amp;E Cisco Cloud Migration</t>
  </si>
  <si>
    <t>006V5000006wIsL</t>
  </si>
  <si>
    <t>4/11/2025, 8:53 AM</t>
  </si>
  <si>
    <t>4/11/2025, 8:33 AM</t>
  </si>
  <si>
    <t>4/10/2025, 1:13 PM</t>
  </si>
  <si>
    <t>ICBC - Claims_Finance</t>
  </si>
  <si>
    <t>006V50000052TFI</t>
  </si>
  <si>
    <t>Insurance Corporation of British Columbia (ICBC)</t>
  </si>
  <si>
    <t>4/10/2025, 11:24 AM</t>
  </si>
  <si>
    <t>Assurant - Hosted RIS Cloud Integration</t>
  </si>
  <si>
    <t>006V500000BysLm</t>
  </si>
  <si>
    <t>4/10/2025, 10:43 AM</t>
  </si>
  <si>
    <t>4/9/2025, 1:17 PM</t>
  </si>
  <si>
    <t>4/9/2025, 7:23 AM</t>
  </si>
  <si>
    <t>OptumRx - LivePerson Post Pilot (84 users)</t>
  </si>
  <si>
    <t>006V50000052b2V</t>
  </si>
  <si>
    <t>4/8/2025, 2:28 PM</t>
  </si>
  <si>
    <t>4/8/2025, 2:18 PM</t>
  </si>
  <si>
    <t>4/8/2025, 2:04 PM</t>
  </si>
  <si>
    <t>Renewal_UHG_2027 !DUPLICATE!</t>
  </si>
  <si>
    <t>006V50000052Zn0</t>
  </si>
  <si>
    <t>4/8/2025, 11:38 AM</t>
  </si>
  <si>
    <t>CVS - Five9 Change Order</t>
  </si>
  <si>
    <t>006V5000006S1PB</t>
  </si>
  <si>
    <t>4/4/2025, 11:22 AM</t>
  </si>
  <si>
    <t>4/3/2025, 6:05 AM</t>
  </si>
  <si>
    <t>4/3/2025, 6:01 AM</t>
  </si>
  <si>
    <t>4/2/2025, 7:25 AM</t>
  </si>
  <si>
    <t>State Farm Claims</t>
  </si>
  <si>
    <t>006V50000074C9s</t>
  </si>
  <si>
    <t>4/1/2025, 12:03 PM</t>
  </si>
  <si>
    <t>3/31/2025, 1:56 PM</t>
  </si>
  <si>
    <t>Synchrony Financial - Pilot IEX WFM</t>
  </si>
  <si>
    <t>006V50000052S5a</t>
  </si>
  <si>
    <t>3/31/2025, 1:34 PM</t>
  </si>
  <si>
    <t>3/31/2025, 1:33 PM</t>
  </si>
  <si>
    <t>HCSC - Burnout and Attrition Indicator Solution - Post Pilot</t>
  </si>
  <si>
    <t>006V5000006t7VF</t>
  </si>
  <si>
    <t>3/31/2025, 1:08 PM</t>
  </si>
  <si>
    <t>Cigna - Add 800</t>
  </si>
  <si>
    <t>006V500000B79t3</t>
  </si>
  <si>
    <t>3/31/2025, 12:35 PM</t>
  </si>
  <si>
    <t>Huntington Bank</t>
  </si>
  <si>
    <t>006V50000052ZuE</t>
  </si>
  <si>
    <t>Huntington National Bank</t>
  </si>
  <si>
    <t>3/31/2025, 8:53 AM</t>
  </si>
  <si>
    <t>Charles Schwab</t>
  </si>
  <si>
    <t>006V50000052a03</t>
  </si>
  <si>
    <t>3/28/2025, 11:31 AM</t>
  </si>
  <si>
    <t>UHC - ServiceNow CO</t>
  </si>
  <si>
    <t>006V500000B4fPd</t>
  </si>
  <si>
    <t>3/28/2025, 11:23 AM</t>
  </si>
  <si>
    <t>3/28/2025, 10:52 AM</t>
  </si>
  <si>
    <t>3/28/2025, 9:41 AM</t>
  </si>
  <si>
    <t>THD - Aux Pilot</t>
  </si>
  <si>
    <t>006V5000008WyHN</t>
  </si>
  <si>
    <t>3/28/2025, 6:20 AM</t>
  </si>
  <si>
    <t>AT&amp;T - Back Office Post Pilot</t>
  </si>
  <si>
    <t>006V500000AYXGl</t>
  </si>
  <si>
    <t>3/28/2025, 5:52 AM</t>
  </si>
  <si>
    <t>3/25/2025, 2:18 PM</t>
  </si>
  <si>
    <t>Progressive Leasing - 60 60 POV</t>
  </si>
  <si>
    <t>006V5000008t8zf</t>
  </si>
  <si>
    <t>3/25/2025, 7:57 AM</t>
  </si>
  <si>
    <t>3/25/2025, 7:47 AM</t>
  </si>
  <si>
    <t>3/24/2025, 11:03 AM</t>
  </si>
  <si>
    <t>TIAA-CREF - NCC - Post Pilot</t>
  </si>
  <si>
    <t>3/24/2025, 10:24 AM</t>
  </si>
  <si>
    <t>BSW Health - Phase 2</t>
  </si>
  <si>
    <t>006V50000052Obs</t>
  </si>
  <si>
    <t>3/24/2025, 7:30 AM</t>
  </si>
  <si>
    <t>Home Depot - 2025 Renegotiation</t>
  </si>
  <si>
    <t>006V50000052ZNW</t>
  </si>
  <si>
    <t>3/24/2025, 6:27 AM</t>
  </si>
  <si>
    <t>Optum ITSS Help Desk (Post Pilot 174 Users)</t>
  </si>
  <si>
    <t>006V500000AK8N4</t>
  </si>
  <si>
    <t>3/24/2025, 5:35 AM</t>
  </si>
  <si>
    <t>3/22/2025, 8:21 AM</t>
  </si>
  <si>
    <t>3/21/2025, 11:31 AM</t>
  </si>
  <si>
    <t>UnitedHealth Care Back Office Post Pilot (39,018 Users)</t>
  </si>
  <si>
    <t>006V5000006S1P8</t>
  </si>
  <si>
    <t>3/21/2025, 9:30 AM</t>
  </si>
  <si>
    <t>Optum Insights - Member Engagement Pilot #68</t>
  </si>
  <si>
    <t>006V500000AChbL</t>
  </si>
  <si>
    <t>3/21/2025, 9:11 AM</t>
  </si>
  <si>
    <t>3/21/2025, 9:05 AM</t>
  </si>
  <si>
    <t>3/21/2025, 9:02 AM</t>
  </si>
  <si>
    <t>Auto &amp; General Genesys ACD</t>
  </si>
  <si>
    <t>006V50000064aG6</t>
  </si>
  <si>
    <t>3/19/2025, 6:11 AM</t>
  </si>
  <si>
    <t>3/18/2025, 2:02 PM</t>
  </si>
  <si>
    <t>3/18/2025, 1:47 PM</t>
  </si>
  <si>
    <t>3/18/2025, 1:44 PM</t>
  </si>
  <si>
    <t>3/18/2025, 12:01 PM</t>
  </si>
  <si>
    <t>3/18/2025, 10:58 AM</t>
  </si>
  <si>
    <t>Anthology-Azure SSO Migration</t>
  </si>
  <si>
    <t>006V500000A2GFs</t>
  </si>
  <si>
    <t>3/18/2025, 10:30 AM</t>
  </si>
  <si>
    <t>McKesson Pharm - LMS Integration</t>
  </si>
  <si>
    <t>006V500000AEF33</t>
  </si>
  <si>
    <t>3/18/2025, 7:20 AM</t>
  </si>
  <si>
    <t>JPMC - Logout of IDE Reporting</t>
  </si>
  <si>
    <t>006V50000064aFc</t>
  </si>
  <si>
    <t>3/17/2025, 10:09 AM</t>
  </si>
  <si>
    <t>UHG - v11 Migration</t>
  </si>
  <si>
    <t>006V500000C2x3W</t>
  </si>
  <si>
    <t>3/14/2025, 7:51 AM</t>
  </si>
  <si>
    <t>3/11/2025, 5:23 AM</t>
  </si>
  <si>
    <t>HD Supply - Post-Pilot</t>
  </si>
  <si>
    <t>006V50000052boz</t>
  </si>
  <si>
    <t>HD Supply</t>
  </si>
  <si>
    <t>3/10/2025, 6:03 AM</t>
  </si>
  <si>
    <t>3/7/2025, 6:15 AM</t>
  </si>
  <si>
    <t>3/7/2025, 6:12 AM</t>
  </si>
  <si>
    <t>Renewal_KP_2028_Optional Year 2</t>
  </si>
  <si>
    <t>006V5000007pCuL</t>
  </si>
  <si>
    <t>3/6/2025, 12:27 PM</t>
  </si>
  <si>
    <t>UnitedHealth Care Optum Dedicated Node Shared Infrastructure #64</t>
  </si>
  <si>
    <t>006V500000CTc6D</t>
  </si>
  <si>
    <t>3/4/2025, 12:21 PM</t>
  </si>
  <si>
    <t>Cigna - CRD Cisco USM Migration</t>
  </si>
  <si>
    <t>006V50000064aFd</t>
  </si>
  <si>
    <t>3/4/2025, 11:59 AM</t>
  </si>
  <si>
    <t>3/3/2025, 11:12 AM</t>
  </si>
  <si>
    <t>Visa</t>
  </si>
  <si>
    <t>006V50000064aFb</t>
  </si>
  <si>
    <t>3/3/2025, 5:52 AM</t>
  </si>
  <si>
    <t>2/28/2025, 11:50 AM</t>
  </si>
  <si>
    <t>RBC - Data Lake</t>
  </si>
  <si>
    <t>006V500000CIIpE</t>
  </si>
  <si>
    <t>2/28/2025, 11:44 AM</t>
  </si>
  <si>
    <t>2/25/2025, 6:15 AM</t>
  </si>
  <si>
    <t>Wayfair - Reporting Extracts</t>
  </si>
  <si>
    <t>006V500000B9XUf</t>
  </si>
  <si>
    <t>2/21/2025, 2:32 PM</t>
  </si>
  <si>
    <t>AT&amp;T - Field Operations LOB - 1k license upsell</t>
  </si>
  <si>
    <t>006V50000074aDm</t>
  </si>
  <si>
    <t>2/20/2025, 10:56 AM</t>
  </si>
  <si>
    <t>Rogers Custom Report</t>
  </si>
  <si>
    <t>006V500000AtmUU</t>
  </si>
  <si>
    <t>2/20/2025, 4:42 AM</t>
  </si>
  <si>
    <t>Optum - Shared Group Pilot ( 150 - Landmark,Home &amp; Community)</t>
  </si>
  <si>
    <t>006V50000052b2T</t>
  </si>
  <si>
    <t>2/17/2025, 12:16 PM</t>
  </si>
  <si>
    <t>CVS Specialty Back Office Pilot (500 users)</t>
  </si>
  <si>
    <t>006V50000052amX</t>
  </si>
  <si>
    <t>2/17/2025, 12:13 PM</t>
  </si>
  <si>
    <t>2/17/2025, 11:48 AM</t>
  </si>
  <si>
    <t>2/17/2025, 11:40 AM</t>
  </si>
  <si>
    <t>2/17/2025, 9:33 AM</t>
  </si>
  <si>
    <t>Optum - AARP User LivePerson Add #66</t>
  </si>
  <si>
    <t>006V500000BKcIw</t>
  </si>
  <si>
    <t>2/17/2025, 8:35 AM</t>
  </si>
  <si>
    <t>2/11/2025, 6:25 PM</t>
  </si>
  <si>
    <t>2/11/2025, 6:10 PM</t>
  </si>
  <si>
    <t>2/11/2025, 6:08 PM</t>
  </si>
  <si>
    <t>2/11/2025, 6:05 PM</t>
  </si>
  <si>
    <t>HCSC - 750 license add on</t>
  </si>
  <si>
    <t>006V5000006yUSn</t>
  </si>
  <si>
    <t>2/11/2025, 12:43 PM</t>
  </si>
  <si>
    <t>JPMC - New User Export Request</t>
  </si>
  <si>
    <t>006V5000007b0Mn</t>
  </si>
  <si>
    <t>2/11/2025, 12:42 PM</t>
  </si>
  <si>
    <t>JPMC - Add Department Code to Custom Reports</t>
  </si>
  <si>
    <t>006V5000007b0Zh</t>
  </si>
  <si>
    <t>2/11/2025, 12:25 PM</t>
  </si>
  <si>
    <t>2/11/2025, 12:24 PM</t>
  </si>
  <si>
    <t>Lloyds Banking Group New logo - Pilot</t>
  </si>
  <si>
    <t>006V50000052aTb</t>
  </si>
  <si>
    <t>Lloyds Bank</t>
  </si>
  <si>
    <t>2/11/2025, 12:12 PM</t>
  </si>
  <si>
    <t>2/11/2025, 10:52 AM</t>
  </si>
  <si>
    <t>Aetna - Medicaid Cisco PG4 Integration</t>
  </si>
  <si>
    <t>006V5000009CHZO</t>
  </si>
  <si>
    <t>2/10/2025, 2:43 PM</t>
  </si>
  <si>
    <t>PHI - Thrive Add</t>
  </si>
  <si>
    <t>006V50000052azR</t>
  </si>
  <si>
    <t>2/10/2025, 3:12 AM</t>
  </si>
  <si>
    <t>2/7/2025, 12:01 PM</t>
  </si>
  <si>
    <t>Truist 2024 Pilot</t>
  </si>
  <si>
    <t>006V50000052Zye</t>
  </si>
  <si>
    <t>Truist</t>
  </si>
  <si>
    <t>2/7/2025, 9:17 AM</t>
  </si>
  <si>
    <t>Geico - Back Office Pilot</t>
  </si>
  <si>
    <t>006V50000064aFe</t>
  </si>
  <si>
    <t>GEICO</t>
  </si>
  <si>
    <t>2/7/2025, 9:09 AM</t>
  </si>
  <si>
    <t>Walgreens - Pilot</t>
  </si>
  <si>
    <t>006V50000052ZIL</t>
  </si>
  <si>
    <t>Walgreens</t>
  </si>
  <si>
    <t>2/7/2025, 7:49 AM</t>
  </si>
  <si>
    <t>2/7/2025, 7:47 AM</t>
  </si>
  <si>
    <t>2/7/2025, 2:20 AM</t>
  </si>
  <si>
    <t>Bank of Ireland- Contact Centre</t>
  </si>
  <si>
    <t>006V5000007mKtF</t>
  </si>
  <si>
    <t>Bank of Ireland</t>
  </si>
  <si>
    <t>2/7/2025, 2:14 AM</t>
  </si>
  <si>
    <t>Legal &amp; General- 600 frontline agents</t>
  </si>
  <si>
    <t>006V50000052bpA</t>
  </si>
  <si>
    <t>Legal &amp; General</t>
  </si>
  <si>
    <t>2/5/2025, 10:57 AM</t>
  </si>
  <si>
    <t>Kemper Insurance</t>
  </si>
  <si>
    <t>006V500000Aea0b</t>
  </si>
  <si>
    <t>2/4/2025, 11:56 AM</t>
  </si>
  <si>
    <t>2/4/2025, 11:53 AM</t>
  </si>
  <si>
    <t>2/4/2025, 6:22 AM</t>
  </si>
  <si>
    <t>McKesson - New RIS in Azure Environment</t>
  </si>
  <si>
    <t>006V5000009wAMn</t>
  </si>
  <si>
    <t>2/3/2025, 3:02 PM</t>
  </si>
  <si>
    <t>2/3/2025, 9:21 AM</t>
  </si>
  <si>
    <t>2/3/2025, 4:14 AM</t>
  </si>
  <si>
    <t>2/2/2025, 12:28 PM</t>
  </si>
  <si>
    <t>2/2/2025, 12:26 PM</t>
  </si>
  <si>
    <t>Goldman Sachs - Back Office Pilot</t>
  </si>
  <si>
    <t>006V500000AYivJ</t>
  </si>
  <si>
    <t>Pipeline Council - NL Opps Created</t>
  </si>
  <si>
    <t>Fiscal Period</t>
  </si>
  <si>
    <t>Primary Campaign Source</t>
  </si>
  <si>
    <t>Opportunity Owner</t>
  </si>
  <si>
    <t>Stage Duration</t>
  </si>
  <si>
    <t>Opp Age (Total Age)</t>
  </si>
  <si>
    <t>Late Stage Flag</t>
  </si>
  <si>
    <t>Closed Flag</t>
  </si>
  <si>
    <t>TAL</t>
  </si>
  <si>
    <t>TAL - Call Design AUS</t>
  </si>
  <si>
    <t>Q2-2027</t>
  </si>
  <si>
    <t>Simon Bland</t>
  </si>
  <si>
    <t>006V5000006S1PO</t>
  </si>
  <si>
    <t>Q1-2027</t>
  </si>
  <si>
    <t>NIB Group</t>
  </si>
  <si>
    <t>NIB (250)</t>
  </si>
  <si>
    <t>006V500000BYvK5</t>
  </si>
  <si>
    <t>Red Energy</t>
  </si>
  <si>
    <t>Call Design AUS - Red Energy</t>
  </si>
  <si>
    <t>006V500000TzzST</t>
  </si>
  <si>
    <t>Q4-2026</t>
  </si>
  <si>
    <t>Website Opt-in (General)</t>
  </si>
  <si>
    <t>Q3-2026</t>
  </si>
  <si>
    <t>Q2-2026</t>
  </si>
  <si>
    <t>Q4-2025</t>
  </si>
  <si>
    <t>Q3-2025</t>
  </si>
  <si>
    <t>Matt Rumins</t>
  </si>
  <si>
    <t>Q1-2025</t>
  </si>
  <si>
    <t>Auto &amp; General Recoveries/Settlements Expansion</t>
  </si>
  <si>
    <t>Q4-2024</t>
  </si>
  <si>
    <t>006V50000052QPm</t>
  </si>
  <si>
    <t>Auto &amp; General (530)</t>
  </si>
  <si>
    <t>Q1-2023</t>
  </si>
  <si>
    <t>006V50000052QPj</t>
  </si>
  <si>
    <t>WebHelp Registration Requests</t>
  </si>
  <si>
    <t>Mike Regan</t>
  </si>
  <si>
    <t>4Q24 TOF Nurture - em#1 (WFM)</t>
  </si>
  <si>
    <t>Serco</t>
  </si>
  <si>
    <t>Genesys - Serco -Front Office</t>
  </si>
  <si>
    <t>006V500000UpG7t</t>
  </si>
  <si>
    <t>Keegan Sanders</t>
  </si>
  <si>
    <t>Q1-2026</t>
  </si>
  <si>
    <t>Duke Energy</t>
  </si>
  <si>
    <t>Duke Energy - 2 LOBs (PNG, Duke Energy)</t>
  </si>
  <si>
    <t>006V50000052cwn</t>
  </si>
  <si>
    <t>Blue Cross Blue Shield of NC-post pov</t>
  </si>
  <si>
    <t>Q3-2027</t>
  </si>
  <si>
    <t>Jean-Anne McMahon</t>
  </si>
  <si>
    <t>006V500000NlKcL</t>
  </si>
  <si>
    <t>Hydro Quebec</t>
  </si>
  <si>
    <t>Genesys Hydro Quebec</t>
  </si>
  <si>
    <t>James MacDonald</t>
  </si>
  <si>
    <t>006V500000S2DYv</t>
  </si>
  <si>
    <t>HSBC (UK) Full Rollout</t>
  </si>
  <si>
    <t>006V5000008KiGP</t>
  </si>
  <si>
    <t>HSBC (UK) Technical POC</t>
  </si>
  <si>
    <t>006V50000052TBL</t>
  </si>
  <si>
    <t>Very Group Phase 2</t>
  </si>
  <si>
    <t>006V50000052bac</t>
  </si>
  <si>
    <t>Steve Jackson</t>
  </si>
  <si>
    <t>Q4-2022</t>
  </si>
  <si>
    <t>006V50000052bP0</t>
  </si>
  <si>
    <t>Lloyds Banking Group - Post Pilot</t>
  </si>
  <si>
    <t>006V5000008KkDN</t>
  </si>
  <si>
    <t>Wells Fargo- Implementation Services</t>
  </si>
  <si>
    <t>Q2-2022</t>
  </si>
  <si>
    <t>Rachel DiBello</t>
  </si>
  <si>
    <t>006V50000052a1V</t>
  </si>
  <si>
    <t>CVS PBM (5,221)</t>
  </si>
  <si>
    <t>Closed</t>
  </si>
  <si>
    <t>Q3-2021</t>
  </si>
  <si>
    <t>006V50000052ame</t>
  </si>
  <si>
    <t>Christus Health</t>
  </si>
  <si>
    <t>Christus Health - 60 60 POV</t>
  </si>
  <si>
    <t>006V500000IkFMi</t>
  </si>
  <si>
    <t>HD Supply - Pilot</t>
  </si>
  <si>
    <t>Q2-2025</t>
  </si>
  <si>
    <t>006V50000052boy</t>
  </si>
  <si>
    <t>Edward Jones -Pilot</t>
  </si>
  <si>
    <t>006V50000052a2n</t>
  </si>
  <si>
    <t>CAA Club group</t>
  </si>
  <si>
    <t>006V5000007AgWb</t>
  </si>
  <si>
    <t>CAA Club Group - Pilot (Avaya)</t>
  </si>
  <si>
    <t>Q3-2024</t>
  </si>
  <si>
    <t>006V50000052bol</t>
  </si>
  <si>
    <t>Centene - Post Pilot</t>
  </si>
  <si>
    <t>006V50000052bOt</t>
  </si>
  <si>
    <t>Royal Caribbean - Post Pilot</t>
  </si>
  <si>
    <t>006V50000052UtW</t>
  </si>
  <si>
    <t>Centene - 60 60 POV</t>
  </si>
  <si>
    <t>006V50000052bOs</t>
  </si>
  <si>
    <t>The Walt Disney Company</t>
  </si>
  <si>
    <t>Disney Cruise Lines - partner C1</t>
  </si>
  <si>
    <t>006V500000UpDbS</t>
  </si>
  <si>
    <t>Principal - NL</t>
  </si>
  <si>
    <t>006V500000EdMiA</t>
  </si>
  <si>
    <t>Q3-2028</t>
  </si>
  <si>
    <t>Edward Jones - Enterprise Post Pilot</t>
  </si>
  <si>
    <t>006V50000052a2m</t>
  </si>
  <si>
    <t>006V500000UBM5e</t>
  </si>
  <si>
    <t>Alorica - Back Office</t>
  </si>
  <si>
    <t>ABM Ads</t>
  </si>
  <si>
    <t>006V500000Nl5DX</t>
  </si>
  <si>
    <t>006V500000UBq0P</t>
  </si>
  <si>
    <t>Alorica - Front Office POV</t>
  </si>
  <si>
    <t>006V500000UBZsR</t>
  </si>
  <si>
    <t>Scotiabank</t>
  </si>
  <si>
    <t>Scotiabank - 60 60 POV</t>
  </si>
  <si>
    <t>Connex Telecommunications</t>
  </si>
  <si>
    <t>006V50000052SIq</t>
  </si>
  <si>
    <t>TD Bank - Pilot</t>
  </si>
  <si>
    <t>006V50000052SIr</t>
  </si>
  <si>
    <t>Wells Fargo Cold Standy RIS Annual Fee</t>
  </si>
  <si>
    <t>006V500000Lm9o5</t>
  </si>
  <si>
    <t>006V500000MkAJ4</t>
  </si>
  <si>
    <t>Aviva Post Pilot - 2000 agents</t>
  </si>
  <si>
    <t>006V500000BF6mj</t>
  </si>
  <si>
    <t>Wells Fargo (Remaining Users)</t>
  </si>
  <si>
    <t>Q4-2027</t>
  </si>
  <si>
    <t>006V50000052ZuJ</t>
  </si>
  <si>
    <t>Wells Fargo - Agent Burnout Post Pilot</t>
  </si>
  <si>
    <t>006V500000IiAJ7</t>
  </si>
  <si>
    <t>Wells Fargo - UPT Post Pilot Expansion</t>
  </si>
  <si>
    <t>006V500000Ii85y</t>
  </si>
  <si>
    <t>Wells Fargo - UPT Pilot</t>
  </si>
  <si>
    <t>006V500000IiHnZ</t>
  </si>
  <si>
    <t>Wells Fargo - Agent Burnout Pilot</t>
  </si>
  <si>
    <t>006V500000IiE6Y</t>
  </si>
  <si>
    <t>Wells Fargo - 2 Hosted RIS Annual Fee</t>
  </si>
  <si>
    <t>006V500000OiBgH</t>
  </si>
  <si>
    <t>Wells Fargo CCaaS Expansion Q4 2026</t>
  </si>
  <si>
    <t>006V500000MT83x</t>
  </si>
  <si>
    <t>Wells Fargo - NL - CCAAS</t>
  </si>
  <si>
    <t>Q1-2024</t>
  </si>
  <si>
    <t>006V50000052ZuI</t>
  </si>
  <si>
    <t>CWT (Carlson Wagonlit Travel)</t>
  </si>
  <si>
    <t>CWT - NL</t>
  </si>
  <si>
    <t>006V50000052bp8</t>
  </si>
  <si>
    <t>CWT 60 60 Pilot</t>
  </si>
  <si>
    <t>006V50000052bp7</t>
  </si>
  <si>
    <t>Fedex - Initial Deployment - UPT</t>
  </si>
  <si>
    <t>006V500000EzsHx</t>
  </si>
  <si>
    <t>Americor</t>
  </si>
  <si>
    <t>Americor 900</t>
  </si>
  <si>
    <t>006V500000Lpo3W</t>
  </si>
  <si>
    <t>Account Engagement Connector - DO NOT DEACTIVATE</t>
  </si>
  <si>
    <t>Tracker</t>
  </si>
  <si>
    <t>Alvaria - Tracker - DWO</t>
  </si>
  <si>
    <t>006V500000PiI2r</t>
  </si>
  <si>
    <t>Customer_ProspectList_SWPPwebinar_9_14_MaryAnn_Nicole&amp;Rachel_Pardot_Legacy_List</t>
  </si>
  <si>
    <t>T-Mobile</t>
  </si>
  <si>
    <t>T-Mobile (Alvaria)</t>
  </si>
  <si>
    <t>006V50000052ZlI</t>
  </si>
  <si>
    <t>Apple</t>
  </si>
  <si>
    <t>Apple - Pilot</t>
  </si>
  <si>
    <t>006V50000052aHT</t>
  </si>
  <si>
    <t>Wells Fargo - Pilot (Alvaria UIP)</t>
  </si>
  <si>
    <t>006V50000052ZuK</t>
  </si>
  <si>
    <t>ADT</t>
  </si>
  <si>
    <t>ADT Security - Post Pilot</t>
  </si>
  <si>
    <t>Q1-2022</t>
  </si>
  <si>
    <t>006V50000052Rnv</t>
  </si>
  <si>
    <t>Humana Medical (1460)</t>
  </si>
  <si>
    <t>006V50000052VFD</t>
  </si>
  <si>
    <t>ADT Security (Pilot)</t>
  </si>
  <si>
    <t>Q4-2020</t>
  </si>
  <si>
    <t>006V50000052Rni</t>
  </si>
  <si>
    <t>Northwestern Mutual (534)</t>
  </si>
  <si>
    <t>Q1-2021</t>
  </si>
  <si>
    <t>006V50000052V8i</t>
  </si>
  <si>
    <t>Hyundai Capital America</t>
  </si>
  <si>
    <t>Hyundai Capital America -Alvaria</t>
  </si>
  <si>
    <t>006V500000EkQCL</t>
  </si>
  <si>
    <t>Roche Diagnostics</t>
  </si>
  <si>
    <t>Alvaria - Roche Diagnostics - premise expansion</t>
  </si>
  <si>
    <t>006V500000GZGGp</t>
  </si>
  <si>
    <t>St. Luke's University Health Network</t>
  </si>
  <si>
    <t>St. Luke-s University Health Ntwk - NL</t>
  </si>
  <si>
    <t>006V5000007l51q</t>
  </si>
  <si>
    <t>St. Luke's University Health Ntwk 60 60 Pilot</t>
  </si>
  <si>
    <t>006V5000007lAZO</t>
  </si>
  <si>
    <t>Mastercard</t>
  </si>
  <si>
    <t>Mastercard - SPAR - Opportunity</t>
  </si>
  <si>
    <t>SPAR SOlutions</t>
  </si>
  <si>
    <t>006V500000Fc4l7</t>
  </si>
  <si>
    <t>PHEAA</t>
  </si>
  <si>
    <t>PHEAA (SPAR) Opportunity</t>
  </si>
  <si>
    <t>006V500000E4qcg</t>
  </si>
  <si>
    <t>Barclays</t>
  </si>
  <si>
    <t>Barclays-Post Pilot (11,000)</t>
  </si>
  <si>
    <t>006V50000052Stk</t>
  </si>
  <si>
    <t>Barclaycard (2500)</t>
  </si>
  <si>
    <t>006V50000052Stj</t>
  </si>
  <si>
    <t>Barclays - Pilot</t>
  </si>
  <si>
    <t>006V50000052Stl</t>
  </si>
  <si>
    <t>TFG Infotec</t>
  </si>
  <si>
    <t>TFG - Enterprise</t>
  </si>
  <si>
    <t>006V50000052Ywg</t>
  </si>
  <si>
    <t>Macy's</t>
  </si>
  <si>
    <t>Macy's - Corporate</t>
  </si>
  <si>
    <t>006V50000052bon</t>
  </si>
  <si>
    <t>Deluxe Corporation</t>
  </si>
  <si>
    <t>Deluxe (SagesS3) Initial Transaction</t>
  </si>
  <si>
    <t>006V500000G299F</t>
  </si>
  <si>
    <t>Intact Insurance</t>
  </si>
  <si>
    <t>Intact - Luigi - Sagess3</t>
  </si>
  <si>
    <t>006V500000UkRta</t>
  </si>
  <si>
    <t>New York Life Insurance Company</t>
  </si>
  <si>
    <t>New York Life - Sages3</t>
  </si>
  <si>
    <t>006V50000052b78</t>
  </si>
  <si>
    <t>IPH Group</t>
  </si>
  <si>
    <t>006V500000I6oJ7</t>
  </si>
  <si>
    <t>SagesS3 - User Productivity - Back Office Inital Transaction</t>
  </si>
  <si>
    <t>006V500000Sogwn</t>
  </si>
  <si>
    <t>National Bank of Canada</t>
  </si>
  <si>
    <t>006V500000Hmayf</t>
  </si>
  <si>
    <t>NWN - Covetrus CC 2 Solutions + UPT</t>
  </si>
  <si>
    <t>NWN</t>
  </si>
  <si>
    <t>006V500000QtvY9</t>
  </si>
  <si>
    <t>Molina Healthcare UPT</t>
  </si>
  <si>
    <t>006V500000QQwuD</t>
  </si>
  <si>
    <t>Optimum (formerly Altice USA)</t>
  </si>
  <si>
    <t>Altice - Corporate</t>
  </si>
  <si>
    <t>006V50000052Zq5</t>
  </si>
  <si>
    <t>Truist NL</t>
  </si>
  <si>
    <t>006V50000052Zyn</t>
  </si>
  <si>
    <t>Progressive Leasing Burnout</t>
  </si>
  <si>
    <t>006V500000UgZ1j</t>
  </si>
  <si>
    <t>Mr. Cooper - NL</t>
  </si>
  <si>
    <t>006V50000052Zo8</t>
  </si>
  <si>
    <t>State Farm Underwriting</t>
  </si>
  <si>
    <t>006V500000G2vU1</t>
  </si>
  <si>
    <t>Equifax</t>
  </si>
  <si>
    <t>Equifax - Consumer UJET</t>
  </si>
  <si>
    <t>006V500000HwioX</t>
  </si>
  <si>
    <t>Molina - Burnout</t>
  </si>
  <si>
    <t>006V500000Rx9Az</t>
  </si>
  <si>
    <t>006V500000G7zDe</t>
  </si>
  <si>
    <t>Molina Healthcare - Project Phase 2</t>
  </si>
  <si>
    <t>006V50000052bow</t>
  </si>
  <si>
    <t>Molina - reports download</t>
  </si>
  <si>
    <t>006V500000SVsdV</t>
  </si>
  <si>
    <t>KeyBank UPT</t>
  </si>
  <si>
    <t>006V500000RcaHR</t>
  </si>
  <si>
    <t>Website Lead - online demo</t>
  </si>
  <si>
    <t>AVANGRID</t>
  </si>
  <si>
    <t>006V50000052eDB</t>
  </si>
  <si>
    <t>Molina Healthcare - Project Phase 1</t>
  </si>
  <si>
    <t>006V50000052SJC</t>
  </si>
  <si>
    <t>Frost and Sullivan 2024 Product Innovator Report</t>
  </si>
  <si>
    <t>Alight Solutions</t>
  </si>
  <si>
    <t>006V50000064Vg8</t>
  </si>
  <si>
    <t>Equifax - Consumer and Verification Services</t>
  </si>
  <si>
    <t>006V50000052eD6</t>
  </si>
  <si>
    <t>American Express Phase 1</t>
  </si>
  <si>
    <t>006V50000052ZvK</t>
  </si>
  <si>
    <t>State Farm-</t>
  </si>
  <si>
    <t>006V500000AEGbq</t>
  </si>
  <si>
    <t>Mr.Cooper Post Pilot</t>
  </si>
  <si>
    <t>006V50000052Zo1</t>
  </si>
  <si>
    <t>Mr. Cooper Pilot</t>
  </si>
  <si>
    <t>006V50000052Zo2</t>
  </si>
  <si>
    <t>Wayfair - Corporate - Post Pilot</t>
  </si>
  <si>
    <t>006V50000052SJG</t>
  </si>
  <si>
    <t>Wayfair - Pilot (ACV$)</t>
  </si>
  <si>
    <t>Q2-2024</t>
  </si>
  <si>
    <t>006V50000064aGo</t>
  </si>
  <si>
    <t>HCSC Report Downloads</t>
  </si>
  <si>
    <t>006V50000052aL2</t>
  </si>
  <si>
    <t>Lumen Technologies (formerly CenturyLink)</t>
  </si>
  <si>
    <t>Lumen</t>
  </si>
  <si>
    <t>006V50000052ZSW</t>
  </si>
  <si>
    <t>HCSC Project Phase 2</t>
  </si>
  <si>
    <t>Q4-2023</t>
  </si>
  <si>
    <t>006V50000052aL1</t>
  </si>
  <si>
    <t>Wayfair Pilot</t>
  </si>
  <si>
    <t>006V50000052baE</t>
  </si>
  <si>
    <t>HCSC</t>
  </si>
  <si>
    <t>Q3-2023</t>
  </si>
  <si>
    <t>006V50000052aL0</t>
  </si>
  <si>
    <t>PHI/ComEd/Peco - IEX Upgrade</t>
  </si>
  <si>
    <t>006V50000052aw0</t>
  </si>
  <si>
    <t>Pepco  (235)</t>
  </si>
  <si>
    <t>006V50000052azL</t>
  </si>
  <si>
    <t>PEPCO (305 users)</t>
  </si>
  <si>
    <t>006V50000052ay8</t>
  </si>
  <si>
    <t>PECO</t>
  </si>
  <si>
    <t>006V50000052aOF</t>
  </si>
  <si>
    <t>Domestic &amp; General - Post Pilot (1500 agents)</t>
  </si>
  <si>
    <t>006V500000KaFjP</t>
  </si>
  <si>
    <t>Vodafone (UK)</t>
  </si>
  <si>
    <t>Vodafone Group - 500 agents post pilot</t>
  </si>
  <si>
    <t>006V500000LIqDl</t>
  </si>
  <si>
    <t>Hastings Direct</t>
  </si>
  <si>
    <t>Hastings Direct - Post Pilot Expansion - 2000 agents</t>
  </si>
  <si>
    <t>006V500000LgfMA</t>
  </si>
  <si>
    <t>Teleperformance UK (DWP) - Post Pilot BI</t>
  </si>
  <si>
    <t>006V500000GxVMk</t>
  </si>
  <si>
    <t>CCW Europe Summit Amsterdam 2025</t>
  </si>
  <si>
    <t>Rabobank</t>
  </si>
  <si>
    <t>Rabobank- 5000</t>
  </si>
  <si>
    <t>006V50000052TB8</t>
  </si>
  <si>
    <t>AXA  HEALTH</t>
  </si>
  <si>
    <t>AXA Health - Front Office (1000 agents)</t>
  </si>
  <si>
    <t>006V500000REoey</t>
  </si>
  <si>
    <t>FEC Gleneagles UK 11.11.24</t>
  </si>
  <si>
    <t>Saga</t>
  </si>
  <si>
    <t>Saga - 800 agents</t>
  </si>
  <si>
    <t>006V500000BfMRF</t>
  </si>
  <si>
    <t>Vodafone Group - 60-60 POV</t>
  </si>
  <si>
    <t>memoryBlue Leads</t>
  </si>
  <si>
    <t>006V500000L0wSv</t>
  </si>
  <si>
    <t>Yorkshire Water - 200 agents</t>
  </si>
  <si>
    <t>006V500000IAPFh</t>
  </si>
  <si>
    <t>Marriott</t>
  </si>
  <si>
    <t>Marriott - Customer Engagement Centres - 5000 agents</t>
  </si>
  <si>
    <t>006V500000D7EVH</t>
  </si>
  <si>
    <t>Marks and Spencer</t>
  </si>
  <si>
    <t>M&amp;S - Front Office 400 seats</t>
  </si>
  <si>
    <t>006V500000PsegP</t>
  </si>
  <si>
    <t>Hastings Direct - 60-60 POV</t>
  </si>
  <si>
    <t>006V500000Lgh9J</t>
  </si>
  <si>
    <t>Skipton Building Society - 300 agents</t>
  </si>
  <si>
    <t>006V500000U5O21</t>
  </si>
  <si>
    <t>Atlanta Group</t>
  </si>
  <si>
    <t>Atlanta Group - Enterprise</t>
  </si>
  <si>
    <t>006V50000052Obc</t>
  </si>
  <si>
    <t>Q4-2099</t>
  </si>
  <si>
    <t>CVS Health Retail</t>
  </si>
  <si>
    <t>CVS - Retail Reporting Extracts</t>
  </si>
  <si>
    <t>006V50000052aPh</t>
  </si>
  <si>
    <t>Scotiabank - Technical POC</t>
  </si>
  <si>
    <t>006V50000052ZgL</t>
  </si>
  <si>
    <t>CVS Health - Backoffice (8,000 Remaining Enterprise)</t>
  </si>
  <si>
    <t>006V50000052amO</t>
  </si>
  <si>
    <t>Humana - BPO Post Pilot</t>
  </si>
  <si>
    <t>Barclays Phase 2</t>
  </si>
  <si>
    <t>006V500000UIQfV</t>
  </si>
  <si>
    <t>Barclays - UPT</t>
  </si>
  <si>
    <t>006V500000RHgph</t>
  </si>
  <si>
    <t>Manulife UPT Post Pilot</t>
  </si>
  <si>
    <t>006V500000G2bDc</t>
  </si>
  <si>
    <t>PayPal - Post Pilot</t>
  </si>
  <si>
    <t>006V50000052bFl</t>
  </si>
  <si>
    <t>006V500000PpMg3</t>
  </si>
  <si>
    <t>Scotiabank - Post Pilot</t>
  </si>
  <si>
    <t>006V50000052TBo</t>
  </si>
  <si>
    <t>Green Dot</t>
  </si>
  <si>
    <t>006V500000LtvCr</t>
  </si>
  <si>
    <t>Humana - Pharmacy HPCR</t>
  </si>
  <si>
    <t>Ted Lango Email Campaign - Cust Sales</t>
  </si>
  <si>
    <t>006V5000008xV4q</t>
  </si>
  <si>
    <t>CIBC - Remaining LOBs</t>
  </si>
  <si>
    <t>006V50000052a0A</t>
  </si>
  <si>
    <t>Sun Life - Canadian Contact Center</t>
  </si>
  <si>
    <t>Nashville Underground SWPP Networking Event 2026</t>
  </si>
  <si>
    <t>006V500000SrdMU</t>
  </si>
  <si>
    <t>ADT Security - Add on Licenses</t>
  </si>
  <si>
    <t>006V50000052Rnk</t>
  </si>
  <si>
    <t>CIBC Genesys Cloud ACD Migration</t>
  </si>
  <si>
    <t>006V500000So8AM</t>
  </si>
  <si>
    <t>TD Bank - ABI Pilot for Wealth Management</t>
  </si>
  <si>
    <t>006V500000MOdMw</t>
  </si>
  <si>
    <t>Manulife UPT Pilot</t>
  </si>
  <si>
    <t>006V500000FX5bO</t>
  </si>
  <si>
    <t>US Bank - Collections Group</t>
  </si>
  <si>
    <t>006V50000052Y5G</t>
  </si>
  <si>
    <t>Wells Fargo - Five9 Add'l Domains, Reporting</t>
  </si>
  <si>
    <t>006V500000MODXJ</t>
  </si>
  <si>
    <t>2025-Q4 TD Bank 1:1 - em#1</t>
  </si>
  <si>
    <t>ADP - Human Resource Outsourcing</t>
  </si>
  <si>
    <t>006V50000052cwm</t>
  </si>
  <si>
    <t>ADP - Majors Accounts</t>
  </si>
  <si>
    <t>006V50000052cwl</t>
  </si>
  <si>
    <t>ADP - National Accounts</t>
  </si>
  <si>
    <t>006V50000052cwk</t>
  </si>
  <si>
    <t>EmblemHealth - Post Pilot</t>
  </si>
  <si>
    <t>006V50000052SJ9</t>
  </si>
  <si>
    <t>v11 13 month extract</t>
  </si>
  <si>
    <t>006V500000HjVc9</t>
  </si>
  <si>
    <t>CVS Specialty - Agent Burnout Pilot</t>
  </si>
  <si>
    <t>006V5000009jaII</t>
  </si>
  <si>
    <t>Norwegian Cruise Line</t>
  </si>
  <si>
    <t>Norwegian Cruise Line - Enterprise</t>
  </si>
  <si>
    <t>006V50000052QP3</t>
  </si>
  <si>
    <t>TD Bank - Post Pilot Wealth Management</t>
  </si>
  <si>
    <t>006V50000052Ztz</t>
  </si>
  <si>
    <t>4Q24 TOF Nurture - WFM PROGRAM</t>
  </si>
  <si>
    <t>Navy Federal (Pilot)</t>
  </si>
  <si>
    <t>006V50000052eD8</t>
  </si>
  <si>
    <t>ADP - Payroll Canada</t>
  </si>
  <si>
    <t>006V50000052cwj</t>
  </si>
  <si>
    <t>Magellan Health Services</t>
  </si>
  <si>
    <t>006V50000052bOe</t>
  </si>
  <si>
    <t>006V50000052Zbv</t>
  </si>
  <si>
    <t>Renewal_ADT Security_2025</t>
  </si>
  <si>
    <t>006V50000052Rnl</t>
  </si>
  <si>
    <t>CVS - Five9 Dedicated Node Change Order</t>
  </si>
  <si>
    <t>006V5000006S1PC</t>
  </si>
  <si>
    <t>Renewal_US Bank (Pilot)_2024</t>
  </si>
  <si>
    <t>006V50000052Y5Y</t>
  </si>
  <si>
    <t>US Bank Test Env SOW</t>
  </si>
  <si>
    <t>006V50000052Y5X</t>
  </si>
  <si>
    <t>Humana GBO WFM Migration SOW</t>
  </si>
  <si>
    <t>006V50000052U7P</t>
  </si>
  <si>
    <t>Renewal_Comcast HQ_2025</t>
  </si>
  <si>
    <t>006V50000052ZWw</t>
  </si>
  <si>
    <t>Renewal - Humana 2024</t>
  </si>
  <si>
    <t>006V50000052Zue</t>
  </si>
  <si>
    <t>Humana - Add'l SM Plan</t>
  </si>
  <si>
    <t>006V50000052Zuh</t>
  </si>
  <si>
    <t>CVS Health PBM</t>
  </si>
  <si>
    <t>Renewal_CVS PBM_2024</t>
  </si>
  <si>
    <t>006V50000052aPg</t>
  </si>
  <si>
    <t>ADT (100 add on licenses for AM)</t>
  </si>
  <si>
    <t>006V50000052Rnr</t>
  </si>
  <si>
    <t>CIBC CO's for Implementation SOW</t>
  </si>
  <si>
    <t>Webinar 6.26.25 - Actionary/SWPP AI Won?t Save Your Agents from Burnout</t>
  </si>
  <si>
    <t>006V50000052a0C</t>
  </si>
  <si>
    <t>US Bank (Pilot)</t>
  </si>
  <si>
    <t>006V50000052Y5I</t>
  </si>
  <si>
    <t>CVS Health Specialty</t>
  </si>
  <si>
    <t>CVS Specialty - UMA Change</t>
  </si>
  <si>
    <t>006V50000052aPj</t>
  </si>
  <si>
    <t>Renewal_CVS (Retail - Order#4)_2023</t>
  </si>
  <si>
    <t>006V50000052TAJ</t>
  </si>
  <si>
    <t>Renewal_CVS Retail -Test_2023</t>
  </si>
  <si>
    <t>006V50000052TAI</t>
  </si>
  <si>
    <t>Renewal_CVS Retail_2023</t>
  </si>
  <si>
    <t>006V50000052TAD</t>
  </si>
  <si>
    <t>Renewal_CVS (Specialty)_2024</t>
  </si>
  <si>
    <t>006V50000052TAC</t>
  </si>
  <si>
    <t>CVS Health Add On Licenses (1916)</t>
  </si>
  <si>
    <t>006V50000052amM</t>
  </si>
  <si>
    <t>CVS- Concierge Support Add</t>
  </si>
  <si>
    <t>006V50000052amJ</t>
  </si>
  <si>
    <t>ADT InContact SOW</t>
  </si>
  <si>
    <t>Q2-2023</t>
  </si>
  <si>
    <t>006V50000052Rnm</t>
  </si>
  <si>
    <t>Humana- concierge &amp; renewal increase</t>
  </si>
  <si>
    <t>006V50000052U7F</t>
  </si>
  <si>
    <t>CIBC</t>
  </si>
  <si>
    <t>006V50000052a09</t>
  </si>
  <si>
    <t>CVS Five 9 HCB &amp; Dedicated Node</t>
  </si>
  <si>
    <t>006V50000052amG</t>
  </si>
  <si>
    <t>Humana RCC Coaching &amp; Staffing</t>
  </si>
  <si>
    <t>006V50000052U7G</t>
  </si>
  <si>
    <t>CVS- Five9 Migration</t>
  </si>
  <si>
    <t>006V50000052amF</t>
  </si>
  <si>
    <t>CVS PBM - Remove Enhanced Staffing</t>
  </si>
  <si>
    <t>Q3-2022</t>
  </si>
  <si>
    <t>006V50000052aPf</t>
  </si>
  <si>
    <t>CVS Specialty (Verint 2.0)</t>
  </si>
  <si>
    <t>006V50000052aPi</t>
  </si>
  <si>
    <t>Humana PBM Verint 2.0 Upgrade</t>
  </si>
  <si>
    <t>006V50000052VFH</t>
  </si>
  <si>
    <t>Comcast - HQ</t>
  </si>
  <si>
    <t>006V50000052ZWt</t>
  </si>
  <si>
    <t>Comcast -Coaching Pilot (250)</t>
  </si>
  <si>
    <t>Q4-2021</t>
  </si>
  <si>
    <t>006V50000052ZWp</t>
  </si>
  <si>
    <t>Comcast Coaching Pilot</t>
  </si>
  <si>
    <t>006V50000052ZWo</t>
  </si>
  <si>
    <t>Comcast SM Plan Change</t>
  </si>
  <si>
    <t>006V50000052ZWq</t>
  </si>
  <si>
    <t>Renewal_Comcast (West)_2022</t>
  </si>
  <si>
    <t>006V50000052ZWl</t>
  </si>
  <si>
    <t>CVS Retail (Avaya v.19.2 Upgrade)</t>
  </si>
  <si>
    <t>006V50000052amB</t>
  </si>
  <si>
    <t>CVS Specialty Pricing Adjustment</t>
  </si>
  <si>
    <t>006V50000052amC</t>
  </si>
  <si>
    <t>CVS Specialty (2,539)</t>
  </si>
  <si>
    <t>006V50000052amA</t>
  </si>
  <si>
    <t>ADT Security Pilot Use Case Add</t>
  </si>
  <si>
    <t>006V50000052Rnj</t>
  </si>
  <si>
    <t>CVS Specialty (Add Coaching &amp; Agent State Analysis)</t>
  </si>
  <si>
    <t>Q2-2021</t>
  </si>
  <si>
    <t>006V50000052am9</t>
  </si>
  <si>
    <t>Renewal_Comcast (West)_2021</t>
  </si>
  <si>
    <t>006V50000052ZYM</t>
  </si>
  <si>
    <t>Comcast West - Renewal Price Increase</t>
  </si>
  <si>
    <t>006V50000052ZWk</t>
  </si>
  <si>
    <t>Humana PBM (Pilot Conversion to 3YR Term)</t>
  </si>
  <si>
    <t>006V50000052VFF</t>
  </si>
  <si>
    <t>Humana - PBM (3YR Term - 560 users)</t>
  </si>
  <si>
    <t>006V50000052VFC</t>
  </si>
  <si>
    <t>Cigna/ESI - Enterprise (20,000)</t>
  </si>
  <si>
    <t>006V50000052Yvk</t>
  </si>
  <si>
    <t>Cigna/ESI (Concierge Support)</t>
  </si>
  <si>
    <t>006V50000052Y7c</t>
  </si>
  <si>
    <t>Comcast West - Addl ACD</t>
  </si>
  <si>
    <t>Q3-2020</t>
  </si>
  <si>
    <t>006V50000052ZWi</t>
  </si>
  <si>
    <t>CVS Specialty (ASA Licenses)</t>
  </si>
  <si>
    <t>006V50000052am5</t>
  </si>
  <si>
    <t>CVS (Retail - Add on Licenses)</t>
  </si>
  <si>
    <t>006V50000052TAH</t>
  </si>
  <si>
    <t>CVS Retail - Cold Standby</t>
  </si>
  <si>
    <t>006V50000052TAF</t>
  </si>
  <si>
    <t>CVS Avaya Upgrade</t>
  </si>
  <si>
    <t>006V50000052amf</t>
  </si>
  <si>
    <t>CVS Retail - Test Env</t>
  </si>
  <si>
    <t>006V50000052TAE</t>
  </si>
  <si>
    <t>Assurant - Mobile App</t>
  </si>
  <si>
    <t>006V50000052Us7</t>
  </si>
  <si>
    <t>Renewal_CVS Retail_2020</t>
  </si>
  <si>
    <t>Q2-2020</t>
  </si>
  <si>
    <t>006V50000052amd</t>
  </si>
  <si>
    <t>CVS- Specialty (2,461)</t>
  </si>
  <si>
    <t>006V50000052TAG</t>
  </si>
  <si>
    <t>Humana (PBM Pilot)</t>
  </si>
  <si>
    <t>Q1-2020</t>
  </si>
  <si>
    <t>006V50000052U7U</t>
  </si>
  <si>
    <t>Comcast (West)</t>
  </si>
  <si>
    <t>Q4-2019</t>
  </si>
  <si>
    <t>006V50000052ZYK</t>
  </si>
  <si>
    <t>Cigna addtl 1400 users</t>
  </si>
  <si>
    <t>006V50000052Yvi</t>
  </si>
  <si>
    <t>Assurant - Aspect Upgrade</t>
  </si>
  <si>
    <t>006V50000052Us6</t>
  </si>
  <si>
    <t>Comcast (West) pilot</t>
  </si>
  <si>
    <t>Q3-2019</t>
  </si>
  <si>
    <t>006V50000052TBS</t>
  </si>
  <si>
    <t>Cigna (Phase 1 - Pharmacy)</t>
  </si>
  <si>
    <t>006V50000052Yvh</t>
  </si>
  <si>
    <t>Global Credit Union</t>
  </si>
  <si>
    <t>SWPP 2026</t>
  </si>
  <si>
    <t>006V500000RlBy9</t>
  </si>
  <si>
    <t>006V5000009arga</t>
  </si>
  <si>
    <t>NationsBenefits</t>
  </si>
  <si>
    <t>NationsBenefits - NL</t>
  </si>
  <si>
    <t>006V5000006S1gu</t>
  </si>
  <si>
    <t>Uline</t>
  </si>
  <si>
    <t>ULINE - Customer Service</t>
  </si>
  <si>
    <t>006V50000052UGv</t>
  </si>
  <si>
    <t>Penske Corporation</t>
  </si>
  <si>
    <t>Penske</t>
  </si>
  <si>
    <t>006V500000T7TUP</t>
  </si>
  <si>
    <t>FirstEnergy Corporation</t>
  </si>
  <si>
    <t>FirstEnergy</t>
  </si>
  <si>
    <t>006V500000ShY1V</t>
  </si>
  <si>
    <t>The General</t>
  </si>
  <si>
    <t>The General - 60 60 POV</t>
  </si>
  <si>
    <t>006V500000HGNy9</t>
  </si>
  <si>
    <t>Google</t>
  </si>
  <si>
    <t>Google - YouTube Group  NL</t>
  </si>
  <si>
    <t>006V500000GTcdO</t>
  </si>
  <si>
    <t>Crutchfield</t>
  </si>
  <si>
    <t>006V5000006S1gs</t>
  </si>
  <si>
    <t>PillPack</t>
  </si>
  <si>
    <t>Amazon Pillpak Pilot - CO for Amazon Connect</t>
  </si>
  <si>
    <t>006V50000052cx9</t>
  </si>
  <si>
    <t>Vantive</t>
  </si>
  <si>
    <t>Vantive - NL</t>
  </si>
  <si>
    <t>006V50000052cwy</t>
  </si>
  <si>
    <t>WorldPay US, Inc.</t>
  </si>
  <si>
    <t>WorldPay by FIS Global - Front Office</t>
  </si>
  <si>
    <t>006V50000052bp0</t>
  </si>
  <si>
    <t>Amazon new integration</t>
  </si>
  <si>
    <t>006V50000052Ywf</t>
  </si>
  <si>
    <t>WorldPay by FIS Global - Back Office</t>
  </si>
  <si>
    <t>006V50000052V8O</t>
  </si>
  <si>
    <t>Amazon Pharmacy - Post Pilot</t>
  </si>
  <si>
    <t>006V50000052SIx</t>
  </si>
  <si>
    <t>Johnson &amp; Johnson</t>
  </si>
  <si>
    <t>Johnson &amp; Johnson - 60 60 POV</t>
  </si>
  <si>
    <t>006V500000MhbXV</t>
  </si>
  <si>
    <t>Ecolab</t>
  </si>
  <si>
    <t>Ecolab - 60 60 POV</t>
  </si>
  <si>
    <t>Historical_Sync_Contacts_Pardot_CRM</t>
  </si>
  <si>
    <t>006V500000Mhb2r</t>
  </si>
  <si>
    <t>Capital Group - Genesys Pure Engage ACD to Genesys Cloud ACD</t>
  </si>
  <si>
    <t>006V500000OoB2T</t>
  </si>
  <si>
    <t>Amica Mutual - FOC change request</t>
  </si>
  <si>
    <t>006V500000K5YFH</t>
  </si>
  <si>
    <t>FEC Scottsdale Oct 2024</t>
  </si>
  <si>
    <t>Suncoast Credit Union</t>
  </si>
  <si>
    <t>Suncoast Credit Union - NL - Pilot</t>
  </si>
  <si>
    <t>006V5000006S1PP</t>
  </si>
  <si>
    <t>Renewal_Amazon Pharmacy Pilot_2024</t>
  </si>
  <si>
    <t>006V50000052cx8</t>
  </si>
  <si>
    <t>HGS Canada</t>
  </si>
  <si>
    <t>HGS Canada - Pilot</t>
  </si>
  <si>
    <t>006V50000052SIy</t>
  </si>
  <si>
    <t>Direct Line Insurance Group</t>
  </si>
  <si>
    <t>DLG- Household Service Group Pilot</t>
  </si>
  <si>
    <t>006V50000052bOG</t>
  </si>
  <si>
    <t>Virgin Media O2 (UK)</t>
  </si>
  <si>
    <t>Virgin Media - Cisco AWDB</t>
  </si>
  <si>
    <t>006V50000052at0</t>
  </si>
  <si>
    <t>BT</t>
  </si>
  <si>
    <t>EE - Post-Pilot</t>
  </si>
  <si>
    <t>006V50000052Obn</t>
  </si>
  <si>
    <t>BT Group</t>
  </si>
  <si>
    <t>BT - Business and Commercial LOBs</t>
  </si>
  <si>
    <t>006V50000052bcl</t>
  </si>
  <si>
    <t>British Gas Energy Upsell Chat_Email</t>
  </si>
  <si>
    <t>006V50000052Ro2</t>
  </si>
  <si>
    <t>AXA (UK)</t>
  </si>
  <si>
    <t>AXA Ireland (750)</t>
  </si>
  <si>
    <t>006V50000052bQT</t>
  </si>
  <si>
    <t>AXA- Verint 2.0 Upgrade</t>
  </si>
  <si>
    <t>006V50000052bQW</t>
  </si>
  <si>
    <t>AXA UK BOO</t>
  </si>
  <si>
    <t>006V500000QnTGP</t>
  </si>
  <si>
    <t>AXA Insurance UK</t>
  </si>
  <si>
    <t>AXA Insurance UK-</t>
  </si>
  <si>
    <t>Opt-in-Events</t>
  </si>
  <si>
    <t>006V500000QPHMr</t>
  </si>
  <si>
    <t>AXA UMA</t>
  </si>
  <si>
    <t>006V500000B3k9e</t>
  </si>
  <si>
    <t>BT Other</t>
  </si>
  <si>
    <t>006V50000052bcj</t>
  </si>
  <si>
    <t>AXA UK - Burnout &amp; Attrition</t>
  </si>
  <si>
    <t>006V50000052bQa</t>
  </si>
  <si>
    <t>Renewal_AXA_2024</t>
  </si>
  <si>
    <t>006V50000052bQV</t>
  </si>
  <si>
    <t>VMO2 AWS Integration</t>
  </si>
  <si>
    <t>006V50000052at3</t>
  </si>
  <si>
    <t>Virgin Media - Verint Upgrade/Apigee</t>
  </si>
  <si>
    <t>006V50000052at1</t>
  </si>
  <si>
    <t>British Gas - 2Q24 License Overages</t>
  </si>
  <si>
    <t>006V50000064aGG</t>
  </si>
  <si>
    <t>Renewal_British Gas - 2024</t>
  </si>
  <si>
    <t>006V50000052Ro4</t>
  </si>
  <si>
    <t>British Gas Price Increase</t>
  </si>
  <si>
    <t>006V50000052Ro3</t>
  </si>
  <si>
    <t>Renewal_Virgin Media 2024</t>
  </si>
  <si>
    <t>006V50000052czz</t>
  </si>
  <si>
    <t>Renewal_DLG Claims_2024</t>
  </si>
  <si>
    <t>006V50000052bOJ</t>
  </si>
  <si>
    <t>VMO2 License Add on</t>
  </si>
  <si>
    <t>006V50000052at2</t>
  </si>
  <si>
    <t>AXA Claims Additional Licences</t>
  </si>
  <si>
    <t>006V50000052bQZ</t>
  </si>
  <si>
    <t>Auto &amp; General Home Group Expansion</t>
  </si>
  <si>
    <t>006V50000052QPl</t>
  </si>
  <si>
    <t>Renewal_British Gas - 2023</t>
  </si>
  <si>
    <t>006V50000052Rnz</t>
  </si>
  <si>
    <t>AXA - Genesys Integration &amp; Verint Upgrade</t>
  </si>
  <si>
    <t>006V50000052bQY</t>
  </si>
  <si>
    <t>British Gas Overages (Q4)</t>
  </si>
  <si>
    <t>006V50000052Ro1</t>
  </si>
  <si>
    <t>Renewal-DLG Claims 2022</t>
  </si>
  <si>
    <t>006V50000052bOO</t>
  </si>
  <si>
    <t>Renewal_British Gas - 2022</t>
  </si>
  <si>
    <t>006V50000052Rnw</t>
  </si>
  <si>
    <t>AXA iPFX Integration Add</t>
  </si>
  <si>
    <t>006V50000052bQS</t>
  </si>
  <si>
    <t>AXA Coaching</t>
  </si>
  <si>
    <t>006V50000052bQU</t>
  </si>
  <si>
    <t>British Gas- Amazon Connect</t>
  </si>
  <si>
    <t>006V50000052Rny</t>
  </si>
  <si>
    <t>British Gas- Aspect VIA &amp; Cloud RIS</t>
  </si>
  <si>
    <t>006V50000052Rnx</t>
  </si>
  <si>
    <t>Direct Line Hold</t>
  </si>
  <si>
    <t>006V50000052bOC</t>
  </si>
  <si>
    <t>Best Buy</t>
  </si>
  <si>
    <t>Q4-2028</t>
  </si>
  <si>
    <t>006V50000052aMd</t>
  </si>
  <si>
    <t>ACG - ERS - DWO</t>
  </si>
  <si>
    <t>006V5000007KLvV</t>
  </si>
  <si>
    <t>Fifth Third Bancorp</t>
  </si>
  <si>
    <t>Fifth Third Bancorp - Banking</t>
  </si>
  <si>
    <t>006V50000052Zys</t>
  </si>
  <si>
    <t>USAA - Post-Pilot (Fraud)</t>
  </si>
  <si>
    <t>006V5000006UF9S</t>
  </si>
  <si>
    <t>Allstate Corporation</t>
  </si>
  <si>
    <t>Allstate - Sales (Post-Pilot)</t>
  </si>
  <si>
    <t>006V50000052cws</t>
  </si>
  <si>
    <t>RBC - Insurance Post Pilot</t>
  </si>
  <si>
    <t>006V5000008jINZ</t>
  </si>
  <si>
    <t>Bread Financial - Card Services</t>
  </si>
  <si>
    <t>006V50000052eUj</t>
  </si>
  <si>
    <t>CardWorks Inc</t>
  </si>
  <si>
    <t>Cardworks</t>
  </si>
  <si>
    <t>Allstate - Sales (Pilot) w_ACV$</t>
  </si>
  <si>
    <t>006V50000052eD7</t>
  </si>
  <si>
    <t>CRS Amelia Island - Execs in the Know 2026</t>
  </si>
  <si>
    <t>Historical_Sync_Leads_Pardot_CRM</t>
  </si>
  <si>
    <t>Fiserv</t>
  </si>
  <si>
    <t>006V50000052cxL</t>
  </si>
  <si>
    <t>Republic Services</t>
  </si>
  <si>
    <t>006V50000052d0A</t>
  </si>
  <si>
    <t>Chime</t>
  </si>
  <si>
    <t>Chime - Back Office</t>
  </si>
  <si>
    <t>006V50000052cx3</t>
  </si>
  <si>
    <t>Chime Pilot</t>
  </si>
  <si>
    <t>006V50000052cx2</t>
  </si>
  <si>
    <t>Transamerica Corp</t>
  </si>
  <si>
    <t>Transamerica - Post-Pilot</t>
  </si>
  <si>
    <t>006V50000052UsT</t>
  </si>
  <si>
    <t>Blue Shield of California (BSCA)</t>
  </si>
  <si>
    <t>BSCA - Enterprise</t>
  </si>
  <si>
    <t>006V50000052cxA</t>
  </si>
  <si>
    <t>BMO</t>
  </si>
  <si>
    <t>BMO - Enterprise</t>
  </si>
  <si>
    <t>006V50000052ZTs</t>
  </si>
  <si>
    <t>Transamerica - Pilot</t>
  </si>
  <si>
    <t>006V50000052d0Q</t>
  </si>
  <si>
    <t>FedEx - Freight</t>
  </si>
  <si>
    <t>006V50000052Zuc</t>
  </si>
  <si>
    <t>Vibrant Emotional Health</t>
  </si>
  <si>
    <t>Vibrant Emotional - License Uplift</t>
  </si>
  <si>
    <t>006V50000099qv3</t>
  </si>
  <si>
    <t>Allstate - Sales (Pilot)</t>
  </si>
  <si>
    <t>006V50000080Se1</t>
  </si>
  <si>
    <t>RBC - Post Pilot (2024)</t>
  </si>
  <si>
    <t>006V50000052ZuF</t>
  </si>
  <si>
    <t>Goldman Sachs - ASAPP Provider</t>
  </si>
  <si>
    <t>006V5000006yT3h</t>
  </si>
  <si>
    <t>Cleveland Clinic</t>
  </si>
  <si>
    <t>Cleveland Clinic - 269 Licenses</t>
  </si>
  <si>
    <t>006V50000064aGF</t>
  </si>
  <si>
    <t>RBC Pilot Expansion</t>
  </si>
  <si>
    <t>006V50000052a00</t>
  </si>
  <si>
    <t>006V50000052cx5</t>
  </si>
  <si>
    <t>Home Depot (OCC Post-Pilot)</t>
  </si>
  <si>
    <t>006V50000052ZND</t>
  </si>
  <si>
    <t>006V50000052TA8</t>
  </si>
  <si>
    <t>RBC - Second Tenant</t>
  </si>
  <si>
    <t>006V50000052Zzp</t>
  </si>
  <si>
    <t>RBC -Pilot</t>
  </si>
  <si>
    <t>006V50000052Zzo</t>
  </si>
  <si>
    <t>Home Depot (OCC Pilot)</t>
  </si>
  <si>
    <t>006V50000052ZNE</t>
  </si>
  <si>
    <t>Cleveland Clinic -(YR1-641, YR2-941)</t>
  </si>
  <si>
    <t>006V50000052Xvg</t>
  </si>
  <si>
    <t>Northwestern Mutual-Expertise Services</t>
  </si>
  <si>
    <t>006V50000052V8q</t>
  </si>
  <si>
    <t>Northwestern Mutual - TSC Division (74)</t>
  </si>
  <si>
    <t>006V50000052V8m</t>
  </si>
  <si>
    <t>Northwestern Mutual- remove test environ</t>
  </si>
  <si>
    <t>006V50000052V8p</t>
  </si>
  <si>
    <t>Northwestern Mutual (50)</t>
  </si>
  <si>
    <t>006V50000052V8o</t>
  </si>
  <si>
    <t>Northwestern Mutual - Back Office Pilot (200)</t>
  </si>
  <si>
    <t>006V50000052V8k</t>
  </si>
  <si>
    <t>Renewal - Dominion Energy</t>
  </si>
  <si>
    <t>006V500000Gf0MD</t>
  </si>
  <si>
    <t>Dominion Energy - Enbridge Subsidiary - Pilot</t>
  </si>
  <si>
    <t>006V500000GyfdO</t>
  </si>
  <si>
    <t>006V500000FttMb</t>
  </si>
  <si>
    <t>Aptive Environmental</t>
  </si>
  <si>
    <t>Aptive 450</t>
  </si>
  <si>
    <t>006V500000JwObh</t>
  </si>
  <si>
    <t>Toyota Financial Services Corporation</t>
  </si>
  <si>
    <t>Toyota Financial</t>
  </si>
  <si>
    <t>IPH Europe</t>
  </si>
  <si>
    <t>006V500000I6p77</t>
  </si>
  <si>
    <t>Horizon Blue Cross Blue Shield of New Jersey</t>
  </si>
  <si>
    <t>Horizon UPT</t>
  </si>
  <si>
    <t>006V500000QCYzp</t>
  </si>
  <si>
    <t>Horizon BCBS-Nick</t>
  </si>
  <si>
    <t>006V500000Ip31V</t>
  </si>
  <si>
    <t>Horizon CC</t>
  </si>
  <si>
    <t>006V500000QSsZa</t>
  </si>
  <si>
    <t>Renewal By Andersen</t>
  </si>
  <si>
    <t>Five9 CX Summit Nov 2025</t>
  </si>
  <si>
    <t>006V500000NMrwT</t>
  </si>
  <si>
    <t>Point32Health</t>
  </si>
  <si>
    <t>Point32 Health</t>
  </si>
  <si>
    <t>006V500000SWEcP</t>
  </si>
  <si>
    <t>Blue Cross Blue Shield Arizona (BCBS AZ)</t>
  </si>
  <si>
    <t>BCBSAZ</t>
  </si>
  <si>
    <t>006V500000R8qBa</t>
  </si>
  <si>
    <t>Dominion Energy UPT</t>
  </si>
  <si>
    <t>006V500000NlLYP</t>
  </si>
  <si>
    <t>MSC _POV</t>
  </si>
  <si>
    <t>006V500000U31xa</t>
  </si>
  <si>
    <t>Dominion USAN integration</t>
  </si>
  <si>
    <t>006V500000UNn6o</t>
  </si>
  <si>
    <t>Webinar 12.12.24 - SWPP PDP Analysis</t>
  </si>
  <si>
    <t>National Grid US</t>
  </si>
  <si>
    <t>National Grid - NL - Back Office</t>
  </si>
  <si>
    <t>006V5000006S1PL</t>
  </si>
  <si>
    <t>Website Opt-Out (General)</t>
  </si>
  <si>
    <t>Canada Life Assurance Company</t>
  </si>
  <si>
    <t>Canada Life</t>
  </si>
  <si>
    <t>006V500000CdZv4</t>
  </si>
  <si>
    <t>Sunwing Vacations</t>
  </si>
  <si>
    <t>006V500000DfXOj</t>
  </si>
  <si>
    <t>Intradiem - Pardot Website Tracking - Do Not Deactivate</t>
  </si>
  <si>
    <t>006V500000HzDTE</t>
  </si>
  <si>
    <t>Webinar 2.25.25 - SWPP Empowering Supervisors</t>
  </si>
  <si>
    <t>006V500000D7Mp9</t>
  </si>
  <si>
    <t>Oppty Created Date</t>
  </si>
  <si>
    <t>Owner</t>
  </si>
  <si>
    <t>Account</t>
  </si>
  <si>
    <t xml:space="preserve">Opportunity Amt </t>
  </si>
  <si>
    <t>Stage (1-4)</t>
  </si>
  <si>
    <t>X</t>
  </si>
  <si>
    <t>x</t>
  </si>
  <si>
    <t>Google Ads: Demo Request</t>
  </si>
  <si>
    <t>late stage</t>
  </si>
  <si>
    <t>created in 2022</t>
  </si>
  <si>
    <t>Event-The Forum</t>
  </si>
  <si>
    <t>Fixed in SF</t>
  </si>
  <si>
    <t>Larry Swift</t>
  </si>
  <si>
    <t>Google Natural Search: 2.25 Webinar On-Demand: Empowering Supervisors</t>
  </si>
  <si>
    <t>won</t>
  </si>
  <si>
    <t>Digital Influence</t>
  </si>
  <si>
    <t xml:space="preserve">Closed Won </t>
  </si>
  <si>
    <t>Google Ad: MQL Automation (score)</t>
  </si>
  <si>
    <t>Event-EITK/SWPP</t>
  </si>
  <si>
    <t>MemoryBlue</t>
  </si>
  <si>
    <t>Bing Organic Search</t>
  </si>
  <si>
    <t xml:space="preserve">Closed won </t>
  </si>
  <si>
    <t>Jean Anne McMahon</t>
  </si>
  <si>
    <t>Google Organic Search</t>
  </si>
  <si>
    <t>Alorica - Front Office</t>
  </si>
  <si>
    <t xml:space="preserve">Event- CCW UK </t>
  </si>
  <si>
    <t>Carnival UK- 400 agents</t>
  </si>
  <si>
    <t xml:space="preserve">Marriott </t>
  </si>
  <si>
    <t xml:space="preserve">Event-CCW UK </t>
  </si>
  <si>
    <t>Event-CCMA</t>
  </si>
  <si>
    <t xml:space="preserve">Nationwide Building Society </t>
  </si>
  <si>
    <t>Events- Genesys</t>
  </si>
  <si>
    <t xml:space="preserve">Events-Five9 Summit </t>
  </si>
  <si>
    <t xml:space="preserve">Qualfon </t>
  </si>
  <si>
    <t xml:space="preserve">Closed lost </t>
  </si>
  <si>
    <t xml:space="preserve">No decision/non responsive </t>
  </si>
  <si>
    <t xml:space="preserve">TechStyle Fashion Group </t>
  </si>
  <si>
    <t xml:space="preserve">Website  </t>
  </si>
  <si>
    <t>Lost to Competitor</t>
  </si>
  <si>
    <t>Deleted Opp</t>
  </si>
  <si>
    <t>Event- CCW US</t>
  </si>
  <si>
    <t>Event-Frost and Sullivan</t>
  </si>
  <si>
    <t xml:space="preserve">Closed Lost </t>
  </si>
  <si>
    <t>Event-SWPP</t>
  </si>
  <si>
    <t xml:space="preserve">Google-YouTube </t>
  </si>
  <si>
    <t>Events-SWPP</t>
  </si>
  <si>
    <t>Events- CCW Amsterdam</t>
  </si>
  <si>
    <t xml:space="preserve">Renewal by Andersen </t>
  </si>
  <si>
    <t>n/a 2024</t>
  </si>
  <si>
    <t>Google Ad: MQL Automation (score), Forefront Toronto</t>
  </si>
  <si>
    <t>created in january 2024</t>
  </si>
  <si>
    <t>Website: TEI Report</t>
  </si>
  <si>
    <t>Google Natural Search: Frost &amp; Sullivan Report</t>
  </si>
  <si>
    <t>LinkedIn Ad: Ops eBook Download</t>
  </si>
  <si>
    <t>LinkedIn Ad: Ops eBook Download, WFM Strategy Guide</t>
  </si>
  <si>
    <t>Salesforce Report:</t>
  </si>
  <si>
    <t>Partner Pre-Pipeline - All Time Created</t>
  </si>
  <si>
    <t>Partner Pre-Pipeline: Partner Pre-Pipeline Name</t>
  </si>
  <si>
    <t>Partner Pre-Pipeline: Owner Name</t>
  </si>
  <si>
    <t>Prospect Account Name</t>
  </si>
  <si>
    <t>Estimated ACV</t>
  </si>
  <si>
    <t>Agent Count</t>
  </si>
  <si>
    <t>Partner AE</t>
  </si>
  <si>
    <t>Intradiem AE</t>
  </si>
  <si>
    <t>Partner Category</t>
  </si>
  <si>
    <t>Priority</t>
  </si>
  <si>
    <t>Converted</t>
  </si>
  <si>
    <t>Converted Date</t>
  </si>
  <si>
    <t>Converted Opportunity</t>
  </si>
  <si>
    <t>Next Action Date</t>
  </si>
  <si>
    <t>Engagement Source</t>
  </si>
  <si>
    <t>Partner Pre-Pipeline: Created Date</t>
  </si>
  <si>
    <t>First Customer Meeting Date</t>
  </si>
  <si>
    <t>Second Customer Meeting Date</t>
  </si>
  <si>
    <t>AE Intro Date</t>
  </si>
  <si>
    <t>Partner Account</t>
  </si>
  <si>
    <t>MQL Date</t>
  </si>
  <si>
    <t>First Meeting Helper</t>
  </si>
  <si>
    <t>Alvaria - JMT</t>
  </si>
  <si>
    <t>Frank Ciccone</t>
  </si>
  <si>
    <t>Disqualified</t>
  </si>
  <si>
    <t>Chanfa Kunawiwat</t>
  </si>
  <si>
    <t>Haresh Gangwani</t>
  </si>
  <si>
    <t>Expand or New Pursuit</t>
  </si>
  <si>
    <t>Partner Sourced</t>
  </si>
  <si>
    <t>Alvaria - Exeter Finance</t>
  </si>
  <si>
    <t>Exeter Finance Corp</t>
  </si>
  <si>
    <t>Dan Derin</t>
  </si>
  <si>
    <t>New Pursuit</t>
  </si>
  <si>
    <t>Alvaria - Ituran</t>
  </si>
  <si>
    <t>Nigel Moss</t>
  </si>
  <si>
    <t>CAM to AE Intro</t>
  </si>
  <si>
    <t>Alvaria - Telkom</t>
  </si>
  <si>
    <t>Delivered 12 Minute Meeting</t>
  </si>
  <si>
    <t>Josh Withers</t>
  </si>
  <si>
    <t>Expand</t>
  </si>
  <si>
    <t>Alvaria - Tracker</t>
  </si>
  <si>
    <t>Converted to Opportunity</t>
  </si>
  <si>
    <t>Josh Bennett</t>
  </si>
  <si>
    <t>Partner Intro</t>
  </si>
  <si>
    <t>Alvaria - Meralco</t>
  </si>
  <si>
    <t>Meralco</t>
  </si>
  <si>
    <t>Alvaria - Easy Buy</t>
  </si>
  <si>
    <t>Easy Buy</t>
  </si>
  <si>
    <t>Alvaria - Cosmote e-value</t>
  </si>
  <si>
    <t>Cosmote e-value</t>
  </si>
  <si>
    <t>Alvaria - Frankfinn Aviation</t>
  </si>
  <si>
    <t>Frankfinn Aviation</t>
  </si>
  <si>
    <t>Vivek Bansal</t>
  </si>
  <si>
    <t>Alvaria - Stadtwerke München</t>
  </si>
  <si>
    <t>Stadtwerke Munich GmbH</t>
  </si>
  <si>
    <t>Alvaria - IndusInd Bank</t>
  </si>
  <si>
    <t>Indusindbank</t>
  </si>
  <si>
    <t>Alvaria - MultiChoice</t>
  </si>
  <si>
    <t>Alvaria - Teleperformance</t>
  </si>
  <si>
    <t>Alvaria - TFG (Retail)</t>
  </si>
  <si>
    <t>Register Lead</t>
  </si>
  <si>
    <t>Alvaria - DHL International</t>
  </si>
  <si>
    <t>DHL</t>
  </si>
  <si>
    <t>Alvaria - MDS Communications</t>
  </si>
  <si>
    <t>Matt Suder</t>
  </si>
  <si>
    <t>MDS Communications</t>
  </si>
  <si>
    <t>Rachel Haug</t>
  </si>
  <si>
    <t>Alvaria Morgan Stanley</t>
  </si>
  <si>
    <t>Morgan Stanley</t>
  </si>
  <si>
    <t>Alvaria - Telus INTL</t>
  </si>
  <si>
    <t>Telus International</t>
  </si>
  <si>
    <t>Alvaria - Astound (RCN Telecom Services)</t>
  </si>
  <si>
    <t>Astound Broadband</t>
  </si>
  <si>
    <t>Beth Roeder</t>
  </si>
  <si>
    <t>Alvaria - Reprise Financial</t>
  </si>
  <si>
    <t>Reprise Financial</t>
  </si>
  <si>
    <t>Alvaria - TDS Telecommunications</t>
  </si>
  <si>
    <t>TDS Telecom</t>
  </si>
  <si>
    <t>Alvaria-Centrica-Front Office</t>
  </si>
  <si>
    <t>CENTRICA PLC</t>
  </si>
  <si>
    <t>Paul Harris</t>
  </si>
  <si>
    <t>AWS Marketplace - GE Appliances - UPT POV</t>
  </si>
  <si>
    <t>Partner Influenced</t>
  </si>
  <si>
    <t>Marketplace</t>
  </si>
  <si>
    <t>Amazon Web Services</t>
  </si>
  <si>
    <t>Aspect - Southwest Airlines</t>
  </si>
  <si>
    <t>Southwest Airlines</t>
  </si>
  <si>
    <t>Eric Reddington</t>
  </si>
  <si>
    <t>Aspect - Santander</t>
  </si>
  <si>
    <t>Santander Bank (UK)</t>
  </si>
  <si>
    <t>Aspect - JetBlue</t>
  </si>
  <si>
    <t>JetBlue Airways</t>
  </si>
  <si>
    <t>Aspect - Best Buy</t>
  </si>
  <si>
    <t>Aspect - Vanguard</t>
  </si>
  <si>
    <t>The Vanguard Group</t>
  </si>
  <si>
    <t>Patrick Layland</t>
  </si>
  <si>
    <t>Aspect - Equifax</t>
  </si>
  <si>
    <t>Aspect - Airbnb</t>
  </si>
  <si>
    <t>Airbnb</t>
  </si>
  <si>
    <t>Chris Heerin</t>
  </si>
  <si>
    <t>Aspect - United Airlines</t>
  </si>
  <si>
    <t>United Airlines</t>
  </si>
  <si>
    <t>Sharlesa Charron</t>
  </si>
  <si>
    <t>Avaya - AIG</t>
  </si>
  <si>
    <t>American International Group (AIG)</t>
  </si>
  <si>
    <t>Avaya - Beth Israel Lahey Health</t>
  </si>
  <si>
    <t>Beth Israel Deaconess Medical Center</t>
  </si>
  <si>
    <t>Mindy Dworaczyk</t>
  </si>
  <si>
    <t>Avaya - St. Lukes</t>
  </si>
  <si>
    <t>Avaya - C.H. Robinson</t>
  </si>
  <si>
    <t>Avaya Christus Health</t>
  </si>
  <si>
    <t>Avaya - Thrivent</t>
  </si>
  <si>
    <t>Thrivent</t>
  </si>
  <si>
    <t>Avaya - BCBS Louisiana</t>
  </si>
  <si>
    <t>Blue Cross Blue Shield of Louisiana</t>
  </si>
  <si>
    <t>Joshua Reed</t>
  </si>
  <si>
    <t>Avaya Aflac</t>
  </si>
  <si>
    <t>Don Kunian</t>
  </si>
  <si>
    <t>Avaya - CAA UPT Post Pilot</t>
  </si>
  <si>
    <t>Natalie Ewing</t>
  </si>
  <si>
    <t>Omar Velasquez</t>
  </si>
  <si>
    <t>Avaya - CAA - UPT - Post Pilot</t>
  </si>
  <si>
    <t>Avaya - CAA UPT Pilot</t>
  </si>
  <si>
    <t>Alvaria-Barclay Bank QOBO</t>
  </si>
  <si>
    <t>Phil Salt</t>
  </si>
  <si>
    <t>Calabrio - Autodesk</t>
  </si>
  <si>
    <t>Autodesk</t>
  </si>
  <si>
    <t>Call Design AU-Origin Energy</t>
  </si>
  <si>
    <t>Origin Energy</t>
  </si>
  <si>
    <t>Scheduling 2nd Customer Meet</t>
  </si>
  <si>
    <t>Michelle Marlan</t>
  </si>
  <si>
    <t>Call Design AU - Auto &amp; General</t>
  </si>
  <si>
    <t>Darren Wathen</t>
  </si>
  <si>
    <t>Call Design AUS - Bankwest</t>
  </si>
  <si>
    <t>Bankwest</t>
  </si>
  <si>
    <t>Jeremy Marriott</t>
  </si>
  <si>
    <t>Call Design AUS - BNZ</t>
  </si>
  <si>
    <t>BNZ (Bank of New Zealand)</t>
  </si>
  <si>
    <t>Call design AUS - Red Energy</t>
  </si>
  <si>
    <t>Call Design AU - Air New Zealand</t>
  </si>
  <si>
    <t>Air New Zealand</t>
  </si>
  <si>
    <t>Call Design AU - BDO Unibank</t>
  </si>
  <si>
    <t>BDO USA</t>
  </si>
  <si>
    <t>Glen Caguicla</t>
  </si>
  <si>
    <t>Call Design AU -  Ikea</t>
  </si>
  <si>
    <t>IKEA</t>
  </si>
  <si>
    <t>Call Design AU NRMA - RFP</t>
  </si>
  <si>
    <t>Call Design AU - Services Australia</t>
  </si>
  <si>
    <t>Services Australia</t>
  </si>
  <si>
    <t>Call Design AU - Qantas</t>
  </si>
  <si>
    <t>Qantas Airline</t>
  </si>
  <si>
    <t>Call Design AU - East West Bank</t>
  </si>
  <si>
    <t>East West Bank</t>
  </si>
  <si>
    <t>Call Design AUS-SmartService QLD</t>
  </si>
  <si>
    <t>SmartService AU</t>
  </si>
  <si>
    <t>Call Design - NA Align Technoglies</t>
  </si>
  <si>
    <t>Align Technology</t>
  </si>
  <si>
    <t>Marilyn Rodriguez</t>
  </si>
  <si>
    <t>Kevin Jolliffe</t>
  </si>
  <si>
    <t>Call Design NA - Staples Canada</t>
  </si>
  <si>
    <t>Staples Canada Inc</t>
  </si>
  <si>
    <t>Call Design - NA Viking</t>
  </si>
  <si>
    <t>Viking Cloud</t>
  </si>
  <si>
    <t>Call Design NA - Zapier</t>
  </si>
  <si>
    <t>Zapier</t>
  </si>
  <si>
    <t>Diego Carvalho</t>
  </si>
  <si>
    <t>CapGemini - US Bancorp - UPT</t>
  </si>
  <si>
    <t>Murali Kasula</t>
  </si>
  <si>
    <t>Capgemini U.S. LLC</t>
  </si>
  <si>
    <t>CapGemini - Fidelity</t>
  </si>
  <si>
    <t>Ramatchandiran Ramatchandiran Krishnaswamy</t>
  </si>
  <si>
    <t>Connex - Bank of Montreal</t>
  </si>
  <si>
    <t>Brent Sharpe</t>
  </si>
  <si>
    <t>Connex - Scotiabank</t>
  </si>
  <si>
    <t>C1 -Assist RX</t>
  </si>
  <si>
    <t>AssistRx</t>
  </si>
  <si>
    <t>Brad York</t>
  </si>
  <si>
    <t>C1 Emblem Health</t>
  </si>
  <si>
    <t>Jeff Neil</t>
  </si>
  <si>
    <t>C1 - AAA Northeast</t>
  </si>
  <si>
    <t>AAA Northeast</t>
  </si>
  <si>
    <t>Greg Washburn</t>
  </si>
  <si>
    <t>C1 - Amerihealth</t>
  </si>
  <si>
    <t>AmeriHealth Caritas</t>
  </si>
  <si>
    <t>Jeff Seyglinski</t>
  </si>
  <si>
    <t>C1 - Edward Jones - CC Solution Expansion</t>
  </si>
  <si>
    <t>Polly Gurley</t>
  </si>
  <si>
    <t>C1 Fiserv</t>
  </si>
  <si>
    <t>Jim DeArmond</t>
  </si>
  <si>
    <t>C1 -Principal Financial</t>
  </si>
  <si>
    <t>Jack Olson</t>
  </si>
  <si>
    <t>C1 - Disney Cruise Lines</t>
  </si>
  <si>
    <t>Don Kick</t>
  </si>
  <si>
    <t>C1 -Carnival Cruise Lines</t>
  </si>
  <si>
    <t>Carnival Cruise Line</t>
  </si>
  <si>
    <t>C1 - Alorica - C1CX (Avaya/Verint Hosted)</t>
  </si>
  <si>
    <t>Susan Massie</t>
  </si>
  <si>
    <t>C1 -Avis Budget Group</t>
  </si>
  <si>
    <t>Avis Budget Group</t>
  </si>
  <si>
    <t>Paul Fedorys</t>
  </si>
  <si>
    <t>C1 - Vystar</t>
  </si>
  <si>
    <t>VyStar Credit Union</t>
  </si>
  <si>
    <t>C1 -Wellstar Health</t>
  </si>
  <si>
    <t>WellStar Health System</t>
  </si>
  <si>
    <t>C1 -Texas Health</t>
  </si>
  <si>
    <t>Texas Health Resources</t>
  </si>
  <si>
    <t>Partner - Test</t>
  </si>
  <si>
    <t>Genna Barrett-Moeller</t>
  </si>
  <si>
    <t>Fictional Customer Account</t>
  </si>
  <si>
    <t>Genna Test Test Stage Tracking 2</t>
  </si>
  <si>
    <t>Fictional Partner</t>
  </si>
  <si>
    <t>test</t>
  </si>
  <si>
    <t>Eric Ebeling</t>
  </si>
  <si>
    <t>Five9 - CVS</t>
  </si>
  <si>
    <t>Derek Bakker</t>
  </si>
  <si>
    <t>Mary Ann Chandler</t>
  </si>
  <si>
    <t>Five9 - Village MD</t>
  </si>
  <si>
    <t>VillageMD</t>
  </si>
  <si>
    <t>Jerry Brown</t>
  </si>
  <si>
    <t>Five9 - Wells Fargo - Additioanl RIS</t>
  </si>
  <si>
    <t>Wells Fargo</t>
  </si>
  <si>
    <t>Dan Baronowski</t>
  </si>
  <si>
    <t>Five9 - Kroger</t>
  </si>
  <si>
    <t>Five9 - Wells Fargo - Q4 2025 Overages</t>
  </si>
  <si>
    <t>Five9 - CIBC</t>
  </si>
  <si>
    <t>Nick Potashnyk</t>
  </si>
  <si>
    <t>Five9 - Johnson Controls</t>
  </si>
  <si>
    <t>Five9 - Bread Financial - Card Services - Production with CCaaS Migration</t>
  </si>
  <si>
    <t>Bobby Darling</t>
  </si>
  <si>
    <t>Five9 - Bread Financial - Card Svcs Pre-Migration POV (Avaya/IEX)</t>
  </si>
  <si>
    <t>Five9 - Chime</t>
  </si>
  <si>
    <t>Jasmin Watson</t>
  </si>
  <si>
    <t>Five9 - Fedex Front Office</t>
  </si>
  <si>
    <t>Farah Jiwani</t>
  </si>
  <si>
    <t>Five9 - Wyndham Hotel Group</t>
  </si>
  <si>
    <t>Wyndham Hotels &amp; Resorts</t>
  </si>
  <si>
    <t>Bryan Crouch</t>
  </si>
  <si>
    <t>Five9 - Lincoln Financial - Expansion</t>
  </si>
  <si>
    <t>Five9 - Alaksa Airlines</t>
  </si>
  <si>
    <t>Ruby Berglund</t>
  </si>
  <si>
    <t>Five9 - Quest</t>
  </si>
  <si>
    <t>Quest Diagnostics</t>
  </si>
  <si>
    <t>Five9 - AMEX</t>
  </si>
  <si>
    <t>Five9 - Sagility Health</t>
  </si>
  <si>
    <t>Sagility</t>
  </si>
  <si>
    <t>Tyler Molvig</t>
  </si>
  <si>
    <t>Five9 - Heartland Dental</t>
  </si>
  <si>
    <t>Heartland Dental</t>
  </si>
  <si>
    <t>Five9 - Evergy</t>
  </si>
  <si>
    <t>Evergy</t>
  </si>
  <si>
    <t>Five9 - BUPA</t>
  </si>
  <si>
    <t>Bupa</t>
  </si>
  <si>
    <t>Martin Jalowiec</t>
  </si>
  <si>
    <t>Five9 - Lloyds Bank</t>
  </si>
  <si>
    <t>Five9 - McCarthy - not in TAM</t>
  </si>
  <si>
    <t>Five9 - Energyunited ? not in TAM</t>
  </si>
  <si>
    <t>Five9 - Biologics ? not in TAM</t>
  </si>
  <si>
    <t>Five9 - Apree ? not in TAM</t>
  </si>
  <si>
    <t>Apree Health</t>
  </si>
  <si>
    <t>Five9 - Snow companies - not in TAM</t>
  </si>
  <si>
    <t>Snow Companies</t>
  </si>
  <si>
    <t>Five9 - Ritter Communications - not in TAM</t>
  </si>
  <si>
    <t>Ritter Communications</t>
  </si>
  <si>
    <t>Five9 - Intelerad - not in TAM</t>
  </si>
  <si>
    <t>Intelerad Medical Systems</t>
  </si>
  <si>
    <t>Five9 - SCRAM Systems</t>
  </si>
  <si>
    <t>SCRAM Systems</t>
  </si>
  <si>
    <t>Cori Biers</t>
  </si>
  <si>
    <t>Scram Systems - Assembled Provider Needed</t>
  </si>
  <si>
    <t>Five9 - Primo Brands</t>
  </si>
  <si>
    <t>Primo Brands</t>
  </si>
  <si>
    <t>Five9 - Metro Health Plus</t>
  </si>
  <si>
    <t>Metro Health Plus</t>
  </si>
  <si>
    <t>McKenna Doliber</t>
  </si>
  <si>
    <t>Five9 - Telus - for End Customer NTT</t>
  </si>
  <si>
    <t>Five9 - Paylocity</t>
  </si>
  <si>
    <t>Paylocity</t>
  </si>
  <si>
    <t>Five9 - RICOH</t>
  </si>
  <si>
    <t>Ricoh</t>
  </si>
  <si>
    <t>Mike Zaborowski</t>
  </si>
  <si>
    <t>Five9 - Equitable Bank</t>
  </si>
  <si>
    <t>Equitable Holdings</t>
  </si>
  <si>
    <t>Dave Nash</t>
  </si>
  <si>
    <t>Five9 - TYCO Fire</t>
  </si>
  <si>
    <t>Tyco Fire</t>
  </si>
  <si>
    <t>Five9 - First Citizens Bancshares</t>
  </si>
  <si>
    <t>First Citizens BancShares, Inc.</t>
  </si>
  <si>
    <t>Five9 - AdventHealth</t>
  </si>
  <si>
    <t>AdventHealth</t>
  </si>
  <si>
    <t>Five9 - Moneris Solutions</t>
  </si>
  <si>
    <t>Moneris Solutions</t>
  </si>
  <si>
    <t>Five9 - Costco</t>
  </si>
  <si>
    <t>Five9 - GFL</t>
  </si>
  <si>
    <t>GFL Environmental</t>
  </si>
  <si>
    <t>Five9 - Carefirst BCBS MD</t>
  </si>
  <si>
    <t>Carefirst</t>
  </si>
  <si>
    <t>Joy Bonavita</t>
  </si>
  <si>
    <t>Five9 - Abbott Labs</t>
  </si>
  <si>
    <t>Abbott Laboratories</t>
  </si>
  <si>
    <t>Chris Vignali</t>
  </si>
  <si>
    <t>Five9 - Canada Post</t>
  </si>
  <si>
    <t>Canada Post</t>
  </si>
  <si>
    <t>Five9 - IBM</t>
  </si>
  <si>
    <t>IBM Corporation</t>
  </si>
  <si>
    <t>Five9 - Lloyds of London Canada</t>
  </si>
  <si>
    <t>Five9 - Pilot Flying J</t>
  </si>
  <si>
    <t>Pilot Travel Centers LLC</t>
  </si>
  <si>
    <t>Five9 - Aviva - Free POV</t>
  </si>
  <si>
    <t>Five9 - Oportum</t>
  </si>
  <si>
    <t>Five9 - Connexis</t>
  </si>
  <si>
    <t>Arsenio Batoy</t>
  </si>
  <si>
    <t>Five9 - Captive Medicare</t>
  </si>
  <si>
    <t>Nancy Woods</t>
  </si>
  <si>
    <t>Five9 - MSH Reimbursement</t>
  </si>
  <si>
    <t>MSH Reimbursement</t>
  </si>
  <si>
    <t>Five9 - RWJ Barnobos Health Corporate</t>
  </si>
  <si>
    <t>RWJBarnabas Health</t>
  </si>
  <si>
    <t>Five9 - State Street Bank and Trust Company</t>
  </si>
  <si>
    <t>State Street</t>
  </si>
  <si>
    <t>Five9 - Signature Performance</t>
  </si>
  <si>
    <t>Signature Performance</t>
  </si>
  <si>
    <t>Five9 - Sealed Air</t>
  </si>
  <si>
    <t>Sealed Air</t>
  </si>
  <si>
    <t>Five9 - Sea Coast Bank</t>
  </si>
  <si>
    <t>Seacoast Bank</t>
  </si>
  <si>
    <t>Cory Conway</t>
  </si>
  <si>
    <t>Five9 - Honor Health</t>
  </si>
  <si>
    <t>HonorHealth</t>
  </si>
  <si>
    <t>Darren Ervin</t>
  </si>
  <si>
    <t>Five9 - Healthsnap</t>
  </si>
  <si>
    <t>HealthSnap</t>
  </si>
  <si>
    <t>Five9 - Definity</t>
  </si>
  <si>
    <t>Definity</t>
  </si>
  <si>
    <t>Five9 - Concora</t>
  </si>
  <si>
    <t>Concora</t>
  </si>
  <si>
    <t>Five9 - CDK Global</t>
  </si>
  <si>
    <t>CDK Global</t>
  </si>
  <si>
    <t>Colin McDonald</t>
  </si>
  <si>
    <t>Five9 CDK Global</t>
  </si>
  <si>
    <t>Five9 - Americor</t>
  </si>
  <si>
    <t>Five9 - Digital Federal</t>
  </si>
  <si>
    <t>Digital Federal Credit Union</t>
  </si>
  <si>
    <t>Five9 Rollins</t>
  </si>
  <si>
    <t>Rollins</t>
  </si>
  <si>
    <t>Five9 - Ohio Health</t>
  </si>
  <si>
    <t>OhioHealth</t>
  </si>
  <si>
    <t>Five9 - Visiting Nurse</t>
  </si>
  <si>
    <t>Visiting Nurse Service of NY</t>
  </si>
  <si>
    <t>Nikki Schuster</t>
  </si>
  <si>
    <t>Five9 - Dominion Energy</t>
  </si>
  <si>
    <t>Five9 - Medtronic</t>
  </si>
  <si>
    <t>Medtronic</t>
  </si>
  <si>
    <t>Five9 - BCBS Arkansas</t>
  </si>
  <si>
    <t>Arkansas Blue Cross Blue Shield (BCBS AR)</t>
  </si>
  <si>
    <t>Five9 - PODS Enterprises</t>
  </si>
  <si>
    <t>PODS Enterprises</t>
  </si>
  <si>
    <t>Five9 - Baptist Health</t>
  </si>
  <si>
    <t>Baptist Health</t>
  </si>
  <si>
    <t>Five9 - LendingClub</t>
  </si>
  <si>
    <t>LendingClub</t>
  </si>
  <si>
    <t>Mallory Rajeski</t>
  </si>
  <si>
    <t>Five9 Hub International</t>
  </si>
  <si>
    <t>Hub International Limited</t>
  </si>
  <si>
    <t>Five9 Southern Co</t>
  </si>
  <si>
    <t>Southern Company</t>
  </si>
  <si>
    <t>Marc Braga</t>
  </si>
  <si>
    <t>Five9 - Medica</t>
  </si>
  <si>
    <t>Medica</t>
  </si>
  <si>
    <t>Five9 - Viasat</t>
  </si>
  <si>
    <t>Viasat Inc</t>
  </si>
  <si>
    <t>Five9 - Navicore</t>
  </si>
  <si>
    <t>Navicore Solutions</t>
  </si>
  <si>
    <t>Five9 - AO Smith</t>
  </si>
  <si>
    <t>A. O. Smith</t>
  </si>
  <si>
    <t>Five9 - Welltrans</t>
  </si>
  <si>
    <t>WellTrans</t>
  </si>
  <si>
    <t>Five9 - Penny Mac</t>
  </si>
  <si>
    <t>PENNYMAC</t>
  </si>
  <si>
    <t>Five9 - MedWatchers</t>
  </si>
  <si>
    <t>MedWatchers</t>
  </si>
  <si>
    <t>Five9 - Stanley Black &amp; Decker</t>
  </si>
  <si>
    <t>Stanley Black &amp; Decker, Inc.</t>
  </si>
  <si>
    <t>Five9 - Indiana Health</t>
  </si>
  <si>
    <t>Indiana University Health (Clarian)</t>
  </si>
  <si>
    <t>Five9 - Indiana University</t>
  </si>
  <si>
    <t>Five9 - LexisNexis</t>
  </si>
  <si>
    <t>LexisNexis</t>
  </si>
  <si>
    <t>Brad LaTour</t>
  </si>
  <si>
    <t>Five9-SNAP Finance UK</t>
  </si>
  <si>
    <t>Pete Hutchinson</t>
  </si>
  <si>
    <t>Five9 UK</t>
  </si>
  <si>
    <t>Five9's UK BUPA</t>
  </si>
  <si>
    <t>Bupa Global</t>
  </si>
  <si>
    <t>John Byron</t>
  </si>
  <si>
    <t>Five9 UK Southall Travel</t>
  </si>
  <si>
    <t>Southall Travel</t>
  </si>
  <si>
    <t>Five9 UK 3 Ireland</t>
  </si>
  <si>
    <t>3 Ireland</t>
  </si>
  <si>
    <t>Five9 UK Ticketmaster</t>
  </si>
  <si>
    <t>Ticketmaster (UK)</t>
  </si>
  <si>
    <t>Genesys - MMS Enterprise and UPT</t>
  </si>
  <si>
    <t>Ben Wilkerson</t>
  </si>
  <si>
    <t>Genesys - PNC</t>
  </si>
  <si>
    <t>Genesys - Mayo Clinic</t>
  </si>
  <si>
    <t>Genesys - Walgreens</t>
  </si>
  <si>
    <t>Genesys Apple</t>
  </si>
  <si>
    <t>Jen Flannery Combs</t>
  </si>
  <si>
    <t>Genesys - ADP</t>
  </si>
  <si>
    <t>Genesys - Amerihealth</t>
  </si>
  <si>
    <t>Genesys - Cardworks</t>
  </si>
  <si>
    <t>Ryan Nakahara</t>
  </si>
  <si>
    <t>Genesys - Credit Acceptance Corp</t>
  </si>
  <si>
    <t>Credit Acceptance</t>
  </si>
  <si>
    <t>Genesys - BCBS FL</t>
  </si>
  <si>
    <t>Ken Stephens</t>
  </si>
  <si>
    <t>Genesys - BCBS Florida</t>
  </si>
  <si>
    <t>Genesys - Republic Services</t>
  </si>
  <si>
    <t>Genesys - Fidelity Canada</t>
  </si>
  <si>
    <t>Amar Leis</t>
  </si>
  <si>
    <t>Genesys - Verizon</t>
  </si>
  <si>
    <t>Mark Goetz</t>
  </si>
  <si>
    <t>Genesys - IHG</t>
  </si>
  <si>
    <t>InterContinental Hotels Group</t>
  </si>
  <si>
    <t>Genesys - HCA Healthcare</t>
  </si>
  <si>
    <t>HCA Healthcare</t>
  </si>
  <si>
    <t>Genesys - Intuit</t>
  </si>
  <si>
    <t>Intuit</t>
  </si>
  <si>
    <t>Genesys - Mr. Cooper</t>
  </si>
  <si>
    <t>Genesys NationsBenefits</t>
  </si>
  <si>
    <t>Genesys - Ascension</t>
  </si>
  <si>
    <t>Ascension Health</t>
  </si>
  <si>
    <t>Genesys - Serco - Front Office</t>
  </si>
  <si>
    <t>Ryan Black</t>
  </si>
  <si>
    <t>Genesys - Legal and General</t>
  </si>
  <si>
    <t>Steve Tanner</t>
  </si>
  <si>
    <t>Genesys - Hydro Quebec</t>
  </si>
  <si>
    <t>Jean-François Prévost</t>
  </si>
  <si>
    <t>Genesys - Sirius XM Connected Vehicles</t>
  </si>
  <si>
    <t>Sirius XM Radio</t>
  </si>
  <si>
    <t>Genesys - BCBS MN</t>
  </si>
  <si>
    <t>Blue Cross Blue Shield of Minnesota (BCBS MN)</t>
  </si>
  <si>
    <t>Genesys - Scan Health Plan - Back Office</t>
  </si>
  <si>
    <t>Spencer Murray</t>
  </si>
  <si>
    <t>Genesys  Frontier</t>
  </si>
  <si>
    <t>Frontier Communications Corporation</t>
  </si>
  <si>
    <t>NWN - Covetrus - Back Office</t>
  </si>
  <si>
    <t>Molly Keane</t>
  </si>
  <si>
    <t>SABIO - ATOS - AEGON EB</t>
  </si>
  <si>
    <t>Atos</t>
  </si>
  <si>
    <t>Tony Sweeny</t>
  </si>
  <si>
    <t>Sabio</t>
  </si>
  <si>
    <t>SagesS3 - (UHG) Optum RX</t>
  </si>
  <si>
    <t>Mike Stack</t>
  </si>
  <si>
    <t>Sagess3 Sun Life</t>
  </si>
  <si>
    <t>Don Cousineau</t>
  </si>
  <si>
    <t>Sagess3 Southwest Airlines</t>
  </si>
  <si>
    <t>SagesS3 - Manulife Financial Corporation</t>
  </si>
  <si>
    <t>SagesS3 - T-Mobile</t>
  </si>
  <si>
    <t>SagesS3 - Rocket Companies</t>
  </si>
  <si>
    <t>Rocket Mortgage</t>
  </si>
  <si>
    <t>SagesS3 - Transamerica</t>
  </si>
  <si>
    <t>Tony Rotondi</t>
  </si>
  <si>
    <t>Sagess3 Vanguard Group</t>
  </si>
  <si>
    <t>SagesS3 - NY Life - Back Office</t>
  </si>
  <si>
    <t>SagesS3 - NY Life</t>
  </si>
  <si>
    <t>Sagess3 Walmart</t>
  </si>
  <si>
    <t>Joe Rubin</t>
  </si>
  <si>
    <t>SagesS3 - Intact Insurance</t>
  </si>
  <si>
    <t>Denis Larocque</t>
  </si>
  <si>
    <t>SagesS3 - U-Haul</t>
  </si>
  <si>
    <t>U-Haul</t>
  </si>
  <si>
    <t>SagesS3 - Dish Network</t>
  </si>
  <si>
    <t>DISH Network</t>
  </si>
  <si>
    <t>SagesS3 - UPS</t>
  </si>
  <si>
    <t>United Parcel Service (UPS)</t>
  </si>
  <si>
    <t>SagesS3 - US Cellular</t>
  </si>
  <si>
    <t>SagesS3 - Discover</t>
  </si>
  <si>
    <t>Discover Financial Services</t>
  </si>
  <si>
    <t>SagesS3 - TTEC Digital</t>
  </si>
  <si>
    <t>SagesS3 - Teleperformance Infinity</t>
  </si>
  <si>
    <t>SagesS3 - National Bank of Canada</t>
  </si>
  <si>
    <t>Sagess3 Hydro Quebec</t>
  </si>
  <si>
    <t>Sagess3 Desjardins</t>
  </si>
  <si>
    <t>Desjardins Group</t>
  </si>
  <si>
    <t>SagesS3 - Securian Financial Group, Inc.</t>
  </si>
  <si>
    <t>Securian Financial Group, Inc.</t>
  </si>
  <si>
    <t>SagesS3 - Delta Airlines</t>
  </si>
  <si>
    <t>Delta Airlines</t>
  </si>
  <si>
    <t>SagesS3 - American Airlines</t>
  </si>
  <si>
    <t>Sagess3 Canadian Tire Bank</t>
  </si>
  <si>
    <t>Canadian Tire Bank</t>
  </si>
  <si>
    <t>SagesS3 - Telus Canada (Corporate)</t>
  </si>
  <si>
    <t>Telus Corporation</t>
  </si>
  <si>
    <t>J.F. St. Germain</t>
  </si>
  <si>
    <t>SagesS3 - Air Canada</t>
  </si>
  <si>
    <t>Air Canada</t>
  </si>
  <si>
    <t>SagesS3 - United</t>
  </si>
  <si>
    <t>SagesS3 - Bell Canada</t>
  </si>
  <si>
    <t>Bell Canada</t>
  </si>
  <si>
    <t>Sagess3 BMO</t>
  </si>
  <si>
    <t>SagesS3 - CNO</t>
  </si>
  <si>
    <t>CNO Financial Group</t>
  </si>
  <si>
    <t>SagesS3 - Canada Life Assurance</t>
  </si>
  <si>
    <t>SagesS3 - Physicians Mutual</t>
  </si>
  <si>
    <t>Physicians Mutual</t>
  </si>
  <si>
    <t>SagesS3 - IPG - User Productivity Tracking</t>
  </si>
  <si>
    <t>SagesS3 - Mastercard</t>
  </si>
  <si>
    <t>SagesS3 - Essentia Health</t>
  </si>
  <si>
    <t>Essentia Health</t>
  </si>
  <si>
    <t>SagesS3 - Health Partners</t>
  </si>
  <si>
    <t>HealthPartners</t>
  </si>
  <si>
    <t>SagesS3 - Assurant - Connected Living (LOB Add &amp; Back-office)</t>
  </si>
  <si>
    <t>Inger Escamilla</t>
  </si>
  <si>
    <t>SagesS3 - Patterson Dental</t>
  </si>
  <si>
    <t>Patterson Companies</t>
  </si>
  <si>
    <t>SagesS3 - (UHG) - Optum Financial</t>
  </si>
  <si>
    <t>SPAR - Tenerity</t>
  </si>
  <si>
    <t>Tenerity</t>
  </si>
  <si>
    <t>Raju Ganapathy</t>
  </si>
  <si>
    <t>SPAR - GooseHead</t>
  </si>
  <si>
    <t>Goosehead Insurance</t>
  </si>
  <si>
    <t>SPAR - Agilent Technologies</t>
  </si>
  <si>
    <t>Agilent Technologies</t>
  </si>
  <si>
    <t>SPAR - American Credit Acceptance</t>
  </si>
  <si>
    <t>American Credit Acceptance</t>
  </si>
  <si>
    <t>SPAR - RetireyFirst</t>
  </si>
  <si>
    <t>Name</t>
  </si>
  <si>
    <t>Date of Meeting</t>
  </si>
  <si>
    <t>Category</t>
  </si>
  <si>
    <t>AE</t>
  </si>
  <si>
    <t>ISR</t>
  </si>
  <si>
    <t>Meeting Complete</t>
  </si>
  <si>
    <t>Cold MQA Flag</t>
  </si>
  <si>
    <t>Cold_MQA_Rolling_Flag</t>
  </si>
  <si>
    <t>Tammy Nelson</t>
  </si>
  <si>
    <t>Anchor</t>
  </si>
  <si>
    <t>Rachel</t>
  </si>
  <si>
    <t>Yes</t>
  </si>
  <si>
    <t>Timing</t>
  </si>
  <si>
    <t>Warm</t>
  </si>
  <si>
    <t>Dead</t>
  </si>
  <si>
    <t>Rob Jenkins</t>
  </si>
  <si>
    <t>Opportunity</t>
  </si>
  <si>
    <t>Jarrey Audrine</t>
  </si>
  <si>
    <t>AdviseCX</t>
  </si>
  <si>
    <t>Haresh</t>
  </si>
  <si>
    <t>Demo Complete</t>
  </si>
  <si>
    <t>Erica Cruz</t>
  </si>
  <si>
    <t>Commonspirit</t>
  </si>
  <si>
    <t>Core</t>
  </si>
  <si>
    <t>JW</t>
  </si>
  <si>
    <t>Calabrio Conference</t>
  </si>
  <si>
    <t>Robert Tuck</t>
  </si>
  <si>
    <t>Homeserve USA</t>
  </si>
  <si>
    <t>Damon Spurlock</t>
  </si>
  <si>
    <t>TechStyleOS</t>
  </si>
  <si>
    <t>SWPP Nashville</t>
  </si>
  <si>
    <t>Chloe Batts</t>
  </si>
  <si>
    <t>Banner Health</t>
  </si>
  <si>
    <t>Not a Fit</t>
  </si>
  <si>
    <t>Kevin Monaghan</t>
  </si>
  <si>
    <t>Jean-Anne</t>
  </si>
  <si>
    <t>Shane Tankoy</t>
  </si>
  <si>
    <t>Wawanesa</t>
  </si>
  <si>
    <t>Rene Nijman</t>
  </si>
  <si>
    <t>Telus</t>
  </si>
  <si>
    <t>Silvia Glowka</t>
  </si>
  <si>
    <t>Austin McNeal</t>
  </si>
  <si>
    <t>Pearson Education</t>
  </si>
  <si>
    <t>No Interest</t>
  </si>
  <si>
    <t>Scott Hall</t>
  </si>
  <si>
    <t>Sentry</t>
  </si>
  <si>
    <t>Following up</t>
  </si>
  <si>
    <t>Bhupesh Gajria</t>
  </si>
  <si>
    <t>North</t>
  </si>
  <si>
    <t>Directv</t>
  </si>
  <si>
    <t>No</t>
  </si>
  <si>
    <t>No Show</t>
  </si>
  <si>
    <t>Lisa Hoelscher</t>
  </si>
  <si>
    <t>Language Line Solutions</t>
  </si>
  <si>
    <t>Paul Russo</t>
  </si>
  <si>
    <t>AbbVie</t>
  </si>
  <si>
    <t>Education at Work</t>
  </si>
  <si>
    <t>Percepta</t>
  </si>
  <si>
    <t>Nick Kossovan</t>
  </si>
  <si>
    <t>Scheduled in Q3</t>
  </si>
  <si>
    <t>Kyle Baker</t>
  </si>
  <si>
    <t>Richard Alvez</t>
  </si>
  <si>
    <t>Ashish Bisht</t>
  </si>
  <si>
    <t>Arise Solutions</t>
  </si>
  <si>
    <t>Took place in Q3</t>
  </si>
  <si>
    <t>Jared Myers</t>
  </si>
  <si>
    <t xml:space="preserve">MCI </t>
  </si>
  <si>
    <t>Paolo Pietraroia</t>
  </si>
  <si>
    <t>Gina Gibson</t>
  </si>
  <si>
    <t>Demo Scheduled</t>
  </si>
  <si>
    <t>Denise Kapalko</t>
  </si>
  <si>
    <t>Dale Decena</t>
  </si>
  <si>
    <t>Google/YouTube</t>
  </si>
  <si>
    <t>Ken Hessing</t>
  </si>
  <si>
    <t>BCBS North Carolina</t>
  </si>
  <si>
    <t>Jeff Becze</t>
  </si>
  <si>
    <t>US Bank</t>
  </si>
  <si>
    <t>Jeff Bretana</t>
  </si>
  <si>
    <t>Navy Federal</t>
  </si>
  <si>
    <t>Danny Fiorino</t>
  </si>
  <si>
    <t>Rescheduling</t>
  </si>
  <si>
    <t>Clifton Ervin</t>
  </si>
  <si>
    <t>SimpliSmart</t>
  </si>
  <si>
    <t>Open</t>
  </si>
  <si>
    <t>Caroline Mbanga</t>
  </si>
  <si>
    <t>Amelie Bourque</t>
  </si>
  <si>
    <t>Bank Nationale</t>
  </si>
  <si>
    <t>Maxwell Miller</t>
  </si>
  <si>
    <t>Netflix</t>
  </si>
  <si>
    <t>Brian Keenan</t>
  </si>
  <si>
    <t>Cancelled</t>
  </si>
  <si>
    <t>Lance Springer</t>
  </si>
  <si>
    <t>Kimberly Mackinnon</t>
  </si>
  <si>
    <t>Support Service Group</t>
  </si>
  <si>
    <t>Richard Huffner</t>
  </si>
  <si>
    <t>Altifiber</t>
  </si>
  <si>
    <t>Jenn Jones</t>
  </si>
  <si>
    <t>Navitus Health</t>
  </si>
  <si>
    <t>Jason Holmes</t>
  </si>
  <si>
    <t>Dominion</t>
  </si>
  <si>
    <t>Ahmed Doghem</t>
  </si>
  <si>
    <t>CityFibre</t>
  </si>
  <si>
    <t>Jack</t>
  </si>
  <si>
    <t>Rob Dunning</t>
  </si>
  <si>
    <t>Azael Lopez</t>
  </si>
  <si>
    <t>Nordstrom</t>
  </si>
  <si>
    <t>Patrick Dinsmore</t>
  </si>
  <si>
    <t>JustEat</t>
  </si>
  <si>
    <t>Treesha Patel</t>
  </si>
  <si>
    <t>Discover</t>
  </si>
  <si>
    <t>Karen Chin</t>
  </si>
  <si>
    <t>Salethea Graham</t>
  </si>
  <si>
    <t>Richard Stones</t>
  </si>
  <si>
    <t>Virgin Money</t>
  </si>
  <si>
    <t>Raj Gupta</t>
  </si>
  <si>
    <t>Already an Opp</t>
  </si>
  <si>
    <t>Tony Graczyk</t>
  </si>
  <si>
    <t>Principal Financial</t>
  </si>
  <si>
    <t>Rex Werner</t>
  </si>
  <si>
    <t>Fifth Third Bank</t>
  </si>
  <si>
    <t>Herbie Cheema</t>
  </si>
  <si>
    <t>Yorkshire Water</t>
  </si>
  <si>
    <t>Chris Mitchell</t>
  </si>
  <si>
    <t>Santander UK</t>
  </si>
  <si>
    <t>Kyle Barrett</t>
  </si>
  <si>
    <t>Transcom</t>
  </si>
  <si>
    <t>John DiNapoli</t>
  </si>
  <si>
    <t>Catalyst Brands</t>
  </si>
  <si>
    <t>Doug Pennington</t>
  </si>
  <si>
    <t>Regions</t>
  </si>
  <si>
    <t>David Bramblett</t>
  </si>
  <si>
    <t>Hasan Khazi</t>
  </si>
  <si>
    <t>Tech Mahindra</t>
  </si>
  <si>
    <t>Ryan Moore</t>
  </si>
  <si>
    <t>Centene</t>
  </si>
  <si>
    <t>Melissa Johnson</t>
  </si>
  <si>
    <t>Chris Hyde</t>
  </si>
  <si>
    <t>Vodafone</t>
  </si>
  <si>
    <t>Kev Jewitt</t>
  </si>
  <si>
    <t>AA</t>
  </si>
  <si>
    <t>Gareth Staples</t>
  </si>
  <si>
    <t>Gunter Hartmann</t>
  </si>
  <si>
    <t>Fresenius Healthcare</t>
  </si>
  <si>
    <t>Bill Brandt</t>
  </si>
  <si>
    <t>Henry Schein</t>
  </si>
  <si>
    <t>Brian Baron</t>
  </si>
  <si>
    <t>Rob Gofourth</t>
  </si>
  <si>
    <t>TaskUs</t>
  </si>
  <si>
    <t>Brendan Kammetler</t>
  </si>
  <si>
    <t>Valur Svansson</t>
  </si>
  <si>
    <t>Jason Chmieleski</t>
  </si>
  <si>
    <t>Proctor Loan</t>
  </si>
  <si>
    <t>Hakan Edlund</t>
  </si>
  <si>
    <t>Lowell</t>
  </si>
  <si>
    <t>Chris Robertson</t>
  </si>
  <si>
    <t>Altice USA</t>
  </si>
  <si>
    <t>Frances Potts</t>
  </si>
  <si>
    <t>Parallon</t>
  </si>
  <si>
    <t>Marco Grimes</t>
  </si>
  <si>
    <t>TSYS</t>
  </si>
  <si>
    <t>Chris Salvatore</t>
  </si>
  <si>
    <t>Preston Bayne</t>
  </si>
  <si>
    <t>Jennifer Killbride</t>
  </si>
  <si>
    <t>iRythm</t>
  </si>
  <si>
    <t>Chiedu Areh</t>
  </si>
  <si>
    <t>Yasira Chavvaria</t>
  </si>
  <si>
    <t>Manitoba Hydro</t>
  </si>
  <si>
    <t>Lionel Fischl</t>
  </si>
  <si>
    <t>SaskTel</t>
  </si>
  <si>
    <t>Aaron Jacobs</t>
  </si>
  <si>
    <t>Kim Felice</t>
  </si>
  <si>
    <t>Conduent</t>
  </si>
  <si>
    <t>Tara Dewey</t>
  </si>
  <si>
    <t>Apria Health</t>
  </si>
  <si>
    <t>Isobel Crosse</t>
  </si>
  <si>
    <t>Scot Baker</t>
  </si>
  <si>
    <t>Greg Thorley</t>
  </si>
  <si>
    <t>NewDay</t>
  </si>
  <si>
    <t>Denise Maxwell</t>
  </si>
  <si>
    <t>Delta Dental</t>
  </si>
  <si>
    <t>Dalisha Stafford</t>
  </si>
  <si>
    <t>Tower Hill Insurance</t>
  </si>
  <si>
    <t>Olivia Foster</t>
  </si>
  <si>
    <t>MSC Industrial</t>
  </si>
  <si>
    <t>Dan Redevo</t>
  </si>
  <si>
    <t>Genpact</t>
  </si>
  <si>
    <t>April Del Angel Potter</t>
  </si>
  <si>
    <t>Pitney Bowes</t>
  </si>
  <si>
    <t>Genesys Event</t>
  </si>
  <si>
    <t>Stefan Perales</t>
  </si>
  <si>
    <t>Stuart Young</t>
  </si>
  <si>
    <t>Aviva Life</t>
  </si>
  <si>
    <t>Luis Murillo</t>
  </si>
  <si>
    <t>Scotia Bank</t>
  </si>
  <si>
    <t>Jill Barry</t>
  </si>
  <si>
    <t>Aer Lingus</t>
  </si>
  <si>
    <t>Jeremy Krauth</t>
  </si>
  <si>
    <t>Prem Chuluka</t>
  </si>
  <si>
    <t>Matthew Hocks</t>
  </si>
  <si>
    <t>Sanford Health</t>
  </si>
  <si>
    <t>Will Boswell</t>
  </si>
  <si>
    <t>David Rees</t>
  </si>
  <si>
    <t>Admiral Group</t>
  </si>
  <si>
    <t>Mike Bartley</t>
  </si>
  <si>
    <t>Sam Ravulakolu</t>
  </si>
  <si>
    <t>Tata Consultancy</t>
  </si>
  <si>
    <t>Luke Sambridge</t>
  </si>
  <si>
    <t>AXA Health</t>
  </si>
  <si>
    <t>Nick Kossovon</t>
  </si>
  <si>
    <t>Trenton Ranger</t>
  </si>
  <si>
    <t>Five9 CX Summit</t>
  </si>
  <si>
    <t>Alan Samson</t>
  </si>
  <si>
    <t>Somveer Singh</t>
  </si>
  <si>
    <t>Velera</t>
  </si>
  <si>
    <t>GoHealth</t>
  </si>
  <si>
    <t>Adam Wagenfield</t>
  </si>
  <si>
    <t>M&amp;S</t>
  </si>
  <si>
    <t>Kemper</t>
  </si>
  <si>
    <t>Brightspeed</t>
  </si>
  <si>
    <t>Scott Hull</t>
  </si>
  <si>
    <t>Carolyn Caton</t>
  </si>
  <si>
    <t>Johnson&amp;Johnson</t>
  </si>
  <si>
    <t>Rob Howayeck</t>
  </si>
  <si>
    <t>Motorola Solutions</t>
  </si>
  <si>
    <t>Zack Drucker</t>
  </si>
  <si>
    <t>ServiceTitan</t>
  </si>
  <si>
    <t>Jacob</t>
  </si>
  <si>
    <t>Steven Siddall</t>
  </si>
  <si>
    <t>Audrey Boyd</t>
  </si>
  <si>
    <t>Stefan Hayes</t>
  </si>
  <si>
    <t>Samsung</t>
  </si>
  <si>
    <t xml:space="preserve">Rachel </t>
  </si>
  <si>
    <t>Quest</t>
  </si>
  <si>
    <t>Michelle Baur</t>
  </si>
  <si>
    <t>BILL</t>
  </si>
  <si>
    <t>Kevin Mythen</t>
  </si>
  <si>
    <t>Utility Warehouse</t>
  </si>
  <si>
    <t>Larry Choate</t>
  </si>
  <si>
    <t>Commerce</t>
  </si>
  <si>
    <t>Etesh Shetty</t>
  </si>
  <si>
    <t>FirstSource</t>
  </si>
  <si>
    <t>Williams Sonoma</t>
  </si>
  <si>
    <t>Jeremy Davis</t>
  </si>
  <si>
    <t>AAA</t>
  </si>
  <si>
    <t>Rachele Scales</t>
  </si>
  <si>
    <t>Insite</t>
  </si>
  <si>
    <t>Mary Ann De Guzman</t>
  </si>
  <si>
    <t>Bastiaan Feringa</t>
  </si>
  <si>
    <t>RaboBank</t>
  </si>
  <si>
    <t>Whirlpool</t>
  </si>
  <si>
    <t>Rohan Soni</t>
  </si>
  <si>
    <t>AIB</t>
  </si>
  <si>
    <t>Andy Sykes</t>
  </si>
  <si>
    <t>Sainsbury's</t>
  </si>
  <si>
    <t>Amy Gatto</t>
  </si>
  <si>
    <t>Lincoln Financial</t>
  </si>
  <si>
    <t>Partner Play</t>
  </si>
  <si>
    <t>Vonage</t>
  </si>
  <si>
    <t>Alistair Jacques</t>
  </si>
  <si>
    <t>Liberty Mutual</t>
  </si>
  <si>
    <t>Bright Horizons</t>
  </si>
  <si>
    <t>Sarah Melander</t>
  </si>
  <si>
    <t>Caresource</t>
  </si>
  <si>
    <t>Craig Cephas</t>
  </si>
  <si>
    <t>Tommy</t>
  </si>
  <si>
    <t>loanDepot</t>
  </si>
  <si>
    <t>Gallagher</t>
  </si>
  <si>
    <t>Krista Knauer</t>
  </si>
  <si>
    <t>Mesa</t>
  </si>
  <si>
    <t>Christine May</t>
  </si>
  <si>
    <t>Essendant</t>
  </si>
  <si>
    <t>Sasikumar Viswanathan</t>
  </si>
  <si>
    <t>Ford Motor Company</t>
  </si>
  <si>
    <t>Sabari Kanth</t>
  </si>
  <si>
    <t>Eir</t>
  </si>
  <si>
    <t>John Rankin</t>
  </si>
  <si>
    <t>Sky</t>
  </si>
  <si>
    <t>Lee Gemlich</t>
  </si>
  <si>
    <t>Delta</t>
  </si>
  <si>
    <t>Karen Blanton</t>
  </si>
  <si>
    <t>Christian Care Ministries</t>
  </si>
  <si>
    <t>Masood Haidary</t>
  </si>
  <si>
    <t>Maximus</t>
  </si>
  <si>
    <t>Daniel Passadore</t>
  </si>
  <si>
    <t>AssetMark</t>
  </si>
  <si>
    <t>Afton Rupert</t>
  </si>
  <si>
    <t>Vince Trotter</t>
  </si>
  <si>
    <t>Jason Persico</t>
  </si>
  <si>
    <t>Inspira Financial</t>
  </si>
  <si>
    <t>Essendent</t>
  </si>
  <si>
    <t>Vikas Chaudhry</t>
  </si>
  <si>
    <t>Ranjan Band</t>
  </si>
  <si>
    <t>Alvin Stokes</t>
  </si>
  <si>
    <t>Radnet</t>
  </si>
  <si>
    <t>Nicholas Biester</t>
  </si>
  <si>
    <t>UPS</t>
  </si>
  <si>
    <t>Imran Pathan</t>
  </si>
  <si>
    <t>Mark Cant</t>
  </si>
  <si>
    <t>Nikhil Treveddi</t>
  </si>
  <si>
    <t>Demetrice Bryant</t>
  </si>
  <si>
    <t>Priceline</t>
  </si>
  <si>
    <t>Sherice Smith</t>
  </si>
  <si>
    <t>Amal Sajdak</t>
  </si>
  <si>
    <t>Tim Horan</t>
  </si>
  <si>
    <t>Mapfre</t>
  </si>
  <si>
    <t>Kumaraguru Loganathan</t>
  </si>
  <si>
    <t>Meeting Canceled</t>
  </si>
  <si>
    <t>Steven Layton</t>
  </si>
  <si>
    <t>Nathaniel Greene</t>
  </si>
  <si>
    <t>UCLA Health</t>
  </si>
  <si>
    <t>David Sharp</t>
  </si>
  <si>
    <t>Vanguard</t>
  </si>
  <si>
    <t>Jessica Seikel</t>
  </si>
  <si>
    <t>Invision Sally Jobe</t>
  </si>
  <si>
    <t>David Harkess</t>
  </si>
  <si>
    <t>Lauren Guidry</t>
  </si>
  <si>
    <t>CMA CGM</t>
  </si>
  <si>
    <t>Re-scheduling</t>
  </si>
  <si>
    <t>Dave White</t>
  </si>
  <si>
    <t>Instacart</t>
  </si>
  <si>
    <t>Ricki Turner</t>
  </si>
  <si>
    <t xml:space="preserve">Saskatchewan Health </t>
  </si>
  <si>
    <t>Kim Merow</t>
  </si>
  <si>
    <t>Uhaul</t>
  </si>
  <si>
    <t>Ryan Connor</t>
  </si>
  <si>
    <t>Mutual of Omaha</t>
  </si>
  <si>
    <t>Veronica Beckett</t>
  </si>
  <si>
    <t>Avis</t>
  </si>
  <si>
    <t>Jeff Rushton</t>
  </si>
  <si>
    <t>Nations Benefits</t>
  </si>
  <si>
    <t>Cory Vought</t>
  </si>
  <si>
    <t>Zions Bank</t>
  </si>
  <si>
    <t>Bryan Hovasse</t>
  </si>
  <si>
    <t>Dave Lottman</t>
  </si>
  <si>
    <t>Jeff Mullen</t>
  </si>
  <si>
    <t>Prodoscore</t>
  </si>
  <si>
    <t>Steve Barba</t>
  </si>
  <si>
    <t>BCBS of AZ</t>
  </si>
  <si>
    <t>Christina Feineman</t>
  </si>
  <si>
    <t>Penske Truck Leasing</t>
  </si>
  <si>
    <t>Akhil Sachan</t>
  </si>
  <si>
    <t>BCG</t>
  </si>
  <si>
    <t>Thaddeus Thigpen</t>
  </si>
  <si>
    <t>AmplifAI Solutions</t>
  </si>
  <si>
    <t>Rachel Porter</t>
  </si>
  <si>
    <t>FanDuel</t>
  </si>
  <si>
    <t>Lashaunda Bowdry</t>
  </si>
  <si>
    <t>JMA Group</t>
  </si>
  <si>
    <t>Tammy Fluharty</t>
  </si>
  <si>
    <t xml:space="preserve">First Energy </t>
  </si>
  <si>
    <t>Tyler</t>
  </si>
  <si>
    <t>Jeff Coppley</t>
  </si>
  <si>
    <t>Lowes</t>
  </si>
  <si>
    <t>Lance Cunningham</t>
  </si>
  <si>
    <t>Nationwide</t>
  </si>
  <si>
    <t>Julie Bradshaw</t>
  </si>
  <si>
    <t>Ashlee Harrison</t>
  </si>
  <si>
    <t>Colony Brands</t>
  </si>
  <si>
    <t>Mostafa Arafa</t>
  </si>
  <si>
    <t>VXI Global</t>
  </si>
  <si>
    <t>Jennifer Floyd</t>
  </si>
  <si>
    <t>Austin Energy</t>
  </si>
  <si>
    <t>Scheduling Demo</t>
  </si>
  <si>
    <t>Dan Holden</t>
  </si>
  <si>
    <t>Anna Inman</t>
  </si>
  <si>
    <t>Jess Cooper</t>
  </si>
  <si>
    <t>John Casey</t>
  </si>
  <si>
    <t>AXA Ireland</t>
  </si>
  <si>
    <t>Andy Smith</t>
  </si>
  <si>
    <t>Gary Potocki</t>
  </si>
  <si>
    <t>Foundever</t>
  </si>
  <si>
    <t>Sharaz Iqbal</t>
  </si>
  <si>
    <t>Graham Collman</t>
  </si>
  <si>
    <t>Brightwell Pensions</t>
  </si>
  <si>
    <t>Mike Morris</t>
  </si>
  <si>
    <t>Susan Sansom</t>
  </si>
  <si>
    <t>Stuart Noone</t>
  </si>
  <si>
    <t>The AA</t>
  </si>
  <si>
    <t>Ekta Goel</t>
  </si>
  <si>
    <t>Ferguson</t>
  </si>
  <si>
    <t>Aiden</t>
  </si>
  <si>
    <t>Kseniya Piniagina</t>
  </si>
  <si>
    <t>inDrive</t>
  </si>
  <si>
    <t>Madeline Sacripanti</t>
  </si>
  <si>
    <t>Shameika Vailes</t>
  </si>
  <si>
    <t>Hannah Jurkowicz</t>
  </si>
  <si>
    <t>Oscar Torrealva</t>
  </si>
  <si>
    <t>Kevin Olson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</si>
</sst>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8" formatCode="&quot;$&quot;#,##0.00_);[Red]\(&quot;$&quot;#,##0.00\)"/>
    <numFmt numFmtId="164" formatCode="&quot;$&quot;#,##0.00"/>
    <numFmt numFmtId="165" formatCode="mm/dd/yy;@"/>
    <numFmt numFmtId="166" formatCode="&quot;$&quot;#,##0"/>
    <numFmt numFmtId="167" formatCode="_([$$-409]* #,##0.00_);_([$$-409]* \(#,##0.00\);_([$$-409]* &quot;-&quot;??_);_(@_)"/>
    <numFmt numFmtId="168" formatCode="0.0%"/>
    <numFmt numFmtId="169" formatCode="mmm\ d\,\ yyyy"/>
    <numFmt numFmtId="170" formatCode="\$#,##0"/>
    <numFmt numFmtId="171" formatCode="0.00\x"/>
    <numFmt numFmtId="172" formatCode="_([$$-409]* #,##0_);_([$$-409]* \(#,##0\);_([$$-409]* &quot;-&quot;??_);_(@_)"/>
  </numFmts>
  <fonts count="118">
    <font>
      <sz val="11"/>
      <color theme="1"/>
      <name val="Aptos Narrow"/>
      <family val="2"/>
      <scheme val="minor"/>
    </font>
    <font>
      <sz val="11"/>
      <color theme="1"/>
      <name val="Aptos Narrow"/>
      <family val="2"/>
      <scheme val="minor"/>
    </font>
    <font>
      <b/>
      <sz val="16"/>
      <color theme="1"/>
      <name val="Aptos Narrow"/>
      <family val="2"/>
      <scheme val="minor"/>
    </font>
    <font>
      <sz val="14"/>
      <color theme="1"/>
      <name val="Aptos Narrow"/>
      <family val="2"/>
      <scheme val="minor"/>
    </font>
    <font>
      <sz val="16"/>
      <color theme="1"/>
      <name val="Aptos Narrow"/>
      <family val="2"/>
      <scheme val="minor"/>
    </font>
    <font>
      <sz val="14"/>
      <color theme="0"/>
      <name val="Aptos Narrow"/>
      <family val="2"/>
      <scheme val="minor"/>
    </font>
    <font>
      <sz val="20"/>
      <color theme="0"/>
      <name val="Aptos Narrow"/>
      <family val="2"/>
      <scheme val="minor"/>
    </font>
    <font>
      <sz val="16"/>
      <color theme="0"/>
      <name val="Aptos Narrow"/>
      <family val="2"/>
      <scheme val="minor"/>
    </font>
    <font>
      <sz val="16"/>
      <name val="Aptos Narrow"/>
      <family val="2"/>
      <scheme val="minor"/>
    </font>
    <font>
      <sz val="18"/>
      <color theme="1"/>
      <name val="Aptos Narrow"/>
      <family val="2"/>
      <scheme val="minor"/>
    </font>
    <font>
      <sz val="20"/>
      <color theme="1"/>
      <name val="Aptos Narrow"/>
      <family val="2"/>
      <scheme val="minor"/>
    </font>
    <font>
      <i/>
      <sz val="16"/>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b/>
      <sz val="11"/>
      <color rgb="FFFFFFFF"/>
      <name val="Tahoma"/>
      <family val="2"/>
    </font>
    <font>
      <sz val="11"/>
      <color theme="1"/>
      <name val="Tahoma"/>
      <family val="2"/>
    </font>
    <font>
      <sz val="11"/>
      <color rgb="FF000000"/>
      <name val="Tahoma"/>
      <family val="2"/>
    </font>
    <font>
      <u/>
      <sz val="11"/>
      <color theme="10"/>
      <name val="Tahoma"/>
      <family val="2"/>
    </font>
    <font>
      <sz val="11"/>
      <name val="Tahoma"/>
      <family val="2"/>
    </font>
    <font>
      <u/>
      <sz val="11"/>
      <color rgb="FF0000FF"/>
      <name val="Tahoma"/>
      <family val="2"/>
    </font>
    <font>
      <b/>
      <sz val="12"/>
      <color rgb="FF000000"/>
      <name val="Calibri"/>
      <family val="2"/>
    </font>
    <font>
      <sz val="11"/>
      <color rgb="FF242424"/>
      <name val="Tahoma"/>
      <family val="2"/>
    </font>
    <font>
      <b/>
      <sz val="11"/>
      <color rgb="FF000000"/>
      <name val="Tahoma"/>
      <family val="2"/>
    </font>
    <font>
      <b/>
      <u/>
      <sz val="11"/>
      <color theme="10"/>
      <name val="Aptos Narrow"/>
      <family val="2"/>
      <scheme val="minor"/>
    </font>
    <font>
      <b/>
      <sz val="11"/>
      <name val="Tahoma"/>
      <family val="2"/>
    </font>
    <font>
      <sz val="12"/>
      <color rgb="FF000000"/>
      <name val="Tahoma"/>
      <family val="2"/>
    </font>
    <font>
      <sz val="11"/>
      <color theme="1" tint="0.499984740745262"/>
      <name val="Tahoma"/>
      <family val="2"/>
    </font>
    <font>
      <u/>
      <sz val="11"/>
      <color theme="1" tint="0.499984740745262"/>
      <name val="Aptos Narrow"/>
      <family val="2"/>
      <scheme val="minor"/>
    </font>
    <font>
      <sz val="11"/>
      <color theme="1" tint="0.499984740745262"/>
      <name val="Aptos Narrow"/>
      <family val="2"/>
      <scheme val="minor"/>
    </font>
    <font>
      <u/>
      <sz val="11"/>
      <color rgb="FF000000"/>
      <name val="Aptos Narrow"/>
      <family val="2"/>
      <scheme val="minor"/>
    </font>
    <font>
      <sz val="11"/>
      <color rgb="FF000000"/>
      <name val="Aptos Narrow"/>
      <family val="2"/>
      <scheme val="minor"/>
    </font>
    <font>
      <sz val="11"/>
      <color rgb="FF181818"/>
      <name val="Tahoma"/>
      <family val="2"/>
    </font>
    <font>
      <sz val="12"/>
      <color theme="1"/>
      <name val="Tahoma"/>
      <family val="2"/>
    </font>
    <font>
      <sz val="10"/>
      <color theme="1"/>
      <name val="Tahoma"/>
      <family val="2"/>
    </font>
    <font>
      <sz val="10"/>
      <color rgb="FF333333"/>
      <name val="Tahoma"/>
      <family val="2"/>
    </font>
    <font>
      <u/>
      <sz val="11"/>
      <color theme="1" tint="0.499984740745262"/>
      <name val="Tahoma"/>
      <family val="2"/>
    </font>
    <font>
      <sz val="10"/>
      <color theme="1" tint="0.499984740745262"/>
      <name val="Tahoma"/>
      <family val="2"/>
    </font>
    <font>
      <sz val="12"/>
      <color rgb="FF333333"/>
      <name val="Helvetica Neue"/>
      <family val="2"/>
    </font>
    <font>
      <sz val="12"/>
      <color theme="1" tint="0.499984740745262"/>
      <name val="Helvetica Neue"/>
      <family val="2"/>
    </font>
    <font>
      <sz val="11"/>
      <color rgb="FF181818"/>
      <name val="Aptos Narrow"/>
      <family val="2"/>
      <scheme val="minor"/>
    </font>
    <font>
      <sz val="11"/>
      <color rgb="FFFF0000"/>
      <name val="Tahoma"/>
      <family val="2"/>
    </font>
    <font>
      <sz val="12"/>
      <name val="Tahoma"/>
      <family val="2"/>
    </font>
    <font>
      <b/>
      <u/>
      <sz val="11"/>
      <color theme="1"/>
      <name val="Aptos Narrow"/>
      <family val="2"/>
      <scheme val="minor"/>
    </font>
    <font>
      <sz val="9"/>
      <color theme="1"/>
      <name val="Aptos Narrow"/>
      <family val="2"/>
      <scheme val="minor"/>
    </font>
    <font>
      <b/>
      <sz val="9"/>
      <color theme="1"/>
      <name val="Aptos Narrow"/>
      <family val="2"/>
      <scheme val="minor"/>
    </font>
    <font>
      <b/>
      <sz val="9"/>
      <color theme="1" tint="0.499984740745262"/>
      <name val="Aptos Narrow"/>
      <family val="2"/>
      <scheme val="minor"/>
    </font>
    <font>
      <sz val="9"/>
      <color theme="1" tint="0.499984740745262"/>
      <name val="Aptos Narrow"/>
      <family val="2"/>
      <scheme val="minor"/>
    </font>
    <font>
      <i/>
      <sz val="11"/>
      <color theme="1"/>
      <name val="Aptos Narrow"/>
      <family val="2"/>
      <scheme val="minor"/>
    </font>
    <font>
      <b/>
      <u/>
      <sz val="12"/>
      <color rgb="FF000000"/>
      <name val="Aptos Narrow"/>
      <family val="2"/>
      <scheme val="minor"/>
    </font>
    <font>
      <sz val="12"/>
      <color rgb="FF000000"/>
      <name val="Aptos Narrow"/>
      <family val="2"/>
      <scheme val="minor"/>
    </font>
    <font>
      <b/>
      <sz val="11"/>
      <color rgb="FFFFFFFF"/>
      <name val="Aptos Narrow"/>
      <family val="2"/>
      <scheme val="minor"/>
    </font>
    <font>
      <sz val="11"/>
      <color rgb="FFFFFFFF"/>
      <name val="Aptos Narrow"/>
      <family val="2"/>
      <scheme val="minor"/>
    </font>
    <font>
      <b/>
      <sz val="12"/>
      <color rgb="FF000000"/>
      <name val="Aptos Narrow"/>
      <family val="2"/>
      <scheme val="minor"/>
    </font>
    <font>
      <sz val="12"/>
      <color rgb="FF000000"/>
      <name val="Aptos Narrow"/>
      <family val="2"/>
    </font>
    <font>
      <sz val="12"/>
      <color theme="0"/>
      <name val="Aptos Narrow"/>
      <family val="2"/>
      <scheme val="minor"/>
    </font>
    <font>
      <sz val="12"/>
      <color theme="1"/>
      <name val="Aptos Narrow"/>
      <family val="2"/>
      <scheme val="minor"/>
    </font>
    <font>
      <sz val="12"/>
      <color rgb="FFFFFFFF"/>
      <name val="Aptos Narrow"/>
      <family val="2"/>
      <scheme val="minor"/>
    </font>
    <font>
      <b/>
      <sz val="11"/>
      <color rgb="FF000000"/>
      <name val="Aptos Narrow"/>
      <family val="2"/>
      <scheme val="minor"/>
    </font>
    <font>
      <i/>
      <sz val="11"/>
      <color rgb="FF000000"/>
      <name val="Aptos Narrow"/>
      <family val="2"/>
      <scheme val="minor"/>
    </font>
    <font>
      <sz val="10"/>
      <color rgb="FF000000"/>
      <name val="Aptos Narrow"/>
      <family val="2"/>
      <scheme val="minor"/>
    </font>
    <font>
      <b/>
      <sz val="12"/>
      <color rgb="FF000000"/>
      <name val="Aptos Narrow"/>
      <family val="2"/>
    </font>
    <font>
      <i/>
      <sz val="12"/>
      <color rgb="FF000000"/>
      <name val="Aptos Narrow"/>
      <family val="2"/>
      <scheme val="minor"/>
    </font>
    <font>
      <b/>
      <sz val="12"/>
      <color theme="1"/>
      <name val="Aptos Narrow"/>
      <family val="2"/>
      <scheme val="minor"/>
    </font>
    <font>
      <b/>
      <sz val="11"/>
      <color rgb="FFFF0000"/>
      <name val="Aptos Narrow"/>
      <family val="2"/>
      <scheme val="minor"/>
    </font>
    <font>
      <sz val="12"/>
      <color rgb="FF000000"/>
      <name val="Calibri"/>
      <family val="2"/>
    </font>
    <font>
      <sz val="11"/>
      <color rgb="FF000000"/>
      <name val="Aptos Narrow"/>
      <family val="2"/>
    </font>
    <font>
      <sz val="12"/>
      <color theme="1"/>
      <name val="Calibri"/>
      <family val="2"/>
    </font>
    <font>
      <sz val="12"/>
      <color theme="1" tint="0.499984740745262"/>
      <name val="Aptos Narrow"/>
      <family val="2"/>
      <scheme val="minor"/>
    </font>
    <font>
      <sz val="11"/>
      <color rgb="FF000000"/>
      <name val="Calibri"/>
      <family val="2"/>
    </font>
    <font>
      <i/>
      <sz val="11"/>
      <color rgb="FF666666"/>
      <name val="Aptos Narrow"/>
      <family val="2"/>
    </font>
    <font>
      <b/>
      <sz val="11"/>
      <name val="Aptos Narrow"/>
      <family val="2"/>
    </font>
    <font>
      <b/>
      <i/>
      <sz val="14"/>
      <color theme="0"/>
      <name val="Aptos Narrow"/>
      <family val="2"/>
      <scheme val="minor"/>
    </font>
    <font>
      <sz val="11"/>
      <name val="Aptos Narrow"/>
      <family val="2"/>
      <scheme val="minor"/>
    </font>
    <font>
      <b/>
      <sz val="18"/>
      <color theme="0"/>
      <name val="Aptos Narrow"/>
      <family val="2"/>
      <scheme val="minor"/>
    </font>
    <font>
      <b/>
      <sz val="16"/>
      <color rgb="FFFFFFFF"/>
      <name val="Aptos Narrow"/>
      <family val="2"/>
    </font>
    <font>
      <b/>
      <sz val="12"/>
      <color rgb="FFFFFFFF"/>
      <name val="Aptos Narrow"/>
      <family val="2"/>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i/>
      <sz val="11"/>
      <color rgb="FF7F7F7F"/>
      <name val="Aptos Narrow"/>
      <family val="2"/>
      <scheme val="minor"/>
    </font>
    <font>
      <sz val="11"/>
      <color rgb="FF181818"/>
      <name val="Segoe UI"/>
      <family val="2"/>
    </font>
    <font>
      <b/>
      <sz val="12"/>
      <color theme="0"/>
      <name val="Aptos Narrow"/>
      <family val="2"/>
      <scheme val="minor"/>
    </font>
    <font>
      <b/>
      <sz val="9"/>
      <color rgb="FFFFFFFF"/>
      <name val="Aptos Narrow"/>
      <family val="2"/>
      <scheme val="minor"/>
    </font>
    <font>
      <b/>
      <sz val="11"/>
      <color rgb="FFFFFFFF"/>
      <name val="Aptos Narrow"/>
      <family val="2"/>
    </font>
    <font>
      <b/>
      <sz val="10"/>
      <color rgb="FFFFFFFF"/>
      <name val="Aptos Narrow"/>
      <family val="2"/>
      <scheme val="minor"/>
    </font>
    <font>
      <b/>
      <sz val="12"/>
      <color rgb="FFFFFFFF"/>
      <name val="Aptos Narrow"/>
      <family val="2"/>
      <scheme val="minor"/>
    </font>
    <font>
      <sz val="10"/>
      <name val="Arial"/>
      <family val="2"/>
    </font>
    <font>
      <sz val="9"/>
      <color rgb="FF000000"/>
      <name val="Arial"/>
      <family val="2"/>
    </font>
    <font>
      <sz val="9"/>
      <color rgb="FF375623"/>
      <name val="Arial"/>
      <family val="2"/>
    </font>
    <font>
      <sz val="9"/>
      <color rgb="FF843C0C"/>
      <name val="Arial"/>
      <family val="2"/>
    </font>
    <font>
      <sz val="11"/>
      <color rgb="FF242424"/>
      <name val="Aptos Narrow"/>
      <family val="2"/>
      <scheme val="minor"/>
    </font>
    <font>
      <b/>
      <sz val="16"/>
      <color theme="1"/>
      <name val="Aptos Narrow"/>
      <scheme val="minor"/>
    </font>
    <font>
      <sz val="11"/>
      <color rgb="FF0000FF"/>
      <name val="Aptos Narrow"/>
      <family val="2"/>
      <scheme val="minor"/>
    </font>
    <font>
      <i/>
      <sz val="9"/>
      <color rgb="FF808080"/>
      <name val="Aptos Narrow"/>
      <family val="2"/>
      <scheme val="minor"/>
    </font>
    <font>
      <b/>
      <sz val="14"/>
      <color rgb="FFFFFFFF"/>
      <name val="Aptos Narrow"/>
      <family val="2"/>
      <scheme val="minor"/>
    </font>
    <font>
      <i/>
      <sz val="10"/>
      <color rgb="FF595959"/>
      <name val="Aptos Narrow"/>
      <family val="2"/>
      <scheme val="minor"/>
    </font>
    <font>
      <i/>
      <sz val="10"/>
      <color rgb="FF7F6000"/>
      <name val="Aptos Narrow"/>
      <family val="2"/>
      <scheme val="minor"/>
    </font>
    <font>
      <u/>
      <sz val="10"/>
      <color rgb="FF1155CC"/>
      <name val="Aptos Narrow"/>
      <family val="2"/>
      <scheme val="minor"/>
    </font>
    <font>
      <b/>
      <sz val="11"/>
      <color rgb="FFFFFFFF"/>
      <name val="Aptos Narrow"/>
    </font>
    <font>
      <sz val="11"/>
      <color theme="1"/>
      <name val="Aptos Narrow"/>
      <scheme val="minor"/>
    </font>
    <font>
      <b/>
      <sz val="11"/>
      <color theme="1"/>
      <name val="Aptos Narrow"/>
      <scheme val="minor"/>
    </font>
    <font>
      <b/>
      <sz val="10"/>
      <color theme="1"/>
      <name val="Tahoma"/>
      <family val="2"/>
    </font>
    <font>
      <b/>
      <sz val="10"/>
      <color theme="10"/>
      <name val="Tahoma"/>
      <family val="2"/>
    </font>
    <font>
      <sz val="10"/>
      <color theme="1"/>
      <name val="Aptos Narrow"/>
      <family val="2"/>
      <scheme val="minor"/>
    </font>
    <font>
      <sz val="10"/>
      <color rgb="FF000000"/>
      <name val="Tahoma"/>
      <family val="2"/>
    </font>
    <font>
      <u/>
      <sz val="10"/>
      <color theme="10"/>
      <name val="Tahoma"/>
      <family val="2"/>
    </font>
    <font>
      <b/>
      <sz val="10"/>
      <color rgb="FF000000"/>
      <name val="Tahoma"/>
      <family val="2"/>
    </font>
  </fonts>
  <fills count="60">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2DB56E"/>
        <bgColor rgb="FF000000"/>
      </patternFill>
    </fill>
    <fill>
      <patternFill patternType="solid">
        <fgColor theme="9" tint="0.79998168889431442"/>
        <bgColor indexed="64"/>
      </patternFill>
    </fill>
    <fill>
      <patternFill patternType="solid">
        <fgColor rgb="FFFFFF00"/>
        <bgColor indexed="64"/>
      </patternFill>
    </fill>
    <fill>
      <patternFill patternType="solid">
        <fgColor theme="2"/>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00A779"/>
        <bgColor indexed="64"/>
      </patternFill>
    </fill>
    <fill>
      <patternFill patternType="solid">
        <fgColor rgb="FFFF0000"/>
        <bgColor indexed="64"/>
      </patternFill>
    </fill>
    <fill>
      <patternFill patternType="solid">
        <fgColor theme="4" tint="0.39997558519241921"/>
        <bgColor indexed="64"/>
      </patternFill>
    </fill>
    <fill>
      <patternFill patternType="solid">
        <fgColor theme="3" tint="0.249977111117893"/>
        <bgColor indexed="64"/>
      </patternFill>
    </fill>
    <fill>
      <patternFill patternType="solid">
        <fgColor rgb="FFD86DCD"/>
        <bgColor rgb="FF000000"/>
      </patternFill>
    </fill>
    <fill>
      <patternFill patternType="solid">
        <fgColor theme="5" tint="-0.249977111117893"/>
        <bgColor indexed="64"/>
      </patternFill>
    </fill>
    <fill>
      <patternFill patternType="solid">
        <fgColor rgb="FF808080"/>
        <bgColor rgb="FF000000"/>
      </patternFill>
    </fill>
    <fill>
      <patternFill patternType="solid">
        <fgColor rgb="FF1F4E78"/>
      </patternFill>
    </fill>
    <fill>
      <patternFill patternType="solid">
        <fgColor rgb="FFEAF3F8"/>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1F4E78"/>
        <bgColor indexed="64"/>
      </patternFill>
    </fill>
    <fill>
      <patternFill patternType="solid">
        <fgColor rgb="FF2E5090"/>
        <bgColor indexed="64"/>
      </patternFill>
    </fill>
    <fill>
      <patternFill patternType="solid">
        <fgColor rgb="FFEBF1FF"/>
        <bgColor indexed="64"/>
      </patternFill>
    </fill>
    <fill>
      <patternFill patternType="solid">
        <fgColor rgb="FFE2EFDA"/>
        <bgColor indexed="64"/>
      </patternFill>
    </fill>
    <fill>
      <patternFill patternType="solid">
        <fgColor rgb="FFD9EAD3"/>
        <bgColor indexed="64"/>
      </patternFill>
    </fill>
    <fill>
      <patternFill patternType="solid">
        <fgColor rgb="FFFFFFFF"/>
        <bgColor rgb="FF000000"/>
      </patternFill>
    </fill>
    <fill>
      <patternFill patternType="solid">
        <fgColor rgb="FFFFF2CC"/>
        <bgColor indexed="64"/>
      </patternFill>
    </fill>
  </fills>
  <borders count="5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rgb="FF000000"/>
      </right>
      <top/>
      <bottom style="thin">
        <color rgb="FF000000"/>
      </bottom>
      <diagonal/>
    </border>
    <border>
      <left/>
      <right/>
      <top style="thin">
        <color rgb="FFC9C9C9"/>
      </top>
      <bottom/>
      <diagonal/>
    </border>
    <border>
      <left style="thin">
        <color rgb="FF000000"/>
      </left>
      <right style="thin">
        <color rgb="FF000000"/>
      </right>
      <top/>
      <bottom/>
      <diagonal/>
    </border>
    <border>
      <left/>
      <right/>
      <top/>
      <bottom style="thin">
        <color rgb="FFC9C9C9"/>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rgb="FFD5D3D1"/>
      </right>
      <top style="thin">
        <color rgb="FFD5D3D1"/>
      </top>
      <bottom style="thin">
        <color rgb="FFD5D3D1"/>
      </bottom>
      <diagonal/>
    </border>
    <border>
      <left/>
      <right style="thin">
        <color rgb="FFD5D3D1"/>
      </right>
      <top/>
      <bottom style="thin">
        <color rgb="FFD5D3D1"/>
      </bottom>
      <diagonal/>
    </border>
    <border>
      <left/>
      <right/>
      <top/>
      <bottom style="thin">
        <color rgb="FFD5D3D1"/>
      </bottom>
      <diagonal/>
    </border>
    <border>
      <left/>
      <right/>
      <top style="thin">
        <color rgb="FFD5D3D1"/>
      </top>
      <bottom style="thin">
        <color rgb="FFD5D3D1"/>
      </bottom>
      <diagonal/>
    </border>
    <border>
      <left style="thin">
        <color rgb="FFE1E6EF"/>
      </left>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rgb="FFC7CCD1"/>
      </left>
      <right style="thin">
        <color rgb="FFC7CCD1"/>
      </right>
      <top style="thin">
        <color rgb="FFC7CCD1"/>
      </top>
      <bottom style="thin">
        <color rgb="FFC7CCD1"/>
      </bottom>
      <diagonal/>
    </border>
    <border>
      <left style="thin">
        <color rgb="FFC7CCD1"/>
      </left>
      <right/>
      <top/>
      <bottom/>
      <diagonal/>
    </border>
    <border>
      <left/>
      <right style="thin">
        <color rgb="FFC7CCD1"/>
      </right>
      <top/>
      <bottom/>
      <diagonal/>
    </border>
    <border>
      <left style="thin">
        <color rgb="FFC7CCD1"/>
      </left>
      <right style="thin">
        <color rgb="FFC7CCD1"/>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style="thin">
        <color rgb="FFC7CCD1"/>
      </left>
      <right/>
      <top/>
      <bottom style="thin">
        <color rgb="FFC7CCD1"/>
      </bottom>
      <diagonal/>
    </border>
    <border>
      <left/>
      <right/>
      <top style="thin">
        <color rgb="FFC7CCD1"/>
      </top>
      <bottom/>
      <diagonal/>
    </border>
    <border>
      <left/>
      <right/>
      <top style="thin">
        <color auto="1"/>
      </top>
      <bottom/>
      <diagonal/>
    </border>
    <border>
      <left/>
      <right/>
      <top/>
      <bottom style="thin">
        <color indexed="64"/>
      </bottom>
      <diagonal/>
    </border>
    <border>
      <left style="thin">
        <color rgb="FFC7CCD1"/>
      </left>
      <right/>
      <top style="thin">
        <color rgb="FFC7CCD1"/>
      </top>
      <bottom style="thin">
        <color rgb="FFC7CCD1"/>
      </bottom>
      <diagonal/>
    </border>
    <border>
      <left/>
      <right style="thin">
        <color rgb="FFC7CCD1"/>
      </right>
      <top style="thin">
        <color rgb="FFC7CCD1"/>
      </top>
      <bottom style="thin">
        <color rgb="FFC7CCD1"/>
      </bottom>
      <diagonal/>
    </border>
    <border>
      <left style="thin">
        <color rgb="FFC7CCD1"/>
      </left>
      <right style="thin">
        <color rgb="FFC7CCD1"/>
      </right>
      <top/>
      <bottom style="thin">
        <color rgb="FFC7CCD1"/>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right/>
      <top style="thin">
        <color rgb="FFC7CCD1"/>
      </top>
      <bottom style="thin">
        <color rgb="FFC7CCD1"/>
      </bottom>
      <diagonal/>
    </border>
  </borders>
  <cellStyleXfs count="45">
    <xf numFmtId="0" fontId="0" fillId="0" borderId="0"/>
    <xf numFmtId="9" fontId="1" fillId="0" borderId="0"/>
    <xf numFmtId="0" fontId="16" fillId="0" borderId="0"/>
    <xf numFmtId="0" fontId="58" fillId="0" borderId="0"/>
    <xf numFmtId="0" fontId="79" fillId="0" borderId="0" applyNumberFormat="0" applyFill="0" applyBorder="0" applyAlignment="0" applyProtection="0"/>
    <xf numFmtId="0" fontId="80" fillId="0" borderId="35" applyNumberFormat="0" applyFill="0" applyAlignment="0" applyProtection="0"/>
    <xf numFmtId="0" fontId="81" fillId="0" borderId="36" applyNumberFormat="0" applyFill="0" applyAlignment="0" applyProtection="0"/>
    <xf numFmtId="0" fontId="82" fillId="0" borderId="37" applyNumberFormat="0" applyFill="0" applyAlignment="0" applyProtection="0"/>
    <xf numFmtId="0" fontId="82" fillId="0" borderId="0" applyNumberFormat="0" applyFill="0" applyBorder="0" applyAlignment="0" applyProtection="0"/>
    <xf numFmtId="0" fontId="83" fillId="21" borderId="0" applyNumberFormat="0" applyBorder="0" applyAlignment="0" applyProtection="0"/>
    <xf numFmtId="0" fontId="84" fillId="22" borderId="0" applyNumberFormat="0" applyBorder="0" applyAlignment="0" applyProtection="0"/>
    <xf numFmtId="0" fontId="85" fillId="23" borderId="0" applyNumberFormat="0" applyBorder="0" applyAlignment="0" applyProtection="0"/>
    <xf numFmtId="0" fontId="86" fillId="24" borderId="38" applyNumberFormat="0" applyAlignment="0" applyProtection="0"/>
    <xf numFmtId="0" fontId="87" fillId="25" borderId="39" applyNumberFormat="0" applyAlignment="0" applyProtection="0"/>
    <xf numFmtId="0" fontId="88" fillId="25" borderId="38" applyNumberFormat="0" applyAlignment="0" applyProtection="0"/>
    <xf numFmtId="0" fontId="89" fillId="0" borderId="40" applyNumberFormat="0" applyFill="0" applyAlignment="0" applyProtection="0"/>
    <xf numFmtId="0" fontId="12" fillId="26" borderId="41" applyNumberFormat="0" applyAlignment="0" applyProtection="0"/>
    <xf numFmtId="0" fontId="13" fillId="0" borderId="0" applyNumberFormat="0" applyFill="0" applyBorder="0" applyAlignment="0" applyProtection="0"/>
    <xf numFmtId="0" fontId="1" fillId="27" borderId="42" applyNumberFormat="0" applyFont="0" applyAlignment="0" applyProtection="0"/>
    <xf numFmtId="0" fontId="90" fillId="0" borderId="0" applyNumberFormat="0" applyFill="0" applyBorder="0" applyAlignment="0" applyProtection="0"/>
    <xf numFmtId="0" fontId="14" fillId="0" borderId="43" applyNumberFormat="0" applyFill="0" applyAlignment="0" applyProtection="0"/>
    <xf numFmtId="0" fontId="15"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5"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5"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5"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5" fillId="44" borderId="0" applyNumberFormat="0" applyBorder="0" applyAlignment="0" applyProtection="0"/>
    <xf numFmtId="0" fontId="1" fillId="45"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5" fillId="48"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cellStyleXfs>
  <cellXfs count="665">
    <xf numFmtId="0" fontId="0" fillId="0" borderId="0" xfId="0"/>
    <xf numFmtId="0" fontId="3" fillId="0" borderId="0" xfId="0" applyFont="1"/>
    <xf numFmtId="0" fontId="3" fillId="2" borderId="0" xfId="0" applyFont="1" applyFill="1"/>
    <xf numFmtId="0" fontId="4" fillId="0" borderId="0" xfId="0" applyFont="1"/>
    <xf numFmtId="0" fontId="4" fillId="2" borderId="0" xfId="0" applyFont="1" applyFill="1"/>
    <xf numFmtId="0" fontId="0" fillId="3" borderId="0" xfId="0" applyFill="1"/>
    <xf numFmtId="0" fontId="3" fillId="3" borderId="0" xfId="0" applyFont="1" applyFill="1"/>
    <xf numFmtId="0" fontId="2" fillId="3" borderId="0" xfId="0" applyFont="1" applyFill="1"/>
    <xf numFmtId="0" fontId="4" fillId="3" borderId="0" xfId="0" applyFont="1" applyFill="1"/>
    <xf numFmtId="0" fontId="11" fillId="3" borderId="0" xfId="0" applyFont="1" applyFill="1" applyAlignment="1">
      <alignment horizontal="right"/>
    </xf>
    <xf numFmtId="0" fontId="5" fillId="3" borderId="0" xfId="0" applyFont="1" applyFill="1"/>
    <xf numFmtId="0" fontId="6" fillId="3" borderId="0" xfId="0" applyFont="1" applyFill="1"/>
    <xf numFmtId="0" fontId="10" fillId="2" borderId="0" xfId="0" applyFont="1" applyFill="1"/>
    <xf numFmtId="164" fontId="10" fillId="2" borderId="0" xfId="0" applyNumberFormat="1" applyFont="1" applyFill="1" applyAlignment="1">
      <alignment horizontal="center"/>
    </xf>
    <xf numFmtId="0" fontId="7" fillId="3" borderId="0" xfId="0" applyFont="1" applyFill="1"/>
    <xf numFmtId="0" fontId="17" fillId="4" borderId="1" xfId="0" applyFont="1" applyFill="1" applyBorder="1"/>
    <xf numFmtId="0" fontId="17" fillId="4" borderId="1" xfId="0" applyFont="1" applyFill="1" applyBorder="1" applyAlignment="1">
      <alignment horizontal="left"/>
    </xf>
    <xf numFmtId="0" fontId="17" fillId="4" borderId="2" xfId="0" applyFont="1" applyFill="1" applyBorder="1"/>
    <xf numFmtId="0" fontId="17" fillId="4" borderId="2" xfId="0" applyFont="1" applyFill="1" applyBorder="1" applyAlignment="1">
      <alignment horizontal="center" wrapText="1"/>
    </xf>
    <xf numFmtId="0" fontId="18" fillId="0" borderId="1" xfId="0" applyFont="1" applyBorder="1"/>
    <xf numFmtId="0" fontId="19" fillId="0" borderId="1" xfId="0" applyFont="1" applyBorder="1" applyAlignment="1">
      <alignment horizontal="left" vertical="center"/>
    </xf>
    <xf numFmtId="14" fontId="19" fillId="0" borderId="1" xfId="0" applyNumberFormat="1" applyFont="1" applyBorder="1" applyAlignment="1">
      <alignment horizontal="left" vertical="center"/>
    </xf>
    <xf numFmtId="165" fontId="18" fillId="0" borderId="0" xfId="0" applyNumberFormat="1" applyFont="1" applyAlignment="1">
      <alignment horizontal="center"/>
    </xf>
    <xf numFmtId="0" fontId="19" fillId="0" borderId="3" xfId="0" applyFont="1" applyBorder="1" applyAlignment="1">
      <alignment horizontal="left" vertical="center"/>
    </xf>
    <xf numFmtId="0" fontId="19" fillId="0" borderId="4" xfId="0" applyFont="1" applyBorder="1" applyAlignment="1">
      <alignment horizontal="left" vertical="center"/>
    </xf>
    <xf numFmtId="0" fontId="19" fillId="0" borderId="4" xfId="0" applyFont="1" applyBorder="1" applyAlignment="1">
      <alignment horizontal="center" vertical="center"/>
    </xf>
    <xf numFmtId="0" fontId="20" fillId="0" borderId="5" xfId="2" applyFont="1" applyBorder="1"/>
    <xf numFmtId="0" fontId="16" fillId="0" borderId="1" xfId="2" applyBorder="1"/>
    <xf numFmtId="0" fontId="21" fillId="0" borderId="1" xfId="0" applyFont="1" applyBorder="1" applyAlignment="1">
      <alignment horizontal="left" vertical="center"/>
    </xf>
    <xf numFmtId="166" fontId="21" fillId="0" borderId="1" xfId="2" applyNumberFormat="1" applyFont="1" applyBorder="1"/>
    <xf numFmtId="0" fontId="17" fillId="0" borderId="0" xfId="0" applyFont="1"/>
    <xf numFmtId="0" fontId="19" fillId="5" borderId="4" xfId="0" applyFont="1" applyFill="1" applyBorder="1" applyAlignment="1">
      <alignment horizontal="left" vertical="center"/>
    </xf>
    <xf numFmtId="0" fontId="18" fillId="0" borderId="1" xfId="0" applyFont="1" applyBorder="1" applyAlignment="1">
      <alignment wrapText="1"/>
    </xf>
    <xf numFmtId="0" fontId="16" fillId="0" borderId="0" xfId="2"/>
    <xf numFmtId="0" fontId="18" fillId="5" borderId="1" xfId="0" applyFont="1" applyFill="1" applyBorder="1"/>
    <xf numFmtId="0" fontId="19" fillId="5" borderId="1" xfId="0" applyFont="1" applyFill="1" applyBorder="1" applyAlignment="1">
      <alignment horizontal="left" vertical="center"/>
    </xf>
    <xf numFmtId="0" fontId="16" fillId="5" borderId="1" xfId="2" applyFill="1" applyBorder="1"/>
    <xf numFmtId="0" fontId="21" fillId="5" borderId="1" xfId="0" applyFont="1" applyFill="1" applyBorder="1" applyAlignment="1">
      <alignment horizontal="left" vertical="center"/>
    </xf>
    <xf numFmtId="166" fontId="21" fillId="5" borderId="1" xfId="2" applyNumberFormat="1" applyFont="1" applyFill="1" applyBorder="1"/>
    <xf numFmtId="0" fontId="16" fillId="0" borderId="5" xfId="2" applyBorder="1"/>
    <xf numFmtId="0" fontId="22" fillId="0" borderId="0" xfId="0" applyFont="1"/>
    <xf numFmtId="0" fontId="16" fillId="0" borderId="6" xfId="2" applyBorder="1"/>
    <xf numFmtId="0" fontId="23" fillId="0" borderId="7" xfId="0" applyFont="1" applyBorder="1"/>
    <xf numFmtId="0" fontId="22" fillId="0" borderId="7" xfId="0" applyFont="1" applyBorder="1"/>
    <xf numFmtId="0" fontId="24" fillId="0" borderId="1" xfId="0" applyFont="1" applyBorder="1"/>
    <xf numFmtId="0" fontId="19" fillId="0" borderId="1" xfId="0" applyFont="1" applyBorder="1"/>
    <xf numFmtId="0" fontId="16" fillId="5" borderId="1" xfId="2" applyFill="1" applyBorder="1" applyAlignment="1">
      <alignment horizontal="left" vertical="center"/>
    </xf>
    <xf numFmtId="0" fontId="25" fillId="5" borderId="1" xfId="0" applyFont="1" applyFill="1" applyBorder="1" applyAlignment="1">
      <alignment horizontal="left" vertical="center"/>
    </xf>
    <xf numFmtId="0" fontId="26" fillId="5" borderId="1" xfId="2" applyFont="1" applyFill="1" applyBorder="1"/>
    <xf numFmtId="0" fontId="27" fillId="5" borderId="1" xfId="0" applyFont="1" applyFill="1" applyBorder="1" applyAlignment="1">
      <alignment horizontal="left" vertical="center"/>
    </xf>
    <xf numFmtId="166" fontId="27" fillId="5" borderId="1" xfId="2" applyNumberFormat="1" applyFont="1" applyFill="1" applyBorder="1"/>
    <xf numFmtId="0" fontId="28" fillId="0" borderId="0" xfId="0" applyFont="1"/>
    <xf numFmtId="0" fontId="19" fillId="0" borderId="3" xfId="0" applyFont="1" applyBorder="1"/>
    <xf numFmtId="165" fontId="18" fillId="0" borderId="1" xfId="0" applyNumberFormat="1" applyFont="1" applyBorder="1" applyAlignment="1">
      <alignment horizontal="center"/>
    </xf>
    <xf numFmtId="0" fontId="19" fillId="0" borderId="8" xfId="0" applyFont="1" applyBorder="1" applyAlignment="1">
      <alignment horizontal="left" vertical="center"/>
    </xf>
    <xf numFmtId="0" fontId="20" fillId="0" borderId="4" xfId="2" applyFont="1" applyBorder="1"/>
    <xf numFmtId="0" fontId="18" fillId="0" borderId="4" xfId="0" applyFont="1" applyBorder="1" applyAlignment="1">
      <alignment wrapText="1"/>
    </xf>
    <xf numFmtId="0" fontId="19" fillId="6" borderId="1" xfId="0" applyFont="1" applyFill="1" applyBorder="1" applyAlignment="1">
      <alignment horizontal="left" vertical="center"/>
    </xf>
    <xf numFmtId="0" fontId="19" fillId="0" borderId="9" xfId="0" applyFont="1" applyBorder="1" applyAlignment="1">
      <alignment horizontal="left" vertical="center"/>
    </xf>
    <xf numFmtId="0" fontId="21" fillId="0" borderId="3" xfId="0" applyFont="1" applyBorder="1" applyAlignment="1">
      <alignment horizontal="left" vertical="center"/>
    </xf>
    <xf numFmtId="0" fontId="16" fillId="0" borderId="9" xfId="2" applyBorder="1"/>
    <xf numFmtId="0" fontId="19" fillId="0" borderId="1" xfId="2" applyFont="1" applyBorder="1"/>
    <xf numFmtId="0" fontId="18" fillId="0" borderId="4" xfId="0" applyFont="1" applyBorder="1"/>
    <xf numFmtId="0" fontId="19" fillId="0" borderId="10" xfId="0" applyFont="1" applyBorder="1" applyAlignment="1">
      <alignment horizontal="left" vertical="center"/>
    </xf>
    <xf numFmtId="0" fontId="19" fillId="0" borderId="2" xfId="0" applyFont="1" applyBorder="1" applyAlignment="1">
      <alignment horizontal="left" vertical="center"/>
    </xf>
    <xf numFmtId="0" fontId="21" fillId="0" borderId="11" xfId="0" applyFont="1" applyBorder="1" applyAlignment="1">
      <alignment horizontal="left" vertical="center"/>
    </xf>
    <xf numFmtId="166" fontId="21" fillId="0" borderId="2" xfId="2" applyNumberFormat="1" applyFont="1" applyBorder="1"/>
    <xf numFmtId="0" fontId="19" fillId="7" borderId="1" xfId="0" applyFont="1" applyFill="1" applyBorder="1" applyAlignment="1">
      <alignment horizontal="left" vertical="center"/>
    </xf>
    <xf numFmtId="0" fontId="18" fillId="0" borderId="3" xfId="0" applyFont="1" applyBorder="1"/>
    <xf numFmtId="0" fontId="20" fillId="0" borderId="4" xfId="2" applyFont="1" applyBorder="1" applyAlignment="1">
      <alignment horizontal="left" vertical="center"/>
    </xf>
    <xf numFmtId="0" fontId="19" fillId="0" borderId="5" xfId="0" applyFont="1" applyBorder="1" applyAlignment="1">
      <alignment horizontal="left" vertical="center"/>
    </xf>
    <xf numFmtId="0" fontId="16" fillId="7" borderId="1" xfId="2" applyFill="1" applyBorder="1"/>
    <xf numFmtId="0" fontId="21" fillId="7" borderId="1" xfId="2" applyFont="1" applyFill="1" applyBorder="1"/>
    <xf numFmtId="166" fontId="21" fillId="7" borderId="1" xfId="2" applyNumberFormat="1" applyFont="1" applyFill="1" applyBorder="1"/>
    <xf numFmtId="0" fontId="19" fillId="5" borderId="4" xfId="0" applyFont="1" applyFill="1" applyBorder="1" applyAlignment="1">
      <alignment horizontal="center" vertical="center"/>
    </xf>
    <xf numFmtId="0" fontId="19" fillId="5" borderId="4" xfId="2" applyFont="1" applyFill="1" applyBorder="1"/>
    <xf numFmtId="0" fontId="18" fillId="5" borderId="4" xfId="0" applyFont="1" applyFill="1" applyBorder="1"/>
    <xf numFmtId="0" fontId="19" fillId="5" borderId="5" xfId="0" applyFont="1" applyFill="1" applyBorder="1" applyAlignment="1">
      <alignment horizontal="left" vertical="center"/>
    </xf>
    <xf numFmtId="0" fontId="26" fillId="5" borderId="1" xfId="2" applyFont="1" applyFill="1" applyBorder="1" applyAlignment="1">
      <alignment horizontal="left" vertical="center"/>
    </xf>
    <xf numFmtId="0" fontId="27" fillId="5" borderId="1" xfId="2" applyFont="1" applyFill="1" applyBorder="1" applyAlignment="1">
      <alignment horizontal="left" vertical="center"/>
    </xf>
    <xf numFmtId="0" fontId="27" fillId="5" borderId="1" xfId="2" applyFont="1" applyFill="1" applyBorder="1" applyAlignment="1">
      <alignment horizontal="center" vertical="center"/>
    </xf>
    <xf numFmtId="0" fontId="19" fillId="0" borderId="12" xfId="2" applyFont="1" applyBorder="1"/>
    <xf numFmtId="0" fontId="16" fillId="0" borderId="4" xfId="2" applyBorder="1"/>
    <xf numFmtId="0" fontId="16" fillId="0" borderId="1" xfId="2" applyBorder="1" applyAlignment="1">
      <alignment horizontal="left" vertical="center"/>
    </xf>
    <xf numFmtId="0" fontId="21" fillId="0" borderId="1" xfId="2" applyFont="1" applyBorder="1" applyAlignment="1">
      <alignment horizontal="left" vertical="center"/>
    </xf>
    <xf numFmtId="0" fontId="21" fillId="0" borderId="1" xfId="2" applyFont="1" applyBorder="1" applyAlignment="1">
      <alignment horizontal="center" vertical="center"/>
    </xf>
    <xf numFmtId="0" fontId="20" fillId="5" borderId="4" xfId="2" applyFont="1" applyFill="1" applyBorder="1"/>
    <xf numFmtId="0" fontId="18" fillId="5" borderId="4" xfId="0" applyFont="1" applyFill="1" applyBorder="1" applyAlignment="1">
      <alignment wrapText="1"/>
    </xf>
    <xf numFmtId="0" fontId="19" fillId="0" borderId="12" xfId="0" applyFont="1" applyBorder="1" applyAlignment="1">
      <alignment horizontal="left" vertical="center"/>
    </xf>
    <xf numFmtId="165" fontId="19" fillId="0" borderId="12" xfId="0" applyNumberFormat="1" applyFont="1" applyBorder="1" applyAlignment="1">
      <alignment horizontal="center" vertical="center"/>
    </xf>
    <xf numFmtId="0" fontId="19" fillId="0" borderId="13" xfId="0" applyFont="1" applyBorder="1" applyAlignment="1">
      <alignment horizontal="left" vertical="center"/>
    </xf>
    <xf numFmtId="1" fontId="19" fillId="0" borderId="4" xfId="0" applyNumberFormat="1" applyFont="1" applyBorder="1" applyAlignment="1">
      <alignment horizontal="center" vertical="center"/>
    </xf>
    <xf numFmtId="165" fontId="19" fillId="0" borderId="1" xfId="0" applyNumberFormat="1" applyFont="1" applyBorder="1" applyAlignment="1">
      <alignment horizontal="center" vertical="center"/>
    </xf>
    <xf numFmtId="0" fontId="19" fillId="0" borderId="14" xfId="0" applyFont="1" applyBorder="1" applyAlignment="1">
      <alignment horizontal="left" vertical="center"/>
    </xf>
    <xf numFmtId="1" fontId="19" fillId="0" borderId="14" xfId="0" applyNumberFormat="1" applyFont="1" applyBorder="1" applyAlignment="1">
      <alignment horizontal="center" vertical="center"/>
    </xf>
    <xf numFmtId="0" fontId="20" fillId="0" borderId="15" xfId="2" applyFont="1" applyBorder="1" applyAlignment="1">
      <alignment horizontal="left" vertical="center"/>
    </xf>
    <xf numFmtId="0" fontId="20" fillId="0" borderId="9" xfId="2" applyFont="1" applyBorder="1"/>
    <xf numFmtId="0" fontId="19" fillId="0" borderId="0" xfId="0" applyFont="1" applyAlignment="1">
      <alignment horizontal="left" vertical="center"/>
    </xf>
    <xf numFmtId="1" fontId="19" fillId="0" borderId="1" xfId="0" applyNumberFormat="1" applyFont="1" applyBorder="1" applyAlignment="1">
      <alignment horizontal="center" vertical="center"/>
    </xf>
    <xf numFmtId="0" fontId="20" fillId="0" borderId="3" xfId="2" applyFont="1" applyBorder="1" applyAlignment="1">
      <alignment horizontal="left" vertical="center"/>
    </xf>
    <xf numFmtId="1" fontId="19" fillId="5" borderId="1" xfId="0" applyNumberFormat="1" applyFont="1" applyFill="1" applyBorder="1" applyAlignment="1">
      <alignment horizontal="center" vertical="center"/>
    </xf>
    <xf numFmtId="0" fontId="19" fillId="5" borderId="3" xfId="0" applyFont="1" applyFill="1" applyBorder="1" applyAlignment="1">
      <alignment horizontal="left" vertical="center"/>
    </xf>
    <xf numFmtId="0" fontId="25" fillId="5" borderId="9" xfId="0" applyFont="1" applyFill="1" applyBorder="1" applyAlignment="1">
      <alignment horizontal="left" vertical="center"/>
    </xf>
    <xf numFmtId="0" fontId="29" fillId="0" borderId="1" xfId="0" applyFont="1" applyBorder="1" applyAlignment="1">
      <alignment horizontal="left" vertical="center"/>
    </xf>
    <xf numFmtId="0" fontId="29" fillId="8" borderId="1" xfId="0" applyFont="1" applyFill="1" applyBorder="1" applyAlignment="1">
      <alignment horizontal="left" vertical="center"/>
    </xf>
    <xf numFmtId="165" fontId="29" fillId="0" borderId="1" xfId="0" applyNumberFormat="1" applyFont="1" applyBorder="1" applyAlignment="1">
      <alignment horizontal="center" vertical="center"/>
    </xf>
    <xf numFmtId="0" fontId="29" fillId="0" borderId="3" xfId="0" applyFont="1" applyBorder="1" applyAlignment="1">
      <alignment horizontal="left" vertical="center"/>
    </xf>
    <xf numFmtId="0" fontId="29" fillId="7" borderId="1" xfId="0" applyFont="1" applyFill="1" applyBorder="1" applyAlignment="1">
      <alignment horizontal="left" vertical="center"/>
    </xf>
    <xf numFmtId="0" fontId="29" fillId="0" borderId="1" xfId="0" applyFont="1" applyBorder="1" applyAlignment="1">
      <alignment horizontal="center" vertical="center"/>
    </xf>
    <xf numFmtId="0" fontId="29" fillId="0" borderId="16" xfId="0" applyFont="1" applyBorder="1" applyAlignment="1">
      <alignment horizontal="left" vertical="center"/>
    </xf>
    <xf numFmtId="0" fontId="29" fillId="0" borderId="13" xfId="0" applyFont="1" applyBorder="1" applyAlignment="1">
      <alignment horizontal="left" vertical="center"/>
    </xf>
    <xf numFmtId="0" fontId="30" fillId="7" borderId="1" xfId="2" applyFont="1" applyFill="1" applyBorder="1"/>
    <xf numFmtId="166" fontId="29" fillId="8" borderId="1" xfId="2" applyNumberFormat="1" applyFont="1" applyFill="1" applyBorder="1"/>
    <xf numFmtId="0" fontId="30" fillId="0" borderId="9" xfId="2" applyFont="1" applyBorder="1"/>
    <xf numFmtId="0" fontId="31" fillId="0" borderId="0" xfId="0" applyFont="1"/>
    <xf numFmtId="1" fontId="19" fillId="0" borderId="12" xfId="0" applyNumberFormat="1" applyFont="1" applyBorder="1" applyAlignment="1">
      <alignment horizontal="center" vertical="center"/>
    </xf>
    <xf numFmtId="0" fontId="25" fillId="0" borderId="9" xfId="0" applyFont="1" applyBorder="1"/>
    <xf numFmtId="0" fontId="20" fillId="0" borderId="1" xfId="2" applyFont="1" applyBorder="1"/>
    <xf numFmtId="0" fontId="16" fillId="9" borderId="17" xfId="2" applyFill="1" applyBorder="1"/>
    <xf numFmtId="6" fontId="21" fillId="0" borderId="1" xfId="2" applyNumberFormat="1" applyFont="1" applyBorder="1" applyAlignment="1">
      <alignment horizontal="right" vertical="center"/>
    </xf>
    <xf numFmtId="0" fontId="19" fillId="7" borderId="12" xfId="0" applyFont="1" applyFill="1" applyBorder="1" applyAlignment="1">
      <alignment horizontal="left" vertical="center"/>
    </xf>
    <xf numFmtId="0" fontId="19" fillId="0" borderId="1" xfId="0" applyFont="1" applyBorder="1" applyAlignment="1">
      <alignment horizontal="center" vertical="center"/>
    </xf>
    <xf numFmtId="0" fontId="21" fillId="7" borderId="1" xfId="0" applyFont="1" applyFill="1" applyBorder="1" applyAlignment="1">
      <alignment horizontal="left" vertical="center"/>
    </xf>
    <xf numFmtId="0" fontId="20" fillId="5" borderId="1" xfId="2" applyFont="1" applyFill="1" applyBorder="1"/>
    <xf numFmtId="0" fontId="18" fillId="0" borderId="1" xfId="0" applyFont="1" applyBorder="1" applyAlignment="1">
      <alignment vertical="top"/>
    </xf>
    <xf numFmtId="0" fontId="18" fillId="0" borderId="1" xfId="0" applyFont="1" applyBorder="1" applyAlignment="1">
      <alignment horizontal="left"/>
    </xf>
    <xf numFmtId="1" fontId="18" fillId="5" borderId="1" xfId="0" applyNumberFormat="1" applyFont="1" applyFill="1" applyBorder="1" applyAlignment="1">
      <alignment horizontal="center"/>
    </xf>
    <xf numFmtId="0" fontId="18" fillId="5" borderId="3" xfId="0" applyFont="1" applyFill="1" applyBorder="1"/>
    <xf numFmtId="0" fontId="21" fillId="5" borderId="1" xfId="0" applyFont="1" applyFill="1" applyBorder="1"/>
    <xf numFmtId="0" fontId="29" fillId="0" borderId="1" xfId="0" applyFont="1" applyBorder="1" applyAlignment="1">
      <alignment vertical="top"/>
    </xf>
    <xf numFmtId="0" fontId="29" fillId="8" borderId="1" xfId="0" applyFont="1" applyFill="1" applyBorder="1" applyAlignment="1">
      <alignment horizontal="left"/>
    </xf>
    <xf numFmtId="0" fontId="29" fillId="0" borderId="1" xfId="0" applyFont="1" applyBorder="1"/>
    <xf numFmtId="0" fontId="29" fillId="7" borderId="0" xfId="0" applyFont="1" applyFill="1"/>
    <xf numFmtId="0" fontId="29" fillId="0" borderId="0" xfId="0" applyFont="1" applyAlignment="1">
      <alignment horizontal="center"/>
    </xf>
    <xf numFmtId="0" fontId="29" fillId="0" borderId="3" xfId="0" applyFont="1" applyBorder="1"/>
    <xf numFmtId="0" fontId="29" fillId="7" borderId="1" xfId="0" applyFont="1" applyFill="1" applyBorder="1"/>
    <xf numFmtId="0" fontId="29" fillId="8" borderId="1" xfId="0" applyFont="1" applyFill="1" applyBorder="1"/>
    <xf numFmtId="0" fontId="29" fillId="8" borderId="1" xfId="0" applyFont="1" applyFill="1" applyBorder="1" applyAlignment="1">
      <alignment horizontal="center"/>
    </xf>
    <xf numFmtId="0" fontId="29" fillId="0" borderId="9" xfId="0" applyFont="1" applyBorder="1"/>
    <xf numFmtId="0" fontId="19" fillId="0" borderId="1" xfId="0" applyFont="1" applyBorder="1" applyAlignment="1">
      <alignment vertical="top"/>
    </xf>
    <xf numFmtId="0" fontId="19" fillId="0" borderId="1" xfId="0" applyFont="1" applyBorder="1" applyAlignment="1">
      <alignment horizontal="left"/>
    </xf>
    <xf numFmtId="0" fontId="19" fillId="6" borderId="0" xfId="0" applyFont="1" applyFill="1"/>
    <xf numFmtId="0" fontId="19" fillId="0" borderId="0" xfId="0" applyFont="1" applyAlignment="1">
      <alignment horizontal="center"/>
    </xf>
    <xf numFmtId="0" fontId="25" fillId="0" borderId="1" xfId="0" applyFont="1" applyBorder="1" applyAlignment="1">
      <alignment horizontal="left" vertical="center"/>
    </xf>
    <xf numFmtId="0" fontId="19" fillId="6" borderId="1" xfId="0" applyFont="1" applyFill="1" applyBorder="1"/>
    <xf numFmtId="0" fontId="16" fillId="6" borderId="1" xfId="2" applyFill="1" applyBorder="1"/>
    <xf numFmtId="166" fontId="19" fillId="6" borderId="1" xfId="0" applyNumberFormat="1" applyFont="1" applyFill="1" applyBorder="1" applyAlignment="1">
      <alignment horizontal="right"/>
    </xf>
    <xf numFmtId="0" fontId="32" fillId="0" borderId="9" xfId="2" applyFont="1" applyBorder="1"/>
    <xf numFmtId="0" fontId="33" fillId="0" borderId="0" xfId="0" applyFont="1"/>
    <xf numFmtId="0" fontId="34" fillId="0" borderId="0" xfId="0" applyFont="1"/>
    <xf numFmtId="1" fontId="18" fillId="0" borderId="0" xfId="0" applyNumberFormat="1" applyFont="1" applyAlignment="1">
      <alignment horizontal="center"/>
    </xf>
    <xf numFmtId="0" fontId="20" fillId="0" borderId="0" xfId="2" applyFont="1"/>
    <xf numFmtId="0" fontId="35" fillId="0" borderId="3" xfId="0" applyFont="1" applyBorder="1"/>
    <xf numFmtId="0" fontId="21" fillId="0" borderId="1" xfId="2" applyFont="1" applyBorder="1"/>
    <xf numFmtId="1" fontId="18" fillId="0" borderId="1" xfId="0" applyNumberFormat="1" applyFont="1" applyBorder="1" applyAlignment="1">
      <alignment horizontal="center"/>
    </xf>
    <xf numFmtId="0" fontId="19" fillId="5" borderId="1" xfId="0" applyFont="1" applyFill="1" applyBorder="1"/>
    <xf numFmtId="0" fontId="16" fillId="5" borderId="0" xfId="2" applyFill="1"/>
    <xf numFmtId="0" fontId="21" fillId="5" borderId="13" xfId="2" applyFont="1" applyFill="1" applyBorder="1"/>
    <xf numFmtId="166" fontId="21" fillId="5" borderId="12" xfId="2" applyNumberFormat="1" applyFont="1" applyFill="1" applyBorder="1"/>
    <xf numFmtId="0" fontId="36" fillId="0" borderId="0" xfId="0" applyFont="1"/>
    <xf numFmtId="0" fontId="21" fillId="0" borderId="3" xfId="2" applyFont="1" applyBorder="1"/>
    <xf numFmtId="0" fontId="37" fillId="0" borderId="0" xfId="0" applyFont="1"/>
    <xf numFmtId="0" fontId="29" fillId="0" borderId="1" xfId="0" applyFont="1" applyBorder="1" applyAlignment="1">
      <alignment horizontal="left"/>
    </xf>
    <xf numFmtId="165" fontId="29" fillId="0" borderId="1" xfId="0" applyNumberFormat="1" applyFont="1" applyBorder="1" applyAlignment="1">
      <alignment horizontal="center"/>
    </xf>
    <xf numFmtId="0" fontId="29" fillId="6" borderId="1" xfId="0" applyFont="1" applyFill="1" applyBorder="1" applyAlignment="1">
      <alignment horizontal="center"/>
    </xf>
    <xf numFmtId="0" fontId="38" fillId="0" borderId="1" xfId="2" applyFont="1" applyBorder="1"/>
    <xf numFmtId="0" fontId="29" fillId="0" borderId="3" xfId="2" applyFont="1" applyBorder="1"/>
    <xf numFmtId="166" fontId="29" fillId="0" borderId="1" xfId="2" applyNumberFormat="1" applyFont="1" applyBorder="1"/>
    <xf numFmtId="0" fontId="39" fillId="0" borderId="0" xfId="0" applyFont="1"/>
    <xf numFmtId="0" fontId="21" fillId="5" borderId="3" xfId="2" applyFont="1" applyFill="1" applyBorder="1"/>
    <xf numFmtId="0" fontId="18" fillId="0" borderId="1" xfId="0" applyFont="1" applyBorder="1" applyAlignment="1">
      <alignment horizontal="center"/>
    </xf>
    <xf numFmtId="0" fontId="40" fillId="0" borderId="0" xfId="0" applyFont="1"/>
    <xf numFmtId="0" fontId="29" fillId="0" borderId="1" xfId="0" applyFont="1" applyBorder="1" applyAlignment="1">
      <alignment horizontal="center"/>
    </xf>
    <xf numFmtId="0" fontId="41" fillId="0" borderId="0" xfId="0" applyFont="1"/>
    <xf numFmtId="0" fontId="16" fillId="5" borderId="1" xfId="2" applyFill="1" applyBorder="1" applyAlignment="1">
      <alignment wrapText="1"/>
    </xf>
    <xf numFmtId="0" fontId="19" fillId="3" borderId="1" xfId="0" applyFont="1" applyFill="1" applyBorder="1"/>
    <xf numFmtId="0" fontId="18" fillId="3" borderId="1" xfId="0" applyFont="1" applyFill="1" applyBorder="1"/>
    <xf numFmtId="0" fontId="18" fillId="5" borderId="1" xfId="0" applyFont="1" applyFill="1" applyBorder="1" applyAlignment="1">
      <alignment horizontal="center"/>
    </xf>
    <xf numFmtId="0" fontId="19" fillId="10" borderId="1" xfId="0" applyFont="1" applyFill="1" applyBorder="1"/>
    <xf numFmtId="0" fontId="19" fillId="10" borderId="1" xfId="0" applyFont="1" applyFill="1" applyBorder="1" applyAlignment="1">
      <alignment horizontal="left"/>
    </xf>
    <xf numFmtId="0" fontId="18" fillId="10" borderId="1" xfId="0" applyFont="1" applyFill="1" applyBorder="1"/>
    <xf numFmtId="165" fontId="18" fillId="10" borderId="1" xfId="0" applyNumberFormat="1" applyFont="1" applyFill="1" applyBorder="1" applyAlignment="1">
      <alignment horizontal="center"/>
    </xf>
    <xf numFmtId="0" fontId="19" fillId="10" borderId="1" xfId="0" applyFont="1" applyFill="1" applyBorder="1" applyAlignment="1">
      <alignment horizontal="left" vertical="center"/>
    </xf>
    <xf numFmtId="0" fontId="20" fillId="0" borderId="18" xfId="2" applyFont="1" applyBorder="1"/>
    <xf numFmtId="0" fontId="18" fillId="11" borderId="1" xfId="0" applyFont="1" applyFill="1" applyBorder="1" applyAlignment="1">
      <alignment horizontal="center"/>
    </xf>
    <xf numFmtId="0" fontId="20" fillId="11" borderId="0" xfId="2" applyFont="1" applyFill="1"/>
    <xf numFmtId="0" fontId="19" fillId="11" borderId="1" xfId="0" applyFont="1" applyFill="1" applyBorder="1"/>
    <xf numFmtId="0" fontId="19" fillId="11" borderId="0" xfId="2" applyFont="1" applyFill="1"/>
    <xf numFmtId="0" fontId="18" fillId="11" borderId="0" xfId="0" applyFont="1" applyFill="1"/>
    <xf numFmtId="0" fontId="20" fillId="11" borderId="1" xfId="2" applyFont="1" applyFill="1" applyBorder="1"/>
    <xf numFmtId="0" fontId="21" fillId="11" borderId="3" xfId="2" applyFont="1" applyFill="1" applyBorder="1"/>
    <xf numFmtId="166" fontId="21" fillId="11" borderId="1" xfId="2" applyNumberFormat="1" applyFont="1" applyFill="1" applyBorder="1"/>
    <xf numFmtId="0" fontId="16" fillId="11" borderId="0" xfId="2" applyFill="1" applyAlignment="1">
      <alignment horizontal="left" vertical="center"/>
    </xf>
    <xf numFmtId="0" fontId="42" fillId="11" borderId="19" xfId="0" applyFont="1" applyFill="1" applyBorder="1"/>
    <xf numFmtId="0" fontId="18" fillId="0" borderId="0" xfId="0" applyFont="1"/>
    <xf numFmtId="0" fontId="16" fillId="0" borderId="16" xfId="2" applyBorder="1"/>
    <xf numFmtId="0" fontId="43" fillId="0" borderId="1" xfId="0" applyFont="1" applyBorder="1"/>
    <xf numFmtId="0" fontId="43" fillId="0" borderId="1" xfId="0" applyFont="1" applyBorder="1" applyAlignment="1">
      <alignment horizontal="left" vertical="center"/>
    </xf>
    <xf numFmtId="165" fontId="43" fillId="0" borderId="1" xfId="0" applyNumberFormat="1" applyFont="1" applyBorder="1" applyAlignment="1">
      <alignment horizontal="center"/>
    </xf>
    <xf numFmtId="0" fontId="16" fillId="11" borderId="1" xfId="2" applyFill="1" applyBorder="1" applyAlignment="1">
      <alignment horizontal="left" vertical="center"/>
    </xf>
    <xf numFmtId="0" fontId="40" fillId="11" borderId="0" xfId="0" applyFont="1" applyFill="1"/>
    <xf numFmtId="0" fontId="21" fillId="0" borderId="1" xfId="0" applyFont="1" applyBorder="1"/>
    <xf numFmtId="0" fontId="21" fillId="0" borderId="1" xfId="0" applyFont="1" applyBorder="1" applyAlignment="1">
      <alignment horizontal="left"/>
    </xf>
    <xf numFmtId="165" fontId="21" fillId="0" borderId="1" xfId="0" applyNumberFormat="1" applyFont="1" applyBorder="1" applyAlignment="1">
      <alignment horizontal="center"/>
    </xf>
    <xf numFmtId="0" fontId="21" fillId="0" borderId="2" xfId="0" applyFont="1" applyBorder="1"/>
    <xf numFmtId="0" fontId="21" fillId="0" borderId="2" xfId="0" applyFont="1" applyBorder="1" applyAlignment="1">
      <alignment horizontal="left"/>
    </xf>
    <xf numFmtId="165" fontId="21" fillId="0" borderId="2" xfId="0" applyNumberFormat="1" applyFont="1" applyBorder="1" applyAlignment="1">
      <alignment horizontal="center"/>
    </xf>
    <xf numFmtId="1" fontId="18" fillId="0" borderId="2" xfId="0" applyNumberFormat="1" applyFont="1" applyBorder="1" applyAlignment="1">
      <alignment horizontal="center"/>
    </xf>
    <xf numFmtId="0" fontId="20" fillId="0" borderId="2" xfId="2" applyFont="1" applyBorder="1"/>
    <xf numFmtId="0" fontId="21" fillId="0" borderId="4" xfId="0" applyFont="1" applyBorder="1"/>
    <xf numFmtId="0" fontId="21" fillId="0" borderId="4" xfId="0" applyFont="1" applyBorder="1" applyAlignment="1">
      <alignment horizontal="left" vertical="center"/>
    </xf>
    <xf numFmtId="0" fontId="22" fillId="0" borderId="4" xfId="0" applyFont="1" applyBorder="1"/>
    <xf numFmtId="0" fontId="19" fillId="0" borderId="4" xfId="0" applyFont="1" applyBorder="1"/>
    <xf numFmtId="0" fontId="21" fillId="10" borderId="4" xfId="0" applyFont="1" applyFill="1" applyBorder="1"/>
    <xf numFmtId="0" fontId="21" fillId="10" borderId="4" xfId="0" applyFont="1" applyFill="1" applyBorder="1" applyAlignment="1">
      <alignment horizontal="left" vertical="center"/>
    </xf>
    <xf numFmtId="165" fontId="21" fillId="10" borderId="2" xfId="0" applyNumberFormat="1" applyFont="1" applyFill="1" applyBorder="1" applyAlignment="1">
      <alignment horizontal="center"/>
    </xf>
    <xf numFmtId="0" fontId="18" fillId="0" borderId="4" xfId="0" applyFont="1" applyBorder="1" applyAlignment="1">
      <alignment horizontal="center"/>
    </xf>
    <xf numFmtId="0" fontId="19" fillId="0" borderId="9" xfId="0" applyFont="1" applyBorder="1"/>
    <xf numFmtId="0" fontId="20" fillId="0" borderId="14" xfId="2" applyFont="1" applyBorder="1"/>
    <xf numFmtId="0" fontId="19" fillId="0" borderId="10" xfId="0" applyFont="1" applyBorder="1"/>
    <xf numFmtId="0" fontId="21" fillId="0" borderId="11" xfId="2" applyFont="1" applyBorder="1"/>
    <xf numFmtId="0" fontId="0" fillId="0" borderId="4" xfId="0" applyBorder="1"/>
    <xf numFmtId="0" fontId="21" fillId="0" borderId="4" xfId="0" applyFont="1" applyBorder="1" applyAlignment="1">
      <alignment horizontal="left" vertical="top" wrapText="1"/>
    </xf>
    <xf numFmtId="1" fontId="0" fillId="0" borderId="4" xfId="0" applyNumberFormat="1" applyBorder="1" applyAlignment="1">
      <alignment horizontal="center"/>
    </xf>
    <xf numFmtId="0" fontId="21" fillId="0" borderId="4" xfId="0" applyFont="1" applyBorder="1" applyAlignment="1">
      <alignment horizontal="left"/>
    </xf>
    <xf numFmtId="0" fontId="21" fillId="10" borderId="4" xfId="0" applyFont="1" applyFill="1" applyBorder="1" applyAlignment="1">
      <alignment horizontal="left"/>
    </xf>
    <xf numFmtId="0" fontId="0" fillId="0" borderId="4" xfId="0" applyBorder="1" applyAlignment="1">
      <alignment horizontal="center"/>
    </xf>
    <xf numFmtId="165" fontId="21" fillId="0" borderId="4" xfId="0" applyNumberFormat="1" applyFont="1" applyBorder="1" applyAlignment="1">
      <alignment horizontal="center"/>
    </xf>
    <xf numFmtId="165" fontId="21" fillId="10" borderId="18" xfId="0" applyNumberFormat="1" applyFont="1" applyFill="1" applyBorder="1" applyAlignment="1">
      <alignment horizontal="center"/>
    </xf>
    <xf numFmtId="166" fontId="21" fillId="0" borderId="4" xfId="2" applyNumberFormat="1" applyFont="1" applyBorder="1"/>
    <xf numFmtId="0" fontId="44" fillId="0" borderId="0" xfId="0" applyFont="1"/>
    <xf numFmtId="0" fontId="14" fillId="0" borderId="4" xfId="0" applyFont="1" applyBorder="1"/>
    <xf numFmtId="166" fontId="27" fillId="0" borderId="4" xfId="2" applyNumberFormat="1" applyFont="1" applyBorder="1"/>
    <xf numFmtId="166" fontId="0" fillId="0" borderId="4" xfId="0" applyNumberFormat="1" applyBorder="1"/>
    <xf numFmtId="0" fontId="21" fillId="0" borderId="1" xfId="0" applyFont="1" applyBorder="1" applyAlignment="1">
      <alignment horizontal="left" vertical="top" wrapText="1"/>
    </xf>
    <xf numFmtId="1" fontId="0" fillId="0" borderId="1" xfId="0" applyNumberFormat="1" applyBorder="1"/>
    <xf numFmtId="0" fontId="0" fillId="0" borderId="1" xfId="0" applyBorder="1"/>
    <xf numFmtId="166" fontId="0" fillId="0" borderId="1" xfId="0" applyNumberFormat="1" applyBorder="1"/>
    <xf numFmtId="1" fontId="0" fillId="5" borderId="1" xfId="0" applyNumberFormat="1" applyFill="1" applyBorder="1" applyAlignment="1">
      <alignment horizontal="center"/>
    </xf>
    <xf numFmtId="0" fontId="21" fillId="0" borderId="2" xfId="0" applyFont="1" applyBorder="1" applyAlignment="1">
      <alignment horizontal="left" vertical="center"/>
    </xf>
    <xf numFmtId="0" fontId="21" fillId="0" borderId="2" xfId="0" applyFont="1" applyBorder="1" applyAlignment="1">
      <alignment horizontal="left" vertical="top" wrapText="1"/>
    </xf>
    <xf numFmtId="1" fontId="0" fillId="0" borderId="2" xfId="0" applyNumberFormat="1" applyBorder="1"/>
    <xf numFmtId="0" fontId="16" fillId="0" borderId="2" xfId="2" applyBorder="1"/>
    <xf numFmtId="0" fontId="19" fillId="0" borderId="2" xfId="0" applyFont="1" applyBorder="1"/>
    <xf numFmtId="0" fontId="0" fillId="0" borderId="2" xfId="0" applyBorder="1"/>
    <xf numFmtId="166" fontId="0" fillId="0" borderId="2" xfId="0" applyNumberFormat="1" applyBorder="1"/>
    <xf numFmtId="0" fontId="21" fillId="6" borderId="0" xfId="0" applyFont="1" applyFill="1"/>
    <xf numFmtId="0" fontId="16" fillId="6" borderId="0" xfId="2" applyFill="1"/>
    <xf numFmtId="0" fontId="45" fillId="0" borderId="0" xfId="0" applyFont="1"/>
    <xf numFmtId="0" fontId="14" fillId="0" borderId="0" xfId="0" applyFont="1"/>
    <xf numFmtId="167" fontId="0" fillId="0" borderId="0" xfId="0" applyNumberFormat="1"/>
    <xf numFmtId="0" fontId="0" fillId="0" borderId="0" xfId="0" applyAlignment="1">
      <alignment horizontal="center"/>
    </xf>
    <xf numFmtId="0" fontId="0" fillId="0" borderId="0" xfId="0" applyAlignment="1">
      <alignment vertical="top"/>
    </xf>
    <xf numFmtId="17" fontId="14" fillId="10" borderId="5" xfId="0" applyNumberFormat="1" applyFont="1" applyFill="1" applyBorder="1" applyAlignment="1">
      <alignment horizontal="left"/>
    </xf>
    <xf numFmtId="17" fontId="14" fillId="10" borderId="20" xfId="0" applyNumberFormat="1" applyFont="1" applyFill="1" applyBorder="1" applyAlignment="1">
      <alignment horizontal="left"/>
    </xf>
    <xf numFmtId="17" fontId="14" fillId="8" borderId="5" xfId="0" applyNumberFormat="1" applyFont="1" applyFill="1" applyBorder="1" applyAlignment="1">
      <alignment horizontal="left"/>
    </xf>
    <xf numFmtId="17" fontId="14" fillId="8" borderId="20" xfId="0" applyNumberFormat="1" applyFont="1" applyFill="1" applyBorder="1" applyAlignment="1">
      <alignment horizontal="left"/>
    </xf>
    <xf numFmtId="167" fontId="14" fillId="10" borderId="20" xfId="0" applyNumberFormat="1" applyFont="1" applyFill="1" applyBorder="1"/>
    <xf numFmtId="17" fontId="14" fillId="7" borderId="5" xfId="0" applyNumberFormat="1" applyFont="1" applyFill="1" applyBorder="1" applyAlignment="1">
      <alignment horizontal="left"/>
    </xf>
    <xf numFmtId="17" fontId="14" fillId="7" borderId="20" xfId="0" applyNumberFormat="1" applyFont="1" applyFill="1" applyBorder="1"/>
    <xf numFmtId="17" fontId="14" fillId="10" borderId="21" xfId="0" applyNumberFormat="1" applyFont="1" applyFill="1" applyBorder="1" applyAlignment="1">
      <alignment horizontal="left"/>
    </xf>
    <xf numFmtId="17" fontId="14" fillId="8" borderId="20" xfId="0" applyNumberFormat="1" applyFont="1" applyFill="1" applyBorder="1"/>
    <xf numFmtId="17" fontId="14" fillId="0" borderId="5" xfId="0" applyNumberFormat="1" applyFont="1" applyBorder="1" applyAlignment="1">
      <alignment horizontal="left"/>
    </xf>
    <xf numFmtId="17" fontId="14" fillId="0" borderId="21" xfId="0" applyNumberFormat="1" applyFont="1" applyBorder="1" applyAlignment="1">
      <alignment horizontal="left"/>
    </xf>
    <xf numFmtId="17" fontId="14" fillId="8" borderId="21" xfId="0" applyNumberFormat="1" applyFont="1" applyFill="1" applyBorder="1" applyAlignment="1">
      <alignment horizontal="left"/>
    </xf>
    <xf numFmtId="0" fontId="46" fillId="0" borderId="0" xfId="0" applyFont="1" applyAlignment="1">
      <alignment horizontal="center"/>
    </xf>
    <xf numFmtId="0" fontId="14" fillId="0" borderId="4" xfId="0" applyFont="1" applyBorder="1" applyAlignment="1">
      <alignment horizontal="center"/>
    </xf>
    <xf numFmtId="167" fontId="14" fillId="0" borderId="4" xfId="0" applyNumberFormat="1" applyFont="1" applyBorder="1" applyAlignment="1">
      <alignment horizontal="center"/>
    </xf>
    <xf numFmtId="0" fontId="14" fillId="0" borderId="14" xfId="0" applyFont="1" applyBorder="1" applyAlignment="1">
      <alignment horizontal="center"/>
    </xf>
    <xf numFmtId="0" fontId="47" fillId="0" borderId="0" xfId="0" applyFont="1" applyAlignment="1">
      <alignment horizontal="center"/>
    </xf>
    <xf numFmtId="0" fontId="0" fillId="0" borderId="5" xfId="0" applyBorder="1" applyAlignment="1">
      <alignment horizontal="center"/>
    </xf>
    <xf numFmtId="0" fontId="0" fillId="0" borderId="1" xfId="0" applyBorder="1" applyAlignment="1">
      <alignment horizontal="center"/>
    </xf>
    <xf numFmtId="1" fontId="31" fillId="0" borderId="0" xfId="0" applyNumberFormat="1" applyFont="1"/>
    <xf numFmtId="0" fontId="33" fillId="0" borderId="0" xfId="0" applyFont="1" applyAlignment="1">
      <alignment horizontal="center"/>
    </xf>
    <xf numFmtId="0" fontId="1" fillId="0" borderId="0" xfId="0" applyFont="1"/>
    <xf numFmtId="0" fontId="47" fillId="0" borderId="4" xfId="0" applyFont="1" applyBorder="1" applyAlignment="1">
      <alignment horizontal="center"/>
    </xf>
    <xf numFmtId="1" fontId="47" fillId="0" borderId="4" xfId="0" applyNumberFormat="1" applyFont="1" applyBorder="1" applyAlignment="1">
      <alignment horizontal="center"/>
    </xf>
    <xf numFmtId="0" fontId="14" fillId="0" borderId="15" xfId="0" applyFont="1" applyBorder="1" applyAlignment="1">
      <alignment horizontal="center"/>
    </xf>
    <xf numFmtId="0" fontId="14" fillId="0" borderId="1" xfId="0" applyFont="1" applyBorder="1" applyAlignment="1">
      <alignment horizontal="center"/>
    </xf>
    <xf numFmtId="1" fontId="14" fillId="0" borderId="0" xfId="0" applyNumberFormat="1" applyFont="1" applyAlignment="1">
      <alignment horizontal="right"/>
    </xf>
    <xf numFmtId="0" fontId="14" fillId="0" borderId="0" xfId="0" applyFont="1" applyAlignment="1">
      <alignment horizontal="left"/>
    </xf>
    <xf numFmtId="0" fontId="48" fillId="0" borderId="0" xfId="0" applyFont="1" applyAlignment="1">
      <alignment horizontal="center" wrapText="1"/>
    </xf>
    <xf numFmtId="0" fontId="49" fillId="0" borderId="4" xfId="0" applyFont="1" applyBorder="1" applyAlignment="1">
      <alignment horizontal="center"/>
    </xf>
    <xf numFmtId="1" fontId="49" fillId="0" borderId="4" xfId="0" applyNumberFormat="1" applyFont="1" applyBorder="1" applyAlignment="1">
      <alignment horizontal="center"/>
    </xf>
    <xf numFmtId="0" fontId="31" fillId="0" borderId="4" xfId="0" applyFont="1" applyBorder="1" applyAlignment="1">
      <alignment horizontal="center"/>
    </xf>
    <xf numFmtId="0" fontId="49" fillId="0" borderId="5" xfId="0" applyFont="1" applyBorder="1" applyAlignment="1">
      <alignment horizontal="center"/>
    </xf>
    <xf numFmtId="0" fontId="0" fillId="0" borderId="3" xfId="0" applyBorder="1" applyAlignment="1">
      <alignment horizontal="center"/>
    </xf>
    <xf numFmtId="0" fontId="49" fillId="0" borderId="0" xfId="0" applyFont="1" applyAlignment="1">
      <alignment horizontal="center"/>
    </xf>
    <xf numFmtId="167" fontId="49" fillId="0" borderId="0" xfId="0" applyNumberFormat="1" applyFont="1" applyAlignment="1">
      <alignment horizontal="center"/>
    </xf>
    <xf numFmtId="0" fontId="31" fillId="0" borderId="0" xfId="0" applyFont="1" applyAlignment="1">
      <alignment horizontal="center"/>
    </xf>
    <xf numFmtId="0" fontId="50" fillId="0" borderId="0" xfId="0" applyFont="1" applyAlignment="1">
      <alignment horizontal="left"/>
    </xf>
    <xf numFmtId="0" fontId="0" fillId="6" borderId="0" xfId="0" applyFill="1" applyAlignment="1">
      <alignment horizontal="center"/>
    </xf>
    <xf numFmtId="0" fontId="13" fillId="0" borderId="0" xfId="0" applyFont="1"/>
    <xf numFmtId="0" fontId="51" fillId="12" borderId="0" xfId="0" applyFont="1" applyFill="1"/>
    <xf numFmtId="0" fontId="52" fillId="12" borderId="0" xfId="0" applyFont="1" applyFill="1"/>
    <xf numFmtId="3" fontId="52" fillId="12" borderId="0" xfId="0" applyNumberFormat="1" applyFont="1" applyFill="1"/>
    <xf numFmtId="0" fontId="12" fillId="13" borderId="0" xfId="0" applyFont="1" applyFill="1"/>
    <xf numFmtId="167" fontId="12" fillId="13" borderId="0" xfId="0" applyNumberFormat="1" applyFont="1" applyFill="1"/>
    <xf numFmtId="0" fontId="12" fillId="14" borderId="0" xfId="0" applyFont="1" applyFill="1"/>
    <xf numFmtId="0" fontId="12" fillId="0" borderId="0" xfId="0" applyFont="1"/>
    <xf numFmtId="0" fontId="12" fillId="15" borderId="0" xfId="0" applyFont="1" applyFill="1"/>
    <xf numFmtId="0" fontId="15" fillId="15" borderId="0" xfId="0" applyFont="1" applyFill="1"/>
    <xf numFmtId="0" fontId="53" fillId="16" borderId="0" xfId="0" applyFont="1" applyFill="1"/>
    <xf numFmtId="0" fontId="54" fillId="16" borderId="0" xfId="0" applyFont="1" applyFill="1"/>
    <xf numFmtId="0" fontId="53" fillId="17" borderId="0" xfId="0" applyFont="1" applyFill="1"/>
    <xf numFmtId="0" fontId="54" fillId="17" borderId="0" xfId="0" applyFont="1" applyFill="1"/>
    <xf numFmtId="0" fontId="55" fillId="12" borderId="0" xfId="0" applyFont="1" applyFill="1" applyAlignment="1">
      <alignment wrapText="1"/>
    </xf>
    <xf numFmtId="0" fontId="55" fillId="12" borderId="0" xfId="0" applyFont="1" applyFill="1"/>
    <xf numFmtId="0" fontId="56" fillId="0" borderId="0" xfId="0" applyFont="1"/>
    <xf numFmtId="0" fontId="57" fillId="13" borderId="0" xfId="0" applyFont="1" applyFill="1"/>
    <xf numFmtId="167" fontId="57" fillId="13" borderId="0" xfId="0" applyNumberFormat="1" applyFont="1" applyFill="1"/>
    <xf numFmtId="0" fontId="55" fillId="0" borderId="0" xfId="0" applyFont="1"/>
    <xf numFmtId="0" fontId="57" fillId="14" borderId="0" xfId="0" applyFont="1" applyFill="1"/>
    <xf numFmtId="0" fontId="58" fillId="0" borderId="0" xfId="0" applyFont="1" applyAlignment="1">
      <alignment wrapText="1"/>
    </xf>
    <xf numFmtId="0" fontId="58" fillId="0" borderId="0" xfId="0" applyFont="1"/>
    <xf numFmtId="0" fontId="57" fillId="15" borderId="0" xfId="0" applyFont="1" applyFill="1"/>
    <xf numFmtId="0" fontId="52" fillId="0" borderId="0" xfId="0" applyFont="1"/>
    <xf numFmtId="0" fontId="52" fillId="0" borderId="0" xfId="0" applyFont="1" applyAlignment="1">
      <alignment wrapText="1"/>
    </xf>
    <xf numFmtId="0" fontId="59" fillId="16" borderId="0" xfId="0" applyFont="1" applyFill="1"/>
    <xf numFmtId="0" fontId="59" fillId="17" borderId="0" xfId="0" applyFont="1" applyFill="1"/>
    <xf numFmtId="17" fontId="52" fillId="0" borderId="0" xfId="0" applyNumberFormat="1" applyFont="1" applyAlignment="1">
      <alignment wrapText="1"/>
    </xf>
    <xf numFmtId="8" fontId="52" fillId="0" borderId="0" xfId="0" applyNumberFormat="1" applyFont="1"/>
    <xf numFmtId="3" fontId="52" fillId="0" borderId="0" xfId="0" applyNumberFormat="1" applyFont="1"/>
    <xf numFmtId="10" fontId="56" fillId="0" borderId="0" xfId="0" applyNumberFormat="1" applyFont="1"/>
    <xf numFmtId="17" fontId="52" fillId="0" borderId="0" xfId="0" applyNumberFormat="1" applyFont="1"/>
    <xf numFmtId="10" fontId="52" fillId="0" borderId="0" xfId="0" applyNumberFormat="1" applyFont="1"/>
    <xf numFmtId="167" fontId="52" fillId="0" borderId="0" xfId="0" applyNumberFormat="1" applyFont="1"/>
    <xf numFmtId="3" fontId="33" fillId="0" borderId="0" xfId="0" applyNumberFormat="1" applyFont="1"/>
    <xf numFmtId="164" fontId="0" fillId="0" borderId="0" xfId="0" applyNumberFormat="1"/>
    <xf numFmtId="3" fontId="58" fillId="0" borderId="0" xfId="0" applyNumberFormat="1" applyFont="1"/>
    <xf numFmtId="0" fontId="50" fillId="0" borderId="0" xfId="0" applyFont="1"/>
    <xf numFmtId="0" fontId="52" fillId="18" borderId="0" xfId="0" applyFont="1" applyFill="1"/>
    <xf numFmtId="0" fontId="60" fillId="0" borderId="0" xfId="0" applyFont="1"/>
    <xf numFmtId="10" fontId="58" fillId="0" borderId="0" xfId="0" applyNumberFormat="1" applyFont="1"/>
    <xf numFmtId="164" fontId="58" fillId="0" borderId="0" xfId="3" applyNumberFormat="1"/>
    <xf numFmtId="0" fontId="61" fillId="18" borderId="0" xfId="0" applyFont="1" applyFill="1"/>
    <xf numFmtId="0" fontId="61" fillId="0" borderId="0" xfId="0" applyFont="1"/>
    <xf numFmtId="0" fontId="0" fillId="6" borderId="0" xfId="0" applyFill="1"/>
    <xf numFmtId="0" fontId="62" fillId="0" borderId="0" xfId="0" applyFont="1"/>
    <xf numFmtId="164" fontId="52" fillId="0" borderId="0" xfId="0" applyNumberFormat="1" applyFont="1"/>
    <xf numFmtId="10" fontId="50" fillId="0" borderId="0" xfId="0" applyNumberFormat="1" applyFont="1"/>
    <xf numFmtId="8" fontId="55" fillId="0" borderId="0" xfId="0" applyNumberFormat="1" applyFont="1"/>
    <xf numFmtId="3" fontId="55" fillId="0" borderId="0" xfId="0" applyNumberFormat="1" applyFont="1"/>
    <xf numFmtId="10" fontId="63" fillId="0" borderId="0" xfId="0" applyNumberFormat="1" applyFont="1"/>
    <xf numFmtId="0" fontId="55" fillId="0" borderId="0" xfId="0" applyFont="1" applyAlignment="1">
      <alignment horizontal="right"/>
    </xf>
    <xf numFmtId="168" fontId="55" fillId="0" borderId="0" xfId="0" applyNumberFormat="1" applyFont="1"/>
    <xf numFmtId="167" fontId="55" fillId="0" borderId="0" xfId="0" applyNumberFormat="1" applyFont="1"/>
    <xf numFmtId="0" fontId="64" fillId="0" borderId="0" xfId="0" applyFont="1"/>
    <xf numFmtId="0" fontId="65" fillId="0" borderId="0" xfId="0" applyFont="1" applyAlignment="1">
      <alignment horizontal="right"/>
    </xf>
    <xf numFmtId="0" fontId="65" fillId="0" borderId="0" xfId="0" applyFont="1"/>
    <xf numFmtId="3" fontId="65" fillId="0" borderId="0" xfId="0" applyNumberFormat="1" applyFont="1"/>
    <xf numFmtId="10" fontId="65" fillId="0" borderId="0" xfId="0" applyNumberFormat="1" applyFont="1"/>
    <xf numFmtId="8" fontId="65" fillId="0" borderId="0" xfId="0" applyNumberFormat="1" applyFont="1"/>
    <xf numFmtId="1" fontId="58" fillId="0" borderId="0" xfId="3" applyNumberFormat="1"/>
    <xf numFmtId="10" fontId="55" fillId="0" borderId="0" xfId="0" applyNumberFormat="1" applyFont="1"/>
    <xf numFmtId="0" fontId="56" fillId="0" borderId="0" xfId="0" applyFont="1" applyAlignment="1">
      <alignment wrapText="1"/>
    </xf>
    <xf numFmtId="167" fontId="60" fillId="0" borderId="0" xfId="0" applyNumberFormat="1" applyFont="1"/>
    <xf numFmtId="3" fontId="14" fillId="0" borderId="0" xfId="0" applyNumberFormat="1" applyFont="1"/>
    <xf numFmtId="10" fontId="14" fillId="0" borderId="0" xfId="0" applyNumberFormat="1" applyFont="1"/>
    <xf numFmtId="8" fontId="14" fillId="0" borderId="0" xfId="0" applyNumberFormat="1" applyFont="1"/>
    <xf numFmtId="0" fontId="14" fillId="0" borderId="0" xfId="0" applyFont="1" applyAlignment="1">
      <alignment horizontal="right"/>
    </xf>
    <xf numFmtId="0" fontId="60" fillId="0" borderId="0" xfId="0" applyFont="1" applyAlignment="1">
      <alignment horizontal="right"/>
    </xf>
    <xf numFmtId="3" fontId="60" fillId="0" borderId="0" xfId="0" applyNumberFormat="1" applyFont="1"/>
    <xf numFmtId="10" fontId="60" fillId="0" borderId="0" xfId="0" applyNumberFormat="1" applyFont="1"/>
    <xf numFmtId="8" fontId="60" fillId="0" borderId="0" xfId="0" applyNumberFormat="1" applyFont="1"/>
    <xf numFmtId="0" fontId="66" fillId="0" borderId="0" xfId="0" applyFont="1"/>
    <xf numFmtId="167" fontId="33" fillId="0" borderId="0" xfId="0" applyNumberFormat="1" applyFont="1"/>
    <xf numFmtId="0" fontId="0" fillId="8" borderId="0" xfId="0" applyFill="1"/>
    <xf numFmtId="0" fontId="1" fillId="8" borderId="0" xfId="0" applyFont="1" applyFill="1"/>
    <xf numFmtId="0" fontId="14" fillId="8" borderId="0" xfId="0" applyFont="1" applyFill="1" applyAlignment="1">
      <alignment horizontal="center"/>
    </xf>
    <xf numFmtId="14" fontId="67" fillId="0" borderId="0" xfId="0" applyNumberFormat="1" applyFont="1"/>
    <xf numFmtId="0" fontId="67" fillId="0" borderId="22" xfId="0" applyFont="1" applyBorder="1" applyAlignment="1">
      <alignment wrapText="1"/>
    </xf>
    <xf numFmtId="0" fontId="67" fillId="0" borderId="22" xfId="0" applyFont="1" applyBorder="1"/>
    <xf numFmtId="8" fontId="67" fillId="6" borderId="22" xfId="0" applyNumberFormat="1" applyFont="1" applyFill="1" applyBorder="1"/>
    <xf numFmtId="0" fontId="68" fillId="6" borderId="0" xfId="0" applyFont="1" applyFill="1"/>
    <xf numFmtId="165" fontId="67" fillId="0" borderId="0" xfId="0" applyNumberFormat="1" applyFont="1"/>
    <xf numFmtId="0" fontId="68" fillId="0" borderId="0" xfId="0" applyFont="1"/>
    <xf numFmtId="0" fontId="67" fillId="0" borderId="23" xfId="0" applyFont="1" applyBorder="1"/>
    <xf numFmtId="0" fontId="67" fillId="0" borderId="23" xfId="0" applyFont="1" applyBorder="1" applyAlignment="1">
      <alignment wrapText="1"/>
    </xf>
    <xf numFmtId="8" fontId="67" fillId="6" borderId="23" xfId="0" applyNumberFormat="1" applyFont="1" applyFill="1" applyBorder="1"/>
    <xf numFmtId="0" fontId="16" fillId="0" borderId="0" xfId="2" applyAlignment="1">
      <alignment horizontal="left" vertical="center"/>
    </xf>
    <xf numFmtId="0" fontId="0" fillId="13" borderId="0" xfId="0" applyFill="1"/>
    <xf numFmtId="167" fontId="68" fillId="0" borderId="0" xfId="0" applyNumberFormat="1" applyFont="1"/>
    <xf numFmtId="8" fontId="67" fillId="2" borderId="23" xfId="0" applyNumberFormat="1" applyFont="1" applyFill="1" applyBorder="1"/>
    <xf numFmtId="0" fontId="67" fillId="0" borderId="0" xfId="0" applyFont="1"/>
    <xf numFmtId="0" fontId="67" fillId="0" borderId="0" xfId="0" applyFont="1" applyAlignment="1">
      <alignment wrapText="1"/>
    </xf>
    <xf numFmtId="8" fontId="67" fillId="6" borderId="0" xfId="0" applyNumberFormat="1" applyFont="1" applyFill="1"/>
    <xf numFmtId="0" fontId="68" fillId="2" borderId="0" xfId="0" applyFont="1" applyFill="1"/>
    <xf numFmtId="0" fontId="69" fillId="0" borderId="0" xfId="0" applyFont="1"/>
    <xf numFmtId="8" fontId="67" fillId="2" borderId="0" xfId="0" applyNumberFormat="1" applyFont="1" applyFill="1"/>
    <xf numFmtId="8" fontId="31" fillId="0" borderId="0" xfId="0" applyNumberFormat="1" applyFont="1"/>
    <xf numFmtId="8" fontId="70" fillId="0" borderId="0" xfId="0" applyNumberFormat="1" applyFont="1"/>
    <xf numFmtId="167" fontId="31" fillId="0" borderId="0" xfId="0" applyNumberFormat="1" applyFont="1"/>
    <xf numFmtId="14" fontId="67" fillId="0" borderId="0" xfId="0" applyNumberFormat="1" applyFont="1" applyAlignment="1">
      <alignment horizontal="right"/>
    </xf>
    <xf numFmtId="8" fontId="0" fillId="0" borderId="0" xfId="0" applyNumberFormat="1"/>
    <xf numFmtId="8" fontId="67" fillId="0" borderId="0" xfId="0" applyNumberFormat="1" applyFont="1" applyAlignment="1">
      <alignment wrapText="1"/>
    </xf>
    <xf numFmtId="8" fontId="67" fillId="0" borderId="22" xfId="0" applyNumberFormat="1" applyFont="1" applyBorder="1"/>
    <xf numFmtId="8" fontId="67" fillId="0" borderId="0" xfId="0" applyNumberFormat="1" applyFont="1"/>
    <xf numFmtId="0" fontId="16" fillId="9" borderId="0" xfId="2" applyFill="1"/>
    <xf numFmtId="0" fontId="60" fillId="0" borderId="1" xfId="0" applyFont="1" applyBorder="1"/>
    <xf numFmtId="0" fontId="14" fillId="0" borderId="3" xfId="0" applyFont="1" applyBorder="1" applyAlignment="1">
      <alignment horizontal="center" wrapText="1"/>
    </xf>
    <xf numFmtId="0" fontId="14" fillId="0" borderId="1" xfId="0" applyFont="1" applyBorder="1" applyAlignment="1">
      <alignment horizontal="center" wrapText="1"/>
    </xf>
    <xf numFmtId="0" fontId="0" fillId="0" borderId="12" xfId="0" applyBorder="1"/>
    <xf numFmtId="0" fontId="0" fillId="0" borderId="13" xfId="0" applyBorder="1"/>
    <xf numFmtId="0" fontId="0" fillId="0" borderId="3" xfId="0" applyBorder="1"/>
    <xf numFmtId="0" fontId="71" fillId="0" borderId="1" xfId="0" applyFont="1" applyBorder="1" applyAlignment="1">
      <alignment vertical="top"/>
    </xf>
    <xf numFmtId="0" fontId="0" fillId="0" borderId="3" xfId="0" applyBorder="1" applyAlignment="1">
      <alignment vertical="top"/>
    </xf>
    <xf numFmtId="0" fontId="0" fillId="0" borderId="11" xfId="0" applyBorder="1" applyAlignment="1">
      <alignment vertical="top"/>
    </xf>
    <xf numFmtId="0" fontId="0" fillId="0" borderId="2" xfId="0" applyBorder="1" applyAlignment="1">
      <alignment horizontal="center"/>
    </xf>
    <xf numFmtId="0" fontId="0" fillId="0" borderId="4" xfId="0" applyBorder="1" applyAlignment="1">
      <alignment vertical="top"/>
    </xf>
    <xf numFmtId="0" fontId="71" fillId="0" borderId="27" xfId="0" applyFont="1" applyBorder="1"/>
    <xf numFmtId="0" fontId="0" fillId="0" borderId="14" xfId="0" applyBorder="1" applyAlignment="1">
      <alignment vertical="top"/>
    </xf>
    <xf numFmtId="0" fontId="0" fillId="0" borderId="14" xfId="0" applyBorder="1" applyAlignment="1">
      <alignment horizontal="center"/>
    </xf>
    <xf numFmtId="0" fontId="71" fillId="0" borderId="30" xfId="0" applyFont="1" applyBorder="1"/>
    <xf numFmtId="0" fontId="0" fillId="0" borderId="1" xfId="0" applyBorder="1" applyAlignment="1">
      <alignment vertical="top"/>
    </xf>
    <xf numFmtId="0" fontId="0" fillId="0" borderId="1" xfId="0" applyBorder="1" applyAlignment="1">
      <alignment horizontal="center" vertical="top"/>
    </xf>
    <xf numFmtId="0" fontId="71" fillId="0" borderId="1" xfId="0" applyFont="1" applyBorder="1"/>
    <xf numFmtId="0" fontId="71" fillId="0" borderId="12" xfId="0" applyFont="1" applyBorder="1"/>
    <xf numFmtId="0" fontId="71" fillId="0" borderId="16" xfId="0" applyFont="1" applyBorder="1" applyAlignment="1">
      <alignment horizontal="left"/>
    </xf>
    <xf numFmtId="169" fontId="3" fillId="3" borderId="0" xfId="0" applyNumberFormat="1" applyFont="1" applyFill="1"/>
    <xf numFmtId="0" fontId="72" fillId="3" borderId="0" xfId="0" applyFont="1" applyFill="1"/>
    <xf numFmtId="1" fontId="8" fillId="2" borderId="0" xfId="0" applyNumberFormat="1" applyFont="1" applyFill="1" applyAlignment="1">
      <alignment horizontal="center"/>
    </xf>
    <xf numFmtId="14" fontId="0" fillId="0" borderId="0" xfId="0" applyNumberFormat="1"/>
    <xf numFmtId="0" fontId="14" fillId="0" borderId="0" xfId="0" applyFont="1" applyAlignment="1">
      <alignment horizontal="center" vertical="center"/>
    </xf>
    <xf numFmtId="0" fontId="0" fillId="2" borderId="0" xfId="0" applyFill="1"/>
    <xf numFmtId="169" fontId="58" fillId="3" borderId="0" xfId="0" applyNumberFormat="1" applyFont="1" applyFill="1"/>
    <xf numFmtId="1" fontId="75" fillId="2" borderId="0" xfId="0" applyNumberFormat="1" applyFont="1" applyFill="1" applyAlignment="1">
      <alignment horizontal="center"/>
    </xf>
    <xf numFmtId="166" fontId="75" fillId="2" borderId="0" xfId="0" applyNumberFormat="1" applyFont="1" applyFill="1" applyAlignment="1">
      <alignment horizontal="center"/>
    </xf>
    <xf numFmtId="10" fontId="0" fillId="2" borderId="0" xfId="0" applyNumberFormat="1" applyFill="1" applyAlignment="1">
      <alignment horizontal="center"/>
    </xf>
    <xf numFmtId="10" fontId="75" fillId="2" borderId="0" xfId="0" applyNumberFormat="1" applyFont="1" applyFill="1" applyAlignment="1">
      <alignment horizontal="center"/>
    </xf>
    <xf numFmtId="10" fontId="1" fillId="2" borderId="0" xfId="1" applyNumberFormat="1" applyFill="1" applyAlignment="1">
      <alignment horizontal="center"/>
    </xf>
    <xf numFmtId="0" fontId="73" fillId="3" borderId="0" xfId="0" applyFont="1" applyFill="1"/>
    <xf numFmtId="0" fontId="73" fillId="20" borderId="31" xfId="0" applyFont="1" applyFill="1" applyBorder="1"/>
    <xf numFmtId="0" fontId="0" fillId="20" borderId="31" xfId="0" applyFill="1" applyBorder="1"/>
    <xf numFmtId="0" fontId="73" fillId="0" borderId="0" xfId="0" applyFont="1"/>
    <xf numFmtId="0" fontId="0" fillId="0" borderId="34" xfId="0" applyBorder="1" applyAlignment="1">
      <alignment horizontal="center"/>
    </xf>
    <xf numFmtId="166" fontId="0" fillId="0" borderId="34" xfId="0" applyNumberFormat="1" applyBorder="1" applyAlignment="1">
      <alignment horizontal="center"/>
    </xf>
    <xf numFmtId="166" fontId="0" fillId="0" borderId="32" xfId="0" applyNumberFormat="1" applyBorder="1" applyAlignment="1">
      <alignment horizontal="center"/>
    </xf>
    <xf numFmtId="0" fontId="0" fillId="52" borderId="44" xfId="0" applyFill="1" applyBorder="1"/>
    <xf numFmtId="0" fontId="0" fillId="0" borderId="44" xfId="0" applyBorder="1"/>
    <xf numFmtId="0" fontId="0" fillId="0" borderId="18" xfId="0" applyBorder="1" applyAlignment="1">
      <alignment vertical="top"/>
    </xf>
    <xf numFmtId="17" fontId="33" fillId="0" borderId="0" xfId="0" applyNumberFormat="1" applyFont="1" applyAlignment="1">
      <alignment horizontal="left"/>
    </xf>
    <xf numFmtId="8" fontId="67" fillId="6" borderId="0" xfId="0" applyNumberFormat="1" applyFont="1" applyFill="1" applyAlignment="1">
      <alignment wrapText="1"/>
    </xf>
    <xf numFmtId="14" fontId="73" fillId="0" borderId="1" xfId="0" applyNumberFormat="1" applyFont="1" applyBorder="1" applyAlignment="1">
      <alignment horizontal="center" wrapText="1"/>
    </xf>
    <xf numFmtId="2" fontId="0" fillId="0" borderId="0" xfId="0" applyNumberFormat="1"/>
    <xf numFmtId="14" fontId="67" fillId="0" borderId="23" xfId="0" applyNumberFormat="1" applyFont="1" applyBorder="1"/>
    <xf numFmtId="0" fontId="0" fillId="0" borderId="23" xfId="0" applyBorder="1"/>
    <xf numFmtId="8" fontId="0" fillId="0" borderId="23" xfId="0" applyNumberFormat="1" applyBorder="1"/>
    <xf numFmtId="8" fontId="67" fillId="2" borderId="22" xfId="0" applyNumberFormat="1" applyFont="1" applyFill="1" applyBorder="1"/>
    <xf numFmtId="8" fontId="67" fillId="0" borderId="23" xfId="0" applyNumberFormat="1" applyFont="1" applyBorder="1" applyAlignment="1">
      <alignment wrapText="1"/>
    </xf>
    <xf numFmtId="8" fontId="67" fillId="0" borderId="25" xfId="0" applyNumberFormat="1" applyFont="1" applyBorder="1" applyAlignment="1">
      <alignment wrapText="1"/>
    </xf>
    <xf numFmtId="8" fontId="67" fillId="0" borderId="23" xfId="0" applyNumberFormat="1" applyFont="1" applyBorder="1"/>
    <xf numFmtId="8" fontId="67" fillId="2" borderId="0" xfId="0" applyNumberFormat="1" applyFont="1" applyFill="1" applyAlignment="1">
      <alignment horizontal="right"/>
    </xf>
    <xf numFmtId="8" fontId="67" fillId="2" borderId="24" xfId="0" applyNumberFormat="1" applyFont="1" applyFill="1" applyBorder="1"/>
    <xf numFmtId="0" fontId="16" fillId="0" borderId="26" xfId="2" applyBorder="1"/>
    <xf numFmtId="0" fontId="16" fillId="9" borderId="0" xfId="2" applyFill="1" applyAlignment="1">
      <alignment wrapText="1"/>
    </xf>
    <xf numFmtId="0" fontId="91" fillId="0" borderId="0" xfId="0" applyFont="1"/>
    <xf numFmtId="49" fontId="0" fillId="0" borderId="0" xfId="0" applyNumberFormat="1" applyAlignment="1">
      <alignment wrapText="1"/>
    </xf>
    <xf numFmtId="16" fontId="52" fillId="0" borderId="0" xfId="0" applyNumberFormat="1" applyFont="1"/>
    <xf numFmtId="8" fontId="33" fillId="0" borderId="0" xfId="0" applyNumberFormat="1" applyFont="1"/>
    <xf numFmtId="14" fontId="3" fillId="3" borderId="0" xfId="0" applyNumberFormat="1" applyFont="1" applyFill="1"/>
    <xf numFmtId="0" fontId="21" fillId="0" borderId="0" xfId="0" applyFont="1"/>
    <xf numFmtId="0" fontId="19" fillId="0" borderId="0" xfId="0" applyFont="1"/>
    <xf numFmtId="0" fontId="21" fillId="6" borderId="0" xfId="0" applyFont="1" applyFill="1" applyAlignment="1">
      <alignment horizontal="left" vertical="center"/>
    </xf>
    <xf numFmtId="165" fontId="21" fillId="6" borderId="0" xfId="0" applyNumberFormat="1" applyFont="1" applyFill="1" applyAlignment="1">
      <alignment horizontal="center"/>
    </xf>
    <xf numFmtId="0" fontId="21" fillId="0" borderId="0" xfId="0" applyFont="1" applyAlignment="1">
      <alignment horizontal="left" vertical="center"/>
    </xf>
    <xf numFmtId="165" fontId="21" fillId="0" borderId="0" xfId="0" applyNumberFormat="1" applyFont="1" applyAlignment="1">
      <alignment horizontal="center"/>
    </xf>
    <xf numFmtId="0" fontId="21" fillId="0" borderId="0" xfId="0" applyFont="1" applyAlignment="1">
      <alignment horizontal="left" vertical="top" wrapText="1"/>
    </xf>
    <xf numFmtId="1" fontId="0" fillId="0" borderId="0" xfId="0" applyNumberFormat="1" applyAlignment="1">
      <alignment horizontal="center"/>
    </xf>
    <xf numFmtId="166" fontId="0" fillId="0" borderId="0" xfId="0" applyNumberFormat="1"/>
    <xf numFmtId="0" fontId="73" fillId="20" borderId="45" xfId="0" applyFont="1" applyFill="1" applyBorder="1"/>
    <xf numFmtId="14" fontId="14" fillId="0" borderId="0" xfId="0" applyNumberFormat="1" applyFont="1" applyAlignment="1">
      <alignment vertical="center"/>
    </xf>
    <xf numFmtId="0" fontId="0" fillId="0" borderId="14" xfId="0" applyBorder="1"/>
    <xf numFmtId="164" fontId="10" fillId="2" borderId="47" xfId="0" applyNumberFormat="1" applyFont="1" applyFill="1" applyBorder="1" applyAlignment="1">
      <alignment horizontal="center" vertical="center"/>
    </xf>
    <xf numFmtId="164" fontId="10" fillId="2" borderId="0" xfId="0" applyNumberFormat="1" applyFont="1" applyFill="1" applyAlignment="1">
      <alignment horizontal="center" vertical="center"/>
    </xf>
    <xf numFmtId="168" fontId="0" fillId="0" borderId="0" xfId="0" applyNumberFormat="1"/>
    <xf numFmtId="1" fontId="0" fillId="0" borderId="0" xfId="0" applyNumberFormat="1"/>
    <xf numFmtId="17" fontId="0" fillId="0" borderId="33" xfId="0" applyNumberFormat="1" applyBorder="1" applyAlignment="1">
      <alignment horizontal="center"/>
    </xf>
    <xf numFmtId="0" fontId="0" fillId="55" borderId="31" xfId="0" applyFill="1" applyBorder="1"/>
    <xf numFmtId="0" fontId="0" fillId="55" borderId="31" xfId="0" applyFill="1" applyBorder="1" applyAlignment="1">
      <alignment horizontal="center"/>
    </xf>
    <xf numFmtId="1" fontId="0" fillId="55" borderId="31" xfId="0" applyNumberFormat="1" applyFill="1" applyBorder="1" applyAlignment="1">
      <alignment horizontal="center"/>
    </xf>
    <xf numFmtId="168" fontId="0" fillId="55" borderId="31" xfId="0" applyNumberFormat="1" applyFill="1" applyBorder="1" applyAlignment="1">
      <alignment horizontal="center"/>
    </xf>
    <xf numFmtId="171" fontId="0" fillId="55" borderId="31" xfId="0" applyNumberFormat="1" applyFill="1" applyBorder="1" applyAlignment="1">
      <alignment horizontal="center"/>
    </xf>
    <xf numFmtId="0" fontId="0" fillId="9" borderId="31" xfId="0" applyFill="1" applyBorder="1"/>
    <xf numFmtId="0" fontId="0" fillId="9" borderId="31" xfId="0" applyFill="1" applyBorder="1" applyAlignment="1">
      <alignment horizontal="center"/>
    </xf>
    <xf numFmtId="1" fontId="0" fillId="9" borderId="31" xfId="0" applyNumberFormat="1" applyFill="1" applyBorder="1" applyAlignment="1">
      <alignment horizontal="center"/>
    </xf>
    <xf numFmtId="168" fontId="0" fillId="9" borderId="31" xfId="0" applyNumberFormat="1" applyFill="1" applyBorder="1" applyAlignment="1">
      <alignment horizontal="center"/>
    </xf>
    <xf numFmtId="171" fontId="0" fillId="9" borderId="31" xfId="0" applyNumberFormat="1" applyFill="1" applyBorder="1" applyAlignment="1">
      <alignment horizontal="center"/>
    </xf>
    <xf numFmtId="0" fontId="73" fillId="56" borderId="31" xfId="0" applyFont="1" applyFill="1" applyBorder="1"/>
    <xf numFmtId="0" fontId="73" fillId="56" borderId="31" xfId="0" applyFont="1" applyFill="1" applyBorder="1" applyAlignment="1">
      <alignment horizontal="center"/>
    </xf>
    <xf numFmtId="168" fontId="73" fillId="56" borderId="31" xfId="0" applyNumberFormat="1" applyFont="1" applyFill="1" applyBorder="1" applyAlignment="1">
      <alignment horizontal="center"/>
    </xf>
    <xf numFmtId="171" fontId="73" fillId="56" borderId="31" xfId="0" applyNumberFormat="1" applyFont="1" applyFill="1" applyBorder="1" applyAlignment="1">
      <alignment horizontal="center"/>
    </xf>
    <xf numFmtId="17" fontId="14" fillId="56" borderId="33" xfId="0" applyNumberFormat="1" applyFont="1" applyFill="1" applyBorder="1" applyAlignment="1">
      <alignment horizontal="center"/>
    </xf>
    <xf numFmtId="0" fontId="14" fillId="56" borderId="34" xfId="0" applyFont="1" applyFill="1" applyBorder="1" applyAlignment="1">
      <alignment horizontal="center"/>
    </xf>
    <xf numFmtId="166" fontId="14" fillId="56" borderId="34" xfId="0" applyNumberFormat="1" applyFont="1" applyFill="1" applyBorder="1" applyAlignment="1">
      <alignment horizontal="center"/>
    </xf>
    <xf numFmtId="166" fontId="14" fillId="56" borderId="32" xfId="0" applyNumberFormat="1" applyFont="1" applyFill="1" applyBorder="1" applyAlignment="1">
      <alignment horizontal="center"/>
    </xf>
    <xf numFmtId="166" fontId="0" fillId="55" borderId="31" xfId="0" applyNumberFormat="1" applyFill="1" applyBorder="1" applyAlignment="1">
      <alignment horizontal="center"/>
    </xf>
    <xf numFmtId="166" fontId="0" fillId="9" borderId="31" xfId="0" applyNumberFormat="1" applyFill="1" applyBorder="1" applyAlignment="1">
      <alignment horizontal="center"/>
    </xf>
    <xf numFmtId="166" fontId="73" fillId="56" borderId="31" xfId="0" applyNumberFormat="1" applyFont="1" applyFill="1" applyBorder="1" applyAlignment="1">
      <alignment horizontal="center"/>
    </xf>
    <xf numFmtId="166" fontId="14" fillId="56" borderId="31" xfId="0" applyNumberFormat="1" applyFont="1" applyFill="1" applyBorder="1" applyAlignment="1">
      <alignment horizontal="center"/>
    </xf>
    <xf numFmtId="0" fontId="93" fillId="0" borderId="0" xfId="0" applyFont="1" applyAlignment="1">
      <alignment horizontal="center"/>
    </xf>
    <xf numFmtId="168" fontId="46" fillId="0" borderId="0" xfId="0" applyNumberFormat="1" applyFont="1"/>
    <xf numFmtId="168" fontId="47" fillId="0" borderId="0" xfId="0" applyNumberFormat="1" applyFont="1"/>
    <xf numFmtId="0" fontId="0" fillId="55" borderId="49" xfId="0" applyFill="1" applyBorder="1"/>
    <xf numFmtId="0" fontId="0" fillId="9" borderId="49" xfId="0" applyFill="1" applyBorder="1"/>
    <xf numFmtId="0" fontId="73" fillId="56" borderId="49" xfId="0" applyFont="1" applyFill="1" applyBorder="1"/>
    <xf numFmtId="0" fontId="94" fillId="54" borderId="0" xfId="0" applyFont="1" applyFill="1" applyAlignment="1">
      <alignment horizontal="center"/>
    </xf>
    <xf numFmtId="0" fontId="95" fillId="0" borderId="0" xfId="0" applyFont="1"/>
    <xf numFmtId="0" fontId="73" fillId="20" borderId="0" xfId="0" applyFont="1" applyFill="1" applyAlignment="1">
      <alignment horizontal="center" vertical="center"/>
    </xf>
    <xf numFmtId="0" fontId="0" fillId="0" borderId="0" xfId="0" applyAlignment="1">
      <alignment vertical="center"/>
    </xf>
    <xf numFmtId="0" fontId="73" fillId="20" borderId="31" xfId="0" applyFont="1" applyFill="1" applyBorder="1" applyAlignment="1">
      <alignment horizontal="center" vertical="center"/>
    </xf>
    <xf numFmtId="0" fontId="73" fillId="20" borderId="34" xfId="0" applyFont="1" applyFill="1" applyBorder="1" applyAlignment="1">
      <alignment horizontal="center" vertical="center"/>
    </xf>
    <xf numFmtId="0" fontId="73" fillId="20" borderId="52" xfId="0" applyFont="1" applyFill="1" applyBorder="1" applyAlignment="1">
      <alignment horizontal="center" vertical="center"/>
    </xf>
    <xf numFmtId="1" fontId="46" fillId="55" borderId="53" xfId="0" applyNumberFormat="1" applyFont="1" applyFill="1" applyBorder="1" applyAlignment="1">
      <alignment horizontal="center"/>
    </xf>
    <xf numFmtId="166" fontId="46" fillId="55" borderId="53" xfId="0" applyNumberFormat="1" applyFont="1" applyFill="1" applyBorder="1" applyAlignment="1">
      <alignment horizontal="center"/>
    </xf>
    <xf numFmtId="9" fontId="46" fillId="55" borderId="53" xfId="0" applyNumberFormat="1" applyFont="1" applyFill="1" applyBorder="1" applyAlignment="1">
      <alignment horizontal="center"/>
    </xf>
    <xf numFmtId="1" fontId="46" fillId="55" borderId="53" xfId="0" applyNumberFormat="1" applyFont="1" applyFill="1" applyBorder="1" applyAlignment="1">
      <alignment horizontal="center" indent="1"/>
    </xf>
    <xf numFmtId="1" fontId="46" fillId="9" borderId="53" xfId="0" applyNumberFormat="1" applyFont="1" applyFill="1" applyBorder="1" applyAlignment="1">
      <alignment horizontal="center"/>
    </xf>
    <xf numFmtId="166" fontId="46" fillId="9" borderId="53" xfId="0" applyNumberFormat="1" applyFont="1" applyFill="1" applyBorder="1" applyAlignment="1">
      <alignment horizontal="center"/>
    </xf>
    <xf numFmtId="9" fontId="46" fillId="9" borderId="53" xfId="0" applyNumberFormat="1" applyFont="1" applyFill="1" applyBorder="1" applyAlignment="1">
      <alignment horizontal="center"/>
    </xf>
    <xf numFmtId="1" fontId="46" fillId="9" borderId="53" xfId="0" applyNumberFormat="1" applyFont="1" applyFill="1" applyBorder="1" applyAlignment="1">
      <alignment horizontal="center" indent="1"/>
    </xf>
    <xf numFmtId="1" fontId="47" fillId="56" borderId="54" xfId="0" applyNumberFormat="1" applyFont="1" applyFill="1" applyBorder="1" applyAlignment="1">
      <alignment horizontal="center"/>
    </xf>
    <xf numFmtId="166" fontId="47" fillId="56" borderId="54" xfId="0" applyNumberFormat="1" applyFont="1" applyFill="1" applyBorder="1" applyAlignment="1">
      <alignment horizontal="center"/>
    </xf>
    <xf numFmtId="9" fontId="47" fillId="56" borderId="54" xfId="0" applyNumberFormat="1" applyFont="1" applyFill="1" applyBorder="1" applyAlignment="1">
      <alignment horizontal="center"/>
    </xf>
    <xf numFmtId="1" fontId="47" fillId="56" borderId="54" xfId="0" applyNumberFormat="1" applyFont="1" applyFill="1" applyBorder="1" applyAlignment="1">
      <alignment horizontal="center" indent="1"/>
    </xf>
    <xf numFmtId="0" fontId="78" fillId="19" borderId="31" xfId="0" applyFont="1" applyFill="1" applyBorder="1" applyAlignment="1">
      <alignment horizontal="center" vertical="center" wrapText="1"/>
    </xf>
    <xf numFmtId="0" fontId="15" fillId="0" borderId="0" xfId="0" applyFont="1"/>
    <xf numFmtId="0" fontId="14" fillId="0" borderId="1" xfId="0" applyFont="1" applyBorder="1" applyAlignment="1">
      <alignment horizontal="left"/>
    </xf>
    <xf numFmtId="0" fontId="0" fillId="0" borderId="12" xfId="0" applyBorder="1" applyAlignment="1">
      <alignment horizontal="left"/>
    </xf>
    <xf numFmtId="0" fontId="0" fillId="0" borderId="1" xfId="0" applyBorder="1" applyAlignment="1">
      <alignment horizontal="left"/>
    </xf>
    <xf numFmtId="0" fontId="71" fillId="0" borderId="1" xfId="0" applyFont="1" applyBorder="1" applyAlignment="1">
      <alignment horizontal="left" vertical="top"/>
    </xf>
    <xf numFmtId="0" fontId="71" fillId="0" borderId="28" xfId="0" applyFont="1" applyBorder="1" applyAlignment="1">
      <alignment horizontal="left"/>
    </xf>
    <xf numFmtId="16" fontId="71" fillId="0" borderId="28" xfId="0" applyNumberFormat="1" applyFont="1" applyBorder="1" applyAlignment="1">
      <alignment horizontal="left"/>
    </xf>
    <xf numFmtId="16" fontId="71" fillId="0" borderId="29" xfId="0" applyNumberFormat="1" applyFont="1" applyBorder="1" applyAlignment="1">
      <alignment horizontal="left"/>
    </xf>
    <xf numFmtId="0" fontId="71" fillId="0" borderId="9" xfId="0" applyFont="1" applyBorder="1" applyAlignment="1">
      <alignment horizontal="left"/>
    </xf>
    <xf numFmtId="0" fontId="0" fillId="0" borderId="0" xfId="0" applyAlignment="1">
      <alignment horizontal="left"/>
    </xf>
    <xf numFmtId="0" fontId="71" fillId="0" borderId="1" xfId="0" applyFont="1" applyBorder="1" applyAlignment="1">
      <alignment horizontal="left"/>
    </xf>
    <xf numFmtId="0" fontId="71" fillId="0" borderId="12" xfId="0" applyFont="1" applyBorder="1" applyAlignment="1">
      <alignment horizontal="center"/>
    </xf>
    <xf numFmtId="164" fontId="3" fillId="3" borderId="0" xfId="0" applyNumberFormat="1" applyFont="1" applyFill="1" applyAlignment="1">
      <alignment horizontal="center"/>
    </xf>
    <xf numFmtId="0" fontId="3" fillId="3" borderId="0" xfId="0" applyFont="1" applyFill="1" applyAlignment="1">
      <alignment horizontal="right"/>
    </xf>
    <xf numFmtId="0" fontId="10" fillId="3" borderId="0" xfId="0" applyFont="1" applyFill="1" applyAlignment="1">
      <alignment horizontal="left" vertical="center"/>
    </xf>
    <xf numFmtId="170" fontId="10" fillId="3" borderId="0" xfId="0" applyNumberFormat="1" applyFont="1" applyFill="1" applyAlignment="1">
      <alignment horizontal="center" vertical="center"/>
    </xf>
    <xf numFmtId="0" fontId="10" fillId="3" borderId="0" xfId="0" applyFont="1" applyFill="1" applyAlignment="1">
      <alignment horizontal="center" vertical="center"/>
    </xf>
    <xf numFmtId="164" fontId="10" fillId="3" borderId="0" xfId="0" applyNumberFormat="1" applyFont="1" applyFill="1" applyAlignment="1">
      <alignment horizontal="center" vertical="center"/>
    </xf>
    <xf numFmtId="0" fontId="10" fillId="3" borderId="0" xfId="0" applyFont="1" applyFill="1" applyAlignment="1">
      <alignment horizontal="left"/>
    </xf>
    <xf numFmtId="0" fontId="10" fillId="3" borderId="0" xfId="0" applyFont="1" applyFill="1" applyAlignment="1">
      <alignment horizontal="right" vertical="center"/>
    </xf>
    <xf numFmtId="0" fontId="97" fillId="0" borderId="0" xfId="0" applyFont="1"/>
    <xf numFmtId="0" fontId="0" fillId="0" borderId="18" xfId="0" applyBorder="1"/>
    <xf numFmtId="0" fontId="78" fillId="53" borderId="51" xfId="0" applyFont="1" applyFill="1" applyBorder="1" applyAlignment="1">
      <alignment horizontal="center" vertical="center" wrapText="1"/>
    </xf>
    <xf numFmtId="0" fontId="0" fillId="0" borderId="0" xfId="0" applyAlignment="1">
      <alignment horizontal="center" vertical="center"/>
    </xf>
    <xf numFmtId="16" fontId="0" fillId="0" borderId="0" xfId="0" applyNumberFormat="1" applyAlignment="1">
      <alignment horizontal="center"/>
    </xf>
    <xf numFmtId="6" fontId="0" fillId="0" borderId="0" xfId="0" applyNumberFormat="1" applyAlignment="1">
      <alignment horizontal="center"/>
    </xf>
    <xf numFmtId="0" fontId="75" fillId="0" borderId="0" xfId="0" applyFont="1" applyAlignment="1">
      <alignment horizontal="center"/>
    </xf>
    <xf numFmtId="0" fontId="98" fillId="0" borderId="55" xfId="0" applyFont="1" applyBorder="1" applyAlignment="1">
      <alignment horizontal="center"/>
    </xf>
    <xf numFmtId="14" fontId="14" fillId="0" borderId="0" xfId="0" applyNumberFormat="1" applyFont="1" applyAlignment="1">
      <alignment horizontal="center" vertical="center"/>
    </xf>
    <xf numFmtId="14" fontId="0" fillId="0" borderId="0" xfId="0" applyNumberFormat="1" applyAlignment="1">
      <alignment horizontal="center" vertical="center"/>
    </xf>
    <xf numFmtId="14" fontId="0" fillId="0" borderId="0" xfId="0" applyNumberFormat="1" applyAlignment="1">
      <alignment horizontal="center"/>
    </xf>
    <xf numFmtId="14" fontId="75" fillId="0" borderId="0" xfId="0" applyNumberFormat="1" applyFont="1" applyAlignment="1">
      <alignment horizontal="center"/>
    </xf>
    <xf numFmtId="0" fontId="14" fillId="57" borderId="34" xfId="0" applyFont="1" applyFill="1" applyBorder="1" applyAlignment="1">
      <alignment horizontal="center"/>
    </xf>
    <xf numFmtId="0" fontId="98" fillId="0" borderId="0" xfId="0" applyFont="1" applyAlignment="1">
      <alignment horizontal="center"/>
    </xf>
    <xf numFmtId="0" fontId="0" fillId="0" borderId="55" xfId="0" applyBorder="1" applyAlignment="1">
      <alignment horizontal="center"/>
    </xf>
    <xf numFmtId="1" fontId="0" fillId="2" borderId="0" xfId="0" applyNumberFormat="1" applyFill="1" applyAlignment="1">
      <alignment horizontal="center"/>
    </xf>
    <xf numFmtId="0" fontId="71" fillId="0" borderId="0" xfId="0" applyFont="1"/>
    <xf numFmtId="14" fontId="0" fillId="0" borderId="0" xfId="0" applyNumberFormat="1" applyAlignment="1">
      <alignment horizontal="left"/>
    </xf>
    <xf numFmtId="1" fontId="14" fillId="56" borderId="31" xfId="0" applyNumberFormat="1" applyFont="1" applyFill="1" applyBorder="1" applyAlignment="1">
      <alignment horizontal="center"/>
    </xf>
    <xf numFmtId="168" fontId="14" fillId="56" borderId="31" xfId="0" applyNumberFormat="1" applyFont="1" applyFill="1" applyBorder="1" applyAlignment="1">
      <alignment horizontal="center"/>
    </xf>
    <xf numFmtId="3" fontId="52" fillId="0" borderId="0" xfId="0" applyNumberFormat="1" applyFont="1" applyAlignment="1">
      <alignment horizontal="right"/>
    </xf>
    <xf numFmtId="169" fontId="14" fillId="20" borderId="46" xfId="0" applyNumberFormat="1" applyFont="1" applyFill="1" applyBorder="1" applyAlignment="1">
      <alignment vertical="center"/>
    </xf>
    <xf numFmtId="167" fontId="14" fillId="0" borderId="1" xfId="0" applyNumberFormat="1" applyFont="1" applyBorder="1" applyAlignment="1">
      <alignment horizontal="center"/>
    </xf>
    <xf numFmtId="167" fontId="0" fillId="0" borderId="12" xfId="0" applyNumberFormat="1" applyBorder="1" applyAlignment="1">
      <alignment vertical="top"/>
    </xf>
    <xf numFmtId="167" fontId="0" fillId="0" borderId="1" xfId="0" applyNumberFormat="1" applyBorder="1" applyAlignment="1">
      <alignment vertical="top"/>
    </xf>
    <xf numFmtId="167" fontId="0" fillId="0" borderId="3" xfId="0" applyNumberFormat="1" applyBorder="1" applyAlignment="1">
      <alignment vertical="top"/>
    </xf>
    <xf numFmtId="167" fontId="0" fillId="0" borderId="11" xfId="0" applyNumberFormat="1" applyBorder="1" applyAlignment="1">
      <alignment vertical="top"/>
    </xf>
    <xf numFmtId="167" fontId="0" fillId="0" borderId="9" xfId="0" applyNumberFormat="1" applyBorder="1" applyAlignment="1">
      <alignment vertical="top"/>
    </xf>
    <xf numFmtId="167" fontId="0" fillId="0" borderId="1" xfId="0" applyNumberFormat="1" applyBorder="1"/>
    <xf numFmtId="164" fontId="3" fillId="3" borderId="0" xfId="0" applyNumberFormat="1" applyFont="1" applyFill="1"/>
    <xf numFmtId="0" fontId="21" fillId="0" borderId="3" xfId="0" applyFont="1" applyBorder="1"/>
    <xf numFmtId="0" fontId="21" fillId="0" borderId="1" xfId="0" applyFont="1" applyBorder="1" applyAlignment="1">
      <alignment horizontal="left" vertical="top"/>
    </xf>
    <xf numFmtId="1" fontId="0" fillId="0" borderId="1" xfId="0" applyNumberFormat="1" applyBorder="1" applyAlignment="1">
      <alignment horizontal="center"/>
    </xf>
    <xf numFmtId="0" fontId="97" fillId="6" borderId="0" xfId="0" applyFont="1" applyFill="1"/>
    <xf numFmtId="0" fontId="17" fillId="4" borderId="2" xfId="0" applyFont="1" applyFill="1" applyBorder="1" applyAlignment="1">
      <alignment wrapText="1"/>
    </xf>
    <xf numFmtId="0" fontId="0" fillId="0" borderId="55" xfId="0" applyBorder="1" applyAlignment="1">
      <alignment horizontal="center" vertical="center"/>
    </xf>
    <xf numFmtId="0" fontId="99" fillId="0" borderId="55" xfId="0" applyFont="1" applyBorder="1" applyAlignment="1">
      <alignment horizontal="center"/>
    </xf>
    <xf numFmtId="0" fontId="98" fillId="0" borderId="56" xfId="0" applyFont="1" applyBorder="1" applyAlignment="1">
      <alignment horizontal="center"/>
    </xf>
    <xf numFmtId="0" fontId="100" fillId="0" borderId="55" xfId="0" applyFont="1" applyBorder="1" applyAlignment="1">
      <alignment horizontal="center"/>
    </xf>
    <xf numFmtId="14" fontId="33" fillId="0" borderId="0" xfId="0" applyNumberFormat="1" applyFont="1"/>
    <xf numFmtId="0" fontId="101" fillId="0" borderId="0" xfId="0" applyFont="1"/>
    <xf numFmtId="0" fontId="33" fillId="55" borderId="50" xfId="0" applyFont="1" applyFill="1" applyBorder="1" applyAlignment="1">
      <alignment horizontal="center"/>
    </xf>
    <xf numFmtId="0" fontId="33" fillId="9" borderId="50" xfId="0" applyFont="1" applyFill="1" applyBorder="1" applyAlignment="1">
      <alignment horizontal="center"/>
    </xf>
    <xf numFmtId="0" fontId="60" fillId="56" borderId="50" xfId="0" applyFont="1" applyFill="1" applyBorder="1" applyAlignment="1">
      <alignment horizontal="center"/>
    </xf>
    <xf numFmtId="172" fontId="0" fillId="0" borderId="0" xfId="0" applyNumberFormat="1"/>
    <xf numFmtId="0" fontId="46" fillId="55" borderId="53" xfId="0" applyFont="1" applyFill="1" applyBorder="1" applyAlignment="1">
      <alignment indent="1"/>
    </xf>
    <xf numFmtId="0" fontId="46" fillId="9" borderId="53" xfId="0" applyFont="1" applyFill="1" applyBorder="1" applyAlignment="1">
      <alignment indent="1"/>
    </xf>
    <xf numFmtId="0" fontId="47" fillId="56" borderId="54" xfId="0" applyFont="1" applyFill="1" applyBorder="1" applyAlignment="1">
      <alignment indent="1"/>
    </xf>
    <xf numFmtId="0" fontId="103" fillId="55" borderId="31" xfId="0" applyFont="1" applyFill="1" applyBorder="1" applyAlignment="1">
      <alignment horizontal="center"/>
    </xf>
    <xf numFmtId="0" fontId="103" fillId="9" borderId="31" xfId="0" applyFont="1" applyFill="1" applyBorder="1" applyAlignment="1">
      <alignment horizontal="center"/>
    </xf>
    <xf numFmtId="0" fontId="0" fillId="55" borderId="49" xfId="0" applyFill="1" applyBorder="1" applyAlignment="1">
      <alignment horizontal="center"/>
    </xf>
    <xf numFmtId="0" fontId="0" fillId="9" borderId="49" xfId="0" applyFill="1" applyBorder="1" applyAlignment="1">
      <alignment horizontal="center"/>
    </xf>
    <xf numFmtId="0" fontId="73" fillId="56" borderId="49" xfId="0" applyFont="1" applyFill="1" applyBorder="1" applyAlignment="1">
      <alignment horizontal="center"/>
    </xf>
    <xf numFmtId="0" fontId="0" fillId="55" borderId="31" xfId="0" applyFill="1" applyBorder="1" applyAlignment="1">
      <alignment wrapText="1"/>
    </xf>
    <xf numFmtId="0" fontId="0" fillId="9" borderId="31" xfId="0" applyFill="1" applyBorder="1" applyAlignment="1">
      <alignment wrapText="1"/>
    </xf>
    <xf numFmtId="0" fontId="53" fillId="54" borderId="31" xfId="0" applyFont="1" applyFill="1" applyBorder="1" applyAlignment="1">
      <alignment horizontal="center" wrapText="1"/>
    </xf>
    <xf numFmtId="0" fontId="106" fillId="0" borderId="0" xfId="0" applyFont="1"/>
    <xf numFmtId="0" fontId="14" fillId="56" borderId="31" xfId="0" applyFont="1" applyFill="1" applyBorder="1"/>
    <xf numFmtId="0" fontId="104" fillId="55" borderId="31" xfId="0" applyFont="1" applyFill="1" applyBorder="1"/>
    <xf numFmtId="0" fontId="104" fillId="9" borderId="31" xfId="0" applyFont="1" applyFill="1" applyBorder="1"/>
    <xf numFmtId="0" fontId="108" fillId="0" borderId="0" xfId="2" applyFont="1"/>
    <xf numFmtId="8" fontId="52" fillId="0" borderId="0" xfId="0" applyNumberFormat="1" applyFont="1" applyAlignment="1">
      <alignment horizontal="right"/>
    </xf>
    <xf numFmtId="17" fontId="52" fillId="0" borderId="0" xfId="0" applyNumberFormat="1" applyFont="1" applyAlignment="1">
      <alignment horizontal="left"/>
    </xf>
    <xf numFmtId="0" fontId="109" fillId="54" borderId="31" xfId="0" applyFont="1" applyFill="1" applyBorder="1" applyAlignment="1">
      <alignment horizontal="center"/>
    </xf>
    <xf numFmtId="0" fontId="110" fillId="55" borderId="31" xfId="0" applyFont="1" applyFill="1" applyBorder="1"/>
    <xf numFmtId="1" fontId="110" fillId="55" borderId="31" xfId="0" applyNumberFormat="1" applyFont="1" applyFill="1" applyBorder="1" applyAlignment="1">
      <alignment horizontal="center"/>
    </xf>
    <xf numFmtId="0" fontId="110" fillId="9" borderId="31" xfId="0" applyFont="1" applyFill="1" applyBorder="1"/>
    <xf numFmtId="1" fontId="110" fillId="9" borderId="31" xfId="0" applyNumberFormat="1" applyFont="1" applyFill="1" applyBorder="1" applyAlignment="1">
      <alignment horizontal="center"/>
    </xf>
    <xf numFmtId="0" fontId="111" fillId="56" borderId="31" xfId="0" applyFont="1" applyFill="1" applyBorder="1"/>
    <xf numFmtId="1" fontId="111" fillId="56" borderId="31" xfId="0" applyNumberFormat="1" applyFont="1" applyFill="1" applyBorder="1" applyAlignment="1">
      <alignment horizontal="center"/>
    </xf>
    <xf numFmtId="0" fontId="110" fillId="55" borderId="51" xfId="0" applyFont="1" applyFill="1" applyBorder="1"/>
    <xf numFmtId="1" fontId="110" fillId="55" borderId="51" xfId="0" applyNumberFormat="1" applyFont="1" applyFill="1" applyBorder="1" applyAlignment="1">
      <alignment horizontal="center"/>
    </xf>
    <xf numFmtId="0" fontId="112" fillId="3" borderId="0" xfId="0" applyFont="1" applyFill="1"/>
    <xf numFmtId="0" fontId="113" fillId="0" borderId="0" xfId="2" applyFont="1"/>
    <xf numFmtId="0" fontId="114" fillId="3" borderId="0" xfId="0" applyFont="1" applyFill="1"/>
    <xf numFmtId="0" fontId="115" fillId="0" borderId="0" xfId="0" applyFont="1"/>
    <xf numFmtId="0" fontId="36" fillId="3" borderId="0" xfId="0" applyFont="1" applyFill="1"/>
    <xf numFmtId="0" fontId="116" fillId="0" borderId="0" xfId="2" applyFont="1"/>
    <xf numFmtId="0" fontId="117" fillId="0" borderId="0" xfId="0" applyFont="1"/>
    <xf numFmtId="0" fontId="114" fillId="0" borderId="0" xfId="0" applyFont="1"/>
    <xf numFmtId="0" fontId="19" fillId="0" borderId="0" xfId="0" applyFont="1" applyAlignment="1">
      <alignment horizontal="left"/>
    </xf>
    <xf numFmtId="14" fontId="19" fillId="0" borderId="0" xfId="0" applyNumberFormat="1" applyFont="1" applyAlignment="1">
      <alignment horizontal="center"/>
    </xf>
    <xf numFmtId="0" fontId="19" fillId="0" borderId="0" xfId="0" applyFont="1" applyAlignment="1">
      <alignment vertical="top"/>
    </xf>
    <xf numFmtId="0" fontId="19" fillId="0" borderId="0" xfId="0" applyFont="1" applyAlignment="1">
      <alignment horizontal="left" vertical="top"/>
    </xf>
    <xf numFmtId="14" fontId="19" fillId="0" borderId="0" xfId="0" applyNumberFormat="1" applyFont="1" applyAlignment="1">
      <alignment horizontal="center" vertical="top"/>
    </xf>
    <xf numFmtId="0" fontId="67" fillId="58" borderId="0" xfId="0" applyFont="1" applyFill="1" applyAlignment="1">
      <alignment vertical="top" wrapText="1"/>
    </xf>
    <xf numFmtId="0" fontId="22" fillId="0" borderId="0" xfId="0" applyFont="1" applyAlignment="1">
      <alignment vertical="top"/>
    </xf>
    <xf numFmtId="0" fontId="25" fillId="0" borderId="0" xfId="0" applyFont="1"/>
    <xf numFmtId="0" fontId="71" fillId="0" borderId="27" xfId="0" applyFont="1" applyBorder="1" applyAlignment="1">
      <alignment vertical="top"/>
    </xf>
    <xf numFmtId="16" fontId="71" fillId="0" borderId="27" xfId="0" applyNumberFormat="1" applyFont="1" applyBorder="1" applyAlignment="1">
      <alignment horizontal="left" vertical="top"/>
    </xf>
    <xf numFmtId="0" fontId="71" fillId="0" borderId="27" xfId="0" applyFont="1" applyBorder="1" applyAlignment="1">
      <alignment horizontal="left" vertical="top"/>
    </xf>
    <xf numFmtId="0" fontId="107" fillId="59" borderId="0" xfId="0" applyFont="1" applyFill="1" applyAlignment="1">
      <alignment horizontal="left"/>
    </xf>
    <xf numFmtId="0" fontId="96" fillId="53" borderId="0" xfId="0" applyFont="1" applyFill="1" applyAlignment="1">
      <alignment horizontal="center" vertical="center"/>
    </xf>
    <xf numFmtId="0" fontId="78" fillId="19" borderId="0" xfId="0" applyFont="1" applyFill="1" applyAlignment="1">
      <alignment horizontal="center" vertical="center"/>
    </xf>
    <xf numFmtId="0" fontId="92" fillId="53" borderId="0" xfId="0" applyFont="1" applyFill="1" applyAlignment="1">
      <alignment horizontal="center"/>
    </xf>
    <xf numFmtId="0" fontId="77" fillId="19" borderId="0" xfId="0" applyFont="1" applyFill="1" applyAlignment="1">
      <alignment horizontal="center" vertical="center"/>
    </xf>
    <xf numFmtId="0" fontId="78" fillId="53" borderId="0" xfId="0" applyFont="1" applyFill="1" applyAlignment="1">
      <alignment horizontal="center" vertical="center"/>
    </xf>
    <xf numFmtId="0" fontId="102" fillId="0" borderId="0" xfId="0" applyFont="1" applyAlignment="1">
      <alignment horizontal="center" vertical="center"/>
    </xf>
    <xf numFmtId="0" fontId="96" fillId="53" borderId="0" xfId="0" applyFont="1" applyFill="1" applyAlignment="1">
      <alignment horizontal="center"/>
    </xf>
    <xf numFmtId="0" fontId="105" fillId="53" borderId="0" xfId="0" applyFont="1" applyFill="1" applyAlignment="1">
      <alignment horizontal="left"/>
    </xf>
    <xf numFmtId="0" fontId="96" fillId="53" borderId="49" xfId="0" applyFont="1" applyFill="1" applyBorder="1" applyAlignment="1">
      <alignment horizontal="center"/>
    </xf>
    <xf numFmtId="0" fontId="96" fillId="53" borderId="57" xfId="0" applyFont="1" applyFill="1" applyBorder="1" applyAlignment="1">
      <alignment horizontal="center"/>
    </xf>
    <xf numFmtId="0" fontId="96" fillId="53" borderId="50" xfId="0" applyFont="1" applyFill="1" applyBorder="1" applyAlignment="1">
      <alignment horizontal="center"/>
    </xf>
    <xf numFmtId="0" fontId="76" fillId="2" borderId="0" xfId="0" applyFont="1" applyFill="1" applyAlignment="1">
      <alignment horizontal="center" vertical="center"/>
    </xf>
    <xf numFmtId="0" fontId="74" fillId="2" borderId="0" xfId="0" applyFont="1" applyFill="1" applyAlignment="1">
      <alignment horizontal="center" vertical="center"/>
    </xf>
    <xf numFmtId="0" fontId="9" fillId="3" borderId="0" xfId="0" applyFont="1" applyFill="1" applyAlignment="1">
      <alignment horizontal="center"/>
    </xf>
    <xf numFmtId="0" fontId="10" fillId="2" borderId="0" xfId="0" applyFont="1" applyFill="1" applyAlignment="1">
      <alignment horizontal="left"/>
    </xf>
    <xf numFmtId="0" fontId="10" fillId="2" borderId="48" xfId="0" applyFont="1" applyFill="1" applyBorder="1" applyAlignment="1">
      <alignment horizontal="left"/>
    </xf>
    <xf numFmtId="0" fontId="10" fillId="2" borderId="47" xfId="0" applyFont="1" applyFill="1" applyBorder="1" applyAlignment="1">
      <alignment horizontal="left" vertical="center"/>
    </xf>
    <xf numFmtId="0" fontId="10" fillId="2" borderId="0" xfId="0" applyFont="1" applyFill="1" applyAlignment="1">
      <alignment horizontal="left" vertical="center"/>
    </xf>
    <xf numFmtId="170" fontId="10" fillId="2" borderId="48" xfId="0" applyNumberFormat="1" applyFont="1" applyFill="1" applyBorder="1" applyAlignment="1">
      <alignment horizontal="center" vertical="center"/>
    </xf>
    <xf numFmtId="170" fontId="10" fillId="2" borderId="47" xfId="0" applyNumberFormat="1" applyFont="1" applyFill="1" applyBorder="1" applyAlignment="1">
      <alignment horizontal="center" vertical="center"/>
    </xf>
    <xf numFmtId="170" fontId="10" fillId="2" borderId="0" xfId="0" applyNumberFormat="1" applyFont="1" applyFill="1" applyAlignment="1">
      <alignment horizontal="center" vertical="center"/>
    </xf>
    <xf numFmtId="0" fontId="10" fillId="2" borderId="47" xfId="0" applyFont="1" applyFill="1" applyBorder="1" applyAlignment="1">
      <alignment horizontal="center" vertical="center"/>
    </xf>
    <xf numFmtId="0" fontId="10" fillId="2" borderId="0" xfId="0" applyFont="1" applyFill="1" applyAlignment="1">
      <alignment horizontal="center" vertical="center"/>
    </xf>
    <xf numFmtId="0" fontId="10" fillId="2" borderId="48" xfId="0" applyFont="1" applyFill="1" applyBorder="1" applyAlignment="1">
      <alignment horizontal="center" vertical="center"/>
    </xf>
    <xf numFmtId="0" fontId="0" fillId="0" borderId="0" xfId="0" applyAlignment="1"/>
    <xf numFmtId="0" fontId="3" fillId="0" borderId="0" xfId="0" applyFont="1" applyAlignment="1"/>
    <xf numFmtId="0" fontId="4" fillId="0" borderId="0" xfId="0" applyFont="1" applyAlignment="1"/>
  </cellXfs>
  <cellStyles count="45">
    <cellStyle name="20% - Accent1" xfId="22" builtinId="30" customBuiltin="1"/>
    <cellStyle name="20% - Accent2" xfId="26" builtinId="34" customBuiltin="1"/>
    <cellStyle name="20% - Accent3" xfId="30" builtinId="38" customBuiltin="1"/>
    <cellStyle name="20% - Accent4" xfId="34" builtinId="42" customBuiltin="1"/>
    <cellStyle name="20% - Accent5" xfId="38" builtinId="46" customBuiltin="1"/>
    <cellStyle name="20% - Accent6" xfId="42" builtinId="50" customBuiltin="1"/>
    <cellStyle name="40% - Accent1" xfId="23" builtinId="31" customBuiltin="1"/>
    <cellStyle name="40% - Accent2" xfId="27" builtinId="35" customBuiltin="1"/>
    <cellStyle name="40% - Accent3" xfId="31" builtinId="39" customBuiltin="1"/>
    <cellStyle name="40% - Accent4" xfId="35" builtinId="43" customBuiltin="1"/>
    <cellStyle name="40% - Accent5" xfId="39" builtinId="47" customBuiltin="1"/>
    <cellStyle name="40% - Accent6" xfId="43" builtinId="51" customBuiltin="1"/>
    <cellStyle name="60% - Accent1" xfId="24" builtinId="32" customBuiltin="1"/>
    <cellStyle name="60% - Accent2" xfId="28" builtinId="36" customBuiltin="1"/>
    <cellStyle name="60% - Accent3" xfId="32" builtinId="40" customBuiltin="1"/>
    <cellStyle name="60% - Accent4" xfId="36" builtinId="44" customBuiltin="1"/>
    <cellStyle name="60% - Accent5" xfId="40" builtinId="48" customBuiltin="1"/>
    <cellStyle name="60% - Accent6" xfId="44" builtinId="52" customBuiltin="1"/>
    <cellStyle name="Accent1" xfId="21" builtinId="29" customBuiltin="1"/>
    <cellStyle name="Accent2" xfId="25" builtinId="33" customBuiltin="1"/>
    <cellStyle name="Accent3" xfId="29" builtinId="37" customBuiltin="1"/>
    <cellStyle name="Accent4" xfId="33" builtinId="41" customBuiltin="1"/>
    <cellStyle name="Accent5" xfId="37" builtinId="45" customBuiltin="1"/>
    <cellStyle name="Accent6" xfId="41" builtinId="49" customBuiltin="1"/>
    <cellStyle name="Bad" xfId="10" builtinId="27" customBuiltin="1"/>
    <cellStyle name="Calculation" xfId="14" builtinId="22" customBuiltin="1"/>
    <cellStyle name="Check Cell" xfId="16" builtinId="23" customBuiltin="1"/>
    <cellStyle name="Explanatory Text" xfId="19" builtinId="53" customBuiltin="1"/>
    <cellStyle name="Good" xfId="9" builtinId="26" customBuiltin="1"/>
    <cellStyle name="Heading 1" xfId="5" builtinId="16" customBuiltin="1"/>
    <cellStyle name="Heading 2" xfId="6" builtinId="17" customBuiltin="1"/>
    <cellStyle name="Heading 3" xfId="7" builtinId="18" customBuiltin="1"/>
    <cellStyle name="Heading 4" xfId="8" builtinId="19" customBuiltin="1"/>
    <cellStyle name="Hyperlink" xfId="2" builtinId="8"/>
    <cellStyle name="Input" xfId="12" builtinId="20" customBuiltin="1"/>
    <cellStyle name="Linked Cell" xfId="15" builtinId="24" customBuiltin="1"/>
    <cellStyle name="Neutral" xfId="11" builtinId="28" customBuiltin="1"/>
    <cellStyle name="Normal" xfId="0" builtinId="0"/>
    <cellStyle name="Normal 2 2 2" xfId="3" xr:uid="{00000000-0005-0000-0000-000003000000}"/>
    <cellStyle name="Note" xfId="18" builtinId="10" customBuiltin="1"/>
    <cellStyle name="Output" xfId="13" builtinId="21" customBuiltin="1"/>
    <cellStyle name="Percent" xfId="1" builtinId="5"/>
    <cellStyle name="Title" xfId="4" builtinId="15" customBuiltin="1"/>
    <cellStyle name="Total" xfId="20" builtinId="25" customBuiltin="1"/>
    <cellStyle name="Warning Text" xfId="17" builtinId="11" customBuiltin="1"/>
  </cellStyles>
  <dxfs count="49">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9" formatCode="m/d/yyyy"/>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solid">
          <fgColor indexed="64"/>
          <bgColor rgb="FFFFFF00"/>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1" formatCode="0"/>
    </dxf>
    <dxf>
      <numFmt numFmtId="0" formatCode="General"/>
    </dxf>
    <dxf>
      <numFmt numFmtId="19" formatCode="m/d/yyyy"/>
    </dxf>
    <dxf>
      <numFmt numFmtId="19" formatCode="m/d/yyyy"/>
    </dxf>
    <dxf>
      <numFmt numFmtId="1" formatCode="0"/>
    </dxf>
    <dxf>
      <numFmt numFmtId="1" formatCode="0"/>
    </dxf>
    <dxf>
      <numFmt numFmtId="1" formatCode="0"/>
    </dxf>
    <dxf>
      <numFmt numFmtId="1" formatCode="0"/>
    </dxf>
    <dxf>
      <numFmt numFmtId="19" formatCode="m/d/yyyy"/>
    </dxf>
    <dxf>
      <numFmt numFmtId="19" formatCode="m/d/yyyy"/>
    </dxf>
    <dxf>
      <numFmt numFmtId="1" formatCode="0"/>
    </dxf>
    <dxf>
      <numFmt numFmtId="1" formatCode="0"/>
    </dxf>
    <dxf>
      <numFmt numFmtId="19" formatCode="m/d/yyyy"/>
    </dxf>
    <dxf>
      <numFmt numFmtId="2" formatCode="0.00"/>
    </dxf>
    <dxf>
      <numFmt numFmtId="0" formatCode="General"/>
    </dxf>
    <dxf>
      <numFmt numFmtId="0" formatCode="General"/>
    </dxf>
    <dxf>
      <numFmt numFmtId="0" formatCode="General"/>
    </dxf>
    <dxf>
      <numFmt numFmtId="19" formatCode="m/d/yyyy"/>
    </dxf>
    <dxf>
      <numFmt numFmtId="0" formatCode="General"/>
    </dxf>
    <dxf>
      <numFmt numFmtId="19" formatCode="m/d/yyyy"/>
    </dxf>
    <dxf>
      <numFmt numFmtId="19" formatCode="m/d/yyyy"/>
    </dxf>
    <dxf>
      <numFmt numFmtId="19" formatCode="m/d/yyyy"/>
    </dxf>
    <dxf>
      <numFmt numFmtId="0" formatCode="General"/>
    </dxf>
    <dxf>
      <font>
        <color rgb="FF3FA34D"/>
      </font>
    </dxf>
    <dxf>
      <font>
        <color rgb="FFFF0000"/>
      </font>
    </dxf>
    <dxf>
      <font>
        <color rgb="FF3FA34D"/>
      </font>
    </dxf>
    <dxf>
      <font>
        <color rgb="FFFF0000"/>
      </font>
    </dxf>
  </dxfs>
  <tableStyles count="0" defaultTableStyle="TableStyleMedium2" defaultPivotStyle="PivotStyleLight16"/>
  <colors>
    <mruColors>
      <color rgb="FF1F4E78"/>
      <color rgb="FFD9D9D9"/>
      <color rgb="FF3FA34D"/>
      <color rgb="FF6B6B6B"/>
      <color rgb="FFC00000"/>
      <color rgb="FFD9EAD3"/>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Spend</a:t>
            </a:r>
            <a:r>
              <a:rPr lang="en-US" baseline="0"/>
              <a:t> vs. Amount Created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'Marketing Dashboard'!$C$7</c:f>
              <c:strCache>
                <c:ptCount val="1"/>
                <c:pt idx="0">
                  <c:v>Spend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 Dashboard'!$B$8:$B$11</c:f>
              <c:strCache>
                <c:ptCount val="4"/>
                <c:pt idx="0">
                  <c:v>Digital</c:v>
                </c:pt>
                <c:pt idx="1">
                  <c:v>Events</c:v>
                </c:pt>
                <c:pt idx="2">
                  <c:v>Cold</c:v>
                </c:pt>
                <c:pt idx="3">
                  <c:v>Alliances</c:v>
                </c:pt>
              </c:strCache>
            </c:strRef>
          </c:cat>
          <c:val>
            <c:numRef>
              <c:f>'Marketing Dashboard'!$C$8:$C$11</c:f>
              <c:numCache>
                <c:formatCode>"$"#,##0</c:formatCode>
                <c:ptCount val="4"/>
                <c:pt idx="0">
                  <c:v>470640.59330299986</c:v>
                </c:pt>
                <c:pt idx="1">
                  <c:v>829384</c:v>
                </c:pt>
                <c:pt idx="2">
                  <c:v>479675</c:v>
                </c:pt>
                <c:pt idx="3">
                  <c:v>188072.09999999998</c:v>
                </c:pt>
              </c:numCache>
            </c:numRef>
          </c:val>
          <c:extLst>
            <c:ext xmlns:c16="http://schemas.microsoft.com/office/drawing/2014/chart" uri="{C3380CC4-5D6E-409C-BE32-E72D297353CC}">
              <c16:uniqueId val="{00000000-75AD-4213-A3A9-D5C5ADA3A899}"/>
            </c:ext>
          </c:extLst>
        </c:ser>
        <c:ser>
          <c:idx val="1"/>
          <c:order val="1"/>
          <c:tx>
            <c:strRef>
              <c:f>'Marketing Dashboard'!$H$7</c:f>
              <c:strCache>
                <c:ptCount val="1"/>
                <c:pt idx="0">
                  <c:v>Total Amount Created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 Dashboard'!$B$8:$B$11</c:f>
              <c:strCache>
                <c:ptCount val="4"/>
                <c:pt idx="0">
                  <c:v>Digital</c:v>
                </c:pt>
                <c:pt idx="1">
                  <c:v>Events</c:v>
                </c:pt>
                <c:pt idx="2">
                  <c:v>Cold</c:v>
                </c:pt>
                <c:pt idx="3">
                  <c:v>Alliances</c:v>
                </c:pt>
              </c:strCache>
            </c:strRef>
          </c:cat>
          <c:val>
            <c:numRef>
              <c:f>'Marketing Dashboard'!$H$8:$H$11</c:f>
              <c:numCache>
                <c:formatCode>"$"#,##0</c:formatCode>
                <c:ptCount val="4"/>
                <c:pt idx="0">
                  <c:v>10457055</c:v>
                </c:pt>
                <c:pt idx="1">
                  <c:v>9920447.5999999996</c:v>
                </c:pt>
                <c:pt idx="2">
                  <c:v>10098778.199999999</c:v>
                </c:pt>
                <c:pt idx="3">
                  <c:v>30153720.159999996</c:v>
                </c:pt>
              </c:numCache>
            </c:numRef>
          </c:val>
          <c:extLst>
            <c:ext xmlns:c16="http://schemas.microsoft.com/office/drawing/2014/chart" uri="{C3380CC4-5D6E-409C-BE32-E72D297353CC}">
              <c16:uniqueId val="{00000002-75AD-4213-A3A9-D5C5ADA3A899}"/>
            </c:ext>
          </c:extLst>
        </c:ser>
        <c:dLbls>
          <c:dLblPos val="outEnd"/>
          <c:showLegendKey val="0"/>
          <c:showVal val="1"/>
          <c:showCatName val="0"/>
          <c:showSerName val="0"/>
          <c:showPercent val="0"/>
          <c:showBubbleSize val="0"/>
        </c:dLbls>
        <c:gapWidth val="219"/>
        <c:overlap val="-27"/>
        <c:axId val="230686943"/>
        <c:axId val="230690303"/>
      </c:barChart>
      <c:catAx>
        <c:axId val="23068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0690303"/>
        <c:crosses val="autoZero"/>
        <c:auto val="1"/>
        <c:lblAlgn val="ctr"/>
        <c:lblOffset val="100"/>
        <c:noMultiLvlLbl val="0"/>
      </c:catAx>
      <c:valAx>
        <c:axId val="2306903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068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Channel</a:t>
            </a:r>
            <a:r>
              <a:rPr lang="en-US" baseline="0"/>
              <a:t> Counts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'Marketing Dashboard'!$D$7</c:f>
              <c:strCache>
                <c:ptCount val="1"/>
                <c:pt idx="0">
                  <c:v>MQL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 Dashboard'!$B$8:$B$11</c:f>
              <c:strCache>
                <c:ptCount val="4"/>
                <c:pt idx="0">
                  <c:v>Digital</c:v>
                </c:pt>
                <c:pt idx="1">
                  <c:v>Events</c:v>
                </c:pt>
                <c:pt idx="2">
                  <c:v>Cold</c:v>
                </c:pt>
                <c:pt idx="3">
                  <c:v>Alliances</c:v>
                </c:pt>
              </c:strCache>
            </c:strRef>
          </c:cat>
          <c:val>
            <c:numRef>
              <c:f>'Marketing Dashboard'!$D$8:$D$11</c:f>
              <c:numCache>
                <c:formatCode>General</c:formatCode>
                <c:ptCount val="4"/>
                <c:pt idx="0">
                  <c:v>59</c:v>
                </c:pt>
                <c:pt idx="1">
                  <c:v>471</c:v>
                </c:pt>
                <c:pt idx="2">
                  <c:v>178</c:v>
                </c:pt>
                <c:pt idx="3">
                  <c:v>114</c:v>
                </c:pt>
              </c:numCache>
            </c:numRef>
          </c:val>
          <c:extLst>
            <c:ext xmlns:c16="http://schemas.microsoft.com/office/drawing/2014/chart" uri="{C3380CC4-5D6E-409C-BE32-E72D297353CC}">
              <c16:uniqueId val="{00000000-627F-4519-BE86-D32179F8CC9C}"/>
            </c:ext>
          </c:extLst>
        </c:ser>
        <c:ser>
          <c:idx val="1"/>
          <c:order val="1"/>
          <c:tx>
            <c:strRef>
              <c:f>'Marketing Dashboard'!$E$7</c:f>
              <c:strCache>
                <c:ptCount val="1"/>
                <c:pt idx="0">
                  <c:v>MQA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 Dashboard'!$B$8:$B$11</c:f>
              <c:strCache>
                <c:ptCount val="4"/>
                <c:pt idx="0">
                  <c:v>Digital</c:v>
                </c:pt>
                <c:pt idx="1">
                  <c:v>Events</c:v>
                </c:pt>
                <c:pt idx="2">
                  <c:v>Cold</c:v>
                </c:pt>
                <c:pt idx="3">
                  <c:v>Alliances</c:v>
                </c:pt>
              </c:strCache>
            </c:strRef>
          </c:cat>
          <c:val>
            <c:numRef>
              <c:f>'Marketing Dashboard'!$E$8:$E$11</c:f>
              <c:numCache>
                <c:formatCode>General</c:formatCode>
                <c:ptCount val="4"/>
                <c:pt idx="0">
                  <c:v>52</c:v>
                </c:pt>
                <c:pt idx="1">
                  <c:v>331</c:v>
                </c:pt>
                <c:pt idx="2">
                  <c:v>138</c:v>
                </c:pt>
                <c:pt idx="3">
                  <c:v>107</c:v>
                </c:pt>
              </c:numCache>
            </c:numRef>
          </c:val>
          <c:extLst>
            <c:ext xmlns:c16="http://schemas.microsoft.com/office/drawing/2014/chart" uri="{C3380CC4-5D6E-409C-BE32-E72D297353CC}">
              <c16:uniqueId val="{00000001-627F-4519-BE86-D32179F8CC9C}"/>
            </c:ext>
          </c:extLst>
        </c:ser>
        <c:ser>
          <c:idx val="2"/>
          <c:order val="2"/>
          <c:tx>
            <c:strRef>
              <c:f>'Marketing Dashboard'!$F$7</c:f>
              <c:strCache>
                <c:ptCount val="1"/>
                <c:pt idx="0">
                  <c:v>Meetings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 Dashboard'!$B$8:$B$11</c:f>
              <c:strCache>
                <c:ptCount val="4"/>
                <c:pt idx="0">
                  <c:v>Digital</c:v>
                </c:pt>
                <c:pt idx="1">
                  <c:v>Events</c:v>
                </c:pt>
                <c:pt idx="2">
                  <c:v>Cold</c:v>
                </c:pt>
                <c:pt idx="3">
                  <c:v>Alliances</c:v>
                </c:pt>
              </c:strCache>
            </c:strRef>
          </c:cat>
          <c:val>
            <c:numRef>
              <c:f>'Marketing Dashboard'!$F$8:$F$11</c:f>
              <c:numCache>
                <c:formatCode>General</c:formatCode>
                <c:ptCount val="4"/>
                <c:pt idx="0" formatCode="0">
                  <c:v>23</c:v>
                </c:pt>
                <c:pt idx="1">
                  <c:v>34</c:v>
                </c:pt>
                <c:pt idx="2">
                  <c:v>141</c:v>
                </c:pt>
                <c:pt idx="3">
                  <c:v>71</c:v>
                </c:pt>
              </c:numCache>
            </c:numRef>
          </c:val>
          <c:extLst>
            <c:ext xmlns:c16="http://schemas.microsoft.com/office/drawing/2014/chart" uri="{C3380CC4-5D6E-409C-BE32-E72D297353CC}">
              <c16:uniqueId val="{00000002-627F-4519-BE86-D32179F8CC9C}"/>
            </c:ext>
          </c:extLst>
        </c:ser>
        <c:ser>
          <c:idx val="3"/>
          <c:order val="3"/>
          <c:tx>
            <c:strRef>
              <c:f>'Marketing Dashboard'!$G$7</c:f>
              <c:strCache>
                <c:ptCount val="1"/>
                <c:pt idx="0">
                  <c:v>Opps Created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'Marketing Dashboard'!$B$8:$B$11</c:f>
              <c:strCache>
                <c:ptCount val="4"/>
                <c:pt idx="0">
                  <c:v>Digital</c:v>
                </c:pt>
                <c:pt idx="1">
                  <c:v>Events</c:v>
                </c:pt>
                <c:pt idx="2">
                  <c:v>Cold</c:v>
                </c:pt>
                <c:pt idx="3">
                  <c:v>Alliances</c:v>
                </c:pt>
              </c:strCache>
            </c:strRef>
          </c:cat>
          <c:val>
            <c:numRef>
              <c:f>'Marketing Dashboard'!$G$8:$G$11</c:f>
              <c:numCache>
                <c:formatCode>0</c:formatCode>
                <c:ptCount val="4"/>
                <c:pt idx="0">
                  <c:v>20</c:v>
                </c:pt>
                <c:pt idx="1">
                  <c:v>30</c:v>
                </c:pt>
                <c:pt idx="2" formatCode="General">
                  <c:v>27</c:v>
                </c:pt>
                <c:pt idx="3" formatCode="General">
                  <c:v>56</c:v>
                </c:pt>
              </c:numCache>
            </c:numRef>
          </c:val>
          <c:extLst>
            <c:ext xmlns:c16="http://schemas.microsoft.com/office/drawing/2014/chart" uri="{C3380CC4-5D6E-409C-BE32-E72D297353CC}">
              <c16:uniqueId val="{00000003-627F-4519-BE86-D32179F8CC9C}"/>
            </c:ext>
          </c:extLst>
        </c:ser>
        <c:dLbls>
          <c:dLblPos val="outEnd"/>
          <c:showLegendKey val="0"/>
          <c:showVal val="1"/>
          <c:showCatName val="0"/>
          <c:showSerName val="0"/>
          <c:showPercent val="0"/>
          <c:showBubbleSize val="0"/>
        </c:dLbls>
        <c:gapWidth val="182"/>
        <c:axId val="1206865023"/>
        <c:axId val="1206863103"/>
      </c:barChart>
      <c:catAx>
        <c:axId val="1206865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863103"/>
        <c:crosses val="autoZero"/>
        <c:auto val="1"/>
        <c:lblAlgn val="ctr"/>
        <c:lblOffset val="100"/>
        <c:noMultiLvlLbl val="0"/>
      </c:catAx>
      <c:valAx>
        <c:axId val="1206863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86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Efficiency Rates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'Marketing Dashboard'!$N$7</c:f>
              <c:strCache>
                <c:ptCount val="1"/>
                <c:pt idx="0">
                  <c:v>Meeting Rate (Meetings/MQL)</c:v>
                </c:pt>
              </c:strCache>
            </c:strRef>
          </c:tx>
          <c:spPr>
            <a:solidFill>
              <a:schemeClr val="accent1"/>
            </a:solidFill>
            <a:ln>
              <a:noFill/>
            </a:ln>
            <a:effectLst/>
          </c:spPr>
          <c:invertIfNegative val="0"/>
          <c:cat>
            <c:strRef>
              <c:f>'Marketing Dashboard'!$B$8:$B$11</c:f>
              <c:strCache>
                <c:ptCount val="4"/>
                <c:pt idx="0">
                  <c:v>Digital</c:v>
                </c:pt>
                <c:pt idx="1">
                  <c:v>Events</c:v>
                </c:pt>
                <c:pt idx="2">
                  <c:v>Cold</c:v>
                </c:pt>
                <c:pt idx="3">
                  <c:v>Alliances</c:v>
                </c:pt>
              </c:strCache>
            </c:strRef>
          </c:cat>
          <c:val>
            <c:numRef>
              <c:f>'Marketing Dashboard'!$N$8:$N$11</c:f>
              <c:numCache>
                <c:formatCode>0.0%</c:formatCode>
                <c:ptCount val="4"/>
                <c:pt idx="0">
                  <c:v>0.38983050847457629</c:v>
                </c:pt>
                <c:pt idx="1">
                  <c:v>7.2186836518046707E-2</c:v>
                </c:pt>
                <c:pt idx="2">
                  <c:v>0.7921348314606742</c:v>
                </c:pt>
                <c:pt idx="3">
                  <c:v>0.6228070175438597</c:v>
                </c:pt>
              </c:numCache>
            </c:numRef>
          </c:val>
          <c:extLst>
            <c:ext xmlns:c16="http://schemas.microsoft.com/office/drawing/2014/chart" uri="{C3380CC4-5D6E-409C-BE32-E72D297353CC}">
              <c16:uniqueId val="{00000000-9561-44CD-8C26-0A03AA2F32CB}"/>
            </c:ext>
          </c:extLst>
        </c:ser>
        <c:ser>
          <c:idx val="1"/>
          <c:order val="1"/>
          <c:tx>
            <c:strRef>
              <c:f>'Marketing Dashboard'!$P$7</c:f>
              <c:strCache>
                <c:ptCount val="1"/>
                <c:pt idx="0">
                  <c:v>Opp Rate</c:v>
                </c:pt>
              </c:strCache>
            </c:strRef>
          </c:tx>
          <c:spPr>
            <a:solidFill>
              <a:schemeClr val="accent2"/>
            </a:solidFill>
            <a:ln>
              <a:noFill/>
            </a:ln>
            <a:effectLst/>
          </c:spPr>
          <c:invertIfNegative val="0"/>
          <c:cat>
            <c:strRef>
              <c:f>'Marketing Dashboard'!$B$8:$B$11</c:f>
              <c:strCache>
                <c:ptCount val="4"/>
                <c:pt idx="0">
                  <c:v>Digital</c:v>
                </c:pt>
                <c:pt idx="1">
                  <c:v>Events</c:v>
                </c:pt>
                <c:pt idx="2">
                  <c:v>Cold</c:v>
                </c:pt>
                <c:pt idx="3">
                  <c:v>Alliances</c:v>
                </c:pt>
              </c:strCache>
            </c:strRef>
          </c:cat>
          <c:val>
            <c:numRef>
              <c:f>'Marketing Dashboard'!$P$8:$P$11</c:f>
              <c:numCache>
                <c:formatCode>0.0%</c:formatCode>
                <c:ptCount val="4"/>
                <c:pt idx="0">
                  <c:v>0.86956521739130432</c:v>
                </c:pt>
                <c:pt idx="1">
                  <c:v>0.88235294117647056</c:v>
                </c:pt>
                <c:pt idx="2">
                  <c:v>0.19148936170212766</c:v>
                </c:pt>
                <c:pt idx="3">
                  <c:v>0.78873239436619713</c:v>
                </c:pt>
              </c:numCache>
            </c:numRef>
          </c:val>
          <c:extLst>
            <c:ext xmlns:c16="http://schemas.microsoft.com/office/drawing/2014/chart" uri="{C3380CC4-5D6E-409C-BE32-E72D297353CC}">
              <c16:uniqueId val="{00000001-9561-44CD-8C26-0A03AA2F32CB}"/>
            </c:ext>
          </c:extLst>
        </c:ser>
        <c:ser>
          <c:idx val="2"/>
          <c:order val="2"/>
          <c:tx>
            <c:strRef>
              <c:f>'Marketing Dashboard'!$Q$7</c:f>
              <c:strCache>
                <c:ptCount val="1"/>
                <c:pt idx="0">
                  <c:v>Spend / $ Created</c:v>
                </c:pt>
              </c:strCache>
            </c:strRef>
          </c:tx>
          <c:spPr>
            <a:solidFill>
              <a:schemeClr val="accent3"/>
            </a:solidFill>
            <a:ln>
              <a:noFill/>
            </a:ln>
            <a:effectLst/>
          </c:spPr>
          <c:invertIfNegative val="0"/>
          <c:cat>
            <c:strRef>
              <c:f>'Marketing Dashboard'!$B$8:$B$11</c:f>
              <c:strCache>
                <c:ptCount val="4"/>
                <c:pt idx="0">
                  <c:v>Digital</c:v>
                </c:pt>
                <c:pt idx="1">
                  <c:v>Events</c:v>
                </c:pt>
                <c:pt idx="2">
                  <c:v>Cold</c:v>
                </c:pt>
                <c:pt idx="3">
                  <c:v>Alliances</c:v>
                </c:pt>
              </c:strCache>
            </c:strRef>
          </c:cat>
          <c:val>
            <c:numRef>
              <c:f>'Marketing Dashboard'!$Q$8:$Q$11</c:f>
              <c:numCache>
                <c:formatCode>0.00\x</c:formatCode>
                <c:ptCount val="4"/>
                <c:pt idx="0">
                  <c:v>17.266434548216441</c:v>
                </c:pt>
                <c:pt idx="1">
                  <c:v>8.6020559837180368</c:v>
                </c:pt>
                <c:pt idx="2">
                  <c:v>14.513076562255694</c:v>
                </c:pt>
                <c:pt idx="3">
                  <c:v>96.322209195303287</c:v>
                </c:pt>
              </c:numCache>
            </c:numRef>
          </c:val>
          <c:extLst>
            <c:ext xmlns:c16="http://schemas.microsoft.com/office/drawing/2014/chart" uri="{C3380CC4-5D6E-409C-BE32-E72D297353CC}">
              <c16:uniqueId val="{00000002-9561-44CD-8C26-0A03AA2F32CB}"/>
            </c:ext>
          </c:extLst>
        </c:ser>
        <c:dLbls>
          <c:showLegendKey val="0"/>
          <c:showVal val="0"/>
          <c:showCatName val="0"/>
          <c:showSerName val="0"/>
          <c:showPercent val="0"/>
          <c:showBubbleSize val="0"/>
        </c:dLbls>
        <c:gapWidth val="219"/>
        <c:overlap val="-27"/>
        <c:axId val="1206864063"/>
        <c:axId val="1206872703"/>
      </c:barChart>
      <c:catAx>
        <c:axId val="120686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872703"/>
        <c:crosses val="autoZero"/>
        <c:auto val="1"/>
        <c:lblAlgn val="ctr"/>
        <c:lblOffset val="100"/>
        <c:noMultiLvlLbl val="0"/>
      </c:catAx>
      <c:valAx>
        <c:axId val="12068727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8640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12-Month Total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'Marketing Dashboard'!$C$16</c:f>
              <c:strCache>
                <c:ptCount val="1"/>
                <c:pt idx="0">
                  <c:v>Opps Created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'Marketing Dashboard'!$B$17:$B$28</c:f>
              <c:numCache>
                <c:formatCode>mmm\-yy</c:formatCode>
                <c:ptCount val="12"/>
                <c:pt idx="0">
                  <c:v>45900</c:v>
                </c:pt>
                <c:pt idx="1">
                  <c:v>45930</c:v>
                </c:pt>
                <c:pt idx="2">
                  <c:v>45961</c:v>
                </c:pt>
                <c:pt idx="3">
                  <c:v>45991</c:v>
                </c:pt>
                <c:pt idx="4">
                  <c:v>46022</c:v>
                </c:pt>
                <c:pt idx="5">
                  <c:v>46053</c:v>
                </c:pt>
                <c:pt idx="6">
                  <c:v>46081</c:v>
                </c:pt>
                <c:pt idx="7">
                  <c:v>46112</c:v>
                </c:pt>
                <c:pt idx="8">
                  <c:v>46142</c:v>
                </c:pt>
                <c:pt idx="9">
                  <c:v>46173</c:v>
                </c:pt>
                <c:pt idx="10">
                  <c:v>46203</c:v>
                </c:pt>
                <c:pt idx="11">
                  <c:v>46234</c:v>
                </c:pt>
              </c:numCache>
            </c:numRef>
          </c:cat>
          <c:val>
            <c:numRef>
              <c:f>'Marketing Dashboard'!$C$17:$C$28</c:f>
              <c:numCache>
                <c:formatCode>General</c:formatCode>
                <c:ptCount val="12"/>
                <c:pt idx="0">
                  <c:v>5</c:v>
                </c:pt>
                <c:pt idx="1">
                  <c:v>12</c:v>
                </c:pt>
                <c:pt idx="2">
                  <c:v>7</c:v>
                </c:pt>
                <c:pt idx="3">
                  <c:v>6</c:v>
                </c:pt>
                <c:pt idx="4">
                  <c:v>7</c:v>
                </c:pt>
                <c:pt idx="5">
                  <c:v>6</c:v>
                </c:pt>
                <c:pt idx="6">
                  <c:v>6</c:v>
                </c:pt>
                <c:pt idx="7">
                  <c:v>6</c:v>
                </c:pt>
                <c:pt idx="8">
                  <c:v>5</c:v>
                </c:pt>
                <c:pt idx="9">
                  <c:v>7</c:v>
                </c:pt>
                <c:pt idx="10">
                  <c:v>5</c:v>
                </c:pt>
                <c:pt idx="11">
                  <c:v>10</c:v>
                </c:pt>
              </c:numCache>
            </c:numRef>
          </c:val>
          <c:extLst>
            <c:ext xmlns:c16="http://schemas.microsoft.com/office/drawing/2014/chart" uri="{C3380CC4-5D6E-409C-BE32-E72D297353CC}">
              <c16:uniqueId val="{00000000-D7A4-4F88-B8D8-A2087AB5BC08}"/>
            </c:ext>
          </c:extLst>
        </c:ser>
        <c:dLbls>
          <c:showLegendKey val="0"/>
          <c:showVal val="0"/>
          <c:showCatName val="0"/>
          <c:showSerName val="0"/>
          <c:showPercent val="0"/>
          <c:showBubbleSize val="0"/>
        </c:dLbls>
        <c:gapWidth val="219"/>
        <c:axId val="1053687407"/>
        <c:axId val="1053685967"/>
      </c:barChart>
      <c:lineChart>
        <c:grouping val="standard"/>
        <c:varyColors val="0"/>
        <c:ser>
          <c:idx val="1"/>
          <c:order val="1"/>
          <c:tx>
            <c:strRef>
              <c:f>'Marketing Dashboard'!$G$16</c:f>
              <c:strCache>
                <c:ptCount val="1"/>
                <c:pt idx="0">
                  <c:v>Avg Deal Size</c:v>
                </c:pt>
              </c:strCache>
            </c:strRef>
          </c:tx>
          <c:spPr>
            <a:ln w="28575" cap="rnd">
              <a:solidFill>
                <a:schemeClr val="accent2"/>
              </a:solidFill>
              <a:round/>
            </a:ln>
            <a:effectLst/>
          </c:spPr>
          <c:marker>
            <c:symbol val="none"/>
          </c:marker>
          <c:cat>
            <c:numRef>
              <c:f>'Marketing Dashboard'!$B$17:$B$28</c:f>
              <c:numCache>
                <c:formatCode>mmm\-yy</c:formatCode>
                <c:ptCount val="12"/>
                <c:pt idx="0">
                  <c:v>45900</c:v>
                </c:pt>
                <c:pt idx="1">
                  <c:v>45930</c:v>
                </c:pt>
                <c:pt idx="2">
                  <c:v>45961</c:v>
                </c:pt>
                <c:pt idx="3">
                  <c:v>45991</c:v>
                </c:pt>
                <c:pt idx="4">
                  <c:v>46022</c:v>
                </c:pt>
                <c:pt idx="5">
                  <c:v>46053</c:v>
                </c:pt>
                <c:pt idx="6">
                  <c:v>46081</c:v>
                </c:pt>
                <c:pt idx="7">
                  <c:v>46112</c:v>
                </c:pt>
                <c:pt idx="8">
                  <c:v>46142</c:v>
                </c:pt>
                <c:pt idx="9">
                  <c:v>46173</c:v>
                </c:pt>
                <c:pt idx="10">
                  <c:v>46203</c:v>
                </c:pt>
                <c:pt idx="11">
                  <c:v>46234</c:v>
                </c:pt>
              </c:numCache>
            </c:numRef>
          </c:cat>
          <c:val>
            <c:numRef>
              <c:f>'Marketing Dashboard'!$G$17:$G$28</c:f>
              <c:numCache>
                <c:formatCode>"$"#,##0</c:formatCode>
                <c:ptCount val="12"/>
                <c:pt idx="0">
                  <c:v>601840</c:v>
                </c:pt>
                <c:pt idx="1">
                  <c:v>1268180</c:v>
                </c:pt>
                <c:pt idx="2">
                  <c:v>177359.45142857145</c:v>
                </c:pt>
                <c:pt idx="3">
                  <c:v>240169.26666666669</c:v>
                </c:pt>
                <c:pt idx="4">
                  <c:v>700656</c:v>
                </c:pt>
                <c:pt idx="5">
                  <c:v>319320</c:v>
                </c:pt>
                <c:pt idx="6">
                  <c:v>936988.33333333337</c:v>
                </c:pt>
                <c:pt idx="7">
                  <c:v>197860</c:v>
                </c:pt>
                <c:pt idx="8">
                  <c:v>262803.20000000001</c:v>
                </c:pt>
                <c:pt idx="9">
                  <c:v>331294.28571428574</c:v>
                </c:pt>
                <c:pt idx="10">
                  <c:v>145416</c:v>
                </c:pt>
                <c:pt idx="11">
                  <c:v>651708</c:v>
                </c:pt>
              </c:numCache>
            </c:numRef>
          </c:val>
          <c:smooth val="0"/>
          <c:extLst>
            <c:ext xmlns:c16="http://schemas.microsoft.com/office/drawing/2014/chart" uri="{C3380CC4-5D6E-409C-BE32-E72D297353CC}">
              <c16:uniqueId val="{00000000-6874-42C0-9267-ECBF91DE17F6}"/>
            </c:ext>
          </c:extLst>
        </c:ser>
        <c:dLbls>
          <c:showLegendKey val="0"/>
          <c:showVal val="0"/>
          <c:showCatName val="0"/>
          <c:showSerName val="0"/>
          <c:showPercent val="0"/>
          <c:showBubbleSize val="0"/>
        </c:dLbls>
        <c:marker val="1"/>
        <c:smooth val="0"/>
        <c:axId val="541948479"/>
        <c:axId val="541942719"/>
      </c:lineChart>
      <c:dateAx>
        <c:axId val="541948479"/>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942719"/>
        <c:crosses val="autoZero"/>
        <c:auto val="1"/>
        <c:lblOffset val="100"/>
        <c:baseTimeUnit val="months"/>
      </c:dateAx>
      <c:valAx>
        <c:axId val="54194271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948479"/>
        <c:crosses val="autoZero"/>
        <c:crossBetween val="between"/>
      </c:valAx>
      <c:valAx>
        <c:axId val="105368596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687407"/>
        <c:crosses val="max"/>
        <c:crossBetween val="between"/>
      </c:valAx>
      <c:dateAx>
        <c:axId val="1053687407"/>
        <c:scaling>
          <c:orientation val="minMax"/>
        </c:scaling>
        <c:delete val="1"/>
        <c:axPos val="b"/>
        <c:numFmt formatCode="mmm\-yy" sourceLinked="1"/>
        <c:majorTickMark val="out"/>
        <c:minorTickMark val="none"/>
        <c:tickLblPos val="nextTo"/>
        <c:crossAx val="1053685967"/>
        <c:crosses val="autoZero"/>
        <c:auto val="1"/>
        <c:lblOffset val="100"/>
        <c:baseTimeUnit val="months"/>
        <c:majorUnit val="1"/>
        <c:minorUnit val="1"/>
      </c:date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Share of Amount</a:t>
            </a:r>
            <a:r>
              <a:rPr lang="en-US" baseline="0"/>
              <a:t> Created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'Marketing Dashboard'!$H$7</c:f>
              <c:strCache>
                <c:ptCount val="1"/>
                <c:pt idx="0">
                  <c:v>Total Amount Created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91-4D6F-842C-FF6469DCA1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91-4D6F-842C-FF6469DCA1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91-4D6F-842C-FF6469DCA1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591-4D6F-842C-FF6469DCA195}"/>
              </c:ext>
            </c:extLst>
          </c:dPt>
          <c:dLbls>
            <c:dLbl>
              <c:idx val="0"/>
              <c:layout>
                <c:manualLayout>
                  <c:x val="-8.9357273644403823E-2"/>
                  <c:y val="0.12758774170741935"/>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591-4D6F-842C-FF6469DCA195}"/>
                </c:ext>
              </c:extLst>
            </c:dLbl>
            <c:dLbl>
              <c:idx val="1"/>
              <c:layout>
                <c:manualLayout>
                  <c:x val="-0.12213943732942929"/>
                  <c:y val="-6.8089335524256459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591-4D6F-842C-FF6469DCA195}"/>
                </c:ext>
              </c:extLst>
            </c:dLbl>
            <c:dLbl>
              <c:idx val="2"/>
              <c:layout>
                <c:manualLayout>
                  <c:x val="2.6918897120879078E-2"/>
                  <c:y val="-0.16959086207590987"/>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591-4D6F-842C-FF6469DCA195}"/>
                </c:ext>
              </c:extLst>
            </c:dLbl>
            <c:dLbl>
              <c:idx val="3"/>
              <c:layout>
                <c:manualLayout>
                  <c:x val="0.12073657664776434"/>
                  <c:y val="6.4822578366494618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591-4D6F-842C-FF6469DCA19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'Marketing Dashboard'!$B$8:$B$11</c:f>
              <c:strCache>
                <c:ptCount val="4"/>
                <c:pt idx="0">
                  <c:v>Digital</c:v>
                </c:pt>
                <c:pt idx="1">
                  <c:v>Events</c:v>
                </c:pt>
                <c:pt idx="2">
                  <c:v>Cold</c:v>
                </c:pt>
                <c:pt idx="3">
                  <c:v>Alliances</c:v>
                </c:pt>
              </c:strCache>
            </c:strRef>
          </c:cat>
          <c:val>
            <c:numRef>
              <c:f>'Marketing Dashboard'!$H$8:$H$11</c:f>
              <c:numCache>
                <c:formatCode>"$"#,##0</c:formatCode>
                <c:ptCount val="4"/>
                <c:pt idx="0">
                  <c:v>10457055</c:v>
                </c:pt>
                <c:pt idx="1">
                  <c:v>9920447.5999999996</c:v>
                </c:pt>
                <c:pt idx="2">
                  <c:v>10098778.199999999</c:v>
                </c:pt>
                <c:pt idx="3">
                  <c:v>30153720.159999996</c:v>
                </c:pt>
              </c:numCache>
            </c:numRef>
          </c:val>
          <c:extLst>
            <c:ext xmlns:c16="http://schemas.microsoft.com/office/drawing/2014/chart" uri="{C3380CC4-5D6E-409C-BE32-E72D297353CC}">
              <c16:uniqueId val="{00000000-4D0B-4DE3-A3F5-29A70119296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9</xdr:col>
      <xdr:colOff>695325</xdr:colOff>
      <xdr:row>33</xdr:row>
      <xdr:rowOff>133350</xdr:rowOff>
    </xdr:from>
    <xdr:to>
      <xdr:col>23</xdr:col>
      <xdr:colOff>333375</xdr:colOff>
      <xdr:row>57</xdr:row>
      <xdr:rowOff>71438</xdr:rowOff>
    </xdr:to>
    <xdr:graphicFrame macro="">
      <xdr:nvGraphicFramePr>
        <xdr:cNvPr id="2" name="Chart 1">
          <a:extLst>
            <a:ext uri="{FF2B5EF4-FFF2-40B4-BE49-F238E27FC236}">
              <a16:creationId xmlns:a16="http://schemas.microsoft.com/office/drawing/2014/main" id="{CC6E512B-F1DC-C3BD-0792-DD3D1CBD7A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33</xdr:row>
      <xdr:rowOff>133350</xdr:rowOff>
    </xdr:from>
    <xdr:to>
      <xdr:col>9</xdr:col>
      <xdr:colOff>190500</xdr:colOff>
      <xdr:row>57</xdr:row>
      <xdr:rowOff>42864</xdr:rowOff>
    </xdr:to>
    <xdr:graphicFrame macro="">
      <xdr:nvGraphicFramePr>
        <xdr:cNvPr id="3" name="Chart 2">
          <a:extLst>
            <a:ext uri="{FF2B5EF4-FFF2-40B4-BE49-F238E27FC236}">
              <a16:creationId xmlns:a16="http://schemas.microsoft.com/office/drawing/2014/main" id="{1FFB267E-409E-5A28-1218-2E87FDF6AB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57</xdr:row>
      <xdr:rowOff>171450</xdr:rowOff>
    </xdr:from>
    <xdr:to>
      <xdr:col>9</xdr:col>
      <xdr:colOff>180975</xdr:colOff>
      <xdr:row>79</xdr:row>
      <xdr:rowOff>123824</xdr:rowOff>
    </xdr:to>
    <xdr:graphicFrame macro="">
      <xdr:nvGraphicFramePr>
        <xdr:cNvPr id="4" name="Chart 3">
          <a:extLst>
            <a:ext uri="{FF2B5EF4-FFF2-40B4-BE49-F238E27FC236}">
              <a16:creationId xmlns:a16="http://schemas.microsoft.com/office/drawing/2014/main" id="{7EE7F417-45AF-7BC1-EAE3-B0F1F20C4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685800</xdr:colOff>
      <xdr:row>58</xdr:row>
      <xdr:rowOff>19050</xdr:rowOff>
    </xdr:from>
    <xdr:to>
      <xdr:col>23</xdr:col>
      <xdr:colOff>342900</xdr:colOff>
      <xdr:row>79</xdr:row>
      <xdr:rowOff>123824</xdr:rowOff>
    </xdr:to>
    <xdr:graphicFrame macro="">
      <xdr:nvGraphicFramePr>
        <xdr:cNvPr id="5" name="Chart 4">
          <a:extLst>
            <a:ext uri="{FF2B5EF4-FFF2-40B4-BE49-F238E27FC236}">
              <a16:creationId xmlns:a16="http://schemas.microsoft.com/office/drawing/2014/main" id="{E749D72C-F009-69A5-9D2E-04AC5E92595B}"/>
            </a:ext>
            <a:ext uri="{147F2762-F138-4A5C-976F-8EAC2B608ADB}">
              <a16:predDERef xmlns:a16="http://schemas.microsoft.com/office/drawing/2014/main" pred="{7EE7F417-45AF-7BC1-EAE3-B0F1F20C4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61912</xdr:colOff>
      <xdr:row>83</xdr:row>
      <xdr:rowOff>120650</xdr:rowOff>
    </xdr:from>
    <xdr:to>
      <xdr:col>15</xdr:col>
      <xdr:colOff>457200</xdr:colOff>
      <xdr:row>107</xdr:row>
      <xdr:rowOff>49214</xdr:rowOff>
    </xdr:to>
    <xdr:graphicFrame macro="">
      <xdr:nvGraphicFramePr>
        <xdr:cNvPr id="7" name="Chart 5">
          <a:extLst>
            <a:ext uri="{FF2B5EF4-FFF2-40B4-BE49-F238E27FC236}">
              <a16:creationId xmlns:a16="http://schemas.microsoft.com/office/drawing/2014/main" id="{CC3EB245-0678-CA47-DD53-DBFCC988BBBF}"/>
            </a:ext>
            <a:ext uri="{147F2762-F138-4A5C-976F-8EAC2B608ADB}">
              <a16:predDERef xmlns:a16="http://schemas.microsoft.com/office/drawing/2014/main" pred="{E749D72C-F009-69A5-9D2E-04AC5E925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xdr:col>
      <xdr:colOff>20954</xdr:colOff>
      <xdr:row>2</xdr:row>
      <xdr:rowOff>72683</xdr:rowOff>
    </xdr:from>
    <xdr:to>
      <xdr:col>13</xdr:col>
      <xdr:colOff>714374</xdr:colOff>
      <xdr:row>5</xdr:row>
      <xdr:rowOff>47625</xdr:rowOff>
    </xdr:to>
    <xdr:grpSp>
      <xdr:nvGrpSpPr>
        <xdr:cNvPr id="103" name="Group 49">
          <a:extLst>
            <a:ext uri="{FF2B5EF4-FFF2-40B4-BE49-F238E27FC236}">
              <a16:creationId xmlns:a16="http://schemas.microsoft.com/office/drawing/2014/main" id="{829606EF-9145-3BC0-8ECF-8DB9AC65D69B}"/>
            </a:ext>
          </a:extLst>
        </xdr:cNvPr>
        <xdr:cNvGrpSpPr/>
      </xdr:nvGrpSpPr>
      <xdr:grpSpPr>
        <a:xfrm>
          <a:off x="201929" y="625133"/>
          <a:ext cx="13799820" cy="670267"/>
          <a:chOff x="171450" y="390524"/>
          <a:chExt cx="9677061" cy="682492"/>
        </a:xfrm>
      </xdr:grpSpPr>
      <xdr:sp macro="" textlink="">
        <xdr:nvSpPr>
          <xdr:cNvPr id="104" name="Rectangle: Rounded Corners 6">
            <a:extLst>
              <a:ext uri="{FF2B5EF4-FFF2-40B4-BE49-F238E27FC236}">
                <a16:creationId xmlns:a16="http://schemas.microsoft.com/office/drawing/2014/main" id="{6B20D2B5-FB3D-9A83-7BAF-72BEAED1A8D0}"/>
              </a:ext>
            </a:extLst>
          </xdr:cNvPr>
          <xdr:cNvSpPr/>
        </xdr:nvSpPr>
        <xdr:spPr>
          <a:xfrm>
            <a:off x="171450" y="400050"/>
            <a:ext cx="2124075" cy="609600"/>
          </a:xfrm>
          <a:prstGeom prst="roundRect">
            <a:avLst/>
          </a:prstGeom>
          <a:solidFill>
            <a:srgbClr val="F2F2F2"/>
          </a:solidFill>
          <a:ln w="12700">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sp macro="" textlink="">
        <xdr:nvSpPr>
          <xdr:cNvPr id="105" name="TextBox 14">
            <a:extLst>
              <a:ext uri="{FF2B5EF4-FFF2-40B4-BE49-F238E27FC236}">
                <a16:creationId xmlns:a16="http://schemas.microsoft.com/office/drawing/2014/main" id="{664C7E02-125D-A02C-8C87-144148171FA9}"/>
              </a:ext>
            </a:extLst>
          </xdr:cNvPr>
          <xdr:cNvSpPr txBox="1"/>
        </xdr:nvSpPr>
        <xdr:spPr>
          <a:xfrm>
            <a:off x="800101" y="438150"/>
            <a:ext cx="1104900" cy="295275"/>
          </a:xfrm>
          <a:prstGeom prst="rect">
            <a:avLst/>
          </a:prstGeom>
          <a:solidFill>
            <a:srgbClr val="F2F2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1F4E78"/>
                </a:solidFill>
              </a:rPr>
              <a:t>Month Ending</a:t>
            </a:r>
          </a:p>
        </xdr:txBody>
      </xdr:sp>
      <xdr:sp macro="" textlink="$AB$3">
        <xdr:nvSpPr>
          <xdr:cNvPr id="106" name="TextBox 15">
            <a:extLst>
              <a:ext uri="{FF2B5EF4-FFF2-40B4-BE49-F238E27FC236}">
                <a16:creationId xmlns:a16="http://schemas.microsoft.com/office/drawing/2014/main" id="{29C950EA-5006-27E4-C47D-55A76E1300C0}"/>
              </a:ext>
            </a:extLst>
          </xdr:cNvPr>
          <xdr:cNvSpPr txBox="1"/>
        </xdr:nvSpPr>
        <xdr:spPr>
          <a:xfrm>
            <a:off x="787794" y="600487"/>
            <a:ext cx="1162050" cy="311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299D40D-E0EA-4BB1-8DC3-EB3E6148F175}" type="TxLink">
              <a:rPr lang="en-US" sz="1600" b="1" i="0" u="none" strike="noStrike">
                <a:solidFill>
                  <a:srgbClr val="1F4E78"/>
                </a:solidFill>
                <a:latin typeface="Aptos Narrow"/>
              </a:rPr>
              <a:pPr algn="ctr"/>
              <a:t>Jul 31, 2026</a:t>
            </a:fld>
            <a:endParaRPr lang="en-US" sz="1600" b="1">
              <a:solidFill>
                <a:srgbClr val="1F4E78"/>
              </a:solidFill>
            </a:endParaRPr>
          </a:p>
        </xdr:txBody>
      </xdr:sp>
      <xdr:pic>
        <xdr:nvPicPr>
          <xdr:cNvPr id="107" name="Graphic 17" descr="Monthly calendar outline">
            <a:extLst>
              <a:ext uri="{FF2B5EF4-FFF2-40B4-BE49-F238E27FC236}">
                <a16:creationId xmlns:a16="http://schemas.microsoft.com/office/drawing/2014/main" id="{49A68AEC-1D1C-84FC-D6FA-E5E0CEF752B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28599" y="390524"/>
            <a:ext cx="600075" cy="600075"/>
          </a:xfrm>
          <a:prstGeom prst="rect">
            <a:avLst/>
          </a:prstGeom>
        </xdr:spPr>
      </xdr:pic>
      <xdr:sp macro="" textlink="">
        <xdr:nvSpPr>
          <xdr:cNvPr id="108" name="Rectangle: Rounded Corners 21">
            <a:extLst>
              <a:ext uri="{FF2B5EF4-FFF2-40B4-BE49-F238E27FC236}">
                <a16:creationId xmlns:a16="http://schemas.microsoft.com/office/drawing/2014/main" id="{B5D0DF79-4F99-1B5E-B587-7829F7B85A87}"/>
              </a:ext>
            </a:extLst>
          </xdr:cNvPr>
          <xdr:cNvSpPr/>
        </xdr:nvSpPr>
        <xdr:spPr>
          <a:xfrm>
            <a:off x="2419350" y="400050"/>
            <a:ext cx="2124075" cy="609600"/>
          </a:xfrm>
          <a:prstGeom prst="roundRect">
            <a:avLst/>
          </a:prstGeom>
          <a:solidFill>
            <a:srgbClr val="F2F2F2"/>
          </a:solidFill>
          <a:ln w="12700">
            <a:solidFill>
              <a:srgbClr val="D9D9D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sp macro="" textlink="">
        <xdr:nvSpPr>
          <xdr:cNvPr id="109" name="TextBox 22">
            <a:extLst>
              <a:ext uri="{FF2B5EF4-FFF2-40B4-BE49-F238E27FC236}">
                <a16:creationId xmlns:a16="http://schemas.microsoft.com/office/drawing/2014/main" id="{92D9B438-E8E5-4663-60DE-CEA938097D9C}"/>
              </a:ext>
            </a:extLst>
          </xdr:cNvPr>
          <xdr:cNvSpPr txBox="1"/>
        </xdr:nvSpPr>
        <xdr:spPr>
          <a:xfrm>
            <a:off x="3019425" y="428626"/>
            <a:ext cx="1238249" cy="295275"/>
          </a:xfrm>
          <a:prstGeom prst="rect">
            <a:avLst/>
          </a:prstGeom>
          <a:solidFill>
            <a:srgbClr val="F2F2F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1F4E78"/>
                </a:solidFill>
                <a:latin typeface="+mn-lt"/>
                <a:ea typeface="+mn-ea"/>
                <a:cs typeface="+mn-cs"/>
              </a:rPr>
              <a:t>Rolling</a:t>
            </a:r>
            <a:r>
              <a:rPr lang="en-US" sz="1200" b="1">
                <a:solidFill>
                  <a:srgbClr val="1F4E78"/>
                </a:solidFill>
              </a:rPr>
              <a:t> Months</a:t>
            </a:r>
          </a:p>
        </xdr:txBody>
      </xdr:sp>
      <xdr:sp macro="" textlink="$AB$5">
        <xdr:nvSpPr>
          <xdr:cNvPr id="110" name="TextBox 23">
            <a:extLst>
              <a:ext uri="{FF2B5EF4-FFF2-40B4-BE49-F238E27FC236}">
                <a16:creationId xmlns:a16="http://schemas.microsoft.com/office/drawing/2014/main" id="{EAD939E5-3D27-19AC-D3FF-FD727806BFAD}"/>
              </a:ext>
            </a:extLst>
          </xdr:cNvPr>
          <xdr:cNvSpPr txBox="1"/>
        </xdr:nvSpPr>
        <xdr:spPr>
          <a:xfrm>
            <a:off x="3009900" y="657225"/>
            <a:ext cx="11620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93D146E-3412-4F19-88D7-5DB13EE15468}" type="TxLink">
              <a:rPr lang="en-US" sz="1600" b="1" i="0" u="none" strike="noStrike">
                <a:solidFill>
                  <a:srgbClr val="1F4E78"/>
                </a:solidFill>
                <a:latin typeface="Aptos Narrow"/>
                <a:ea typeface="+mn-ea"/>
                <a:cs typeface="+mn-cs"/>
              </a:rPr>
              <a:pPr marL="0" indent="0" algn="ctr"/>
              <a:t>18</a:t>
            </a:fld>
            <a:endParaRPr lang="en-US" sz="1600" b="1" i="0" u="none" strike="noStrike">
              <a:solidFill>
                <a:srgbClr val="1F4E78"/>
              </a:solidFill>
              <a:latin typeface="Aptos Narrow"/>
              <a:ea typeface="+mn-ea"/>
              <a:cs typeface="+mn-cs"/>
            </a:endParaRPr>
          </a:p>
        </xdr:txBody>
      </xdr:sp>
      <xdr:pic>
        <xdr:nvPicPr>
          <xdr:cNvPr id="111" name="Graphic 25" descr="Clock outline">
            <a:extLst>
              <a:ext uri="{FF2B5EF4-FFF2-40B4-BE49-F238E27FC236}">
                <a16:creationId xmlns:a16="http://schemas.microsoft.com/office/drawing/2014/main" id="{F72F57B0-F94A-2134-6E29-79113FFECFA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447925" y="400050"/>
            <a:ext cx="603504" cy="603504"/>
          </a:xfrm>
          <a:prstGeom prst="rect">
            <a:avLst/>
          </a:prstGeom>
        </xdr:spPr>
      </xdr:pic>
      <xdr:sp macro="" textlink="">
        <xdr:nvSpPr>
          <xdr:cNvPr id="112" name="Rectangle: Rounded Corners 26">
            <a:extLst>
              <a:ext uri="{FF2B5EF4-FFF2-40B4-BE49-F238E27FC236}">
                <a16:creationId xmlns:a16="http://schemas.microsoft.com/office/drawing/2014/main" id="{D29147EB-F235-4584-A267-903FD28A7368}"/>
              </a:ext>
            </a:extLst>
          </xdr:cNvPr>
          <xdr:cNvSpPr/>
        </xdr:nvSpPr>
        <xdr:spPr>
          <a:xfrm>
            <a:off x="4598532" y="400571"/>
            <a:ext cx="5249979" cy="672445"/>
          </a:xfrm>
          <a:prstGeom prst="roundRect">
            <a:avLst/>
          </a:prstGeom>
          <a:solidFill>
            <a:srgbClr val="D9EAD3"/>
          </a:solidFill>
          <a:ln w="1270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pic>
        <xdr:nvPicPr>
          <xdr:cNvPr id="113" name="Graphic 28" descr="Dollar with solid fill">
            <a:extLst>
              <a:ext uri="{FF2B5EF4-FFF2-40B4-BE49-F238E27FC236}">
                <a16:creationId xmlns:a16="http://schemas.microsoft.com/office/drawing/2014/main" id="{D3B92145-DE81-FC4D-6055-0FA231A55C7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700949" y="394105"/>
            <a:ext cx="596690" cy="607787"/>
          </a:xfrm>
          <a:prstGeom prst="rect">
            <a:avLst/>
          </a:prstGeom>
        </xdr:spPr>
      </xdr:pic>
      <xdr:sp macro="" textlink="">
        <xdr:nvSpPr>
          <xdr:cNvPr id="114" name="TextBox 29">
            <a:extLst>
              <a:ext uri="{FF2B5EF4-FFF2-40B4-BE49-F238E27FC236}">
                <a16:creationId xmlns:a16="http://schemas.microsoft.com/office/drawing/2014/main" id="{B65C7861-A076-FCC0-675F-8122DF7D3FDD}"/>
              </a:ext>
            </a:extLst>
          </xdr:cNvPr>
          <xdr:cNvSpPr txBox="1"/>
        </xdr:nvSpPr>
        <xdr:spPr>
          <a:xfrm>
            <a:off x="5333262" y="426434"/>
            <a:ext cx="1246814" cy="284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kumimoji="0" lang="en-US" sz="1200" b="1" i="0" u="none" strike="noStrike" kern="0" cap="none" spc="0" normalizeH="0" baseline="0" noProof="0">
                <a:ln>
                  <a:noFill/>
                </a:ln>
                <a:solidFill>
                  <a:srgbClr val="1F4E78"/>
                </a:solidFill>
                <a:effectLst/>
                <a:uLnTx/>
                <a:uFillTx/>
                <a:latin typeface="Aptos Narrow" panose="02110004020202020204"/>
              </a:rPr>
              <a:t>Last Month Spend</a:t>
            </a:r>
          </a:p>
        </xdr:txBody>
      </xdr:sp>
      <xdr:sp macro="" textlink="$AB$7">
        <xdr:nvSpPr>
          <xdr:cNvPr id="115" name="TextBox 30">
            <a:extLst>
              <a:ext uri="{FF2B5EF4-FFF2-40B4-BE49-F238E27FC236}">
                <a16:creationId xmlns:a16="http://schemas.microsoft.com/office/drawing/2014/main" id="{C5704FE5-EA71-48A3-9069-9104B826ECC5}"/>
              </a:ext>
            </a:extLst>
          </xdr:cNvPr>
          <xdr:cNvSpPr txBox="1"/>
        </xdr:nvSpPr>
        <xdr:spPr>
          <a:xfrm>
            <a:off x="5342168" y="607477"/>
            <a:ext cx="1246814" cy="412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fld id="{B6BC2CE5-F169-48D2-B5C2-0450CDC48DB3}" type="TxLink">
              <a:rPr kumimoji="0" lang="en-US" sz="2000" b="1" i="0" u="none" strike="noStrike" kern="0" cap="none" spc="0" normalizeH="0" baseline="0" noProof="0">
                <a:ln>
                  <a:noFill/>
                </a:ln>
                <a:solidFill>
                  <a:srgbClr val="1F4E78"/>
                </a:solidFill>
                <a:effectLst/>
                <a:uLnTx/>
                <a:uFillTx/>
                <a:latin typeface="Aptos Narrow"/>
              </a:rPr>
              <a:pPr/>
              <a:t>$75,325</a:t>
            </a:fld>
            <a:endParaRPr kumimoji="0" lang="en-US" sz="2000" b="1" kern="0" cap="none" spc="0" normalizeH="0" baseline="0" noProof="0">
              <a:ln>
                <a:noFill/>
              </a:ln>
              <a:solidFill>
                <a:srgbClr val="1F4E78"/>
              </a:solidFill>
              <a:effectLst/>
              <a:uLnTx/>
              <a:uFillTx/>
            </a:endParaRPr>
          </a:p>
        </xdr:txBody>
      </xdr:sp>
      <xdr:sp macro="" textlink="$AB$12">
        <xdr:nvSpPr>
          <xdr:cNvPr id="117" name="TextBox 32">
            <a:extLst>
              <a:ext uri="{FF2B5EF4-FFF2-40B4-BE49-F238E27FC236}">
                <a16:creationId xmlns:a16="http://schemas.microsoft.com/office/drawing/2014/main" id="{8CCDFA12-E7D0-431E-90EC-47C2BB848E03}"/>
              </a:ext>
            </a:extLst>
          </xdr:cNvPr>
          <xdr:cNvSpPr txBox="1"/>
        </xdr:nvSpPr>
        <xdr:spPr>
          <a:xfrm>
            <a:off x="7020915" y="533767"/>
            <a:ext cx="2493629" cy="359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fld id="{708CA03B-4F3C-4884-89F2-894800C5C4AE}" type="TxLink">
              <a:rPr kumimoji="0" lang="en-US" sz="2000" b="1" i="0" u="none" strike="noStrike" kern="0" cap="none" spc="0" normalizeH="0" baseline="0" noProof="0">
                <a:ln>
                  <a:noFill/>
                </a:ln>
                <a:solidFill>
                  <a:srgbClr val="1F4E78"/>
                </a:solidFill>
                <a:effectLst/>
                <a:uLnTx/>
                <a:uFillTx/>
                <a:latin typeface="Aptos Narrow"/>
              </a:rPr>
              <a:pPr/>
              <a:t>vs Jun-26 ($83,937)</a:t>
            </a:fld>
            <a:endParaRPr kumimoji="0" lang="en-US" sz="2000" b="1" kern="0" cap="none" spc="0" normalizeH="0" baseline="0" noProof="0">
              <a:ln>
                <a:noFill/>
              </a:ln>
              <a:solidFill>
                <a:srgbClr val="1F4E78"/>
              </a:solidFill>
              <a:effectLst/>
              <a:uLnTx/>
              <a:uFillTx/>
            </a:endParaRPr>
          </a:p>
        </xdr:txBody>
      </xdr:sp>
    </xdr:grpSp>
    <xdr:clientData/>
  </xdr:twoCellAnchor>
  <xdr:twoCellAnchor>
    <xdr:from>
      <xdr:col>9</xdr:col>
      <xdr:colOff>733425</xdr:colOff>
      <xdr:row>2</xdr:row>
      <xdr:rowOff>231775</xdr:rowOff>
    </xdr:from>
    <xdr:to>
      <xdr:col>10</xdr:col>
      <xdr:colOff>1771650</xdr:colOff>
      <xdr:row>4</xdr:row>
      <xdr:rowOff>142875</xdr:rowOff>
    </xdr:to>
    <xdr:sp macro="" textlink="">
      <xdr:nvSpPr>
        <xdr:cNvPr id="6" name="TextBox 31">
          <a:extLst>
            <a:ext uri="{FF2B5EF4-FFF2-40B4-BE49-F238E27FC236}">
              <a16:creationId xmlns:a16="http://schemas.microsoft.com/office/drawing/2014/main" id="{131BEF19-D1A7-D560-A464-B90A702E554D}"/>
            </a:ext>
          </a:extLst>
        </xdr:cNvPr>
        <xdr:cNvSpPr txBox="1"/>
      </xdr:nvSpPr>
      <xdr:spPr>
        <a:xfrm>
          <a:off x="8334375" y="784225"/>
          <a:ext cx="1952625" cy="406400"/>
        </a:xfrm>
        <a:prstGeom prst="rect">
          <a:avLst/>
        </a:prstGeom>
        <a:noFill/>
        <a:ln>
          <a:noFill/>
        </a:ln>
      </xdr:spPr>
      <xdr:txBody>
        <a:bodyPr vertOverflow="overflow" vert="horz" wrap="square" rtlCol="0" anchor="ctr">
          <a:spAutoFit/>
        </a:bodyPr>
        <a:lstStyle/>
        <a:p>
          <a:pPr algn="ctr"/>
          <a:r>
            <a:rPr kumimoji="0" lang="en-US" sz="2000" b="1" i="0" u="none" strike="noStrike" kern="0" cap="none" spc="0" normalizeH="0" baseline="0" noProof="0">
              <a:ln>
                <a:noFill/>
              </a:ln>
              <a:solidFill>
                <a:srgbClr val="3FA34D"/>
              </a:solidFill>
              <a:effectLst/>
              <a:uLnTx/>
              <a:uFillTx/>
              <a:latin typeface="Aptos Narrow"/>
            </a:rPr>
            <a:t>↓ 27.2%</a:t>
          </a:r>
        </a:p>
      </xdr:txBody>
    </xdr:sp>
    <xdr:clientData/>
  </xdr:twoCellAnchor>
</xdr:wsDr>
</file>

<file path=xl/persons/person.xml><?xml version="1.0" encoding="utf-8"?>
<personList xmlns="http://schemas.microsoft.com/office/spreadsheetml/2018/threadedcomments" xmlns:x="http://schemas.openxmlformats.org/spreadsheetml/2006/main">
  <person displayName="Sierra Jones" id="{491C8F31-A5A3-4811-996C-E12CBD69C1C6}" userId="S::sierra.moore@intradiem.com::f02b82c0-60f9-4778-8bac-25484a2873db" providerId="AD"/>
  <person displayName="Genna Barrett-Moeller" id="{8E3B166F-A1FA-E54D-9F1E-E8BB45308F64}" userId="S::genna.barrett-moeller@Intradiem.com::892fda68-a58b-44d4-af13-6579852c4b43"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DBCABC1-B68A-4DE9-A3A2-06B4B271EA79}" autoFormatId="16" applyNumberFormats="0" applyBorderFormats="0" applyFontFormats="0" applyPatternFormats="0" applyAlignmentFormats="0" applyWidthHeightFormats="0">
  <queryTableRefresh nextId="5" unboundColumnsRight="1">
    <queryTableFields count="4">
      <queryTableField id="1" name="Partner" tableColumnId="1"/>
      <queryTableField id="2" name="Spend" tableColumnId="2"/>
      <queryTableField id="3" name="Date.1" tableColumnId="3"/>
      <queryTableField id="4" dataBound="0"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66A3F4A-091A-483F-8085-26F5C7E33F1C}" name="Table1_1" displayName="Table1_1" ref="A1:D123" tableType="queryTable" totalsRowShown="0">
  <autoFilter ref="A1:D123" xr:uid="{C66A3F4A-091A-483F-8085-26F5C7E33F1C}"/>
  <sortState xmlns:xlrd2="http://schemas.microsoft.com/office/spreadsheetml/2017/richdata2" ref="A2:D113">
    <sortCondition ref="C1:C113"/>
  </sortState>
  <tableColumns count="4">
    <tableColumn id="1" xr3:uid="{73E53147-A8AE-4BA8-87FF-4656854C921F}" uniqueName="1" name="Partner" queryTableFieldId="1" dataDxfId="44"/>
    <tableColumn id="2" xr3:uid="{B75A7185-E00B-4847-A6E2-982825D4E74C}" uniqueName="2" name="Spend" queryTableFieldId="2"/>
    <tableColumn id="3" xr3:uid="{CA0B8DB4-8EA4-424E-A964-D051ED583D82}" uniqueName="3" name="Date" queryTableFieldId="3" dataDxfId="43"/>
    <tableColumn id="4" xr3:uid="{1295CA4B-AAD6-4DC1-9991-D8BFB42D94CA}" uniqueName="4" name="Type"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C16803-9F85-4A95-B9B7-39EE0F4A2B0C}" name="Table1" displayName="Table1" ref="A2:AF791" totalsRowShown="0">
  <autoFilter ref="A2:AF791" xr:uid="{23C16803-9F85-4A95-B9B7-39EE0F4A2B0C}"/>
  <tableColumns count="32">
    <tableColumn id="1" xr3:uid="{26C409C8-18E5-4123-8EA6-584354A6C99A}" name="Field / Event"/>
    <tableColumn id="2" xr3:uid="{EEECA4C2-2092-4474-8096-E30B6747791D}" name="Old Value"/>
    <tableColumn id="3" xr3:uid="{739A42C1-8585-456D-BF3B-DCB720E2F6E6}" name="New Value"/>
    <tableColumn id="4" xr3:uid="{D005CCB8-A9A4-4384-A448-6257A9F2F9ED}" name="Edit Date"/>
    <tableColumn id="5" xr3:uid="{608677A5-FE53-4A30-8699-40103BB4127D}" name="Opportunity Name"/>
    <tableColumn id="6" xr3:uid="{08EBE84F-D6AC-4643-A358-C7784CA22E7E}" name="Lead Source"/>
    <tableColumn id="7" xr3:uid="{69D5B869-8F6B-4906-9CA3-395C5BF2ABCC}" name="Lead Source Original"/>
    <tableColumn id="8" xr3:uid="{438EF5AC-5085-4CD7-9071-BB348B86197A}" name="Partner"/>
    <tableColumn id="9" xr3:uid="{028C8383-98A9-4023-BE5A-2A4A96FDE8CA}" name="Created Date" dataDxfId="42"/>
    <tableColumn id="10" xr3:uid="{C775B287-189E-4F19-84AE-7EA030D37DDE}" name="Close Date" dataDxfId="41"/>
    <tableColumn id="11" xr3:uid="{F304D51A-7B58-4B9B-AC58-5D7C18EBD394}" name="Amount"/>
    <tableColumn id="12" xr3:uid="{56CB6061-12ED-4094-8BAA-486AECA44AE1}" name="Total Net New ACV"/>
    <tableColumn id="13" xr3:uid="{C3D6A700-BEFB-47EF-B8B1-6E580164229E}" name="Opportunity ID"/>
    <tableColumn id="20" xr3:uid="{55C5AA5B-14E2-4D10-B85C-7B2FD79CE865}" name="Account Name"/>
    <tableColumn id="14" xr3:uid="{6BBB918E-6BF6-4326-8330-6AE006880B3B}" name="Channel" dataDxfId="40">
      <calculatedColumnFormula>_xlfn.IFNA(VLOOKUP(Table1[[#This Row],[Lead Source]],'helper tab'!A:B,2,FALSE),"Exclude")</calculatedColumnFormula>
    </tableColumn>
    <tableColumn id="15" xr3:uid="{C009AD40-9731-4570-BAAF-80C5DBB72E2A}" name="Change Date" dataDxfId="39">
      <calculatedColumnFormula>--SUBSTITUTE(D3,",","")</calculatedColumnFormula>
    </tableColumn>
    <tableColumn id="16" xr3:uid="{A1575727-97A5-4E68-AF23-F19160472745}" name="Is Late Stage" dataDxfId="38">
      <calculatedColumnFormula>IF(OR($C3="Propose",$C3="Procure"),1,0)</calculatedColumnFormula>
    </tableColumn>
    <tableColumn id="17" xr3:uid="{5A5E2706-E59E-424B-AC25-D9A46FDA46D9}" name="Is Closed Won">
      <calculatedColumnFormula>IF($C3="Closed Won",1,0)</calculatedColumnFormula>
    </tableColumn>
    <tableColumn id="18" xr3:uid="{2AACE2E4-8744-45D8-8134-25F5D8E5A2D1}" name="LateStage_Unique_Monthly_Flag">
      <calculatedColumnFormula>IF(
AND($Q3=1,$M3&lt;&gt;""),
IF(
COUNTIFS(
$M$3:$M3,$M3,
$O$3:$O3,$O3,
$Q$3:$Q3,1,
$P$3:$P3,"&gt;="&amp;EOMONTH($P3,-1)+1,
$P$3:$P3,"&lt;"&amp;EOMONTH($P3,0)+1
)=1,
1,
0),
0)</calculatedColumnFormula>
    </tableColumn>
    <tableColumn id="19" xr3:uid="{5439C2EC-FF2E-4BAB-83C3-53BDA94358C6}" name="ClosedWon_Unique_Monthly_Flag">
      <calculatedColumnFormula>IF(AND($R3=1,$M3&lt;&gt;""),IF(COUNTIFS($M$3:$M791,$M3,$O$3:$O791,$O3,$R$3:$R791,1,$P$3:$P791,"&gt;="&amp;EOMONTH($P3,-1)+1,$P$3:$P791,"&lt;="&amp;EOMONTH($P3,0))=1,1,0),0)</calculatedColumnFormula>
    </tableColumn>
    <tableColumn id="26" xr3:uid="{AC6E9F39-8A1A-4C42-8E1D-3EE0EC745C2F}" name="Is Closed Lost" dataDxfId="37">
      <calculatedColumnFormula>IF($C3="Closed Lost",1,0)</calculatedColumnFormula>
    </tableColumn>
    <tableColumn id="31" xr3:uid="{ECC6F0F9-9452-4E89-805D-7F7D4CEDDD77}" name="ClostLost_Unique_Monthly_Flag" dataDxfId="36">
      <calculatedColumnFormula>IF(AND($U3=1,$M3&lt;&gt;""),IF(COUNTIFS($M$3:$M3,$M3,$O$3:$O3,$O3,$U$3:$U3,1,$P$3:$P3,"&gt;="&amp;EOMONTH($P3,-1)+1,$P$3:$P3,"&lt;="&amp;EOMONTH($P3,0))=1,1,0),0)</calculatedColumnFormula>
    </tableColumn>
    <tableColumn id="21" xr3:uid="{62654102-84FC-44E7-A60D-2CAF6B0C7F8B}" name="Aging" dataDxfId="35">
      <calculatedColumnFormula>TODAY()-Table1[[#This Row],[Change Date]]</calculatedColumnFormula>
    </tableColumn>
    <tableColumn id="22" xr3:uid="{0EB53359-92C2-4508-AC89-304FF3948A69}" name="Next Stage Date" dataDxfId="34">
      <calculatedColumnFormula>IFERROR(
IF(
COUNTIFS($M:$M,$M3,$P:$P,"&gt;"&amp;$P3)=0,
"",
_xlfn.MINIFS($P:$P,$M:$M,$M3,$P:$P,"&gt;"&amp;$P3)
),
""
)</calculatedColumnFormula>
    </tableColumn>
    <tableColumn id="23" xr3:uid="{927B9821-A17A-4446-9780-9D5DCB09399E}" name="Days in Stage" dataDxfId="33">
      <calculatedColumnFormula>IF(Table1[[#This Row],[Next Stage Date]]&lt;&gt;"",Table1[[#This Row],[Next Stage Date]]-Table1[[#This Row],[Change Date]],TODAY()-Table1[[#This Row],[Change Date]])</calculatedColumnFormula>
    </tableColumn>
    <tableColumn id="24" xr3:uid="{CD809C32-FC09-4287-811F-401D809A55D7}" name="Current Stage Flag" dataDxfId="32">
      <calculatedColumnFormula>IF(P3=_xlfn.MAXIFS($P:$P,$M:$M,$M3),1,0)</calculatedColumnFormula>
    </tableColumn>
    <tableColumn id="25" xr3:uid="{113FA277-007A-42D7-AD3D-931586EA64A3}" name="Opp Closed Won Date" dataDxfId="31">
      <calculatedColumnFormula>IF(
COUNTIFS($M:$M,$M3,$C:$C,"Closed Won")=0,
"",
_xlfn.MINIFS($P:$P,$M:$M,$M3,$C:$C,"Closed Won")
)</calculatedColumnFormula>
    </tableColumn>
    <tableColumn id="27" xr3:uid="{E8A0CF4D-F96C-4735-81F2-0C4EE0D7B586}" name="First Late Stage Date" dataDxfId="30">
      <calculatedColumnFormula>IF(
COUNTIFS($M:$M,$M3,$Q:$Q,1)=0,
"",
_xlfn.MINIFS($P:$P,$M:$M,$M3,$Q:$Q,1)
)</calculatedColumnFormula>
    </tableColumn>
    <tableColumn id="28" xr3:uid="{9E1CB27A-5A4D-4833-9291-0A3BD1A642C2}" name="Days Created to Late Stage" dataDxfId="29">
      <calculatedColumnFormula>IF(AB3&lt;&gt;"",AB3-I3,"")</calculatedColumnFormula>
    </tableColumn>
    <tableColumn id="29" xr3:uid="{2565B377-AFB9-477B-A733-26B3FF247ABD}" name="Days from Late Stage to Closed Won" dataDxfId="28">
      <calculatedColumnFormula>IF(AND(AB3&lt;&gt;"",AA3&lt;&gt;""),AA3-AB3,"")</calculatedColumnFormula>
    </tableColumn>
    <tableColumn id="30" xr3:uid="{45FCACC8-09A7-4413-96F1-E4B73F80F8CC}" name="Days Created to Won" dataDxfId="27">
      <calculatedColumnFormula>IF(AA3&lt;&gt;"",AA3-I3,"")</calculatedColumnFormula>
    </tableColumn>
    <tableColumn id="32" xr3:uid="{D8DE2B79-8694-4948-BD76-585D28CDF97F}" name="Include in Aging Calc" dataDxfId="26">
      <calculatedColumnFormula>IFERROR(_xlfn.XLOOKUP(Table1[[#This Row],[Opportunity ID]],'Aging Detail'!$H$14:$H$20,'Aging Detail'!$F$14:$F$20),TRUE)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A8F95B-4983-4F22-886D-4268D972BB8B}" name="Table2" displayName="Table2" ref="A2:S534" totalsRowShown="0">
  <autoFilter ref="A2:S534" xr:uid="{3EA8F95B-4983-4F22-886D-4268D972BB8B}">
    <filterColumn colId="6">
      <filters>
        <dateGroupItem year="2026" dateTimeGrouping="year"/>
      </filters>
    </filterColumn>
  </autoFilter>
  <tableColumns count="19">
    <tableColumn id="1" xr3:uid="{270E9C8F-A7F0-4115-B292-B0A29CC99141}" name="Account Name"/>
    <tableColumn id="2" xr3:uid="{91451AE1-4646-4B44-A992-2E9EE6EACA4C}" name="Opportunity Name"/>
    <tableColumn id="3" xr3:uid="{89F15F3E-5942-46CC-AD9B-D51201AB6433}" name="Stage"/>
    <tableColumn id="4" xr3:uid="{99114854-C7D0-41A9-A2B0-696AD3960F59}" name="Fiscal Period"/>
    <tableColumn id="5" xr3:uid="{8950846B-5758-445C-9CAA-062CBDE8730F}" name="Amount"/>
    <tableColumn id="6" xr3:uid="{44C6BE4C-A17D-4043-87C8-E97B7FDF0F8C}" name="Close Date" dataDxfId="25"/>
    <tableColumn id="7" xr3:uid="{028DC5FF-CAB3-4D92-98E8-087E7C6F05CD}" name="Created Date" dataDxfId="24"/>
    <tableColumn id="8" xr3:uid="{4D6210AC-9C4D-47D9-AA1E-BE1C343D00A3}" name="Lead Source"/>
    <tableColumn id="9" xr3:uid="{CC9DD718-029A-42FA-96DA-1AD88D1475DA}" name="Partner"/>
    <tableColumn id="10" xr3:uid="{A0475C61-DBC6-4053-A013-596E55E43C95}" name="Primary Campaign Source"/>
    <tableColumn id="11" xr3:uid="{F66A83BF-0FC9-4559-826B-A77C2B9463C3}" name="Opportunity Owner"/>
    <tableColumn id="12" xr3:uid="{F18AF677-8611-4103-8E9D-2D481733B3BF}" name="Opportunity ID"/>
    <tableColumn id="14" xr3:uid="{F9A3CBEB-30AB-496A-996F-3634185D5E62}" name="Total Net New ACV"/>
    <tableColumn id="15" xr3:uid="{F28F3C2C-81EA-4670-B84E-CD84C3DB986E}" name="Stage Duration"/>
    <tableColumn id="13" xr3:uid="{B9A5C129-BD40-42AB-9A4F-0AB283C54232}" name="Channel" dataDxfId="23">
      <calculatedColumnFormula>_xlfn.IFNA(VLOOKUP(Table2[[#This Row],[Lead Source]],'helper tab'!A:B,2,FALSE),"Exclude")</calculatedColumnFormula>
    </tableColumn>
    <tableColumn id="16" xr3:uid="{EAD7274B-1A24-4192-B8D7-8105FF16323C}" name="Opp Age (Total Age)" dataDxfId="22">
      <calculatedColumnFormula>TODAY() - Table2[[#This Row],[Created Date]]</calculatedColumnFormula>
    </tableColumn>
    <tableColumn id="17" xr3:uid="{2B7E909B-6AD2-44DF-BB5D-0998EA608D5E}" name="Late Stage Flag" dataDxfId="21">
      <calculatedColumnFormula>IF(OR(Table2[[#This Row],[Stage]]="Propose",Table2[[#This Row],[Stage]]="Procure"),1,0)</calculatedColumnFormula>
    </tableColumn>
    <tableColumn id="18" xr3:uid="{3354CCC7-20A4-42EF-9559-784DFDD3E83F}" name="Closed Flag" dataDxfId="20">
      <calculatedColumnFormula>IF(Table2[[#This Row],[Stage]]="Closed Won",1,0)</calculatedColumnFormula>
    </tableColumn>
    <tableColumn id="19" xr3:uid="{05A40B90-12AC-48E0-817D-5045AF161CC9}" name="Include in Aging Calc" dataDxfId="19">
      <calculatedColumnFormula>IFERROR(_xlfn.XLOOKUP(Table2[[#This Row],[Opportunity ID]],'Aging Detail'!$H$14:$H$20,'Aging Detail'!$F$14:$F$20),TRUE)</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B6CFAE-28BA-4A87-B502-D7DBE0B76125}" name="Table5" displayName="Table5" ref="A2:W250" totalsRowShown="0">
  <autoFilter ref="A2:W250" xr:uid="{F3B6CFAE-28BA-4A87-B502-D7DBE0B76125}"/>
  <tableColumns count="23">
    <tableColumn id="1" xr3:uid="{6554312B-EBDF-47FF-9BBD-1677EC095707}" name="Partner Pre-Pipeline: Partner Pre-Pipeline Name"/>
    <tableColumn id="2" xr3:uid="{EEE4DFB4-9BB4-4F70-8B08-2AB1E9B95779}" name="Partner Pre-Pipeline: Owner Name"/>
    <tableColumn id="3" xr3:uid="{A546E1C8-022E-49B6-B2A6-2574D91B7DBD}" name="Prospect Account Name"/>
    <tableColumn id="4" xr3:uid="{89E6399D-EB14-4FAE-AC84-E0CD4DFC25C4}" name="Status"/>
    <tableColumn id="5" xr3:uid="{A41DA948-5E44-489E-922B-F45F9FFEBD61}" name="Estimated ACV"/>
    <tableColumn id="6" xr3:uid="{7B8B45D0-33FF-4CEA-A9B6-C829605134D1}" name="Agent Count"/>
    <tableColumn id="7" xr3:uid="{887D6219-2C4F-4CED-A15F-109D819D1908}" name="Partner AE"/>
    <tableColumn id="8" xr3:uid="{A36D004B-EF73-4D32-BBB1-69A86550B87F}" name="Intradiem AE"/>
    <tableColumn id="9" xr3:uid="{71C1D2D7-D0BA-4435-91DA-6095B1F21B15}" name="Partner Category"/>
    <tableColumn id="10" xr3:uid="{80358E1D-2E0A-432F-8DF9-129F65510729}" name="Source"/>
    <tableColumn id="11" xr3:uid="{52CE00E6-6E58-45C4-B09D-D56C6FF9721D}" name="Priority"/>
    <tableColumn id="12" xr3:uid="{B5B82D63-C937-43D7-B9C8-C8C997543328}" name="Converted"/>
    <tableColumn id="13" xr3:uid="{19C6AE74-F3BB-4537-AAA3-5B66AA0861DD}" name="Converted Date"/>
    <tableColumn id="14" xr3:uid="{CE44E1F5-9222-419E-9AB4-A7D33BF00A12}" name="Converted Opportunity"/>
    <tableColumn id="15" xr3:uid="{B46AF633-98B0-40B1-9389-EC3002A8A35C}" name="Next Action Date" dataDxfId="18"/>
    <tableColumn id="16" xr3:uid="{EDD13593-F3D6-419D-9BA6-1606F6A7F4FA}" name="Engagement Source"/>
    <tableColumn id="17" xr3:uid="{5B875D63-9786-4D59-B5D5-BEFB567CDE3C}" name="Partner Pre-Pipeline: Created Date" dataDxfId="17"/>
    <tableColumn id="18" xr3:uid="{4B2385CA-EB0A-4BFD-B7A1-31EC649289F1}" name="First Customer Meeting Date" dataDxfId="16"/>
    <tableColumn id="19" xr3:uid="{9002B92B-25F8-4465-AFAD-D30754739A5F}" name="Second Customer Meeting Date"/>
    <tableColumn id="20" xr3:uid="{06C96523-36DE-40F8-8AB5-F1BD9D8C516D}" name="AE Intro Date" dataDxfId="15"/>
    <tableColumn id="21" xr3:uid="{CADB5E04-9E6C-43BD-9665-65AE26790979}" name="Partner Account"/>
    <tableColumn id="22" xr3:uid="{69A8DCD5-AAE5-40C7-8DA6-9F5EF8641EAC}" name="MQL Date" dataDxfId="14"/>
    <tableColumn id="23" xr3:uid="{0729F4A9-6CD6-4B10-8AEE-FF7F79526878}" name="First Meeting Helper" dataDxfId="13">
      <calculatedColumnFormula>IF(
OR(D3="Scheduling 1st customer meet",D3="Delivered 12 Minute Meeting",D3="Scheduling 2nd customer meet",D3="Converted to opportunity",D3="Delivered 12 Minute Meeting",D3="Delivered 40 Minute Meeting"),
IF(ISNUMBER(R3),R3,IF(ISNUMBER(V3),V3,"")),
""
)</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91CAF4-6D31-44E0-9F14-F07D124E7A0E}" name="Table4" displayName="Table4" ref="A1:M251" totalsRowShown="0" headerRowDxfId="12" dataDxfId="11">
  <autoFilter ref="A1:M251" xr:uid="{0791CAF4-6D31-44E0-9F14-F07D124E7A0E}"/>
  <tableColumns count="13">
    <tableColumn id="1" xr3:uid="{052B106F-C0D3-4EA7-A15F-778F28DF9275}" name="Name" dataDxfId="10"/>
    <tableColumn id="2" xr3:uid="{B8E6615E-EF6E-408B-BEB8-6332F88E1927}" name="Account" dataDxfId="9"/>
    <tableColumn id="3" xr3:uid="{EBA62DB4-2F4A-4907-B479-A5AD33919FF7}" name="Date of Meeting" dataDxfId="8"/>
    <tableColumn id="4" xr3:uid="{57EA455B-9F11-4919-9074-B09CC9DB0DDE}" name="Category" dataDxfId="7"/>
    <tableColumn id="5" xr3:uid="{D321F596-F0D8-4985-841F-54765CD79B86}" name="AE" dataDxfId="6"/>
    <tableColumn id="6" xr3:uid="{FDB57B65-66D4-44B4-AA6B-D48FC22E426E}" name="ISR" dataDxfId="5"/>
    <tableColumn id="7" xr3:uid="{CF567F35-5EA1-43E3-84DD-DCF507832A2A}" name="Meeting Complete" dataDxfId="4"/>
    <tableColumn id="8" xr3:uid="{99A4AFFF-CC89-492A-96A0-5E5B51F4A3F7}" name="Status" dataDxfId="3"/>
    <tableColumn id="9" xr3:uid="{F87DAB22-8CBA-4416-818F-FDA99F882B83}" name="Source" dataDxfId="2"/>
    <tableColumn id="10" xr3:uid="{F88AC2EA-4759-4F10-9066-8FA54D91CB63}" name="Stage" dataDxfId="1"/>
    <tableColumn id="11" xr3:uid="{01D898BF-F40F-4030-BEA0-13424687790C}" name="Channel" dataDxfId="0"/>
    <tableColumn id="12" xr3:uid="{2EE257D7-AA1C-48CC-8F33-800F1F1F5317}" name="Cold MQA Flag">
      <calculatedColumnFormula>IF(AND($K2="Cold",$B2&lt;&gt;"",$C2&gt;=EOMONTH('Cold Outreach'!$C$3,-1)+1,$C2&lt;=EOMONTH('Cold Outreach'!$C$3,0)),
IF(COUNTIFS($B$2:$B2,$B2,$K$2:$K2,"Cold",$C$2:$C2,"&gt;="&amp;EOMONTH('Cold Outreach'!$C$3,-1)+1,$C$2:$C2,"&lt;="&amp;EOMONTH('Cold Outreach'!$C$3,0))=1,1,0),
0)</calculatedColumnFormula>
    </tableColumn>
    <tableColumn id="13" xr3:uid="{558B15B8-76D2-430E-BFB2-1370F98050CC}" name="Cold_MQA_Rolling_Flag">
      <calculatedColumnFormula>IF(AND($K2="Cold",$B2&lt;&gt;"",$C2&gt;=EDATE(EOMONTH('Cold Outreach'!$C$3,-1)+1,-('Cold Outreach'!$N$2-1)),$C2&lt;=EOMONTH('Cold Outreach'!$C$3,0)),
IF(COUNTIFS($B$2:$B2,$B2,$K$2:$K2,"Cold",$C$2:$C2,"&gt;="&amp;EDATE(EOMONTH('Cold Outreach'!$C$3,-1)+1,-('Cold Outreach'!$N$2-1)),$C$2:$C2,"&lt;="&amp;EOMONTH('Cold Outreach'!$C$3,0))=1,1,0),
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X7" dT="2026-05-13T22:08:49.24" personId="{8E3B166F-A1FA-E54D-9F1E-E8BB45308F64}" id="{2964B396-2FE6-4FEB-B95E-2BA7F2EF9A48}">
    <text xml:space="preserve">Win Rate (Decided): Won Net New ACV ÷ (Won + Lost ACV) over the last 18 months. Only includes deals that reached a final decision, open pipeline is excluded. Higher = better close quality on decided deals </text>
  </threadedComment>
</ThreadedComments>
</file>

<file path=xl/threadedComments/threadedComment2.xml><?xml version="1.0" encoding="utf-8"?>
<ThreadedComments xmlns="http://schemas.microsoft.com/office/spreadsheetml/2018/threadedcomments" xmlns:x="http://schemas.openxmlformats.org/spreadsheetml/2006/main">
  <threadedComment ref="Z41" dT="2026-03-10T20:47:08.23" personId="{491C8F31-A5A3-4811-996C-E12CBD69C1C6}" id="{62E256A9-08C5-420B-9CDE-C9092E426AEA}">
    <text>4 leads according to SFDC report- https://intradiem2023.lightning.force.com/lightning/r/Report/00OV5000000YVB3MAO/view?queryScope=userFolders</text>
  </threadedComment>
</ThreadedComments>
</file>

<file path=xl/threadedComments/threadedComment3.xml><?xml version="1.0" encoding="utf-8"?>
<ThreadedComments xmlns="http://schemas.microsoft.com/office/spreadsheetml/2018/threadedcomments" xmlns:x="http://schemas.openxmlformats.org/spreadsheetml/2006/main">
  <threadedComment ref="G2" dT="2025-07-10T08:49:13.24" personId="{491C8F31-A5A3-4811-996C-E12CBD69C1C6}" id="{88D1A5DC-6603-4DBE-9E30-5AE8DA4F5859}">
    <text>First touch (11/2/22): Primary contact, Kimberly Wilkerson, converted on ROI calculator form via google ad
11/8/24: Oscar Barnes demo request via google ad</text>
  </threadedComment>
  <threadedComment ref="G2" dT="2025-07-10T10:00:17.03" personId="{491C8F31-A5A3-4811-996C-E12CBD69C1C6}" id="{2B5FE0F4-9E9B-4091-A92F-68BC752FF6BB}" parentId="{88D1A5DC-6603-4DBE-9E30-5AE8DA4F5859}">
    <text xml:space="preserve">10/8/24: Galina Petrenko demo req via Bing Organic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13E2181-44B7-44B5-A15C-175FB276FDE0}">
  <we:reference id="wa200009404" version="1.0.0.8" store="en-US" storeType="OMEX"/>
  <we:alternateReferences>
    <we:reference id="WA200009404" version="1.0.0.8" store="WA200009404" storeType="OMEX"/>
  </we:alternateReferences>
  <we:properties>
    <we:property name="claude.fileId" value="&quot;afa707fe-357d-40b5-947f-30f970517d90&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hyperlink" Target="https://intradiem2023.lightning.force.com/lightning/r/006V500000UBq0PIAT/view" TargetMode="External"/><Relationship Id="rId2" Type="http://schemas.openxmlformats.org/officeDocument/2006/relationships/hyperlink" Target="https://intradiem2023.lightning.force.com/lightning/r/006V500000Pc86DIAR/view" TargetMode="External"/><Relationship Id="rId1" Type="http://schemas.openxmlformats.org/officeDocument/2006/relationships/hyperlink" Target="https://intradiem2023.lightning.force.com/lightning/r/006V500000TwtWUIAZ/view" TargetMode="External"/><Relationship Id="rId4" Type="http://schemas.openxmlformats.org/officeDocument/2006/relationships/hyperlink" Target="https://intradiem2023.lightning.force.com/lightning/r/006V500000UBM5eIAH/view"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17" Type="http://schemas.openxmlformats.org/officeDocument/2006/relationships/hyperlink" Target="https://intradiem2023.lightning.force.com/lightning/r/Lead/00QV500000OKBj5MAH/view" TargetMode="External"/><Relationship Id="rId21" Type="http://schemas.openxmlformats.org/officeDocument/2006/relationships/hyperlink" Target="https://intradiem2023.lightning.force.com/lightning/r/Contact/003V500000ErlFHIAZ/view" TargetMode="External"/><Relationship Id="rId42" Type="http://schemas.openxmlformats.org/officeDocument/2006/relationships/hyperlink" Target="mailto:mark.thomas@wellcare.com" TargetMode="External"/><Relationship Id="rId63" Type="http://schemas.openxmlformats.org/officeDocument/2006/relationships/hyperlink" Target="mailto:silvia.glowka@covetrus.com" TargetMode="External"/><Relationship Id="rId84" Type="http://schemas.openxmlformats.org/officeDocument/2006/relationships/hyperlink" Target="https://www.bing.com/" TargetMode="External"/><Relationship Id="rId138" Type="http://schemas.openxmlformats.org/officeDocument/2006/relationships/hyperlink" Target="mailto:tonyamoney@ccast.net" TargetMode="External"/><Relationship Id="rId159" Type="http://schemas.openxmlformats.org/officeDocument/2006/relationships/hyperlink" Target="mailto:joreilly@accurate.com" TargetMode="External"/><Relationship Id="rId170" Type="http://schemas.openxmlformats.org/officeDocument/2006/relationships/hyperlink" Target="mailto:maryann.deguzman@alorica.com" TargetMode="External"/><Relationship Id="rId191" Type="http://schemas.openxmlformats.org/officeDocument/2006/relationships/hyperlink" Target="mailto:cari.brooks@carspp.com" TargetMode="External"/><Relationship Id="rId205" Type="http://schemas.openxmlformats.org/officeDocument/2006/relationships/hyperlink" Target="https://intradiem2023.lightning.force.com/lightning/r/Lead/00QV500000dXkC9MAK/view" TargetMode="External"/><Relationship Id="rId107" Type="http://schemas.openxmlformats.org/officeDocument/2006/relationships/hyperlink" Target="https://intradiem2023.my.salesforce.com/00QV500000NHCh3" TargetMode="External"/><Relationship Id="rId11" Type="http://schemas.openxmlformats.org/officeDocument/2006/relationships/hyperlink" Target="mailto:jonathan.lim@thomsonreuters.com" TargetMode="External"/><Relationship Id="rId32" Type="http://schemas.openxmlformats.org/officeDocument/2006/relationships/hyperlink" Target="mailto:ameer.salam@workforcemanagement101.com" TargetMode="External"/><Relationship Id="rId53" Type="http://schemas.openxmlformats.org/officeDocument/2006/relationships/hyperlink" Target="mailto:kevin.monaghan@dominionenergy.com" TargetMode="External"/><Relationship Id="rId74" Type="http://schemas.openxmlformats.org/officeDocument/2006/relationships/hyperlink" Target="https://intradiem2023.lightning.force.com/lightning/r/Lead/00QV500000KqTiOMAV/view" TargetMode="External"/><Relationship Id="rId128" Type="http://schemas.openxmlformats.org/officeDocument/2006/relationships/hyperlink" Target="https://pi.pardot.com/prospect/read/id/40388320" TargetMode="External"/><Relationship Id="rId149" Type="http://schemas.openxmlformats.org/officeDocument/2006/relationships/hyperlink" Target="mailto:samantha.lee1@asda.uk" TargetMode="External"/><Relationship Id="rId5" Type="http://schemas.openxmlformats.org/officeDocument/2006/relationships/hyperlink" Target="https://intradiem2023.lightning.force.com/lightning/r/Lead/00QV5000008Rr6rMAC/view" TargetMode="External"/><Relationship Id="rId95" Type="http://schemas.openxmlformats.org/officeDocument/2006/relationships/hyperlink" Target="mailto:arthur.springer@crashchampions.com" TargetMode="External"/><Relationship Id="rId160" Type="http://schemas.openxmlformats.org/officeDocument/2006/relationships/hyperlink" Target="https://intradiem2023.lightning.force.com/lightning/r/Lead/00QV500000SZKoaMAH/view" TargetMode="External"/><Relationship Id="rId181" Type="http://schemas.openxmlformats.org/officeDocument/2006/relationships/hyperlink" Target="mailto:rsmith@rhsmith.umd.edu" TargetMode="External"/><Relationship Id="rId216" Type="http://schemas.openxmlformats.org/officeDocument/2006/relationships/hyperlink" Target="https://intradiem2023.lightning.force.com/lightning/r/Lead/00QV500000eWsPeMAK/view" TargetMode="External"/><Relationship Id="rId22" Type="http://schemas.openxmlformats.org/officeDocument/2006/relationships/hyperlink" Target="mailto:gary.ersan@belairdirect.com" TargetMode="External"/><Relationship Id="rId43" Type="http://schemas.openxmlformats.org/officeDocument/2006/relationships/hyperlink" Target="mailto:chuck.blommaert@flagshipcredit.com" TargetMode="External"/><Relationship Id="rId64" Type="http://schemas.openxmlformats.org/officeDocument/2006/relationships/hyperlink" Target="https://intradiem2023.lightning.force.com/lightning/r/006V500000Do9iAIAR/view" TargetMode="External"/><Relationship Id="rId118" Type="http://schemas.openxmlformats.org/officeDocument/2006/relationships/hyperlink" Target="mailto:nicolelew@supplyhouse.com" TargetMode="External"/><Relationship Id="rId139" Type="http://schemas.openxmlformats.org/officeDocument/2006/relationships/hyperlink" Target="https://intradiem2023.lightning.force.com/lightning/r/Lead/00QV500000QBfyXMAT/view" TargetMode="External"/><Relationship Id="rId85" Type="http://schemas.openxmlformats.org/officeDocument/2006/relationships/hyperlink" Target="https://intradiem2023.lightning.force.com/lightning/r/Contact/003V50000067xBgIAI/view" TargetMode="External"/><Relationship Id="rId150" Type="http://schemas.openxmlformats.org/officeDocument/2006/relationships/hyperlink" Target="https://intradiem2023.lightning.force.com/lightning/r/Lead/00QV500000RUxBDMA1/view" TargetMode="External"/><Relationship Id="rId171" Type="http://schemas.openxmlformats.org/officeDocument/2006/relationships/hyperlink" Target="https://intradiem2023.lightning.force.com/lightning/r/Lead/00QV500000TtoJhMAJ/view" TargetMode="External"/><Relationship Id="rId192" Type="http://schemas.openxmlformats.org/officeDocument/2006/relationships/hyperlink" Target="https://intradiem2023.lightning.force.com/lightning/r/Lead/00QV500000bnIJRMA2/view" TargetMode="External"/><Relationship Id="rId206" Type="http://schemas.openxmlformats.org/officeDocument/2006/relationships/hyperlink" Target="mailto:tiedens.stephenie@principal.com" TargetMode="External"/><Relationship Id="rId12" Type="http://schemas.openxmlformats.org/officeDocument/2006/relationships/hyperlink" Target="https://intradiem2023.lightning.force.com/lightning/r/Lead/00QV500000B4wALMAZ/view" TargetMode="External"/><Relationship Id="rId33" Type="http://schemas.openxmlformats.org/officeDocument/2006/relationships/hyperlink" Target="https://intradiem2023.my.salesforce.com/00QV500000EE0U1MAL" TargetMode="External"/><Relationship Id="rId108" Type="http://schemas.openxmlformats.org/officeDocument/2006/relationships/hyperlink" Target="https://intradiem2023.lightning.force.com/lightning/r/Lead/00QV5000006N5nYMAS/view" TargetMode="External"/><Relationship Id="rId129" Type="http://schemas.openxmlformats.org/officeDocument/2006/relationships/hyperlink" Target="https://intradiem2023.lightning.force.com/lightning/r/Lead/00QV500000PtSOiMAN/view" TargetMode="External"/><Relationship Id="rId54" Type="http://schemas.openxmlformats.org/officeDocument/2006/relationships/hyperlink" Target="https://intradiem2023.lightning.force.com/lightning/r/006V500000CIfKLIA1/view" TargetMode="External"/><Relationship Id="rId75" Type="http://schemas.openxmlformats.org/officeDocument/2006/relationships/hyperlink" Target="https://www.google.com/" TargetMode="External"/><Relationship Id="rId96" Type="http://schemas.openxmlformats.org/officeDocument/2006/relationships/hyperlink" Target="https://intradiem2023.lightning.force.com/lightning/r/Lead/00QV500000LyxCRMAZ/view" TargetMode="External"/><Relationship Id="rId140" Type="http://schemas.openxmlformats.org/officeDocument/2006/relationships/hyperlink" Target="https://intradiem2023.lightning.force.com/lightning/r/Lead/00QV500000QdHTRMA3/view" TargetMode="External"/><Relationship Id="rId161" Type="http://schemas.openxmlformats.org/officeDocument/2006/relationships/hyperlink" Target="mailto:robmcgrath.rm@gmail.com" TargetMode="External"/><Relationship Id="rId182" Type="http://schemas.openxmlformats.org/officeDocument/2006/relationships/hyperlink" Target="mailto:tgibbins@lenarcorporation.com" TargetMode="External"/><Relationship Id="rId217" Type="http://schemas.openxmlformats.org/officeDocument/2006/relationships/hyperlink" Target="https://intradiem2023.lightning.force.com/lightning/r/Lead/00QV500000eoaPTMAY/view" TargetMode="External"/><Relationship Id="rId6" Type="http://schemas.openxmlformats.org/officeDocument/2006/relationships/hyperlink" Target="mailto:michelle.fox@ttec.com" TargetMode="External"/><Relationship Id="rId23" Type="http://schemas.openxmlformats.org/officeDocument/2006/relationships/hyperlink" Target="https://intradiem2023.lightning.force.com/lightning/r/Opportunity/006V5000009sOg5IAE/view" TargetMode="External"/><Relationship Id="rId119" Type="http://schemas.openxmlformats.org/officeDocument/2006/relationships/hyperlink" Target="https://intradiem2023.lightning.force.com/lightning/r/Lead/00QV500000Obt7oMAB/view" TargetMode="External"/><Relationship Id="rId44" Type="http://schemas.openxmlformats.org/officeDocument/2006/relationships/hyperlink" Target="https://intradiem2023.lightning.force.com/lightning/r/Contact/003V500000671jPIAQ/view" TargetMode="External"/><Relationship Id="rId65" Type="http://schemas.openxmlformats.org/officeDocument/2006/relationships/hyperlink" Target="https://intradiem2023.lightning.force.com/lightning/r/Lead/00QV500000Hi2QxMAJ/view" TargetMode="External"/><Relationship Id="rId86" Type="http://schemas.openxmlformats.org/officeDocument/2006/relationships/hyperlink" Target="mailto:julie.owens@uk.g4s.com" TargetMode="External"/><Relationship Id="rId130" Type="http://schemas.openxmlformats.org/officeDocument/2006/relationships/hyperlink" Target="https://pi.pardot.com/prospect/read?id=40412140" TargetMode="External"/><Relationship Id="rId151" Type="http://schemas.openxmlformats.org/officeDocument/2006/relationships/hyperlink" Target="mailto:jollyjoe@quakerhoughtonind.com" TargetMode="External"/><Relationship Id="rId172" Type="http://schemas.openxmlformats.org/officeDocument/2006/relationships/hyperlink" Target="mailto:rebekah.kilpatrick@stitchfix.com" TargetMode="External"/><Relationship Id="rId193" Type="http://schemas.openxmlformats.org/officeDocument/2006/relationships/hyperlink" Target="mailto:gideon@ghubllc.com" TargetMode="External"/><Relationship Id="rId207" Type="http://schemas.openxmlformats.org/officeDocument/2006/relationships/hyperlink" Target="https://intradiem2023.lightning.force.com/lightning/_classic/%2F003V50000067IO7IAM" TargetMode="External"/><Relationship Id="rId13" Type="http://schemas.openxmlformats.org/officeDocument/2006/relationships/hyperlink" Target="mailto:dwight.simpson@gainwelltechnologies.com" TargetMode="External"/><Relationship Id="rId109" Type="http://schemas.openxmlformats.org/officeDocument/2006/relationships/hyperlink" Target="https://intradiem2023.lightning.force.com/lightning/r/Lead/00QV5000006N7myMAC/view" TargetMode="External"/><Relationship Id="rId34" Type="http://schemas.openxmlformats.org/officeDocument/2006/relationships/hyperlink" Target="mailto:dspurlock@techstyle.com" TargetMode="External"/><Relationship Id="rId55" Type="http://schemas.openxmlformats.org/officeDocument/2006/relationships/hyperlink" Target="https://intradiem2023.lightning.force.com/lightning/r/Contact/003V500000680fcIAA/view" TargetMode="External"/><Relationship Id="rId76" Type="http://schemas.openxmlformats.org/officeDocument/2006/relationships/hyperlink" Target="https://intradiem2023.lightning.force.com/lightning/r/006V500000Fw2NOIAZ/view" TargetMode="External"/><Relationship Id="rId97" Type="http://schemas.openxmlformats.org/officeDocument/2006/relationships/hyperlink" Target="https://intradiem2023.lightning.force.com/lightning/r/Lead/00QV500000M6l9HMAR/view" TargetMode="External"/><Relationship Id="rId120" Type="http://schemas.openxmlformats.org/officeDocument/2006/relationships/hyperlink" Target="mailto:jsabatos@ryconic.com" TargetMode="External"/><Relationship Id="rId141" Type="http://schemas.openxmlformats.org/officeDocument/2006/relationships/hyperlink" Target="https://intradiem2023.lightning.force.com/lightning/r/Lead/00QV500000OdupMMAR/view" TargetMode="External"/><Relationship Id="rId7" Type="http://schemas.openxmlformats.org/officeDocument/2006/relationships/hyperlink" Target="mailto:alexander.barr@uk.g4s.com" TargetMode="External"/><Relationship Id="rId162" Type="http://schemas.openxmlformats.org/officeDocument/2006/relationships/hyperlink" Target="https://intradiem2023.lightning.force.com/lightning/r/Lead/00QV500000SzOuyMAF/view" TargetMode="External"/><Relationship Id="rId183" Type="http://schemas.openxmlformats.org/officeDocument/2006/relationships/hyperlink" Target="mailto:besimpson@tiaa.org" TargetMode="External"/><Relationship Id="rId218" Type="http://schemas.openxmlformats.org/officeDocument/2006/relationships/hyperlink" Target="https://intradiem2023.lightning.force.com/lightning/r/Lead/00QV500000fAq7PMAS/view" TargetMode="External"/><Relationship Id="rId24" Type="http://schemas.openxmlformats.org/officeDocument/2006/relationships/hyperlink" Target="https://intradiem2023.lightning.force.com/lightning/r/Contact/003V500000675FHIAY/view" TargetMode="External"/><Relationship Id="rId45" Type="http://schemas.openxmlformats.org/officeDocument/2006/relationships/hyperlink" Target="mailto:Jake_turner@manulife.ca" TargetMode="External"/><Relationship Id="rId66" Type="http://schemas.openxmlformats.org/officeDocument/2006/relationships/hyperlink" Target="mailto:charlemagne.canela@capitalone.com" TargetMode="External"/><Relationship Id="rId87" Type="http://schemas.openxmlformats.org/officeDocument/2006/relationships/hyperlink" Target="https://intradiem2023.lightning.force.com/lightning/r/Lead/00QV500000KW6BoMAL/view" TargetMode="External"/><Relationship Id="rId110" Type="http://schemas.openxmlformats.org/officeDocument/2006/relationships/hyperlink" Target="https://intradiem2023.lightning.force.com/lightning/r/Lead/00QV5000006N7lmMAC/view" TargetMode="External"/><Relationship Id="rId131" Type="http://schemas.openxmlformats.org/officeDocument/2006/relationships/hyperlink" Target="https://intradiem2023.lightning.force.com/lightning/r/Lead/00QV500000QBfyXMAT/view" TargetMode="External"/><Relationship Id="rId152" Type="http://schemas.openxmlformats.org/officeDocument/2006/relationships/hyperlink" Target="https://intradiem2023.lightning.force.com/lightning/r/Lead/00QV500000RiT5BMAV/view" TargetMode="External"/><Relationship Id="rId173" Type="http://schemas.openxmlformats.org/officeDocument/2006/relationships/hyperlink" Target="https://intradiem2023.lightning.force.com/lightning/r/Lead/00QV500000U8bXSMAZ/view" TargetMode="External"/><Relationship Id="rId194" Type="http://schemas.openxmlformats.org/officeDocument/2006/relationships/hyperlink" Target="mailto:bseverson@mandslnc.com" TargetMode="External"/><Relationship Id="rId208" Type="http://schemas.openxmlformats.org/officeDocument/2006/relationships/hyperlink" Target="mailto:kseniya.piniagina@indriver.com" TargetMode="External"/><Relationship Id="rId14" Type="http://schemas.openxmlformats.org/officeDocument/2006/relationships/hyperlink" Target="https://intradiem2023.lightning.force.com/lightning/r/Lead/00QV500000BI9eRMAT/view" TargetMode="External"/><Relationship Id="rId30" Type="http://schemas.openxmlformats.org/officeDocument/2006/relationships/hyperlink" Target="https://intradiem2023.lightning.force.com/lightning/r/Contact/003V500000I7JtCIAV/view" TargetMode="External"/><Relationship Id="rId35" Type="http://schemas.openxmlformats.org/officeDocument/2006/relationships/hyperlink" Target="https://intradiem2023.lightning.force.com/lightning/r/006V500000BjNoXIAV/view" TargetMode="External"/><Relationship Id="rId56" Type="http://schemas.openxmlformats.org/officeDocument/2006/relationships/hyperlink" Target="mailto:stankoy@wawanesa.com" TargetMode="External"/><Relationship Id="rId77" Type="http://schemas.openxmlformats.org/officeDocument/2006/relationships/hyperlink" Target="https://intradiem2023.lightning.force.com/lightning/r/Contact/003V50000067k9IIAQ/view" TargetMode="External"/><Relationship Id="rId100" Type="http://schemas.openxmlformats.org/officeDocument/2006/relationships/hyperlink" Target="https://intradiem2023.lightning.force.com/lightning/r/Opportunity/006V500000HzDTEIA3/view" TargetMode="External"/><Relationship Id="rId105" Type="http://schemas.openxmlformats.org/officeDocument/2006/relationships/hyperlink" Target="https://intradiem2023.my.salesforce.com/00QV500000N9N3P" TargetMode="External"/><Relationship Id="rId126" Type="http://schemas.openxmlformats.org/officeDocument/2006/relationships/hyperlink" Target="mailto:wenzel.s.buaquina@ttec.com" TargetMode="External"/><Relationship Id="rId147" Type="http://schemas.openxmlformats.org/officeDocument/2006/relationships/hyperlink" Target="https://intradiem2023.lightning.force.com/lightning/r/Lead/00QV500000RGZiEMAX/view" TargetMode="External"/><Relationship Id="rId168" Type="http://schemas.openxmlformats.org/officeDocument/2006/relationships/hyperlink" Target="mailto:hope.cerda@concentrix.com" TargetMode="External"/><Relationship Id="rId8" Type="http://schemas.openxmlformats.org/officeDocument/2006/relationships/hyperlink" Target="mailto:galina.petrenko@qualfon.com" TargetMode="External"/><Relationship Id="rId51" Type="http://schemas.openxmlformats.org/officeDocument/2006/relationships/hyperlink" Target="https://intradiem2023.lightning.force.com/lightning/r/Contact/003V500000MBSHVIA5/view" TargetMode="External"/><Relationship Id="rId72" Type="http://schemas.openxmlformats.org/officeDocument/2006/relationships/hyperlink" Target="https://www.google.com/" TargetMode="External"/><Relationship Id="rId93" Type="http://schemas.openxmlformats.org/officeDocument/2006/relationships/hyperlink" Target="mailto:vdelgado@sistemasmer.com" TargetMode="External"/><Relationship Id="rId98" Type="http://schemas.openxmlformats.org/officeDocument/2006/relationships/hyperlink" Target="mailto:cbellin@independenceamerican.com" TargetMode="External"/><Relationship Id="rId121" Type="http://schemas.openxmlformats.org/officeDocument/2006/relationships/hyperlink" Target="https://intradiem2023.lightning.force.com/lightning/r/Lead/00QV500000OdupMMAR/view" TargetMode="External"/><Relationship Id="rId142" Type="http://schemas.openxmlformats.org/officeDocument/2006/relationships/hyperlink" Target="https://pi.pardot.com/prospect/read?id=40527997" TargetMode="External"/><Relationship Id="rId163" Type="http://schemas.openxmlformats.org/officeDocument/2006/relationships/hyperlink" Target="https://intradiem2023.lightning.force.com/lightning/r/Lead/00QV500000TAWnWMAX/view" TargetMode="External"/><Relationship Id="rId184" Type="http://schemas.openxmlformats.org/officeDocument/2006/relationships/hyperlink" Target="mailto:mmperez@gmv.es" TargetMode="External"/><Relationship Id="rId189" Type="http://schemas.openxmlformats.org/officeDocument/2006/relationships/hyperlink" Target="https://pi.pardot.com/prospect/read?id=31211527" TargetMode="External"/><Relationship Id="rId3" Type="http://schemas.openxmlformats.org/officeDocument/2006/relationships/hyperlink" Target="mailto:kevin.obrien@homeserveusa.com" TargetMode="External"/><Relationship Id="rId214" Type="http://schemas.openxmlformats.org/officeDocument/2006/relationships/hyperlink" Target="mailto:oscar.torrealva@veritycu.com" TargetMode="External"/><Relationship Id="rId25" Type="http://schemas.openxmlformats.org/officeDocument/2006/relationships/hyperlink" Target="mailto:chris.bateson@marshmallow.co" TargetMode="External"/><Relationship Id="rId46" Type="http://schemas.openxmlformats.org/officeDocument/2006/relationships/hyperlink" Target="https://intradiem2023.lightning.force.com/lightning/r/006V500000FX5bOIAT/view" TargetMode="External"/><Relationship Id="rId67" Type="http://schemas.openxmlformats.org/officeDocument/2006/relationships/hyperlink" Target="mailto:hayden.bowman@hilton.com" TargetMode="External"/><Relationship Id="rId116" Type="http://schemas.openxmlformats.org/officeDocument/2006/relationships/hyperlink" Target="mailto:b.cruz@virtualhelppartner.com" TargetMode="External"/><Relationship Id="rId137" Type="http://schemas.openxmlformats.org/officeDocument/2006/relationships/hyperlink" Target="https://intradiem2023.lightning.force.com/lightning/r/Lead/00QV500000QT6BAMA1/view" TargetMode="External"/><Relationship Id="rId158" Type="http://schemas.openxmlformats.org/officeDocument/2006/relationships/hyperlink" Target="https://intradiem2023.lightning.force.com/lightning/r/Lead/00QV500000SHWkzMAH/view" TargetMode="External"/><Relationship Id="rId20" Type="http://schemas.openxmlformats.org/officeDocument/2006/relationships/hyperlink" Target="https://intradiem2023.lightning.force.com/lightning/r/006V50000052eDAIAY/view" TargetMode="External"/><Relationship Id="rId41" Type="http://schemas.openxmlformats.org/officeDocument/2006/relationships/hyperlink" Target="mailto:chloe.batts@bannerhealth.com" TargetMode="External"/><Relationship Id="rId62" Type="http://schemas.openxmlformats.org/officeDocument/2006/relationships/hyperlink" Target="https://intradiem2023.lightning.force.com/lightning/r/Contact/003V50000067lVEIAY/view" TargetMode="External"/><Relationship Id="rId83" Type="http://schemas.openxmlformats.org/officeDocument/2006/relationships/hyperlink" Target="mailto:chris.serafini@qualfon.com" TargetMode="External"/><Relationship Id="rId88" Type="http://schemas.openxmlformats.org/officeDocument/2006/relationships/hyperlink" Target="mailto:kyle.baker@datavant.com" TargetMode="External"/><Relationship Id="rId111" Type="http://schemas.openxmlformats.org/officeDocument/2006/relationships/hyperlink" Target="mailto:ekansh.barthwal@binaconf.com" TargetMode="External"/><Relationship Id="rId132" Type="http://schemas.openxmlformats.org/officeDocument/2006/relationships/hyperlink" Target="mailto:bunny.bates@gusto.com" TargetMode="External"/><Relationship Id="rId153" Type="http://schemas.openxmlformats.org/officeDocument/2006/relationships/hyperlink" Target="mailto:carolyne.truelove@aa.com" TargetMode="External"/><Relationship Id="rId174" Type="http://schemas.openxmlformats.org/officeDocument/2006/relationships/hyperlink" Target="mailto:claudine.poole@ca.mcd.com" TargetMode="External"/><Relationship Id="rId179" Type="http://schemas.openxmlformats.org/officeDocument/2006/relationships/hyperlink" Target="mailto:sudi@mandyam.me" TargetMode="External"/><Relationship Id="rId195" Type="http://schemas.openxmlformats.org/officeDocument/2006/relationships/hyperlink" Target="https://intradiem2023.lightning.force.com/lightning/r/Lead/00QV500000d9cdtMAA/view" TargetMode="External"/><Relationship Id="rId209" Type="http://schemas.openxmlformats.org/officeDocument/2006/relationships/hyperlink" Target="https://intradiem2023.lightning.force.com/lightning/r/Lead/00QV500000dfKFfMAM/view" TargetMode="External"/><Relationship Id="rId190" Type="http://schemas.openxmlformats.org/officeDocument/2006/relationships/hyperlink" Target="mailto:sachan.akhil@bcg.com" TargetMode="External"/><Relationship Id="rId204" Type="http://schemas.openxmlformats.org/officeDocument/2006/relationships/hyperlink" Target="mailto:madeline.sacripanti@instructure.com" TargetMode="External"/><Relationship Id="rId15" Type="http://schemas.openxmlformats.org/officeDocument/2006/relationships/hyperlink" Target="mailto:areddy@hhamedicine.com" TargetMode="External"/><Relationship Id="rId36" Type="http://schemas.openxmlformats.org/officeDocument/2006/relationships/hyperlink" Target="https://intradiem2023.lightning.force.com/lightning/r/Lead/00QV5000009xIOtMAM/view" TargetMode="External"/><Relationship Id="rId57" Type="http://schemas.openxmlformats.org/officeDocument/2006/relationships/hyperlink" Target="https://intradiem2023.lightning.force.com/lightning/r/006V500000D7Mp9IAF/view" TargetMode="External"/><Relationship Id="rId106" Type="http://schemas.openxmlformats.org/officeDocument/2006/relationships/hyperlink" Target="https://pi.pardot.com/prospect/read?id=39782317" TargetMode="External"/><Relationship Id="rId127" Type="http://schemas.openxmlformats.org/officeDocument/2006/relationships/hyperlink" Target="https://intradiem2023.lightning.force.com/lightning/r/Lead/00QV5000009uLTXMA2/view" TargetMode="External"/><Relationship Id="rId10" Type="http://schemas.openxmlformats.org/officeDocument/2006/relationships/hyperlink" Target="https://intradiem2023.lightning.force.com/lightning/r/006V5000009argaIAA/view" TargetMode="External"/><Relationship Id="rId31" Type="http://schemas.openxmlformats.org/officeDocument/2006/relationships/hyperlink" Target="https://intradiem2023.lightning.force.com/lightning/r/Contact/003V50000067VW1IAM/view" TargetMode="External"/><Relationship Id="rId52" Type="http://schemas.openxmlformats.org/officeDocument/2006/relationships/hyperlink" Target="https://intradiem.sharepoint.com/:u:/s/Marketing/EWXcGdB6NwBHnwxJHTCSsbkBBcrHV05XUSJ9bX1aG5i5uQ?e=tHsZKl" TargetMode="External"/><Relationship Id="rId73" Type="http://schemas.openxmlformats.org/officeDocument/2006/relationships/hyperlink" Target="https://intradiem2023.lightning.force.com/lightning/r/Lead/00QV500000KTD82MAH/view" TargetMode="External"/><Relationship Id="rId78" Type="http://schemas.openxmlformats.org/officeDocument/2006/relationships/hyperlink" Target="https://de3e40908ca541d2b66fa733cfd37e0b.pages.ubembed.com/" TargetMode="External"/><Relationship Id="rId94" Type="http://schemas.openxmlformats.org/officeDocument/2006/relationships/hyperlink" Target="https://intradiem2023.lightning.force.com/lightning/r/Lead/00QV500000LjhazMAB/view" TargetMode="External"/><Relationship Id="rId99" Type="http://schemas.openxmlformats.org/officeDocument/2006/relationships/hyperlink" Target="https://intradiem2023.lightning.force.com/lightning/r/Lead/00QV500000MRpt0MAD/view" TargetMode="External"/><Relationship Id="rId101" Type="http://schemas.openxmlformats.org/officeDocument/2006/relationships/hyperlink" Target="https://intradiem2023.lightning.force.com/lightning/r/Lead/00QV500000MjLTVMA3/view" TargetMode="External"/><Relationship Id="rId122" Type="http://schemas.openxmlformats.org/officeDocument/2006/relationships/hyperlink" Target="mailto:sara.smith@kidshelpphone.ca" TargetMode="External"/><Relationship Id="rId143" Type="http://schemas.openxmlformats.org/officeDocument/2006/relationships/hyperlink" Target="https://intradiem2023.lightning.force.com/lightning/r/Lead/00QV500000R2565MAB/view" TargetMode="External"/><Relationship Id="rId148" Type="http://schemas.openxmlformats.org/officeDocument/2006/relationships/hyperlink" Target="https://intradiem2023.lightning.force.com/lightning/r/Lead/00QV500000RSfBzMAL/view" TargetMode="External"/><Relationship Id="rId164" Type="http://schemas.openxmlformats.org/officeDocument/2006/relationships/hyperlink" Target="mailto:mhamilton2@aflac.com" TargetMode="External"/><Relationship Id="rId169" Type="http://schemas.openxmlformats.org/officeDocument/2006/relationships/hyperlink" Target="https://intradiem2023.lightning.force.com/lightning/_classic/%2F00QV500000TRlrlMAD" TargetMode="External"/><Relationship Id="rId185" Type="http://schemas.openxmlformats.org/officeDocument/2006/relationships/hyperlink" Target="mailto:a.mambetbayeva@outsource.gov.uz" TargetMode="External"/><Relationship Id="rId4" Type="http://schemas.openxmlformats.org/officeDocument/2006/relationships/hyperlink" Target="https://intradiem2023.lightning.force.com/lightning/r/Opportunity/006V500000BKQ4rIAH/view" TargetMode="External"/><Relationship Id="rId9" Type="http://schemas.openxmlformats.org/officeDocument/2006/relationships/hyperlink" Target="https://www.youtube.com/,%20https:/chatgpt.com/,%20https:/www.bing.com/" TargetMode="External"/><Relationship Id="rId180" Type="http://schemas.openxmlformats.org/officeDocument/2006/relationships/hyperlink" Target="https://intradiem2023.lightning.force.com/lightning/r/Lead/00QV500000XuGQZMA3/view" TargetMode="External"/><Relationship Id="rId210" Type="http://schemas.openxmlformats.org/officeDocument/2006/relationships/hyperlink" Target="mailto:pratiksha.barmera@chase.com" TargetMode="External"/><Relationship Id="rId215" Type="http://schemas.openxmlformats.org/officeDocument/2006/relationships/hyperlink" Target="mailto:donette.leathers@verizonwireless.com" TargetMode="External"/><Relationship Id="rId26" Type="http://schemas.openxmlformats.org/officeDocument/2006/relationships/hyperlink" Target="https://intradiem2023.lightning.force.com/lightning/r/Lead/00QV500000D6vgsMAB/view" TargetMode="External"/><Relationship Id="rId47" Type="http://schemas.openxmlformats.org/officeDocument/2006/relationships/hyperlink" Target="https://intradiem2023.lightning.force.com/lightning/r/006V500000G2bDcIAJ/view" TargetMode="External"/><Relationship Id="rId68" Type="http://schemas.openxmlformats.org/officeDocument/2006/relationships/hyperlink" Target="mailto:morgan.minogue@hummingbird.healthcare" TargetMode="External"/><Relationship Id="rId89" Type="http://schemas.openxmlformats.org/officeDocument/2006/relationships/hyperlink" Target="https://www.linkedin.com/" TargetMode="External"/><Relationship Id="rId112" Type="http://schemas.openxmlformats.org/officeDocument/2006/relationships/hyperlink" Target="https://intradiem2023.lightning.force.com/lightning/_classic/%2F00QV500000NuyAjMAJ" TargetMode="External"/><Relationship Id="rId133" Type="http://schemas.openxmlformats.org/officeDocument/2006/relationships/hyperlink" Target="https://intradiem2023.lightning.force.com/lightning/r/Lead/00QV5000009uMVzMAM/view" TargetMode="External"/><Relationship Id="rId154" Type="http://schemas.openxmlformats.org/officeDocument/2006/relationships/hyperlink" Target="https://intradiem2023.lightning.force.com/lightning/r/Lead/00QV500000SGTXPMA5/view" TargetMode="External"/><Relationship Id="rId175" Type="http://schemas.openxmlformats.org/officeDocument/2006/relationships/hyperlink" Target="https://intradiem2023.lightning.force.com/lightning/r/Lead/00QV500000UOBDxMAP/view" TargetMode="External"/><Relationship Id="rId196" Type="http://schemas.openxmlformats.org/officeDocument/2006/relationships/hyperlink" Target="mailto:adam.bowcutt@autogeneral.com.au" TargetMode="External"/><Relationship Id="rId200" Type="http://schemas.openxmlformats.org/officeDocument/2006/relationships/hyperlink" Target="mailto:arushi@actionfi.com" TargetMode="External"/><Relationship Id="rId16" Type="http://schemas.openxmlformats.org/officeDocument/2006/relationships/hyperlink" Target="https://intradiem2023.lightning.force.com/lightning/r/Lead/00QV500000BWtkbMAD/view" TargetMode="External"/><Relationship Id="rId37" Type="http://schemas.openxmlformats.org/officeDocument/2006/relationships/hyperlink" Target="mailto:jsnn@capgroup.com" TargetMode="External"/><Relationship Id="rId58" Type="http://schemas.openxmlformats.org/officeDocument/2006/relationships/hyperlink" Target="https://intradiem2023.lightning.force.com/lightning/r/Contact/003V50000067dxLIAQ/view" TargetMode="External"/><Relationship Id="rId79" Type="http://schemas.openxmlformats.org/officeDocument/2006/relationships/hyperlink" Target="https://intradiem2023.lightning.force.com/lightning/r/Lead/00QV500000L10I1MAJ/view" TargetMode="External"/><Relationship Id="rId102" Type="http://schemas.openxmlformats.org/officeDocument/2006/relationships/hyperlink" Target="https://intradiem2023.lightning.force.com/lightning/r/Lead/00QV500000Mjnw2MAB/view" TargetMode="External"/><Relationship Id="rId123" Type="http://schemas.openxmlformats.org/officeDocument/2006/relationships/hyperlink" Target="https://intradiem2023.lightning.force.com/lightning/r/Lead/00QV500000OjdIjMAJ/view" TargetMode="External"/><Relationship Id="rId144" Type="http://schemas.openxmlformats.org/officeDocument/2006/relationships/hyperlink" Target="mailto:gabriel.martinez@biomerieux.com" TargetMode="External"/><Relationship Id="rId90" Type="http://schemas.openxmlformats.org/officeDocument/2006/relationships/hyperlink" Target="https://intradiem2023.lightning.force.com/lightning/r/Lead/00QV500000JwxXuMAJ/view" TargetMode="External"/><Relationship Id="rId165" Type="http://schemas.openxmlformats.org/officeDocument/2006/relationships/hyperlink" Target="https://intradiem2023.lightning.force.com/lightning/r/Lead/00QV500000FXbGIMA1/view" TargetMode="External"/><Relationship Id="rId186" Type="http://schemas.openxmlformats.org/officeDocument/2006/relationships/hyperlink" Target="mailto:tthigpen@amplifai.com" TargetMode="External"/><Relationship Id="rId211" Type="http://schemas.openxmlformats.org/officeDocument/2006/relationships/hyperlink" Target="https://intradiem2023.lightning.force.com/lightning/r/Lead/00QV500000dgCcfMAE/view" TargetMode="External"/><Relationship Id="rId27" Type="http://schemas.openxmlformats.org/officeDocument/2006/relationships/hyperlink" Target="mailto:ryan.phillabaum@betmgm.com" TargetMode="External"/><Relationship Id="rId48" Type="http://schemas.openxmlformats.org/officeDocument/2006/relationships/hyperlink" Target="https://intradiem2023.lightning.force.com/lightning/r/Contact/003V500000KLqePIAT/view" TargetMode="External"/><Relationship Id="rId69" Type="http://schemas.openxmlformats.org/officeDocument/2006/relationships/hyperlink" Target="https://intradiem2023.lightning.force.com/lightning/r/Opportunity/006V500000FttMbIAJ/view" TargetMode="External"/><Relationship Id="rId113" Type="http://schemas.openxmlformats.org/officeDocument/2006/relationships/hyperlink" Target="mailto:mark.obrien@dpr-grp.com" TargetMode="External"/><Relationship Id="rId134" Type="http://schemas.openxmlformats.org/officeDocument/2006/relationships/hyperlink" Target="mailto:susan.cohen@iopex.com" TargetMode="External"/><Relationship Id="rId80" Type="http://schemas.openxmlformats.org/officeDocument/2006/relationships/hyperlink" Target="mailto:sian.pedder@nhsbsa.nhs.uk" TargetMode="External"/><Relationship Id="rId155" Type="http://schemas.openxmlformats.org/officeDocument/2006/relationships/hyperlink" Target="mailto:josholson@binghammechanical.cam" TargetMode="External"/><Relationship Id="rId176" Type="http://schemas.openxmlformats.org/officeDocument/2006/relationships/hyperlink" Target="mailto:smelander@northmarq.com" TargetMode="External"/><Relationship Id="rId197" Type="http://schemas.openxmlformats.org/officeDocument/2006/relationships/hyperlink" Target="https://intradiem2023.lightning.force.com/lightning/r/Lead/00QV500000dKqX4MAK/view" TargetMode="External"/><Relationship Id="rId201" Type="http://schemas.openxmlformats.org/officeDocument/2006/relationships/hyperlink" Target="https://intradiem2023.lightning.force.com/lightning/_classic/%2F00QV500000dGc9KMAS" TargetMode="External"/><Relationship Id="rId17" Type="http://schemas.openxmlformats.org/officeDocument/2006/relationships/hyperlink" Target="mailto:wrowlan@rei.com" TargetMode="External"/><Relationship Id="rId38" Type="http://schemas.openxmlformats.org/officeDocument/2006/relationships/hyperlink" Target="http://pages.intradiem.com/boost-employee-engagement-reduce-costly-attrition/%20(unbounce%20lander" TargetMode="External"/><Relationship Id="rId59" Type="http://schemas.openxmlformats.org/officeDocument/2006/relationships/hyperlink" Target="https://intradiem2023.lightning.force.com/lightning/r/006V500000D2yK1IAJ/view" TargetMode="External"/><Relationship Id="rId103" Type="http://schemas.openxmlformats.org/officeDocument/2006/relationships/hyperlink" Target="https://intradiem2023.lightning.force.com/lightning/r/Lead/00QV500000N0Pu2MAF/view" TargetMode="External"/><Relationship Id="rId124" Type="http://schemas.openxmlformats.org/officeDocument/2006/relationships/hyperlink" Target="mailto:tiffany.tucker@gafg.com" TargetMode="External"/><Relationship Id="rId70" Type="http://schemas.openxmlformats.org/officeDocument/2006/relationships/hyperlink" Target="https://intradiem2023.lightning.force.com/lightning/r/Lead/00QV500000KASKUMA5/view" TargetMode="External"/><Relationship Id="rId91" Type="http://schemas.openxmlformats.org/officeDocument/2006/relationships/hyperlink" Target="mailto:aizel.mcgarry@teknowledge.com" TargetMode="External"/><Relationship Id="rId145" Type="http://schemas.openxmlformats.org/officeDocument/2006/relationships/hyperlink" Target="https://intradiem2023.lightning.force.com/lightning/r/Lead/00QV500000REZzFMAX/view" TargetMode="External"/><Relationship Id="rId166" Type="http://schemas.openxmlformats.org/officeDocument/2006/relationships/hyperlink" Target="mailto:kpavlova@taxninja.com" TargetMode="External"/><Relationship Id="rId187" Type="http://schemas.openxmlformats.org/officeDocument/2006/relationships/hyperlink" Target="https://intradiem2023.lightning.force.com/lightning/r/Lead/00QV500000aOZ4jMAG/view" TargetMode="External"/><Relationship Id="rId1" Type="http://schemas.openxmlformats.org/officeDocument/2006/relationships/hyperlink" Target="https://intradiem2023.lightning.force.com/lightning/r/Lead/00QV5000007XSb0MAG/view" TargetMode="External"/><Relationship Id="rId212" Type="http://schemas.openxmlformats.org/officeDocument/2006/relationships/hyperlink" Target="https://www.linkedin.com/in/madeline-sacripanti-01236320a/" TargetMode="External"/><Relationship Id="rId28" Type="http://schemas.openxmlformats.org/officeDocument/2006/relationships/hyperlink" Target="https://intradiem2023.lightning.force.com/lightning/r/006V500000B6SmTIAV/view" TargetMode="External"/><Relationship Id="rId49" Type="http://schemas.openxmlformats.org/officeDocument/2006/relationships/hyperlink" Target="mailto:michelle_scott@racv.com.au" TargetMode="External"/><Relationship Id="rId114" Type="http://schemas.openxmlformats.org/officeDocument/2006/relationships/hyperlink" Target="https://intradiem2023.lightning.force.com/lightning/r/Lead/00QV500000OADEHMA5/view" TargetMode="External"/><Relationship Id="rId60" Type="http://schemas.openxmlformats.org/officeDocument/2006/relationships/hyperlink" Target="mailto:cjai@caasco.ca" TargetMode="External"/><Relationship Id="rId81" Type="http://schemas.openxmlformats.org/officeDocument/2006/relationships/hyperlink" Target="https://www.ecosia.org/" TargetMode="External"/><Relationship Id="rId135" Type="http://schemas.openxmlformats.org/officeDocument/2006/relationships/hyperlink" Target="https://intradiem2023.lightning.force.com/lightning/r/Lead/00QV500000QTzvZMAT/view" TargetMode="External"/><Relationship Id="rId156" Type="http://schemas.openxmlformats.org/officeDocument/2006/relationships/hyperlink" Target="https://intradiem2023.lightning.force.com/lightning/r/Lead/00QV500000SH73PMAT/view" TargetMode="External"/><Relationship Id="rId177" Type="http://schemas.openxmlformats.org/officeDocument/2006/relationships/hyperlink" Target="https://intradiem2023.lightning.force.com/lightning/r/Lead/00QV500000UW7puMAD/view" TargetMode="External"/><Relationship Id="rId198" Type="http://schemas.openxmlformats.org/officeDocument/2006/relationships/hyperlink" Target="mailto:shivani.collinson@autogeneral.com.au" TargetMode="External"/><Relationship Id="rId202" Type="http://schemas.openxmlformats.org/officeDocument/2006/relationships/hyperlink" Target="mailto:jdemello@hubspot.com" TargetMode="External"/><Relationship Id="rId18" Type="http://schemas.openxmlformats.org/officeDocument/2006/relationships/hyperlink" Target="https://intradiem2023.lightning.force.com/lightning/r/Lead/00QV500000CBCRyMAP/view" TargetMode="External"/><Relationship Id="rId39" Type="http://schemas.openxmlformats.org/officeDocument/2006/relationships/hyperlink" Target="https://intradiem2023.lightning.force.com/lightning/r/006V50000052Z8MIAU/view" TargetMode="External"/><Relationship Id="rId50" Type="http://schemas.openxmlformats.org/officeDocument/2006/relationships/hyperlink" Target="https://intradiem2023.lightning.force.com/lightning/r/006V500000AendlIAB/view" TargetMode="External"/><Relationship Id="rId104" Type="http://schemas.openxmlformats.org/officeDocument/2006/relationships/hyperlink" Target="https://intradiem2023.lightning.force.com/lightning/r/006V500000J4v1ZIAR/view" TargetMode="External"/><Relationship Id="rId125" Type="http://schemas.openxmlformats.org/officeDocument/2006/relationships/hyperlink" Target="https://intradiem2023.lightning.force.com/lightning/r/Lead/00QV5000009uLofMAE/view" TargetMode="External"/><Relationship Id="rId146" Type="http://schemas.openxmlformats.org/officeDocument/2006/relationships/hyperlink" Target="mailto:jacquita.f.borden@osfhealthcare.org" TargetMode="External"/><Relationship Id="rId167" Type="http://schemas.openxmlformats.org/officeDocument/2006/relationships/hyperlink" Target="https://intradiem2023.lightning.force.com/lightning/r/Lead/00QV500000TI9QjMAL/view" TargetMode="External"/><Relationship Id="rId188" Type="http://schemas.openxmlformats.org/officeDocument/2006/relationships/hyperlink" Target="mailto:brent.staus@breadfinancial.com" TargetMode="External"/><Relationship Id="rId71" Type="http://schemas.openxmlformats.org/officeDocument/2006/relationships/hyperlink" Target="mailto:jared.myers@bpoaas.com" TargetMode="External"/><Relationship Id="rId92" Type="http://schemas.openxmlformats.org/officeDocument/2006/relationships/hyperlink" Target="https://intradiem2023.lightning.force.com/lightning/r/Lead/00QV500000LUIQIMA5/view" TargetMode="External"/><Relationship Id="rId213" Type="http://schemas.openxmlformats.org/officeDocument/2006/relationships/hyperlink" Target="mailto:melissa.poussart@ssa.gov" TargetMode="External"/><Relationship Id="rId2" Type="http://schemas.openxmlformats.org/officeDocument/2006/relationships/hyperlink" Target="https://intradiem2023.lightning.force.com/lightning/r/Lead/00QV5000008I4LsMAK/view" TargetMode="External"/><Relationship Id="rId29" Type="http://schemas.openxmlformats.org/officeDocument/2006/relationships/hyperlink" Target="https://intradiem2023.lightning.force.com/lightning/r/006V500000CJ5DCIA1/view" TargetMode="External"/><Relationship Id="rId40" Type="http://schemas.openxmlformats.org/officeDocument/2006/relationships/hyperlink" Target="https://intradiem2023.lightning.force.com/lightning/r/Contact/003V500000L3ryBIAR/view" TargetMode="External"/><Relationship Id="rId115" Type="http://schemas.openxmlformats.org/officeDocument/2006/relationships/hyperlink" Target="https://intradiem2023.lightning.force.com/lightning/r/Lead/00QV500000OCFDaMAP/view" TargetMode="External"/><Relationship Id="rId136" Type="http://schemas.openxmlformats.org/officeDocument/2006/relationships/hyperlink" Target="mailto:sameer.hasan@solgulf.com" TargetMode="External"/><Relationship Id="rId157" Type="http://schemas.openxmlformats.org/officeDocument/2006/relationships/hyperlink" Target="mailto:aboyd2@travelers.com" TargetMode="External"/><Relationship Id="rId178" Type="http://schemas.openxmlformats.org/officeDocument/2006/relationships/hyperlink" Target="https://intradiem2023.lightning.force.com/lightning/r/Lead/00QV500000VScuvMAD/view" TargetMode="External"/><Relationship Id="rId61" Type="http://schemas.openxmlformats.org/officeDocument/2006/relationships/hyperlink" Target="https://intradiem2023.lightning.force.com/lightning/r/Opportunity/006V500000DvwFtIAJ/view" TargetMode="External"/><Relationship Id="rId82" Type="http://schemas.openxmlformats.org/officeDocument/2006/relationships/hyperlink" Target="https://intradiem2023.lightning.force.com/lightning/r/Lead/00QV500000LH6mUMAT/view" TargetMode="External"/><Relationship Id="rId199" Type="http://schemas.openxmlformats.org/officeDocument/2006/relationships/hyperlink" Target="https://intradiem2023.lightning.force.com/lightning/r/Lead/00QV500000dKtoHMAS/view" TargetMode="External"/><Relationship Id="rId203" Type="http://schemas.openxmlformats.org/officeDocument/2006/relationships/hyperlink" Target="https://intradiem2023.lightning.force.com/lightning/r/Lead/00QV500000daA7FMAU/view" TargetMode="External"/><Relationship Id="rId19" Type="http://schemas.openxmlformats.org/officeDocument/2006/relationships/hyperlink" Target="mailto:obarnes@tiaa.org"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intradiem.sharepoint.com/:x:/s/Marketing/EblifdWqOG9EnHC7GKBI0lABXYWAP1WFbbyt5mvWk6htaA?e=2CexqB" TargetMode="External"/><Relationship Id="rId7" Type="http://schemas.microsoft.com/office/2017/10/relationships/threadedComment" Target="../threadedComments/threadedComment2.xml"/><Relationship Id="rId2" Type="http://schemas.openxmlformats.org/officeDocument/2006/relationships/hyperlink" Target="https://intradiem.sharepoint.com/:x:/s/Marketing/EWAVQhBPQd1IqXPP3e6_D4wBBZ_9wxxk5RaSakyG4hJAYQ?e=KDs8s6" TargetMode="External"/><Relationship Id="rId1" Type="http://schemas.openxmlformats.org/officeDocument/2006/relationships/hyperlink" Target="https://intradiem.sharepoint.com/:x:/s/Marketing/EYnefu445hBJsEDhO4OTbNEBOmW6jvB5oEHbdAm4aLe3IQ?e=DtvzHP"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hyperlink" Target="https://intradiem.sharepoint.com/:x:/s/Marketing/ERhfM-J36aVOgegUmQgdOMIB9StV0fT91DuKqsZTWyNWGQ?e=LVUZ5T" TargetMode="External"/></Relationships>
</file>

<file path=xl/worksheets/_rels/sheet1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intradiem2023.lightning.force.com/lightning/r/Report/00OV5000003v3nRMAQ/view?queryScope=userFolders" TargetMode="External"/></Relationships>
</file>

<file path=xl/worksheets/_rels/sheet1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intradiem2023.lightning.force.com/lightning/r/Report/00OV5000003wATVMA2/view" TargetMode="External"/></Relationships>
</file>

<file path=xl/worksheets/_rels/sheet16.xml.rels><?xml version="1.0" encoding="UTF-8" standalone="yes"?>
<Relationships xmlns="http://schemas.openxmlformats.org/package/2006/relationships"><Relationship Id="rId13" Type="http://schemas.openxmlformats.org/officeDocument/2006/relationships/hyperlink" Target="https://intradiem2023.lightning.force.com/lightning/r/006V500000Fw2NOIAZ/view" TargetMode="External"/><Relationship Id="rId18" Type="http://schemas.openxmlformats.org/officeDocument/2006/relationships/hyperlink" Target="https://intradiem2023.lightning.force.com/lightning/r/006V5000009argaIAA/view" TargetMode="External"/><Relationship Id="rId26" Type="http://schemas.openxmlformats.org/officeDocument/2006/relationships/hyperlink" Target="https://intradiem2023.lightning.force.com/lightning/r/006V500000J4v1ZIAR/view" TargetMode="External"/><Relationship Id="rId39" Type="http://schemas.openxmlformats.org/officeDocument/2006/relationships/hyperlink" Target="https://intradiem2023.lightning.force.com/lightning/r/Opportunity/006V5000008t8zfIAA/view" TargetMode="External"/><Relationship Id="rId21" Type="http://schemas.openxmlformats.org/officeDocument/2006/relationships/hyperlink" Target="https://intradiem2023.lightning.force.com/lightning/r/Opportunity/006V500000GTcdOIAT/view" TargetMode="External"/><Relationship Id="rId34" Type="http://schemas.openxmlformats.org/officeDocument/2006/relationships/hyperlink" Target="https://intradiem2023.lightning.force.com/lightning/r/Opportunity/006V500000NMrwTIAT/view" TargetMode="External"/><Relationship Id="rId42" Type="http://schemas.openxmlformats.org/officeDocument/2006/relationships/hyperlink" Target="https://intradiem2023.lightning.force.com/lightning/r/006V500000DOyN1IAL/view" TargetMode="External"/><Relationship Id="rId7" Type="http://schemas.openxmlformats.org/officeDocument/2006/relationships/hyperlink" Target="https://intradiem2023.lightning.force.com/lightning/r/006V500000Do9iAIAR/view" TargetMode="External"/><Relationship Id="rId2" Type="http://schemas.openxmlformats.org/officeDocument/2006/relationships/hyperlink" Target="https://intradiem2023.lightning.force.com/lightning/r/006V500000CJ5DCIA1/view" TargetMode="External"/><Relationship Id="rId16" Type="http://schemas.openxmlformats.org/officeDocument/2006/relationships/hyperlink" Target="https://intradiem2023.lightning.force.com/lightning/r/Opportunity/006V500000FyZNFIA3/view" TargetMode="External"/><Relationship Id="rId29" Type="http://schemas.openxmlformats.org/officeDocument/2006/relationships/hyperlink" Target="https://intradiem2023.lightning.force.com/lightning/r/Opportunity/006V500000IJFHAIA5/view" TargetMode="External"/><Relationship Id="rId1" Type="http://schemas.openxmlformats.org/officeDocument/2006/relationships/hyperlink" Target="https://intradiem2023.lightning.force.com/lightning/r/006V500000B6SmTIAV/view" TargetMode="External"/><Relationship Id="rId6" Type="http://schemas.openxmlformats.org/officeDocument/2006/relationships/hyperlink" Target="https://intradiem2023.lightning.force.com/lightning/r/006V500000D7Mp9IAF/view" TargetMode="External"/><Relationship Id="rId11" Type="http://schemas.openxmlformats.org/officeDocument/2006/relationships/hyperlink" Target="https://intradiem2023.lightning.force.com/lightning/r/Opportunity/006V500000ER2nFIAT/view" TargetMode="External"/><Relationship Id="rId24" Type="http://schemas.openxmlformats.org/officeDocument/2006/relationships/hyperlink" Target="https://intradiem2023.lightning.force.com/lightning/r/006V500000Bc6PRIAZ/view" TargetMode="External"/><Relationship Id="rId32" Type="http://schemas.openxmlformats.org/officeDocument/2006/relationships/hyperlink" Target="https://intradiem2023.lightning.force.com/lightning/r/Opportunity/006V500000KaGfSIAV/view" TargetMode="External"/><Relationship Id="rId37" Type="http://schemas.openxmlformats.org/officeDocument/2006/relationships/hyperlink" Target="https://intradiem2023.lightning.force.com/lightning/r/006V50000052Z8MIAU/view" TargetMode="External"/><Relationship Id="rId40" Type="http://schemas.openxmlformats.org/officeDocument/2006/relationships/hyperlink" Target="https://intradiem2023.lightning.force.com/lightning/r/006V500000FX5bOIAT/view" TargetMode="External"/><Relationship Id="rId45" Type="http://schemas.openxmlformats.org/officeDocument/2006/relationships/comments" Target="../comments3.xml"/><Relationship Id="rId5" Type="http://schemas.openxmlformats.org/officeDocument/2006/relationships/hyperlink" Target="https://intradiem2023.lightning.force.com/lightning/r/006V500000BjNoXIAV/view" TargetMode="External"/><Relationship Id="rId15" Type="http://schemas.openxmlformats.org/officeDocument/2006/relationships/hyperlink" Target="https://intradiem2023.lightning.force.com/lightning/r/Opportunity/006V500000FXVnbIAH/view" TargetMode="External"/><Relationship Id="rId23" Type="http://schemas.openxmlformats.org/officeDocument/2006/relationships/hyperlink" Target="https://intradiem2023.lightning.force.com/lightning/r/006V500000HzDTEIA3/view" TargetMode="External"/><Relationship Id="rId28" Type="http://schemas.openxmlformats.org/officeDocument/2006/relationships/hyperlink" Target="https://intradiem2023.lightning.force.com/lightning/r/Opportunity/006V50000052Y5HIAU/view" TargetMode="External"/><Relationship Id="rId36" Type="http://schemas.openxmlformats.org/officeDocument/2006/relationships/hyperlink" Target="https://intradiem2023.lightning.force.com/lightning/r/006V500000Nl1JZIAZ/view" TargetMode="External"/><Relationship Id="rId10" Type="http://schemas.openxmlformats.org/officeDocument/2006/relationships/hyperlink" Target="https://intradiem2023.lightning.force.com/lightning/r/Opportunity/006V500000D7EVHIA3/view" TargetMode="External"/><Relationship Id="rId19" Type="http://schemas.openxmlformats.org/officeDocument/2006/relationships/hyperlink" Target="https://intradiem2023.lightning.force.com/lightning/r/006V50000052eDAIAY/view" TargetMode="External"/><Relationship Id="rId31" Type="http://schemas.openxmlformats.org/officeDocument/2006/relationships/hyperlink" Target="https://intradiem2023.lightning.force.com/lightning/r/Opportunity/006V500000KQLq7IAH/view" TargetMode="External"/><Relationship Id="rId44" Type="http://schemas.openxmlformats.org/officeDocument/2006/relationships/vmlDrawing" Target="../drawings/vmlDrawing3.vml"/><Relationship Id="rId4" Type="http://schemas.openxmlformats.org/officeDocument/2006/relationships/hyperlink" Target="https://intradiem2023.lightning.force.com/lightning/r/006V500000CIfKLIA1/view" TargetMode="External"/><Relationship Id="rId9" Type="http://schemas.openxmlformats.org/officeDocument/2006/relationships/hyperlink" Target="https://intradiem2023.lightning.force.com/lightning/r/Opportunity/006V500000CvUP4IAN/view" TargetMode="External"/><Relationship Id="rId14" Type="http://schemas.openxmlformats.org/officeDocument/2006/relationships/hyperlink" Target="https://intradiem2023.lightning.force.com/lightning/r/Opportunity/006V500000FttMbIAJ/view" TargetMode="External"/><Relationship Id="rId22" Type="http://schemas.openxmlformats.org/officeDocument/2006/relationships/hyperlink" Target="https://intradiem2023.lightning.force.com/lightning/r/Opportunity/006V500000GxUDmIAN/view" TargetMode="External"/><Relationship Id="rId27" Type="http://schemas.openxmlformats.org/officeDocument/2006/relationships/hyperlink" Target="https://intradiem2023.lightning.force.com/lightning/r/Opportunity/006V500000GxVMkIAN/view" TargetMode="External"/><Relationship Id="rId30" Type="http://schemas.openxmlformats.org/officeDocument/2006/relationships/hyperlink" Target="https://intradiem2023.lightning.force.com/lightning/r/Opportunity/006V500000JwObhIAF/view" TargetMode="External"/><Relationship Id="rId35" Type="http://schemas.openxmlformats.org/officeDocument/2006/relationships/hyperlink" Target="https://intradiem2023.lightning.force.com/lightning/r/006V500000Nl5DXIAZ/view" TargetMode="External"/><Relationship Id="rId43" Type="http://schemas.openxmlformats.org/officeDocument/2006/relationships/hyperlink" Target="https://intradiem2023.lightning.force.com/lightning/r/006V50000052bIpIAI/view" TargetMode="External"/><Relationship Id="rId8" Type="http://schemas.openxmlformats.org/officeDocument/2006/relationships/hyperlink" Target="https://intradiem2023.lightning.force.com/lightning/r/Opportunity/006V500000CoZbfIAF/view" TargetMode="External"/><Relationship Id="rId3" Type="http://schemas.openxmlformats.org/officeDocument/2006/relationships/hyperlink" Target="https://intradiem2023.lightning.force.com/lightning/r/Opportunity/006V5000009sOg5IAE/view" TargetMode="External"/><Relationship Id="rId12" Type="http://schemas.openxmlformats.org/officeDocument/2006/relationships/hyperlink" Target="https://intradiem2023.lightning.force.com/lightning/r/Opportunity/006V500000EUvGwIAL/view" TargetMode="External"/><Relationship Id="rId17" Type="http://schemas.openxmlformats.org/officeDocument/2006/relationships/hyperlink" Target="https://intradiem2023.lightning.force.com/lightning/r/Opportunity/006V500000G2rVFIAZ/view" TargetMode="External"/><Relationship Id="rId25" Type="http://schemas.openxmlformats.org/officeDocument/2006/relationships/hyperlink" Target="https://intradiem2023.lightning.force.com/lightning/r/Opportunity/006V500000Imt6IIAR/view" TargetMode="External"/><Relationship Id="rId33" Type="http://schemas.openxmlformats.org/officeDocument/2006/relationships/hyperlink" Target="https://intradiem2023.lightning.force.com/lightning/r/Opportunity/006V500000MkAJ4IAN/view" TargetMode="External"/><Relationship Id="rId38" Type="http://schemas.openxmlformats.org/officeDocument/2006/relationships/hyperlink" Target="https://intradiem2023.lightning.force.com/lightning/r/006V500000AendlIAB/view" TargetMode="External"/><Relationship Id="rId46" Type="http://schemas.microsoft.com/office/2017/10/relationships/threadedComment" Target="../threadedComments/threadedComment3.xml"/><Relationship Id="rId20" Type="http://schemas.openxmlformats.org/officeDocument/2006/relationships/hyperlink" Target="https://intradiem2023.lightning.force.com/lightning/r/Opportunity/006V500000GGB6MIAX/view" TargetMode="External"/><Relationship Id="rId41" Type="http://schemas.openxmlformats.org/officeDocument/2006/relationships/hyperlink" Target="https://intradiem2023.lightning.force.com/lightning/r/006V500000G2bDcIAJ/view" TargetMode="External"/></Relationships>
</file>

<file path=xl/worksheets/_rels/sheet1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s://intradiem2023.lightning.force.com/lightning/r/Report/00OV5000003WfPhMAK/view?queryScope=userFolders" TargetMode="External"/></Relationships>
</file>

<file path=xl/worksheets/_rels/sheet1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075B-AA50-48FB-B3DE-8A27A2E933DA}">
  <dimension ref="A1:AD109"/>
  <sheetViews>
    <sheetView showGridLines="0" topLeftCell="A56" zoomScale="130" zoomScaleNormal="130" workbookViewId="0">
      <selection activeCell="F8" sqref="F8"/>
    </sheetView>
  </sheetViews>
  <sheetFormatPr defaultColWidth="8.7109375" defaultRowHeight="15" outlineLevelCol="1"/>
  <cols>
    <col min="1" max="1" width="2.7109375" customWidth="1"/>
    <col min="2" max="2" width="14.42578125" bestFit="1" customWidth="1"/>
    <col min="3" max="3" width="13.42578125" bestFit="1" customWidth="1"/>
    <col min="4" max="4" width="15.7109375" bestFit="1" customWidth="1"/>
    <col min="5" max="5" width="7.28515625" bestFit="1" customWidth="1"/>
    <col min="6" max="6" width="9.7109375" bestFit="1" customWidth="1"/>
    <col min="7" max="7" width="14.28515625" bestFit="1" customWidth="1"/>
    <col min="8" max="8" width="22.140625" bestFit="1" customWidth="1"/>
    <col min="9" max="9" width="14.28515625" bestFit="1" customWidth="1"/>
    <col min="10" max="10" width="13.7109375" bestFit="1" customWidth="1"/>
    <col min="11" max="11" width="41.85546875" customWidth="1"/>
    <col min="12" max="12" width="17.42578125" bestFit="1" customWidth="1"/>
    <col min="13" max="13" width="12.28515625" bestFit="1" customWidth="1"/>
    <col min="14" max="14" width="18" customWidth="1"/>
    <col min="15" max="15" width="16.42578125" customWidth="1"/>
    <col min="16" max="16" width="25.28515625" customWidth="1"/>
    <col min="17" max="17" width="20.42578125" bestFit="1" customWidth="1"/>
    <col min="18" max="18" width="24.85546875" bestFit="1" customWidth="1"/>
    <col min="19" max="19" width="24.42578125" bestFit="1" customWidth="1"/>
    <col min="20" max="24" width="18.140625" customWidth="1"/>
    <col min="25" max="25" width="13.140625" bestFit="1" customWidth="1"/>
    <col min="27" max="27" width="17.28515625" bestFit="1" customWidth="1"/>
    <col min="28" max="28" width="21.7109375" hidden="1" customWidth="1" outlineLevel="1"/>
    <col min="29" max="29" width="8.7109375" hidden="1" customWidth="1" outlineLevel="1"/>
    <col min="30" max="30" width="8.7109375" collapsed="1"/>
  </cols>
  <sheetData>
    <row r="1" spans="2:30" ht="8.1" customHeight="1"/>
    <row r="2" spans="2:30" ht="36" customHeight="1">
      <c r="B2" s="641" t="s">
        <v>0</v>
      </c>
      <c r="C2" s="641"/>
      <c r="D2" s="641"/>
      <c r="E2" s="641"/>
      <c r="F2" s="641"/>
      <c r="G2" s="641"/>
      <c r="H2" s="641"/>
      <c r="I2" s="641"/>
      <c r="J2" s="641"/>
      <c r="K2" s="641"/>
      <c r="L2" s="641"/>
      <c r="M2" s="641"/>
      <c r="N2" s="641"/>
      <c r="O2" s="641"/>
      <c r="P2" s="641"/>
      <c r="Q2" s="641"/>
      <c r="Y2" s="434"/>
      <c r="AB2" s="470" t="s">
        <v>1</v>
      </c>
    </row>
    <row r="3" spans="2:30" ht="20.100000000000001" customHeight="1">
      <c r="H3" s="434"/>
      <c r="K3" s="643" t="str">
        <f>IF(AB10="","",IF(AB10&gt;0,"↑ "&amp;TEXT(AB10,"0.0%"),IF(AB10&lt;0,"↓ "&amp;TEXT(ABS(AB10),"0.0%"),"→ 0.0%")))</f>
        <v>↓ 10.3%</v>
      </c>
      <c r="S3" s="422"/>
      <c r="T3" s="422"/>
      <c r="Y3" s="471"/>
      <c r="AB3" s="567">
        <f>TOTAL!C3</f>
        <v>46234</v>
      </c>
    </row>
    <row r="4" spans="2:30" ht="20.100000000000001" customHeight="1">
      <c r="K4" s="662"/>
      <c r="X4" s="471"/>
      <c r="Y4" s="471"/>
      <c r="AB4" s="432" t="s">
        <v>2</v>
      </c>
    </row>
    <row r="5" spans="2:30" ht="16.350000000000001" customHeight="1">
      <c r="K5" s="662"/>
      <c r="AB5" s="433">
        <f>TOTAL!N2</f>
        <v>18</v>
      </c>
    </row>
    <row r="6" spans="2:30" ht="14.1" customHeight="1">
      <c r="AB6" t="s">
        <v>3</v>
      </c>
    </row>
    <row r="7" spans="2:30" ht="30" customHeight="1">
      <c r="B7" s="525" t="s">
        <v>4</v>
      </c>
      <c r="C7" s="525" t="s">
        <v>5</v>
      </c>
      <c r="D7" s="525" t="s">
        <v>6</v>
      </c>
      <c r="E7" s="525" t="s">
        <v>7</v>
      </c>
      <c r="F7" s="525" t="s">
        <v>8</v>
      </c>
      <c r="G7" s="525" t="s">
        <v>9</v>
      </c>
      <c r="H7" s="525" t="s">
        <v>10</v>
      </c>
      <c r="I7" s="525" t="s">
        <v>11</v>
      </c>
      <c r="J7" s="525" t="s">
        <v>12</v>
      </c>
      <c r="K7" s="525" t="s">
        <v>13</v>
      </c>
      <c r="L7" s="525" t="s">
        <v>14</v>
      </c>
      <c r="M7" s="525" t="s">
        <v>15</v>
      </c>
      <c r="N7" s="525" t="s">
        <v>16</v>
      </c>
      <c r="O7" s="525" t="s">
        <v>17</v>
      </c>
      <c r="P7" s="525" t="s">
        <v>18</v>
      </c>
      <c r="Q7" s="525" t="s">
        <v>19</v>
      </c>
      <c r="R7" s="525" t="s">
        <v>20</v>
      </c>
      <c r="S7" s="548" t="s">
        <v>21</v>
      </c>
      <c r="T7" s="548" t="s">
        <v>22</v>
      </c>
      <c r="U7" s="548" t="s">
        <v>23</v>
      </c>
      <c r="V7" s="548" t="s">
        <v>24</v>
      </c>
      <c r="W7" s="548" t="s">
        <v>25</v>
      </c>
      <c r="X7" s="548" t="s">
        <v>26</v>
      </c>
      <c r="AB7" s="469">
        <f>TOTAL!F14</f>
        <v>75325.149999999994</v>
      </c>
    </row>
    <row r="8" spans="2:30" ht="18" customHeight="1">
      <c r="B8" s="478" t="s">
        <v>27</v>
      </c>
      <c r="C8" s="496">
        <f>Digital!F15</f>
        <v>470640.59330299986</v>
      </c>
      <c r="D8" s="479">
        <f>Digital!C10</f>
        <v>59</v>
      </c>
      <c r="E8" s="479">
        <f>Digital!C11</f>
        <v>52</v>
      </c>
      <c r="F8" s="480">
        <f>Digital!G10</f>
        <v>23</v>
      </c>
      <c r="G8" s="480">
        <f>Digital!K10</f>
        <v>20</v>
      </c>
      <c r="H8" s="496">
        <f>Digital!K11</f>
        <v>10457055</v>
      </c>
      <c r="I8" s="496">
        <f>Digital!K12</f>
        <v>8126285</v>
      </c>
      <c r="J8" s="496">
        <f>Digital!O11</f>
        <v>596510</v>
      </c>
      <c r="K8" s="496">
        <f>IFERROR(C8/D8,0)</f>
        <v>7976.9592085254217</v>
      </c>
      <c r="L8" s="496">
        <f>IFERROR(C8/F8,0)</f>
        <v>20462.634491434776</v>
      </c>
      <c r="M8" s="496">
        <f>IFERROR(C8/G8,0)</f>
        <v>23532.029665149992</v>
      </c>
      <c r="N8" s="481">
        <f>F8/D8</f>
        <v>0.38983050847457629</v>
      </c>
      <c r="O8" s="481">
        <f t="shared" ref="O8:P12" si="0">F8/E8</f>
        <v>0.44230769230769229</v>
      </c>
      <c r="P8" s="481">
        <f t="shared" si="0"/>
        <v>0.86956521739130432</v>
      </c>
      <c r="Q8" s="482">
        <f>IFERROR(I8/C8,0)</f>
        <v>17.266434548216441</v>
      </c>
      <c r="R8" s="482">
        <f>IFERROR(J8/C8,0)</f>
        <v>1.2674427333469831</v>
      </c>
      <c r="S8" s="480">
        <f>SUMIFS('Stage History'!$T:$T,'Stage History'!$O:$O,"Digital",'Stage History'!$P:$P,"&gt;="&amp;EOMONTH($AB$3,-$AB$5)+1,'Stage History'!$P:$P,"&lt;"&amp;EOMONTH($AB$3,0)+1)</f>
        <v>8</v>
      </c>
      <c r="T8" s="496">
        <f>SUMIFS('Stage History'!$L:$L,'Stage History'!$O:$O,"Digital",'Stage History'!$T:$T,1,'Stage History'!$P:$P,"&gt;="&amp;EOMONTH($AB$3,-$AB$5)+1,'Stage History'!$P:$P,"&lt;"&amp;EOMONTH($AB$3,0)+1)</f>
        <v>963185</v>
      </c>
      <c r="U8" s="481">
        <f>IFERROR(T8/I8,0)</f>
        <v>0.11852710063700694</v>
      </c>
      <c r="V8" s="496">
        <f>SUMIFS('Stage History'!$K:$K,'Stage History'!$O:$O,"Digital",'Stage History'!$T:$T,1,'Stage History'!$P:$P,"&gt;="&amp;EOMONTH($AB$3,-$AB$5)+1,'Stage History'!$P:$P,"&lt;"&amp;EOMONTH($AB$3,0)+1)</f>
        <v>2853765</v>
      </c>
      <c r="W8" s="496">
        <f>SUMIFS('Stage History'!$L:$L,'Stage History'!$O:$O,"Digital",'Stage History'!$V:$V,1,'Stage History'!$P:$P,"&gt;="&amp;EOMONTH($AB$3,-$AB$5)+1,'Stage History'!$P:$P,"&lt;"&amp;EOMONTH($AB$3,0)+1)</f>
        <v>1148160</v>
      </c>
      <c r="X8" s="481">
        <f>IFERROR(T8/(T8+W8),0)</f>
        <v>0.4561949847135357</v>
      </c>
      <c r="AB8" t="s">
        <v>28</v>
      </c>
    </row>
    <row r="9" spans="2:30" ht="18" customHeight="1">
      <c r="B9" s="483" t="s">
        <v>29</v>
      </c>
      <c r="C9" s="497">
        <f>Events!F15</f>
        <v>829384</v>
      </c>
      <c r="D9" s="484">
        <f>Events!C10</f>
        <v>471</v>
      </c>
      <c r="E9" s="484">
        <f>Events!C11</f>
        <v>331</v>
      </c>
      <c r="F9" s="484">
        <f>Events!G10</f>
        <v>34</v>
      </c>
      <c r="G9" s="485">
        <f>Events!K10</f>
        <v>30</v>
      </c>
      <c r="H9" s="497">
        <f>Events!K11</f>
        <v>9920447.5999999996</v>
      </c>
      <c r="I9" s="497">
        <f>Events!K12</f>
        <v>7134407.5999999996</v>
      </c>
      <c r="J9" s="497">
        <f>Events!O11</f>
        <v>1118283.8</v>
      </c>
      <c r="K9" s="497">
        <f>IFERROR(C9/D9,0)</f>
        <v>1760.900212314225</v>
      </c>
      <c r="L9" s="497">
        <f>IFERROR(C9/F9,0)</f>
        <v>24393.647058823528</v>
      </c>
      <c r="M9" s="497">
        <f>IFERROR(C9/G9,0)</f>
        <v>27646.133333333335</v>
      </c>
      <c r="N9" s="486">
        <f>F9/D9</f>
        <v>7.2186836518046707E-2</v>
      </c>
      <c r="O9" s="486">
        <f t="shared" si="0"/>
        <v>0.1027190332326284</v>
      </c>
      <c r="P9" s="486">
        <f t="shared" si="0"/>
        <v>0.88235294117647056</v>
      </c>
      <c r="Q9" s="487">
        <f>IFERROR(I9/C9,0)</f>
        <v>8.6020559837180368</v>
      </c>
      <c r="R9" s="487">
        <f>IFERROR(J9/C9,0)</f>
        <v>1.3483305682289508</v>
      </c>
      <c r="S9" s="485">
        <f>SUMIFS('Stage History'!$T:$T,'Stage History'!$O:$O,"Events",'Stage History'!$P:$P,"&gt;="&amp;EOMONTH($AB$3,-$AB$5)+1,'Stage History'!$P:$P,"&lt;"&amp;EOMONTH($AB$3,0)+1)</f>
        <v>0</v>
      </c>
      <c r="T9" s="497">
        <f>SUMIFS('Stage History'!$L:$L,'Stage History'!$O:$O,"Events",'Stage History'!$T:$T,1,'Stage History'!$P:$P,"&gt;="&amp;EOMONTH($AB$3,-$AB$5)+1,'Stage History'!$P:$P,"&lt;"&amp;EOMONTH($AB$3,0)+1)</f>
        <v>0</v>
      </c>
      <c r="U9" s="486">
        <f>IFERROR(T9/I9,0)</f>
        <v>0</v>
      </c>
      <c r="V9" s="497">
        <f>SUMIFS('Stage History'!$K:$K,'Stage History'!$O:$O,"Events",'Stage History'!$T:$T,1,'Stage History'!$P:$P,"&gt;="&amp;EOMONTH($AB$3,-$AB$5)+1,'Stage History'!$P:$P,"&lt;"&amp;EOMONTH($AB$3,0)+1)</f>
        <v>0</v>
      </c>
      <c r="W9" s="497">
        <f>SUMIFS('Stage History'!$L:$L,'Stage History'!$O:$O,"Events",'Stage History'!$V:$V,1,'Stage History'!$P:$P,"&gt;="&amp;EOMONTH($AB$3,-$AB$5)+1,'Stage History'!$P:$P,"&lt;"&amp;EOMONTH($AB$3,0)+1)</f>
        <v>2945682</v>
      </c>
      <c r="X9" s="486">
        <f>IFERROR(T9/(T9+W9),0)</f>
        <v>0</v>
      </c>
      <c r="AB9" s="469">
        <f>SUM(
IFERROR(SUMIFS('Digital Spend Data'!$C$26:$C$212,'Digital Spend Data'!$B$26:$B$212,"&gt;="&amp;EOMONTH($AB$3,-2)+1,'Digital Spend Data'!$B$26:$B$212,"&lt;="&amp;EOMONTH($AB$3,-1)),0),
IFERROR(SUMIFS('Event Spend Raw'!$C:$C,'Event Spend Raw'!$G:$G,"&gt;="&amp;EOMONTH($AB$3,-2)+1,'Event Spend Raw'!$G:$G,"&lt;="&amp;EOMONTH($AB$3,-1)),0),
IFERROR(SUMIFS('Cold Outreach Spend Raw'!$B:$B,'Cold Outreach Spend Raw'!$A:$A,"&gt;="&amp;EOMONTH($AB$3,-2)+1,'Cold Outreach Spend Raw'!$A:$A,"&lt;="&amp;EOMONTH($AB$3,-1)),0),
IFERROR(SUMIFS('Alliances Spend'!$B:$B,'Alliances Spend'!$C:$C,"&gt;="&amp;EOMONTH($AB$3,-2)+1,'Alliances Spend'!$C:$C,"&lt;="&amp;EOMONTH($AB$3,-1)),0)
)</f>
        <v>83937.209999999992</v>
      </c>
    </row>
    <row r="10" spans="2:30" ht="18" customHeight="1">
      <c r="B10" s="478" t="s">
        <v>30</v>
      </c>
      <c r="C10" s="496">
        <f>'Cold Outreach'!F15</f>
        <v>479675</v>
      </c>
      <c r="D10" s="479">
        <f>'Cold Outreach'!C10</f>
        <v>178</v>
      </c>
      <c r="E10" s="479">
        <f>'Cold Outreach'!C11</f>
        <v>138</v>
      </c>
      <c r="F10" s="479">
        <f>'Cold Outreach'!G10</f>
        <v>141</v>
      </c>
      <c r="G10" s="479">
        <f>'Cold Outreach'!K10</f>
        <v>27</v>
      </c>
      <c r="H10" s="496">
        <f>'Cold Outreach'!K11</f>
        <v>10098778.199999999</v>
      </c>
      <c r="I10" s="496">
        <f>'Cold Outreach'!K12</f>
        <v>6961560</v>
      </c>
      <c r="J10" s="496">
        <f>'Cold Outreach'!O11</f>
        <v>1267200</v>
      </c>
      <c r="K10" s="496">
        <f>IFERROR(C10/D10,0)</f>
        <v>2694.803370786517</v>
      </c>
      <c r="L10" s="496">
        <f>IFERROR(C10/F10,0)</f>
        <v>3401.950354609929</v>
      </c>
      <c r="M10" s="496">
        <f>IFERROR(C10/G10,0)</f>
        <v>17765.740740740741</v>
      </c>
      <c r="N10" s="481">
        <f>F10/D10</f>
        <v>0.7921348314606742</v>
      </c>
      <c r="O10" s="481">
        <f t="shared" si="0"/>
        <v>1.0217391304347827</v>
      </c>
      <c r="P10" s="481">
        <f t="shared" si="0"/>
        <v>0.19148936170212766</v>
      </c>
      <c r="Q10" s="482">
        <f>IFERROR(I10/C10,0)</f>
        <v>14.513076562255694</v>
      </c>
      <c r="R10" s="482">
        <f>IFERROR(J10/C10,0)</f>
        <v>2.6417887111064782</v>
      </c>
      <c r="S10" s="480">
        <f>SUMIFS('Stage History'!$T:$T,'Stage History'!$O:$O,"Cold",'Stage History'!$P:$P,"&gt;="&amp;EOMONTH($AB$3,-$AB$5)+1,'Stage History'!$P:$P,"&lt;"&amp;EOMONTH($AB$3,0)+1)</f>
        <v>4</v>
      </c>
      <c r="T10" s="496">
        <f>SUMIFS('Stage History'!$L:$L,'Stage History'!$O:$O,"Cold",'Stage History'!$T:$T,1,'Stage History'!$P:$P,"&gt;="&amp;EOMONTH($AB$3,-$AB$5)+1,'Stage History'!$P:$P,"&lt;"&amp;EOMONTH($AB$3,0)+1)</f>
        <v>219385.5</v>
      </c>
      <c r="U10" s="481">
        <f>IFERROR(T10/I10,0)</f>
        <v>3.1513841725130574E-2</v>
      </c>
      <c r="V10" s="496">
        <f>SUMIFS('Stage History'!$K:$K,'Stage History'!$O:$O,"Cold",'Stage History'!$T:$T,1,'Stage History'!$P:$P,"&gt;="&amp;EOMONTH($AB$3,-$AB$5)+1,'Stage History'!$P:$P,"&lt;"&amp;EOMONTH($AB$3,0)+1)</f>
        <v>331395.25</v>
      </c>
      <c r="W10" s="496">
        <f>SUMIFS('Stage History'!$L:$L,'Stage History'!$O:$O,"Cold",'Stage History'!$V:$V,1,'Stage History'!$P:$P,"&gt;="&amp;EOMONTH($AB$3,-$AB$5)+1,'Stage History'!$P:$P,"&lt;"&amp;EOMONTH($AB$3,0)+1)</f>
        <v>7774120</v>
      </c>
      <c r="X10" s="481">
        <f>IFERROR(T10/(T10+W10),0)</f>
        <v>2.7445468074050867E-2</v>
      </c>
      <c r="AB10" s="475">
        <f>IF(AB9=0,"",(AB7-AB9)/AB9)</f>
        <v>-0.10260121822014334</v>
      </c>
      <c r="AC10" t="s">
        <v>31</v>
      </c>
    </row>
    <row r="11" spans="2:30" ht="18" customHeight="1">
      <c r="B11" s="483" t="s">
        <v>32</v>
      </c>
      <c r="C11" s="497">
        <f>Alliances!F15</f>
        <v>188072.09999999998</v>
      </c>
      <c r="D11" s="484">
        <f>Alliances!C10</f>
        <v>114</v>
      </c>
      <c r="E11" s="484">
        <f>Alliances!C11</f>
        <v>107</v>
      </c>
      <c r="F11" s="484">
        <f>Alliances!G10</f>
        <v>71</v>
      </c>
      <c r="G11" s="484">
        <f>Alliances!K10</f>
        <v>56</v>
      </c>
      <c r="H11" s="497">
        <f>Alliances!K11</f>
        <v>30153720.159999996</v>
      </c>
      <c r="I11" s="497">
        <f>Alliances!K12</f>
        <v>18115520.159999996</v>
      </c>
      <c r="J11" s="497">
        <f>Alliances!O11</f>
        <v>907364</v>
      </c>
      <c r="K11" s="497">
        <f>IFERROR(C11/D11,0)</f>
        <v>1649.7552631578944</v>
      </c>
      <c r="L11" s="497">
        <f>IFERROR(C11/F11,0)</f>
        <v>2648.9028169014082</v>
      </c>
      <c r="M11" s="497">
        <f>IFERROR(C11/G11,0)</f>
        <v>3358.4303571428568</v>
      </c>
      <c r="N11" s="486">
        <f>F11/D11</f>
        <v>0.6228070175438597</v>
      </c>
      <c r="O11" s="486">
        <f t="shared" si="0"/>
        <v>0.66355140186915884</v>
      </c>
      <c r="P11" s="486">
        <f t="shared" si="0"/>
        <v>0.78873239436619713</v>
      </c>
      <c r="Q11" s="487">
        <f>IFERROR(I11/C11,0)</f>
        <v>96.322209195303287</v>
      </c>
      <c r="R11" s="487">
        <f>IFERROR(J11/C11,0)</f>
        <v>4.8245539875398853</v>
      </c>
      <c r="S11" s="485">
        <f>SUMIFS('Stage History'!$T:$T,'Stage History'!$O:$O,"Alliances",'Stage History'!$P:$P,"&gt;="&amp;EOMONTH($AB$3,-$AB$5)+1,'Stage History'!$P:$P,"&lt;"&amp;EOMONTH($AB$3,0)+1)</f>
        <v>19</v>
      </c>
      <c r="T11" s="497">
        <f>SUMIFS('Stage History'!$L:$L,'Stage History'!$O:$O,"Alliances",'Stage History'!$T:$T,1,'Stage History'!$P:$P,"&gt;="&amp;EOMONTH($AB$3,-$AB$5)+1,'Stage History'!$P:$P,"&lt;"&amp;EOMONTH($AB$3,0)+1)</f>
        <v>1855153.5599999998</v>
      </c>
      <c r="U11" s="486">
        <f>IFERROR(T11/I11,0)</f>
        <v>0.10240686127778294</v>
      </c>
      <c r="V11" s="497">
        <f>SUMIFS('Stage History'!$K:$K,'Stage History'!$O:$O,"Alliances",'Stage History'!$T:$T,1,'Stage History'!$P:$P,"&gt;="&amp;EOMONTH($AB$3,-$AB$5)+1,'Stage History'!$P:$P,"&lt;"&amp;EOMONTH($AB$3,0)+1)</f>
        <v>3307393.5599999996</v>
      </c>
      <c r="W11" s="497">
        <f>SUMIFS('Stage History'!$L:$L,'Stage History'!$O:$O,"Alliances",'Stage History'!$V:$V,1,'Stage History'!$P:$P,"&gt;="&amp;EOMONTH($AB$3,-$AB$5)+1,'Stage History'!$P:$P,"&lt;"&amp;EOMONTH($AB$3,0)+1)</f>
        <v>6686773</v>
      </c>
      <c r="X11" s="486">
        <f>IFERROR(T11/(T11+W11),0)</f>
        <v>0.21718210136426175</v>
      </c>
      <c r="AB11" t="str">
        <f>IF(AB10="","",
IF(AB10&gt;=0,
"↑ "&amp;TEXT(AB10,"0.0%"),
"↓ "&amp;TEXT(ABS(AB10),"0.0%")
))</f>
        <v>↓ 10.3%</v>
      </c>
      <c r="AC11" t="s">
        <v>33</v>
      </c>
    </row>
    <row r="12" spans="2:30" ht="18" customHeight="1">
      <c r="B12" s="488" t="s">
        <v>34</v>
      </c>
      <c r="C12" s="498">
        <f>SUM(C8:C11)</f>
        <v>1967771.6933029997</v>
      </c>
      <c r="D12" s="489">
        <f t="shared" ref="D12:H12" si="1">SUM(D8:D11)</f>
        <v>822</v>
      </c>
      <c r="E12" s="489">
        <f t="shared" si="1"/>
        <v>628</v>
      </c>
      <c r="F12" s="489">
        <f t="shared" si="1"/>
        <v>269</v>
      </c>
      <c r="G12" s="489">
        <f t="shared" si="1"/>
        <v>133</v>
      </c>
      <c r="H12" s="498">
        <f t="shared" si="1"/>
        <v>60630000.959999993</v>
      </c>
      <c r="I12" s="498">
        <f>SUM(I8:I11)</f>
        <v>40337772.759999998</v>
      </c>
      <c r="J12" s="498">
        <f>SUM(J8:J11)</f>
        <v>3889357.8</v>
      </c>
      <c r="K12" s="498">
        <f>IFERROR(C12/D12,0)</f>
        <v>2393.8828385681263</v>
      </c>
      <c r="L12" s="498">
        <f>IFERROR(C12/F12,0)</f>
        <v>7315.1364063308538</v>
      </c>
      <c r="M12" s="498">
        <f>IFERROR(C12/G12,0)</f>
        <v>14795.275889496239</v>
      </c>
      <c r="N12" s="490">
        <f>F12/D12</f>
        <v>0.32725060827250607</v>
      </c>
      <c r="O12" s="490">
        <f t="shared" si="0"/>
        <v>0.428343949044586</v>
      </c>
      <c r="P12" s="490">
        <f t="shared" si="0"/>
        <v>0.49442379182156132</v>
      </c>
      <c r="Q12" s="491">
        <f>IFERROR(H12/C12,0)</f>
        <v>30.811501744000399</v>
      </c>
      <c r="R12" s="491">
        <f>IFERROR(J12/C12,0)</f>
        <v>1.9765289912629678</v>
      </c>
      <c r="S12" s="564">
        <f>SUM(S8:S11)</f>
        <v>31</v>
      </c>
      <c r="T12" s="499">
        <f>SUM(T8:T11)</f>
        <v>3037724.0599999996</v>
      </c>
      <c r="U12" s="565">
        <f>IFERROR(T12/I12,0)</f>
        <v>7.5307183618533516E-2</v>
      </c>
      <c r="V12" s="499">
        <f>SUM(V8:V11)</f>
        <v>6492553.8099999996</v>
      </c>
      <c r="W12" s="499">
        <f>SUM(W8:W11)</f>
        <v>18554735</v>
      </c>
      <c r="X12" s="565">
        <f>IFERROR(T12/(T12+W12),0)</f>
        <v>0.14068448857811566</v>
      </c>
      <c r="AB12" s="292" t="str">
        <f>IFERROR("vs "&amp;TEXT(EOMONTH($AB$3,-1),"mmm-yy")&amp;" ("&amp;TEXT(VALUE(AB9),"$#,##0")&amp;")","")</f>
        <v>vs Jun-26 ($83,937)</v>
      </c>
      <c r="AC12" t="s">
        <v>35</v>
      </c>
    </row>
    <row r="13" spans="2:30">
      <c r="AB13" t="str">
        <f>IF(AB10&gt;0,"↑ "&amp;TEXT(AB10,"0.0%"),"")</f>
        <v/>
      </c>
      <c r="AC13" t="s">
        <v>36</v>
      </c>
    </row>
    <row r="14" spans="2:30" ht="8.1" customHeight="1">
      <c r="AB14" t="s">
        <v>37</v>
      </c>
    </row>
    <row r="15" spans="2:30" ht="22.35" customHeight="1">
      <c r="B15" s="639" t="s">
        <v>38</v>
      </c>
      <c r="C15" s="639"/>
      <c r="D15" s="639"/>
      <c r="E15" s="639"/>
      <c r="F15" s="639"/>
      <c r="G15" s="639"/>
      <c r="H15" s="639"/>
      <c r="J15" s="642" t="s">
        <v>39</v>
      </c>
      <c r="K15" s="642"/>
      <c r="L15" s="642"/>
      <c r="M15" s="642"/>
      <c r="O15" s="638" t="s">
        <v>40</v>
      </c>
      <c r="P15" s="638"/>
      <c r="Q15" s="638"/>
      <c r="R15" s="638"/>
      <c r="S15" s="638"/>
      <c r="T15" s="638"/>
      <c r="U15" s="638"/>
      <c r="V15" s="507"/>
      <c r="W15" s="507"/>
      <c r="X15" s="507"/>
      <c r="Y15" s="507"/>
      <c r="AC15" t="str">
        <f>IF(C2=0,"",(B2-C2)/C2)</f>
        <v/>
      </c>
      <c r="AD15" s="526" t="s">
        <v>41</v>
      </c>
    </row>
    <row r="16" spans="2:30">
      <c r="B16" s="510" t="s">
        <v>42</v>
      </c>
      <c r="C16" s="510" t="s">
        <v>9</v>
      </c>
      <c r="D16" s="510" t="s">
        <v>43</v>
      </c>
      <c r="E16" s="510" t="s">
        <v>6</v>
      </c>
      <c r="F16" s="510" t="s">
        <v>8</v>
      </c>
      <c r="G16" s="510" t="s">
        <v>44</v>
      </c>
      <c r="H16" s="510" t="s">
        <v>12</v>
      </c>
      <c r="J16" s="508" t="s">
        <v>4</v>
      </c>
      <c r="K16" s="511" t="str">
        <f>TEXT($AB$3,"mmmm")&amp;" Spend"</f>
        <v>July Spend</v>
      </c>
      <c r="L16" s="511" t="str">
        <f>TEXT(EOMONTH($AB$3,-1),"mmmm")&amp;" Spend"</f>
        <v>June Spend</v>
      </c>
      <c r="M16" s="508" t="s">
        <v>45</v>
      </c>
      <c r="N16" s="509"/>
      <c r="O16" s="512" t="s">
        <v>4</v>
      </c>
      <c r="P16" s="512" t="s">
        <v>46</v>
      </c>
      <c r="Q16" s="512" t="s">
        <v>47</v>
      </c>
      <c r="R16" s="512" t="s">
        <v>48</v>
      </c>
      <c r="S16" s="512" t="s">
        <v>49</v>
      </c>
      <c r="T16" s="512" t="s">
        <v>50</v>
      </c>
      <c r="U16" s="512" t="s">
        <v>51</v>
      </c>
      <c r="V16" s="500"/>
      <c r="W16" s="500"/>
      <c r="X16" s="500"/>
      <c r="Y16" s="500"/>
    </row>
    <row r="17" spans="1:25" ht="18" customHeight="1">
      <c r="B17" s="477">
        <f>EOMONTH($AB$3,-11)</f>
        <v>45900</v>
      </c>
      <c r="C17" s="435">
        <f>COUNTIFS('Opps Created'!$G:$G,"&gt;="&amp;EOMONTH($B17,-1)+1,'Opps Created'!$G:$G,"&lt;="&amp;EOMONTH($B17,0),'Opps Created'!$O:$O,"&lt;&gt;",'Opps Created'!$O:$O,"&lt;&gt;0",'Opps Created'!$O:$O,"&lt;&gt;Exclude")</f>
        <v>5</v>
      </c>
      <c r="D17" s="436">
        <f>SUM(
SUMIFS('Opps Created'!$E:$E,'Opps Created'!$O:$O,"Digital",'Opps Created'!$G:$G,"&gt;="&amp;EOMONTH($B17,-1)+1,'Opps Created'!$G:$G,"&lt;="&amp;EOMONTH($B17,0)),
SUMIFS('Opps Created'!$E:$E,'Opps Created'!$O:$O,"Events",'Opps Created'!$G:$G,"&gt;="&amp;EOMONTH($B17,-1)+1,'Opps Created'!$G:$G,"&lt;="&amp;EOMONTH($B17,0)),
SUMIFS('Opps Created'!$E:$E,'Opps Created'!$O:$O,"Alliances",'Opps Created'!$G:$G,"&gt;="&amp;EOMONTH($B17,-1)+1,'Opps Created'!$G:$G,"&lt;="&amp;EOMONTH($B17,0)),
SUMIFS('Opps Created'!$E:$E,'Opps Created'!$O:$O,"Cold",'Opps Created'!$G:$G,"&gt;="&amp;EOMONTH($B17,-1)+1,'Opps Created'!$G:$G,"&lt;="&amp;EOMONTH($B17,0))
)</f>
        <v>3009200</v>
      </c>
      <c r="E17" s="435">
        <f>SUMIFS('Digital Leads Raw'!$B:$B,'Digital Leads Raw'!$E:$E,"&gt;="&amp;EOMONTH($B17,-1)+1,'Digital Leads Raw'!$E:$E,"&lt;="&amp;EOMONTH($B17,0))
+SUMIFS('Event Spend Raw'!$D:$D,'Event Spend Raw'!$G:$G,"&gt;="&amp;EOMONTH($B17,-1)+1,'Event Spend Raw'!$G:$G,"&lt;="&amp;EOMONTH($B17,0))
+COUNTIFS('Cold outreach data'!$K:$K,"Cold",'Cold outreach data'!$C:$C,"&gt;="&amp;EOMONTH($B17,-1)+1,'Cold outreach data'!$C:$C,"&lt;="&amp;EOMONTH($B17,0))
+COUNTIFS('Alliances Data Raw'!$Q:$Q,"&gt;="&amp;EOMONTH($B17,-1)+1,'Alliances Data Raw'!$Q:$Q,"&lt;="&amp;EOMONTH($B17,0),'Alliances Data Raw'!$D:$D,"&lt;&gt;Disqualified",'Alliances Data Raw'!$D:$D,"&lt;&gt;Register Lead")</f>
        <v>58</v>
      </c>
      <c r="F17" s="435">
        <f>COUNTIFS('Cold outreach data'!$G:$G,"Yes",'Cold outreach data'!$K:$K,"Digital",'Cold outreach data'!$C:$C,"&gt;="&amp;EOMONTH($B17,-1)+1,'Cold outreach data'!$C:$C,"&lt;="&amp;EOMONTH($B17,0))+COUNTIFS('Cold outreach data'!$G:$G,"Yes",'Cold outreach data'!$K:$K,"Event",'Cold outreach data'!$C:$C,"&gt;="&amp;EOMONTH($B17,-1)+1,'Cold outreach data'!$C:$C,"&lt;="&amp;EOMONTH($B17,0))+COUNTIFS('Cold outreach data'!$G:$G,"Yes",'Cold outreach data'!$K:$K,"Cold",'Cold outreach data'!$C:$C,"&gt;="&amp;EOMONTH($B17,-1)+1,'Cold outreach data'!$C:$C,"&lt;="&amp;EOMONTH($B17,0))+COUNTIFS('Alliances Data Raw'!$W:$W,"&gt;="&amp;EOMONTH($B17,-1)+1,'Alliances Data Raw'!$W:$W,"&lt;="&amp;EOMONTH($B17,0))</f>
        <v>20</v>
      </c>
      <c r="G17" s="437">
        <f t="shared" ref="G17:G28" si="2">D17/C17</f>
        <v>601840</v>
      </c>
      <c r="H17" s="437">
        <f>SUMIFS( Table1[Total Net New ACV], Table1[LateStage_Unique_Monthly_Flag], 1, Table1[Change Date], "&gt;="&amp;EOMONTH('Marketing Dashboard'!B17,-1)+1, Table1[Change Date], "&lt;="&amp;EOMONTH('Marketing Dashboard'!B17,0) )</f>
        <v>1888583.92</v>
      </c>
      <c r="J17" s="503" t="s">
        <v>27</v>
      </c>
      <c r="K17" s="496">
        <f>SUMIFS(
'Digital Spend Data'!$C$26:$C$212,
'Digital Spend Data'!$B$26:$B$212,"&gt;="&amp;EOMONTH($AB$3,-1)+1,
'Digital Spend Data'!$B$26:$B$212,"&lt;="&amp;EOMONTH($AB$3,0)
)</f>
        <v>34395.589999999997</v>
      </c>
      <c r="L17" s="496">
        <f>SUMIFS(
'Digital Spend Data'!$C$26:$C$212,
'Digital Spend Data'!$B$26:$B$212,"&gt;="&amp;EOMONTH($AB$3,-2)+1,
'Digital Spend Data'!$B$26:$B$212,"&lt;="&amp;EOMONTH($AB$3,-1)
)</f>
        <v>31769.46</v>
      </c>
      <c r="M17" s="587" t="str">
        <f>IF(L17=0,"",
IF((K17-L17)/L17&gt;0,
"↑ "&amp;TEXT((K17-L17)/L17,"0.0%"),
IF((K17-L17)/L17&lt;0,
"↓ "&amp;TEXT(ABS((K17-L17)/L17),"0.0%"),
"→ 0.0%"
)))</f>
        <v>↑ 8.3%</v>
      </c>
      <c r="O17" s="591" t="s">
        <v>27</v>
      </c>
      <c r="P17" s="513">
        <f>COUNTIFS('Opps Created'!$O:$O,"Digital",'Opps Created'!$R:$R,0,'Opps Created'!$G:$G,"&gt;="&amp;EOMONTH($AB$3,-$AB$5)+1,'Opps Created'!$G:$G,"&lt;="&amp;$AB$3)</f>
        <v>17</v>
      </c>
      <c r="Q17" s="514">
        <f>IFERROR(AVERAGEIFS('Opps Created'!$M:$M,'Opps Created'!$O:$O,"Digital",'Opps Created'!$R:$R,0,'Opps Created'!$M:$M,"&gt;0",'Opps Created'!$G:$G,"&gt;="&amp;EOMONTH($AB$3,-$AB$5)+1,'Opps Created'!$G:$G,"&lt;="&amp;$AB$3),0)</f>
        <v>493518.75</v>
      </c>
      <c r="R17" s="515">
        <f>IFERROR(COUNTIFS('Opps Created'!$O:$O,"Digital",'Opps Created'!$R:$R,0,'Opps Created'!$M:$M,"&gt;0",'Opps Created'!$G:$G,"&gt;="&amp;EOMONTH($AB$3,-$AB$5)+1,'Opps Created'!$G:$G,"&lt;="&amp;$AB$3)/P17,0)</f>
        <v>0.94117647058823528</v>
      </c>
      <c r="S17" s="516">
        <f ca="1">IFERROR(AVERAGEIFS('Opps Created'!$P:$P,'Opps Created'!$O:$O,"Digital",'Opps Created'!$R:$R,0,'Opps Created'!$G:$G,"&gt;="&amp;EOMONTH($AB$3,-$AB$5)+1,'Opps Created'!$G:$G,"&lt;="&amp;$AB$3),0)</f>
        <v>369.52941176470586</v>
      </c>
      <c r="T17" s="516">
        <f>IFERROR(AVERAGEIFS('Opps Created'!$N:$N,'Opps Created'!$O:$O,"Digital",'Opps Created'!$R:$R,0,'Opps Created'!$G:$G,"&gt;="&amp;EOMONTH($AB$3,-$AB$5)+1,'Opps Created'!$G:$G,"&lt;="&amp;$AB$3),0)</f>
        <v>187.35294117647058</v>
      </c>
      <c r="U17" s="515">
        <f>IFERROR(COUNTIFS('Opps Created'!$O:$O,"Digital",'Opps Created'!$R:$R,0,'Opps Created'!$Q:$Q,1,'Opps Created'!$G:$G,"&gt;="&amp;EOMONTH($AB$3,-$AB$5)+1,'Opps Created'!$G:$G,"&lt;="&amp;$AB$3)/P17,0)</f>
        <v>0</v>
      </c>
      <c r="V17" s="501"/>
      <c r="W17" s="501"/>
      <c r="X17" s="501"/>
      <c r="Y17" s="501"/>
    </row>
    <row r="18" spans="1:25" ht="18" customHeight="1">
      <c r="B18" s="477">
        <f>EOMONTH($AB$3,-10)</f>
        <v>45930</v>
      </c>
      <c r="C18" s="435">
        <f>COUNTIFS('Opps Created'!$G:$G,"&gt;="&amp;EOMONTH($B18,-1)+1,'Opps Created'!$G:$G,"&lt;="&amp;EOMONTH($B18,0),'Opps Created'!$O:$O,"&lt;&gt;",'Opps Created'!$O:$O,"&lt;&gt;0",'Opps Created'!$O:$O,"&lt;&gt;Exclude")</f>
        <v>12</v>
      </c>
      <c r="D18" s="436">
        <f>SUM(
SUMIFS('Opps Created'!$E:$E,'Opps Created'!$O:$O,"Digital",'Opps Created'!$G:$G,"&gt;="&amp;EOMONTH($B18,-1)+1,'Opps Created'!$G:$G,"&lt;="&amp;EOMONTH($B18,0)),
SUMIFS('Opps Created'!$E:$E,'Opps Created'!$O:$O,"Events",'Opps Created'!$G:$G,"&gt;="&amp;EOMONTH($B18,-1)+1,'Opps Created'!$G:$G,"&lt;="&amp;EOMONTH($B18,0)),
SUMIFS('Opps Created'!$E:$E,'Opps Created'!$O:$O,"Alliances",'Opps Created'!$G:$G,"&gt;="&amp;EOMONTH($B18,-1)+1,'Opps Created'!$G:$G,"&lt;="&amp;EOMONTH($B18,0)),
SUMIFS('Opps Created'!$E:$E,'Opps Created'!$O:$O,"Cold",'Opps Created'!$G:$G,"&gt;="&amp;EOMONTH($B18,-1)+1,'Opps Created'!$G:$G,"&lt;="&amp;EOMONTH($B18,0))
)</f>
        <v>15218160</v>
      </c>
      <c r="E18" s="435">
        <f>SUMIFS('Digital Leads Raw'!$B:$B,'Digital Leads Raw'!$E:$E,"&gt;="&amp;EOMONTH($B18,-1)+1,'Digital Leads Raw'!$E:$E,"&lt;="&amp;EOMONTH($B18,0))
+SUMIFS('Event Spend Raw'!$D:$D,'Event Spend Raw'!$G:$G,"&gt;="&amp;EOMONTH($B18,-1)+1,'Event Spend Raw'!$G:$G,"&lt;="&amp;EOMONTH($B18,0))
+COUNTIFS('Cold outreach data'!$K:$K,"Cold",'Cold outreach data'!$C:$C,"&gt;="&amp;EOMONTH($B18,-1)+1,'Cold outreach data'!$C:$C,"&lt;="&amp;EOMONTH($B18,0))
+COUNTIFS('Alliances Data Raw'!$Q:$Q,"&gt;="&amp;EOMONTH($B18,-1)+1,'Alliances Data Raw'!$Q:$Q,"&lt;="&amp;EOMONTH($B18,0),'Alliances Data Raw'!$D:$D,"&lt;&gt;Disqualified",'Alliances Data Raw'!$D:$D,"&lt;&gt;Register Lead")</f>
        <v>64</v>
      </c>
      <c r="F18" s="435">
        <f>COUNTIFS('Cold outreach data'!$G:$G,"Yes",'Cold outreach data'!$K:$K,"Digital",'Cold outreach data'!$C:$C,"&gt;="&amp;EOMONTH($B18,-1)+1,'Cold outreach data'!$C:$C,"&lt;="&amp;EOMONTH($B18,0))+COUNTIFS('Cold outreach data'!$G:$G,"Yes",'Cold outreach data'!$K:$K,"Event",'Cold outreach data'!$C:$C,"&gt;="&amp;EOMONTH($B18,-1)+1,'Cold outreach data'!$C:$C,"&lt;="&amp;EOMONTH($B18,0))+COUNTIFS('Cold outreach data'!$G:$G,"Yes",'Cold outreach data'!$K:$K,"Cold",'Cold outreach data'!$C:$C,"&gt;="&amp;EOMONTH($B18,-1)+1,'Cold outreach data'!$C:$C,"&lt;="&amp;EOMONTH($B18,0))+COUNTIFS('Alliances Data Raw'!$W:$W,"&gt;="&amp;EOMONTH($B18,-1)+1,'Alliances Data Raw'!$W:$W,"&lt;="&amp;EOMONTH($B18,0))</f>
        <v>13</v>
      </c>
      <c r="G18" s="437">
        <f t="shared" si="2"/>
        <v>1268180</v>
      </c>
      <c r="H18" s="437">
        <f>SUMIFS( Table1[Total Net New ACV], Table1[LateStage_Unique_Monthly_Flag], 1, Table1[Change Date], "&gt;="&amp;EOMONTH('Marketing Dashboard'!B18,-1)+1, Table1[Change Date], "&lt;="&amp;EOMONTH('Marketing Dashboard'!B18,0) )</f>
        <v>1465250.72</v>
      </c>
      <c r="J18" s="504" t="s">
        <v>29</v>
      </c>
      <c r="K18" s="497">
        <f>SUMIFS(
'Event Spend Raw'!$C:$C,
'Event Spend Raw'!$G:$G,"&gt;="&amp;EOMONTH($AB$3,-1)+1,
'Event Spend Raw'!$G:$G,"&lt;="&amp;EOMONTH($AB$3,0)
)</f>
        <v>5000</v>
      </c>
      <c r="L18" s="497">
        <f>SUMIFS(
'Event Spend Raw'!$C:$C,
'Event Spend Raw'!$G:$G,"&gt;="&amp;EOMONTH($AB$3,-2)+1,
'Event Spend Raw'!$G:$G,"&lt;="&amp;EOMONTH($AB$3,-1)
)</f>
        <v>19600</v>
      </c>
      <c r="M18" s="588" t="str">
        <f t="shared" ref="M18:M21" si="3">IF(L18=0,"",
IF((K18-L18)/L18&gt;0,
"↑ "&amp;TEXT((K18-L18)/L18,"0.0%"),
IF((K18-L18)/L18&lt;0,
"↓ "&amp;TEXT(ABS((K18-L18)/L18),"0.0%"),
"→ 0.0%"
)))</f>
        <v>↓ 74.5%</v>
      </c>
      <c r="O18" s="592" t="s">
        <v>29</v>
      </c>
      <c r="P18" s="517">
        <f>COUNTIFS('Opps Created'!$O:$O,"Events",'Opps Created'!$R:$R,0,'Opps Created'!$G:$G,"&gt;="&amp;EOMONTH($AB$3,-$AB$5)+1,'Opps Created'!$G:$G,"&lt;="&amp;$AB$3)</f>
        <v>30</v>
      </c>
      <c r="Q18" s="518">
        <f>IFERROR(AVERAGEIFS('Opps Created'!$M:$M,'Opps Created'!$O:$O,"Events",'Opps Created'!$R:$R,0,'Opps Created'!$M:$M,"&gt;0",'Opps Created'!$G:$G,"&gt;="&amp;EOMONTH($AB$3,-$AB$5)+1,'Opps Created'!$G:$G,"&lt;="&amp;$AB$3),0)</f>
        <v>285376.304</v>
      </c>
      <c r="R18" s="519">
        <f>IFERROR(COUNTIFS('Opps Created'!$O:$O,"Events",'Opps Created'!$R:$R,0,'Opps Created'!$M:$M,"&gt;0",'Opps Created'!$G:$G,"&gt;="&amp;EOMONTH($AB$3,-$AB$5)+1,'Opps Created'!$G:$G,"&lt;="&amp;$AB$3)/P18,0)</f>
        <v>0.83333333333333337</v>
      </c>
      <c r="S18" s="520">
        <f ca="1">IFERROR(AVERAGEIFS('Opps Created'!$P:$P,'Opps Created'!$O:$O,"Events",'Opps Created'!$R:$R,0,'Opps Created'!$G:$G,"&gt;="&amp;EOMONTH($AB$3,-$AB$5)+1,'Opps Created'!$G:$G,"&lt;="&amp;$AB$3),0)</f>
        <v>279.73333333333335</v>
      </c>
      <c r="T18" s="520">
        <f>IFERROR(AVERAGEIFS('Opps Created'!$N:$N,'Opps Created'!$O:$O,"Events",'Opps Created'!$R:$R,0,'Opps Created'!$G:$G,"&gt;="&amp;EOMONTH($AB$3,-$AB$5)+1,'Opps Created'!$G:$G,"&lt;="&amp;$AB$3),0)</f>
        <v>164.03333333333333</v>
      </c>
      <c r="U18" s="519">
        <f>IFERROR(COUNTIFS('Opps Created'!$O:$O,"Events",'Opps Created'!$R:$R,0,'Opps Created'!$Q:$Q,1,'Opps Created'!$G:$G,"&gt;="&amp;EOMONTH($AB$3,-$AB$5)+1,'Opps Created'!$G:$G,"&lt;="&amp;$AB$3)/P18,0)</f>
        <v>0.1</v>
      </c>
      <c r="V18" s="501"/>
      <c r="W18" s="501"/>
      <c r="X18" s="501"/>
      <c r="Y18" s="501"/>
    </row>
    <row r="19" spans="1:25" ht="18" customHeight="1">
      <c r="B19" s="477">
        <f>EOMONTH($AB$3,-9)</f>
        <v>45961</v>
      </c>
      <c r="C19" s="435">
        <f>COUNTIFS('Opps Created'!$G:$G,"&gt;="&amp;EOMONTH($B19,-1)+1,'Opps Created'!$G:$G,"&lt;="&amp;EOMONTH($B19,0),'Opps Created'!$O:$O,"&lt;&gt;",'Opps Created'!$O:$O,"&lt;&gt;0",'Opps Created'!$O:$O,"&lt;&gt;Exclude")</f>
        <v>7</v>
      </c>
      <c r="D19" s="436">
        <f>SUM(
SUMIFS('Opps Created'!$E:$E,'Opps Created'!$O:$O,"Digital",'Opps Created'!$G:$G,"&gt;="&amp;EOMONTH($B19,-1)+1,'Opps Created'!$G:$G,"&lt;="&amp;EOMONTH($B19,0)),
SUMIFS('Opps Created'!$E:$E,'Opps Created'!$O:$O,"Events",'Opps Created'!$G:$G,"&gt;="&amp;EOMONTH($B19,-1)+1,'Opps Created'!$G:$G,"&lt;="&amp;EOMONTH($B19,0)),
SUMIFS('Opps Created'!$E:$E,'Opps Created'!$O:$O,"Alliances",'Opps Created'!$G:$G,"&gt;="&amp;EOMONTH($B19,-1)+1,'Opps Created'!$G:$G,"&lt;="&amp;EOMONTH($B19,0)),
SUMIFS('Opps Created'!$E:$E,'Opps Created'!$O:$O,"Cold",'Opps Created'!$G:$G,"&gt;="&amp;EOMONTH($B19,-1)+1,'Opps Created'!$G:$G,"&lt;="&amp;EOMONTH($B19,0))
)</f>
        <v>1241516.1600000001</v>
      </c>
      <c r="E19" s="435">
        <f>SUMIFS('Digital Leads Raw'!$B:$B,'Digital Leads Raw'!$E:$E,"&gt;="&amp;EOMONTH($B19,-1)+1,'Digital Leads Raw'!$E:$E,"&lt;="&amp;EOMONTH($B19,0))
+SUMIFS('Event Spend Raw'!$D:$D,'Event Spend Raw'!$G:$G,"&gt;="&amp;EOMONTH($B19,-1)+1,'Event Spend Raw'!$G:$G,"&lt;="&amp;EOMONTH($B19,0))
+COUNTIFS('Cold outreach data'!$K:$K,"Cold",'Cold outreach data'!$C:$C,"&gt;="&amp;EOMONTH($B19,-1)+1,'Cold outreach data'!$C:$C,"&lt;="&amp;EOMONTH($B19,0))
+COUNTIFS('Alliances Data Raw'!$Q:$Q,"&gt;="&amp;EOMONTH($B19,-1)+1,'Alliances Data Raw'!$Q:$Q,"&lt;="&amp;EOMONTH($B19,0),'Alliances Data Raw'!$D:$D,"&lt;&gt;Disqualified",'Alliances Data Raw'!$D:$D,"&lt;&gt;Register Lead")</f>
        <v>22</v>
      </c>
      <c r="F19" s="435">
        <f>COUNTIFS('Cold outreach data'!$G:$G,"Yes",'Cold outreach data'!$K:$K,"Digital",'Cold outreach data'!$C:$C,"&gt;="&amp;EOMONTH($B19,-1)+1,'Cold outreach data'!$C:$C,"&lt;="&amp;EOMONTH($B19,0))+COUNTIFS('Cold outreach data'!$G:$G,"Yes",'Cold outreach data'!$K:$K,"Event",'Cold outreach data'!$C:$C,"&gt;="&amp;EOMONTH($B19,-1)+1,'Cold outreach data'!$C:$C,"&lt;="&amp;EOMONTH($B19,0))+COUNTIFS('Cold outreach data'!$G:$G,"Yes",'Cold outreach data'!$K:$K,"Cold",'Cold outreach data'!$C:$C,"&gt;="&amp;EOMONTH($B19,-1)+1,'Cold outreach data'!$C:$C,"&lt;="&amp;EOMONTH($B19,0))+COUNTIFS('Alliances Data Raw'!$W:$W,"&gt;="&amp;EOMONTH($B19,-1)+1,'Alliances Data Raw'!$W:$W,"&lt;="&amp;EOMONTH($B19,0))</f>
        <v>18</v>
      </c>
      <c r="G19" s="437">
        <f t="shared" si="2"/>
        <v>177359.45142857145</v>
      </c>
      <c r="H19" s="437">
        <f>SUMIFS( Table1[Total Net New ACV], Table1[LateStage_Unique_Monthly_Flag], 1, Table1[Change Date], "&gt;="&amp;EOMONTH('Marketing Dashboard'!B19,-1)+1, Table1[Change Date], "&lt;="&amp;EOMONTH('Marketing Dashboard'!B19,0) )</f>
        <v>2278803.27</v>
      </c>
      <c r="J19" s="503" t="s">
        <v>52</v>
      </c>
      <c r="K19" s="496">
        <f>SUMIFS(
'Cold Outreach Spend Raw'!$B:$B,
'Cold Outreach Spend Raw'!$A:$A,"&gt;="&amp;EOMONTH($AB$3,-1)+1,
'Cold Outreach Spend Raw'!$A:$A,"&lt;="&amp;EOMONTH($AB$3,0)
)</f>
        <v>32475</v>
      </c>
      <c r="L19" s="496">
        <f>SUMIFS(
'Cold Outreach Spend Raw'!$B:$B,
'Cold Outreach Spend Raw'!$A:$A,"&gt;="&amp;EOMONTH($AB$3,-2)+1,
'Cold Outreach Spend Raw'!$A:$A,"&lt;="&amp;EOMONTH($AB$3,-1)
)</f>
        <v>32475</v>
      </c>
      <c r="M19" s="587" t="str">
        <f t="shared" si="3"/>
        <v>→ 0.0%</v>
      </c>
      <c r="O19" s="591" t="s">
        <v>52</v>
      </c>
      <c r="P19" s="513">
        <f>COUNTIFS('Opps Created'!$O:$O,"Cold",'Opps Created'!$R:$R,0,'Opps Created'!$G:$G,"&gt;="&amp;EOMONTH($AB$3,-$AB$5)+1,'Opps Created'!$G:$G,"&lt;="&amp;$AB$3)</f>
        <v>25</v>
      </c>
      <c r="Q19" s="514">
        <f>IFERROR(AVERAGEIFS('Opps Created'!$M:$M,'Opps Created'!$O:$O,"Cold",'Opps Created'!$R:$R,0,'Opps Created'!$M:$M,"&gt;0",'Opps Created'!$G:$G,"&gt;="&amp;EOMONTH($AB$3,-$AB$5)+1,'Opps Created'!$G:$G,"&lt;="&amp;$AB$3),0)</f>
        <v>324979.04761904763</v>
      </c>
      <c r="R19" s="515">
        <f>IFERROR(COUNTIFS('Opps Created'!$O:$O,"Cold",'Opps Created'!$R:$R,0,'Opps Created'!$M:$M,"&gt;0",'Opps Created'!$G:$G,"&gt;="&amp;EOMONTH($AB$3,-$AB$5)+1,'Opps Created'!$G:$G,"&lt;="&amp;$AB$3)/P19,0)</f>
        <v>0.84</v>
      </c>
      <c r="S19" s="516">
        <f ca="1">IFERROR(AVERAGEIFS('Opps Created'!$P:$P,'Opps Created'!$O:$O,"Cold",'Opps Created'!$R:$R,0,'Opps Created'!$G:$G,"&gt;="&amp;EOMONTH($AB$3,-$AB$5)+1,'Opps Created'!$G:$G,"&lt;="&amp;$AB$3),0)</f>
        <v>320.52</v>
      </c>
      <c r="T19" s="516">
        <f>IFERROR(AVERAGEIFS('Opps Created'!$N:$N,'Opps Created'!$O:$O,"Cold",'Opps Created'!$R:$R,0,'Opps Created'!$G:$G,"&gt;="&amp;EOMONTH($AB$3,-$AB$5)+1,'Opps Created'!$G:$G,"&lt;="&amp;$AB$3),0)</f>
        <v>158.52000000000001</v>
      </c>
      <c r="U19" s="515">
        <f>IFERROR(COUNTIFS('Opps Created'!$O:$O,"Cold",'Opps Created'!$R:$R,0,'Opps Created'!$Q:$Q,1,'Opps Created'!$G:$G,"&gt;="&amp;EOMONTH($AB$3,-$AB$5)+1,'Opps Created'!$G:$G,"&lt;="&amp;$AB$3)/P19,0)</f>
        <v>0.08</v>
      </c>
      <c r="V19" s="501"/>
      <c r="W19" s="501"/>
      <c r="X19" s="501"/>
      <c r="Y19" s="501"/>
    </row>
    <row r="20" spans="1:25" ht="18" customHeight="1">
      <c r="A20" t="s">
        <v>53</v>
      </c>
      <c r="B20" s="477">
        <f>EOMONTH($AB$3,-8)</f>
        <v>45991</v>
      </c>
      <c r="C20" s="435">
        <f>COUNTIFS('Opps Created'!$G:$G,"&gt;="&amp;EOMONTH($B20,-1)+1,'Opps Created'!$G:$G,"&lt;="&amp;EOMONTH($B20,0),'Opps Created'!$O:$O,"&lt;&gt;",'Opps Created'!$O:$O,"&lt;&gt;0",'Opps Created'!$O:$O,"&lt;&gt;Exclude")</f>
        <v>6</v>
      </c>
      <c r="D20" s="436">
        <f>SUM(
SUMIFS('Opps Created'!$E:$E,'Opps Created'!$O:$O,"Digital",'Opps Created'!$G:$G,"&gt;="&amp;EOMONTH($B20,-1)+1,'Opps Created'!$G:$G,"&lt;="&amp;EOMONTH($B20,0)),
SUMIFS('Opps Created'!$E:$E,'Opps Created'!$O:$O,"Events",'Opps Created'!$G:$G,"&gt;="&amp;EOMONTH($B20,-1)+1,'Opps Created'!$G:$G,"&lt;="&amp;EOMONTH($B20,0)),
SUMIFS('Opps Created'!$E:$E,'Opps Created'!$O:$O,"Alliances",'Opps Created'!$G:$G,"&gt;="&amp;EOMONTH($B20,-1)+1,'Opps Created'!$G:$G,"&lt;="&amp;EOMONTH($B20,0)),
SUMIFS('Opps Created'!$E:$E,'Opps Created'!$O:$O,"Cold",'Opps Created'!$G:$G,"&gt;="&amp;EOMONTH($B20,-1)+1,'Opps Created'!$G:$G,"&lt;="&amp;EOMONTH($B20,0))
)</f>
        <v>1441015.6</v>
      </c>
      <c r="E20" s="435">
        <f>SUMIFS('Digital Leads Raw'!$B:$B,'Digital Leads Raw'!$E:$E,"&gt;="&amp;EOMONTH($B20,-1)+1,'Digital Leads Raw'!$E:$E,"&lt;="&amp;EOMONTH($B20,0))
+SUMIFS('Event Spend Raw'!$D:$D,'Event Spend Raw'!$G:$G,"&gt;="&amp;EOMONTH($B20,-1)+1,'Event Spend Raw'!$G:$G,"&lt;="&amp;EOMONTH($B20,0))
+COUNTIFS('Cold outreach data'!$K:$K,"Cold",'Cold outreach data'!$C:$C,"&gt;="&amp;EOMONTH($B20,-1)+1,'Cold outreach data'!$C:$C,"&lt;="&amp;EOMONTH($B20,0))
+COUNTIFS('Alliances Data Raw'!$Q:$Q,"&gt;="&amp;EOMONTH($B20,-1)+1,'Alliances Data Raw'!$Q:$Q,"&lt;="&amp;EOMONTH($B20,0),'Alliances Data Raw'!$D:$D,"&lt;&gt;Disqualified",'Alliances Data Raw'!$D:$D,"&lt;&gt;Register Lead")</f>
        <v>78</v>
      </c>
      <c r="F20" s="435">
        <f>COUNTIFS('Cold outreach data'!$G:$G,"Yes",'Cold outreach data'!$K:$K,"Digital",'Cold outreach data'!$C:$C,"&gt;="&amp;EOMONTH($B20,-1)+1,'Cold outreach data'!$C:$C,"&lt;="&amp;EOMONTH($B20,0))+COUNTIFS('Cold outreach data'!$G:$G,"Yes",'Cold outreach data'!$K:$K,"Event",'Cold outreach data'!$C:$C,"&gt;="&amp;EOMONTH($B20,-1)+1,'Cold outreach data'!$C:$C,"&lt;="&amp;EOMONTH($B20,0))+COUNTIFS('Cold outreach data'!$G:$G,"Yes",'Cold outreach data'!$K:$K,"Cold",'Cold outreach data'!$C:$C,"&gt;="&amp;EOMONTH($B20,-1)+1,'Cold outreach data'!$C:$C,"&lt;="&amp;EOMONTH($B20,0))+COUNTIFS('Alliances Data Raw'!$W:$W,"&gt;="&amp;EOMONTH($B20,-1)+1,'Alliances Data Raw'!$W:$W,"&lt;="&amp;EOMONTH($B20,0))</f>
        <v>14</v>
      </c>
      <c r="G20" s="437">
        <f t="shared" si="2"/>
        <v>240169.26666666669</v>
      </c>
      <c r="H20" s="437">
        <f>SUMIFS( Table1[Total Net New ACV], Table1[LateStage_Unique_Monthly_Flag], 1, Table1[Change Date], "&gt;="&amp;EOMONTH('Marketing Dashboard'!B20,-1)+1, Table1[Change Date], "&lt;="&amp;EOMONTH('Marketing Dashboard'!B20,0) )</f>
        <v>854808</v>
      </c>
      <c r="J20" s="504" t="s">
        <v>32</v>
      </c>
      <c r="K20" s="497">
        <f>SUMIFS(
'Alliances Spend'!$B:$B,
'Alliances Spend'!$C:$C,"&gt;="&amp;EOMONTH($AB$3,-1)+1,
'Alliances Spend'!$C:$C,"&lt;="&amp;EOMONTH($AB$3,0)
)</f>
        <v>3454.56</v>
      </c>
      <c r="L20" s="497">
        <f>SUMIFS(
'Alliances Spend'!$B:$B,
'Alliances Spend'!$C:$C,"&gt;="&amp;EOMONTH($AB$3,-2)+1,
'Alliances Spend'!$C:$C,"&lt;="&amp;EOMONTH($AB$3,-1)
)</f>
        <v>92.75</v>
      </c>
      <c r="M20" s="588" t="str">
        <f t="shared" si="3"/>
        <v>↑ 3624.6%</v>
      </c>
      <c r="O20" s="592" t="s">
        <v>32</v>
      </c>
      <c r="P20" s="517">
        <f>COUNTIFS('Opps Created'!$O:$O,"Alliances",'Opps Created'!$R:$R,0,'Opps Created'!$G:$G,"&gt;="&amp;EOMONTH($AB$3,-$AB$5)+1,'Opps Created'!$G:$G,"&lt;="&amp;$AB$3)</f>
        <v>46</v>
      </c>
      <c r="Q20" s="518">
        <f>IFERROR(AVERAGEIFS('Opps Created'!$M:$M,'Opps Created'!$O:$O,"Alliances",'Opps Created'!$R:$R,0,'Opps Created'!$M:$M,"&gt;0",'Opps Created'!$G:$G,"&gt;="&amp;EOMONTH($AB$3,-$AB$5)+1,'Opps Created'!$G:$G,"&lt;="&amp;$AB$3),0)</f>
        <v>418501.25853658537</v>
      </c>
      <c r="R20" s="519">
        <f>IFERROR(COUNTIFS('Opps Created'!$O:$O,"Alliances",'Opps Created'!$R:$R,0,'Opps Created'!$M:$M,"&gt;0",'Opps Created'!$G:$G,"&gt;="&amp;EOMONTH($AB$3,-$AB$5)+1,'Opps Created'!$G:$G,"&lt;="&amp;$AB$3)/P20,0)</f>
        <v>0.89130434782608692</v>
      </c>
      <c r="S20" s="520">
        <f ca="1">IFERROR(AVERAGEIFS('Opps Created'!$P:$P,'Opps Created'!$O:$O,"Alliances",'Opps Created'!$R:$R,0,'Opps Created'!$G:$G,"&gt;="&amp;EOMONTH($AB$3,-$AB$5)+1,'Opps Created'!$G:$G,"&lt;="&amp;$AB$3),0)</f>
        <v>273.1521739130435</v>
      </c>
      <c r="T20" s="520">
        <f>IFERROR(AVERAGEIFS('Opps Created'!$N:$N,'Opps Created'!$O:$O,"Alliances",'Opps Created'!$R:$R,0,'Opps Created'!$G:$G,"&gt;="&amp;EOMONTH($AB$3,-$AB$5)+1,'Opps Created'!$G:$G,"&lt;="&amp;$AB$3),0)</f>
        <v>189.2608695652174</v>
      </c>
      <c r="U20" s="519">
        <f>IFERROR(COUNTIFS('Opps Created'!$O:$O,"Alliances",'Opps Created'!$R:$R,0,'Opps Created'!$Q:$Q,1,'Opps Created'!$G:$G,"&gt;="&amp;EOMONTH($AB$3,-$AB$5)+1,'Opps Created'!$G:$G,"&lt;="&amp;$AB$3)/P20,0)</f>
        <v>8.6956521739130432E-2</v>
      </c>
      <c r="V20" s="501"/>
      <c r="W20" s="501"/>
      <c r="X20" s="501"/>
      <c r="Y20" s="501"/>
    </row>
    <row r="21" spans="1:25" ht="18" customHeight="1">
      <c r="B21" s="477">
        <f>EOMONTH($AB$3,-7)</f>
        <v>46022</v>
      </c>
      <c r="C21" s="435">
        <f>COUNTIFS('Opps Created'!$G:$G,"&gt;="&amp;EOMONTH($B21,-1)+1,'Opps Created'!$G:$G,"&lt;="&amp;EOMONTH($B21,0),'Opps Created'!$O:$O,"&lt;&gt;",'Opps Created'!$O:$O,"&lt;&gt;0",'Opps Created'!$O:$O,"&lt;&gt;Exclude")</f>
        <v>7</v>
      </c>
      <c r="D21" s="436">
        <f>SUM(
SUMIFS('Opps Created'!$E:$E,'Opps Created'!$O:$O,"Digital",'Opps Created'!$G:$G,"&gt;="&amp;EOMONTH($B21,-1)+1,'Opps Created'!$G:$G,"&lt;="&amp;EOMONTH($B21,0)),
SUMIFS('Opps Created'!$E:$E,'Opps Created'!$O:$O,"Events",'Opps Created'!$G:$G,"&gt;="&amp;EOMONTH($B21,-1)+1,'Opps Created'!$G:$G,"&lt;="&amp;EOMONTH($B21,0)),
SUMIFS('Opps Created'!$E:$E,'Opps Created'!$O:$O,"Alliances",'Opps Created'!$G:$G,"&gt;="&amp;EOMONTH($B21,-1)+1,'Opps Created'!$G:$G,"&lt;="&amp;EOMONTH($B21,0)),
SUMIFS('Opps Created'!$E:$E,'Opps Created'!$O:$O,"Cold",'Opps Created'!$G:$G,"&gt;="&amp;EOMONTH($B21,-1)+1,'Opps Created'!$G:$G,"&lt;="&amp;EOMONTH($B21,0))
)</f>
        <v>4904592</v>
      </c>
      <c r="E21" s="435">
        <f>SUMIFS('Digital Leads Raw'!$B:$B,'Digital Leads Raw'!$E:$E,"&gt;="&amp;EOMONTH($B21,-1)+1,'Digital Leads Raw'!$E:$E,"&lt;="&amp;EOMONTH($B21,0))
+SUMIFS('Event Spend Raw'!$D:$D,'Event Spend Raw'!$G:$G,"&gt;="&amp;EOMONTH($B21,-1)+1,'Event Spend Raw'!$G:$G,"&lt;="&amp;EOMONTH($B21,0))
+COUNTIFS('Cold outreach data'!$K:$K,"Cold",'Cold outreach data'!$C:$C,"&gt;="&amp;EOMONTH($B21,-1)+1,'Cold outreach data'!$C:$C,"&lt;="&amp;EOMONTH($B21,0))
+COUNTIFS('Alliances Data Raw'!$Q:$Q,"&gt;="&amp;EOMONTH($B21,-1)+1,'Alliances Data Raw'!$Q:$Q,"&lt;="&amp;EOMONTH($B21,0),'Alliances Data Raw'!$D:$D,"&lt;&gt;Disqualified",'Alliances Data Raw'!$D:$D,"&lt;&gt;Register Lead")</f>
        <v>5</v>
      </c>
      <c r="F21" s="435">
        <f>COUNTIFS('Cold outreach data'!$G:$G,"Yes",'Cold outreach data'!$K:$K,"Digital",'Cold outreach data'!$C:$C,"&gt;="&amp;EOMONTH($B21,-1)+1,'Cold outreach data'!$C:$C,"&lt;="&amp;EOMONTH($B21,0))+COUNTIFS('Cold outreach data'!$G:$G,"Yes",'Cold outreach data'!$K:$K,"Event",'Cold outreach data'!$C:$C,"&gt;="&amp;EOMONTH($B21,-1)+1,'Cold outreach data'!$C:$C,"&lt;="&amp;EOMONTH($B21,0))+COUNTIFS('Cold outreach data'!$G:$G,"Yes",'Cold outreach data'!$K:$K,"Cold",'Cold outreach data'!$C:$C,"&gt;="&amp;EOMONTH($B21,-1)+1,'Cold outreach data'!$C:$C,"&lt;="&amp;EOMONTH($B21,0))+COUNTIFS('Alliances Data Raw'!$W:$W,"&gt;="&amp;EOMONTH($B21,-1)+1,'Alliances Data Raw'!$W:$W,"&lt;="&amp;EOMONTH($B21,0))</f>
        <v>7</v>
      </c>
      <c r="G21" s="437">
        <f t="shared" si="2"/>
        <v>700656</v>
      </c>
      <c r="H21" s="437">
        <f>SUMIFS( Table1[Total Net New ACV], Table1[LateStage_Unique_Monthly_Flag], 1, Table1[Change Date], "&gt;="&amp;EOMONTH('Marketing Dashboard'!B21,-1)+1, Table1[Change Date], "&lt;="&amp;EOMONTH('Marketing Dashboard'!B21,0) )</f>
        <v>433860</v>
      </c>
      <c r="J21" s="505" t="s">
        <v>34</v>
      </c>
      <c r="K21" s="499">
        <f>SUM(K17:K20)</f>
        <v>75325.149999999994</v>
      </c>
      <c r="L21" s="499">
        <f>SUM(L17:L20)</f>
        <v>83937.209999999992</v>
      </c>
      <c r="M21" s="589" t="str">
        <f t="shared" si="3"/>
        <v>↓ 10.3%</v>
      </c>
      <c r="O21" s="593" t="s">
        <v>34</v>
      </c>
      <c r="P21" s="521">
        <f>SUM(P17:P20)</f>
        <v>118</v>
      </c>
      <c r="Q21" s="522">
        <f>IFERROR((Q17*P17+Q18*P18+Q19*P19+Q20*P20)/P21,0)</f>
        <v>375649.50807761971</v>
      </c>
      <c r="R21" s="523">
        <f>IFERROR((R17*P17+R18*P18+R19*P19+R20*P20)/P21,0)</f>
        <v>0.8728813559322034</v>
      </c>
      <c r="S21" s="524">
        <f ca="1">IFERROR((S17*P17+S18*P18+S19*P19+S20*P20)/P21,0)</f>
        <v>298.74576271186442</v>
      </c>
      <c r="T21" s="524">
        <f>IFERROR((T17*P17+T18*P18+T19*P19+T20*P20)/P21,0)</f>
        <v>176.0593220338983</v>
      </c>
      <c r="U21" s="523">
        <f>IFERROR((U17*P17+U18*P18+U19*P19+U20*P20)/P21,0)</f>
        <v>7.6271186440677971E-2</v>
      </c>
      <c r="V21" s="502"/>
      <c r="W21" s="502"/>
      <c r="X21" s="502"/>
      <c r="Y21" s="502"/>
    </row>
    <row r="22" spans="1:25">
      <c r="B22" s="477">
        <f>EOMONTH($AB$3,-6)</f>
        <v>46053</v>
      </c>
      <c r="C22" s="435">
        <f>COUNTIFS('Opps Created'!$G:$G,"&gt;="&amp;EOMONTH($B22,-1)+1,'Opps Created'!$G:$G,"&lt;="&amp;EOMONTH($B22,0),'Opps Created'!$O:$O,"&lt;&gt;",'Opps Created'!$O:$O,"&lt;&gt;0",'Opps Created'!$O:$O,"&lt;&gt;Exclude")</f>
        <v>6</v>
      </c>
      <c r="D22" s="436">
        <f>SUM(
SUMIFS('Opps Created'!$E:$E,'Opps Created'!$O:$O,"Digital",'Opps Created'!$G:$G,"&gt;="&amp;EOMONTH($B22,-1)+1,'Opps Created'!$G:$G,"&lt;="&amp;EOMONTH($B22,0)),
SUMIFS('Opps Created'!$E:$E,'Opps Created'!$O:$O,"Events",'Opps Created'!$G:$G,"&gt;="&amp;EOMONTH($B22,-1)+1,'Opps Created'!$G:$G,"&lt;="&amp;EOMONTH($B22,0)),
SUMIFS('Opps Created'!$E:$E,'Opps Created'!$O:$O,"Alliances",'Opps Created'!$G:$G,"&gt;="&amp;EOMONTH($B22,-1)+1,'Opps Created'!$G:$G,"&lt;="&amp;EOMONTH($B22,0)),
SUMIFS('Opps Created'!$E:$E,'Opps Created'!$O:$O,"Cold",'Opps Created'!$G:$G,"&gt;="&amp;EOMONTH($B22,-1)+1,'Opps Created'!$G:$G,"&lt;="&amp;EOMONTH($B22,0))
)</f>
        <v>1915920</v>
      </c>
      <c r="E22" s="435">
        <f>SUMIFS('Digital Leads Raw'!$B:$B,'Digital Leads Raw'!$E:$E,"&gt;="&amp;EOMONTH($B22,-1)+1,'Digital Leads Raw'!$E:$E,"&lt;="&amp;EOMONTH($B22,0))
+SUMIFS('Event Spend Raw'!$D:$D,'Event Spend Raw'!$G:$G,"&gt;="&amp;EOMONTH($B22,-1)+1,'Event Spend Raw'!$G:$G,"&lt;="&amp;EOMONTH($B22,0))
+COUNTIFS('Cold outreach data'!$K:$K,"Cold",'Cold outreach data'!$C:$C,"&gt;="&amp;EOMONTH($B22,-1)+1,'Cold outreach data'!$C:$C,"&lt;="&amp;EOMONTH($B22,0))
+COUNTIFS('Alliances Data Raw'!$Q:$Q,"&gt;="&amp;EOMONTH($B22,-1)+1,'Alliances Data Raw'!$Q:$Q,"&lt;="&amp;EOMONTH($B22,0),'Alliances Data Raw'!$D:$D,"&lt;&gt;Disqualified",'Alliances Data Raw'!$D:$D,"&lt;&gt;Register Lead")</f>
        <v>109</v>
      </c>
      <c r="F22" s="435">
        <f>COUNTIFS('Cold outreach data'!$G:$G,"Yes",'Cold outreach data'!$K:$K,"Digital",'Cold outreach data'!$C:$C,"&gt;="&amp;EOMONTH($B22,-1)+1,'Cold outreach data'!$C:$C,"&lt;="&amp;EOMONTH($B22,0))+COUNTIFS('Cold outreach data'!$G:$G,"Yes",'Cold outreach data'!$K:$K,"Event",'Cold outreach data'!$C:$C,"&gt;="&amp;EOMONTH($B22,-1)+1,'Cold outreach data'!$C:$C,"&lt;="&amp;EOMONTH($B22,0))+COUNTIFS('Cold outreach data'!$G:$G,"Yes",'Cold outreach data'!$K:$K,"Cold",'Cold outreach data'!$C:$C,"&gt;="&amp;EOMONTH($B22,-1)+1,'Cold outreach data'!$C:$C,"&lt;="&amp;EOMONTH($B22,0))+COUNTIFS('Alliances Data Raw'!$W:$W,"&gt;="&amp;EOMONTH($B22,-1)+1,'Alliances Data Raw'!$W:$W,"&lt;="&amp;EOMONTH($B22,0))</f>
        <v>28</v>
      </c>
      <c r="G22" s="437">
        <f t="shared" si="2"/>
        <v>319320</v>
      </c>
      <c r="H22" s="437">
        <f>SUMIFS( Table1[Total Net New ACV], Table1[LateStage_Unique_Monthly_Flag], 1, Table1[Change Date], "&gt;="&amp;EOMONTH('Marketing Dashboard'!B22,-1)+1, Table1[Change Date], "&lt;="&amp;EOMONTH('Marketing Dashboard'!B22,0) )</f>
        <v>317625</v>
      </c>
    </row>
    <row r="23" spans="1:25" ht="16.5" customHeight="1">
      <c r="B23" s="477">
        <f>EOMONTH($AB$3,-5)</f>
        <v>46081</v>
      </c>
      <c r="C23" s="435">
        <f>COUNTIFS('Opps Created'!$G:$G,"&gt;="&amp;EOMONTH($B23,-1)+1,'Opps Created'!$G:$G,"&lt;="&amp;EOMONTH($B23,0),'Opps Created'!$O:$O,"&lt;&gt;",'Opps Created'!$O:$O,"&lt;&gt;0",'Opps Created'!$O:$O,"&lt;&gt;Exclude")</f>
        <v>6</v>
      </c>
      <c r="D23" s="436">
        <f>SUM(
SUMIFS('Opps Created'!$E:$E,'Opps Created'!$O:$O,"Digital",'Opps Created'!$G:$G,"&gt;="&amp;EOMONTH($B23,-1)+1,'Opps Created'!$G:$G,"&lt;="&amp;EOMONTH($B23,0)),
SUMIFS('Opps Created'!$E:$E,'Opps Created'!$O:$O,"Events",'Opps Created'!$G:$G,"&gt;="&amp;EOMONTH($B23,-1)+1,'Opps Created'!$G:$G,"&lt;="&amp;EOMONTH($B23,0)),
SUMIFS('Opps Created'!$E:$E,'Opps Created'!$O:$O,"Alliances",'Opps Created'!$G:$G,"&gt;="&amp;EOMONTH($B23,-1)+1,'Opps Created'!$G:$G,"&lt;="&amp;EOMONTH($B23,0)),
SUMIFS('Opps Created'!$E:$E,'Opps Created'!$O:$O,"Cold",'Opps Created'!$G:$G,"&gt;="&amp;EOMONTH($B23,-1)+1,'Opps Created'!$G:$G,"&lt;="&amp;EOMONTH($B23,0))
)</f>
        <v>5621930</v>
      </c>
      <c r="E23" s="435">
        <f>SUMIFS('Digital Leads Raw'!$B:$B,'Digital Leads Raw'!$E:$E,"&gt;="&amp;EOMONTH($B23,-1)+1,'Digital Leads Raw'!$E:$E,"&lt;="&amp;EOMONTH($B23,0))
+SUMIFS('Event Spend Raw'!$D:$D,'Event Spend Raw'!$G:$G,"&gt;="&amp;EOMONTH($B23,-1)+1,'Event Spend Raw'!$G:$G,"&lt;="&amp;EOMONTH($B23,0))
+COUNTIFS('Cold outreach data'!$K:$K,"Cold",'Cold outreach data'!$C:$C,"&gt;="&amp;EOMONTH($B23,-1)+1,'Cold outreach data'!$C:$C,"&lt;="&amp;EOMONTH($B23,0))
+COUNTIFS('Alliances Data Raw'!$Q:$Q,"&gt;="&amp;EOMONTH($B23,-1)+1,'Alliances Data Raw'!$Q:$Q,"&lt;="&amp;EOMONTH($B23,0),'Alliances Data Raw'!$D:$D,"&lt;&gt;Disqualified",'Alliances Data Raw'!$D:$D,"&lt;&gt;Register Lead")</f>
        <v>50</v>
      </c>
      <c r="F23" s="435">
        <f>COUNTIFS('Cold outreach data'!$G:$G,"Yes",'Cold outreach data'!$K:$K,"Digital",'Cold outreach data'!$C:$C,"&gt;="&amp;EOMONTH($B23,-1)+1,'Cold outreach data'!$C:$C,"&lt;="&amp;EOMONTH($B23,0))+COUNTIFS('Cold outreach data'!$G:$G,"Yes",'Cold outreach data'!$K:$K,"Event",'Cold outreach data'!$C:$C,"&gt;="&amp;EOMONTH($B23,-1)+1,'Cold outreach data'!$C:$C,"&lt;="&amp;EOMONTH($B23,0))+COUNTIFS('Cold outreach data'!$G:$G,"Yes",'Cold outreach data'!$K:$K,"Cold",'Cold outreach data'!$C:$C,"&gt;="&amp;EOMONTH($B23,-1)+1,'Cold outreach data'!$C:$C,"&lt;="&amp;EOMONTH($B23,0))+COUNTIFS('Alliances Data Raw'!$W:$W,"&gt;="&amp;EOMONTH($B23,-1)+1,'Alliances Data Raw'!$W:$W,"&lt;="&amp;EOMONTH($B23,0))</f>
        <v>28</v>
      </c>
      <c r="G23" s="437">
        <f t="shared" si="2"/>
        <v>936988.33333333337</v>
      </c>
      <c r="H23" s="437">
        <f>SUMIFS( Table1[Total Net New ACV], Table1[LateStage_Unique_Monthly_Flag], 1, Table1[Change Date], "&gt;="&amp;EOMONTH('Marketing Dashboard'!B23,-1)+1, Table1[Change Date], "&lt;="&amp;EOMONTH('Marketing Dashboard'!B23,0) )</f>
        <v>2272163.4</v>
      </c>
      <c r="J23" s="640" t="s">
        <v>54</v>
      </c>
      <c r="K23" s="640"/>
      <c r="L23" s="640"/>
      <c r="M23" s="640"/>
      <c r="N23" s="640"/>
      <c r="O23" s="640"/>
      <c r="P23" s="640"/>
      <c r="Q23" s="640"/>
      <c r="S23" s="644" t="s">
        <v>55</v>
      </c>
      <c r="T23" s="644"/>
      <c r="U23" s="644"/>
      <c r="V23" s="644"/>
      <c r="W23" s="644"/>
      <c r="X23" s="644"/>
    </row>
    <row r="24" spans="1:25">
      <c r="B24" s="477">
        <f>EOMONTH($AB$3,-4)</f>
        <v>46112</v>
      </c>
      <c r="C24" s="435">
        <f>COUNTIFS('Opps Created'!$G:$G,"&gt;="&amp;EOMONTH($B24,-1)+1,'Opps Created'!$G:$G,"&lt;="&amp;EOMONTH($B24,0),'Opps Created'!$O:$O,"&lt;&gt;",'Opps Created'!$O:$O,"&lt;&gt;0",'Opps Created'!$O:$O,"&lt;&gt;Exclude")</f>
        <v>6</v>
      </c>
      <c r="D24" s="436">
        <f>SUM(
SUMIFS('Opps Created'!$E:$E,'Opps Created'!$O:$O,"Digital",'Opps Created'!$G:$G,"&gt;="&amp;EOMONTH($B24,-1)+1,'Opps Created'!$G:$G,"&lt;="&amp;EOMONTH($B24,0)),
SUMIFS('Opps Created'!$E:$E,'Opps Created'!$O:$O,"Events",'Opps Created'!$G:$G,"&gt;="&amp;EOMONTH($B24,-1)+1,'Opps Created'!$G:$G,"&lt;="&amp;EOMONTH($B24,0)),
SUMIFS('Opps Created'!$E:$E,'Opps Created'!$O:$O,"Alliances",'Opps Created'!$G:$G,"&gt;="&amp;EOMONTH($B24,-1)+1,'Opps Created'!$G:$G,"&lt;="&amp;EOMONTH($B24,0)),
SUMIFS('Opps Created'!$E:$E,'Opps Created'!$O:$O,"Cold",'Opps Created'!$G:$G,"&gt;="&amp;EOMONTH($B24,-1)+1,'Opps Created'!$G:$G,"&lt;="&amp;EOMONTH($B24,0))
)</f>
        <v>1187160</v>
      </c>
      <c r="E24" s="435">
        <f>SUMIFS('Digital Leads Raw'!$B:$B,'Digital Leads Raw'!$E:$E,"&gt;="&amp;EOMONTH($B24,-1)+1,'Digital Leads Raw'!$E:$E,"&lt;="&amp;EOMONTH($B24,0))
+SUMIFS('Event Spend Raw'!$D:$D,'Event Spend Raw'!$G:$G,"&gt;="&amp;EOMONTH($B24,-1)+1,'Event Spend Raw'!$G:$G,"&lt;="&amp;EOMONTH($B24,0))
+COUNTIFS('Cold outreach data'!$K:$K,"Cold",'Cold outreach data'!$C:$C,"&gt;="&amp;EOMONTH($B24,-1)+1,'Cold outreach data'!$C:$C,"&lt;="&amp;EOMONTH($B24,0))
+COUNTIFS('Alliances Data Raw'!$Q:$Q,"&gt;="&amp;EOMONTH($B24,-1)+1,'Alliances Data Raw'!$Q:$Q,"&lt;="&amp;EOMONTH($B24,0),'Alliances Data Raw'!$D:$D,"&lt;&gt;Disqualified",'Alliances Data Raw'!$D:$D,"&lt;&gt;Register Lead")</f>
        <v>65</v>
      </c>
      <c r="F24" s="435">
        <f>COUNTIFS('Cold outreach data'!$G:$G,"Yes",'Cold outreach data'!$K:$K,"Digital",'Cold outreach data'!$C:$C,"&gt;="&amp;EOMONTH($B24,-1)+1,'Cold outreach data'!$C:$C,"&lt;="&amp;EOMONTH($B24,0))+COUNTIFS('Cold outreach data'!$G:$G,"Yes",'Cold outreach data'!$K:$K,"Event",'Cold outreach data'!$C:$C,"&gt;="&amp;EOMONTH($B24,-1)+1,'Cold outreach data'!$C:$C,"&lt;="&amp;EOMONTH($B24,0))+COUNTIFS('Cold outreach data'!$G:$G,"Yes",'Cold outreach data'!$K:$K,"Cold",'Cold outreach data'!$C:$C,"&gt;="&amp;EOMONTH($B24,-1)+1,'Cold outreach data'!$C:$C,"&lt;="&amp;EOMONTH($B24,0))+COUNTIFS('Alliances Data Raw'!$W:$W,"&gt;="&amp;EOMONTH($B24,-1)+1,'Alliances Data Raw'!$W:$W,"&lt;="&amp;EOMONTH($B24,0))</f>
        <v>26</v>
      </c>
      <c r="G24" s="437">
        <f t="shared" si="2"/>
        <v>197860</v>
      </c>
      <c r="H24" s="437">
        <f>SUMIFS( Table1[Total Net New ACV], Table1[LateStage_Unique_Monthly_Flag], 1, Table1[Change Date], "&gt;="&amp;EOMONTH('Marketing Dashboard'!B24,-1)+1, Table1[Change Date], "&lt;="&amp;EOMONTH('Marketing Dashboard'!B24,0) )</f>
        <v>2085754.8</v>
      </c>
      <c r="J24" s="506" t="s">
        <v>4</v>
      </c>
      <c r="K24" s="506" t="s">
        <v>56</v>
      </c>
      <c r="L24" s="506" t="s">
        <v>57</v>
      </c>
      <c r="M24" s="506" t="s">
        <v>58</v>
      </c>
      <c r="N24" s="506" t="s">
        <v>59</v>
      </c>
      <c r="O24" s="506" t="s">
        <v>60</v>
      </c>
      <c r="P24" s="506" t="s">
        <v>61</v>
      </c>
      <c r="Q24" s="506" t="s">
        <v>50</v>
      </c>
      <c r="S24" s="609" t="s">
        <v>4</v>
      </c>
      <c r="T24" s="609" t="s">
        <v>62</v>
      </c>
      <c r="U24" s="609" t="s">
        <v>63</v>
      </c>
      <c r="V24" s="609" t="s">
        <v>64</v>
      </c>
      <c r="W24" s="609" t="s">
        <v>65</v>
      </c>
      <c r="X24" s="609" t="s">
        <v>66</v>
      </c>
    </row>
    <row r="25" spans="1:25">
      <c r="B25" s="477">
        <f>EOMONTH($AB$3,-3)</f>
        <v>46142</v>
      </c>
      <c r="C25" s="435">
        <f>COUNTIFS('Opps Created'!$G:$G,"&gt;="&amp;EOMONTH($B25,-1)+1,'Opps Created'!$G:$G,"&lt;="&amp;EOMONTH($B25,0),'Opps Created'!$O:$O,"&lt;&gt;",'Opps Created'!$O:$O,"&lt;&gt;0",'Opps Created'!$O:$O,"&lt;&gt;Exclude")</f>
        <v>5</v>
      </c>
      <c r="D25" s="436">
        <f>SUM(
SUMIFS('Opps Created'!$E:$E,'Opps Created'!$O:$O,"Digital",'Opps Created'!$G:$G,"&gt;="&amp;EOMONTH($B25,-1)+1,'Opps Created'!$G:$G,"&lt;="&amp;EOMONTH($B25,0)),
SUMIFS('Opps Created'!$E:$E,'Opps Created'!$O:$O,"Events",'Opps Created'!$G:$G,"&gt;="&amp;EOMONTH($B25,-1)+1,'Opps Created'!$G:$G,"&lt;="&amp;EOMONTH($B25,0)),
SUMIFS('Opps Created'!$E:$E,'Opps Created'!$O:$O,"Alliances",'Opps Created'!$G:$G,"&gt;="&amp;EOMONTH($B25,-1)+1,'Opps Created'!$G:$G,"&lt;="&amp;EOMONTH($B25,0)),
SUMIFS('Opps Created'!$E:$E,'Opps Created'!$O:$O,"Cold",'Opps Created'!$G:$G,"&gt;="&amp;EOMONTH($B25,-1)+1,'Opps Created'!$G:$G,"&lt;="&amp;EOMONTH($B25,0))
)</f>
        <v>1314016</v>
      </c>
      <c r="E25" s="435">
        <f>SUMIFS('Digital Leads Raw'!$B:$B,'Digital Leads Raw'!$E:$E,"&gt;="&amp;EOMONTH($B25,-1)+1,'Digital Leads Raw'!$E:$E,"&lt;="&amp;EOMONTH($B25,0))
+SUMIFS('Event Spend Raw'!$D:$D,'Event Spend Raw'!$G:$G,"&gt;="&amp;EOMONTH($B25,-1)+1,'Event Spend Raw'!$G:$G,"&lt;="&amp;EOMONTH($B25,0))
+COUNTIFS('Cold outreach data'!$K:$K,"Cold",'Cold outreach data'!$C:$C,"&gt;="&amp;EOMONTH($B25,-1)+1,'Cold outreach data'!$C:$C,"&lt;="&amp;EOMONTH($B25,0))
+COUNTIFS('Alliances Data Raw'!$Q:$Q,"&gt;="&amp;EOMONTH($B25,-1)+1,'Alliances Data Raw'!$Q:$Q,"&lt;="&amp;EOMONTH($B25,0),'Alliances Data Raw'!$D:$D,"&lt;&gt;Disqualified",'Alliances Data Raw'!$D:$D,"&lt;&gt;Register Lead")</f>
        <v>130</v>
      </c>
      <c r="F25" s="435">
        <f>COUNTIFS('Cold outreach data'!$G:$G,"Yes",'Cold outreach data'!$K:$K,"Digital",'Cold outreach data'!$C:$C,"&gt;="&amp;EOMONTH($B25,-1)+1,'Cold outreach data'!$C:$C,"&lt;="&amp;EOMONTH($B25,0))+COUNTIFS('Cold outreach data'!$G:$G,"Yes",'Cold outreach data'!$K:$K,"Event",'Cold outreach data'!$C:$C,"&gt;="&amp;EOMONTH($B25,-1)+1,'Cold outreach data'!$C:$C,"&lt;="&amp;EOMONTH($B25,0))+COUNTIFS('Cold outreach data'!$G:$G,"Yes",'Cold outreach data'!$K:$K,"Cold",'Cold outreach data'!$C:$C,"&gt;="&amp;EOMONTH($B25,-1)+1,'Cold outreach data'!$C:$C,"&lt;="&amp;EOMONTH($B25,0))+COUNTIFS('Alliances Data Raw'!$W:$W,"&gt;="&amp;EOMONTH($B25,-1)+1,'Alliances Data Raw'!$W:$W,"&lt;="&amp;EOMONTH($B25,0))</f>
        <v>28</v>
      </c>
      <c r="G25" s="437">
        <f t="shared" si="2"/>
        <v>262803.20000000001</v>
      </c>
      <c r="H25" s="437">
        <f>SUMIFS( Table1[Total Net New ACV], Table1[LateStage_Unique_Monthly_Flag], 1, Table1[Change Date], "&gt;="&amp;EOMONTH('Marketing Dashboard'!B25,-1)+1, Table1[Change Date], "&lt;="&amp;EOMONTH('Marketing Dashboard'!B25,0) )</f>
        <v>720770</v>
      </c>
      <c r="J25" s="478" t="s">
        <v>27</v>
      </c>
      <c r="K25" s="479">
        <f>IFERROR(ROUND(AVERAGEIFS(Table1[Days Created to Late Stage],Table1[Channel],$J25,Table1[Current Stage Flag],1,Table1[Include in Aging Calc],TRUE,Table1[Days Created to Late Stage],"&gt;0"),0),"")</f>
        <v>137</v>
      </c>
      <c r="L25" s="479">
        <f>IFERROR(ROUND(AVERAGEIFS(Table1[Days from Late Stage to Closed Won],Table1[Channel],$J25,Table1[Current Stage Flag],1,Table1[Include in Aging Calc],TRUE,Table1[Days from Late Stage to Closed Won],"&gt;0"),0),"")</f>
        <v>122</v>
      </c>
      <c r="M25" s="479">
        <f>IFERROR(ROUND(AVERAGEIFS(Table1[Days Created to Won],Table1[Channel],$J25,Table1[Current Stage Flag],1,Table1[Include in Aging Calc],TRUE,Table1[Days Created to Won],"&gt;0"),0),"")</f>
        <v>224</v>
      </c>
      <c r="N25" s="479">
        <f ca="1">IFERROR(ROUND(AVERAGEIFS(Table2[Opp Age (Total Age)],Table2[Channel],$J25,Table2[Closed Flag],0,Table2[Include in Aging Calc],TRUE,Table2[Opp Age (Total Age)],"&gt;0"),0),"")</f>
        <v>534</v>
      </c>
      <c r="O25" s="479" t="str">
        <f>IFERROR(ROUND(AVERAGEIFS(Table2[Opp Age (Total Age)],Table2[Channel],$J25,Table2[Late Stage Flag],1,Table2[Closed Flag],0,Table2[Include in Aging Calc],TRUE,Table2[Opp Age (Total Age)],"&gt;0"),0),"")</f>
        <v/>
      </c>
      <c r="P25" s="479">
        <f ca="1">COUNTIFS(
'Opps Created'!$O:$O,$J25,
'Opps Created'!$Q:$Q,1,
'Opps Created'!$R:$R,0,
'Opps Created'!$P:$P,"&gt;30"
)</f>
        <v>1</v>
      </c>
      <c r="Q25" s="596">
        <f>IFERROR(
ROUND(
AVERAGEIFS(
'Opps Created'!$N:$N,
'Opps Created'!$O:$O,$J25,
'Opps Created'!$R:$R,0,
'Opps Created'!$N:$N,"&gt;0"
),0),
""
)</f>
        <v>278</v>
      </c>
      <c r="S25" s="616" t="str">
        <f>$J25</f>
        <v>Digital</v>
      </c>
      <c r="T25" s="617">
        <f>'Aging Detail'!B6</f>
        <v>155</v>
      </c>
      <c r="U25" s="617">
        <f>'Aging Detail'!C6</f>
        <v>126</v>
      </c>
      <c r="V25" s="617">
        <f>'Aging Detail'!D6</f>
        <v>173</v>
      </c>
      <c r="W25" s="617">
        <f ca="1">'Aging Detail'!E6</f>
        <v>542</v>
      </c>
      <c r="X25" s="617" t="str">
        <f ca="1">'Aging Detail'!F6</f>
        <v/>
      </c>
    </row>
    <row r="26" spans="1:25">
      <c r="B26" s="477">
        <f>EOMONTH($AB$3,-2)</f>
        <v>46173</v>
      </c>
      <c r="C26" s="435">
        <f>COUNTIFS('Opps Created'!$G:$G,"&gt;="&amp;EOMONTH($B26,-1)+1,'Opps Created'!$G:$G,"&lt;="&amp;EOMONTH($B26,0),'Opps Created'!$O:$O,"&lt;&gt;",'Opps Created'!$O:$O,"&lt;&gt;0",'Opps Created'!$O:$O,"&lt;&gt;Exclude")</f>
        <v>7</v>
      </c>
      <c r="D26" s="436">
        <f>SUM(
SUMIFS('Opps Created'!$E:$E,'Opps Created'!$O:$O,"Digital",'Opps Created'!$G:$G,"&gt;="&amp;EOMONTH($B26,-1)+1,'Opps Created'!$G:$G,"&lt;="&amp;EOMONTH($B26,0)),
SUMIFS('Opps Created'!$E:$E,'Opps Created'!$O:$O,"Events",'Opps Created'!$G:$G,"&gt;="&amp;EOMONTH($B26,-1)+1,'Opps Created'!$G:$G,"&lt;="&amp;EOMONTH($B26,0)),
SUMIFS('Opps Created'!$E:$E,'Opps Created'!$O:$O,"Alliances",'Opps Created'!$G:$G,"&gt;="&amp;EOMONTH($B26,-1)+1,'Opps Created'!$G:$G,"&lt;="&amp;EOMONTH($B26,0)),
SUMIFS('Opps Created'!$E:$E,'Opps Created'!$O:$O,"Cold",'Opps Created'!$G:$G,"&gt;="&amp;EOMONTH($B26,-1)+1,'Opps Created'!$G:$G,"&lt;="&amp;EOMONTH($B26,0))
)</f>
        <v>2319060</v>
      </c>
      <c r="E26" s="435">
        <f>SUMIFS('Digital Leads Raw'!$B:$B,'Digital Leads Raw'!$E:$E,"&gt;="&amp;EOMONTH($B26,-1)+1,'Digital Leads Raw'!$E:$E,"&lt;="&amp;EOMONTH($B26,0))
+SUMIFS('Event Spend Raw'!$D:$D,'Event Spend Raw'!$G:$G,"&gt;="&amp;EOMONTH($B26,-1)+1,'Event Spend Raw'!$G:$G,"&lt;="&amp;EOMONTH($B26,0))
+COUNTIFS('Cold outreach data'!$K:$K,"Cold",'Cold outreach data'!$C:$C,"&gt;="&amp;EOMONTH($B26,-1)+1,'Cold outreach data'!$C:$C,"&lt;="&amp;EOMONTH($B26,0))
+COUNTIFS('Alliances Data Raw'!$Q:$Q,"&gt;="&amp;EOMONTH($B26,-1)+1,'Alliances Data Raw'!$Q:$Q,"&lt;="&amp;EOMONTH($B26,0),'Alliances Data Raw'!$D:$D,"&lt;&gt;Disqualified",'Alliances Data Raw'!$D:$D,"&lt;&gt;Register Lead")</f>
        <v>36</v>
      </c>
      <c r="F26" s="435">
        <f>COUNTIFS('Cold outreach data'!$G:$G,"Yes",'Cold outreach data'!$K:$K,"Digital",'Cold outreach data'!$C:$C,"&gt;="&amp;EOMONTH($B26,-1)+1,'Cold outreach data'!$C:$C,"&lt;="&amp;EOMONTH($B26,0))+COUNTIFS('Cold outreach data'!$G:$G,"Yes",'Cold outreach data'!$K:$K,"Event",'Cold outreach data'!$C:$C,"&gt;="&amp;EOMONTH($B26,-1)+1,'Cold outreach data'!$C:$C,"&lt;="&amp;EOMONTH($B26,0))+COUNTIFS('Cold outreach data'!$G:$G,"Yes",'Cold outreach data'!$K:$K,"Cold",'Cold outreach data'!$C:$C,"&gt;="&amp;EOMONTH($B26,-1)+1,'Cold outreach data'!$C:$C,"&lt;="&amp;EOMONTH($B26,0))+COUNTIFS('Alliances Data Raw'!$W:$W,"&gt;="&amp;EOMONTH($B26,-1)+1,'Alliances Data Raw'!$W:$W,"&lt;="&amp;EOMONTH($B26,0))</f>
        <v>26</v>
      </c>
      <c r="G26" s="437">
        <f t="shared" si="2"/>
        <v>331294.28571428574</v>
      </c>
      <c r="H26" s="437">
        <f>SUMIFS( Table1[Total Net New ACV], Table1[LateStage_Unique_Monthly_Flag], 1, Table1[Change Date], "&gt;="&amp;EOMONTH('Marketing Dashboard'!B26,-1)+1, Table1[Change Date], "&lt;="&amp;EOMONTH('Marketing Dashboard'!B26,0) )</f>
        <v>121585.47</v>
      </c>
      <c r="J26" s="483" t="s">
        <v>29</v>
      </c>
      <c r="K26" s="484">
        <f>IFERROR(ROUND(AVERAGEIFS(Table1[Days Created to Late Stage],Table1[Channel],$J26,Table1[Current Stage Flag],1,Table1[Include in Aging Calc],TRUE,Table1[Days Created to Late Stage],"&gt;0"),0),"")</f>
        <v>231</v>
      </c>
      <c r="L26" s="484" t="str">
        <f>IFERROR(ROUND(AVERAGEIFS(Table1[Days from Late Stage to Closed Won],Table1[Channel],$J26,Table1[Current Stage Flag],1,Table1[Include in Aging Calc],TRUE,Table1[Days from Late Stage to Closed Won],"&gt;0"),0),"")</f>
        <v/>
      </c>
      <c r="M26" s="484" t="str">
        <f>IFERROR(ROUND(AVERAGEIFS(Table1[Days Created to Won],Table1[Channel],$J26,Table1[Current Stage Flag],1,Table1[Include in Aging Calc],TRUE,Table1[Days Created to Won],"&gt;0"),0),"")</f>
        <v/>
      </c>
      <c r="N26" s="484">
        <f ca="1">IFERROR(ROUND(AVERAGEIFS(Table2[Opp Age (Total Age)],Table2[Channel],$J26,Table2[Closed Flag],0,Table2[Include in Aging Calc],TRUE,Table2[Opp Age (Total Age)],"&gt;0"),0),"")</f>
        <v>514</v>
      </c>
      <c r="O26" s="484">
        <f ca="1">IFERROR(ROUND(AVERAGEIFS(Table2[Opp Age (Total Age)],Table2[Channel],$J26,Table2[Late Stage Flag],1,Table2[Closed Flag],0,Table2[Include in Aging Calc],TRUE,Table2[Opp Age (Total Age)],"&gt;0"),0),"")</f>
        <v>318</v>
      </c>
      <c r="P26" s="484">
        <f ca="1">COUNTIFS(
'Opps Created'!$O:$O,$J26,
'Opps Created'!$Q:$Q,1,
'Opps Created'!$R:$R,0,
'Opps Created'!$P:$P,"&gt;30"
)</f>
        <v>4</v>
      </c>
      <c r="Q26" s="597">
        <f>IFERROR(
ROUND(
AVERAGEIFS(
'Opps Created'!$N:$N,
'Opps Created'!$O:$O,$J26,
'Opps Created'!$R:$R,0,
'Opps Created'!$N:$N,"&gt;0"
),0),
""
)</f>
        <v>286</v>
      </c>
      <c r="S26" s="612" t="str">
        <f>$J26</f>
        <v>Events</v>
      </c>
      <c r="T26" s="613">
        <f>'Aging Detail'!B7</f>
        <v>138</v>
      </c>
      <c r="U26" s="613" t="str">
        <f>'Aging Detail'!C7</f>
        <v/>
      </c>
      <c r="V26" s="613" t="str">
        <f>'Aging Detail'!D7</f>
        <v/>
      </c>
      <c r="W26" s="613">
        <f ca="1">'Aging Detail'!E7</f>
        <v>429</v>
      </c>
      <c r="X26" s="613">
        <f ca="1">'Aging Detail'!F7</f>
        <v>215</v>
      </c>
    </row>
    <row r="27" spans="1:25">
      <c r="B27" s="477">
        <f>EOMONTH($AB$3,-1)</f>
        <v>46203</v>
      </c>
      <c r="C27" s="435">
        <f>COUNTIFS('Opps Created'!$G:$G,"&gt;="&amp;EOMONTH($B27,-1)+1,'Opps Created'!$G:$G,"&lt;="&amp;EOMONTH($B27,0),'Opps Created'!$O:$O,"&lt;&gt;",'Opps Created'!$O:$O,"&lt;&gt;0",'Opps Created'!$O:$O,"&lt;&gt;Exclude")</f>
        <v>5</v>
      </c>
      <c r="D27" s="436">
        <f>SUM(
SUMIFS('Opps Created'!$E:$E,'Opps Created'!$O:$O,"Digital",'Opps Created'!$G:$G,"&gt;="&amp;EOMONTH($B27,-1)+1,'Opps Created'!$G:$G,"&lt;="&amp;EOMONTH($B27,0)),
SUMIFS('Opps Created'!$E:$E,'Opps Created'!$O:$O,"Events",'Opps Created'!$G:$G,"&gt;="&amp;EOMONTH($B27,-1)+1,'Opps Created'!$G:$G,"&lt;="&amp;EOMONTH($B27,0)),
SUMIFS('Opps Created'!$E:$E,'Opps Created'!$O:$O,"Alliances",'Opps Created'!$G:$G,"&gt;="&amp;EOMONTH($B27,-1)+1,'Opps Created'!$G:$G,"&lt;="&amp;EOMONTH($B27,0)),
SUMIFS('Opps Created'!$E:$E,'Opps Created'!$O:$O,"Cold",'Opps Created'!$G:$G,"&gt;="&amp;EOMONTH($B27,-1)+1,'Opps Created'!$G:$G,"&lt;="&amp;EOMONTH($B27,0))
)</f>
        <v>727080</v>
      </c>
      <c r="E27" s="435">
        <f>SUMIFS('Digital Leads Raw'!$B:$B,'Digital Leads Raw'!$E:$E,"&gt;="&amp;EOMONTH($B27,-1)+1,'Digital Leads Raw'!$E:$E,"&lt;="&amp;EOMONTH($B27,0))
+SUMIFS('Event Spend Raw'!$D:$D,'Event Spend Raw'!$G:$G,"&gt;="&amp;EOMONTH($B27,-1)+1,'Event Spend Raw'!$G:$G,"&lt;="&amp;EOMONTH($B27,0))
+COUNTIFS('Cold outreach data'!$K:$K,"Cold",'Cold outreach data'!$C:$C,"&gt;="&amp;EOMONTH($B27,-1)+1,'Cold outreach data'!$C:$C,"&lt;="&amp;EOMONTH($B27,0))
+COUNTIFS('Alliances Data Raw'!$Q:$Q,"&gt;="&amp;EOMONTH($B27,-1)+1,'Alliances Data Raw'!$Q:$Q,"&lt;="&amp;EOMONTH($B27,0),'Alliances Data Raw'!$D:$D,"&lt;&gt;Disqualified",'Alliances Data Raw'!$D:$D,"&lt;&gt;Register Lead")</f>
        <v>16</v>
      </c>
      <c r="F27" s="435">
        <f>COUNTIFS('Cold outreach data'!$G:$G,"Yes",'Cold outreach data'!$K:$K,"Digital",'Cold outreach data'!$C:$C,"&gt;="&amp;EOMONTH($B27,-1)+1,'Cold outreach data'!$C:$C,"&lt;="&amp;EOMONTH($B27,0))+COUNTIFS('Cold outreach data'!$G:$G,"Yes",'Cold outreach data'!$K:$K,"Event",'Cold outreach data'!$C:$C,"&gt;="&amp;EOMONTH($B27,-1)+1,'Cold outreach data'!$C:$C,"&lt;="&amp;EOMONTH($B27,0))+COUNTIFS('Cold outreach data'!$G:$G,"Yes",'Cold outreach data'!$K:$K,"Cold",'Cold outreach data'!$C:$C,"&gt;="&amp;EOMONTH($B27,-1)+1,'Cold outreach data'!$C:$C,"&lt;="&amp;EOMONTH($B27,0))+COUNTIFS('Alliances Data Raw'!$W:$W,"&gt;="&amp;EOMONTH($B27,-1)+1,'Alliances Data Raw'!$W:$W,"&lt;="&amp;EOMONTH($B27,0))</f>
        <v>10</v>
      </c>
      <c r="G27" s="437">
        <f t="shared" si="2"/>
        <v>145416</v>
      </c>
      <c r="H27" s="437">
        <f>SUMIFS( Table1[Total Net New ACV], Table1[LateStage_Unique_Monthly_Flag], 1, Table1[Change Date], "&gt;="&amp;EOMONTH('Marketing Dashboard'!B27,-1)+1, Table1[Change Date], "&lt;="&amp;EOMONTH('Marketing Dashboard'!B27,0) )</f>
        <v>1270750</v>
      </c>
      <c r="J27" s="478" t="s">
        <v>30</v>
      </c>
      <c r="K27" s="479">
        <f>IFERROR(ROUND(AVERAGEIFS(Table1[Days Created to Late Stage],Table1[Channel],$J27,Table1[Current Stage Flag],1,Table1[Include in Aging Calc],TRUE,Table1[Days Created to Late Stage],"&gt;0"),0),"")</f>
        <v>240</v>
      </c>
      <c r="L27" s="479">
        <f>IFERROR(ROUND(AVERAGEIFS(Table1[Days from Late Stage to Closed Won],Table1[Channel],$J27,Table1[Current Stage Flag],1,Table1[Include in Aging Calc],TRUE,Table1[Days from Late Stage to Closed Won],"&gt;0"),0),"")</f>
        <v>28</v>
      </c>
      <c r="M27" s="479">
        <f>IFERROR(ROUND(AVERAGEIFS(Table1[Days Created to Won],Table1[Channel],$J27,Table1[Current Stage Flag],1,Table1[Include in Aging Calc],TRUE,Table1[Days Created to Won],"&gt;0"),0),"")</f>
        <v>171</v>
      </c>
      <c r="N27" s="479">
        <f ca="1">IFERROR(ROUND(AVERAGEIFS(Table2[Opp Age (Total Age)],Table2[Channel],$J27,Table2[Closed Flag],0,Table2[Include in Aging Calc],TRUE,Table2[Opp Age (Total Age)],"&gt;0"),0),"")</f>
        <v>792</v>
      </c>
      <c r="O27" s="479">
        <f ca="1">IFERROR(ROUND(AVERAGEIFS(Table2[Opp Age (Total Age)],Table2[Channel],$J27,Table2[Late Stage Flag],1,Table2[Closed Flag],0,Table2[Include in Aging Calc],TRUE,Table2[Opp Age (Total Age)],"&gt;0"),0),"")</f>
        <v>360</v>
      </c>
      <c r="P27" s="479">
        <f ca="1">COUNTIFS(
'Opps Created'!$O:$O,$J27,
'Opps Created'!$Q:$Q,1,
'Opps Created'!$R:$R,0,
'Opps Created'!$P:$P,"&gt;30"
)</f>
        <v>2</v>
      </c>
      <c r="Q27" s="596">
        <f>IFERROR(
ROUND(
AVERAGEIFS(
'Opps Created'!$N:$N,
'Opps Created'!$O:$O,$J27,
'Opps Created'!$R:$R,0,
'Opps Created'!$N:$N,"&gt;0"
),0),
""
)</f>
        <v>434</v>
      </c>
      <c r="S27" s="610" t="str">
        <f>$J27</f>
        <v>Cold</v>
      </c>
      <c r="T27" s="611">
        <f>'Aging Detail'!B8</f>
        <v>191</v>
      </c>
      <c r="U27" s="611">
        <f>'Aging Detail'!C8</f>
        <v>19</v>
      </c>
      <c r="V27" s="611">
        <f>'Aging Detail'!D8</f>
        <v>82</v>
      </c>
      <c r="W27" s="611">
        <f ca="1">'Aging Detail'!E8</f>
        <v>790</v>
      </c>
      <c r="X27" s="611">
        <f ca="1">'Aging Detail'!F8</f>
        <v>360</v>
      </c>
    </row>
    <row r="28" spans="1:25">
      <c r="B28" s="492">
        <f>$AB$3</f>
        <v>46234</v>
      </c>
      <c r="C28" s="558">
        <f>COUNTIFS('Opps Created'!$G:$G,"&gt;="&amp;EOMONTH($B28,-1)+1,'Opps Created'!$G:$G,"&lt;="&amp;EOMONTH($B28,0),'Opps Created'!$O:$O,"&lt;&gt;",'Opps Created'!$O:$O,"&lt;&gt;0",'Opps Created'!$O:$O,"&lt;&gt;Exclude")</f>
        <v>10</v>
      </c>
      <c r="D28" s="494">
        <f>SUM(
SUMIFS('Opps Created'!$E:$E,'Opps Created'!$O:$O,"Digital",'Opps Created'!$G:$G,"&gt;="&amp;EOMONTH($B28,-1)+1,'Opps Created'!$G:$G,"&lt;="&amp;EOMONTH($B28,0)),
SUMIFS('Opps Created'!$E:$E,'Opps Created'!$O:$O,"Events",'Opps Created'!$G:$G,"&gt;="&amp;EOMONTH($B28,-1)+1,'Opps Created'!$G:$G,"&lt;="&amp;EOMONTH($B28,0)),
SUMIFS('Opps Created'!$E:$E,'Opps Created'!$O:$O,"Alliances",'Opps Created'!$G:$G,"&gt;="&amp;EOMONTH($B28,-1)+1,'Opps Created'!$G:$G,"&lt;="&amp;EOMONTH($B28,0)),
SUMIFS('Opps Created'!$E:$E,'Opps Created'!$O:$O,"Cold",'Opps Created'!$G:$G,"&gt;="&amp;EOMONTH($B28,-1)+1,'Opps Created'!$G:$G,"&lt;="&amp;EOMONTH($B28,0))
)</f>
        <v>6517080</v>
      </c>
      <c r="E28" s="493">
        <f>SUMIFS('Digital Leads Raw'!$B:$B,'Digital Leads Raw'!$E:$E,"&gt;="&amp;EOMONTH($B28,-1)+1,'Digital Leads Raw'!$E:$E,"&lt;="&amp;EOMONTH($B28,0))
+SUMIFS('Event Spend Raw'!$D:$D,'Event Spend Raw'!$G:$G,"&gt;="&amp;EOMONTH($B28,-1)+1,'Event Spend Raw'!$G:$G,"&lt;="&amp;EOMONTH($B28,0))
+COUNTIFS('Cold outreach data'!$K:$K,"Cold",'Cold outreach data'!$C:$C,"&gt;="&amp;EOMONTH($B28,-1)+1,'Cold outreach data'!$C:$C,"&lt;="&amp;EOMONTH($B28,0))
+COUNTIFS('Alliances Data Raw'!$Q:$Q,"&gt;="&amp;EOMONTH($B28,-1)+1,'Alliances Data Raw'!$Q:$Q,"&lt;="&amp;EOMONTH($B28,0),'Alliances Data Raw'!$D:$D,"&lt;&gt;Disqualified",'Alliances Data Raw'!$D:$D,"&lt;&gt;Register Lead")</f>
        <v>17</v>
      </c>
      <c r="F28" s="493">
        <f>COUNTIFS('Cold outreach data'!$G:$G,"Yes",'Cold outreach data'!$K:$K,"Digital",'Cold outreach data'!$C:$C,"&gt;="&amp;EOMONTH($B28,-1)+1,'Cold outreach data'!$C:$C,"&lt;="&amp;EOMONTH($B28,0))+COUNTIFS('Cold outreach data'!$G:$G,"Yes",'Cold outreach data'!$K:$K,"Event",'Cold outreach data'!$C:$C,"&gt;="&amp;EOMONTH($B28,-1)+1,'Cold outreach data'!$C:$C,"&lt;="&amp;EOMONTH($B28,0))+COUNTIFS('Cold outreach data'!$G:$G,"Yes",'Cold outreach data'!$K:$K,"Cold",'Cold outreach data'!$C:$C,"&gt;="&amp;EOMONTH($B28,-1)+1,'Cold outreach data'!$C:$C,"&lt;="&amp;EOMONTH($B28,0))+COUNTIFS('Alliances Data Raw'!$W:$W,"&gt;="&amp;EOMONTH($B28,-1)+1,'Alliances Data Raw'!$W:$W,"&lt;="&amp;EOMONTH($B28,0))</f>
        <v>13</v>
      </c>
      <c r="G28" s="495">
        <f t="shared" si="2"/>
        <v>651708</v>
      </c>
      <c r="H28" s="495">
        <f>SUMIFS( Table1[Total Net New ACV], Table1[LateStage_Unique_Monthly_Flag], 1, Table1[Change Date], "&gt;="&amp;EOMONTH('Marketing Dashboard'!B28,-1)+1, Table1[Change Date], "&lt;="&amp;EOMONTH('Marketing Dashboard'!B28,0) )</f>
        <v>2291910.64</v>
      </c>
      <c r="J28" s="483" t="s">
        <v>32</v>
      </c>
      <c r="K28" s="484">
        <f>IFERROR(ROUND(AVERAGEIFS(Table1[Days Created to Late Stage],Table1[Channel],$J28,Table1[Current Stage Flag],1,Table1[Include in Aging Calc],TRUE,Table1[Days Created to Late Stage],"&gt;0"),0),"")</f>
        <v>153</v>
      </c>
      <c r="L28" s="484">
        <f>IFERROR(ROUND(AVERAGEIFS(Table1[Days from Late Stage to Closed Won],Table1[Channel],$J28,Table1[Current Stage Flag],1,Table1[Include in Aging Calc],TRUE,Table1[Days from Late Stage to Closed Won],"&gt;0"),0),"")</f>
        <v>61</v>
      </c>
      <c r="M28" s="484">
        <f>IFERROR(ROUND(AVERAGEIFS(Table1[Days Created to Won],Table1[Channel],$J28,Table1[Current Stage Flag],1,Table1[Include in Aging Calc],TRUE,Table1[Days Created to Won],"&gt;0"),0),"")</f>
        <v>225</v>
      </c>
      <c r="N28" s="484">
        <f ca="1">IFERROR(ROUND(AVERAGEIFS(Table2[Opp Age (Total Age)],Table2[Channel],$J28,Table2[Closed Flag],0,Table2[Include in Aging Calc],TRUE,Table2[Opp Age (Total Age)],"&gt;0"),0),"")</f>
        <v>663</v>
      </c>
      <c r="O28" s="484">
        <f ca="1">IFERROR(ROUND(AVERAGEIFS(Table2[Opp Age (Total Age)],Table2[Channel],$J28,Table2[Late Stage Flag],1,Table2[Closed Flag],0,Table2[Include in Aging Calc],TRUE,Table2[Opp Age (Total Age)],"&gt;0"),0),"")</f>
        <v>217</v>
      </c>
      <c r="P28" s="484">
        <f ca="1">COUNTIFS(
'Opps Created'!$O:$O,$J28,
'Opps Created'!$Q:$Q,1,
'Opps Created'!$R:$R,0,
'Opps Created'!$P:$P,"&gt;30"
)</f>
        <v>5</v>
      </c>
      <c r="Q28" s="597">
        <f>IFERROR(
ROUND(
AVERAGEIFS(
'Opps Created'!$N:$N,
'Opps Created'!$O:$O,$J28,
'Opps Created'!$R:$R,0,
'Opps Created'!$N:$N,"&gt;0"
),0),
""
)</f>
        <v>320</v>
      </c>
      <c r="S28" s="612" t="str">
        <f>$J28</f>
        <v>Alliances</v>
      </c>
      <c r="T28" s="613">
        <f>'Aging Detail'!B9</f>
        <v>94</v>
      </c>
      <c r="U28" s="613">
        <f>'Aging Detail'!C9</f>
        <v>55</v>
      </c>
      <c r="V28" s="613">
        <f>'Aging Detail'!D9</f>
        <v>170</v>
      </c>
      <c r="W28" s="613">
        <f ca="1">'Aging Detail'!E9</f>
        <v>560</v>
      </c>
      <c r="X28" s="613">
        <f ca="1">'Aging Detail'!F9</f>
        <v>201</v>
      </c>
    </row>
    <row r="29" spans="1:25">
      <c r="J29" s="488" t="s">
        <v>34</v>
      </c>
      <c r="K29" s="489">
        <f>IFERROR(ROUND(AVERAGEIFS(Table1[Days Created to Late Stage],Table1[Current Stage Flag],1,Table1[Include in Aging Calc],TRUE,Table1[Days Created to Late Stage],"&gt;0"),0),"")</f>
        <v>139</v>
      </c>
      <c r="L29" s="489">
        <f>IFERROR(ROUND(AVERAGEIFS(Table1[Days from Late Stage to Closed Won],Table1[Current Stage Flag],1,Table1[Include in Aging Calc],TRUE,Table1[Days from Late Stage to Closed Won],"&gt;0"),0),"")</f>
        <v>51</v>
      </c>
      <c r="M29" s="489">
        <f>IFERROR(ROUND(AVERAGEIFS(Table1[Days Created to Won],Table1[Current Stage Flag],1,Table1[Include in Aging Calc],TRUE,Table1[Days Created to Won],"&gt;0"),0),"")</f>
        <v>184</v>
      </c>
      <c r="N29" s="489">
        <f ca="1">IFERROR(ROUND(AVERAGEIFS(Table2[Opp Age (Total Age)],Table2[Closed Flag],0,Table2[Include in Aging Calc],TRUE,Table2[Opp Age (Total Age)],"&gt;0"),0),"")</f>
        <v>704</v>
      </c>
      <c r="O29" s="489">
        <f ca="1">IFERROR(ROUND(AVERAGEIFS(Table2[Opp Age (Total Age)],Table2[Late Stage Flag],1,Table2[Closed Flag],0,Table2[Include in Aging Calc],TRUE,Table2[Opp Age (Total Age)],"&gt;0"),0),"")</f>
        <v>490</v>
      </c>
      <c r="P29" s="489">
        <f ca="1">SUM(P25:P28)</f>
        <v>12</v>
      </c>
      <c r="Q29" s="598">
        <f>IFERROR(ROUND(AVERAGEIFS('Opps Created'!$N:$N,'Opps Created'!$R:$R,0,'Opps Created'!$N:$N,"&gt;0"),0),"")</f>
        <v>371</v>
      </c>
      <c r="S29" s="614" t="str">
        <f>$J29</f>
        <v>TOTAL</v>
      </c>
      <c r="T29" s="615">
        <f>'Aging Detail'!B10</f>
        <v>66</v>
      </c>
      <c r="U29" s="615">
        <f>'Aging Detail'!C10</f>
        <v>31</v>
      </c>
      <c r="V29" s="615">
        <f>'Aging Detail'!D10</f>
        <v>128</v>
      </c>
      <c r="W29" s="615">
        <f ca="1">'Aging Detail'!E10</f>
        <v>574</v>
      </c>
      <c r="X29" s="615">
        <f ca="1">'Aging Detail'!F10</f>
        <v>297</v>
      </c>
    </row>
    <row r="31" spans="1:25">
      <c r="J31" s="637" t="str">
        <f>COUNTIF('Aging Detail'!$F$14:$F$20,FALSE)&amp;" stale/outlier deal(s) currently excluded from the averages above — see the Aging Detail tab to review or change."</f>
        <v>4 stale/outlier deal(s) currently excluded from the averages above — see the Aging Detail tab to review or change.</v>
      </c>
      <c r="K31" s="637"/>
      <c r="L31" s="637"/>
      <c r="M31" s="637"/>
      <c r="N31" s="637"/>
      <c r="O31" s="637"/>
      <c r="P31" s="637"/>
      <c r="Q31" s="606" t="s">
        <v>67</v>
      </c>
      <c r="S31" s="637" t="str">
        <f>"Median view of the same filtered deals (Include in Aging Calc = TRUE) as the Average table — shows the typical deal, since Average can still be pulled up by a few large but legitimate deals. See Aging Detail tab for the deal-level filter."</f>
        <v>Median view of the same filtered deals (Include in Aging Calc = TRUE) as the Average table — shows the typical deal, since Average can still be pulled up by a few large but legitimate deals. See Aging Detail tab for the deal-level filter.</v>
      </c>
      <c r="T31" s="637"/>
      <c r="U31" s="637"/>
      <c r="V31" s="637"/>
      <c r="W31" s="637"/>
      <c r="X31" s="637"/>
    </row>
    <row r="103" ht="22.35" customHeight="1"/>
    <row r="104" ht="30" customHeight="1"/>
    <row r="105" ht="18" customHeight="1"/>
    <row r="106" ht="18" customHeight="1"/>
    <row r="107" ht="18" customHeight="1"/>
    <row r="108" ht="18" customHeight="1"/>
    <row r="109" ht="18" customHeight="1"/>
  </sheetData>
  <mergeCells count="9">
    <mergeCell ref="J31:P31"/>
    <mergeCell ref="O15:U15"/>
    <mergeCell ref="B15:H15"/>
    <mergeCell ref="J23:Q23"/>
    <mergeCell ref="B2:Q2"/>
    <mergeCell ref="J15:M15"/>
    <mergeCell ref="K3:K5"/>
    <mergeCell ref="S23:X23"/>
    <mergeCell ref="S31:X31"/>
  </mergeCells>
  <conditionalFormatting sqref="K3">
    <cfRule type="expression" dxfId="48" priority="3">
      <formula>$AB$10&gt;0</formula>
    </cfRule>
    <cfRule type="expression" dxfId="47" priority="4">
      <formula>$AB$10&lt;0</formula>
    </cfRule>
  </conditionalFormatting>
  <conditionalFormatting sqref="M17:M21">
    <cfRule type="expression" dxfId="46" priority="1">
      <formula>$K17&gt;$L17</formula>
    </cfRule>
    <cfRule type="expression" dxfId="45" priority="2">
      <formula>$K17&lt;$L17</formula>
    </cfRule>
  </conditionalFormatting>
  <hyperlinks>
    <hyperlink ref="Q31" location="'Aging Detail'!A1" display="Open tab →" xr:uid="{CCE420F5-28DB-4A6E-B6AD-E0ECE5C3BDDA}"/>
  </hyperlink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AB01E-9E4D-44F7-BE67-114A39121F41}">
  <dimension ref="A1:H20"/>
  <sheetViews>
    <sheetView workbookViewId="0">
      <selection activeCell="E14" sqref="E14"/>
    </sheetView>
  </sheetViews>
  <sheetFormatPr defaultColWidth="8.85546875" defaultRowHeight="15"/>
  <cols>
    <col min="1" max="1" width="17.140625" customWidth="1"/>
    <col min="2" max="2" width="43.85546875" customWidth="1"/>
    <col min="3" max="3" width="32.42578125" customWidth="1"/>
    <col min="4" max="4" width="14.28515625" customWidth="1"/>
    <col min="5" max="5" width="61" customWidth="1"/>
    <col min="6" max="6" width="17.140625" customWidth="1"/>
    <col min="7" max="7" width="49.42578125" customWidth="1"/>
    <col min="8" max="8" width="24.7109375" customWidth="1"/>
  </cols>
  <sheetData>
    <row r="1" spans="1:8" ht="18.75">
      <c r="A1" s="645" t="s">
        <v>68</v>
      </c>
      <c r="B1" s="645"/>
      <c r="C1" s="645"/>
      <c r="D1" s="645"/>
      <c r="E1" s="645"/>
      <c r="F1" s="645"/>
      <c r="G1" s="645"/>
      <c r="H1" s="645"/>
    </row>
    <row r="2" spans="1:8">
      <c r="A2" s="602" t="s">
        <v>69</v>
      </c>
    </row>
    <row r="4" spans="1:8" ht="15.75">
      <c r="A4" s="646" t="s">
        <v>70</v>
      </c>
      <c r="B4" s="647"/>
      <c r="C4" s="647"/>
      <c r="D4" s="647"/>
      <c r="E4" s="647"/>
      <c r="F4" s="648"/>
    </row>
    <row r="5" spans="1:8" ht="30">
      <c r="A5" s="601" t="s">
        <v>4</v>
      </c>
      <c r="B5" s="601" t="s">
        <v>62</v>
      </c>
      <c r="C5" s="601" t="s">
        <v>63</v>
      </c>
      <c r="D5" s="601" t="s">
        <v>64</v>
      </c>
      <c r="E5" s="601" t="s">
        <v>65</v>
      </c>
      <c r="F5" s="601" t="s">
        <v>66</v>
      </c>
    </row>
    <row r="6" spans="1:8">
      <c r="A6" s="478" t="s">
        <v>27</v>
      </c>
      <c r="B6" s="480" cm="1">
        <f t="array" ref="B6">IFERROR(ROUND(MEDIAN(IF((Table1[Channel]=$A6)*(Table1[Current Stage Flag]=1)*(Table1[Include in Aging Calc]=TRUE)*(Table1[Days Created to Late Stage]&gt;0),Table1[Days Created to Late Stage])),0),"")</f>
        <v>155</v>
      </c>
      <c r="C6" s="480" cm="1">
        <f t="array" ref="C6">IFERROR(ROUND(MEDIAN(IF((Table1[Channel]=$A6)*(Table1[Current Stage Flag]=1)*(Table1[Include in Aging Calc]=TRUE)*(Table1[Days from Late Stage to Closed Won]&gt;0),Table1[Days from Late Stage to Closed Won])),0),"")</f>
        <v>126</v>
      </c>
      <c r="D6" s="480" cm="1">
        <f t="array" ref="D6">IFERROR(ROUND(MEDIAN(IF((Table1[Channel]=$A6)*(Table1[Current Stage Flag]=1)*(Table1[Include in Aging Calc]=TRUE)*(Table1[Days Created to Won]&gt;0),Table1[Days Created to Won])),0),"")</f>
        <v>173</v>
      </c>
      <c r="E6" s="480" cm="1">
        <f t="array" aca="1" ref="E6" ca="1">IFERROR(ROUND(MEDIAN(IF((Table2[Channel]=$A6)*(Table2[Closed Flag]=0)*(Table2[Include in Aging Calc]=TRUE)*(Table2[Opp Age (Total Age)]&gt;0),Table2[Opp Age (Total Age)])),0),"")</f>
        <v>542</v>
      </c>
      <c r="F6" s="480" t="str" cm="1">
        <f t="array" aca="1" ref="F6" ca="1">IFERROR(ROUND(MEDIAN(IF((Table2[Channel]=$A6)*(Table2[Late Stage Flag]=1)*(Table2[Closed Flag]=0)*(Table2[Include in Aging Calc]=TRUE)*(Table2[Opp Age (Total Age)]&gt;0),Table2[Opp Age (Total Age)])),0),"")</f>
        <v/>
      </c>
    </row>
    <row r="7" spans="1:8">
      <c r="A7" s="483" t="s">
        <v>29</v>
      </c>
      <c r="B7" s="485" cm="1">
        <f t="array" ref="B7">IFERROR(ROUND(MEDIAN(IF((Table1[Channel]=$A7)*(Table1[Current Stage Flag]=1)*(Table1[Include in Aging Calc]=TRUE)*(Table1[Days Created to Late Stage]&gt;0),Table1[Days Created to Late Stage])),0),"")</f>
        <v>138</v>
      </c>
      <c r="C7" s="485" t="str" cm="1">
        <f t="array" ref="C7">IFERROR(ROUND(MEDIAN(IF((Table1[Channel]=$A7)*(Table1[Current Stage Flag]=1)*(Table1[Include in Aging Calc]=TRUE)*(Table1[Days from Late Stage to Closed Won]&gt;0),Table1[Days from Late Stage to Closed Won])),0),"")</f>
        <v/>
      </c>
      <c r="D7" s="485" t="str" cm="1">
        <f t="array" ref="D7">IFERROR(ROUND(MEDIAN(IF((Table1[Channel]=$A7)*(Table1[Current Stage Flag]=1)*(Table1[Include in Aging Calc]=TRUE)*(Table1[Days Created to Won]&gt;0),Table1[Days Created to Won])),0),"")</f>
        <v/>
      </c>
      <c r="E7" s="485" cm="1">
        <f t="array" aca="1" ref="E7" ca="1">IFERROR(ROUND(MEDIAN(IF((Table2[Channel]=$A7)*(Table2[Closed Flag]=0)*(Table2[Include in Aging Calc]=TRUE)*(Table2[Opp Age (Total Age)]&gt;0),Table2[Opp Age (Total Age)])),0),"")</f>
        <v>429</v>
      </c>
      <c r="F7" s="485" cm="1">
        <f t="array" aca="1" ref="F7" ca="1">IFERROR(ROUND(MEDIAN(IF((Table2[Channel]=$A7)*(Table2[Late Stage Flag]=1)*(Table2[Closed Flag]=0)*(Table2[Include in Aging Calc]=TRUE)*(Table2[Opp Age (Total Age)]&gt;0),Table2[Opp Age (Total Age)])),0),"")</f>
        <v>215</v>
      </c>
    </row>
    <row r="8" spans="1:8">
      <c r="A8" s="478" t="s">
        <v>30</v>
      </c>
      <c r="B8" s="480" cm="1">
        <f t="array" ref="B8">IFERROR(ROUND(MEDIAN(IF((Table1[Channel]=$A8)*(Table1[Current Stage Flag]=1)*(Table1[Include in Aging Calc]=TRUE)*(Table1[Days Created to Late Stage]&gt;0),Table1[Days Created to Late Stage])),0),"")</f>
        <v>191</v>
      </c>
      <c r="C8" s="480" cm="1">
        <f t="array" ref="C8">IFERROR(ROUND(MEDIAN(IF((Table1[Channel]=$A8)*(Table1[Current Stage Flag]=1)*(Table1[Include in Aging Calc]=TRUE)*(Table1[Days from Late Stage to Closed Won]&gt;0),Table1[Days from Late Stage to Closed Won])),0),"")</f>
        <v>19</v>
      </c>
      <c r="D8" s="480" cm="1">
        <f t="array" ref="D8">IFERROR(ROUND(MEDIAN(IF((Table1[Channel]=$A8)*(Table1[Current Stage Flag]=1)*(Table1[Include in Aging Calc]=TRUE)*(Table1[Days Created to Won]&gt;0),Table1[Days Created to Won])),0),"")</f>
        <v>82</v>
      </c>
      <c r="E8" s="480" cm="1">
        <f t="array" aca="1" ref="E8" ca="1">IFERROR(ROUND(MEDIAN(IF((Table2[Channel]=$A8)*(Table2[Closed Flag]=0)*(Table2[Include in Aging Calc]=TRUE)*(Table2[Opp Age (Total Age)]&gt;0),Table2[Opp Age (Total Age)])),0),"")</f>
        <v>790</v>
      </c>
      <c r="F8" s="480" cm="1">
        <f t="array" aca="1" ref="F8" ca="1">IFERROR(ROUND(MEDIAN(IF((Table2[Channel]=$A8)*(Table2[Late Stage Flag]=1)*(Table2[Closed Flag]=0)*(Table2[Include in Aging Calc]=TRUE)*(Table2[Opp Age (Total Age)]&gt;0),Table2[Opp Age (Total Age)])),0),"")</f>
        <v>360</v>
      </c>
    </row>
    <row r="9" spans="1:8">
      <c r="A9" s="483" t="s">
        <v>32</v>
      </c>
      <c r="B9" s="485" cm="1">
        <f t="array" ref="B9">IFERROR(ROUND(MEDIAN(IF((Table1[Channel]=$A9)*(Table1[Current Stage Flag]=1)*(Table1[Include in Aging Calc]=TRUE)*(Table1[Days Created to Late Stage]&gt;0),Table1[Days Created to Late Stage])),0),"")</f>
        <v>94</v>
      </c>
      <c r="C9" s="485" cm="1">
        <f t="array" ref="C9">IFERROR(ROUND(MEDIAN(IF((Table1[Channel]=$A9)*(Table1[Current Stage Flag]=1)*(Table1[Include in Aging Calc]=TRUE)*(Table1[Days from Late Stage to Closed Won]&gt;0),Table1[Days from Late Stage to Closed Won])),0),"")</f>
        <v>55</v>
      </c>
      <c r="D9" s="485" cm="1">
        <f t="array" ref="D9">IFERROR(ROUND(MEDIAN(IF((Table1[Channel]=$A9)*(Table1[Current Stage Flag]=1)*(Table1[Include in Aging Calc]=TRUE)*(Table1[Days Created to Won]&gt;0),Table1[Days Created to Won])),0),"")</f>
        <v>170</v>
      </c>
      <c r="E9" s="485" cm="1">
        <f t="array" aca="1" ref="E9" ca="1">IFERROR(ROUND(MEDIAN(IF((Table2[Channel]=$A9)*(Table2[Closed Flag]=0)*(Table2[Include in Aging Calc]=TRUE)*(Table2[Opp Age (Total Age)]&gt;0),Table2[Opp Age (Total Age)])),0),"")</f>
        <v>560</v>
      </c>
      <c r="F9" s="485" cm="1">
        <f t="array" aca="1" ref="F9" ca="1">IFERROR(ROUND(MEDIAN(IF((Table2[Channel]=$A9)*(Table2[Late Stage Flag]=1)*(Table2[Closed Flag]=0)*(Table2[Include in Aging Calc]=TRUE)*(Table2[Opp Age (Total Age)]&gt;0),Table2[Opp Age (Total Age)])),0),"")</f>
        <v>201</v>
      </c>
    </row>
    <row r="10" spans="1:8">
      <c r="A10" s="603" t="s">
        <v>34</v>
      </c>
      <c r="B10" s="564" cm="1">
        <f t="array" ref="B10">IFERROR(ROUND(MEDIAN(IF((Table1[Current Stage Flag]=1)*(Table1[Include in Aging Calc]=TRUE)*(Table1[Days Created to Late Stage]&gt;0),Table1[Days Created to Late Stage])),0),"")</f>
        <v>66</v>
      </c>
      <c r="C10" s="564" cm="1">
        <f t="array" ref="C10">IFERROR(ROUND(MEDIAN(IF((Table1[Current Stage Flag]=1)*(Table1[Include in Aging Calc]=TRUE)*(Table1[Days from Late Stage to Closed Won]&gt;0),Table1[Days from Late Stage to Closed Won])),0),"")</f>
        <v>31</v>
      </c>
      <c r="D10" s="564" cm="1">
        <f t="array" ref="D10">IFERROR(ROUND(MEDIAN(IF((Table1[Current Stage Flag]=1)*(Table1[Include in Aging Calc]=TRUE)*(Table1[Days Created to Won]&gt;0),Table1[Days Created to Won])),0),"")</f>
        <v>128</v>
      </c>
      <c r="E10" s="564" cm="1">
        <f t="array" aca="1" ref="E10" ca="1">IFERROR(ROUND(MEDIAN(IF((Table2[Closed Flag]=0)*(Table2[Include in Aging Calc]=TRUE)*(Table2[Opp Age (Total Age)]&gt;0),Table2[Opp Age (Total Age)])),0),"")</f>
        <v>574</v>
      </c>
      <c r="F10" s="564" cm="1">
        <f t="array" aca="1" ref="F10" ca="1">IFERROR(ROUND(MEDIAN(IF((Table2[Late Stage Flag]=1)*(Table2[Closed Flag]=0)*(Table2[Include in Aging Calc]=TRUE)*(Table2[Opp Age (Total Age)]&gt;0),Table2[Opp Age (Total Age)])),0),"")</f>
        <v>297</v>
      </c>
    </row>
    <row r="12" spans="1:8" ht="15.75">
      <c r="A12" s="646" t="s">
        <v>71</v>
      </c>
      <c r="B12" s="647"/>
      <c r="C12" s="647"/>
      <c r="D12" s="647"/>
      <c r="E12" s="647"/>
      <c r="F12" s="647"/>
      <c r="G12" s="647"/>
      <c r="H12" s="648"/>
    </row>
    <row r="13" spans="1:8" ht="30">
      <c r="A13" s="601" t="s">
        <v>4</v>
      </c>
      <c r="B13" s="601" t="s">
        <v>72</v>
      </c>
      <c r="C13" s="601" t="s">
        <v>73</v>
      </c>
      <c r="D13" s="601" t="s">
        <v>74</v>
      </c>
      <c r="E13" s="601" t="s">
        <v>75</v>
      </c>
      <c r="F13" s="601" t="s">
        <v>76</v>
      </c>
      <c r="G13" s="601" t="s">
        <v>77</v>
      </c>
      <c r="H13" s="601" t="s">
        <v>78</v>
      </c>
    </row>
    <row r="14" spans="1:8" ht="30">
      <c r="A14" s="478" t="s">
        <v>27</v>
      </c>
      <c r="B14" s="599" t="s">
        <v>79</v>
      </c>
      <c r="C14" s="599" t="s">
        <v>80</v>
      </c>
      <c r="D14" s="480">
        <f ca="1">ROUND(AVERAGEIFS(Table2[Opp Age (Total Age)],Table2[Opportunity ID],$H14),0)</f>
        <v>1384</v>
      </c>
      <c r="E14" s="599" t="str">
        <f>"Only open, late-stage Digital deal (n="&amp;COUNTIFS(Table2[Channel],"Digital",Table2[Late Stage Flag],1,Table2[Closed Flag],0)&amp;") — this single deal is the entire 'Avg Open Late' figure, not a true average."</f>
        <v>Only open, late-stage Digital deal (n=1) — this single deal is the entire 'Avg Open Late' figure, not a true average.</v>
      </c>
      <c r="F14" s="594" t="b">
        <v>0</v>
      </c>
      <c r="G14" s="599" t="s">
        <v>81</v>
      </c>
      <c r="H14" s="604" t="s">
        <v>82</v>
      </c>
    </row>
    <row r="15" spans="1:8" ht="29.25" customHeight="1">
      <c r="A15" s="483" t="s">
        <v>30</v>
      </c>
      <c r="B15" s="600" t="s">
        <v>83</v>
      </c>
      <c r="C15" s="600" t="s">
        <v>59</v>
      </c>
      <c r="D15" s="485">
        <f ca="1">ROUND(AVERAGEIFS(Table2[Opp Age (Total Age)],Table2[Opportunity ID],$H15),0)</f>
        <v>2551</v>
      </c>
      <c r="E15" s="600" t="str">
        <f ca="1">"Open "&amp;D15&amp;" days vs. Cold Outreach median of "&amp;$E$8&amp;" days (~"&amp;ROUND(D15/$E$8,1)&amp;"x)"</f>
        <v>Open 2551 days vs. Cold Outreach median of 790 days (~3.2x)</v>
      </c>
      <c r="F15" s="595" t="b">
        <v>0</v>
      </c>
      <c r="G15" s="600" t="s">
        <v>84</v>
      </c>
      <c r="H15" s="605" t="s">
        <v>85</v>
      </c>
    </row>
    <row r="16" spans="1:8">
      <c r="A16" s="478" t="s">
        <v>30</v>
      </c>
      <c r="B16" s="599" t="s">
        <v>86</v>
      </c>
      <c r="C16" s="599" t="s">
        <v>59</v>
      </c>
      <c r="D16" s="480">
        <f ca="1">ROUND(AVERAGEIFS(Table2[Opp Age (Total Age)],Table2[Opportunity ID],$H16),0)</f>
        <v>2464</v>
      </c>
      <c r="E16" s="599" t="str">
        <f ca="1">"Open "&amp;D16&amp;" days vs. Cold Outreach median of "&amp;$E$8&amp;" days (~"&amp;ROUND(D16/$E$8,1)&amp;"x)"</f>
        <v>Open 2464 days vs. Cold Outreach median of 790 days (~3.1x)</v>
      </c>
      <c r="F16" s="594" t="b">
        <v>0</v>
      </c>
      <c r="G16" s="599" t="s">
        <v>84</v>
      </c>
      <c r="H16" s="604" t="s">
        <v>87</v>
      </c>
    </row>
    <row r="17" spans="1:8">
      <c r="A17" s="483" t="s">
        <v>32</v>
      </c>
      <c r="B17" s="600" t="s">
        <v>88</v>
      </c>
      <c r="C17" s="600" t="s">
        <v>59</v>
      </c>
      <c r="D17" s="485">
        <f ca="1">ROUND(AVERAGEIFS(Table2[Opp Age (Total Age)],Table2[Opportunity ID],$H17),0)</f>
        <v>2294</v>
      </c>
      <c r="E17" s="600" t="str">
        <f ca="1">"Open "&amp;D17&amp;" days vs. Alliances median of "&amp;$E$9&amp;" days (~"&amp;ROUND(D17/$E$9,1)&amp;"x)"</f>
        <v>Open 2294 days vs. Alliances median of 560 days (~4.1x)</v>
      </c>
      <c r="F17" s="595" t="b">
        <v>0</v>
      </c>
      <c r="G17" s="600" t="s">
        <v>84</v>
      </c>
      <c r="H17" s="605" t="s">
        <v>89</v>
      </c>
    </row>
    <row r="18" spans="1:8" ht="30">
      <c r="A18" s="478" t="s">
        <v>32</v>
      </c>
      <c r="B18" s="599" t="s">
        <v>90</v>
      </c>
      <c r="C18" s="599" t="s">
        <v>91</v>
      </c>
      <c r="D18" s="480">
        <f>ROUND(AVERAGEIFS(Table1[Days Created to Won],Table1[Opportunity ID],$H18,Table1[Current Stage Flag],1),0)</f>
        <v>694</v>
      </c>
      <c r="E18" s="599" t="str">
        <f>"Closed-won in "&amp;D18&amp;" days vs. Alliances median of "&amp;$D$9&amp;" days (~"&amp;ROUND(D18/$D$9,1)&amp;"x)"</f>
        <v>Closed-won in 694 days vs. Alliances median of 170 days (~4.1x)</v>
      </c>
      <c r="F18" s="594" t="b">
        <v>1</v>
      </c>
      <c r="G18" s="599" t="s">
        <v>92</v>
      </c>
      <c r="H18" s="604" t="s">
        <v>93</v>
      </c>
    </row>
    <row r="19" spans="1:8" ht="30">
      <c r="A19" s="483" t="s">
        <v>32</v>
      </c>
      <c r="B19" s="600" t="s">
        <v>94</v>
      </c>
      <c r="C19" s="600" t="s">
        <v>58</v>
      </c>
      <c r="D19" s="485">
        <f>ROUND(AVERAGEIFS(Table1[Days Created to Won],Table1[Opportunity ID],$H19,Table1[Current Stage Flag],1),0)</f>
        <v>773</v>
      </c>
      <c r="E19" s="600" t="str">
        <f>"Closed-won in "&amp;D19&amp;" days vs. Alliances median of "&amp;$D$9&amp;" days (~"&amp;ROUND(D19/$D$9,1)&amp;"x)"</f>
        <v>Closed-won in 773 days vs. Alliances median of 170 days (~4.5x)</v>
      </c>
      <c r="F19" s="595" t="b">
        <v>1</v>
      </c>
      <c r="G19" s="600" t="s">
        <v>92</v>
      </c>
      <c r="H19" s="605" t="s">
        <v>95</v>
      </c>
    </row>
    <row r="20" spans="1:8" ht="30">
      <c r="A20" s="478" t="s">
        <v>32</v>
      </c>
      <c r="B20" s="599" t="s">
        <v>96</v>
      </c>
      <c r="C20" s="599" t="s">
        <v>57</v>
      </c>
      <c r="D20" s="480">
        <f>ROUND(AVERAGEIFS(Table1[Days from Late Stage to Closed Won],Table1[Opportunity ID],$H20,Table1[Current Stage Flag],1),0)</f>
        <v>227</v>
      </c>
      <c r="E20" s="599" t="str">
        <f>"Closed-won "&amp;D20&amp;" days after reaching late stage vs. Alliances median of "&amp;$C$9&amp;" days (~"&amp;ROUND(D20/$C$9,1)&amp;"x)"</f>
        <v>Closed-won 227 days after reaching late stage vs. Alliances median of 55 days (~4.1x)</v>
      </c>
      <c r="F20" s="594" t="b">
        <v>1</v>
      </c>
      <c r="G20" s="599" t="s">
        <v>92</v>
      </c>
      <c r="H20" s="604" t="s">
        <v>97</v>
      </c>
    </row>
  </sheetData>
  <mergeCells count="3">
    <mergeCell ref="A1:H1"/>
    <mergeCell ref="A4:F4"/>
    <mergeCell ref="A12:H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5"/>
  <sheetViews>
    <sheetView showGridLines="0" zoomScale="140" zoomScaleNormal="140" workbookViewId="0">
      <selection activeCell="B4" sqref="B4:D4"/>
    </sheetView>
  </sheetViews>
  <sheetFormatPr defaultColWidth="8.7109375" defaultRowHeight="15"/>
  <cols>
    <col min="1" max="1" width="4.140625" customWidth="1"/>
    <col min="2" max="2" width="8.28515625" customWidth="1"/>
    <col min="3" max="3" width="13.140625" bestFit="1" customWidth="1"/>
    <col min="4" max="4" width="3.7109375" customWidth="1"/>
    <col min="5" max="5" width="4.7109375" customWidth="1"/>
    <col min="6" max="6" width="14.42578125" bestFit="1" customWidth="1"/>
    <col min="7" max="7" width="16.7109375" customWidth="1"/>
    <col min="8" max="8" width="4.42578125" customWidth="1"/>
    <col min="9" max="9" width="4.140625" customWidth="1"/>
    <col min="10" max="10" width="14.28515625" bestFit="1" customWidth="1"/>
    <col min="11" max="11" width="14" customWidth="1"/>
    <col min="12" max="13" width="4.42578125" customWidth="1"/>
    <col min="14" max="14" width="8.7109375" bestFit="1" customWidth="1"/>
    <col min="15" max="15" width="17" customWidth="1"/>
    <col min="16" max="17" width="4.42578125" customWidth="1"/>
    <col min="18" max="18" width="11.140625" bestFit="1" customWidth="1"/>
    <col min="19" max="19" width="16.7109375" customWidth="1"/>
    <col min="20" max="20" width="4.7109375" customWidth="1"/>
    <col min="21" max="21" width="2.7109375" customWidth="1"/>
  </cols>
  <sheetData>
    <row r="1" spans="1:22">
      <c r="A1" s="5"/>
      <c r="B1" s="5"/>
      <c r="C1" s="5"/>
      <c r="D1" s="5"/>
      <c r="E1" s="5"/>
      <c r="F1" s="5"/>
      <c r="G1" s="5"/>
      <c r="H1" s="5"/>
      <c r="I1" s="5"/>
      <c r="J1" s="5"/>
      <c r="K1" s="5"/>
      <c r="L1" s="5"/>
      <c r="M1" s="5"/>
      <c r="N1" s="5"/>
      <c r="O1" s="5"/>
      <c r="P1" s="5"/>
      <c r="Q1" s="5"/>
      <c r="R1" s="5"/>
      <c r="S1" s="5"/>
      <c r="T1" s="5"/>
      <c r="U1" s="5"/>
    </row>
    <row r="2" spans="1:22" ht="21" customHeight="1">
      <c r="A2" s="5"/>
      <c r="B2" s="7" t="s">
        <v>98</v>
      </c>
      <c r="C2" s="5"/>
      <c r="D2" s="5"/>
      <c r="E2" s="5"/>
      <c r="F2" s="5"/>
      <c r="G2" s="5"/>
      <c r="H2" s="5"/>
      <c r="I2" s="8"/>
      <c r="J2" s="5"/>
      <c r="K2" s="9" t="s">
        <v>99</v>
      </c>
      <c r="L2" s="5"/>
      <c r="M2" s="5"/>
      <c r="N2" s="8">
        <v>18</v>
      </c>
      <c r="O2" s="8" t="s">
        <v>100</v>
      </c>
      <c r="P2" s="5"/>
      <c r="Q2" s="5"/>
      <c r="R2" s="5"/>
      <c r="S2" s="5"/>
      <c r="T2" s="5"/>
      <c r="U2" s="5"/>
    </row>
    <row r="3" spans="1:22" s="1" customFormat="1" ht="21" customHeight="1">
      <c r="A3" s="6"/>
      <c r="B3" s="431" t="s">
        <v>101</v>
      </c>
      <c r="C3" s="425">
        <v>46234</v>
      </c>
      <c r="D3" s="420"/>
      <c r="E3" s="6"/>
      <c r="F3" s="6"/>
      <c r="G3" s="8"/>
      <c r="H3" s="8"/>
      <c r="I3" s="8"/>
      <c r="J3" s="8"/>
      <c r="K3" s="8"/>
      <c r="L3" s="6"/>
      <c r="M3" s="6"/>
      <c r="N3" s="6"/>
      <c r="O3" s="6"/>
      <c r="P3" s="6"/>
      <c r="Q3" s="10"/>
      <c r="R3" s="6"/>
      <c r="S3" s="6"/>
      <c r="T3" s="6"/>
      <c r="U3" s="6"/>
    </row>
    <row r="4" spans="1:22" s="1" customFormat="1" ht="18.75" customHeight="1">
      <c r="A4" s="6"/>
      <c r="B4" s="649" t="s">
        <v>102</v>
      </c>
      <c r="C4" s="663"/>
      <c r="D4" s="663"/>
      <c r="F4" s="649" t="s">
        <v>103</v>
      </c>
      <c r="G4" s="663"/>
      <c r="H4" s="663"/>
      <c r="I4" s="6"/>
      <c r="J4" s="649" t="s">
        <v>104</v>
      </c>
      <c r="K4" s="663"/>
      <c r="L4" s="663"/>
      <c r="M4" s="6"/>
      <c r="N4" s="649" t="s">
        <v>105</v>
      </c>
      <c r="O4" s="663"/>
      <c r="P4" s="663"/>
      <c r="Q4" s="10"/>
      <c r="R4" s="649" t="s">
        <v>106</v>
      </c>
      <c r="S4" s="663"/>
      <c r="T4" s="663"/>
    </row>
    <row r="5" spans="1:22" s="3" customFormat="1" ht="21" customHeight="1">
      <c r="A5" s="8"/>
      <c r="B5" s="650" t="s">
        <v>107</v>
      </c>
      <c r="C5" s="664"/>
      <c r="D5" s="664"/>
      <c r="F5" s="650" t="s">
        <v>107</v>
      </c>
      <c r="G5" s="664"/>
      <c r="H5" s="664"/>
      <c r="I5" s="8"/>
      <c r="J5" s="650" t="s">
        <v>107</v>
      </c>
      <c r="K5" s="664"/>
      <c r="L5" s="664"/>
      <c r="M5" s="8"/>
      <c r="N5" s="650" t="s">
        <v>107</v>
      </c>
      <c r="O5" s="664"/>
      <c r="P5" s="664"/>
      <c r="Q5" s="14"/>
      <c r="R5" s="650" t="s">
        <v>107</v>
      </c>
      <c r="S5" s="664"/>
      <c r="T5" s="664"/>
    </row>
    <row r="6" spans="1:22" ht="18" customHeight="1">
      <c r="A6" s="6"/>
      <c r="B6" s="424" t="s">
        <v>6</v>
      </c>
      <c r="C6" s="426">
        <f>SUM(Digital!C6,Events!C6,'Cold Outreach'!C6,Alliances!C6)</f>
        <v>17</v>
      </c>
      <c r="D6" s="424"/>
      <c r="F6" s="424" t="s">
        <v>8</v>
      </c>
      <c r="G6" s="426">
        <f>SUM(Digital!G6,Events!G6,'Cold Outreach'!G6,Alliances!G6)</f>
        <v>13</v>
      </c>
      <c r="H6" s="424"/>
      <c r="I6" s="11"/>
      <c r="J6" s="424" t="s">
        <v>108</v>
      </c>
      <c r="K6" s="426">
        <f>SUM(Digital!K6,Events!K6,'Cold Outreach'!K6,Alliances!K6)</f>
        <v>10</v>
      </c>
      <c r="L6" s="424"/>
      <c r="M6" s="11"/>
      <c r="N6" s="424" t="s">
        <v>109</v>
      </c>
      <c r="O6" s="426">
        <f>SUM(Digital!O6,Events!O6,'Cold Outreach'!O6,Alliances!O6)</f>
        <v>7</v>
      </c>
      <c r="P6" s="424"/>
      <c r="Q6" s="10"/>
      <c r="R6" s="424" t="s">
        <v>110</v>
      </c>
      <c r="S6" s="426">
        <f>SUM(Digital!S6,Events!S6,'Cold Outreach'!S6,Alliances!S6)</f>
        <v>1</v>
      </c>
      <c r="T6" s="424"/>
    </row>
    <row r="7" spans="1:22" ht="18" customHeight="1">
      <c r="A7" s="6"/>
      <c r="B7" s="424" t="s">
        <v>7</v>
      </c>
      <c r="C7" s="426">
        <f>SUM(Digital!C7,Events!C7,'Cold Outreach'!C7,Alliances!C7)</f>
        <v>17</v>
      </c>
      <c r="D7" s="4"/>
      <c r="F7" s="424" t="s">
        <v>111</v>
      </c>
      <c r="G7" s="429">
        <f>IFERROR(G6/C6,0)</f>
        <v>0.76470588235294112</v>
      </c>
      <c r="H7" s="4"/>
      <c r="I7" s="11"/>
      <c r="J7" s="424" t="s">
        <v>112</v>
      </c>
      <c r="K7" s="427">
        <f>SUM(Digital!K7,Events!K7,'Cold Outreach'!K7,Alliances!K7)</f>
        <v>6517080</v>
      </c>
      <c r="L7" s="424"/>
      <c r="M7" s="11"/>
      <c r="N7" s="424" t="s">
        <v>112</v>
      </c>
      <c r="O7" s="427">
        <f>SUM(Digital!O7,Events!O7,'Cold Outreach'!O7,Alliances!O7)</f>
        <v>1218856</v>
      </c>
      <c r="P7" s="424"/>
      <c r="Q7" s="10"/>
      <c r="R7" s="424" t="s">
        <v>112</v>
      </c>
      <c r="S7" s="427">
        <f>SUM(Digital!S7,Events!S7,'Cold Outreach'!S7,Alliances!S7)</f>
        <v>60000</v>
      </c>
      <c r="T7" s="424"/>
    </row>
    <row r="8" spans="1:22" s="3" customFormat="1" ht="21" customHeight="1">
      <c r="A8" s="8"/>
      <c r="B8" s="650"/>
      <c r="C8" s="664"/>
      <c r="D8" s="664"/>
      <c r="F8" s="4"/>
      <c r="G8" s="4"/>
      <c r="H8" s="4"/>
      <c r="I8" s="8"/>
      <c r="J8" s="424" t="s">
        <v>113</v>
      </c>
      <c r="K8" s="428">
        <f>IFERROR(K6/G6,0)</f>
        <v>0.76923076923076927</v>
      </c>
      <c r="L8" s="4"/>
      <c r="M8" s="8"/>
      <c r="N8" s="424"/>
      <c r="O8" s="428"/>
      <c r="P8" s="4"/>
      <c r="Q8" s="14"/>
      <c r="R8" s="424"/>
      <c r="S8" s="428"/>
      <c r="T8" s="4"/>
    </row>
    <row r="9" spans="1:22" s="3" customFormat="1" ht="21" customHeight="1">
      <c r="A9" s="8"/>
      <c r="B9" s="650" t="s">
        <v>114</v>
      </c>
      <c r="C9" s="664"/>
      <c r="D9" s="664"/>
      <c r="F9" s="650" t="s">
        <v>114</v>
      </c>
      <c r="G9" s="664"/>
      <c r="H9" s="664"/>
      <c r="I9" s="8"/>
      <c r="J9" s="650" t="s">
        <v>114</v>
      </c>
      <c r="K9" s="664"/>
      <c r="L9" s="664"/>
      <c r="M9" s="8"/>
      <c r="N9" s="650" t="s">
        <v>114</v>
      </c>
      <c r="O9" s="664"/>
      <c r="P9" s="664"/>
      <c r="Q9" s="14"/>
      <c r="R9" s="650" t="s">
        <v>114</v>
      </c>
      <c r="S9" s="664"/>
      <c r="T9" s="664"/>
    </row>
    <row r="10" spans="1:22" s="3" customFormat="1" ht="21" customHeight="1">
      <c r="A10" s="8"/>
      <c r="B10" s="424" t="s">
        <v>6</v>
      </c>
      <c r="C10" s="426">
        <f>SUM(Digital!C10,Events!C10,'Cold Outreach'!C10,Alliances!C10)</f>
        <v>822</v>
      </c>
      <c r="D10" s="424"/>
      <c r="F10" s="424" t="s">
        <v>8</v>
      </c>
      <c r="G10" s="426">
        <f>SUM(Digital!G10,Events!G10,'Cold Outreach'!G10,Alliances!G10)</f>
        <v>269</v>
      </c>
      <c r="H10" s="424"/>
      <c r="I10" s="8"/>
      <c r="J10" s="424" t="s">
        <v>108</v>
      </c>
      <c r="K10" s="426">
        <f>SUM(Digital!K10,Events!K10,'Cold Outreach'!K10,Alliances!K10)</f>
        <v>133</v>
      </c>
      <c r="L10" s="424"/>
      <c r="M10" s="8"/>
      <c r="N10" s="424" t="s">
        <v>109</v>
      </c>
      <c r="O10" s="426">
        <f>SUM(Digital!O10,Events!O10,'Cold Outreach'!O10,Alliances!O10)</f>
        <v>12</v>
      </c>
      <c r="P10" s="4"/>
      <c r="Q10" s="14"/>
      <c r="R10" s="424" t="s">
        <v>110</v>
      </c>
      <c r="S10" s="426">
        <f>SUM(Digital!S10,Events!S10,'Cold Outreach'!S10,Alliances!S10)</f>
        <v>31</v>
      </c>
      <c r="T10" s="4"/>
    </row>
    <row r="11" spans="1:22" s="3" customFormat="1" ht="21" customHeight="1">
      <c r="A11" s="8"/>
      <c r="B11" s="424" t="s">
        <v>7</v>
      </c>
      <c r="C11" s="426">
        <f>SUM(Digital!C11,Events!C11,'Cold Outreach'!C11,Alliances!C11)</f>
        <v>628</v>
      </c>
      <c r="D11" s="4"/>
      <c r="F11" s="424" t="s">
        <v>111</v>
      </c>
      <c r="G11" s="429">
        <f>IFERROR(G10/C10,0)</f>
        <v>0.32725060827250607</v>
      </c>
      <c r="H11" s="4"/>
      <c r="I11" s="8"/>
      <c r="J11" s="424" t="s">
        <v>112</v>
      </c>
      <c r="K11" s="427">
        <f>SUM(Digital!K11,Events!K11,'Cold Outreach'!K11,Alliances!K11)</f>
        <v>60630000.959999993</v>
      </c>
      <c r="L11" s="424"/>
      <c r="M11" s="8"/>
      <c r="N11" s="424" t="s">
        <v>112</v>
      </c>
      <c r="O11" s="427">
        <f>SUM(Digital!O11,Events!O11,'Cold Outreach'!O11,Alliances!O11)</f>
        <v>3889357.8</v>
      </c>
      <c r="P11" s="4"/>
      <c r="Q11" s="14"/>
      <c r="R11" s="424" t="s">
        <v>112</v>
      </c>
      <c r="S11" s="427">
        <f>SUM(Digital!S11,Events!S11,'Cold Outreach'!S11,Alliances!S11)</f>
        <v>3037724.0599999996</v>
      </c>
      <c r="T11" s="4"/>
    </row>
    <row r="12" spans="1:22" s="3" customFormat="1" ht="21" customHeight="1">
      <c r="A12" s="8"/>
      <c r="B12" s="424"/>
      <c r="C12" s="421"/>
      <c r="D12" s="4"/>
      <c r="F12" s="424"/>
      <c r="G12" s="421"/>
      <c r="H12" s="4"/>
      <c r="I12" s="8"/>
      <c r="J12" s="424" t="s">
        <v>113</v>
      </c>
      <c r="K12" s="428">
        <f>IFERROR(K10/G10,0)</f>
        <v>0.49442379182156132</v>
      </c>
      <c r="L12" s="4"/>
      <c r="M12" s="8"/>
      <c r="N12" s="424" t="s">
        <v>115</v>
      </c>
      <c r="O12" s="428">
        <f>O10/K10</f>
        <v>9.0225563909774431E-2</v>
      </c>
      <c r="P12" s="4"/>
      <c r="Q12" s="14"/>
      <c r="R12" s="424" t="s">
        <v>116</v>
      </c>
      <c r="S12" s="428">
        <f>S10/K10</f>
        <v>0.23308270676691728</v>
      </c>
      <c r="T12" s="4"/>
    </row>
    <row r="13" spans="1:22" ht="18.75" customHeight="1">
      <c r="A13" s="6"/>
      <c r="B13" s="6"/>
      <c r="C13" s="6"/>
      <c r="D13" s="6"/>
      <c r="E13" s="6"/>
      <c r="F13" s="6"/>
      <c r="G13" s="6"/>
      <c r="H13" s="6"/>
      <c r="I13" s="6"/>
      <c r="J13" s="6"/>
      <c r="K13" s="6"/>
      <c r="L13" s="6"/>
      <c r="M13" s="6"/>
      <c r="N13" s="6"/>
      <c r="O13" s="6"/>
      <c r="P13" s="6"/>
      <c r="Q13" s="10"/>
      <c r="R13" s="6"/>
      <c r="S13" s="5"/>
      <c r="T13" s="5"/>
      <c r="U13" s="5"/>
      <c r="V13" s="5"/>
    </row>
    <row r="14" spans="1:22" ht="26.25" customHeight="1">
      <c r="A14" s="6"/>
      <c r="B14" s="12" t="s">
        <v>117</v>
      </c>
      <c r="C14" s="2"/>
      <c r="D14" s="2"/>
      <c r="E14" s="2"/>
      <c r="F14" s="656">
        <f>SUM(IFERROR(Digital!F14,0),IFERROR(Events!F14,0),IFERROR('Cold Outreach'!F14,0),IFERROR(Alliances!F14,0))</f>
        <v>75325.149999999994</v>
      </c>
      <c r="G14" s="656"/>
      <c r="H14" s="656"/>
      <c r="I14" s="661" t="s">
        <v>118</v>
      </c>
      <c r="J14" s="661"/>
      <c r="K14" s="661"/>
      <c r="L14" s="661"/>
      <c r="M14" s="661"/>
      <c r="N14" s="661"/>
      <c r="O14" s="13">
        <f>IFERROR(K7/F14,"")</f>
        <v>86.519309951589875</v>
      </c>
      <c r="P14" s="653" t="s">
        <v>119</v>
      </c>
      <c r="Q14" s="653"/>
      <c r="R14" s="653"/>
      <c r="S14" s="653"/>
      <c r="T14" s="653"/>
      <c r="U14" s="5"/>
    </row>
    <row r="15" spans="1:22" ht="26.25">
      <c r="A15" s="6"/>
      <c r="B15" s="654" t="s">
        <v>120</v>
      </c>
      <c r="C15" s="654"/>
      <c r="D15" s="654"/>
      <c r="E15" s="654"/>
      <c r="F15" s="657">
        <f>SUM(IFERROR(Digital!F15,0),IFERROR(Events!F15,0),IFERROR('Cold Outreach'!F15,0),IFERROR(Alliances!F15,0))</f>
        <v>1967771.6933029997</v>
      </c>
      <c r="G15" s="657"/>
      <c r="H15" s="657"/>
      <c r="I15" s="659" t="s">
        <v>118</v>
      </c>
      <c r="J15" s="659"/>
      <c r="K15" s="659"/>
      <c r="L15" s="659"/>
      <c r="M15" s="659"/>
      <c r="N15" s="659"/>
      <c r="O15" s="473">
        <f>K11/F15</f>
        <v>30.811501744000399</v>
      </c>
      <c r="P15" s="652" t="s">
        <v>119</v>
      </c>
      <c r="Q15" s="652"/>
      <c r="R15" s="652"/>
      <c r="S15" s="652"/>
      <c r="T15" s="652"/>
      <c r="U15" s="5"/>
    </row>
    <row r="16" spans="1:22" ht="26.25">
      <c r="A16" s="6"/>
      <c r="B16" s="655"/>
      <c r="C16" s="655"/>
      <c r="D16" s="655"/>
      <c r="E16" s="655"/>
      <c r="F16" s="658"/>
      <c r="G16" s="658"/>
      <c r="H16" s="658"/>
      <c r="I16" s="660"/>
      <c r="J16" s="660"/>
      <c r="K16" s="660"/>
      <c r="L16" s="660"/>
      <c r="M16" s="660"/>
      <c r="N16" s="660"/>
      <c r="O16" s="474">
        <f>ROUND(O11/F15,1)</f>
        <v>2</v>
      </c>
      <c r="P16" s="652" t="s">
        <v>121</v>
      </c>
      <c r="Q16" s="652"/>
      <c r="R16" s="652"/>
      <c r="S16" s="652"/>
      <c r="T16" s="652"/>
      <c r="U16" s="5"/>
    </row>
    <row r="17" spans="1:21" s="5" customFormat="1" ht="26.25">
      <c r="A17" s="6"/>
      <c r="B17" s="540"/>
      <c r="C17" s="540"/>
      <c r="D17" s="540"/>
      <c r="E17" s="540"/>
      <c r="F17" s="541"/>
      <c r="G17" s="541"/>
      <c r="H17" s="541"/>
      <c r="I17" s="542"/>
      <c r="J17" s="542"/>
      <c r="K17" s="542"/>
      <c r="L17" s="542"/>
      <c r="M17" s="542"/>
      <c r="N17" s="545" t="s">
        <v>122</v>
      </c>
      <c r="O17" s="543">
        <f>((O11*0.55)+S11)/F15</f>
        <v>2.6308290070533396</v>
      </c>
      <c r="P17" s="544" t="s">
        <v>123</v>
      </c>
      <c r="Q17" s="544"/>
      <c r="R17" s="544"/>
      <c r="S17" s="544"/>
      <c r="T17" s="544"/>
    </row>
    <row r="18" spans="1:21" ht="24" customHeight="1">
      <c r="A18" s="6"/>
      <c r="B18" s="651" t="s">
        <v>124</v>
      </c>
      <c r="C18" s="662"/>
      <c r="D18" s="662"/>
      <c r="E18" s="662"/>
      <c r="F18" s="662"/>
      <c r="G18" s="662"/>
      <c r="H18" s="662"/>
      <c r="I18" s="662"/>
      <c r="J18" s="662"/>
      <c r="K18" s="662"/>
      <c r="L18" s="662"/>
      <c r="M18" s="662"/>
      <c r="N18" s="662"/>
      <c r="O18" s="662"/>
      <c r="P18" s="662"/>
      <c r="Q18" s="662"/>
      <c r="R18" s="662"/>
      <c r="S18" s="662"/>
      <c r="T18" s="662"/>
      <c r="U18" s="5"/>
    </row>
    <row r="19" spans="1:21" ht="18.75" customHeight="1">
      <c r="A19" s="6"/>
      <c r="B19" s="6"/>
      <c r="C19" s="6"/>
      <c r="D19" s="6"/>
      <c r="E19" s="6"/>
      <c r="F19" s="6"/>
      <c r="G19" s="6"/>
      <c r="H19" s="6"/>
      <c r="I19" s="6"/>
      <c r="J19" s="6"/>
      <c r="K19" s="6"/>
      <c r="L19" s="6"/>
      <c r="M19" s="6"/>
      <c r="N19" s="6"/>
      <c r="O19" s="6"/>
      <c r="P19" s="6"/>
      <c r="Q19" s="6"/>
      <c r="R19" s="6"/>
      <c r="S19" s="5"/>
      <c r="T19" s="5"/>
      <c r="U19" s="5"/>
    </row>
    <row r="20" spans="1:21" ht="18.75" customHeight="1">
      <c r="A20" s="6"/>
      <c r="B20" s="6"/>
      <c r="C20" s="6"/>
      <c r="D20" s="6"/>
      <c r="E20" s="6"/>
      <c r="F20" s="6"/>
      <c r="G20" s="6"/>
      <c r="H20" s="6"/>
      <c r="I20" s="6"/>
      <c r="J20" s="6"/>
      <c r="K20" s="6"/>
      <c r="L20" s="6"/>
      <c r="M20" s="6"/>
      <c r="N20" s="6"/>
      <c r="O20" s="6"/>
      <c r="P20" s="6"/>
      <c r="Q20" s="6"/>
      <c r="R20" s="6"/>
      <c r="S20" s="5"/>
      <c r="T20" s="5"/>
      <c r="U20" s="5"/>
    </row>
    <row r="21" spans="1:21" ht="18.75" customHeight="1">
      <c r="A21" s="6"/>
      <c r="B21" s="6"/>
      <c r="C21" s="6"/>
      <c r="D21" s="6"/>
      <c r="E21" s="6"/>
      <c r="F21" s="6"/>
      <c r="G21" s="6"/>
      <c r="H21" s="6"/>
      <c r="I21" s="6"/>
      <c r="J21" s="6"/>
      <c r="K21" s="6"/>
      <c r="L21" s="6"/>
      <c r="M21" s="6"/>
      <c r="N21" s="6"/>
      <c r="O21" s="6"/>
      <c r="P21" s="6"/>
      <c r="Q21" s="6"/>
      <c r="R21" s="6"/>
      <c r="S21" s="5"/>
      <c r="T21" s="5"/>
      <c r="U21" s="5"/>
    </row>
    <row r="22" spans="1:21" ht="18.75" customHeight="1">
      <c r="A22" s="1"/>
      <c r="B22" s="1"/>
      <c r="C22" s="1"/>
      <c r="D22" s="1"/>
      <c r="E22" s="1"/>
      <c r="F22" s="1"/>
      <c r="G22" s="1"/>
      <c r="H22" s="1"/>
      <c r="I22" s="1"/>
      <c r="J22" s="1"/>
      <c r="K22" s="1"/>
      <c r="L22" s="1"/>
      <c r="M22" s="1"/>
      <c r="N22" s="1"/>
      <c r="O22" s="1"/>
      <c r="P22" s="1"/>
      <c r="Q22" s="1"/>
      <c r="R22" s="1"/>
    </row>
    <row r="23" spans="1:21" ht="18.75" customHeight="1">
      <c r="A23" s="1"/>
      <c r="B23" s="1"/>
      <c r="C23" s="1"/>
      <c r="D23" s="1"/>
      <c r="E23" s="1"/>
      <c r="F23" s="1"/>
      <c r="G23" s="1"/>
      <c r="H23" s="1"/>
      <c r="I23" s="1"/>
      <c r="J23" s="1"/>
      <c r="K23" s="1"/>
      <c r="L23" s="1"/>
      <c r="M23" s="1"/>
      <c r="N23" s="1"/>
      <c r="O23" s="1"/>
      <c r="P23" s="1"/>
      <c r="Q23" s="1"/>
      <c r="R23" s="1"/>
    </row>
    <row r="24" spans="1:21" ht="18.75" customHeight="1">
      <c r="A24" s="1"/>
      <c r="B24" s="1"/>
      <c r="C24" s="1"/>
      <c r="D24" s="1"/>
      <c r="E24" s="1"/>
      <c r="F24" s="1"/>
      <c r="G24" s="1"/>
      <c r="H24" s="1"/>
      <c r="I24" s="1"/>
      <c r="J24" s="1"/>
      <c r="K24" s="1"/>
      <c r="L24" s="1"/>
      <c r="M24" s="1"/>
      <c r="N24" s="1"/>
      <c r="O24" s="1"/>
      <c r="P24" s="1"/>
      <c r="Q24" s="1"/>
      <c r="R24" s="1"/>
    </row>
    <row r="25" spans="1:21" ht="18.75" customHeight="1">
      <c r="A25" s="1"/>
      <c r="B25" s="1"/>
      <c r="C25" s="1"/>
      <c r="D25" s="1"/>
      <c r="E25" s="1"/>
      <c r="F25" s="1"/>
      <c r="G25" s="1"/>
      <c r="H25" s="1"/>
      <c r="I25" s="1"/>
      <c r="J25" s="1"/>
      <c r="K25" s="1"/>
      <c r="L25" s="1"/>
      <c r="M25" s="1"/>
      <c r="N25" s="1"/>
      <c r="O25" s="1"/>
      <c r="P25" s="1"/>
      <c r="Q25" s="1"/>
      <c r="R25" s="1"/>
    </row>
    <row r="26" spans="1:21" ht="18.75" customHeight="1">
      <c r="A26" s="1"/>
      <c r="B26" s="1"/>
      <c r="C26" s="1"/>
      <c r="D26" s="1"/>
      <c r="E26" s="1"/>
      <c r="F26" s="1"/>
      <c r="G26" s="1"/>
      <c r="H26" s="1"/>
      <c r="I26" s="1"/>
      <c r="J26" s="1"/>
      <c r="K26" s="1"/>
      <c r="L26" s="1"/>
      <c r="M26" s="1"/>
      <c r="N26" s="1"/>
      <c r="O26" s="1"/>
      <c r="P26" s="1"/>
      <c r="Q26" s="1"/>
      <c r="R26" s="1"/>
    </row>
    <row r="27" spans="1:21" ht="18.75" customHeight="1">
      <c r="A27" s="1"/>
      <c r="B27" s="1"/>
      <c r="C27" s="1"/>
      <c r="D27" s="1"/>
      <c r="E27" s="1"/>
      <c r="F27" s="1"/>
      <c r="G27" s="1"/>
      <c r="H27" s="1"/>
      <c r="I27" s="1"/>
      <c r="J27" s="1"/>
      <c r="K27" s="1"/>
      <c r="L27" s="1"/>
      <c r="M27" s="1"/>
      <c r="N27" s="1"/>
      <c r="O27" s="1"/>
      <c r="P27" s="1"/>
      <c r="Q27" s="1"/>
      <c r="R27" s="1"/>
    </row>
    <row r="28" spans="1:21" ht="18.75" customHeight="1">
      <c r="A28" s="1"/>
      <c r="B28" s="1"/>
      <c r="C28" s="1"/>
      <c r="D28" s="1"/>
      <c r="E28" s="1"/>
      <c r="F28" s="1"/>
      <c r="G28" s="1"/>
      <c r="H28" s="1"/>
      <c r="I28" s="1"/>
      <c r="J28" s="1"/>
      <c r="K28" s="1"/>
      <c r="L28" s="1"/>
      <c r="M28" s="1"/>
      <c r="N28" s="1"/>
      <c r="O28" s="1"/>
      <c r="P28" s="1"/>
      <c r="Q28" s="1"/>
      <c r="R28" s="1"/>
    </row>
    <row r="29" spans="1:21" ht="18.75" customHeight="1">
      <c r="A29" s="1"/>
      <c r="B29" s="1"/>
      <c r="C29" s="1"/>
      <c r="D29" s="1"/>
      <c r="E29" s="1"/>
      <c r="F29" s="1"/>
      <c r="G29" s="1"/>
      <c r="H29" s="1"/>
      <c r="I29" s="1"/>
      <c r="J29" s="1"/>
      <c r="K29" s="1"/>
      <c r="L29" s="1"/>
      <c r="M29" s="1"/>
      <c r="N29" s="1"/>
      <c r="O29" s="1"/>
      <c r="P29" s="1"/>
      <c r="Q29" s="1"/>
      <c r="R29" s="1"/>
    </row>
    <row r="30" spans="1:21" ht="18.75" customHeight="1">
      <c r="A30" s="1"/>
      <c r="B30" s="1"/>
      <c r="C30" s="1"/>
      <c r="D30" s="1"/>
      <c r="E30" s="1"/>
      <c r="F30" s="1"/>
      <c r="G30" s="1"/>
      <c r="H30" s="1"/>
      <c r="I30" s="1"/>
      <c r="J30" s="1"/>
      <c r="K30" s="1"/>
      <c r="L30" s="1"/>
      <c r="M30" s="1"/>
      <c r="N30" s="1"/>
      <c r="O30" s="1"/>
      <c r="P30" s="1"/>
      <c r="Q30" s="1"/>
      <c r="R30" s="1"/>
    </row>
    <row r="31" spans="1:21" ht="18.75" customHeight="1">
      <c r="A31" s="1"/>
      <c r="B31" s="1"/>
      <c r="C31" s="1"/>
      <c r="D31" s="1"/>
      <c r="E31" s="1"/>
      <c r="F31" s="1"/>
      <c r="G31" s="1"/>
      <c r="H31" s="1"/>
      <c r="I31" s="1"/>
      <c r="J31" s="1"/>
      <c r="K31" s="1"/>
      <c r="L31" s="1"/>
      <c r="M31" s="1"/>
      <c r="N31" s="1"/>
      <c r="O31" s="1"/>
      <c r="P31" s="1"/>
      <c r="Q31" s="1"/>
      <c r="R31" s="1"/>
    </row>
    <row r="32" spans="1:21" ht="18.75" customHeight="1">
      <c r="A32" s="1"/>
      <c r="B32" s="1"/>
      <c r="C32" s="1"/>
      <c r="D32" s="1"/>
      <c r="E32" s="1"/>
      <c r="F32" s="1"/>
      <c r="G32" s="1"/>
      <c r="H32" s="1"/>
      <c r="I32" s="1"/>
      <c r="J32" s="1"/>
      <c r="K32" s="1"/>
      <c r="L32" s="1"/>
      <c r="M32" s="1"/>
      <c r="N32" s="1"/>
      <c r="O32" s="1"/>
      <c r="P32" s="1"/>
      <c r="Q32" s="1"/>
      <c r="R32" s="1"/>
    </row>
    <row r="33" spans="1:18" ht="18.75" customHeight="1">
      <c r="A33" s="1"/>
      <c r="B33" s="1"/>
      <c r="C33" s="1"/>
      <c r="D33" s="1"/>
      <c r="E33" s="1"/>
      <c r="F33" s="1"/>
      <c r="G33" s="1"/>
      <c r="H33" s="1"/>
      <c r="I33" s="1"/>
      <c r="J33" s="1"/>
      <c r="K33" s="1"/>
      <c r="L33" s="1"/>
      <c r="M33" s="1"/>
      <c r="N33" s="1"/>
      <c r="O33" s="1"/>
      <c r="P33" s="1"/>
      <c r="Q33" s="1"/>
      <c r="R33" s="1"/>
    </row>
    <row r="34" spans="1:18" ht="18.75" customHeight="1">
      <c r="A34" s="1"/>
      <c r="B34" s="1"/>
      <c r="C34" s="1"/>
      <c r="D34" s="1"/>
      <c r="E34" s="1"/>
      <c r="F34" s="1"/>
      <c r="G34" s="1"/>
      <c r="H34" s="1"/>
      <c r="I34" s="1"/>
      <c r="J34" s="1"/>
      <c r="K34" s="1"/>
      <c r="L34" s="1"/>
      <c r="M34" s="1"/>
      <c r="N34" s="1"/>
      <c r="O34" s="1"/>
      <c r="P34" s="1"/>
      <c r="Q34" s="1"/>
      <c r="R34" s="1"/>
    </row>
    <row r="35" spans="1:18" ht="18.75" customHeight="1">
      <c r="A35" s="1"/>
      <c r="B35" s="1"/>
      <c r="C35" s="1"/>
      <c r="D35" s="1"/>
      <c r="E35" s="1"/>
      <c r="F35" s="1"/>
      <c r="G35" s="1"/>
      <c r="H35" s="1"/>
      <c r="I35" s="1"/>
      <c r="J35" s="1"/>
      <c r="K35" s="1"/>
      <c r="L35" s="1"/>
      <c r="M35" s="1"/>
      <c r="N35" s="1"/>
      <c r="O35" s="1"/>
      <c r="P35" s="1"/>
      <c r="Q35" s="1"/>
      <c r="R35" s="1"/>
    </row>
  </sheetData>
  <mergeCells count="25">
    <mergeCell ref="F5:H5"/>
    <mergeCell ref="B8:D8"/>
    <mergeCell ref="N5:P5"/>
    <mergeCell ref="P14:T14"/>
    <mergeCell ref="B15:E16"/>
    <mergeCell ref="F14:H14"/>
    <mergeCell ref="F15:H16"/>
    <mergeCell ref="I15:N16"/>
    <mergeCell ref="I14:N14"/>
    <mergeCell ref="J4:L4"/>
    <mergeCell ref="B9:D9"/>
    <mergeCell ref="N9:P9"/>
    <mergeCell ref="F9:H9"/>
    <mergeCell ref="B18:T18"/>
    <mergeCell ref="P15:T15"/>
    <mergeCell ref="B5:D5"/>
    <mergeCell ref="R5:T5"/>
    <mergeCell ref="B4:D4"/>
    <mergeCell ref="R9:T9"/>
    <mergeCell ref="F4:H4"/>
    <mergeCell ref="N4:P4"/>
    <mergeCell ref="J5:L5"/>
    <mergeCell ref="R4:T4"/>
    <mergeCell ref="J9:L9"/>
    <mergeCell ref="P16:T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5"/>
  <sheetViews>
    <sheetView showGridLines="0" topLeftCell="A16" zoomScale="140" zoomScaleNormal="140" workbookViewId="0">
      <selection activeCell="F26" sqref="F26"/>
    </sheetView>
  </sheetViews>
  <sheetFormatPr defaultColWidth="8.7109375" defaultRowHeight="15"/>
  <cols>
    <col min="1" max="1" width="4.140625" customWidth="1"/>
    <col min="2" max="2" width="9.7109375" customWidth="1"/>
    <col min="3" max="3" width="17.42578125" customWidth="1"/>
    <col min="4" max="4" width="3.7109375" customWidth="1"/>
    <col min="5" max="5" width="1.42578125" customWidth="1"/>
    <col min="6" max="6" width="14.42578125" bestFit="1" customWidth="1"/>
    <col min="7" max="7" width="16.7109375" customWidth="1"/>
    <col min="8" max="8" width="4.42578125" customWidth="1"/>
    <col min="9" max="9" width="2" customWidth="1"/>
    <col min="10" max="10" width="11.7109375" bestFit="1" customWidth="1"/>
    <col min="11" max="11" width="16.7109375" customWidth="1"/>
    <col min="12" max="12" width="4.42578125" customWidth="1"/>
    <col min="13" max="13" width="2.28515625" customWidth="1"/>
    <col min="14" max="14" width="11.7109375" bestFit="1" customWidth="1"/>
    <col min="15" max="15" width="17" customWidth="1"/>
    <col min="16" max="16" width="4.42578125" customWidth="1"/>
    <col min="17" max="17" width="2.140625" customWidth="1"/>
    <col min="18" max="18" width="11.140625" bestFit="1" customWidth="1"/>
    <col min="19" max="19" width="16.7109375" customWidth="1"/>
    <col min="20" max="20" width="6.140625" customWidth="1"/>
  </cols>
  <sheetData>
    <row r="1" spans="1:22">
      <c r="A1" s="5"/>
      <c r="B1" s="5" t="s">
        <v>27</v>
      </c>
      <c r="C1" s="5"/>
      <c r="D1" s="5"/>
      <c r="E1" s="5"/>
      <c r="F1" s="5"/>
      <c r="G1" s="5"/>
      <c r="H1" s="5"/>
      <c r="I1" s="5"/>
      <c r="J1" s="5"/>
      <c r="K1" s="5"/>
      <c r="L1" s="5"/>
      <c r="M1" s="5"/>
      <c r="N1" s="5"/>
      <c r="O1" s="5"/>
      <c r="P1" s="5"/>
      <c r="Q1" s="5"/>
      <c r="R1" s="5"/>
      <c r="S1" s="5"/>
      <c r="T1" s="5"/>
      <c r="U1" s="5"/>
    </row>
    <row r="2" spans="1:22" ht="21" customHeight="1">
      <c r="A2" s="5"/>
      <c r="B2" s="7" t="s">
        <v>98</v>
      </c>
      <c r="C2" s="5"/>
      <c r="D2" s="5"/>
      <c r="E2" s="5"/>
      <c r="F2" s="5"/>
      <c r="G2" s="5"/>
      <c r="H2" s="5"/>
      <c r="I2" s="8"/>
      <c r="J2" s="5"/>
      <c r="K2" s="9" t="s">
        <v>99</v>
      </c>
      <c r="L2" s="5"/>
      <c r="M2" s="5"/>
      <c r="N2" s="8">
        <f>TOTAL!N2</f>
        <v>18</v>
      </c>
      <c r="O2" s="8" t="s">
        <v>100</v>
      </c>
      <c r="P2" s="5"/>
      <c r="Q2" s="5"/>
      <c r="R2" s="5"/>
      <c r="S2" s="5"/>
      <c r="T2" s="5"/>
      <c r="U2" s="5"/>
    </row>
    <row r="3" spans="1:22" s="1" customFormat="1" ht="21" customHeight="1">
      <c r="A3" s="6"/>
      <c r="B3" s="431" t="s">
        <v>101</v>
      </c>
      <c r="C3" s="460">
        <f>TOTAL!C3</f>
        <v>46234</v>
      </c>
      <c r="D3" s="420"/>
      <c r="E3" s="6"/>
      <c r="F3" s="6"/>
      <c r="G3" s="8"/>
      <c r="H3" s="8"/>
      <c r="I3" s="8"/>
      <c r="J3" s="8"/>
      <c r="K3" s="8"/>
      <c r="L3" s="6"/>
      <c r="M3" s="6"/>
      <c r="N3" s="6"/>
      <c r="O3" s="6"/>
      <c r="P3" s="6"/>
      <c r="Q3" s="10"/>
      <c r="R3" s="6"/>
      <c r="S3" s="6"/>
      <c r="T3" s="6"/>
      <c r="U3" s="6"/>
    </row>
    <row r="4" spans="1:22" s="1" customFormat="1" ht="18.75" customHeight="1">
      <c r="A4" s="6"/>
      <c r="B4" s="649" t="s">
        <v>102</v>
      </c>
      <c r="C4" s="663"/>
      <c r="D4" s="663"/>
      <c r="F4" s="649" t="s">
        <v>103</v>
      </c>
      <c r="G4" s="663"/>
      <c r="H4" s="663"/>
      <c r="I4" s="6"/>
      <c r="J4" s="649" t="s">
        <v>104</v>
      </c>
      <c r="K4" s="663"/>
      <c r="L4" s="663"/>
      <c r="M4" s="6"/>
      <c r="N4" s="649" t="s">
        <v>105</v>
      </c>
      <c r="O4" s="663"/>
      <c r="P4" s="663"/>
      <c r="Q4" s="10"/>
      <c r="R4" s="649" t="s">
        <v>106</v>
      </c>
      <c r="S4" s="663"/>
      <c r="T4" s="663"/>
    </row>
    <row r="5" spans="1:22" s="3" customFormat="1" ht="21" customHeight="1">
      <c r="A5" s="8"/>
      <c r="B5" s="650" t="s">
        <v>107</v>
      </c>
      <c r="C5" s="664"/>
      <c r="D5" s="664"/>
      <c r="F5" s="650" t="s">
        <v>107</v>
      </c>
      <c r="G5" s="664"/>
      <c r="H5" s="664"/>
      <c r="I5" s="8"/>
      <c r="J5" s="650" t="s">
        <v>107</v>
      </c>
      <c r="K5" s="664"/>
      <c r="L5" s="664"/>
      <c r="M5" s="8"/>
      <c r="N5" s="650" t="s">
        <v>107</v>
      </c>
      <c r="O5" s="664"/>
      <c r="P5" s="664"/>
      <c r="Q5" s="14"/>
      <c r="R5" s="650" t="s">
        <v>107</v>
      </c>
      <c r="S5" s="664"/>
      <c r="T5" s="664"/>
    </row>
    <row r="6" spans="1:22" ht="18" customHeight="1">
      <c r="A6" s="6"/>
      <c r="B6" s="424" t="s">
        <v>6</v>
      </c>
      <c r="C6" s="426">
        <f>SUMIFS('Digital Leads Raw'!$B1:$B933,'Digital Leads Raw'!$E1:$E933,"&gt;="&amp;EOMONTH($C$3,-1)+1,'Digital Leads Raw'!$E1:$E933,"&lt;="&amp;EOMONTH($C$3,0))</f>
        <v>6</v>
      </c>
      <c r="D6" s="424"/>
      <c r="F6" s="424" t="s">
        <v>8</v>
      </c>
      <c r="G6" s="561">
        <f>COUNTIFS('Cold outreach data'!$K$2:$K$251,"Digital",'Cold outreach data'!$G$2:$G$251,"Yes",'Cold outreach data'!$C$2:$C$251,"&gt;="&amp;DATE(YEAR($C$3),MONTH($C$3),1),'Cold outreach data'!$C$2:$C$251,"&lt;="&amp;EOMONTH($C$3,0))</f>
        <v>2</v>
      </c>
      <c r="H6" s="424"/>
      <c r="I6" s="11"/>
      <c r="J6" s="424" t="s">
        <v>108</v>
      </c>
      <c r="K6" s="426">
        <f>COUNTIFS('Opps Created'!$O:$O,$B$1,'Opps Created'!$G:$G,"&gt;="&amp;EOMONTH($C$3,-1)+1,'Opps Created'!$G:$G,"&lt;="&amp;EOMONTH($C$3,0))</f>
        <v>2</v>
      </c>
      <c r="L6" s="424"/>
      <c r="M6" s="11"/>
      <c r="N6" s="424" t="s">
        <v>109</v>
      </c>
      <c r="O6" s="426">
        <f>SUMIFS(
'Stage History'!$S:$S,
'Stage History'!$O:$O,$B$1,
'Stage History'!$P:$P,"&gt;="&amp;EOMONTH($C$3,-1)+1,
'Stage History'!$P:$P,"&lt;"&amp;EOMONTH($C$3,0)+1
)</f>
        <v>1</v>
      </c>
      <c r="P6" s="424"/>
      <c r="Q6" s="10"/>
      <c r="R6" s="424" t="s">
        <v>110</v>
      </c>
      <c r="S6" s="426">
        <f>SUMIFS(
'Stage History'!$T:$T,
'Stage History'!$O:$O,"Digital",
'Stage History'!$P:$P,"&gt;="&amp;EOMONTH($C$3,-1)+1,
'Stage History'!$P:$P,"&lt;"&amp;EOMONTH($C$3,0)+1
)</f>
        <v>1</v>
      </c>
      <c r="T6" s="424"/>
    </row>
    <row r="7" spans="1:22" ht="18" customHeight="1">
      <c r="A7" s="6"/>
      <c r="B7" s="424" t="s">
        <v>7</v>
      </c>
      <c r="C7" s="426">
        <f>SUMIFS('Digital Leads Raw'!$C1:$C933,'Digital Leads Raw'!$E1:$E933,"&gt;="&amp;EOMONTH($C$3,-1)+1,'Digital Leads Raw'!$E1:$E933,"&lt;="&amp;EOMONTH($C$3,0))</f>
        <v>6</v>
      </c>
      <c r="D7" s="4"/>
      <c r="F7" s="424" t="s">
        <v>111</v>
      </c>
      <c r="G7" s="430">
        <f>IFERROR(G6/C6,0)</f>
        <v>0.33333333333333331</v>
      </c>
      <c r="H7" s="4"/>
      <c r="I7" s="11"/>
      <c r="J7" s="424" t="s">
        <v>125</v>
      </c>
      <c r="K7" s="427">
        <f>SUMIFS('Opps Created'!$E:$E,'Opps Created'!$O:$O,$B$1,'Opps Created'!$G:$G,"&gt;="&amp;EOMONTH($C$3,-1)+1,'Opps Created'!$G:$G,"&lt;="&amp;EOMONTH($C$3,0))</f>
        <v>2680000</v>
      </c>
      <c r="L7" s="424"/>
      <c r="M7" s="11"/>
      <c r="N7" s="424" t="s">
        <v>125</v>
      </c>
      <c r="O7" s="427">
        <f>SUMIFS('Stage History'!$K:$K,'Stage History'!$O:$O,$B$1,'Stage History'!$S:$S,1,'Stage History'!$P:$P,"&gt;="&amp;EOMONTH($C$3,-1)+1,
'Stage History'!$P:$P,"&lt;"&amp;EOMONTH($C$3,0)+1
)</f>
        <v>119448</v>
      </c>
      <c r="P7" s="424"/>
      <c r="Q7" s="10"/>
      <c r="R7" s="424" t="s">
        <v>112</v>
      </c>
      <c r="S7" s="427">
        <f>SUMIFS('Stage History'!$L:$L,'Stage History'!$O:$O,"Digital",'Stage History'!$T:$T,1,'Stage History'!$P:$P,"&gt;="&amp;EOMONTH($C$3,-1)+1,'Stage History'!$P:$P,"&lt;"&amp;EOMONTH($C$3,0)+1)</f>
        <v>60000</v>
      </c>
      <c r="T7" s="424"/>
    </row>
    <row r="8" spans="1:22" s="3" customFormat="1" ht="21" customHeight="1">
      <c r="A8" s="8"/>
      <c r="B8" s="650"/>
      <c r="C8" s="664"/>
      <c r="D8" s="664"/>
      <c r="F8" s="4"/>
      <c r="G8" s="4"/>
      <c r="H8" s="4"/>
      <c r="I8" s="8"/>
      <c r="J8" s="424" t="s">
        <v>112</v>
      </c>
      <c r="K8" s="427">
        <f>SUMIFS('Opps Created'!$M:$M,'Opps Created'!$O:$O,$B$1,'Opps Created'!$G:$G,"&gt;="&amp;EOMONTH($C$3,-1)+1,'Opps Created'!$G:$G,"&lt;="&amp;EOMONTH($C$3,0))</f>
        <v>2400000</v>
      </c>
      <c r="L8" s="4"/>
      <c r="M8" s="8"/>
      <c r="N8" s="424" t="s">
        <v>112</v>
      </c>
      <c r="O8" s="427">
        <f>SUMIFS('Stage History'!$L:$L,'Stage History'!$O:$O,$B$1,'Stage History'!$S:$S,1,'Stage History'!$P:$P,"&gt;="&amp;EOMONTH($C$3,-1)+1,
'Stage History'!$P:$P,"&lt;"&amp;EOMONTH($C$3,0)+1
)</f>
        <v>119448</v>
      </c>
      <c r="P8" s="4"/>
      <c r="Q8" s="14"/>
      <c r="R8" s="424"/>
      <c r="S8" s="428"/>
      <c r="T8" s="4"/>
    </row>
    <row r="9" spans="1:22" s="3" customFormat="1" ht="21" customHeight="1">
      <c r="A9" s="8"/>
      <c r="B9" s="650" t="s">
        <v>114</v>
      </c>
      <c r="C9" s="664"/>
      <c r="D9" s="664"/>
      <c r="F9" s="650" t="s">
        <v>114</v>
      </c>
      <c r="G9" s="664"/>
      <c r="H9" s="664"/>
      <c r="I9" s="8"/>
      <c r="J9" s="650" t="s">
        <v>114</v>
      </c>
      <c r="K9" s="664"/>
      <c r="L9" s="664"/>
      <c r="M9" s="8"/>
      <c r="N9" s="650" t="s">
        <v>114</v>
      </c>
      <c r="O9" s="664"/>
      <c r="P9" s="664"/>
      <c r="Q9" s="14"/>
      <c r="R9" s="650" t="s">
        <v>114</v>
      </c>
      <c r="S9" s="664"/>
      <c r="T9" s="664"/>
    </row>
    <row r="10" spans="1:22" s="3" customFormat="1" ht="21" customHeight="1">
      <c r="A10" s="8"/>
      <c r="B10" s="424" t="s">
        <v>6</v>
      </c>
      <c r="C10" s="426">
        <f>SUMIFS('Digital Leads Raw'!$B1:$B933,'Digital Leads Raw'!$E1:$E933,"&gt;="&amp;EDATE(EOMONTH($C$3,-1)+1,-($N$2-1)),'Digital Leads Raw'!$E1:$E933,"&lt;="&amp;EOMONTH($C$3,0))</f>
        <v>59</v>
      </c>
      <c r="D10" s="424"/>
      <c r="F10" s="424" t="s">
        <v>8</v>
      </c>
      <c r="G10" s="561">
        <f>COUNTIFS('Cold outreach data'!$K$2:$K$251,"Digital",'Cold outreach data'!$G$2:$G$251,"Yes",'Cold outreach data'!$C$2:$C$251,"&gt;="&amp;EDATE(DATE(YEAR($C$3),MONTH($C$3),1),-($N$2-1)),'Cold outreach data'!$C$2:$C$251,"&lt;="&amp;EOMONTH($C$3,0))</f>
        <v>23</v>
      </c>
      <c r="H10" s="424"/>
      <c r="I10" s="8"/>
      <c r="J10" s="424" t="s">
        <v>108</v>
      </c>
      <c r="K10" s="426">
        <f>COUNTIFS('Opps Created'!$O:$O,$B$1,'Opps Created'!$G:$G,"&gt;="&amp;EDATE(EOMONTH($C$3,-1)+1,-($N$2-1)),'Opps Created'!$G:$G,"&lt;="&amp;EOMONTH($C$3,0))</f>
        <v>20</v>
      </c>
      <c r="L10" s="424"/>
      <c r="M10" s="8"/>
      <c r="N10" s="424" t="s">
        <v>126</v>
      </c>
      <c r="O10" s="426">
        <f>COUNTIFS(
'Opps Created'!$O:$O,$B$1,
'Opps Created'!$Q:$Q,1
)</f>
        <v>1</v>
      </c>
      <c r="P10" s="4"/>
      <c r="Q10" s="14"/>
      <c r="R10" s="424" t="s">
        <v>110</v>
      </c>
      <c r="S10" s="426">
        <f>SUMIFS('Stage History'!$T:$T,'Stage History'!$O:$O,"Digital",'Stage History'!$P:$P,"&gt;="&amp;EOMONTH($C$3,-$N$2)+1,
'Stage History'!$P:$P,"&lt;"&amp;EOMONTH($C$3,0)+1
)</f>
        <v>8</v>
      </c>
      <c r="T10" s="4"/>
    </row>
    <row r="11" spans="1:22" s="3" customFormat="1" ht="21" customHeight="1">
      <c r="A11" s="8"/>
      <c r="B11" s="424" t="s">
        <v>7</v>
      </c>
      <c r="C11" s="426">
        <f>SUMIFS('Digital Leads Raw'!$C1:$C933,'Digital Leads Raw'!$E1:$E933,"&gt;="&amp;EDATE(EOMONTH($C$3,-1)+1,-($N$2-1)),'Digital Leads Raw'!$E1:$E933,"&lt;="&amp;EOMONTH($C$3,0))</f>
        <v>52</v>
      </c>
      <c r="D11" s="4"/>
      <c r="F11" s="424" t="s">
        <v>111</v>
      </c>
      <c r="G11" s="430">
        <f>IFERROR(G10/C10,0)</f>
        <v>0.38983050847457629</v>
      </c>
      <c r="H11" s="4"/>
      <c r="I11" s="8"/>
      <c r="J11" s="424" t="s">
        <v>125</v>
      </c>
      <c r="K11" s="427">
        <f>SUMIFS('Opps Created'!$E:$E,'Opps Created'!$O:$O,$B$1,'Opps Created'!$G:$G,"&gt;="&amp;EDATE(EOMONTH($C$3,-1)+1,-($N$2-1)),'Opps Created'!$G:$G,"&lt;="&amp;EOMONTH($C$3,0))</f>
        <v>10457055</v>
      </c>
      <c r="L11" s="424"/>
      <c r="M11" s="8"/>
      <c r="N11" s="424" t="s">
        <v>125</v>
      </c>
      <c r="O11" s="427">
        <f>SUMIFS(
'Opps Created'!$E:$E,
'Opps Created'!$O:$O,$B$1,
'Opps Created'!$Q:$Q,1,
'Opps Created'!$R:$R,0
)</f>
        <v>596510</v>
      </c>
      <c r="P11" s="4"/>
      <c r="Q11" s="14"/>
      <c r="R11" s="424" t="s">
        <v>112</v>
      </c>
      <c r="S11" s="427">
        <f>SUMIFS('Stage History'!$L:$L,'Stage History'!$O:$O,"Digital",'Stage History'!$T:$T,1,'Stage History'!$P:$P,"&gt;="&amp;EOMONTH($C$3,-$N$2)+1,
'Stage History'!$P:$P,"&lt;"&amp;EOMONTH($C$3,0)+1
)</f>
        <v>963185</v>
      </c>
      <c r="T11" s="4"/>
    </row>
    <row r="12" spans="1:22" s="3" customFormat="1" ht="21" customHeight="1">
      <c r="A12" s="8"/>
      <c r="B12" s="424"/>
      <c r="C12" s="421"/>
      <c r="D12" s="4"/>
      <c r="F12" s="424"/>
      <c r="G12" s="421"/>
      <c r="H12" s="4"/>
      <c r="I12" s="8"/>
      <c r="J12" s="424" t="s">
        <v>112</v>
      </c>
      <c r="K12" s="427">
        <f>SUMIFS('Opps Created'!$M:$M,'Opps Created'!$O:$O,$B$1,'Opps Created'!$G:$G,"&gt;="&amp;EDATE(EOMONTH($C$3,-1)+1,-($N$2-1)),'Opps Created'!$G:$G,"&lt;="&amp;EOMONTH($C$3,0))</f>
        <v>8126285</v>
      </c>
      <c r="L12" s="4"/>
      <c r="M12" s="8"/>
      <c r="N12" s="424" t="s">
        <v>112</v>
      </c>
      <c r="O12" s="427">
        <f>SUMIFS(
'Opps Created'!$M:$M,
'Opps Created'!$O:$O,$B$1,
'Opps Created'!$Q:$Q,1,
'Opps Created'!$R:$R,0
)</f>
        <v>374010</v>
      </c>
      <c r="P12" s="4"/>
      <c r="Q12" s="14"/>
      <c r="R12" s="424" t="s">
        <v>116</v>
      </c>
      <c r="S12" s="428">
        <f>S10/K10</f>
        <v>0.4</v>
      </c>
      <c r="T12" s="4"/>
    </row>
    <row r="13" spans="1:22" ht="18.75" customHeight="1">
      <c r="A13" s="6"/>
      <c r="B13" s="6"/>
      <c r="C13" s="6"/>
      <c r="D13" s="6"/>
      <c r="E13" s="6"/>
      <c r="F13" s="6"/>
      <c r="G13" s="6"/>
      <c r="H13" s="6"/>
      <c r="I13" s="6"/>
      <c r="J13" s="6"/>
      <c r="K13" s="6"/>
      <c r="L13" s="6"/>
      <c r="M13" s="6"/>
      <c r="N13" s="6"/>
      <c r="O13" s="6"/>
      <c r="P13" s="6"/>
      <c r="Q13" s="10"/>
      <c r="R13" s="6"/>
      <c r="S13" s="5"/>
      <c r="T13" s="5"/>
      <c r="U13" s="5"/>
      <c r="V13" s="5"/>
    </row>
    <row r="14" spans="1:22" ht="26.25" customHeight="1">
      <c r="A14" s="6"/>
      <c r="B14" s="12" t="str">
        <f>TEXT(C3,"mmmm-yy")&amp;" Spend"</f>
        <v>July-26 Spend</v>
      </c>
      <c r="C14" s="2"/>
      <c r="D14" s="2"/>
      <c r="E14" s="2"/>
      <c r="F14" s="656">
        <f>SUMIFS(
'Digital Spend Data'!$C$26:$C$212,
'Digital Spend Data'!$B$26:$B$212,"&gt;="&amp;EOMONTH($C$3,-1)+1,
'Digital Spend Data'!$B$26:$B$212,"&lt;="&amp;EOMONTH($C$3,0)
)</f>
        <v>34395.589999999997</v>
      </c>
      <c r="G14" s="656"/>
      <c r="H14" s="656"/>
      <c r="I14" s="661" t="s">
        <v>118</v>
      </c>
      <c r="J14" s="661"/>
      <c r="K14" s="661"/>
      <c r="L14" s="661"/>
      <c r="M14" s="661"/>
      <c r="N14" s="661"/>
      <c r="O14" s="13">
        <f>IFERROR(K8/F14,"")</f>
        <v>69.776387031011836</v>
      </c>
      <c r="P14" s="653" t="s">
        <v>119</v>
      </c>
      <c r="Q14" s="653"/>
      <c r="R14" s="653"/>
      <c r="S14" s="653"/>
      <c r="T14" s="653"/>
      <c r="U14" s="5"/>
    </row>
    <row r="15" spans="1:22" ht="26.25">
      <c r="A15" s="6"/>
      <c r="B15" s="654" t="s">
        <v>120</v>
      </c>
      <c r="C15" s="654"/>
      <c r="D15" s="654"/>
      <c r="E15" s="654"/>
      <c r="F15" s="657">
        <f>SUMIFS('Digital Spend Data'!$C$26:$C$212,'Digital Spend Data'!$B$26:$B$212,"&gt;="&amp;EDATE(DATE(YEAR($C$3),MONTH($C$3),1),-($N$2-1)),'Digital Spend Data'!$B$26:$B$212,"&lt;="&amp;EOMONTH($C$3,0))</f>
        <v>470640.59330299986</v>
      </c>
      <c r="G15" s="657"/>
      <c r="H15" s="657"/>
      <c r="I15" s="659" t="s">
        <v>118</v>
      </c>
      <c r="J15" s="659"/>
      <c r="K15" s="659"/>
      <c r="L15" s="659"/>
      <c r="M15" s="659"/>
      <c r="N15" s="659"/>
      <c r="O15" s="473">
        <f>K12/F15</f>
        <v>17.266434548216441</v>
      </c>
      <c r="P15" s="652" t="s">
        <v>119</v>
      </c>
      <c r="Q15" s="652"/>
      <c r="R15" s="652"/>
      <c r="S15" s="652"/>
      <c r="T15" s="652"/>
      <c r="U15" s="5"/>
    </row>
    <row r="16" spans="1:22" ht="26.25">
      <c r="A16" s="6"/>
      <c r="B16" s="655"/>
      <c r="C16" s="655"/>
      <c r="D16" s="655"/>
      <c r="E16" s="655"/>
      <c r="F16" s="658"/>
      <c r="G16" s="658"/>
      <c r="H16" s="658"/>
      <c r="I16" s="660"/>
      <c r="J16" s="660"/>
      <c r="K16" s="660"/>
      <c r="L16" s="660"/>
      <c r="M16" s="660"/>
      <c r="N16" s="660"/>
      <c r="O16" s="474">
        <f>ROUND(O12/F15,1)</f>
        <v>0.8</v>
      </c>
      <c r="P16" s="652" t="s">
        <v>121</v>
      </c>
      <c r="Q16" s="652"/>
      <c r="R16" s="652"/>
      <c r="S16" s="652"/>
      <c r="T16" s="652"/>
      <c r="U16" s="5"/>
    </row>
    <row r="17" spans="1:21" ht="18.75" customHeight="1">
      <c r="A17" s="6"/>
      <c r="B17" s="6"/>
      <c r="C17" s="6"/>
      <c r="D17" s="6"/>
      <c r="E17" s="6"/>
      <c r="F17" s="6"/>
      <c r="G17" s="6"/>
      <c r="H17" s="6"/>
      <c r="I17" s="6"/>
      <c r="J17" s="6"/>
      <c r="K17" s="539"/>
      <c r="L17" s="6"/>
      <c r="M17" s="539"/>
      <c r="N17" s="539" t="s">
        <v>118</v>
      </c>
      <c r="O17" s="538">
        <f>(S11+(O11*0.55))/F15</f>
        <v>2.7436339286795843</v>
      </c>
      <c r="P17" s="6" t="s">
        <v>123</v>
      </c>
      <c r="Q17" s="6"/>
      <c r="R17" s="6"/>
      <c r="S17" s="5"/>
      <c r="T17" s="5"/>
      <c r="U17" s="5"/>
    </row>
    <row r="18" spans="1:21" ht="24" customHeight="1">
      <c r="A18" s="6"/>
      <c r="B18" s="651" t="s">
        <v>127</v>
      </c>
      <c r="C18" s="651"/>
      <c r="D18" s="651"/>
      <c r="E18" s="651"/>
      <c r="F18" s="651"/>
      <c r="G18" s="651"/>
      <c r="H18" s="651"/>
      <c r="I18" s="651"/>
      <c r="J18" s="651"/>
      <c r="K18" s="651"/>
      <c r="L18" s="651"/>
      <c r="M18" s="651"/>
      <c r="N18" s="651"/>
      <c r="O18" s="651"/>
      <c r="P18" s="651"/>
      <c r="Q18" s="651"/>
      <c r="R18" s="651"/>
      <c r="S18" s="651"/>
      <c r="T18" s="651"/>
      <c r="U18" s="5"/>
    </row>
    <row r="19" spans="1:21" ht="18.75" customHeight="1">
      <c r="A19" s="6"/>
      <c r="B19" s="6"/>
      <c r="C19" s="6"/>
      <c r="D19" s="6"/>
      <c r="E19" s="6"/>
      <c r="F19" s="6"/>
      <c r="G19" s="6"/>
      <c r="H19" s="6"/>
      <c r="I19" s="6"/>
      <c r="J19" s="6"/>
      <c r="K19" s="6"/>
      <c r="L19" s="6"/>
      <c r="M19" s="6"/>
      <c r="N19" s="6"/>
      <c r="O19" s="6"/>
      <c r="P19" s="6"/>
      <c r="Q19" s="6"/>
      <c r="R19" s="6"/>
      <c r="S19" s="5"/>
      <c r="T19" s="5"/>
      <c r="U19" s="5"/>
    </row>
    <row r="20" spans="1:21" ht="18.75" customHeight="1">
      <c r="A20" s="6"/>
      <c r="B20" s="618" t="s">
        <v>128</v>
      </c>
      <c r="C20" s="618"/>
      <c r="D20" s="618"/>
      <c r="E20" s="618"/>
      <c r="F20" s="618" t="s">
        <v>129</v>
      </c>
      <c r="G20" s="618"/>
      <c r="H20" s="618"/>
      <c r="I20" s="618"/>
      <c r="J20" s="618" t="s">
        <v>130</v>
      </c>
      <c r="K20" s="618"/>
      <c r="L20" s="618"/>
      <c r="M20" s="618"/>
      <c r="N20" s="618" t="s">
        <v>131</v>
      </c>
      <c r="O20" s="619"/>
      <c r="P20" s="618"/>
      <c r="Q20" s="618"/>
      <c r="R20" s="618" t="s">
        <v>132</v>
      </c>
      <c r="S20" s="620"/>
      <c r="T20" s="5"/>
      <c r="U20" s="5"/>
    </row>
    <row r="21" spans="1:21" ht="18.75" customHeight="1">
      <c r="A21" s="6"/>
      <c r="B21" s="621" t="s">
        <v>133</v>
      </c>
      <c r="C21" s="622"/>
      <c r="D21" s="622"/>
      <c r="E21" s="622"/>
      <c r="F21" s="622" t="s">
        <v>134</v>
      </c>
      <c r="G21" s="622"/>
      <c r="H21" s="622"/>
      <c r="I21" s="622"/>
      <c r="J21" s="623" t="s">
        <v>135</v>
      </c>
      <c r="K21" s="622"/>
      <c r="L21" s="622"/>
      <c r="M21" s="622"/>
      <c r="N21" s="623" t="s">
        <v>136</v>
      </c>
      <c r="O21" s="622"/>
      <c r="P21" s="622"/>
      <c r="Q21" s="622"/>
      <c r="R21" s="623" t="s">
        <v>137</v>
      </c>
      <c r="S21" s="620"/>
      <c r="T21" s="5"/>
      <c r="U21" s="5"/>
    </row>
    <row r="22" spans="1:21" ht="18.75" customHeight="1">
      <c r="A22" s="1"/>
      <c r="B22" s="624" t="s">
        <v>134</v>
      </c>
      <c r="C22" s="159"/>
      <c r="D22" s="159"/>
      <c r="E22" s="159"/>
      <c r="F22" s="159" t="s">
        <v>138</v>
      </c>
      <c r="G22" s="159"/>
      <c r="H22" s="159"/>
      <c r="I22" s="159"/>
      <c r="J22" s="623" t="s">
        <v>139</v>
      </c>
      <c r="K22" s="159"/>
      <c r="L22" s="159"/>
      <c r="M22" s="159"/>
      <c r="N22" s="159"/>
      <c r="O22" s="159"/>
      <c r="P22" s="159"/>
      <c r="Q22" s="159"/>
      <c r="R22" s="159"/>
      <c r="S22" s="625"/>
    </row>
    <row r="23" spans="1:21" ht="18.75" customHeight="1">
      <c r="A23" s="1"/>
      <c r="B23" s="621" t="s">
        <v>140</v>
      </c>
      <c r="C23" s="159"/>
      <c r="D23" s="159"/>
      <c r="E23" s="159"/>
      <c r="F23" s="159"/>
      <c r="G23" s="159"/>
      <c r="H23" s="159"/>
      <c r="I23" s="159"/>
      <c r="J23" s="159"/>
      <c r="K23" s="159"/>
      <c r="L23" s="159"/>
      <c r="M23" s="159"/>
      <c r="N23" s="159"/>
      <c r="O23" s="159"/>
      <c r="P23" s="159"/>
      <c r="Q23" s="159"/>
      <c r="R23" s="159"/>
      <c r="S23" s="625"/>
    </row>
    <row r="24" spans="1:21" ht="18.75" customHeight="1">
      <c r="A24" s="1"/>
      <c r="B24" s="624" t="s">
        <v>141</v>
      </c>
      <c r="C24" s="159"/>
      <c r="D24" s="159"/>
      <c r="E24" s="159"/>
      <c r="F24" s="159"/>
      <c r="G24" s="159"/>
      <c r="H24" s="159"/>
      <c r="I24" s="159"/>
      <c r="J24" s="159"/>
      <c r="K24" s="159"/>
      <c r="L24" s="159"/>
      <c r="M24" s="159"/>
      <c r="N24" s="159"/>
      <c r="O24" s="159"/>
      <c r="P24" s="159"/>
      <c r="Q24" s="159"/>
      <c r="R24" s="159"/>
      <c r="S24" s="625"/>
    </row>
    <row r="25" spans="1:21" ht="18.75" customHeight="1">
      <c r="A25" s="1"/>
      <c r="B25" s="624" t="s">
        <v>142</v>
      </c>
      <c r="C25" s="159"/>
      <c r="D25" s="159"/>
      <c r="E25" s="159"/>
      <c r="F25" s="159"/>
      <c r="G25" s="159"/>
      <c r="H25" s="159"/>
      <c r="I25" s="159"/>
      <c r="J25" s="159"/>
      <c r="K25" s="159"/>
      <c r="L25" s="159"/>
      <c r="M25" s="159"/>
      <c r="N25" s="159"/>
      <c r="O25" s="159"/>
      <c r="P25" s="159"/>
      <c r="Q25" s="159"/>
      <c r="R25" s="159"/>
      <c r="S25" s="625"/>
    </row>
    <row r="26" spans="1:21" ht="18.75" customHeight="1">
      <c r="A26" s="1"/>
      <c r="B26" s="621" t="s">
        <v>143</v>
      </c>
      <c r="C26" s="159"/>
      <c r="D26" s="159"/>
      <c r="E26" s="159"/>
      <c r="F26" s="159"/>
      <c r="G26" s="159"/>
      <c r="H26" s="159"/>
      <c r="I26" s="159"/>
      <c r="J26" s="159"/>
      <c r="K26" s="159"/>
      <c r="L26" s="159"/>
      <c r="M26" s="159"/>
      <c r="N26" s="159"/>
      <c r="O26" s="159"/>
      <c r="P26" s="159"/>
      <c r="Q26" s="159"/>
      <c r="R26" s="159"/>
      <c r="S26" s="625"/>
    </row>
    <row r="27" spans="1:21" ht="18.75" customHeight="1">
      <c r="A27" s="1"/>
      <c r="B27" s="625"/>
      <c r="C27" s="625"/>
      <c r="D27" s="625"/>
      <c r="E27" s="625"/>
      <c r="F27" s="625"/>
      <c r="G27" s="625"/>
      <c r="H27" s="625"/>
      <c r="I27" s="625"/>
      <c r="J27" s="625"/>
      <c r="K27" s="625"/>
      <c r="L27" s="625"/>
      <c r="M27" s="625"/>
      <c r="N27" s="625"/>
      <c r="O27" s="625"/>
      <c r="P27" s="625"/>
      <c r="Q27" s="625"/>
      <c r="R27" s="625"/>
      <c r="S27" s="625"/>
    </row>
    <row r="28" spans="1:21" ht="18.75" customHeight="1">
      <c r="A28" s="1"/>
      <c r="B28" s="1"/>
      <c r="C28" s="1"/>
      <c r="D28" s="1"/>
      <c r="E28" s="1"/>
      <c r="F28" s="1"/>
      <c r="G28" s="1"/>
      <c r="H28" s="1"/>
      <c r="I28" s="1"/>
      <c r="J28" s="1"/>
      <c r="K28" s="1"/>
      <c r="L28" s="1"/>
      <c r="M28" s="1"/>
      <c r="N28" s="1"/>
      <c r="O28" s="1"/>
      <c r="P28" s="1"/>
      <c r="Q28" s="1"/>
      <c r="R28" s="1"/>
    </row>
    <row r="29" spans="1:21" ht="18.75" customHeight="1">
      <c r="A29" s="1"/>
      <c r="B29" s="1"/>
      <c r="C29" s="1"/>
      <c r="D29" s="1"/>
      <c r="E29" s="1"/>
      <c r="F29" s="1"/>
      <c r="G29" s="1"/>
      <c r="H29" s="1"/>
      <c r="I29" s="1"/>
      <c r="J29" s="1"/>
      <c r="K29" s="1"/>
      <c r="L29" s="1"/>
      <c r="M29" s="1"/>
      <c r="N29" s="1"/>
      <c r="O29" s="1"/>
      <c r="P29" s="1"/>
      <c r="Q29" s="1"/>
      <c r="R29" s="1"/>
    </row>
    <row r="30" spans="1:21" ht="18.75" customHeight="1">
      <c r="A30" s="1"/>
      <c r="B30" s="1"/>
      <c r="C30" s="1"/>
      <c r="D30" s="1"/>
      <c r="E30" s="1"/>
      <c r="F30" s="1"/>
      <c r="G30" s="1"/>
      <c r="H30" s="1"/>
      <c r="I30" s="1"/>
      <c r="J30" s="1"/>
      <c r="K30" s="1"/>
      <c r="L30" s="1"/>
      <c r="M30" s="1"/>
      <c r="N30" s="1"/>
      <c r="O30" s="1"/>
      <c r="P30" s="1"/>
      <c r="Q30" s="1"/>
      <c r="R30" s="1"/>
    </row>
    <row r="31" spans="1:21" ht="18.75" customHeight="1">
      <c r="A31" s="1"/>
      <c r="B31" s="1"/>
      <c r="C31" s="1"/>
      <c r="D31" s="1"/>
      <c r="E31" s="1"/>
      <c r="F31" s="1"/>
      <c r="G31" s="1"/>
      <c r="H31" s="1"/>
      <c r="I31" s="1"/>
      <c r="J31" s="1"/>
      <c r="K31" s="1"/>
      <c r="L31" s="1"/>
      <c r="M31" s="1"/>
      <c r="N31" s="1"/>
      <c r="O31" s="1"/>
      <c r="P31" s="1"/>
      <c r="Q31" s="1"/>
      <c r="R31" s="1"/>
    </row>
    <row r="32" spans="1:21" ht="18.75" customHeight="1">
      <c r="A32" s="1"/>
      <c r="B32" s="1"/>
      <c r="C32" s="1"/>
      <c r="D32" s="1"/>
      <c r="E32" s="1"/>
      <c r="F32" s="1"/>
      <c r="G32" s="1"/>
      <c r="H32" s="1"/>
      <c r="I32" s="1"/>
      <c r="J32" s="1"/>
      <c r="K32" s="1"/>
      <c r="L32" s="1"/>
      <c r="M32" s="1"/>
      <c r="N32" s="1"/>
      <c r="O32" s="1"/>
      <c r="P32" s="1"/>
      <c r="Q32" s="1"/>
      <c r="R32" s="1"/>
    </row>
    <row r="33" spans="1:18" ht="18.75" customHeight="1">
      <c r="A33" s="1"/>
      <c r="B33" s="1"/>
      <c r="C33" s="1"/>
      <c r="D33" s="1"/>
      <c r="E33" s="1"/>
      <c r="F33" s="1"/>
      <c r="G33" s="1"/>
      <c r="H33" s="1"/>
      <c r="I33" s="1"/>
      <c r="J33" s="1"/>
      <c r="K33" s="1"/>
      <c r="L33" s="1"/>
      <c r="M33" s="1"/>
      <c r="N33" s="1"/>
      <c r="O33" s="1"/>
      <c r="P33" s="1"/>
      <c r="Q33" s="1"/>
      <c r="R33" s="1"/>
    </row>
    <row r="34" spans="1:18" ht="18.75" customHeight="1">
      <c r="A34" s="1"/>
      <c r="B34" s="1"/>
      <c r="C34" s="1"/>
      <c r="D34" s="1"/>
      <c r="E34" s="1"/>
      <c r="F34" s="1"/>
      <c r="G34" s="1"/>
      <c r="H34" s="1"/>
      <c r="I34" s="1"/>
      <c r="J34" s="1"/>
      <c r="K34" s="1"/>
      <c r="L34" s="1"/>
      <c r="M34" s="1"/>
      <c r="N34" s="1"/>
      <c r="O34" s="1"/>
      <c r="P34" s="1"/>
      <c r="Q34" s="1"/>
      <c r="R34" s="1"/>
    </row>
    <row r="35" spans="1:18" ht="18.75" customHeight="1">
      <c r="A35" s="1"/>
      <c r="B35" s="1"/>
      <c r="C35" s="1"/>
      <c r="D35" s="1"/>
      <c r="E35" s="1"/>
      <c r="F35" s="1"/>
      <c r="G35" s="1"/>
      <c r="H35" s="1"/>
      <c r="I35" s="1"/>
      <c r="J35" s="1"/>
      <c r="K35" s="1"/>
      <c r="L35" s="1"/>
      <c r="M35" s="1"/>
      <c r="N35" s="1"/>
      <c r="O35" s="1"/>
      <c r="P35" s="1"/>
      <c r="Q35" s="1"/>
      <c r="R35" s="1"/>
    </row>
  </sheetData>
  <mergeCells count="25">
    <mergeCell ref="B4:D4"/>
    <mergeCell ref="R9:T9"/>
    <mergeCell ref="F4:H4"/>
    <mergeCell ref="N4:P4"/>
    <mergeCell ref="J5:L5"/>
    <mergeCell ref="R4:T4"/>
    <mergeCell ref="F5:H5"/>
    <mergeCell ref="B8:D8"/>
    <mergeCell ref="N5:P5"/>
    <mergeCell ref="J9:L9"/>
    <mergeCell ref="J4:L4"/>
    <mergeCell ref="B9:D9"/>
    <mergeCell ref="N9:P9"/>
    <mergeCell ref="F9:H9"/>
    <mergeCell ref="B18:T18"/>
    <mergeCell ref="B5:D5"/>
    <mergeCell ref="R5:T5"/>
    <mergeCell ref="P15:T15"/>
    <mergeCell ref="P14:T14"/>
    <mergeCell ref="F14:H14"/>
    <mergeCell ref="I14:N14"/>
    <mergeCell ref="P16:T16"/>
    <mergeCell ref="B15:E16"/>
    <mergeCell ref="F15:H16"/>
    <mergeCell ref="I15:N16"/>
  </mergeCells>
  <dataValidations disablePrompts="1" count="2">
    <dataValidation type="date" errorTitle="Invalid date" error="Please enter a valid date (e.g., 2/29/2026)." promptTitle="Report Month End" prompt="Type the month-end date you are reporting on (e.g., 2/29/2026)." sqref="C3" xr:uid="{00000000-0002-0000-0200-000000000000}">
      <formula1>DATE(2020,1,1)</formula1>
      <formula2>DATE(2100,12,31)</formula2>
    </dataValidation>
    <dataValidation type="date" errorTitle="Invalid date" error="Please enter a valid date." promptTitle="Report Month End" prompt="Type the month-end date you are reporting on." sqref="C3" xr:uid="{00000000-0002-0000-0200-000001000000}">
      <formula1>DATE(2020,1,1)</formula1>
      <formula2>DATE(2100,12,31)</formula2>
    </dataValidation>
  </dataValidations>
  <hyperlinks>
    <hyperlink ref="N21" r:id="rId1" display="https://intradiem2023.lightning.force.com/lightning/r/006V500000TwtWUIAZ/view" xr:uid="{47CCAA37-4F63-DB44-B8BB-5A34740DA33D}"/>
    <hyperlink ref="R21" r:id="rId2" display="https://intradiem2023.lightning.force.com/lightning/r/006V500000Pc86DIAR/view" xr:uid="{7E9BC786-0F72-1344-90BD-AC273E9E8F37}"/>
    <hyperlink ref="J21" r:id="rId3" display="https://intradiem2023.lightning.force.com/lightning/r/006V500000UBq0PIAT/view" xr:uid="{32F141E0-CC4C-0649-8656-6A817BD4E6AD}"/>
    <hyperlink ref="J22" r:id="rId4" display="https://intradiem2023.lightning.force.com/lightning/r/006V500000UBM5eIAH/view" xr:uid="{E305D3E1-879D-3144-901F-EA8E36E8F6A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4"/>
  <sheetViews>
    <sheetView showGridLines="0" topLeftCell="F1" zoomScaleNormal="100" workbookViewId="0">
      <selection activeCell="S6" sqref="S6"/>
    </sheetView>
  </sheetViews>
  <sheetFormatPr defaultColWidth="8.7109375" defaultRowHeight="15"/>
  <cols>
    <col min="1" max="1" width="4.140625" customWidth="1"/>
    <col min="2" max="2" width="9.42578125" customWidth="1"/>
    <col min="3" max="3" width="17.42578125" customWidth="1"/>
    <col min="4" max="4" width="3.7109375" customWidth="1"/>
    <col min="5" max="5" width="4.7109375" customWidth="1"/>
    <col min="6" max="6" width="14.42578125" bestFit="1" customWidth="1"/>
    <col min="7" max="7" width="16.7109375" customWidth="1"/>
    <col min="8" max="8" width="4.42578125" customWidth="1"/>
    <col min="9" max="9" width="4.140625" customWidth="1"/>
    <col min="10" max="10" width="14.28515625" bestFit="1" customWidth="1"/>
    <col min="11" max="11" width="16.7109375" customWidth="1"/>
    <col min="12" max="13" width="4.42578125" customWidth="1"/>
    <col min="14" max="14" width="11.7109375" bestFit="1" customWidth="1"/>
    <col min="15" max="15" width="17" customWidth="1"/>
    <col min="16" max="17" width="4.42578125" customWidth="1"/>
    <col min="18" max="18" width="11.140625" bestFit="1" customWidth="1"/>
    <col min="19" max="19" width="16.7109375" customWidth="1"/>
    <col min="20" max="20" width="4.7109375" customWidth="1"/>
  </cols>
  <sheetData>
    <row r="1" spans="1:22">
      <c r="A1" s="5"/>
      <c r="B1" s="5" t="s">
        <v>29</v>
      </c>
      <c r="C1" s="5"/>
      <c r="D1" s="5"/>
      <c r="E1" s="5"/>
      <c r="F1" s="5"/>
      <c r="G1" s="5"/>
      <c r="H1" s="5"/>
      <c r="I1" s="5"/>
      <c r="J1" s="5"/>
      <c r="K1" s="5"/>
      <c r="L1" s="5"/>
      <c r="M1" s="5"/>
      <c r="N1" s="5"/>
      <c r="O1" s="5"/>
      <c r="P1" s="5"/>
      <c r="Q1" s="5"/>
      <c r="R1" s="5"/>
      <c r="S1" s="5"/>
      <c r="T1" s="5"/>
      <c r="U1" s="5"/>
    </row>
    <row r="2" spans="1:22" ht="21" customHeight="1">
      <c r="A2" s="5"/>
      <c r="B2" s="7" t="s">
        <v>98</v>
      </c>
      <c r="C2" s="5"/>
      <c r="D2" s="5"/>
      <c r="E2" s="5"/>
      <c r="F2" s="5"/>
      <c r="G2" s="5"/>
      <c r="H2" s="5"/>
      <c r="I2" s="8"/>
      <c r="J2" s="5"/>
      <c r="K2" s="9" t="s">
        <v>99</v>
      </c>
      <c r="L2" s="5"/>
      <c r="M2" s="5"/>
      <c r="N2" s="8">
        <f>TOTAL!N2</f>
        <v>18</v>
      </c>
      <c r="O2" s="8" t="s">
        <v>100</v>
      </c>
      <c r="P2" s="5"/>
      <c r="Q2" s="5"/>
      <c r="R2" s="5"/>
      <c r="S2" s="5"/>
      <c r="T2" s="5"/>
      <c r="U2" s="5"/>
    </row>
    <row r="3" spans="1:22" s="1" customFormat="1" ht="21" customHeight="1">
      <c r="A3" s="6"/>
      <c r="B3" s="431" t="s">
        <v>101</v>
      </c>
      <c r="C3" s="419">
        <f>TOTAL!C3</f>
        <v>46234</v>
      </c>
      <c r="D3" s="420"/>
      <c r="E3" s="6"/>
      <c r="F3" s="6"/>
      <c r="G3" s="8"/>
      <c r="H3" s="8"/>
      <c r="I3" s="8"/>
      <c r="J3" s="8"/>
      <c r="K3" s="8"/>
      <c r="L3" s="6"/>
      <c r="M3" s="6"/>
      <c r="N3" s="6"/>
      <c r="O3" s="6"/>
      <c r="P3" s="6"/>
      <c r="Q3" s="10"/>
      <c r="R3" s="6"/>
      <c r="S3" s="6"/>
      <c r="T3" s="6"/>
      <c r="U3" s="6"/>
    </row>
    <row r="4" spans="1:22" s="1" customFormat="1" ht="18.75" customHeight="1">
      <c r="A4" s="6"/>
      <c r="B4" s="649" t="s">
        <v>102</v>
      </c>
      <c r="C4" s="663"/>
      <c r="D4" s="663"/>
      <c r="F4" s="649" t="s">
        <v>103</v>
      </c>
      <c r="G4" s="663"/>
      <c r="H4" s="663"/>
      <c r="I4" s="6"/>
      <c r="J4" s="649" t="s">
        <v>104</v>
      </c>
      <c r="K4" s="663"/>
      <c r="L4" s="663"/>
      <c r="M4" s="6"/>
      <c r="N4" s="649" t="s">
        <v>105</v>
      </c>
      <c r="O4" s="663"/>
      <c r="P4" s="663"/>
      <c r="Q4" s="10"/>
      <c r="R4" s="649" t="s">
        <v>106</v>
      </c>
      <c r="S4" s="663"/>
      <c r="T4" s="663"/>
    </row>
    <row r="5" spans="1:22" s="3" customFormat="1" ht="21" customHeight="1">
      <c r="A5" s="8"/>
      <c r="B5" s="650" t="s">
        <v>107</v>
      </c>
      <c r="C5" s="664"/>
      <c r="D5" s="664"/>
      <c r="F5" s="650" t="s">
        <v>107</v>
      </c>
      <c r="G5" s="664"/>
      <c r="H5" s="664"/>
      <c r="I5" s="8"/>
      <c r="J5" s="650" t="s">
        <v>107</v>
      </c>
      <c r="K5" s="664"/>
      <c r="L5" s="664"/>
      <c r="M5" s="8"/>
      <c r="N5" s="650" t="s">
        <v>107</v>
      </c>
      <c r="O5" s="664"/>
      <c r="P5" s="664"/>
      <c r="Q5" s="14"/>
      <c r="R5" s="650" t="s">
        <v>107</v>
      </c>
      <c r="S5" s="664"/>
      <c r="T5" s="664"/>
    </row>
    <row r="6" spans="1:22" ht="18" customHeight="1">
      <c r="A6" s="6"/>
      <c r="B6" s="424" t="s">
        <v>6</v>
      </c>
      <c r="C6" s="426">
        <f>SUMIFS('Event Spend Raw'!$D$2:$D$995,'Event Spend Raw'!$G$2:$G$995,"&gt;="&amp;DATE(YEAR($C$3),MONTH($C$3),1),'Event Spend Raw'!$G$2:$G$995,"&lt;="&amp;EOMONTH($C$3,0))</f>
        <v>0</v>
      </c>
      <c r="D6" s="424"/>
      <c r="F6" s="424" t="s">
        <v>8</v>
      </c>
      <c r="G6" s="561">
        <f>COUNTIFS('Cold outreach data'!$K$2:$K$251,"Event",'Cold outreach data'!$G$2:$G$251,"Yes",'Cold outreach data'!$C$2:$C$251,"&gt;="&amp;DATE(YEAR($C$3),MONTH($C$3),1),'Cold outreach data'!$C$2:$C$251,"&lt;="&amp;EOMONTH($C$3,0))</f>
        <v>0</v>
      </c>
      <c r="H6" s="424"/>
      <c r="I6" s="11"/>
      <c r="J6" s="424" t="s">
        <v>108</v>
      </c>
      <c r="K6" s="426">
        <f>COUNTIFS('Opps Created'!$O:$O,$B$1,'Opps Created'!$G:$G,"&gt;="&amp;EOMONTH($C$3,-1)+1,'Opps Created'!$G:$G,"&lt;="&amp;EOMONTH($C$3,0))</f>
        <v>2</v>
      </c>
      <c r="L6" s="424"/>
      <c r="M6" s="11"/>
      <c r="N6" s="424" t="s">
        <v>109</v>
      </c>
      <c r="O6" s="426">
        <f>SUMIFS(
'Stage History'!$S:$S,
'Stage History'!$O:$O,$B$1,
'Stage History'!$P:$P,"&gt;="&amp;EOMONTH($C$3,-1)+1,
'Stage History'!$P:$P,"&lt;"&amp;EOMONTH($C$3,0)+1
)</f>
        <v>1</v>
      </c>
      <c r="P6" s="424"/>
      <c r="Q6" s="10"/>
      <c r="R6" s="424" t="s">
        <v>110</v>
      </c>
      <c r="S6" s="426">
        <f>SUMIFS('Stage History'!$T:$T,'Stage History'!$O:$O,"Events",'Stage History'!$P:$P,"&gt;="&amp;EOMONTH($C$3,-1)+1,'Stage History'!$P:$P,"&lt;"&amp;EOMONTH($C$3,0)+1)</f>
        <v>0</v>
      </c>
      <c r="T6" s="424"/>
    </row>
    <row r="7" spans="1:22" ht="18" customHeight="1">
      <c r="A7" s="6"/>
      <c r="B7" s="424" t="s">
        <v>7</v>
      </c>
      <c r="C7" s="426">
        <f>SUMIFS('Event Spend Raw'!$E$2:$E$995,'Event Spend Raw'!$G$2:$G$995,"&gt;="&amp;DATE(YEAR($C$3),MONTH($C$3),1),'Event Spend Raw'!$G$2:$G$995,"&lt;="&amp;EOMONTH($C$3,0))</f>
        <v>0</v>
      </c>
      <c r="D7" s="4"/>
      <c r="F7" s="424" t="s">
        <v>111</v>
      </c>
      <c r="G7" s="430">
        <f>IFERROR(G6/C6,0)</f>
        <v>0</v>
      </c>
      <c r="H7" s="4"/>
      <c r="I7" s="11"/>
      <c r="J7" s="424" t="s">
        <v>125</v>
      </c>
      <c r="K7" s="427">
        <f>SUMIFS('Opps Created'!$E:$E,'Opps Created'!$O:$O,$B$1,'Opps Created'!$G:$G,"&gt;="&amp;EOMONTH($C$3,-1)+1,'Opps Created'!$G:$G,"&lt;="&amp;EOMONTH($C$3,0))</f>
        <v>2234880</v>
      </c>
      <c r="L7" s="424"/>
      <c r="M7" s="11"/>
      <c r="N7" s="424" t="s">
        <v>125</v>
      </c>
      <c r="O7" s="427">
        <f>SUMIFS('Stage History'!$K:$K,'Stage History'!$O:$O,$B$1,'Stage History'!$S:$S,1,'Stage History'!$P:$P,"&gt;="&amp;EOMONTH($C$3,-1)+1,
'Stage History'!$P:$P,"&lt;"&amp;EOMONTH($C$3,0)+1
)</f>
        <v>0</v>
      </c>
      <c r="P7" s="424"/>
      <c r="Q7" s="10"/>
      <c r="R7" s="424" t="s">
        <v>112</v>
      </c>
      <c r="S7" s="427">
        <f>SUMIFS('Stage History'!$L:$L,'Stage History'!$O:$O,"Events",'Stage History'!$T:$T,1,'Stage History'!$P:$P,"&gt;="&amp;EOMONTH($C$3,-1)+1,'Stage History'!$P:$P,"&lt;"&amp;EOMONTH($C$3,0)+1)</f>
        <v>0</v>
      </c>
      <c r="T7" s="424"/>
    </row>
    <row r="8" spans="1:22" s="3" customFormat="1" ht="21" customHeight="1">
      <c r="A8" s="8"/>
      <c r="B8" s="650"/>
      <c r="C8" s="664"/>
      <c r="D8" s="664"/>
      <c r="F8" s="4"/>
      <c r="G8" s="4"/>
      <c r="H8" s="4"/>
      <c r="I8" s="8"/>
      <c r="J8" s="424" t="s">
        <v>112</v>
      </c>
      <c r="K8" s="427">
        <f>SUMIFS('Opps Created'!$M:$M,'Opps Created'!$O:$O,$B$1,'Opps Created'!$G:$G,"&gt;="&amp;EOMONTH($C$3,-1)+1,'Opps Created'!$G:$G,"&lt;="&amp;EOMONTH($C$3,0))</f>
        <v>2234880</v>
      </c>
      <c r="L8" s="4"/>
      <c r="M8" s="8"/>
      <c r="N8" s="424" t="s">
        <v>112</v>
      </c>
      <c r="O8" s="427">
        <f>SUMIFS('Stage History'!$L:$L,'Stage History'!$O:$O,$B$1,'Stage History'!$S:$S,1,'Stage History'!$P:$P,"&gt;="&amp;EOMONTH($C$3,-1)+1,
'Stage History'!$P:$P,"&lt;"&amp;EOMONTH($C$3,0)+1
)</f>
        <v>0</v>
      </c>
      <c r="P8" s="4"/>
      <c r="Q8" s="14"/>
      <c r="R8" s="424"/>
      <c r="S8" s="428"/>
      <c r="T8" s="4"/>
    </row>
    <row r="9" spans="1:22" s="3" customFormat="1" ht="21" customHeight="1">
      <c r="A9" s="8"/>
      <c r="B9" s="650" t="s">
        <v>114</v>
      </c>
      <c r="C9" s="664"/>
      <c r="D9" s="664"/>
      <c r="F9" s="650" t="s">
        <v>114</v>
      </c>
      <c r="G9" s="664"/>
      <c r="H9" s="664"/>
      <c r="I9" s="8"/>
      <c r="J9" s="650" t="s">
        <v>114</v>
      </c>
      <c r="K9" s="664"/>
      <c r="L9" s="664"/>
      <c r="M9" s="8"/>
      <c r="N9" s="650" t="s">
        <v>114</v>
      </c>
      <c r="O9" s="664"/>
      <c r="P9" s="664"/>
      <c r="Q9" s="14"/>
      <c r="R9" s="650" t="s">
        <v>114</v>
      </c>
      <c r="S9" s="664"/>
      <c r="T9" s="664"/>
    </row>
    <row r="10" spans="1:22" s="3" customFormat="1" ht="21" customHeight="1">
      <c r="A10" s="8"/>
      <c r="B10" s="424" t="s">
        <v>6</v>
      </c>
      <c r="C10" s="426">
        <f>SUMIFS('Event Spend Raw'!$D$2:$D$995,'Event Spend Raw'!$G$2:$G$995,"&gt;="&amp;EDATE(DATE(YEAR($C$3),MONTH($C$3),1),-($N$2-1)),'Event Spend Raw'!$G$2:$G$995,"&lt;="&amp;EOMONTH($C$3,0))</f>
        <v>471</v>
      </c>
      <c r="D10" s="424"/>
      <c r="F10" s="424" t="s">
        <v>8</v>
      </c>
      <c r="G10" s="561">
        <f>COUNTIFS('Cold outreach data'!$K$2:$K$251,"Event",'Cold outreach data'!$G$2:$G$251,"Yes",'Cold outreach data'!$C$2:$C$251,"&gt;="&amp;EDATE(DATE(YEAR($C$3),MONTH($C$3),1),-($N$2-1)),'Cold outreach data'!$C$2:$C$251,"&lt;="&amp;EOMONTH($C$3,0))</f>
        <v>34</v>
      </c>
      <c r="H10" s="424"/>
      <c r="I10" s="8"/>
      <c r="J10" s="424" t="s">
        <v>108</v>
      </c>
      <c r="K10" s="426">
        <f>COUNTIFS('Opps Created'!$O:$O,$B$1,'Opps Created'!$G:$G,"&gt;="&amp;EDATE(EOMONTH($C$3,-1)+1,-($N$2-1)),'Opps Created'!$G:$G,"&lt;="&amp;EOMONTH($C$3,0))</f>
        <v>30</v>
      </c>
      <c r="L10" s="424"/>
      <c r="M10" s="8"/>
      <c r="N10" s="424" t="s">
        <v>144</v>
      </c>
      <c r="O10" s="426">
        <f>COUNTIFS(
'Opps Created'!$O:$O,$B$1,
'Opps Created'!$Q:$Q,1
)</f>
        <v>4</v>
      </c>
      <c r="P10" s="4"/>
      <c r="Q10" s="14"/>
      <c r="R10" s="424" t="s">
        <v>110</v>
      </c>
      <c r="S10" s="426">
        <f>SUMIFS('Stage History'!$T:$T,'Stage History'!$O:$O,"Events",'Stage History'!$P:$P,"&gt;="&amp;EOMONTH($C$3,-$N$2)+1,
'Stage History'!$P:$P,"&lt;"&amp;EOMONTH($C$3,0)+1
)</f>
        <v>0</v>
      </c>
      <c r="T10" s="4"/>
    </row>
    <row r="11" spans="1:22" s="3" customFormat="1" ht="21" customHeight="1">
      <c r="A11" s="8"/>
      <c r="B11" s="424" t="s">
        <v>7</v>
      </c>
      <c r="C11" s="426">
        <f>SUMIFS('Event Spend Raw'!$E$2:$E$995,'Event Spend Raw'!$G$2:$G$995,"&gt;="&amp;EDATE(DATE(YEAR($C$3),MONTH($C$3),1),-($N$2-1)),'Event Spend Raw'!$G$2:$G$995,"&lt;="&amp;EOMONTH($C$3,0))</f>
        <v>331</v>
      </c>
      <c r="D11" s="4"/>
      <c r="F11" s="424" t="s">
        <v>111</v>
      </c>
      <c r="G11" s="430">
        <f>IFERROR(G10/C10,0)</f>
        <v>7.2186836518046707E-2</v>
      </c>
      <c r="H11" s="4"/>
      <c r="I11" s="8"/>
      <c r="J11" s="424" t="s">
        <v>125</v>
      </c>
      <c r="K11" s="427">
        <f>SUMIFS('Opps Created'!$E:$E,'Opps Created'!$O:$O,$B$1,'Opps Created'!$G:$G,"&gt;="&amp;EDATE(EOMONTH($C$3,-1)+1,-($N$2-1)),'Opps Created'!$G:$G,"&lt;="&amp;EOMONTH($C$3,0))</f>
        <v>9920447.5999999996</v>
      </c>
      <c r="L11" s="424"/>
      <c r="M11" s="8"/>
      <c r="N11" s="424" t="s">
        <v>125</v>
      </c>
      <c r="O11" s="427">
        <f>SUMIFS(
'Opps Created'!$E:$E,
'Opps Created'!$O:$O,$B$1,
'Opps Created'!$Q:$Q,1,
'Opps Created'!$R:$R,0
)</f>
        <v>1118283.8</v>
      </c>
      <c r="P11" s="4"/>
      <c r="Q11" s="14"/>
      <c r="R11" s="424" t="s">
        <v>112</v>
      </c>
      <c r="S11" s="427">
        <f>SUMIFS('Stage History'!$L:$L,'Stage History'!$O:$O,"Events",'Stage History'!$T:$T,1,'Stage History'!$P:$P,"&gt;="&amp;EOMONTH($C$3,-$N$2)+1,
'Stage History'!$P:$P,"&lt;"&amp;EOMONTH($C$3,0)+1
)</f>
        <v>0</v>
      </c>
      <c r="T11" s="4"/>
    </row>
    <row r="12" spans="1:22" ht="18.75" customHeight="1">
      <c r="A12" s="6"/>
      <c r="B12" s="424"/>
      <c r="C12" s="421"/>
      <c r="D12" s="4"/>
      <c r="E12" s="3"/>
      <c r="F12" s="424"/>
      <c r="G12" s="421"/>
      <c r="H12" s="4"/>
      <c r="I12" s="8"/>
      <c r="J12" s="424" t="s">
        <v>112</v>
      </c>
      <c r="K12" s="427">
        <f>SUMIFS('Opps Created'!$M:$M,'Opps Created'!$O:$O,$B$1,'Opps Created'!$G:$G,"&gt;="&amp;EDATE(EOMONTH($C$3,-1)+1,-($N$2-1)),'Opps Created'!$G:$G,"&lt;="&amp;EOMONTH($C$3,0))</f>
        <v>7134407.5999999996</v>
      </c>
      <c r="L12" s="4"/>
      <c r="M12" s="8"/>
      <c r="N12" s="424" t="s">
        <v>112</v>
      </c>
      <c r="O12" s="427">
        <f>SUMIFS(
'Opps Created'!$M:$M,
'Opps Created'!$O:$O,$B$1,
'Opps Created'!$Q:$Q,1,
'Opps Created'!$R:$R,0
)</f>
        <v>720622.8</v>
      </c>
      <c r="P12" s="4"/>
      <c r="Q12" s="14"/>
      <c r="R12" s="424" t="s">
        <v>116</v>
      </c>
      <c r="S12" s="428">
        <f>S10/K10</f>
        <v>0</v>
      </c>
      <c r="T12" s="4"/>
      <c r="U12" s="5"/>
      <c r="V12" s="5"/>
    </row>
    <row r="13" spans="1:22" ht="26.25" customHeight="1">
      <c r="A13" s="6"/>
      <c r="B13" s="6"/>
      <c r="C13" s="6"/>
      <c r="D13" s="6"/>
      <c r="E13" s="6"/>
      <c r="F13" s="6"/>
      <c r="G13" s="6"/>
      <c r="H13" s="6"/>
      <c r="I13" s="6"/>
      <c r="J13" s="6"/>
      <c r="K13" s="6"/>
      <c r="L13" s="6"/>
      <c r="M13" s="6"/>
      <c r="N13" s="6"/>
      <c r="O13" s="6"/>
      <c r="P13" s="6"/>
      <c r="Q13" s="10"/>
      <c r="R13" s="6"/>
      <c r="S13" s="5"/>
      <c r="T13" s="5"/>
      <c r="U13" s="5"/>
    </row>
    <row r="14" spans="1:22" ht="26.25" customHeight="1">
      <c r="A14" s="6"/>
      <c r="B14" s="12" t="str">
        <f>TEXT(C3,"mmmm-yy")&amp;" Spend"</f>
        <v>July-26 Spend</v>
      </c>
      <c r="C14" s="2"/>
      <c r="D14" s="2"/>
      <c r="E14" s="2"/>
      <c r="F14" s="656">
        <f>SUMIFS('Event Spend Raw'!$C:$C,'Event Spend Raw'!$G:$G,"&gt;="&amp;EOMONTH($C$3,-1)+1,'Event Spend Raw'!$G:$G,"&lt;"&amp;EOMONTH($C$3,0)+1)</f>
        <v>5000</v>
      </c>
      <c r="G14" s="656"/>
      <c r="H14" s="656"/>
      <c r="I14" s="661" t="s">
        <v>118</v>
      </c>
      <c r="J14" s="661"/>
      <c r="K14" s="661"/>
      <c r="L14" s="661"/>
      <c r="M14" s="661"/>
      <c r="N14" s="661"/>
      <c r="O14" s="13">
        <f>IFERROR(K8/F14,"")</f>
        <v>446.976</v>
      </c>
      <c r="P14" s="653" t="s">
        <v>119</v>
      </c>
      <c r="Q14" s="653"/>
      <c r="R14" s="653"/>
      <c r="S14" s="653"/>
      <c r="T14" s="653"/>
      <c r="U14" s="5"/>
    </row>
    <row r="15" spans="1:22" ht="26.25">
      <c r="A15" s="6"/>
      <c r="B15" s="654" t="s">
        <v>120</v>
      </c>
      <c r="C15" s="654"/>
      <c r="D15" s="654"/>
      <c r="E15" s="654"/>
      <c r="F15" s="657">
        <f>SUMIFS(
'Event Spend Raw'!$C:$C,
'Event Spend Raw'!$G:$G,"&gt;="&amp;EDATE(EOMONTH($C$3,-1)+1,-($N$2-1)),
'Event Spend Raw'!$G:$G,"&lt;"&amp;EOMONTH($C$3,0)+1
)</f>
        <v>829384</v>
      </c>
      <c r="G15" s="657"/>
      <c r="H15" s="657"/>
      <c r="I15" s="659" t="s">
        <v>118</v>
      </c>
      <c r="J15" s="659"/>
      <c r="K15" s="659"/>
      <c r="L15" s="659"/>
      <c r="M15" s="659"/>
      <c r="N15" s="659"/>
      <c r="O15" s="473">
        <f>K12/F15</f>
        <v>8.6020559837180368</v>
      </c>
      <c r="P15" s="652" t="s">
        <v>119</v>
      </c>
      <c r="Q15" s="652"/>
      <c r="R15" s="652"/>
      <c r="S15" s="652"/>
      <c r="T15" s="652"/>
      <c r="U15" s="5"/>
    </row>
    <row r="16" spans="1:22" ht="26.25">
      <c r="A16" s="6"/>
      <c r="B16" s="655"/>
      <c r="C16" s="655"/>
      <c r="D16" s="655"/>
      <c r="E16" s="655"/>
      <c r="F16" s="658"/>
      <c r="G16" s="658"/>
      <c r="H16" s="658"/>
      <c r="I16" s="660"/>
      <c r="J16" s="660"/>
      <c r="K16" s="660"/>
      <c r="L16" s="660"/>
      <c r="M16" s="660"/>
      <c r="N16" s="660"/>
      <c r="O16" s="474">
        <f>ROUND(O12/F15,1)</f>
        <v>0.9</v>
      </c>
      <c r="P16" s="652" t="s">
        <v>121</v>
      </c>
      <c r="Q16" s="652"/>
      <c r="R16" s="652"/>
      <c r="S16" s="652"/>
      <c r="T16" s="652"/>
      <c r="U16" s="5"/>
    </row>
    <row r="17" spans="1:21" ht="24" customHeight="1">
      <c r="A17" s="6"/>
      <c r="B17" s="651" t="s">
        <v>145</v>
      </c>
      <c r="C17" s="662"/>
      <c r="D17" s="662"/>
      <c r="E17" s="662"/>
      <c r="F17" s="662"/>
      <c r="G17" s="662"/>
      <c r="H17" s="662"/>
      <c r="I17" s="662"/>
      <c r="J17" s="662"/>
      <c r="K17" s="662"/>
      <c r="L17" s="662"/>
      <c r="M17" s="662"/>
      <c r="N17" s="662"/>
      <c r="O17" s="662"/>
      <c r="P17" s="662"/>
      <c r="Q17" s="662"/>
      <c r="R17" s="662"/>
      <c r="S17" s="662"/>
      <c r="T17" s="662"/>
      <c r="U17" s="5"/>
    </row>
    <row r="18" spans="1:21" ht="18.75" customHeight="1">
      <c r="A18" s="6"/>
      <c r="B18" s="6"/>
      <c r="C18" s="6"/>
      <c r="D18" s="6"/>
      <c r="E18" s="6"/>
      <c r="F18" s="6"/>
      <c r="G18" s="6"/>
      <c r="H18" s="6"/>
      <c r="I18" s="6"/>
      <c r="J18" s="6"/>
      <c r="K18" s="6"/>
      <c r="L18" s="6"/>
      <c r="M18" s="6"/>
      <c r="N18" s="6"/>
      <c r="O18" s="575">
        <f>(S11+(O11*0.55))/F15</f>
        <v>0.74158181252592292</v>
      </c>
      <c r="P18" s="6"/>
      <c r="Q18" s="6"/>
      <c r="R18" s="6"/>
      <c r="S18" s="5"/>
      <c r="T18" s="5"/>
      <c r="U18" s="5"/>
    </row>
    <row r="19" spans="1:21" ht="18.75" customHeight="1">
      <c r="A19" s="6"/>
      <c r="B19" s="6"/>
      <c r="C19" s="6"/>
      <c r="D19" s="6"/>
      <c r="E19" s="6"/>
      <c r="F19" s="6"/>
      <c r="G19" s="6"/>
      <c r="H19" s="6"/>
      <c r="I19" s="6"/>
      <c r="J19" s="6"/>
      <c r="K19" s="6"/>
      <c r="L19" s="6"/>
      <c r="M19" s="6"/>
      <c r="N19" s="6"/>
      <c r="O19" s="6"/>
      <c r="P19" s="6"/>
      <c r="Q19" s="6"/>
      <c r="R19" s="6"/>
      <c r="S19" s="5"/>
      <c r="T19" s="5"/>
      <c r="U19" s="5"/>
    </row>
    <row r="20" spans="1:21" ht="18.75" customHeight="1">
      <c r="A20" s="6"/>
      <c r="B20" s="6"/>
      <c r="C20" s="6"/>
      <c r="D20" s="6"/>
      <c r="E20" s="6"/>
      <c r="F20" s="6"/>
      <c r="G20" s="6"/>
      <c r="H20" s="6"/>
      <c r="I20" s="6"/>
      <c r="J20" s="6"/>
      <c r="K20" s="6"/>
      <c r="L20" s="6"/>
      <c r="M20" s="6"/>
      <c r="N20" s="6"/>
      <c r="O20" s="6"/>
      <c r="P20" s="6"/>
      <c r="Q20" s="6"/>
      <c r="R20" s="6"/>
      <c r="S20" s="5"/>
      <c r="T20" s="5"/>
      <c r="U20" s="5"/>
    </row>
    <row r="21" spans="1:21" ht="18.75" customHeight="1">
      <c r="A21" s="1"/>
      <c r="B21" s="1"/>
      <c r="C21" s="1"/>
      <c r="D21" s="1"/>
      <c r="E21" s="1"/>
      <c r="F21" s="1"/>
      <c r="G21" s="1"/>
      <c r="H21" s="1"/>
      <c r="I21" s="1"/>
      <c r="J21" s="1"/>
      <c r="K21" s="1"/>
      <c r="L21" s="1"/>
      <c r="M21" s="1"/>
      <c r="N21" s="1"/>
      <c r="O21" s="1"/>
      <c r="P21" s="1"/>
      <c r="Q21" s="1"/>
      <c r="R21" s="1"/>
    </row>
    <row r="22" spans="1:21" ht="18.75" customHeight="1">
      <c r="A22" s="1"/>
      <c r="B22" s="1"/>
      <c r="C22" s="1"/>
      <c r="D22" s="1"/>
      <c r="E22" s="1"/>
      <c r="F22" s="1"/>
      <c r="G22" s="1"/>
      <c r="H22" s="1"/>
      <c r="I22" s="1"/>
      <c r="J22" s="1"/>
      <c r="K22" s="1"/>
      <c r="L22" s="1"/>
      <c r="M22" s="1"/>
      <c r="N22" s="1"/>
      <c r="O22" s="1"/>
      <c r="P22" s="1"/>
      <c r="Q22" s="1"/>
      <c r="R22" s="1"/>
    </row>
    <row r="23" spans="1:21" ht="18.75" customHeight="1">
      <c r="A23" s="1"/>
      <c r="B23" s="1"/>
      <c r="C23" s="1"/>
      <c r="D23" s="1"/>
      <c r="E23" s="1"/>
      <c r="F23" s="1"/>
      <c r="G23" s="1"/>
      <c r="H23" s="1"/>
      <c r="I23" s="1"/>
      <c r="J23" s="1"/>
      <c r="K23" s="1"/>
      <c r="L23" s="1"/>
      <c r="M23" s="1"/>
      <c r="N23" s="1"/>
      <c r="O23" s="1"/>
      <c r="P23" s="1"/>
      <c r="Q23" s="1"/>
      <c r="R23" s="1"/>
    </row>
    <row r="24" spans="1:21" ht="18.75" customHeight="1">
      <c r="A24" s="1"/>
      <c r="B24" s="1"/>
      <c r="C24" s="1"/>
      <c r="D24" s="1"/>
      <c r="E24" s="1"/>
      <c r="F24" s="1"/>
      <c r="G24" s="1"/>
      <c r="H24" s="1"/>
      <c r="I24" s="1"/>
      <c r="J24" s="1"/>
      <c r="K24" s="1"/>
      <c r="L24" s="1"/>
      <c r="M24" s="1"/>
      <c r="N24" s="1"/>
      <c r="O24" s="1"/>
      <c r="P24" s="1"/>
      <c r="Q24" s="1"/>
      <c r="R24" s="1"/>
    </row>
    <row r="25" spans="1:21" ht="18.75" customHeight="1">
      <c r="A25" s="1"/>
      <c r="B25" s="1"/>
      <c r="C25" s="1"/>
      <c r="D25" s="1"/>
      <c r="E25" s="1"/>
      <c r="F25" s="1"/>
      <c r="G25" s="1"/>
      <c r="H25" s="1"/>
      <c r="I25" s="1"/>
      <c r="J25" s="1"/>
      <c r="K25" s="1"/>
      <c r="L25" s="1"/>
      <c r="M25" s="1"/>
      <c r="N25" s="1"/>
      <c r="O25" s="1"/>
      <c r="P25" s="1"/>
      <c r="Q25" s="1"/>
      <c r="R25" s="1"/>
    </row>
    <row r="26" spans="1:21" ht="18.75" customHeight="1">
      <c r="A26" s="1"/>
      <c r="B26" s="1"/>
      <c r="C26" s="1"/>
      <c r="D26" s="1"/>
      <c r="E26" s="1"/>
      <c r="F26" s="1"/>
      <c r="G26" s="1"/>
      <c r="H26" s="1"/>
      <c r="I26" s="1"/>
      <c r="J26" s="1"/>
      <c r="K26" s="1"/>
      <c r="L26" s="1"/>
      <c r="M26" s="1"/>
      <c r="N26" s="1"/>
      <c r="O26" s="1"/>
      <c r="P26" s="1"/>
      <c r="Q26" s="1"/>
      <c r="R26" s="1"/>
    </row>
    <row r="27" spans="1:21" ht="18.75" customHeight="1">
      <c r="A27" s="1"/>
      <c r="B27" s="1"/>
      <c r="C27" s="1"/>
      <c r="D27" s="1"/>
      <c r="E27" s="1"/>
      <c r="F27" s="1"/>
      <c r="G27" s="1"/>
      <c r="H27" s="1"/>
      <c r="I27" s="1"/>
      <c r="J27" s="1"/>
      <c r="K27" s="1"/>
      <c r="L27" s="1"/>
      <c r="M27" s="1"/>
      <c r="N27" s="1"/>
      <c r="O27" s="1"/>
      <c r="P27" s="1"/>
      <c r="Q27" s="1"/>
      <c r="R27" s="1"/>
    </row>
    <row r="28" spans="1:21" ht="18.75" customHeight="1">
      <c r="A28" s="1"/>
      <c r="B28" s="1"/>
      <c r="C28" s="1"/>
      <c r="D28" s="1"/>
      <c r="E28" s="1"/>
      <c r="F28" s="1"/>
      <c r="G28" s="1"/>
      <c r="H28" s="1"/>
      <c r="I28" s="1"/>
      <c r="J28" s="1"/>
      <c r="K28" s="1"/>
      <c r="L28" s="1"/>
      <c r="M28" s="1"/>
      <c r="N28" s="1"/>
      <c r="O28" s="1"/>
      <c r="P28" s="1"/>
      <c r="Q28" s="1"/>
      <c r="R28" s="1"/>
    </row>
    <row r="29" spans="1:21" ht="18.75" customHeight="1">
      <c r="A29" s="1"/>
      <c r="B29" s="1"/>
      <c r="C29" s="1"/>
      <c r="D29" s="1"/>
      <c r="E29" s="1"/>
      <c r="F29" s="1"/>
      <c r="G29" s="1"/>
      <c r="H29" s="1"/>
      <c r="I29" s="1"/>
      <c r="J29" s="1"/>
      <c r="K29" s="1"/>
      <c r="L29" s="1"/>
      <c r="M29" s="1"/>
      <c r="N29" s="1"/>
      <c r="O29" s="1"/>
      <c r="P29" s="1"/>
      <c r="Q29" s="1"/>
      <c r="R29" s="1"/>
    </row>
    <row r="30" spans="1:21" ht="18.75" customHeight="1">
      <c r="A30" s="1"/>
      <c r="B30" s="1"/>
      <c r="C30" s="1"/>
      <c r="D30" s="1"/>
      <c r="E30" s="1"/>
      <c r="F30" s="1"/>
      <c r="G30" s="1"/>
      <c r="H30" s="1"/>
      <c r="I30" s="1"/>
      <c r="J30" s="1"/>
      <c r="K30" s="1"/>
      <c r="L30" s="1"/>
      <c r="M30" s="1"/>
      <c r="N30" s="1"/>
      <c r="O30" s="1"/>
      <c r="P30" s="1"/>
      <c r="Q30" s="1"/>
      <c r="R30" s="1"/>
    </row>
    <row r="31" spans="1:21" ht="18.75" customHeight="1">
      <c r="A31" s="1"/>
      <c r="B31" s="1"/>
      <c r="C31" s="1"/>
      <c r="D31" s="1"/>
      <c r="E31" s="1"/>
      <c r="F31" s="1"/>
      <c r="G31" s="1"/>
      <c r="H31" s="1"/>
      <c r="I31" s="1"/>
      <c r="J31" s="1"/>
      <c r="K31" s="1"/>
      <c r="L31" s="1"/>
      <c r="M31" s="1"/>
      <c r="N31" s="1"/>
      <c r="O31" s="1"/>
      <c r="P31" s="1"/>
      <c r="Q31" s="1"/>
      <c r="R31" s="1"/>
    </row>
    <row r="32" spans="1:21" ht="18.75" customHeight="1">
      <c r="A32" s="1"/>
      <c r="B32" s="1"/>
      <c r="C32" s="1"/>
      <c r="D32" s="1"/>
      <c r="E32" s="1"/>
      <c r="F32" s="1"/>
      <c r="G32" s="1"/>
      <c r="H32" s="1"/>
      <c r="I32" s="1"/>
      <c r="J32" s="1"/>
      <c r="K32" s="1"/>
      <c r="L32" s="1"/>
      <c r="M32" s="1"/>
      <c r="N32" s="1"/>
      <c r="O32" s="1"/>
      <c r="P32" s="1"/>
      <c r="Q32" s="1"/>
      <c r="R32" s="1"/>
    </row>
    <row r="33" spans="1:18" ht="18.75" customHeight="1">
      <c r="A33" s="1"/>
      <c r="B33" s="1"/>
      <c r="C33" s="1"/>
      <c r="D33" s="1"/>
      <c r="E33" s="1"/>
      <c r="F33" s="1"/>
      <c r="G33" s="1"/>
      <c r="H33" s="1"/>
      <c r="I33" s="1"/>
      <c r="J33" s="1"/>
      <c r="K33" s="1"/>
      <c r="L33" s="1"/>
      <c r="M33" s="1"/>
      <c r="N33" s="1"/>
      <c r="O33" s="1"/>
      <c r="P33" s="1"/>
      <c r="Q33" s="1"/>
      <c r="R33" s="1"/>
    </row>
    <row r="34" spans="1:18" ht="18.75" customHeight="1">
      <c r="A34" s="1"/>
      <c r="B34" s="1"/>
      <c r="C34" s="1"/>
      <c r="D34" s="1"/>
      <c r="E34" s="1"/>
      <c r="F34" s="1"/>
      <c r="G34" s="1"/>
      <c r="H34" s="1"/>
      <c r="I34" s="1"/>
      <c r="J34" s="1"/>
      <c r="K34" s="1"/>
      <c r="L34" s="1"/>
      <c r="M34" s="1"/>
      <c r="N34" s="1"/>
      <c r="O34" s="1"/>
      <c r="P34" s="1"/>
      <c r="Q34" s="1"/>
      <c r="R34" s="1"/>
    </row>
  </sheetData>
  <mergeCells count="25">
    <mergeCell ref="B17:T17"/>
    <mergeCell ref="B9:D9"/>
    <mergeCell ref="N9:P9"/>
    <mergeCell ref="F9:H9"/>
    <mergeCell ref="P15:T15"/>
    <mergeCell ref="P14:T14"/>
    <mergeCell ref="F14:H14"/>
    <mergeCell ref="I14:N14"/>
    <mergeCell ref="B15:E16"/>
    <mergeCell ref="F15:H16"/>
    <mergeCell ref="I15:N16"/>
    <mergeCell ref="P16:T16"/>
    <mergeCell ref="R5:T5"/>
    <mergeCell ref="B4:D4"/>
    <mergeCell ref="R9:T9"/>
    <mergeCell ref="F4:H4"/>
    <mergeCell ref="N4:P4"/>
    <mergeCell ref="J5:L5"/>
    <mergeCell ref="R4:T4"/>
    <mergeCell ref="J9:L9"/>
    <mergeCell ref="F5:H5"/>
    <mergeCell ref="B8:D8"/>
    <mergeCell ref="N5:P5"/>
    <mergeCell ref="J4:L4"/>
    <mergeCell ref="B5:D5"/>
  </mergeCells>
  <dataValidations disablePrompts="1" count="2">
    <dataValidation type="date" errorTitle="Invalid date" error="Please enter a valid date (e.g., 2/29/2026)." promptTitle="Report Month End" prompt="Type the month-end date you are reporting on (e.g., 2/29/2026)." sqref="C3" xr:uid="{00000000-0002-0000-0300-000000000000}">
      <formula1>DATE(2020,1,1)</formula1>
      <formula2>DATE(2100,12,31)</formula2>
    </dataValidation>
    <dataValidation type="date" errorTitle="Invalid date" error="Please enter a valid date." promptTitle="Report Month End" prompt="Type the month-end date you are reporting on." sqref="C3" xr:uid="{00000000-0002-0000-0300-000001000000}">
      <formula1>DATE(2020,1,1)</formula1>
      <formula2>DATE(2100,12,31)</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34"/>
  <sheetViews>
    <sheetView showGridLines="0" topLeftCell="K2" zoomScale="140" zoomScaleNormal="140" workbookViewId="0">
      <selection activeCell="C6" sqref="C6"/>
    </sheetView>
  </sheetViews>
  <sheetFormatPr defaultColWidth="8.7109375" defaultRowHeight="15"/>
  <cols>
    <col min="1" max="1" width="4.140625" customWidth="1"/>
    <col min="2" max="2" width="5.7109375" customWidth="1"/>
    <col min="3" max="3" width="17.42578125" customWidth="1"/>
    <col min="4" max="4" width="3.7109375" customWidth="1"/>
    <col min="5" max="5" width="2.7109375" customWidth="1"/>
    <col min="6" max="6" width="15.140625" bestFit="1" customWidth="1"/>
    <col min="7" max="7" width="16.7109375" customWidth="1"/>
    <col min="8" max="8" width="4.42578125" customWidth="1"/>
    <col min="9" max="9" width="3" customWidth="1"/>
    <col min="10" max="10" width="14.28515625" bestFit="1" customWidth="1"/>
    <col min="11" max="11" width="16.7109375" customWidth="1"/>
    <col min="12" max="12" width="4.42578125" customWidth="1"/>
    <col min="13" max="13" width="2.7109375" customWidth="1"/>
    <col min="14" max="14" width="11.7109375" bestFit="1" customWidth="1"/>
    <col min="15" max="15" width="17" customWidth="1"/>
    <col min="16" max="16" width="4.42578125" customWidth="1"/>
    <col min="17" max="17" width="2.7109375" customWidth="1"/>
    <col min="18" max="18" width="11.140625" bestFit="1" customWidth="1"/>
    <col min="19" max="19" width="16.7109375" customWidth="1"/>
    <col min="20" max="20" width="6.42578125" customWidth="1"/>
    <col min="21" max="21" width="2.7109375" customWidth="1"/>
  </cols>
  <sheetData>
    <row r="1" spans="1:22">
      <c r="A1" s="5"/>
      <c r="B1" s="5" t="s">
        <v>30</v>
      </c>
      <c r="C1" s="5"/>
      <c r="D1" s="5"/>
      <c r="E1" s="5"/>
      <c r="F1" s="5"/>
      <c r="G1" s="5"/>
      <c r="H1" s="5"/>
      <c r="I1" s="5"/>
      <c r="J1" s="5"/>
      <c r="K1" s="5"/>
      <c r="L1" s="5"/>
      <c r="M1" s="5"/>
      <c r="N1" s="5"/>
      <c r="O1" s="5"/>
      <c r="P1" s="5"/>
      <c r="Q1" s="5"/>
      <c r="R1" s="5"/>
      <c r="S1" s="5"/>
      <c r="T1" s="5"/>
      <c r="U1" s="5"/>
    </row>
    <row r="2" spans="1:22" ht="21" customHeight="1">
      <c r="A2" s="5"/>
      <c r="B2" s="7" t="s">
        <v>98</v>
      </c>
      <c r="C2" s="5"/>
      <c r="D2" s="5"/>
      <c r="E2" s="5"/>
      <c r="F2" s="5"/>
      <c r="G2" s="5"/>
      <c r="H2" s="5"/>
      <c r="I2" s="8"/>
      <c r="J2" s="5"/>
      <c r="K2" s="9" t="s">
        <v>99</v>
      </c>
      <c r="L2" s="5"/>
      <c r="M2" s="5"/>
      <c r="N2" s="8">
        <f>TOTAL!N2</f>
        <v>18</v>
      </c>
      <c r="O2" s="8" t="s">
        <v>100</v>
      </c>
      <c r="P2" s="5"/>
      <c r="Q2" s="5"/>
      <c r="R2" s="5"/>
      <c r="S2" s="5"/>
      <c r="T2" s="5"/>
      <c r="U2" s="5"/>
    </row>
    <row r="3" spans="1:22" s="1" customFormat="1" ht="21" customHeight="1">
      <c r="A3" s="6"/>
      <c r="B3" s="431" t="s">
        <v>101</v>
      </c>
      <c r="C3" s="419">
        <f>TOTAL!C3</f>
        <v>46234</v>
      </c>
      <c r="D3" s="420"/>
      <c r="E3" s="6"/>
      <c r="F3" s="6"/>
      <c r="G3" s="8"/>
      <c r="H3" s="8"/>
      <c r="I3" s="8"/>
      <c r="J3" s="8"/>
      <c r="K3" s="8"/>
      <c r="L3" s="6"/>
      <c r="M3" s="6"/>
      <c r="N3" s="6"/>
      <c r="O3" s="6"/>
      <c r="P3" s="6"/>
      <c r="Q3" s="10"/>
      <c r="R3" s="6"/>
      <c r="S3" s="6"/>
      <c r="T3" s="6"/>
      <c r="U3" s="6"/>
    </row>
    <row r="4" spans="1:22" s="1" customFormat="1" ht="18.75" customHeight="1">
      <c r="A4" s="6"/>
      <c r="B4" s="649" t="s">
        <v>102</v>
      </c>
      <c r="C4" s="663"/>
      <c r="D4" s="663"/>
      <c r="F4" s="649" t="s">
        <v>103</v>
      </c>
      <c r="G4" s="663"/>
      <c r="H4" s="663"/>
      <c r="I4" s="6"/>
      <c r="J4" s="649" t="s">
        <v>104</v>
      </c>
      <c r="K4" s="663"/>
      <c r="L4" s="663"/>
      <c r="M4" s="6"/>
      <c r="N4" s="649" t="s">
        <v>105</v>
      </c>
      <c r="O4" s="663"/>
      <c r="P4" s="663"/>
      <c r="Q4" s="10"/>
      <c r="R4" s="649" t="s">
        <v>106</v>
      </c>
      <c r="S4" s="663"/>
      <c r="T4" s="663"/>
    </row>
    <row r="5" spans="1:22" s="3" customFormat="1" ht="21" customHeight="1">
      <c r="A5" s="8"/>
      <c r="B5" s="650" t="s">
        <v>107</v>
      </c>
      <c r="C5" s="664"/>
      <c r="D5" s="664"/>
      <c r="F5" s="650" t="s">
        <v>107</v>
      </c>
      <c r="G5" s="664"/>
      <c r="H5" s="664"/>
      <c r="I5" s="8"/>
      <c r="J5" s="650" t="s">
        <v>107</v>
      </c>
      <c r="K5" s="664"/>
      <c r="L5" s="664"/>
      <c r="M5" s="8"/>
      <c r="N5" s="650" t="s">
        <v>107</v>
      </c>
      <c r="O5" s="664"/>
      <c r="P5" s="664"/>
      <c r="Q5" s="14"/>
      <c r="R5" s="650" t="s">
        <v>107</v>
      </c>
      <c r="S5" s="664"/>
      <c r="T5" s="664"/>
    </row>
    <row r="6" spans="1:22" ht="18" customHeight="1">
      <c r="A6" s="6"/>
      <c r="B6" s="424" t="s">
        <v>6</v>
      </c>
      <c r="C6" s="561">
        <f>COUNTIFS('Cold outreach data'!$K$2:$K$251,"Cold",'Cold outreach data'!$C$2:$C$251,"&gt;="&amp;DATE(YEAR($C$3),MONTH($C$3),1),'Cold outreach data'!$C$2:$C$251,"&lt;="&amp;EOMONTH($C$3,0))</f>
        <v>6</v>
      </c>
      <c r="D6" s="424"/>
      <c r="F6" s="424" t="s">
        <v>8</v>
      </c>
      <c r="G6" s="561">
        <f>COUNTIFS('Cold outreach data'!$K$2:$K$251,"Cold",'Cold outreach data'!$G$2:$G$251,"Yes",'Cold outreach data'!$C$2:$C$251,"&gt;="&amp;DATE(YEAR($C$3),MONTH($C$3),1),'Cold outreach data'!$C$2:$C$251,"&lt;="&amp;EOMONTH($C$3,0))</f>
        <v>6</v>
      </c>
      <c r="H6" s="424"/>
      <c r="I6" s="11"/>
      <c r="J6" s="424" t="s">
        <v>108</v>
      </c>
      <c r="K6" s="426">
        <f>COUNTIFS('Opps Created'!$O:$O,$B$1,'Opps Created'!$G:$G,"&gt;="&amp;EOMONTH($C$3,-1)+1,'Opps Created'!$G:$G,"&lt;="&amp;EOMONTH($C$3,0))</f>
        <v>1</v>
      </c>
      <c r="L6" s="424"/>
      <c r="M6" s="11"/>
      <c r="N6" s="424" t="s">
        <v>109</v>
      </c>
      <c r="O6" s="426">
        <f>SUMIFS(
'Stage History'!$S:$S,
'Stage History'!$O:$O,$B$1,
'Stage History'!$P:$P,"&gt;="&amp;EOMONTH($C$3,-1)+1,
'Stage History'!$P:$P,"&lt;"&amp;EOMONTH($C$3,0)+1
)</f>
        <v>1</v>
      </c>
      <c r="P6" s="424"/>
      <c r="Q6" s="10"/>
      <c r="R6" s="424" t="s">
        <v>110</v>
      </c>
      <c r="S6" s="426">
        <f>SUMIFS('Stage History'!$T:$T,'Stage History'!$O:$O,"Cold",'Stage History'!$P:$P,"&gt;="&amp;EOMONTH($C$3,-1)+1,'Stage History'!$P:$P,"&lt;"&amp;EOMONTH($C$3,0)+1)</f>
        <v>0</v>
      </c>
      <c r="T6" s="424"/>
    </row>
    <row r="7" spans="1:22" ht="18" customHeight="1">
      <c r="A7" s="6"/>
      <c r="B7" s="424" t="s">
        <v>7</v>
      </c>
      <c r="C7" s="561">
        <f>SUMIFS('Cold outreach data'!$L$2:$L$251,'Cold outreach data'!$K$2:$K$251,"Cold",'Cold outreach data'!$C$2:$C$251,"&gt;="&amp;DATE(YEAR($C$3),MONTH($C$3),1),'Cold outreach data'!$C$2:$C$251,"&lt;="&amp;EOMONTH($C$3,0))</f>
        <v>6</v>
      </c>
      <c r="D7" s="4"/>
      <c r="F7" s="424" t="s">
        <v>111</v>
      </c>
      <c r="G7" s="430">
        <f>IFERROR(G6/C6,0)</f>
        <v>1</v>
      </c>
      <c r="H7" s="4"/>
      <c r="I7" s="11"/>
      <c r="J7" s="424" t="s">
        <v>125</v>
      </c>
      <c r="K7" s="427">
        <f>SUMIFS('Opps Created'!$E:$E,'Opps Created'!$O:$O,$B$1,'Opps Created'!$G:$G,"&gt;="&amp;EOMONTH($C$3,-1)+1,'Opps Created'!$G:$G,"&lt;="&amp;EOMONTH($C$3,0))</f>
        <v>240800</v>
      </c>
      <c r="L7" s="424"/>
      <c r="M7" s="11"/>
      <c r="N7" s="424" t="s">
        <v>125</v>
      </c>
      <c r="O7" s="427">
        <f>SUMIFS('Stage History'!$K:$K,'Stage History'!$O:$O,$B$1,'Stage History'!$S:$S,1,'Stage History'!$P:$P,"&gt;="&amp;EOMONTH($C$3,-1)+1,
'Stage History'!$P:$P,"&lt;"&amp;EOMONTH($C$3,0)+1
)</f>
        <v>757200</v>
      </c>
      <c r="P7" s="424"/>
      <c r="Q7" s="10"/>
      <c r="R7" s="424" t="s">
        <v>112</v>
      </c>
      <c r="S7" s="427">
        <f>SUMIFS('Stage History'!$L:$L,'Stage History'!$O:$O,"Cold",'Stage History'!$T:$T,1,'Stage History'!$P:$P,"&gt;="&amp;EOMONTH($C$3,-1)+1,'Stage History'!$P:$P,"&lt;"&amp;EOMONTH($C$3,0)+1)</f>
        <v>0</v>
      </c>
      <c r="T7" s="424"/>
    </row>
    <row r="8" spans="1:22" s="3" customFormat="1" ht="21" customHeight="1">
      <c r="A8" s="8"/>
      <c r="B8" s="650"/>
      <c r="C8" s="664"/>
      <c r="D8" s="664"/>
      <c r="F8" s="4"/>
      <c r="G8" s="4"/>
      <c r="H8" s="4"/>
      <c r="I8" s="8"/>
      <c r="J8" s="424" t="s">
        <v>112</v>
      </c>
      <c r="K8" s="427">
        <f>SUMIFS('Opps Created'!$M:$M,'Opps Created'!$O:$O,$B$1,'Opps Created'!$G:$G,"&gt;="&amp;EOMONTH($C$3,-1)+1,'Opps Created'!$G:$G,"&lt;="&amp;EOMONTH($C$3,0))</f>
        <v>100800</v>
      </c>
      <c r="L8" s="4"/>
      <c r="M8" s="8"/>
      <c r="N8" s="424" t="s">
        <v>112</v>
      </c>
      <c r="O8" s="427">
        <f>SUMIFS('Stage History'!$L:$L,'Stage History'!$O:$O,$B$1,'Stage History'!$S:$S,1,'Stage History'!$P:$P,"&gt;="&amp;EOMONTH($C$3,-1)+1,
'Stage History'!$P:$P,"&lt;"&amp;EOMONTH($C$3,0)+1
)</f>
        <v>607200</v>
      </c>
      <c r="P8" s="4"/>
      <c r="Q8" s="14"/>
      <c r="R8" s="424" t="s">
        <v>116</v>
      </c>
      <c r="S8" s="428"/>
      <c r="T8" s="4"/>
    </row>
    <row r="9" spans="1:22" s="3" customFormat="1" ht="21" customHeight="1">
      <c r="A9" s="8"/>
      <c r="B9" s="650" t="s">
        <v>114</v>
      </c>
      <c r="C9" s="664"/>
      <c r="D9" s="664"/>
      <c r="F9" s="650" t="s">
        <v>114</v>
      </c>
      <c r="G9" s="664"/>
      <c r="H9" s="664"/>
      <c r="I9" s="8"/>
      <c r="J9" s="650" t="s">
        <v>114</v>
      </c>
      <c r="K9" s="664"/>
      <c r="L9" s="664"/>
      <c r="M9" s="8"/>
      <c r="N9" s="650" t="s">
        <v>114</v>
      </c>
      <c r="O9" s="664"/>
      <c r="P9" s="664"/>
      <c r="Q9" s="14"/>
      <c r="R9" s="650" t="s">
        <v>114</v>
      </c>
      <c r="S9" s="664"/>
      <c r="T9" s="664"/>
    </row>
    <row r="10" spans="1:22" s="3" customFormat="1" ht="21" customHeight="1">
      <c r="A10" s="8"/>
      <c r="B10" s="424" t="s">
        <v>6</v>
      </c>
      <c r="C10" s="561">
        <f>COUNTIFS('Cold outreach data'!$K$2:$K$251,"Cold",'Cold outreach data'!$C$2:$C$251,"&gt;="&amp;EDATE(DATE(YEAR($C$3),MONTH($C$3),1),-($N$2-1)),'Cold outreach data'!$C$2:$C$251,"&lt;="&amp;EOMONTH($C$3,0))</f>
        <v>178</v>
      </c>
      <c r="D10" s="424"/>
      <c r="F10" s="424" t="s">
        <v>8</v>
      </c>
      <c r="G10" s="561">
        <f>COUNTIFS('Cold outreach data'!$K$2:$K$251,"Cold",'Cold outreach data'!$G$2:$G$251,"Yes",'Cold outreach data'!$C$2:$C$251,"&gt;="&amp;EDATE(DATE(YEAR($C$3),MONTH($C$3),1),-($N$2-1)),'Cold outreach data'!$C$2:$C$251,"&lt;="&amp;EOMONTH($C$3,0))</f>
        <v>141</v>
      </c>
      <c r="H10" s="424"/>
      <c r="I10" s="8"/>
      <c r="J10" s="424" t="s">
        <v>108</v>
      </c>
      <c r="K10" s="426">
        <f>COUNTIFS('Opps Created'!$O:$O,$B$1,'Opps Created'!$G:$G,"&gt;="&amp;EDATE(EOMONTH($C$3,-1)+1,-($N$2-1)),'Opps Created'!$G:$G,"&lt;="&amp;EOMONTH($C$3,0))</f>
        <v>27</v>
      </c>
      <c r="L10" s="424"/>
      <c r="M10" s="8"/>
      <c r="N10" s="424" t="s">
        <v>109</v>
      </c>
      <c r="O10" s="426">
        <f>COUNTIFS(
'Opps Created'!$O:$O,$B$1,
'Opps Created'!$Q:$Q,1
)</f>
        <v>2</v>
      </c>
      <c r="P10" s="4"/>
      <c r="Q10" s="14"/>
      <c r="R10" s="424" t="s">
        <v>110</v>
      </c>
      <c r="S10" s="426">
        <f>SUMIFS('Stage History'!$T:$T,'Stage History'!$O:$O,"Cold",'Stage History'!$P:$P,"&gt;="&amp;EDATE(EOMONTH($C$3,-1)+1,-($N$2-1)),'Stage History'!$P:$P,"&lt;="&amp;EOMONTH($C$3,0))</f>
        <v>4</v>
      </c>
      <c r="T10" s="4"/>
    </row>
    <row r="11" spans="1:22" s="3" customFormat="1" ht="21" customHeight="1">
      <c r="A11" s="8"/>
      <c r="B11" s="424" t="s">
        <v>7</v>
      </c>
      <c r="C11" s="561">
        <f>SUMIFS('Cold outreach data'!$M$2:$M$251,'Cold outreach data'!$K$2:$K$251,"Cold",'Cold outreach data'!$C$2:$C$251,"&gt;="&amp;EDATE(DATE(YEAR($C$3),MONTH($C$3),1),-($N$2-1)),'Cold outreach data'!$C$2:$C$251,"&lt;="&amp;EOMONTH($C$3,0))</f>
        <v>138</v>
      </c>
      <c r="D11" s="4"/>
      <c r="F11" s="424" t="s">
        <v>111</v>
      </c>
      <c r="G11" s="430">
        <f>IFERROR(G10/C10,0)</f>
        <v>0.7921348314606742</v>
      </c>
      <c r="H11" s="4"/>
      <c r="I11" s="8"/>
      <c r="J11" s="424" t="s">
        <v>125</v>
      </c>
      <c r="K11" s="427">
        <f>SUMIFS('Opps Created'!$E:$E,'Opps Created'!$O:$O,$B$1,'Opps Created'!$G:$G,"&gt;="&amp;EDATE(EOMONTH($C$3,-1)+1,-($N$2-1)),'Opps Created'!$G:$G,"&lt;="&amp;EOMONTH($C$3,0))</f>
        <v>10098778.199999999</v>
      </c>
      <c r="L11" s="424"/>
      <c r="M11" s="8"/>
      <c r="N11" s="424" t="s">
        <v>125</v>
      </c>
      <c r="O11" s="427">
        <f>SUMIFS(
'Opps Created'!$E:$E,
'Opps Created'!$O:$O,$B$1,
'Opps Created'!$Q:$Q,1,
'Opps Created'!$R:$R,0
)</f>
        <v>1267200</v>
      </c>
      <c r="P11" s="4"/>
      <c r="Q11" s="14"/>
      <c r="R11" s="424" t="s">
        <v>112</v>
      </c>
      <c r="S11" s="427">
        <f>SUMIFS('Stage History'!$L:$L,'Stage History'!$O:$O,"Cold",'Stage History'!$T:$T,1,'Stage History'!$P:$P,"&gt;="&amp;EDATE(EOMONTH($C$3,-1)+1,-($N$2-1)),'Stage History'!$P:$P,"&lt;="&amp;EOMONTH($C$3,0))</f>
        <v>219385.5</v>
      </c>
      <c r="T11" s="4"/>
    </row>
    <row r="12" spans="1:22" ht="18.75" customHeight="1">
      <c r="A12" s="6"/>
      <c r="B12" s="424"/>
      <c r="C12" s="421"/>
      <c r="D12" s="4"/>
      <c r="E12" s="3"/>
      <c r="F12" s="424"/>
      <c r="G12" s="421"/>
      <c r="H12" s="4"/>
      <c r="I12" s="8"/>
      <c r="J12" s="424" t="s">
        <v>112</v>
      </c>
      <c r="K12" s="427">
        <f>SUMIFS('Opps Created'!$M:$M,'Opps Created'!$O:$O,$B$1,'Opps Created'!$G:$G,"&gt;="&amp;EDATE(EOMONTH($C$3,-1)+1,-($N$2-1)),'Opps Created'!$G:$G,"&lt;="&amp;EOMONTH($C$3,0))</f>
        <v>6961560</v>
      </c>
      <c r="L12" s="4"/>
      <c r="M12" s="8"/>
      <c r="N12" s="424" t="s">
        <v>112</v>
      </c>
      <c r="O12" s="427">
        <f>SUMIFS(
'Opps Created'!$M:$M,
'Opps Created'!$O:$O,$B$1,
'Opps Created'!$Q:$Q,1,
'Opps Created'!$R:$R,0
)</f>
        <v>1057200</v>
      </c>
      <c r="P12" s="4"/>
      <c r="Q12" s="14"/>
      <c r="R12" s="424" t="s">
        <v>116</v>
      </c>
      <c r="S12" s="428">
        <f>S10/K10</f>
        <v>0.14814814814814814</v>
      </c>
      <c r="T12" s="4"/>
      <c r="U12" s="5"/>
      <c r="V12" s="5"/>
    </row>
    <row r="13" spans="1:22" ht="26.25" customHeight="1">
      <c r="A13" s="6"/>
      <c r="B13" s="6"/>
      <c r="C13" s="6"/>
      <c r="D13" s="6"/>
      <c r="E13" s="6"/>
      <c r="F13" s="6"/>
      <c r="G13" s="6"/>
      <c r="H13" s="6"/>
      <c r="I13" s="6"/>
      <c r="J13" s="6"/>
      <c r="K13" s="6"/>
      <c r="L13" s="6"/>
      <c r="M13" s="6"/>
      <c r="N13" s="6"/>
      <c r="O13" s="6"/>
      <c r="P13" s="6"/>
      <c r="Q13" s="10"/>
      <c r="R13" s="6"/>
      <c r="S13" s="5"/>
      <c r="T13" s="5"/>
      <c r="U13" s="5"/>
    </row>
    <row r="14" spans="1:22" ht="26.25" customHeight="1">
      <c r="A14" s="6"/>
      <c r="B14" s="12" t="str">
        <f>TEXT(C3,"mmmm-yy")&amp;" Spend"</f>
        <v>July-26 Spend</v>
      </c>
      <c r="C14" s="2"/>
      <c r="D14" s="2"/>
      <c r="E14" s="2"/>
      <c r="F14" s="656">
        <f>SUMIFS(
'Cold Outreach Spend Raw'!$B:$B,
'Cold Outreach Spend Raw'!$A:$A,"&gt;="&amp;EOMONTH($C$3,-1)+1,
'Cold Outreach Spend Raw'!$A:$A,"&lt;="&amp;EOMONTH($C$3,0)
)</f>
        <v>32475</v>
      </c>
      <c r="G14" s="656"/>
      <c r="H14" s="656"/>
      <c r="I14" s="661" t="s">
        <v>118</v>
      </c>
      <c r="J14" s="661"/>
      <c r="K14" s="661"/>
      <c r="L14" s="661"/>
      <c r="M14" s="661"/>
      <c r="N14" s="661"/>
      <c r="O14" s="13">
        <f>IFERROR(K8/F14,"")</f>
        <v>3.1039260969976907</v>
      </c>
      <c r="P14" s="653" t="s">
        <v>119</v>
      </c>
      <c r="Q14" s="653"/>
      <c r="R14" s="653"/>
      <c r="S14" s="653"/>
      <c r="T14" s="653"/>
      <c r="U14" s="5"/>
    </row>
    <row r="15" spans="1:22" ht="26.25">
      <c r="A15" s="6"/>
      <c r="B15" s="654" t="s">
        <v>120</v>
      </c>
      <c r="C15" s="654"/>
      <c r="D15" s="654"/>
      <c r="E15" s="654"/>
      <c r="F15" s="657">
        <f>SUMIFS('Cold Outreach Spend Raw'!$B:$B,'Cold Outreach Spend Raw'!$A:$A,"&gt;="&amp;EDATE(EOMONTH($C$3,-1)+1,-($N$2-1)),'Cold Outreach Spend Raw'!$A:$A,"&lt;="&amp;EOMONTH($C$3,0))</f>
        <v>479675</v>
      </c>
      <c r="G15" s="657"/>
      <c r="H15" s="657"/>
      <c r="I15" s="659" t="s">
        <v>118</v>
      </c>
      <c r="J15" s="659"/>
      <c r="K15" s="659"/>
      <c r="L15" s="659"/>
      <c r="M15" s="659"/>
      <c r="N15" s="659"/>
      <c r="O15" s="473">
        <f>K12/F15</f>
        <v>14.513076562255694</v>
      </c>
      <c r="P15" s="652" t="s">
        <v>119</v>
      </c>
      <c r="Q15" s="652"/>
      <c r="R15" s="652"/>
      <c r="S15" s="652"/>
      <c r="T15" s="652"/>
      <c r="U15" s="5"/>
    </row>
    <row r="16" spans="1:22" ht="26.25">
      <c r="A16" s="6"/>
      <c r="B16" s="655"/>
      <c r="C16" s="655"/>
      <c r="D16" s="655"/>
      <c r="E16" s="655"/>
      <c r="F16" s="658"/>
      <c r="G16" s="658"/>
      <c r="H16" s="658"/>
      <c r="I16" s="660"/>
      <c r="J16" s="660"/>
      <c r="K16" s="660"/>
      <c r="L16" s="660"/>
      <c r="M16" s="660"/>
      <c r="N16" s="660"/>
      <c r="O16" s="474">
        <f>ROUND(O12/F15,1)</f>
        <v>2.2000000000000002</v>
      </c>
      <c r="P16" s="652" t="s">
        <v>121</v>
      </c>
      <c r="Q16" s="652"/>
      <c r="R16" s="652"/>
      <c r="S16" s="652"/>
      <c r="T16" s="652"/>
      <c r="U16" s="5"/>
    </row>
    <row r="17" spans="1:21" ht="24" customHeight="1">
      <c r="A17" s="6"/>
      <c r="B17" s="651" t="s">
        <v>146</v>
      </c>
      <c r="C17" s="662"/>
      <c r="D17" s="662"/>
      <c r="E17" s="662"/>
      <c r="F17" s="662"/>
      <c r="G17" s="662"/>
      <c r="H17" s="662"/>
      <c r="I17" s="662"/>
      <c r="J17" s="662"/>
      <c r="K17" s="662"/>
      <c r="L17" s="662"/>
      <c r="M17" s="662"/>
      <c r="N17" s="662"/>
      <c r="O17" s="662"/>
      <c r="P17" s="662"/>
      <c r="Q17" s="662"/>
      <c r="R17" s="662"/>
      <c r="S17" s="662"/>
      <c r="T17" s="662"/>
      <c r="U17" s="5"/>
    </row>
    <row r="18" spans="1:21" ht="18.75" customHeight="1">
      <c r="A18" s="6"/>
      <c r="B18" s="6"/>
      <c r="C18" s="6"/>
      <c r="D18" s="6"/>
      <c r="E18" s="6"/>
      <c r="F18" s="6"/>
      <c r="G18" s="6"/>
      <c r="H18" s="6"/>
      <c r="I18" s="6"/>
      <c r="J18" s="6"/>
      <c r="K18" s="6"/>
      <c r="L18" s="6"/>
      <c r="M18" s="6"/>
      <c r="N18" s="6"/>
      <c r="O18" s="575">
        <f>(S11+(O11*0.55))/F15</f>
        <v>1.9103465888361912</v>
      </c>
      <c r="P18" s="6"/>
      <c r="Q18" s="6"/>
      <c r="R18" s="6"/>
      <c r="S18" s="5"/>
      <c r="T18" s="5"/>
      <c r="U18" s="5"/>
    </row>
    <row r="19" spans="1:21" ht="18.75" customHeight="1">
      <c r="A19" s="6"/>
      <c r="B19" s="6"/>
      <c r="C19" s="6"/>
      <c r="D19" s="6"/>
      <c r="E19" s="6"/>
      <c r="F19" s="6"/>
      <c r="G19" s="6"/>
      <c r="H19" s="6"/>
      <c r="I19" s="6"/>
      <c r="J19" s="6"/>
      <c r="K19" s="6"/>
      <c r="L19" s="6"/>
      <c r="M19" s="6"/>
      <c r="N19" s="6"/>
      <c r="O19" s="6"/>
      <c r="P19" s="6"/>
      <c r="Q19" s="6"/>
      <c r="R19" s="6"/>
      <c r="S19" s="5"/>
      <c r="T19" s="5"/>
      <c r="U19" s="5"/>
    </row>
    <row r="20" spans="1:21" ht="18.75" customHeight="1">
      <c r="A20" s="6"/>
      <c r="B20" s="6"/>
      <c r="C20" s="6"/>
      <c r="D20" s="6"/>
      <c r="E20" s="6"/>
      <c r="F20" s="6"/>
      <c r="G20" s="6"/>
      <c r="H20" s="6"/>
      <c r="I20" s="6"/>
      <c r="J20" s="6"/>
      <c r="K20" s="6"/>
      <c r="L20" s="6"/>
      <c r="M20" s="6"/>
      <c r="N20" s="6"/>
      <c r="O20" s="6"/>
      <c r="P20" s="6"/>
      <c r="Q20" s="6"/>
      <c r="R20" s="6"/>
      <c r="S20" s="5"/>
      <c r="T20" s="5"/>
      <c r="U20" s="5"/>
    </row>
    <row r="21" spans="1:21" ht="18.75" customHeight="1">
      <c r="A21" s="1"/>
      <c r="B21" s="1"/>
      <c r="C21" s="1"/>
      <c r="D21" s="1"/>
      <c r="E21" s="1"/>
      <c r="F21" s="1"/>
      <c r="G21" s="1"/>
      <c r="H21" s="1"/>
      <c r="I21" s="1"/>
      <c r="J21" s="1"/>
      <c r="K21" s="1"/>
      <c r="L21" s="1"/>
      <c r="M21" s="1"/>
      <c r="N21" s="1"/>
      <c r="O21" s="1"/>
      <c r="P21" s="1"/>
      <c r="Q21" s="1"/>
      <c r="R21" s="1"/>
    </row>
    <row r="22" spans="1:21" ht="18.75" customHeight="1">
      <c r="A22" s="1"/>
      <c r="B22" s="1"/>
      <c r="C22" s="1"/>
      <c r="D22" s="1"/>
      <c r="E22" s="1"/>
      <c r="F22" s="1"/>
      <c r="G22" s="1"/>
      <c r="H22" s="1"/>
      <c r="I22" s="1"/>
      <c r="J22" s="1"/>
      <c r="K22" s="1"/>
      <c r="L22" s="1"/>
      <c r="M22" s="1"/>
      <c r="N22" s="1"/>
      <c r="O22" s="1"/>
      <c r="P22" s="1"/>
      <c r="Q22" s="1"/>
      <c r="R22" s="1"/>
    </row>
    <row r="23" spans="1:21" ht="18.75" customHeight="1">
      <c r="A23" s="1"/>
      <c r="B23" s="1"/>
      <c r="C23" s="1"/>
      <c r="D23" s="1"/>
      <c r="E23" s="1"/>
      <c r="F23" s="1"/>
      <c r="G23" s="1"/>
      <c r="H23" s="1"/>
      <c r="I23" s="1"/>
      <c r="J23" s="1"/>
      <c r="K23" s="1"/>
      <c r="L23" s="1"/>
      <c r="M23" s="1"/>
      <c r="N23" s="1"/>
      <c r="O23" s="1"/>
      <c r="P23" s="1"/>
      <c r="Q23" s="1"/>
      <c r="R23" s="1"/>
    </row>
    <row r="24" spans="1:21" ht="18.75" customHeight="1">
      <c r="A24" s="1"/>
      <c r="B24" s="1"/>
      <c r="C24" s="1"/>
      <c r="D24" s="1"/>
      <c r="E24" s="1"/>
      <c r="F24" s="1"/>
      <c r="G24" s="1"/>
      <c r="H24" s="1"/>
      <c r="I24" s="1"/>
      <c r="J24" s="1"/>
      <c r="K24" s="1"/>
      <c r="L24" s="1"/>
      <c r="M24" s="1"/>
      <c r="N24" s="1"/>
      <c r="O24" s="1"/>
      <c r="P24" s="1"/>
      <c r="Q24" s="1"/>
      <c r="R24" s="1"/>
    </row>
    <row r="25" spans="1:21" ht="18.75" customHeight="1">
      <c r="A25" s="1"/>
      <c r="B25" s="1"/>
      <c r="C25" s="1"/>
      <c r="D25" s="1"/>
      <c r="E25" s="1"/>
      <c r="F25" s="1"/>
      <c r="G25" s="1"/>
      <c r="H25" s="1"/>
      <c r="I25" s="1"/>
      <c r="J25" s="1"/>
      <c r="K25" s="1"/>
      <c r="L25" s="1"/>
      <c r="M25" s="1"/>
      <c r="N25" s="1"/>
      <c r="O25" s="1"/>
      <c r="P25" s="1"/>
      <c r="Q25" s="1"/>
      <c r="R25" s="1"/>
    </row>
    <row r="26" spans="1:21" ht="18.75" customHeight="1">
      <c r="A26" s="1"/>
      <c r="B26" s="1"/>
      <c r="C26" s="1"/>
      <c r="D26" s="1"/>
      <c r="E26" s="1"/>
      <c r="F26" s="1"/>
      <c r="G26" s="1"/>
      <c r="H26" s="1"/>
      <c r="I26" s="1"/>
      <c r="J26" s="1"/>
      <c r="K26" s="1"/>
      <c r="L26" s="1"/>
      <c r="M26" s="1"/>
      <c r="N26" s="1"/>
      <c r="O26" s="1"/>
      <c r="P26" s="1"/>
      <c r="Q26" s="1"/>
      <c r="R26" s="1"/>
    </row>
    <row r="27" spans="1:21" ht="18.75" customHeight="1">
      <c r="A27" s="1"/>
      <c r="B27" s="1"/>
      <c r="C27" s="1"/>
      <c r="D27" s="1"/>
      <c r="E27" s="1"/>
      <c r="F27" s="1"/>
      <c r="G27" s="1"/>
      <c r="H27" s="1"/>
      <c r="I27" s="1"/>
      <c r="J27" s="1"/>
      <c r="K27" s="1"/>
      <c r="L27" s="1"/>
      <c r="M27" s="1"/>
      <c r="N27" s="1"/>
      <c r="O27" s="1"/>
      <c r="P27" s="1"/>
      <c r="Q27" s="1"/>
      <c r="R27" s="1"/>
    </row>
    <row r="28" spans="1:21" ht="18.75" customHeight="1">
      <c r="A28" s="1"/>
      <c r="B28" s="1"/>
      <c r="C28" s="1"/>
      <c r="D28" s="1"/>
      <c r="E28" s="1"/>
      <c r="F28" s="1"/>
      <c r="G28" s="1"/>
      <c r="H28" s="1"/>
      <c r="I28" s="1"/>
      <c r="J28" s="1"/>
      <c r="K28" s="1"/>
      <c r="L28" s="1"/>
      <c r="M28" s="1"/>
      <c r="N28" s="1"/>
      <c r="O28" s="1"/>
      <c r="P28" s="1"/>
      <c r="Q28" s="1"/>
      <c r="R28" s="1"/>
    </row>
    <row r="29" spans="1:21" ht="18.75" customHeight="1">
      <c r="A29" s="1"/>
      <c r="B29" s="1"/>
      <c r="C29" s="1"/>
      <c r="D29" s="1"/>
      <c r="E29" s="1"/>
      <c r="F29" s="1"/>
      <c r="G29" s="1"/>
      <c r="H29" s="1"/>
      <c r="I29" s="1"/>
      <c r="J29" s="1"/>
      <c r="K29" s="1"/>
      <c r="L29" s="1"/>
      <c r="M29" s="1"/>
      <c r="N29" s="1"/>
      <c r="O29" s="1"/>
      <c r="P29" s="1"/>
      <c r="Q29" s="1"/>
      <c r="R29" s="1"/>
    </row>
    <row r="30" spans="1:21" ht="18.75" customHeight="1">
      <c r="A30" s="1"/>
      <c r="B30" s="1"/>
      <c r="C30" s="1"/>
      <c r="D30" s="1"/>
      <c r="E30" s="1"/>
      <c r="F30" s="1"/>
      <c r="G30" s="1"/>
      <c r="H30" s="1"/>
      <c r="I30" s="1"/>
      <c r="J30" s="1"/>
      <c r="K30" s="1"/>
      <c r="L30" s="1"/>
      <c r="M30" s="1"/>
      <c r="N30" s="1"/>
      <c r="O30" s="1"/>
      <c r="P30" s="1"/>
      <c r="Q30" s="1"/>
      <c r="R30" s="1"/>
    </row>
    <row r="31" spans="1:21" ht="18.75" customHeight="1">
      <c r="A31" s="1"/>
      <c r="B31" s="1"/>
      <c r="C31" s="1"/>
      <c r="D31" s="1"/>
      <c r="E31" s="1"/>
      <c r="F31" s="1"/>
      <c r="G31" s="1"/>
      <c r="H31" s="1"/>
      <c r="I31" s="1"/>
      <c r="J31" s="1"/>
      <c r="K31" s="1"/>
      <c r="L31" s="1"/>
      <c r="M31" s="1"/>
      <c r="N31" s="1"/>
      <c r="O31" s="1"/>
      <c r="P31" s="1"/>
      <c r="Q31" s="1"/>
      <c r="R31" s="1"/>
    </row>
    <row r="32" spans="1:21" ht="18.75" customHeight="1">
      <c r="A32" s="1"/>
      <c r="B32" s="1"/>
      <c r="C32" s="1"/>
      <c r="D32" s="1"/>
      <c r="E32" s="1"/>
      <c r="F32" s="1"/>
      <c r="G32" s="1"/>
      <c r="H32" s="1"/>
      <c r="I32" s="1"/>
      <c r="J32" s="1"/>
      <c r="K32" s="1"/>
      <c r="L32" s="1"/>
      <c r="M32" s="1"/>
      <c r="N32" s="1"/>
      <c r="O32" s="1"/>
      <c r="P32" s="1"/>
      <c r="Q32" s="1"/>
      <c r="R32" s="1"/>
    </row>
    <row r="33" spans="1:18" ht="18.75" customHeight="1">
      <c r="A33" s="1"/>
      <c r="B33" s="1"/>
      <c r="C33" s="1"/>
      <c r="D33" s="1"/>
      <c r="E33" s="1"/>
      <c r="F33" s="1"/>
      <c r="G33" s="1"/>
      <c r="H33" s="1"/>
      <c r="I33" s="1"/>
      <c r="J33" s="1"/>
      <c r="K33" s="1"/>
      <c r="L33" s="1"/>
      <c r="M33" s="1"/>
      <c r="N33" s="1"/>
      <c r="O33" s="1"/>
      <c r="P33" s="1"/>
      <c r="Q33" s="1"/>
      <c r="R33" s="1"/>
    </row>
    <row r="34" spans="1:18" ht="18.75" customHeight="1">
      <c r="A34" s="1"/>
      <c r="B34" s="1"/>
      <c r="C34" s="1"/>
      <c r="D34" s="1"/>
      <c r="E34" s="1"/>
      <c r="F34" s="1"/>
      <c r="G34" s="1"/>
      <c r="H34" s="1"/>
      <c r="I34" s="1"/>
      <c r="J34" s="1"/>
      <c r="K34" s="1"/>
      <c r="L34" s="1"/>
      <c r="M34" s="1"/>
      <c r="N34" s="1"/>
      <c r="O34" s="1"/>
      <c r="P34" s="1"/>
      <c r="Q34" s="1"/>
      <c r="R34" s="1"/>
    </row>
  </sheetData>
  <mergeCells count="25">
    <mergeCell ref="B17:T17"/>
    <mergeCell ref="B9:D9"/>
    <mergeCell ref="N9:P9"/>
    <mergeCell ref="F9:H9"/>
    <mergeCell ref="P15:T15"/>
    <mergeCell ref="P14:T14"/>
    <mergeCell ref="F14:H14"/>
    <mergeCell ref="I14:N14"/>
    <mergeCell ref="B15:E16"/>
    <mergeCell ref="F15:H16"/>
    <mergeCell ref="I15:N16"/>
    <mergeCell ref="P16:T16"/>
    <mergeCell ref="R5:T5"/>
    <mergeCell ref="B4:D4"/>
    <mergeCell ref="R9:T9"/>
    <mergeCell ref="F4:H4"/>
    <mergeCell ref="N4:P4"/>
    <mergeCell ref="J5:L5"/>
    <mergeCell ref="R4:T4"/>
    <mergeCell ref="J9:L9"/>
    <mergeCell ref="F5:H5"/>
    <mergeCell ref="B8:D8"/>
    <mergeCell ref="N5:P5"/>
    <mergeCell ref="J4:L4"/>
    <mergeCell ref="B5:D5"/>
  </mergeCells>
  <dataValidations disablePrompts="1" count="2">
    <dataValidation type="date" errorTitle="Invalid date" error="Please enter a valid date (e.g., 2/29/2026)." promptTitle="Report Month End" prompt="Type the month-end date you are reporting on (e.g., 2/29/2026)." sqref="C3" xr:uid="{00000000-0002-0000-0400-000000000000}">
      <formula1>DATE(2020,1,1)</formula1>
      <formula2>DATE(2100,12,31)</formula2>
    </dataValidation>
    <dataValidation type="date" errorTitle="Invalid date" error="Please enter a valid date." promptTitle="Report Month End" prompt="Type the month-end date you are reporting on." sqref="C3" xr:uid="{00000000-0002-0000-0400-000001000000}">
      <formula1>DATE(2020,1,1)</formula1>
      <formula2>DATE(2100,12,31)</formula2>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4"/>
  <sheetViews>
    <sheetView showGridLines="0" zoomScale="125" zoomScaleNormal="150" workbookViewId="0">
      <selection activeCell="G8" sqref="G8"/>
    </sheetView>
  </sheetViews>
  <sheetFormatPr defaultColWidth="8.7109375" defaultRowHeight="15"/>
  <cols>
    <col min="1" max="1" width="4.140625" customWidth="1"/>
    <col min="2" max="2" width="6" customWidth="1"/>
    <col min="3" max="3" width="17.42578125" customWidth="1"/>
    <col min="4" max="4" width="3.7109375" customWidth="1"/>
    <col min="5" max="5" width="2.7109375" customWidth="1"/>
    <col min="6" max="6" width="14.42578125" bestFit="1" customWidth="1"/>
    <col min="7" max="7" width="16.7109375" customWidth="1"/>
    <col min="8" max="8" width="4.42578125" customWidth="1"/>
    <col min="9" max="9" width="2.28515625" customWidth="1"/>
    <col min="10" max="10" width="14.28515625" bestFit="1" customWidth="1"/>
    <col min="11" max="11" width="16.7109375" customWidth="1"/>
    <col min="12" max="12" width="4.42578125" customWidth="1"/>
    <col min="13" max="13" width="2.42578125" customWidth="1"/>
    <col min="14" max="14" width="11.7109375" bestFit="1" customWidth="1"/>
    <col min="15" max="15" width="17" customWidth="1"/>
    <col min="16" max="16" width="4.42578125" customWidth="1"/>
    <col min="17" max="17" width="2.28515625" customWidth="1"/>
    <col min="18" max="18" width="11.140625" bestFit="1" customWidth="1"/>
    <col min="19" max="19" width="16.7109375" customWidth="1"/>
    <col min="20" max="20" width="7" customWidth="1"/>
    <col min="21" max="21" width="2.28515625" customWidth="1"/>
    <col min="22" max="22" width="5.42578125" customWidth="1"/>
    <col min="23" max="23" width="13.7109375" bestFit="1" customWidth="1"/>
    <col min="24" max="24" width="7" customWidth="1"/>
  </cols>
  <sheetData>
    <row r="1" spans="1:21">
      <c r="A1" s="5"/>
      <c r="B1" s="5" t="s">
        <v>32</v>
      </c>
      <c r="C1" s="5"/>
      <c r="D1" s="5"/>
      <c r="E1" s="5"/>
      <c r="F1" s="5"/>
      <c r="G1" s="5"/>
      <c r="H1" s="5"/>
      <c r="I1" s="5"/>
      <c r="J1" s="5"/>
      <c r="K1" s="5"/>
      <c r="L1" s="5"/>
      <c r="M1" s="5"/>
      <c r="N1" s="5"/>
      <c r="O1" s="5"/>
      <c r="P1" s="5"/>
      <c r="Q1" s="5"/>
      <c r="R1" s="5"/>
      <c r="S1" s="5"/>
      <c r="T1" s="5"/>
      <c r="U1" s="5"/>
    </row>
    <row r="2" spans="1:21" ht="21" customHeight="1">
      <c r="A2" s="5"/>
      <c r="B2" s="7" t="s">
        <v>98</v>
      </c>
      <c r="C2" s="5"/>
      <c r="D2" s="5"/>
      <c r="E2" s="5"/>
      <c r="F2" s="5"/>
      <c r="G2" s="5"/>
      <c r="H2" s="5"/>
      <c r="I2" s="8"/>
      <c r="J2" s="5"/>
      <c r="K2" s="9" t="s">
        <v>99</v>
      </c>
      <c r="L2" s="5"/>
      <c r="M2" s="5"/>
      <c r="N2" s="8">
        <f>TOTAL!N2</f>
        <v>18</v>
      </c>
      <c r="O2" s="8" t="s">
        <v>100</v>
      </c>
      <c r="P2" s="5"/>
      <c r="Q2" s="5"/>
      <c r="R2" s="5"/>
      <c r="S2" s="5"/>
      <c r="T2" s="5"/>
      <c r="U2" s="5"/>
    </row>
    <row r="3" spans="1:21" s="1" customFormat="1" ht="21" customHeight="1">
      <c r="A3" s="6"/>
      <c r="B3" s="431" t="s">
        <v>101</v>
      </c>
      <c r="C3" s="419">
        <f>TOTAL!C3</f>
        <v>46234</v>
      </c>
      <c r="D3" s="420"/>
      <c r="E3" s="6"/>
      <c r="F3" s="6"/>
      <c r="G3" s="8"/>
      <c r="H3" s="8"/>
      <c r="I3" s="8"/>
      <c r="J3" s="8"/>
      <c r="K3" s="8"/>
      <c r="L3" s="6"/>
      <c r="M3" s="6"/>
      <c r="N3" s="6"/>
      <c r="O3" s="6"/>
      <c r="P3" s="6"/>
      <c r="Q3" s="10"/>
      <c r="R3" s="6"/>
      <c r="S3" s="6"/>
      <c r="T3" s="6"/>
      <c r="U3" s="6"/>
    </row>
    <row r="4" spans="1:21" s="1" customFormat="1" ht="18.75" customHeight="1">
      <c r="A4" s="6"/>
      <c r="B4" s="649" t="s">
        <v>102</v>
      </c>
      <c r="C4" s="663"/>
      <c r="D4" s="663"/>
      <c r="F4" s="649" t="s">
        <v>103</v>
      </c>
      <c r="G4" s="663"/>
      <c r="H4" s="663"/>
      <c r="I4" s="6"/>
      <c r="J4" s="649" t="s">
        <v>104</v>
      </c>
      <c r="K4" s="663"/>
      <c r="L4" s="663"/>
      <c r="M4" s="6"/>
      <c r="N4" s="649" t="s">
        <v>105</v>
      </c>
      <c r="O4" s="663"/>
      <c r="P4" s="663"/>
      <c r="Q4" s="10"/>
      <c r="R4" s="649" t="s">
        <v>106</v>
      </c>
      <c r="S4" s="663"/>
      <c r="T4" s="663"/>
    </row>
    <row r="5" spans="1:21" s="3" customFormat="1" ht="21" customHeight="1">
      <c r="A5" s="8"/>
      <c r="B5" s="650" t="s">
        <v>107</v>
      </c>
      <c r="C5" s="664"/>
      <c r="D5" s="664"/>
      <c r="F5" s="650" t="s">
        <v>107</v>
      </c>
      <c r="G5" s="664"/>
      <c r="H5" s="664"/>
      <c r="I5" s="8"/>
      <c r="J5" s="650" t="s">
        <v>107</v>
      </c>
      <c r="K5" s="664"/>
      <c r="L5" s="664"/>
      <c r="M5" s="8"/>
      <c r="N5" s="650" t="s">
        <v>107</v>
      </c>
      <c r="O5" s="664"/>
      <c r="P5" s="664"/>
      <c r="Q5" s="14"/>
      <c r="R5" s="650" t="s">
        <v>107</v>
      </c>
      <c r="S5" s="664"/>
      <c r="T5" s="664"/>
    </row>
    <row r="6" spans="1:21" ht="18" customHeight="1">
      <c r="A6" s="6"/>
      <c r="B6" s="424" t="s">
        <v>6</v>
      </c>
      <c r="C6" s="426">
        <f>COUNTIFS('Alliances Data Raw'!$V$3:$V$100029,"&gt;="&amp;DATE(YEAR($C$3),MONTH($C$3),1),'Alliances Data Raw'!$V$3:$V$100029,"&lt;="&amp;EOMONTH($C$3,0),'Alliances Data Raw'!$D$3:$D$100029,"&lt;&gt;Disqualified",'Alliances Data Raw'!$D$3:$D$100029,"&lt;&gt;Register Lead")</f>
        <v>5</v>
      </c>
      <c r="D6" s="424"/>
      <c r="F6" s="424" t="s">
        <v>8</v>
      </c>
      <c r="G6" s="426">
        <f>COUNTIFS(
'Alliances Data Raw'!$W$3:$W$1029,"&gt;="&amp;DATE(YEAR($C$3),MONTH($C$3),1),
'Alliances Data Raw'!$W$3:$W$1029,"&lt;="&amp;EOMONTH($C$3,0)
)</f>
        <v>5</v>
      </c>
      <c r="H6" s="424"/>
      <c r="I6" s="11"/>
      <c r="J6" s="424" t="s">
        <v>108</v>
      </c>
      <c r="K6" s="426">
        <f>COUNTIFS('Opps Created'!$O:$O,$B$1,'Opps Created'!$G:$G,"&gt;="&amp;EOMONTH($C$3,-1)+1,'Opps Created'!$G:$G,"&lt;="&amp;EOMONTH($C$3,0))</f>
        <v>5</v>
      </c>
      <c r="L6" s="424"/>
      <c r="M6" s="11"/>
      <c r="N6" s="424" t="s">
        <v>109</v>
      </c>
      <c r="O6" s="426">
        <f>SUMIFS(
'Stage History'!$S:$S,
'Stage History'!$O:$O,$B$1,
'Stage History'!$P:$P,"&gt;="&amp;EOMONTH($C$3,-1)+1,
'Stage History'!$P:$P,"&lt;"&amp;EOMONTH($C$3,0)+1
)</f>
        <v>4</v>
      </c>
      <c r="P6" s="424"/>
      <c r="Q6" s="10"/>
      <c r="R6" s="424" t="s">
        <v>110</v>
      </c>
      <c r="S6" s="426">
        <f>SUMIFS('Stage History'!$T:$T,'Stage History'!$O:$O,"Alliances",'Stage History'!$P:$P,"&gt;="&amp;EOMONTH($C$3,-1)+1,
'Stage History'!$P:$P,"&lt;"&amp;EOMONTH($C$3,0)+1
)</f>
        <v>0</v>
      </c>
      <c r="T6" s="424"/>
    </row>
    <row r="7" spans="1:21" ht="18" customHeight="1">
      <c r="A7" s="6"/>
      <c r="B7" s="424" t="s">
        <v>7</v>
      </c>
      <c r="C7" s="426" cm="1">
        <f t="array" ref="C7">IFERROR(
COUNTA(
_xlfn.UNIQUE(
_xlfn._xlws.FILTER(
'Alliances Data Raw'!$C$3:$C$1029,
('Alliances Data Raw'!$C$3:$C$1029&lt;&gt;"")*
('Alliances Data Raw'!$V$3:$V$1029&gt;=DATE(YEAR($C$3),MONTH($C$3),1))*
('Alliances Data Raw'!$V$3:$V$1029&lt;=EOMONTH($C$3,0))*
('Alliances Data Raw'!$D$3:$D$1029&lt;&gt;"Disqualified")*
('Alliances Data Raw'!$D$3:$D$1029&lt;&gt;"Register Lead")
)
)
),
0)</f>
        <v>5</v>
      </c>
      <c r="D7" s="4"/>
      <c r="F7" s="424" t="s">
        <v>111</v>
      </c>
      <c r="G7" s="430">
        <f>IF(C6=0,"",G6/C6)</f>
        <v>1</v>
      </c>
      <c r="H7" s="4"/>
      <c r="I7" s="11"/>
      <c r="J7" s="424" t="s">
        <v>125</v>
      </c>
      <c r="K7" s="427">
        <f>SUMIFS('Opps Created'!$E:$E,'Opps Created'!$O:$O,$B$1,'Opps Created'!$G:$G,"&gt;="&amp;EOMONTH($C$3,-1)+1,'Opps Created'!$G:$G,"&lt;="&amp;EOMONTH($C$3,0))</f>
        <v>1361400</v>
      </c>
      <c r="L7" s="424"/>
      <c r="M7" s="11"/>
      <c r="N7" s="424" t="s">
        <v>125</v>
      </c>
      <c r="O7" s="427">
        <f>SUMIFS('Stage History'!$K:$K,'Stage History'!$O:$O,$B$1,'Stage History'!$S:$S,1,'Stage History'!$P:$P,"&gt;="&amp;EOMONTH($C$3,-1)+1,
'Stage History'!$P:$P,"&lt;"&amp;EOMONTH($C$3,0)+1
)</f>
        <v>342208</v>
      </c>
      <c r="P7" s="424"/>
      <c r="Q7" s="10"/>
      <c r="R7" s="424" t="s">
        <v>112</v>
      </c>
      <c r="S7" s="427">
        <f>SUMIFS('Stage History'!$L:$L,'Stage History'!$O:$O,"Alliances",'Stage History'!$T:$T,1,'Stage History'!$P:$P,"&gt;="&amp;EOMONTH($C$3,-1)+1,'Stage History'!$P:$P,"&lt;"&amp;EOMONTH($C$3,0)+1)</f>
        <v>0</v>
      </c>
      <c r="T7" s="424"/>
    </row>
    <row r="8" spans="1:21" s="3" customFormat="1" ht="21" customHeight="1">
      <c r="A8" s="8"/>
      <c r="B8" s="650"/>
      <c r="C8" s="664"/>
      <c r="D8" s="664"/>
      <c r="F8" s="4"/>
      <c r="G8" s="4"/>
      <c r="H8" s="4"/>
      <c r="I8" s="8"/>
      <c r="J8" s="424" t="s">
        <v>112</v>
      </c>
      <c r="K8" s="427">
        <f>SUMIFS('Opps Created'!$M:$M,'Opps Created'!$O:$O,$B$1,'Opps Created'!$G:$G,"&gt;="&amp;EOMONTH($C$3,-1)+1,'Opps Created'!$G:$G,"&lt;="&amp;EOMONTH($C$3,0))</f>
        <v>732400</v>
      </c>
      <c r="L8" s="4"/>
      <c r="M8" s="8"/>
      <c r="N8" s="424" t="s">
        <v>112</v>
      </c>
      <c r="O8" s="427">
        <f>SUMIFS('Stage History'!$L:$L,'Stage History'!$O:$O,$B$1,'Stage History'!$S:$S,1,'Stage History'!$P:$P,"&gt;="&amp;EOMONTH($C$3,-1)+1,
'Stage History'!$P:$P,"&lt;"&amp;EOMONTH($C$3,0)+1
)</f>
        <v>272208</v>
      </c>
      <c r="P8" s="4"/>
      <c r="Q8" s="14"/>
      <c r="R8" s="424"/>
      <c r="S8" s="428"/>
      <c r="T8" s="4"/>
    </row>
    <row r="9" spans="1:21" s="3" customFormat="1" ht="21" customHeight="1">
      <c r="A9" s="8"/>
      <c r="B9" s="650" t="s">
        <v>114</v>
      </c>
      <c r="C9" s="664"/>
      <c r="D9" s="664"/>
      <c r="F9" s="650" t="s">
        <v>114</v>
      </c>
      <c r="G9" s="664"/>
      <c r="H9" s="664"/>
      <c r="I9" s="8"/>
      <c r="J9" s="650" t="s">
        <v>114</v>
      </c>
      <c r="K9" s="664"/>
      <c r="L9" s="664"/>
      <c r="M9" s="8"/>
      <c r="N9" s="650" t="s">
        <v>114</v>
      </c>
      <c r="O9" s="664"/>
      <c r="P9" s="664"/>
      <c r="Q9" s="14"/>
      <c r="R9" s="650" t="s">
        <v>114</v>
      </c>
      <c r="S9" s="664"/>
      <c r="T9" s="664"/>
    </row>
    <row r="10" spans="1:21" s="3" customFormat="1" ht="21" customHeight="1">
      <c r="A10" s="8"/>
      <c r="B10" s="424" t="s">
        <v>6</v>
      </c>
      <c r="C10" s="426">
        <f>COUNTIFS('Alliances Data Raw'!$V$3:$V$100029,"&gt;="&amp;EDATE(DATE(YEAR($C$3),MONTH($C$3),1),-($N$2-1)),'Alliances Data Raw'!$V$3:$V$100029,"&lt;="&amp;EOMONTH($C$3,0),'Alliances Data Raw'!$D$3:$D$100029,"&lt;&gt;Disqualified",'Alliances Data Raw'!$D$3:$D$100029,"&lt;&gt;Register Lead")</f>
        <v>114</v>
      </c>
      <c r="D10" s="424"/>
      <c r="F10" s="424" t="s">
        <v>8</v>
      </c>
      <c r="G10" s="426">
        <f>COUNTIFS(
'Alliances Data Raw'!$W$3:$W$1029,"&gt;="&amp;EDATE(DATE(YEAR($C$3),MONTH($C$3),1),-($N$2-1)),
'Alliances Data Raw'!$W$3:$W$1029,"&lt;="&amp;EOMONTH($C$3,0)
)</f>
        <v>71</v>
      </c>
      <c r="H10" s="424"/>
      <c r="I10" s="8"/>
      <c r="J10" s="424" t="s">
        <v>108</v>
      </c>
      <c r="K10" s="426">
        <f>COUNTIFS('Opps Created'!$O:$O,$B$1,'Opps Created'!$G:$G,"&gt;="&amp;EDATE(EOMONTH($C$3,-1)+1,-($N$2-1)),'Opps Created'!$G:$G,"&lt;="&amp;EOMONTH($C$3,0))</f>
        <v>56</v>
      </c>
      <c r="L10" s="424"/>
      <c r="M10" s="8"/>
      <c r="N10" s="424" t="s">
        <v>109</v>
      </c>
      <c r="O10" s="426">
        <f>COUNTIFS(
'Opps Created'!$O:$O,$B$1,
'Opps Created'!$Q:$Q,1
)</f>
        <v>5</v>
      </c>
      <c r="P10" s="4"/>
      <c r="Q10" s="14"/>
      <c r="R10" s="424" t="s">
        <v>110</v>
      </c>
      <c r="S10" s="426">
        <f>SUMIFS('Stage History'!$T:$T,'Stage History'!$O:$O,"Alliances",'Stage History'!$P:$P,"&gt;="&amp;EOMONTH($C$3,-$N$2)+1,
'Stage History'!$P:$P,"&lt;"&amp;EOMONTH($C$3,0)+1
)</f>
        <v>19</v>
      </c>
      <c r="T10" s="4"/>
    </row>
    <row r="11" spans="1:21" s="3" customFormat="1" ht="21" customHeight="1">
      <c r="A11" s="8"/>
      <c r="B11" s="424" t="s">
        <v>7</v>
      </c>
      <c r="C11" s="426" cm="1">
        <f t="array" ref="C11">IFERROR(
COUNTA(
_xlfn.UNIQUE(
_xlfn._xlws.FILTER(
'Alliances Data Raw'!$C$3:$C$100029,
('Alliances Data Raw'!$C$3:$C$100029&lt;&gt;"")*
('Alliances Data Raw'!$V$3:$V$100029&gt;=EDATE(DATE(YEAR($C$3),MONTH($C$3),1),-($N$2-1)))*
('Alliances Data Raw'!$V$3:$V$100029&lt;=EOMONTH($C$3,0))*
('Alliances Data Raw'!$D$3:$D$100029&lt;&gt;"Disqualified")*
('Alliances Data Raw'!$D$3:$D$100029&lt;&gt;"Register Lead")
)
)
),
0)</f>
        <v>107</v>
      </c>
      <c r="D11" s="4"/>
      <c r="F11" s="424" t="s">
        <v>111</v>
      </c>
      <c r="G11" s="430">
        <f>IFERROR(G10/C10,0)</f>
        <v>0.6228070175438597</v>
      </c>
      <c r="H11" s="4"/>
      <c r="I11" s="8"/>
      <c r="J11" s="424" t="s">
        <v>125</v>
      </c>
      <c r="K11" s="427">
        <f>SUMIFS('Opps Created'!$E:$E,'Opps Created'!$O:$O,$B$1,'Opps Created'!$G:$G,"&gt;="&amp;EDATE(EOMONTH($C$3,-1)+1,-($N$2-1)),'Opps Created'!$G:$G,"&lt;="&amp;EOMONTH($C$3,0))</f>
        <v>30153720.159999996</v>
      </c>
      <c r="L11" s="424"/>
      <c r="M11" s="8"/>
      <c r="N11" s="424" t="s">
        <v>125</v>
      </c>
      <c r="O11" s="427">
        <f>SUMIFS(
'Opps Created'!$E:$E,
'Opps Created'!$O:$O,$B$1,
'Opps Created'!$Q:$Q,1,
'Opps Created'!$R:$R,0
)</f>
        <v>907364</v>
      </c>
      <c r="P11" s="4"/>
      <c r="Q11" s="14"/>
      <c r="R11" s="424" t="s">
        <v>112</v>
      </c>
      <c r="S11" s="427">
        <f>SUMIFS('Stage History'!$L:$L,'Stage History'!$O:$O,"Alliances",'Stage History'!$T:$T,1,'Stage History'!$P:$P,"&gt;="&amp;EOMONTH($C$3,-$N$2)+1,
'Stage History'!$P:$P,"&lt;"&amp;EOMONTH($C$3,0)+1
)</f>
        <v>1855153.5599999998</v>
      </c>
      <c r="T11" s="4"/>
    </row>
    <row r="12" spans="1:21" s="3" customFormat="1" ht="21" customHeight="1">
      <c r="A12" s="8"/>
      <c r="B12" s="424"/>
      <c r="C12" s="421"/>
      <c r="D12" s="4"/>
      <c r="F12" s="424"/>
      <c r="G12" s="421"/>
      <c r="H12" s="4"/>
      <c r="I12" s="8"/>
      <c r="J12" s="424" t="s">
        <v>112</v>
      </c>
      <c r="K12" s="427">
        <f>SUMIFS('Opps Created'!$M:$M,'Opps Created'!$O:$O,$B$1,'Opps Created'!$G:$G,"&gt;="&amp;EDATE(EOMONTH($C$3,-1)+1,-($N$2-1)),'Opps Created'!$G:$G,"&lt;="&amp;EOMONTH($C$3,0))</f>
        <v>18115520.159999996</v>
      </c>
      <c r="L12" s="4"/>
      <c r="M12" s="8"/>
      <c r="N12" s="424" t="s">
        <v>112</v>
      </c>
      <c r="O12" s="427">
        <f>SUMIFS(
'Opps Created'!$M:$M,
'Opps Created'!$O:$O,$B$1,
'Opps Created'!$Q:$Q,1,
'Opps Created'!$R:$R,0
)</f>
        <v>626364</v>
      </c>
      <c r="P12" s="4"/>
      <c r="Q12" s="14"/>
      <c r="R12" s="424" t="s">
        <v>116</v>
      </c>
      <c r="S12" s="428">
        <f>S10/K10</f>
        <v>0.3392857142857143</v>
      </c>
      <c r="T12" s="4"/>
    </row>
    <row r="13" spans="1:21" ht="26.25" customHeight="1">
      <c r="A13" s="6"/>
      <c r="B13" s="6"/>
      <c r="C13" s="6"/>
      <c r="D13" s="6"/>
      <c r="E13" s="6"/>
      <c r="F13" s="6"/>
      <c r="G13" s="6"/>
      <c r="H13" s="6"/>
      <c r="I13" s="6"/>
      <c r="J13" s="6"/>
      <c r="K13" s="6"/>
      <c r="L13" s="6"/>
      <c r="M13" s="6"/>
      <c r="N13" s="6"/>
      <c r="O13" s="6"/>
      <c r="P13" s="6"/>
      <c r="Q13" s="10"/>
      <c r="R13" s="6"/>
      <c r="S13" s="5"/>
      <c r="T13" s="5"/>
      <c r="U13" s="5"/>
    </row>
    <row r="14" spans="1:21" ht="26.25" customHeight="1">
      <c r="A14" s="6"/>
      <c r="B14" s="12" t="str">
        <f>TEXT(C3,"mmmm-yy")&amp;" Spend"</f>
        <v>July-26 Spend</v>
      </c>
      <c r="C14" s="2"/>
      <c r="D14" s="2"/>
      <c r="E14" s="2"/>
      <c r="F14" s="656">
        <f>SUMIFS(
'Alliances Spend'!$B:$B,
'Alliances Spend'!$C:$C,"&gt;="&amp;EOMONTH($C$3,-1)+1,
'Alliances Spend'!$C:$C,"&lt;="&amp;EOMONTH($C$3,0)
)</f>
        <v>3454.56</v>
      </c>
      <c r="G14" s="656"/>
      <c r="H14" s="656"/>
      <c r="I14" s="661" t="s">
        <v>118</v>
      </c>
      <c r="J14" s="661"/>
      <c r="K14" s="661"/>
      <c r="L14" s="661"/>
      <c r="M14" s="661"/>
      <c r="N14" s="661"/>
      <c r="O14" s="13">
        <f>IFERROR(K8/F14,"")</f>
        <v>212.00963364364782</v>
      </c>
      <c r="P14" s="653" t="s">
        <v>119</v>
      </c>
      <c r="Q14" s="653"/>
      <c r="R14" s="653"/>
      <c r="S14" s="653"/>
      <c r="T14" s="653"/>
      <c r="U14" s="5"/>
    </row>
    <row r="15" spans="1:21" ht="26.25">
      <c r="A15" s="6"/>
      <c r="B15" s="654" t="s">
        <v>120</v>
      </c>
      <c r="C15" s="654"/>
      <c r="D15" s="654"/>
      <c r="E15" s="654"/>
      <c r="F15" s="657">
        <f>SUMIFS(
'Alliances Spend'!$B:$B,
'Alliances Spend'!$C:$C,"&gt;="&amp;EDATE(DATE(YEAR($C$3),MONTH($C$3),1),-($N$2-1)),
'Alliances Spend'!$C:$C,"&lt;="&amp;EOMONTH($C$3,0)
)</f>
        <v>188072.09999999998</v>
      </c>
      <c r="G15" s="657"/>
      <c r="H15" s="657"/>
      <c r="I15" s="659" t="s">
        <v>118</v>
      </c>
      <c r="J15" s="659"/>
      <c r="K15" s="659"/>
      <c r="L15" s="659"/>
      <c r="M15" s="659"/>
      <c r="N15" s="659"/>
      <c r="O15" s="473">
        <f>K12/F15</f>
        <v>96.322209195303287</v>
      </c>
      <c r="P15" s="652" t="s">
        <v>119</v>
      </c>
      <c r="Q15" s="652"/>
      <c r="R15" s="652"/>
      <c r="S15" s="652"/>
      <c r="T15" s="652"/>
      <c r="U15" s="5"/>
    </row>
    <row r="16" spans="1:21" ht="26.25">
      <c r="A16" s="6"/>
      <c r="B16" s="655"/>
      <c r="C16" s="655"/>
      <c r="D16" s="655"/>
      <c r="E16" s="655"/>
      <c r="F16" s="658"/>
      <c r="G16" s="658"/>
      <c r="H16" s="658"/>
      <c r="I16" s="660"/>
      <c r="J16" s="660"/>
      <c r="K16" s="660"/>
      <c r="L16" s="660"/>
      <c r="M16" s="660"/>
      <c r="N16" s="660"/>
      <c r="O16" s="474">
        <f>ROUND(O12/F15,1)</f>
        <v>3.3</v>
      </c>
      <c r="P16" s="652" t="s">
        <v>121</v>
      </c>
      <c r="Q16" s="652"/>
      <c r="R16" s="652"/>
      <c r="S16" s="652"/>
      <c r="T16" s="652"/>
      <c r="U16" s="5"/>
    </row>
    <row r="17" spans="1:21" ht="24" customHeight="1">
      <c r="A17" s="6"/>
      <c r="B17" s="651" t="s">
        <v>147</v>
      </c>
      <c r="C17" s="662"/>
      <c r="D17" s="662"/>
      <c r="E17" s="662"/>
      <c r="F17" s="662"/>
      <c r="G17" s="662"/>
      <c r="H17" s="662"/>
      <c r="I17" s="662"/>
      <c r="J17" s="662"/>
      <c r="K17" s="662"/>
      <c r="L17" s="662"/>
      <c r="M17" s="662"/>
      <c r="N17" s="662"/>
      <c r="O17" s="662"/>
      <c r="P17" s="662"/>
      <c r="Q17" s="662"/>
      <c r="R17" s="662"/>
      <c r="S17" s="662"/>
      <c r="T17" s="662"/>
      <c r="U17" s="5"/>
    </row>
    <row r="18" spans="1:21" ht="18.75" customHeight="1">
      <c r="A18" s="6"/>
      <c r="B18" s="6"/>
      <c r="C18" s="6"/>
      <c r="D18" s="6"/>
      <c r="E18" s="6"/>
      <c r="F18" s="6"/>
      <c r="G18" s="6"/>
      <c r="H18" s="6"/>
      <c r="I18" s="6"/>
      <c r="J18" s="6"/>
      <c r="K18" s="6"/>
      <c r="L18" s="6"/>
      <c r="M18" s="6"/>
      <c r="N18" s="6"/>
      <c r="O18" s="575" t="e" cm="1">
        <f t="array" aca="1" ref="O18" ca="1">(J8:L10S11+(O11*0.55))/F15</f>
        <v>#NAME?</v>
      </c>
      <c r="P18" s="6"/>
      <c r="Q18" s="6"/>
      <c r="R18" s="6"/>
      <c r="S18" s="5"/>
      <c r="T18" s="5"/>
      <c r="U18" s="5"/>
    </row>
    <row r="19" spans="1:21" ht="18.75" customHeight="1">
      <c r="A19" s="6"/>
      <c r="B19" s="6"/>
      <c r="C19" s="6"/>
      <c r="D19" s="6"/>
      <c r="E19" s="6"/>
      <c r="F19" s="6"/>
      <c r="G19" s="6"/>
      <c r="H19" s="6"/>
      <c r="I19" s="6"/>
      <c r="J19" s="6"/>
      <c r="K19" s="6"/>
      <c r="L19" s="6"/>
      <c r="M19" s="6"/>
      <c r="N19" s="6"/>
      <c r="O19" s="575">
        <f>(S11+(O11*0.55))/F15</f>
        <v>12.517559808179948</v>
      </c>
      <c r="P19" s="6"/>
      <c r="Q19" s="6"/>
      <c r="R19" s="6"/>
      <c r="S19" s="5"/>
      <c r="T19" s="5"/>
      <c r="U19" s="5"/>
    </row>
    <row r="20" spans="1:21" ht="18.75" customHeight="1">
      <c r="A20" s="6"/>
      <c r="B20" s="6"/>
      <c r="C20" s="6"/>
      <c r="D20" s="6"/>
      <c r="E20" s="6"/>
      <c r="F20" s="6"/>
      <c r="G20" s="6"/>
      <c r="H20" s="6"/>
      <c r="I20" s="6"/>
      <c r="J20" s="6"/>
      <c r="K20" s="6"/>
      <c r="L20" s="6"/>
      <c r="M20" s="6"/>
      <c r="N20" s="6"/>
      <c r="O20" s="6"/>
      <c r="P20" s="6"/>
      <c r="Q20" s="6"/>
      <c r="R20" s="6"/>
      <c r="S20" s="5"/>
      <c r="T20" s="5"/>
      <c r="U20" s="5"/>
    </row>
    <row r="21" spans="1:21" ht="18.75" customHeight="1">
      <c r="A21" s="1"/>
      <c r="B21" s="1"/>
      <c r="C21" s="1"/>
      <c r="D21" s="1"/>
      <c r="E21" s="1"/>
      <c r="F21" s="1"/>
      <c r="G21" s="1"/>
      <c r="H21" s="1"/>
      <c r="I21" s="1"/>
      <c r="J21" s="1"/>
      <c r="K21" s="1"/>
      <c r="L21" s="1"/>
      <c r="M21" s="1"/>
      <c r="N21" s="1"/>
      <c r="O21" s="1"/>
      <c r="P21" s="1"/>
      <c r="Q21" s="1"/>
      <c r="R21" s="1"/>
    </row>
    <row r="22" spans="1:21" ht="18.75" customHeight="1">
      <c r="A22" s="1"/>
      <c r="B22" s="1"/>
      <c r="C22" s="1"/>
      <c r="D22" s="1"/>
      <c r="E22" s="1"/>
      <c r="F22" s="1"/>
      <c r="G22" s="1"/>
      <c r="H22" s="1"/>
      <c r="I22" s="1"/>
      <c r="J22" s="1"/>
      <c r="K22" s="1"/>
      <c r="L22" s="1"/>
      <c r="M22" s="1"/>
      <c r="N22" s="1"/>
      <c r="O22" s="1"/>
      <c r="P22" s="1"/>
      <c r="Q22" s="1"/>
      <c r="R22" s="1"/>
    </row>
    <row r="23" spans="1:21" ht="18.75" customHeight="1">
      <c r="A23" s="1"/>
      <c r="B23" s="1"/>
      <c r="C23" s="1"/>
      <c r="D23" s="1"/>
      <c r="E23" s="1"/>
      <c r="F23" s="1"/>
      <c r="G23" s="1"/>
      <c r="H23" s="1"/>
      <c r="I23" s="1"/>
      <c r="J23" s="1"/>
      <c r="K23" s="1"/>
      <c r="L23" s="1"/>
      <c r="M23" s="1"/>
      <c r="N23" s="1"/>
      <c r="O23" s="1"/>
      <c r="P23" s="1"/>
      <c r="Q23" s="1"/>
      <c r="R23" s="1"/>
    </row>
    <row r="24" spans="1:21" ht="18.75" customHeight="1">
      <c r="A24" s="1"/>
      <c r="B24" s="1"/>
      <c r="C24" s="1"/>
      <c r="D24" s="1"/>
      <c r="E24" s="1"/>
      <c r="F24" s="1"/>
      <c r="G24" s="1"/>
      <c r="H24" s="1"/>
      <c r="I24" s="1"/>
      <c r="J24" s="1"/>
      <c r="K24" s="1"/>
      <c r="L24" s="1"/>
      <c r="M24" s="1"/>
      <c r="N24" s="1"/>
      <c r="O24" s="1"/>
      <c r="P24" s="1"/>
      <c r="Q24" s="1"/>
      <c r="R24" s="1"/>
    </row>
    <row r="25" spans="1:21" ht="18.75" customHeight="1">
      <c r="A25" s="1"/>
      <c r="B25" s="1"/>
      <c r="C25" s="1"/>
      <c r="D25" s="1"/>
      <c r="E25" s="1"/>
      <c r="F25" s="1"/>
      <c r="G25" s="1"/>
      <c r="H25" s="1"/>
      <c r="I25" s="1"/>
      <c r="J25" s="1"/>
      <c r="K25" s="1"/>
      <c r="L25" s="1"/>
      <c r="M25" s="1"/>
      <c r="N25" s="1"/>
      <c r="O25" s="1"/>
      <c r="P25" s="1"/>
      <c r="Q25" s="1"/>
      <c r="R25" s="1"/>
    </row>
    <row r="26" spans="1:21" ht="18.75" customHeight="1">
      <c r="A26" s="1"/>
      <c r="B26" s="1"/>
      <c r="C26" s="1"/>
      <c r="D26" s="1"/>
      <c r="E26" s="1"/>
      <c r="F26" s="1"/>
      <c r="G26" s="1"/>
      <c r="H26" s="1"/>
      <c r="I26" s="1"/>
      <c r="J26" s="1"/>
      <c r="K26" s="1"/>
      <c r="L26" s="1"/>
      <c r="M26" s="1"/>
      <c r="N26" s="1"/>
      <c r="O26" s="1"/>
      <c r="P26" s="1"/>
      <c r="Q26" s="1"/>
      <c r="R26" s="1"/>
    </row>
    <row r="27" spans="1:21" ht="18.75" customHeight="1">
      <c r="A27" s="1"/>
      <c r="B27" s="1"/>
      <c r="C27" s="1"/>
      <c r="D27" s="1"/>
      <c r="E27" s="1"/>
      <c r="F27" s="1"/>
      <c r="G27" s="1"/>
      <c r="H27" s="1"/>
      <c r="I27" s="1"/>
      <c r="J27" s="1"/>
      <c r="K27" s="1"/>
      <c r="L27" s="1"/>
      <c r="M27" s="1"/>
      <c r="N27" s="1"/>
      <c r="O27" s="1"/>
      <c r="P27" s="1"/>
      <c r="Q27" s="1"/>
      <c r="R27" s="1"/>
    </row>
    <row r="28" spans="1:21" ht="18.75" customHeight="1">
      <c r="A28" s="1"/>
      <c r="B28" s="1"/>
      <c r="C28" s="1"/>
      <c r="D28" s="1"/>
      <c r="E28" s="1"/>
      <c r="F28" s="1"/>
      <c r="G28" s="1"/>
      <c r="H28" s="1"/>
      <c r="I28" s="1"/>
      <c r="J28" s="1"/>
      <c r="K28" s="1"/>
      <c r="L28" s="1"/>
      <c r="M28" s="1"/>
      <c r="N28" s="1"/>
      <c r="O28" s="1"/>
      <c r="P28" s="1"/>
      <c r="Q28" s="1"/>
      <c r="R28" s="1"/>
    </row>
    <row r="29" spans="1:21" ht="18.75" customHeight="1">
      <c r="A29" s="1"/>
      <c r="B29" s="1"/>
      <c r="C29" s="1"/>
      <c r="D29" s="1"/>
      <c r="E29" s="1"/>
      <c r="F29" s="1"/>
      <c r="G29" s="1"/>
      <c r="H29" s="1"/>
      <c r="I29" s="1"/>
      <c r="J29" s="1"/>
      <c r="K29" s="1"/>
      <c r="L29" s="1"/>
      <c r="M29" s="1"/>
      <c r="N29" s="1"/>
      <c r="O29" s="1"/>
      <c r="P29" s="1"/>
      <c r="Q29" s="1"/>
      <c r="R29" s="1"/>
    </row>
    <row r="30" spans="1:21" ht="18.75" customHeight="1">
      <c r="A30" s="1"/>
      <c r="B30" s="1"/>
      <c r="C30" s="1"/>
      <c r="D30" s="1"/>
      <c r="E30" s="1"/>
      <c r="F30" s="1"/>
      <c r="G30" s="1"/>
      <c r="H30" s="1"/>
      <c r="I30" s="1"/>
      <c r="J30" s="1"/>
      <c r="K30" s="1"/>
      <c r="L30" s="1"/>
      <c r="M30" s="1"/>
      <c r="N30" s="1"/>
      <c r="O30" s="1"/>
      <c r="P30" s="1"/>
      <c r="Q30" s="1"/>
      <c r="R30" s="1"/>
    </row>
    <row r="31" spans="1:21" ht="18.75" customHeight="1">
      <c r="A31" s="1"/>
      <c r="B31" s="1"/>
      <c r="C31" s="1"/>
      <c r="D31" s="1"/>
      <c r="E31" s="1"/>
      <c r="F31" s="1"/>
      <c r="G31" s="1"/>
      <c r="H31" s="1"/>
      <c r="I31" s="1"/>
      <c r="J31" s="1"/>
      <c r="K31" s="1"/>
      <c r="L31" s="1"/>
      <c r="M31" s="1"/>
      <c r="N31" s="1"/>
      <c r="O31" s="1"/>
      <c r="P31" s="1"/>
      <c r="Q31" s="1"/>
      <c r="R31" s="1"/>
    </row>
    <row r="32" spans="1:21" ht="18.75" customHeight="1">
      <c r="A32" s="1"/>
      <c r="B32" s="1"/>
      <c r="C32" s="1"/>
      <c r="D32" s="1"/>
      <c r="E32" s="1"/>
      <c r="F32" s="1"/>
      <c r="G32" s="1"/>
      <c r="H32" s="1"/>
      <c r="I32" s="1"/>
      <c r="J32" s="1"/>
      <c r="K32" s="1"/>
      <c r="L32" s="1"/>
      <c r="M32" s="1"/>
      <c r="N32" s="1"/>
      <c r="O32" s="1"/>
      <c r="P32" s="1"/>
      <c r="Q32" s="1"/>
      <c r="R32" s="1"/>
    </row>
    <row r="33" spans="1:18" ht="18.75" customHeight="1">
      <c r="A33" s="1"/>
      <c r="B33" s="1"/>
      <c r="C33" s="1"/>
      <c r="D33" s="1"/>
      <c r="E33" s="1"/>
      <c r="F33" s="1"/>
      <c r="G33" s="1"/>
      <c r="H33" s="1"/>
      <c r="I33" s="1"/>
      <c r="J33" s="1"/>
      <c r="K33" s="1"/>
      <c r="L33" s="1"/>
      <c r="M33" s="1"/>
      <c r="N33" s="1"/>
      <c r="O33" s="1"/>
      <c r="P33" s="1"/>
      <c r="Q33" s="1"/>
      <c r="R33" s="1"/>
    </row>
    <row r="34" spans="1:18" ht="18.75" customHeight="1">
      <c r="A34" s="1"/>
      <c r="B34" s="1"/>
      <c r="C34" s="1"/>
      <c r="D34" s="1"/>
      <c r="E34" s="1"/>
      <c r="F34" s="1"/>
      <c r="G34" s="1"/>
      <c r="H34" s="1"/>
      <c r="I34" s="1"/>
      <c r="J34" s="1"/>
      <c r="K34" s="1"/>
      <c r="L34" s="1"/>
      <c r="M34" s="1"/>
      <c r="N34" s="1"/>
      <c r="O34" s="1"/>
      <c r="P34" s="1"/>
      <c r="Q34" s="1"/>
      <c r="R34" s="1"/>
    </row>
  </sheetData>
  <mergeCells count="25">
    <mergeCell ref="B17:T17"/>
    <mergeCell ref="B9:D9"/>
    <mergeCell ref="N9:P9"/>
    <mergeCell ref="F9:H9"/>
    <mergeCell ref="P15:T15"/>
    <mergeCell ref="P14:T14"/>
    <mergeCell ref="F14:H14"/>
    <mergeCell ref="I14:N14"/>
    <mergeCell ref="B15:E16"/>
    <mergeCell ref="F15:H16"/>
    <mergeCell ref="I15:N16"/>
    <mergeCell ref="P16:T16"/>
    <mergeCell ref="R5:T5"/>
    <mergeCell ref="B4:D4"/>
    <mergeCell ref="R9:T9"/>
    <mergeCell ref="F4:H4"/>
    <mergeCell ref="N4:P4"/>
    <mergeCell ref="J5:L5"/>
    <mergeCell ref="R4:T4"/>
    <mergeCell ref="J9:L9"/>
    <mergeCell ref="F5:H5"/>
    <mergeCell ref="B8:D8"/>
    <mergeCell ref="N5:P5"/>
    <mergeCell ref="J4:L4"/>
    <mergeCell ref="B5:D5"/>
  </mergeCells>
  <dataValidations disablePrompts="1" count="2">
    <dataValidation type="date" errorTitle="Invalid date" error="Please enter a valid date (e.g., 2/29/2026)." promptTitle="Report Month End" prompt="Type the month-end date you are reporting on (e.g., 2/29/2026)." sqref="C3" xr:uid="{00000000-0002-0000-0500-000000000000}">
      <formula1>DATE(2020,1,1)</formula1>
      <formula2>DATE(2100,12,31)</formula2>
    </dataValidation>
    <dataValidation type="date" errorTitle="Invalid date" error="Please enter a valid date." promptTitle="Report Month End" prompt="Type the month-end date you are reporting on." sqref="C3" xr:uid="{00000000-0002-0000-0500-000001000000}">
      <formula1>DATE(2020,1,1)</formula1>
      <formula2>DATE(2100,12,31)</formula2>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3DB97-CDC6-4C3C-8654-A311A7995530}">
  <dimension ref="A1:D123"/>
  <sheetViews>
    <sheetView workbookViewId="0">
      <selection activeCell="D141" sqref="D141"/>
    </sheetView>
  </sheetViews>
  <sheetFormatPr defaultColWidth="8.7109375" defaultRowHeight="15"/>
  <cols>
    <col min="1" max="3" width="14.7109375" customWidth="1"/>
    <col min="4" max="4" width="67.140625" bestFit="1" customWidth="1"/>
  </cols>
  <sheetData>
    <row r="1" spans="1:4">
      <c r="A1" t="s">
        <v>148</v>
      </c>
      <c r="B1" t="s">
        <v>5</v>
      </c>
      <c r="C1" t="s">
        <v>149</v>
      </c>
      <c r="D1" t="s">
        <v>150</v>
      </c>
    </row>
    <row r="2" spans="1:4">
      <c r="A2" t="s">
        <v>151</v>
      </c>
      <c r="B2">
        <v>1919.3700000000001</v>
      </c>
      <c r="C2" s="422">
        <v>45658</v>
      </c>
      <c r="D2" t="s">
        <v>152</v>
      </c>
    </row>
    <row r="3" spans="1:4">
      <c r="A3" t="s">
        <v>148</v>
      </c>
      <c r="B3">
        <v>0</v>
      </c>
      <c r="C3" s="422">
        <v>45658</v>
      </c>
      <c r="D3" t="s">
        <v>152</v>
      </c>
    </row>
    <row r="4" spans="1:4">
      <c r="A4" t="s">
        <v>153</v>
      </c>
      <c r="B4">
        <v>0</v>
      </c>
      <c r="C4" s="422">
        <v>45658</v>
      </c>
      <c r="D4" t="s">
        <v>152</v>
      </c>
    </row>
    <row r="5" spans="1:4">
      <c r="A5" t="s">
        <v>154</v>
      </c>
      <c r="B5">
        <v>-88.07000000000005</v>
      </c>
      <c r="C5" s="422">
        <v>45658</v>
      </c>
      <c r="D5" t="s">
        <v>152</v>
      </c>
    </row>
    <row r="6" spans="1:4">
      <c r="A6" t="s">
        <v>155</v>
      </c>
      <c r="B6">
        <v>0</v>
      </c>
      <c r="C6" s="422">
        <v>45658</v>
      </c>
      <c r="D6" t="s">
        <v>152</v>
      </c>
    </row>
    <row r="7" spans="1:4">
      <c r="A7" t="s">
        <v>156</v>
      </c>
      <c r="B7">
        <v>0</v>
      </c>
      <c r="C7" s="422">
        <v>45658</v>
      </c>
      <c r="D7" t="s">
        <v>152</v>
      </c>
    </row>
    <row r="8" spans="1:4">
      <c r="A8" t="s">
        <v>157</v>
      </c>
      <c r="B8">
        <v>0</v>
      </c>
      <c r="C8" s="422">
        <v>45658</v>
      </c>
      <c r="D8" t="s">
        <v>152</v>
      </c>
    </row>
    <row r="9" spans="1:4">
      <c r="A9" t="s">
        <v>158</v>
      </c>
      <c r="B9">
        <v>8500</v>
      </c>
      <c r="C9" s="422">
        <v>45688</v>
      </c>
      <c r="D9" t="s">
        <v>159</v>
      </c>
    </row>
    <row r="10" spans="1:4">
      <c r="A10" t="s">
        <v>151</v>
      </c>
      <c r="B10">
        <v>5984.7</v>
      </c>
      <c r="C10" s="422">
        <v>45689</v>
      </c>
      <c r="D10" t="s">
        <v>152</v>
      </c>
    </row>
    <row r="11" spans="1:4">
      <c r="A11" t="s">
        <v>148</v>
      </c>
      <c r="B11">
        <v>1142.44</v>
      </c>
      <c r="C11" s="422">
        <v>45689</v>
      </c>
      <c r="D11" t="s">
        <v>152</v>
      </c>
    </row>
    <row r="12" spans="1:4">
      <c r="A12" t="s">
        <v>153</v>
      </c>
      <c r="B12">
        <v>0</v>
      </c>
      <c r="C12" s="422">
        <v>45689</v>
      </c>
      <c r="D12" t="s">
        <v>152</v>
      </c>
    </row>
    <row r="13" spans="1:4">
      <c r="A13" t="s">
        <v>154</v>
      </c>
      <c r="B13">
        <v>0</v>
      </c>
      <c r="C13" s="422">
        <v>45689</v>
      </c>
      <c r="D13" t="s">
        <v>152</v>
      </c>
    </row>
    <row r="14" spans="1:4">
      <c r="A14" t="s">
        <v>155</v>
      </c>
      <c r="B14">
        <v>0</v>
      </c>
      <c r="C14" s="422">
        <v>45689</v>
      </c>
      <c r="D14" t="s">
        <v>152</v>
      </c>
    </row>
    <row r="15" spans="1:4">
      <c r="A15" t="s">
        <v>156</v>
      </c>
      <c r="B15">
        <v>0</v>
      </c>
      <c r="C15" s="422">
        <v>45689</v>
      </c>
      <c r="D15" t="s">
        <v>152</v>
      </c>
    </row>
    <row r="16" spans="1:4">
      <c r="A16" t="s">
        <v>157</v>
      </c>
      <c r="B16">
        <v>0</v>
      </c>
      <c r="C16" s="422">
        <v>45689</v>
      </c>
      <c r="D16" t="s">
        <v>152</v>
      </c>
    </row>
    <row r="17" spans="1:4">
      <c r="A17" t="s">
        <v>151</v>
      </c>
      <c r="B17">
        <v>0</v>
      </c>
      <c r="C17" s="422">
        <v>45717</v>
      </c>
      <c r="D17" t="s">
        <v>152</v>
      </c>
    </row>
    <row r="18" spans="1:4">
      <c r="A18" t="s">
        <v>148</v>
      </c>
      <c r="B18">
        <v>20.100000000000001</v>
      </c>
      <c r="C18" s="422">
        <v>45717</v>
      </c>
      <c r="D18" t="s">
        <v>152</v>
      </c>
    </row>
    <row r="19" spans="1:4">
      <c r="A19" t="s">
        <v>153</v>
      </c>
      <c r="B19">
        <v>0</v>
      </c>
      <c r="C19" s="422">
        <v>45717</v>
      </c>
      <c r="D19" t="s">
        <v>152</v>
      </c>
    </row>
    <row r="20" spans="1:4">
      <c r="A20" t="s">
        <v>154</v>
      </c>
      <c r="B20">
        <v>0</v>
      </c>
      <c r="C20" s="422">
        <v>45717</v>
      </c>
      <c r="D20" t="s">
        <v>152</v>
      </c>
    </row>
    <row r="21" spans="1:4">
      <c r="A21" t="s">
        <v>155</v>
      </c>
      <c r="B21">
        <v>0</v>
      </c>
      <c r="C21" s="422">
        <v>45717</v>
      </c>
      <c r="D21" t="s">
        <v>152</v>
      </c>
    </row>
    <row r="22" spans="1:4">
      <c r="A22" t="s">
        <v>156</v>
      </c>
      <c r="B22">
        <v>0</v>
      </c>
      <c r="C22" s="422">
        <v>45717</v>
      </c>
      <c r="D22" t="s">
        <v>152</v>
      </c>
    </row>
    <row r="23" spans="1:4">
      <c r="A23" t="s">
        <v>157</v>
      </c>
      <c r="B23">
        <v>0</v>
      </c>
      <c r="C23" s="422">
        <v>45717</v>
      </c>
      <c r="D23" t="s">
        <v>152</v>
      </c>
    </row>
    <row r="24" spans="1:4">
      <c r="A24" t="s">
        <v>151</v>
      </c>
      <c r="B24">
        <v>1748.8899999999999</v>
      </c>
      <c r="C24" s="422">
        <v>45748</v>
      </c>
      <c r="D24" t="s">
        <v>152</v>
      </c>
    </row>
    <row r="25" spans="1:4">
      <c r="A25" t="s">
        <v>148</v>
      </c>
      <c r="B25">
        <v>481.41999999999996</v>
      </c>
      <c r="C25" s="422">
        <v>45748</v>
      </c>
      <c r="D25" t="s">
        <v>152</v>
      </c>
    </row>
    <row r="26" spans="1:4">
      <c r="A26" t="s">
        <v>153</v>
      </c>
      <c r="B26">
        <v>2053.89</v>
      </c>
      <c r="C26" s="422">
        <v>45748</v>
      </c>
      <c r="D26" t="s">
        <v>152</v>
      </c>
    </row>
    <row r="27" spans="1:4">
      <c r="A27" t="s">
        <v>154</v>
      </c>
      <c r="B27">
        <v>0</v>
      </c>
      <c r="C27" s="422">
        <v>45748</v>
      </c>
      <c r="D27" t="s">
        <v>152</v>
      </c>
    </row>
    <row r="28" spans="1:4">
      <c r="A28" t="s">
        <v>155</v>
      </c>
      <c r="B28">
        <v>0</v>
      </c>
      <c r="C28" s="422">
        <v>45748</v>
      </c>
      <c r="D28" t="s">
        <v>152</v>
      </c>
    </row>
    <row r="29" spans="1:4">
      <c r="A29" t="s">
        <v>156</v>
      </c>
      <c r="B29">
        <v>0</v>
      </c>
      <c r="C29" s="422">
        <v>45748</v>
      </c>
      <c r="D29" t="s">
        <v>152</v>
      </c>
    </row>
    <row r="30" spans="1:4">
      <c r="A30" t="s">
        <v>157</v>
      </c>
      <c r="B30">
        <v>0</v>
      </c>
      <c r="C30" s="422">
        <v>45748</v>
      </c>
      <c r="D30" t="s">
        <v>152</v>
      </c>
    </row>
    <row r="31" spans="1:4">
      <c r="A31" t="s">
        <v>151</v>
      </c>
      <c r="B31">
        <v>240.96</v>
      </c>
      <c r="C31" s="422">
        <v>45778</v>
      </c>
      <c r="D31" t="s">
        <v>152</v>
      </c>
    </row>
    <row r="32" spans="1:4">
      <c r="A32" t="s">
        <v>148</v>
      </c>
      <c r="B32">
        <v>1020.28</v>
      </c>
      <c r="C32" s="422">
        <v>45778</v>
      </c>
      <c r="D32" t="s">
        <v>152</v>
      </c>
    </row>
    <row r="33" spans="1:4">
      <c r="A33" t="s">
        <v>153</v>
      </c>
      <c r="B33">
        <v>44.86</v>
      </c>
      <c r="C33" s="422">
        <v>45778</v>
      </c>
      <c r="D33" t="s">
        <v>152</v>
      </c>
    </row>
    <row r="34" spans="1:4">
      <c r="A34" t="s">
        <v>154</v>
      </c>
      <c r="B34">
        <v>0</v>
      </c>
      <c r="C34" s="422">
        <v>45778</v>
      </c>
      <c r="D34" t="s">
        <v>152</v>
      </c>
    </row>
    <row r="35" spans="1:4">
      <c r="A35" t="s">
        <v>155</v>
      </c>
      <c r="B35">
        <v>454.97</v>
      </c>
      <c r="C35" s="422">
        <v>45778</v>
      </c>
      <c r="D35" t="s">
        <v>152</v>
      </c>
    </row>
    <row r="36" spans="1:4">
      <c r="A36" t="s">
        <v>156</v>
      </c>
      <c r="B36">
        <v>0</v>
      </c>
      <c r="C36" s="422">
        <v>45778</v>
      </c>
      <c r="D36" t="s">
        <v>152</v>
      </c>
    </row>
    <row r="37" spans="1:4">
      <c r="A37" t="s">
        <v>157</v>
      </c>
      <c r="B37">
        <v>0</v>
      </c>
      <c r="C37" s="422">
        <v>45778</v>
      </c>
      <c r="D37" t="s">
        <v>152</v>
      </c>
    </row>
    <row r="38" spans="1:4">
      <c r="A38" t="s">
        <v>151</v>
      </c>
      <c r="B38">
        <v>0</v>
      </c>
      <c r="C38" s="422">
        <v>45809</v>
      </c>
      <c r="D38" t="s">
        <v>152</v>
      </c>
    </row>
    <row r="39" spans="1:4">
      <c r="A39" t="s">
        <v>148</v>
      </c>
      <c r="B39">
        <v>344.07000000000005</v>
      </c>
      <c r="C39" s="422">
        <v>45809</v>
      </c>
      <c r="D39" t="s">
        <v>152</v>
      </c>
    </row>
    <row r="40" spans="1:4">
      <c r="A40" t="s">
        <v>153</v>
      </c>
      <c r="B40">
        <v>0</v>
      </c>
      <c r="C40" s="422">
        <v>45809</v>
      </c>
      <c r="D40" t="s">
        <v>152</v>
      </c>
    </row>
    <row r="41" spans="1:4">
      <c r="A41" t="s">
        <v>154</v>
      </c>
      <c r="B41">
        <v>0</v>
      </c>
      <c r="C41" s="422">
        <v>45809</v>
      </c>
      <c r="D41" t="s">
        <v>152</v>
      </c>
    </row>
    <row r="42" spans="1:4">
      <c r="A42" t="s">
        <v>155</v>
      </c>
      <c r="B42">
        <v>694.44999999999993</v>
      </c>
      <c r="C42" s="422">
        <v>45809</v>
      </c>
      <c r="D42" t="s">
        <v>152</v>
      </c>
    </row>
    <row r="43" spans="1:4">
      <c r="A43" t="s">
        <v>156</v>
      </c>
      <c r="B43">
        <v>0</v>
      </c>
      <c r="C43" s="422">
        <v>45809</v>
      </c>
      <c r="D43" t="s">
        <v>152</v>
      </c>
    </row>
    <row r="44" spans="1:4">
      <c r="A44" t="s">
        <v>157</v>
      </c>
      <c r="B44">
        <v>0</v>
      </c>
      <c r="C44" s="422">
        <v>45809</v>
      </c>
      <c r="D44" t="s">
        <v>152</v>
      </c>
    </row>
    <row r="45" spans="1:4">
      <c r="A45" t="s">
        <v>157</v>
      </c>
      <c r="B45">
        <v>35000</v>
      </c>
      <c r="C45" s="422">
        <v>45838</v>
      </c>
      <c r="D45" t="s">
        <v>160</v>
      </c>
    </row>
    <row r="46" spans="1:4">
      <c r="A46" t="s">
        <v>151</v>
      </c>
      <c r="B46">
        <v>50</v>
      </c>
      <c r="C46" s="422">
        <v>45839</v>
      </c>
      <c r="D46" t="s">
        <v>152</v>
      </c>
    </row>
    <row r="47" spans="1:4">
      <c r="A47" t="s">
        <v>148</v>
      </c>
      <c r="B47">
        <v>1811.69</v>
      </c>
      <c r="C47" s="422">
        <v>45839</v>
      </c>
      <c r="D47" t="s">
        <v>152</v>
      </c>
    </row>
    <row r="48" spans="1:4">
      <c r="A48" t="s">
        <v>153</v>
      </c>
      <c r="B48">
        <v>0</v>
      </c>
      <c r="C48" s="422">
        <v>45839</v>
      </c>
      <c r="D48" t="s">
        <v>152</v>
      </c>
    </row>
    <row r="49" spans="1:4">
      <c r="A49" t="s">
        <v>154</v>
      </c>
      <c r="B49">
        <v>0</v>
      </c>
      <c r="C49" s="422">
        <v>45839</v>
      </c>
      <c r="D49" t="s">
        <v>152</v>
      </c>
    </row>
    <row r="50" spans="1:4">
      <c r="A50" t="s">
        <v>155</v>
      </c>
      <c r="B50">
        <v>0</v>
      </c>
      <c r="C50" s="422">
        <v>45839</v>
      </c>
      <c r="D50" t="s">
        <v>152</v>
      </c>
    </row>
    <row r="51" spans="1:4">
      <c r="A51" t="s">
        <v>156</v>
      </c>
      <c r="B51">
        <v>12157.03</v>
      </c>
      <c r="C51" s="422">
        <v>45839</v>
      </c>
      <c r="D51" t="s">
        <v>152</v>
      </c>
    </row>
    <row r="52" spans="1:4">
      <c r="A52" t="s">
        <v>157</v>
      </c>
      <c r="B52">
        <v>0</v>
      </c>
      <c r="C52" s="422">
        <v>45839</v>
      </c>
      <c r="D52" t="s">
        <v>152</v>
      </c>
    </row>
    <row r="53" spans="1:4">
      <c r="A53" t="s">
        <v>151</v>
      </c>
      <c r="B53">
        <v>0</v>
      </c>
      <c r="C53" s="422">
        <v>45870</v>
      </c>
      <c r="D53" t="s">
        <v>152</v>
      </c>
    </row>
    <row r="54" spans="1:4">
      <c r="A54" t="s">
        <v>148</v>
      </c>
      <c r="B54">
        <v>0</v>
      </c>
      <c r="C54" s="422">
        <v>45870</v>
      </c>
      <c r="D54" t="s">
        <v>152</v>
      </c>
    </row>
    <row r="55" spans="1:4">
      <c r="A55" t="s">
        <v>153</v>
      </c>
      <c r="B55">
        <v>0</v>
      </c>
      <c r="C55" s="422">
        <v>45870</v>
      </c>
      <c r="D55" t="s">
        <v>152</v>
      </c>
    </row>
    <row r="56" spans="1:4">
      <c r="A56" t="s">
        <v>154</v>
      </c>
      <c r="B56">
        <v>0</v>
      </c>
      <c r="C56" s="422">
        <v>45870</v>
      </c>
      <c r="D56" t="s">
        <v>152</v>
      </c>
    </row>
    <row r="57" spans="1:4">
      <c r="A57" t="s">
        <v>155</v>
      </c>
      <c r="B57">
        <v>0</v>
      </c>
      <c r="C57" s="422">
        <v>45870</v>
      </c>
      <c r="D57" t="s">
        <v>152</v>
      </c>
    </row>
    <row r="58" spans="1:4">
      <c r="A58" t="s">
        <v>156</v>
      </c>
      <c r="B58">
        <v>0</v>
      </c>
      <c r="C58" s="422">
        <v>45870</v>
      </c>
      <c r="D58" t="s">
        <v>152</v>
      </c>
    </row>
    <row r="59" spans="1:4">
      <c r="A59" t="s">
        <v>157</v>
      </c>
      <c r="B59">
        <v>1464.28</v>
      </c>
      <c r="C59" s="422">
        <v>45870</v>
      </c>
      <c r="D59" t="s">
        <v>152</v>
      </c>
    </row>
    <row r="60" spans="1:4">
      <c r="A60" t="s">
        <v>161</v>
      </c>
      <c r="C60" s="422">
        <v>45870</v>
      </c>
      <c r="D60" t="s">
        <v>162</v>
      </c>
    </row>
    <row r="61" spans="1:4">
      <c r="A61" t="s">
        <v>151</v>
      </c>
      <c r="B61">
        <v>0</v>
      </c>
      <c r="C61" s="422">
        <v>45901</v>
      </c>
      <c r="D61" t="s">
        <v>152</v>
      </c>
    </row>
    <row r="62" spans="1:4">
      <c r="A62" t="s">
        <v>148</v>
      </c>
      <c r="B62">
        <v>3893.3699999999994</v>
      </c>
      <c r="C62" s="422">
        <v>45901</v>
      </c>
      <c r="D62" t="s">
        <v>152</v>
      </c>
    </row>
    <row r="63" spans="1:4">
      <c r="A63" t="s">
        <v>153</v>
      </c>
      <c r="B63">
        <v>0</v>
      </c>
      <c r="C63" s="422">
        <v>45901</v>
      </c>
      <c r="D63" t="s">
        <v>152</v>
      </c>
    </row>
    <row r="64" spans="1:4">
      <c r="A64" t="s">
        <v>154</v>
      </c>
      <c r="B64">
        <v>0</v>
      </c>
      <c r="C64" s="422">
        <v>45901</v>
      </c>
      <c r="D64" t="s">
        <v>152</v>
      </c>
    </row>
    <row r="65" spans="1:4">
      <c r="A65" t="s">
        <v>155</v>
      </c>
      <c r="B65">
        <v>0</v>
      </c>
      <c r="C65" s="422">
        <v>45901</v>
      </c>
      <c r="D65" t="s">
        <v>152</v>
      </c>
    </row>
    <row r="66" spans="1:4">
      <c r="A66" t="s">
        <v>156</v>
      </c>
      <c r="B66">
        <v>0</v>
      </c>
      <c r="C66" s="422">
        <v>45901</v>
      </c>
      <c r="D66" t="s">
        <v>152</v>
      </c>
    </row>
    <row r="67" spans="1:4">
      <c r="A67" t="s">
        <v>157</v>
      </c>
      <c r="B67">
        <v>2829.3399999999997</v>
      </c>
      <c r="C67" s="422">
        <v>45901</v>
      </c>
      <c r="D67" t="s">
        <v>152</v>
      </c>
    </row>
    <row r="68" spans="1:4">
      <c r="A68" t="s">
        <v>161</v>
      </c>
      <c r="C68" s="422">
        <v>45901</v>
      </c>
      <c r="D68" t="s">
        <v>162</v>
      </c>
    </row>
    <row r="69" spans="1:4">
      <c r="A69" t="s">
        <v>151</v>
      </c>
      <c r="B69">
        <v>1120.42</v>
      </c>
      <c r="C69" s="422">
        <v>45931</v>
      </c>
      <c r="D69" t="s">
        <v>152</v>
      </c>
    </row>
    <row r="70" spans="1:4">
      <c r="A70" t="s">
        <v>148</v>
      </c>
      <c r="B70">
        <v>78.84</v>
      </c>
      <c r="C70" s="422">
        <v>45931</v>
      </c>
      <c r="D70" t="s">
        <v>152</v>
      </c>
    </row>
    <row r="71" spans="1:4">
      <c r="A71" t="s">
        <v>153</v>
      </c>
      <c r="B71">
        <v>0</v>
      </c>
      <c r="C71" s="422">
        <v>45931</v>
      </c>
      <c r="D71" t="s">
        <v>152</v>
      </c>
    </row>
    <row r="72" spans="1:4">
      <c r="A72" t="s">
        <v>154</v>
      </c>
      <c r="B72">
        <v>0</v>
      </c>
      <c r="C72" s="422">
        <v>45931</v>
      </c>
      <c r="D72" t="s">
        <v>152</v>
      </c>
    </row>
    <row r="73" spans="1:4">
      <c r="A73" t="s">
        <v>155</v>
      </c>
      <c r="B73">
        <v>0</v>
      </c>
      <c r="C73" s="422">
        <v>45931</v>
      </c>
      <c r="D73" t="s">
        <v>152</v>
      </c>
    </row>
    <row r="74" spans="1:4">
      <c r="A74" t="s">
        <v>156</v>
      </c>
      <c r="B74">
        <v>0</v>
      </c>
      <c r="C74" s="422">
        <v>45931</v>
      </c>
      <c r="D74" t="s">
        <v>152</v>
      </c>
    </row>
    <row r="75" spans="1:4">
      <c r="A75" t="s">
        <v>157</v>
      </c>
      <c r="B75">
        <v>6793.3700000000008</v>
      </c>
      <c r="C75" s="422">
        <v>45931</v>
      </c>
      <c r="D75" t="s">
        <v>152</v>
      </c>
    </row>
    <row r="76" spans="1:4">
      <c r="A76" t="s">
        <v>161</v>
      </c>
      <c r="C76" s="422">
        <v>45931</v>
      </c>
      <c r="D76" t="s">
        <v>162</v>
      </c>
    </row>
    <row r="77" spans="1:4">
      <c r="A77" t="s">
        <v>156</v>
      </c>
      <c r="B77">
        <v>15000</v>
      </c>
      <c r="C77" s="422">
        <v>45961</v>
      </c>
      <c r="D77" t="s">
        <v>163</v>
      </c>
    </row>
    <row r="78" spans="1:4">
      <c r="A78" t="s">
        <v>151</v>
      </c>
      <c r="B78">
        <v>6574.65</v>
      </c>
      <c r="C78" s="422">
        <v>45962</v>
      </c>
      <c r="D78" t="s">
        <v>152</v>
      </c>
    </row>
    <row r="79" spans="1:4">
      <c r="A79" t="s">
        <v>148</v>
      </c>
      <c r="B79">
        <v>3174.32</v>
      </c>
      <c r="C79" s="422">
        <v>45962</v>
      </c>
      <c r="D79" t="s">
        <v>152</v>
      </c>
    </row>
    <row r="80" spans="1:4">
      <c r="A80" t="s">
        <v>153</v>
      </c>
      <c r="B80">
        <v>0</v>
      </c>
      <c r="C80" s="422">
        <v>45962</v>
      </c>
      <c r="D80" t="s">
        <v>152</v>
      </c>
    </row>
    <row r="81" spans="1:4">
      <c r="A81" t="s">
        <v>154</v>
      </c>
      <c r="B81">
        <v>0</v>
      </c>
      <c r="C81" s="422">
        <v>45962</v>
      </c>
      <c r="D81" t="s">
        <v>152</v>
      </c>
    </row>
    <row r="82" spans="1:4">
      <c r="A82" t="s">
        <v>155</v>
      </c>
      <c r="B82">
        <v>0</v>
      </c>
      <c r="C82" s="422">
        <v>45962</v>
      </c>
      <c r="D82" t="s">
        <v>152</v>
      </c>
    </row>
    <row r="83" spans="1:4">
      <c r="A83" t="s">
        <v>156</v>
      </c>
      <c r="B83">
        <v>43.34</v>
      </c>
      <c r="C83" s="422">
        <v>45962</v>
      </c>
      <c r="D83" t="s">
        <v>152</v>
      </c>
    </row>
    <row r="84" spans="1:4">
      <c r="A84" t="s">
        <v>157</v>
      </c>
      <c r="B84">
        <v>278.02</v>
      </c>
      <c r="C84" s="422">
        <v>45962</v>
      </c>
      <c r="D84" t="s">
        <v>152</v>
      </c>
    </row>
    <row r="85" spans="1:4">
      <c r="A85" t="s">
        <v>161</v>
      </c>
      <c r="C85" s="422">
        <v>45962</v>
      </c>
      <c r="D85" t="s">
        <v>162</v>
      </c>
    </row>
    <row r="86" spans="1:4">
      <c r="A86" t="s">
        <v>155</v>
      </c>
      <c r="B86">
        <v>10892</v>
      </c>
      <c r="C86" s="422">
        <v>45991</v>
      </c>
      <c r="D86" t="s">
        <v>164</v>
      </c>
    </row>
    <row r="87" spans="1:4">
      <c r="A87" t="s">
        <v>151</v>
      </c>
      <c r="B87">
        <v>10273.729999999994</v>
      </c>
      <c r="C87" s="422">
        <v>45992</v>
      </c>
      <c r="D87" t="s">
        <v>152</v>
      </c>
    </row>
    <row r="88" spans="1:4">
      <c r="A88" t="s">
        <v>148</v>
      </c>
      <c r="B88">
        <v>0</v>
      </c>
      <c r="C88" s="422">
        <v>45992</v>
      </c>
      <c r="D88" t="s">
        <v>152</v>
      </c>
    </row>
    <row r="89" spans="1:4">
      <c r="A89" t="s">
        <v>153</v>
      </c>
      <c r="B89">
        <v>0</v>
      </c>
      <c r="C89" s="422">
        <v>45992</v>
      </c>
      <c r="D89" t="s">
        <v>152</v>
      </c>
    </row>
    <row r="90" spans="1:4">
      <c r="A90" t="s">
        <v>154</v>
      </c>
      <c r="B90">
        <v>0</v>
      </c>
      <c r="C90" s="422">
        <v>45992</v>
      </c>
      <c r="D90" t="s">
        <v>152</v>
      </c>
    </row>
    <row r="91" spans="1:4">
      <c r="A91" t="s">
        <v>155</v>
      </c>
      <c r="B91">
        <v>0</v>
      </c>
      <c r="C91" s="422">
        <v>45992</v>
      </c>
      <c r="D91" t="s">
        <v>152</v>
      </c>
    </row>
    <row r="92" spans="1:4">
      <c r="A92" t="s">
        <v>156</v>
      </c>
      <c r="B92">
        <v>0</v>
      </c>
      <c r="C92" s="422">
        <v>45992</v>
      </c>
      <c r="D92" t="s">
        <v>152</v>
      </c>
    </row>
    <row r="93" spans="1:4">
      <c r="A93" t="s">
        <v>157</v>
      </c>
      <c r="B93">
        <v>269.54000000000002</v>
      </c>
      <c r="C93" s="422">
        <v>45992</v>
      </c>
      <c r="D93" t="s">
        <v>152</v>
      </c>
    </row>
    <row r="94" spans="1:4">
      <c r="A94" t="s">
        <v>161</v>
      </c>
      <c r="C94" s="422">
        <v>45992</v>
      </c>
      <c r="D94" t="s">
        <v>162</v>
      </c>
    </row>
    <row r="95" spans="1:4">
      <c r="A95" t="s">
        <v>158</v>
      </c>
      <c r="B95">
        <v>21250</v>
      </c>
      <c r="C95" s="422">
        <v>46022</v>
      </c>
      <c r="D95" t="s">
        <v>165</v>
      </c>
    </row>
    <row r="96" spans="1:4">
      <c r="A96" t="s">
        <v>151</v>
      </c>
      <c r="B96">
        <v>1418.31</v>
      </c>
      <c r="C96" s="422">
        <v>46023</v>
      </c>
      <c r="D96" t="s">
        <v>152</v>
      </c>
    </row>
    <row r="97" spans="1:4">
      <c r="A97" t="s">
        <v>148</v>
      </c>
      <c r="B97">
        <v>1116.21</v>
      </c>
      <c r="C97" s="422">
        <v>46023</v>
      </c>
      <c r="D97" t="s">
        <v>152</v>
      </c>
    </row>
    <row r="98" spans="1:4">
      <c r="A98" t="s">
        <v>153</v>
      </c>
      <c r="B98">
        <v>764.76</v>
      </c>
      <c r="C98" s="422">
        <v>46023</v>
      </c>
      <c r="D98" t="s">
        <v>152</v>
      </c>
    </row>
    <row r="99" spans="1:4">
      <c r="A99" t="s">
        <v>154</v>
      </c>
      <c r="B99">
        <v>0</v>
      </c>
      <c r="C99" s="422">
        <v>46023</v>
      </c>
      <c r="D99" t="s">
        <v>152</v>
      </c>
    </row>
    <row r="100" spans="1:4">
      <c r="A100" t="s">
        <v>155</v>
      </c>
      <c r="B100">
        <v>0</v>
      </c>
      <c r="C100" s="422">
        <v>46023</v>
      </c>
      <c r="D100" t="s">
        <v>152</v>
      </c>
    </row>
    <row r="101" spans="1:4">
      <c r="A101" t="s">
        <v>156</v>
      </c>
      <c r="B101">
        <v>0</v>
      </c>
      <c r="C101" s="422">
        <v>46023</v>
      </c>
      <c r="D101" t="s">
        <v>152</v>
      </c>
    </row>
    <row r="102" spans="1:4">
      <c r="A102" t="s">
        <v>157</v>
      </c>
      <c r="B102">
        <v>0</v>
      </c>
      <c r="C102" s="422">
        <v>46023</v>
      </c>
      <c r="D102" t="s">
        <v>152</v>
      </c>
    </row>
    <row r="103" spans="1:4">
      <c r="A103" t="s">
        <v>161</v>
      </c>
      <c r="C103" s="422">
        <v>46023</v>
      </c>
      <c r="D103" t="s">
        <v>162</v>
      </c>
    </row>
    <row r="104" spans="1:4">
      <c r="A104" t="s">
        <v>158</v>
      </c>
      <c r="B104">
        <v>10000</v>
      </c>
      <c r="C104" s="422">
        <v>46053</v>
      </c>
      <c r="D104" t="s">
        <v>166</v>
      </c>
    </row>
    <row r="105" spans="1:4">
      <c r="A105" t="s">
        <v>151</v>
      </c>
      <c r="B105">
        <v>14854.339999999998</v>
      </c>
      <c r="C105" s="422">
        <v>46054</v>
      </c>
      <c r="D105" t="s">
        <v>152</v>
      </c>
    </row>
    <row r="106" spans="1:4">
      <c r="A106" t="s">
        <v>148</v>
      </c>
      <c r="B106">
        <v>1756.3899999999999</v>
      </c>
      <c r="C106" s="422">
        <v>46054</v>
      </c>
      <c r="D106" t="s">
        <v>152</v>
      </c>
    </row>
    <row r="107" spans="1:4">
      <c r="A107" t="s">
        <v>153</v>
      </c>
      <c r="B107">
        <v>0</v>
      </c>
      <c r="C107" s="422">
        <v>46054</v>
      </c>
      <c r="D107" t="s">
        <v>152</v>
      </c>
    </row>
    <row r="108" spans="1:4">
      <c r="A108" s="472" t="s">
        <v>154</v>
      </c>
      <c r="B108">
        <v>0</v>
      </c>
      <c r="C108" s="422">
        <v>46054</v>
      </c>
      <c r="D108" t="s">
        <v>152</v>
      </c>
    </row>
    <row r="109" spans="1:4">
      <c r="A109" t="s">
        <v>155</v>
      </c>
      <c r="B109">
        <v>0</v>
      </c>
      <c r="C109" s="422">
        <v>46054</v>
      </c>
      <c r="D109" t="s">
        <v>152</v>
      </c>
    </row>
    <row r="110" spans="1:4">
      <c r="A110" t="s">
        <v>156</v>
      </c>
      <c r="B110">
        <v>0</v>
      </c>
      <c r="C110" s="422">
        <v>46054</v>
      </c>
      <c r="D110" t="s">
        <v>152</v>
      </c>
    </row>
    <row r="111" spans="1:4">
      <c r="A111" t="s">
        <v>157</v>
      </c>
      <c r="B111">
        <v>0</v>
      </c>
      <c r="C111" s="422">
        <v>46054</v>
      </c>
      <c r="D111" t="s">
        <v>152</v>
      </c>
    </row>
    <row r="112" spans="1:4">
      <c r="A112" t="s">
        <v>161</v>
      </c>
      <c r="C112" s="422">
        <v>46054</v>
      </c>
      <c r="D112" t="s">
        <v>162</v>
      </c>
    </row>
    <row r="113" spans="1:4">
      <c r="A113" t="s">
        <v>161</v>
      </c>
      <c r="C113" s="422">
        <v>46082</v>
      </c>
      <c r="D113" t="s">
        <v>162</v>
      </c>
    </row>
    <row r="114" spans="1:4">
      <c r="A114" t="s">
        <v>161</v>
      </c>
      <c r="C114" s="422">
        <v>46113</v>
      </c>
      <c r="D114" t="s">
        <v>162</v>
      </c>
    </row>
    <row r="115" spans="1:4">
      <c r="A115" t="s">
        <v>157</v>
      </c>
      <c r="B115">
        <v>1500</v>
      </c>
      <c r="C115" s="422">
        <v>46113</v>
      </c>
      <c r="D115" t="s">
        <v>167</v>
      </c>
    </row>
    <row r="116" spans="1:4">
      <c r="A116" t="s">
        <v>152</v>
      </c>
      <c r="C116" s="422">
        <v>46113</v>
      </c>
      <c r="D116" t="s">
        <v>168</v>
      </c>
    </row>
    <row r="117" spans="1:4">
      <c r="A117" t="s">
        <v>169</v>
      </c>
      <c r="B117">
        <v>3729.81</v>
      </c>
      <c r="C117" s="422">
        <v>46143</v>
      </c>
      <c r="D117" t="s">
        <v>170</v>
      </c>
    </row>
    <row r="118" spans="1:4">
      <c r="A118" t="s">
        <v>157</v>
      </c>
      <c r="B118">
        <v>2200</v>
      </c>
      <c r="C118" s="422">
        <v>46143</v>
      </c>
      <c r="D118" t="s">
        <v>171</v>
      </c>
    </row>
    <row r="119" spans="1:4">
      <c r="A119" t="s">
        <v>157</v>
      </c>
      <c r="B119">
        <v>46.375</v>
      </c>
      <c r="C119" s="422">
        <v>46196</v>
      </c>
      <c r="D119" t="s">
        <v>172</v>
      </c>
    </row>
    <row r="120" spans="1:4">
      <c r="A120" t="s">
        <v>157</v>
      </c>
      <c r="B120">
        <v>46.375</v>
      </c>
      <c r="C120" s="422">
        <v>46196</v>
      </c>
      <c r="D120" t="s">
        <v>173</v>
      </c>
    </row>
    <row r="121" spans="1:4">
      <c r="A121" t="s">
        <v>157</v>
      </c>
      <c r="B121">
        <v>575.82000000000005</v>
      </c>
      <c r="C121" s="422">
        <v>46204</v>
      </c>
      <c r="D121" t="s">
        <v>174</v>
      </c>
    </row>
    <row r="122" spans="1:4">
      <c r="A122" t="s">
        <v>155</v>
      </c>
      <c r="B122">
        <v>605.52</v>
      </c>
      <c r="C122" s="422">
        <v>46204</v>
      </c>
      <c r="D122" t="s">
        <v>175</v>
      </c>
    </row>
    <row r="123" spans="1:4">
      <c r="A123" t="s">
        <v>148</v>
      </c>
      <c r="B123">
        <v>2273.2199999999998</v>
      </c>
      <c r="C123" s="422">
        <v>46204</v>
      </c>
      <c r="D123" t="s">
        <v>176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157"/>
  <sheetViews>
    <sheetView workbookViewId="0">
      <pane ySplit="1" topLeftCell="A129" activePane="bottomLeft" state="frozen"/>
      <selection pane="bottomLeft" activeCell="A155" sqref="A155"/>
    </sheetView>
  </sheetViews>
  <sheetFormatPr defaultColWidth="8.7109375" defaultRowHeight="15"/>
  <cols>
    <col min="1" max="1" width="34" customWidth="1"/>
    <col min="2" max="3" width="8.7109375" customWidth="1"/>
    <col min="4" max="4" width="10.42578125" customWidth="1"/>
    <col min="5" max="5" width="18.140625" bestFit="1" customWidth="1"/>
    <col min="6" max="6" width="9.28515625" customWidth="1"/>
    <col min="7" max="7" width="62.28515625" customWidth="1"/>
    <col min="8" max="8" width="13" bestFit="1" customWidth="1"/>
    <col min="9" max="9" width="19.7109375" bestFit="1" customWidth="1"/>
    <col min="10" max="10" width="59.7109375" customWidth="1"/>
    <col min="11" max="11" width="17.28515625" customWidth="1"/>
    <col min="12" max="12" width="13.140625" customWidth="1"/>
    <col min="13" max="13" width="12.7109375" bestFit="1" customWidth="1"/>
    <col min="14" max="14" width="36.42578125" customWidth="1"/>
    <col min="15" max="15" width="26.42578125" customWidth="1"/>
    <col min="16" max="20" width="20" customWidth="1"/>
    <col min="21" max="21" width="85.140625" bestFit="1" customWidth="1"/>
    <col min="22" max="22" width="255.7109375" bestFit="1" customWidth="1"/>
  </cols>
  <sheetData>
    <row r="1" spans="1:22" ht="57.75" customHeight="1">
      <c r="A1" s="15" t="s">
        <v>177</v>
      </c>
      <c r="B1" s="15" t="s">
        <v>6</v>
      </c>
      <c r="C1" s="16" t="s">
        <v>7</v>
      </c>
      <c r="D1" s="15" t="s">
        <v>178</v>
      </c>
      <c r="E1" s="15" t="s">
        <v>179</v>
      </c>
      <c r="F1" s="15" t="s">
        <v>180</v>
      </c>
      <c r="G1" s="17" t="s">
        <v>181</v>
      </c>
      <c r="H1" s="17" t="s">
        <v>182</v>
      </c>
      <c r="I1" s="17" t="s">
        <v>183</v>
      </c>
      <c r="J1" s="17" t="s">
        <v>184</v>
      </c>
      <c r="K1" s="17" t="s">
        <v>185</v>
      </c>
      <c r="L1" s="17" t="s">
        <v>186</v>
      </c>
      <c r="M1" s="18" t="s">
        <v>187</v>
      </c>
      <c r="N1" s="17" t="s">
        <v>188</v>
      </c>
      <c r="O1" s="17" t="s">
        <v>189</v>
      </c>
      <c r="P1" s="580" t="s">
        <v>190</v>
      </c>
      <c r="Q1" s="580" t="s">
        <v>191</v>
      </c>
      <c r="R1" s="580" t="s">
        <v>192</v>
      </c>
      <c r="S1" s="580" t="s">
        <v>193</v>
      </c>
      <c r="T1" s="580" t="s">
        <v>194</v>
      </c>
      <c r="U1" s="17" t="s">
        <v>195</v>
      </c>
      <c r="V1" s="15" t="s">
        <v>196</v>
      </c>
    </row>
    <row r="2" spans="1:22">
      <c r="A2" s="19" t="s">
        <v>197</v>
      </c>
      <c r="B2" s="20">
        <v>1</v>
      </c>
      <c r="C2" s="20"/>
      <c r="D2" s="21">
        <v>45293</v>
      </c>
      <c r="E2" s="22">
        <v>45293</v>
      </c>
      <c r="F2" s="23"/>
      <c r="G2" s="19"/>
      <c r="H2" s="19" t="s">
        <v>198</v>
      </c>
      <c r="I2" s="19" t="s">
        <v>199</v>
      </c>
      <c r="J2" s="23" t="s">
        <v>200</v>
      </c>
      <c r="K2" s="24"/>
      <c r="L2" s="24"/>
      <c r="M2" s="25"/>
      <c r="N2" s="26" t="s">
        <v>201</v>
      </c>
      <c r="O2" s="23" t="s">
        <v>202</v>
      </c>
      <c r="P2" s="20"/>
      <c r="Q2" s="20"/>
      <c r="R2" s="27"/>
      <c r="S2" s="28"/>
      <c r="T2" s="29"/>
      <c r="U2" s="30"/>
      <c r="V2" s="30"/>
    </row>
    <row r="3" spans="1:22">
      <c r="A3" s="19" t="s">
        <v>203</v>
      </c>
      <c r="B3" s="20">
        <v>1</v>
      </c>
      <c r="C3" s="20"/>
      <c r="D3" s="21">
        <v>45302</v>
      </c>
      <c r="E3" s="22">
        <v>45302</v>
      </c>
      <c r="F3" s="23"/>
      <c r="G3" s="19"/>
      <c r="H3" s="19" t="s">
        <v>204</v>
      </c>
      <c r="I3" s="19" t="s">
        <v>205</v>
      </c>
      <c r="J3" s="23" t="s">
        <v>206</v>
      </c>
      <c r="K3" s="24"/>
      <c r="L3" s="24"/>
      <c r="M3" s="25"/>
      <c r="N3" s="26" t="s">
        <v>207</v>
      </c>
      <c r="O3" s="23" t="s">
        <v>202</v>
      </c>
      <c r="P3" s="20" t="s">
        <v>208</v>
      </c>
      <c r="Q3" s="20"/>
      <c r="R3" s="27"/>
      <c r="S3" s="28"/>
      <c r="T3" s="29"/>
      <c r="U3" s="30"/>
      <c r="V3" s="30"/>
    </row>
    <row r="4" spans="1:22">
      <c r="A4" s="19" t="s">
        <v>209</v>
      </c>
      <c r="B4" s="20">
        <v>1</v>
      </c>
      <c r="C4" s="20"/>
      <c r="D4" s="21">
        <v>45323</v>
      </c>
      <c r="E4" s="22">
        <v>45323</v>
      </c>
      <c r="F4" s="23"/>
      <c r="G4" s="19"/>
      <c r="H4" s="19" t="s">
        <v>210</v>
      </c>
      <c r="I4" s="19" t="s">
        <v>211</v>
      </c>
      <c r="J4" s="23" t="s">
        <v>212</v>
      </c>
      <c r="K4" s="24"/>
      <c r="L4" s="24"/>
      <c r="M4" s="25"/>
      <c r="N4" s="26" t="s">
        <v>213</v>
      </c>
      <c r="O4" s="23" t="s">
        <v>202</v>
      </c>
      <c r="P4" s="20"/>
      <c r="Q4" s="20"/>
      <c r="R4" s="27"/>
      <c r="S4" s="28"/>
      <c r="T4" s="29"/>
      <c r="U4" s="30"/>
      <c r="V4" s="30"/>
    </row>
    <row r="5" spans="1:22">
      <c r="A5" s="19" t="s">
        <v>214</v>
      </c>
      <c r="B5" s="20">
        <v>1</v>
      </c>
      <c r="C5" s="20"/>
      <c r="D5" s="21">
        <v>45324</v>
      </c>
      <c r="E5" s="22">
        <v>45324</v>
      </c>
      <c r="F5" s="23"/>
      <c r="G5" s="19" t="s">
        <v>215</v>
      </c>
      <c r="H5" s="19" t="s">
        <v>216</v>
      </c>
      <c r="I5" s="19" t="s">
        <v>217</v>
      </c>
      <c r="J5" s="23" t="s">
        <v>218</v>
      </c>
      <c r="K5" s="24"/>
      <c r="L5" s="24"/>
      <c r="M5" s="25"/>
      <c r="N5" s="26"/>
      <c r="O5" s="23" t="s">
        <v>202</v>
      </c>
      <c r="P5" s="20"/>
      <c r="Q5" s="20"/>
      <c r="R5" s="27"/>
      <c r="S5" s="28"/>
      <c r="T5" s="29"/>
      <c r="U5" s="30"/>
      <c r="V5" s="30"/>
    </row>
    <row r="6" spans="1:22">
      <c r="A6" s="19" t="s">
        <v>219</v>
      </c>
      <c r="B6" s="20">
        <v>1</v>
      </c>
      <c r="C6" s="20"/>
      <c r="D6" s="21">
        <v>45336</v>
      </c>
      <c r="E6" s="22">
        <v>45336</v>
      </c>
      <c r="F6" s="23"/>
      <c r="G6" s="19" t="s">
        <v>220</v>
      </c>
      <c r="H6" s="19" t="s">
        <v>221</v>
      </c>
      <c r="I6" s="19" t="s">
        <v>222</v>
      </c>
      <c r="J6" s="23" t="s">
        <v>223</v>
      </c>
      <c r="K6" s="24"/>
      <c r="L6" s="24"/>
      <c r="M6" s="25"/>
      <c r="N6" s="26" t="s">
        <v>224</v>
      </c>
      <c r="O6" s="23" t="s">
        <v>202</v>
      </c>
      <c r="P6" s="20"/>
      <c r="Q6" s="20"/>
      <c r="R6" s="27"/>
      <c r="S6" s="28"/>
      <c r="T6" s="29"/>
      <c r="U6" s="30"/>
      <c r="V6" s="30"/>
    </row>
    <row r="7" spans="1:22">
      <c r="A7" s="19" t="s">
        <v>225</v>
      </c>
      <c r="B7" s="20">
        <v>1</v>
      </c>
      <c r="C7" s="20"/>
      <c r="D7" s="21">
        <v>45343</v>
      </c>
      <c r="E7" s="22">
        <v>45343</v>
      </c>
      <c r="F7" s="23"/>
      <c r="G7" s="19" t="s">
        <v>226</v>
      </c>
      <c r="H7" s="19" t="s">
        <v>227</v>
      </c>
      <c r="I7" s="19" t="s">
        <v>228</v>
      </c>
      <c r="J7" s="23" t="s">
        <v>229</v>
      </c>
      <c r="K7" s="24"/>
      <c r="L7" s="24"/>
      <c r="M7" s="25"/>
      <c r="N7" s="26" t="s">
        <v>230</v>
      </c>
      <c r="O7" s="23" t="s">
        <v>202</v>
      </c>
      <c r="P7" s="20" t="s">
        <v>231</v>
      </c>
      <c r="Q7" s="20"/>
      <c r="R7" s="27"/>
      <c r="S7" s="28"/>
      <c r="T7" s="29"/>
      <c r="U7" s="30"/>
      <c r="V7" s="30"/>
    </row>
    <row r="8" spans="1:22">
      <c r="A8" s="19" t="s">
        <v>232</v>
      </c>
      <c r="B8" s="20">
        <v>1</v>
      </c>
      <c r="C8" s="20"/>
      <c r="D8" s="21">
        <v>45349</v>
      </c>
      <c r="E8" s="22">
        <v>45349</v>
      </c>
      <c r="F8" s="23"/>
      <c r="G8" s="19"/>
      <c r="H8" s="19" t="s">
        <v>233</v>
      </c>
      <c r="I8" s="19" t="s">
        <v>234</v>
      </c>
      <c r="J8" s="23" t="s">
        <v>235</v>
      </c>
      <c r="K8" s="24"/>
      <c r="L8" s="24"/>
      <c r="M8" s="25"/>
      <c r="N8" s="26"/>
      <c r="O8" s="23" t="s">
        <v>202</v>
      </c>
      <c r="P8" s="20"/>
      <c r="Q8" s="20"/>
      <c r="R8" s="27"/>
      <c r="S8" s="28"/>
      <c r="T8" s="29"/>
      <c r="U8" s="30"/>
      <c r="V8" s="30"/>
    </row>
    <row r="9" spans="1:22">
      <c r="A9" s="19" t="s">
        <v>214</v>
      </c>
      <c r="B9" s="20">
        <v>1</v>
      </c>
      <c r="C9" s="20"/>
      <c r="D9" s="21">
        <v>45350</v>
      </c>
      <c r="E9" s="22">
        <v>45350</v>
      </c>
      <c r="F9" s="23"/>
      <c r="G9" s="19" t="s">
        <v>236</v>
      </c>
      <c r="H9" s="19" t="s">
        <v>237</v>
      </c>
      <c r="I9" s="19" t="s">
        <v>238</v>
      </c>
      <c r="J9" s="23" t="s">
        <v>239</v>
      </c>
      <c r="K9" s="24"/>
      <c r="L9" s="24"/>
      <c r="M9" s="25"/>
      <c r="N9" s="26" t="s">
        <v>240</v>
      </c>
      <c r="O9" s="23" t="s">
        <v>202</v>
      </c>
      <c r="P9" s="20" t="s">
        <v>208</v>
      </c>
      <c r="Q9" s="20"/>
      <c r="R9" s="27"/>
      <c r="S9" s="28"/>
      <c r="T9" s="29"/>
      <c r="U9" s="30"/>
      <c r="V9" s="30"/>
    </row>
    <row r="10" spans="1:22">
      <c r="A10" s="19" t="s">
        <v>241</v>
      </c>
      <c r="B10" s="20">
        <v>1</v>
      </c>
      <c r="C10" s="20"/>
      <c r="D10" s="21">
        <v>45358</v>
      </c>
      <c r="E10" s="22">
        <v>45358</v>
      </c>
      <c r="F10" s="23"/>
      <c r="G10" s="19" t="s">
        <v>242</v>
      </c>
      <c r="H10" s="19" t="s">
        <v>243</v>
      </c>
      <c r="I10" s="19" t="s">
        <v>244</v>
      </c>
      <c r="J10" s="24" t="s">
        <v>245</v>
      </c>
      <c r="K10" s="24"/>
      <c r="L10" s="24"/>
      <c r="M10" s="25"/>
      <c r="N10" s="26" t="s">
        <v>246</v>
      </c>
      <c r="O10" s="23" t="s">
        <v>202</v>
      </c>
      <c r="P10" s="20"/>
      <c r="Q10" s="20" t="s">
        <v>247</v>
      </c>
      <c r="R10" s="27"/>
      <c r="S10" s="28" t="s">
        <v>248</v>
      </c>
      <c r="T10" s="29"/>
      <c r="U10" s="30" t="s">
        <v>249</v>
      </c>
      <c r="V10" s="30"/>
    </row>
    <row r="11" spans="1:22">
      <c r="A11" s="19" t="s">
        <v>250</v>
      </c>
      <c r="B11" s="20">
        <v>1</v>
      </c>
      <c r="C11" s="20"/>
      <c r="D11" s="21">
        <v>45361</v>
      </c>
      <c r="E11" s="22">
        <v>45361</v>
      </c>
      <c r="F11" s="23"/>
      <c r="G11" s="19"/>
      <c r="H11" s="19" t="s">
        <v>251</v>
      </c>
      <c r="I11" s="19" t="s">
        <v>252</v>
      </c>
      <c r="J11" s="24" t="s">
        <v>253</v>
      </c>
      <c r="K11" s="24"/>
      <c r="L11" s="24"/>
      <c r="M11" s="25"/>
      <c r="N11" s="29" t="s">
        <v>254</v>
      </c>
      <c r="O11" s="23" t="s">
        <v>202</v>
      </c>
      <c r="P11" s="20"/>
      <c r="Q11" s="20"/>
      <c r="R11" s="27"/>
      <c r="S11" s="28"/>
      <c r="T11" s="29"/>
      <c r="U11" s="30"/>
      <c r="V11" s="30"/>
    </row>
    <row r="12" spans="1:22">
      <c r="A12" s="19" t="s">
        <v>255</v>
      </c>
      <c r="B12" s="20">
        <v>1</v>
      </c>
      <c r="C12" s="20"/>
      <c r="D12" s="21">
        <v>45366</v>
      </c>
      <c r="E12" s="22">
        <v>45366</v>
      </c>
      <c r="F12" s="23"/>
      <c r="G12" s="19"/>
      <c r="H12" s="19" t="s">
        <v>256</v>
      </c>
      <c r="I12" s="19" t="s">
        <v>257</v>
      </c>
      <c r="J12" s="24" t="s">
        <v>258</v>
      </c>
      <c r="K12" s="24"/>
      <c r="L12" s="24"/>
      <c r="M12" s="25"/>
      <c r="N12" s="29" t="s">
        <v>259</v>
      </c>
      <c r="O12" s="23" t="s">
        <v>202</v>
      </c>
      <c r="P12" s="20"/>
      <c r="Q12" s="20"/>
      <c r="R12" s="27"/>
      <c r="S12" s="28"/>
      <c r="T12" s="29"/>
      <c r="U12" s="30"/>
      <c r="V12" s="30"/>
    </row>
    <row r="13" spans="1:22">
      <c r="A13" s="19" t="s">
        <v>260</v>
      </c>
      <c r="B13" s="20">
        <v>1</v>
      </c>
      <c r="C13" s="20"/>
      <c r="D13" s="21">
        <v>45380</v>
      </c>
      <c r="E13" s="22">
        <v>45380</v>
      </c>
      <c r="F13" s="23"/>
      <c r="G13" s="19"/>
      <c r="H13" s="19" t="s">
        <v>261</v>
      </c>
      <c r="I13" s="19" t="s">
        <v>262</v>
      </c>
      <c r="J13" s="24" t="s">
        <v>263</v>
      </c>
      <c r="K13" s="24"/>
      <c r="L13" s="24"/>
      <c r="M13" s="25"/>
      <c r="N13" s="29" t="s">
        <v>264</v>
      </c>
      <c r="O13" s="23" t="s">
        <v>202</v>
      </c>
      <c r="P13" s="20"/>
      <c r="Q13" s="20"/>
      <c r="R13" s="27"/>
      <c r="S13" s="28"/>
      <c r="T13" s="29"/>
      <c r="U13" s="30"/>
      <c r="V13" s="30"/>
    </row>
    <row r="14" spans="1:22">
      <c r="A14" s="19" t="s">
        <v>265</v>
      </c>
      <c r="B14" s="20">
        <v>1</v>
      </c>
      <c r="C14" s="20"/>
      <c r="D14" s="21">
        <v>45392</v>
      </c>
      <c r="E14" s="22">
        <v>45392</v>
      </c>
      <c r="F14" s="23"/>
      <c r="G14" s="19"/>
      <c r="H14" s="19" t="s">
        <v>266</v>
      </c>
      <c r="I14" s="19" t="s">
        <v>267</v>
      </c>
      <c r="J14" s="24" t="s">
        <v>268</v>
      </c>
      <c r="K14" s="24"/>
      <c r="L14" s="24"/>
      <c r="M14" s="25"/>
      <c r="N14" s="29" t="s">
        <v>269</v>
      </c>
      <c r="O14" s="23" t="s">
        <v>202</v>
      </c>
      <c r="P14" s="20"/>
      <c r="Q14" s="20"/>
      <c r="R14" s="27"/>
      <c r="S14" s="28"/>
      <c r="T14" s="29"/>
      <c r="U14" s="30"/>
      <c r="V14" s="30"/>
    </row>
    <row r="15" spans="1:22">
      <c r="A15" s="19" t="s">
        <v>270</v>
      </c>
      <c r="B15" s="20">
        <v>1</v>
      </c>
      <c r="C15" s="20"/>
      <c r="D15" s="21">
        <v>45406</v>
      </c>
      <c r="E15" s="22">
        <v>45406</v>
      </c>
      <c r="F15" s="23"/>
      <c r="G15" s="19" t="s">
        <v>271</v>
      </c>
      <c r="H15" s="19" t="s">
        <v>272</v>
      </c>
      <c r="I15" s="19" t="s">
        <v>273</v>
      </c>
      <c r="J15" s="24" t="s">
        <v>258</v>
      </c>
      <c r="K15" s="24"/>
      <c r="L15" s="24"/>
      <c r="M15" s="25"/>
      <c r="N15" s="29" t="s">
        <v>274</v>
      </c>
      <c r="O15" s="23" t="s">
        <v>202</v>
      </c>
      <c r="P15" s="20" t="s">
        <v>275</v>
      </c>
      <c r="Q15" s="20" t="s">
        <v>276</v>
      </c>
      <c r="R15" s="27"/>
      <c r="S15" s="28"/>
      <c r="T15" s="29"/>
      <c r="U15" s="30" t="s">
        <v>277</v>
      </c>
      <c r="V15" s="30" t="s">
        <v>278</v>
      </c>
    </row>
    <row r="16" spans="1:22">
      <c r="A16" s="19" t="s">
        <v>279</v>
      </c>
      <c r="B16" s="20">
        <v>1</v>
      </c>
      <c r="C16" s="20"/>
      <c r="D16" s="21">
        <v>45409</v>
      </c>
      <c r="E16" s="22">
        <v>45409</v>
      </c>
      <c r="F16" s="23"/>
      <c r="G16" s="19"/>
      <c r="H16" s="19" t="s">
        <v>280</v>
      </c>
      <c r="I16" s="19" t="s">
        <v>281</v>
      </c>
      <c r="J16" s="24" t="s">
        <v>282</v>
      </c>
      <c r="K16" s="24"/>
      <c r="L16" s="24"/>
      <c r="M16" s="25"/>
      <c r="N16" s="29" t="s">
        <v>283</v>
      </c>
      <c r="O16" s="23" t="s">
        <v>202</v>
      </c>
      <c r="P16" s="20"/>
      <c r="Q16" s="20"/>
      <c r="R16" s="27"/>
      <c r="S16" s="28"/>
      <c r="T16" s="29"/>
      <c r="U16" s="30"/>
      <c r="V16" s="30"/>
    </row>
    <row r="17" spans="1:22">
      <c r="A17" s="19" t="s">
        <v>143</v>
      </c>
      <c r="B17" s="20">
        <v>1</v>
      </c>
      <c r="C17" s="20"/>
      <c r="D17" s="21">
        <v>45436</v>
      </c>
      <c r="E17" s="22">
        <v>45436</v>
      </c>
      <c r="F17" s="23"/>
      <c r="G17" s="19" t="s">
        <v>284</v>
      </c>
      <c r="H17" s="19" t="s">
        <v>285</v>
      </c>
      <c r="I17" s="19" t="s">
        <v>286</v>
      </c>
      <c r="J17" s="24" t="s">
        <v>287</v>
      </c>
      <c r="K17" s="24"/>
      <c r="L17" s="24"/>
      <c r="M17" s="25"/>
      <c r="N17" s="29" t="s">
        <v>288</v>
      </c>
      <c r="O17" s="23" t="s">
        <v>202</v>
      </c>
      <c r="P17" s="20"/>
      <c r="Q17" s="20" t="s">
        <v>289</v>
      </c>
      <c r="R17" s="27"/>
      <c r="S17" s="28"/>
      <c r="T17" s="29"/>
      <c r="U17" s="30"/>
      <c r="V17" s="30"/>
    </row>
    <row r="18" spans="1:22">
      <c r="A18" s="19" t="s">
        <v>290</v>
      </c>
      <c r="B18" s="20">
        <v>1</v>
      </c>
      <c r="C18" s="20"/>
      <c r="D18" s="21">
        <v>45440</v>
      </c>
      <c r="E18" s="22">
        <v>45440</v>
      </c>
      <c r="F18" s="23"/>
      <c r="G18" s="19" t="s">
        <v>291</v>
      </c>
      <c r="H18" s="19" t="s">
        <v>292</v>
      </c>
      <c r="I18" s="19" t="s">
        <v>293</v>
      </c>
      <c r="J18" s="24" t="s">
        <v>294</v>
      </c>
      <c r="K18" s="24"/>
      <c r="L18" s="24"/>
      <c r="M18" s="25"/>
      <c r="N18" s="29" t="s">
        <v>295</v>
      </c>
      <c r="O18" s="23" t="s">
        <v>202</v>
      </c>
      <c r="P18" s="20"/>
      <c r="Q18" s="20"/>
      <c r="R18" s="27"/>
      <c r="S18" s="28"/>
      <c r="T18" s="29"/>
      <c r="U18" s="30"/>
      <c r="V18" s="30"/>
    </row>
    <row r="19" spans="1:22">
      <c r="A19" s="19" t="s">
        <v>296</v>
      </c>
      <c r="B19" s="20">
        <v>1</v>
      </c>
      <c r="C19" s="20"/>
      <c r="D19" s="21">
        <v>45449</v>
      </c>
      <c r="E19" s="22">
        <v>45449</v>
      </c>
      <c r="F19" s="23" t="s">
        <v>297</v>
      </c>
      <c r="G19" s="19" t="s">
        <v>297</v>
      </c>
      <c r="H19" s="19" t="s">
        <v>298</v>
      </c>
      <c r="I19" s="19" t="s">
        <v>299</v>
      </c>
      <c r="J19" s="23" t="s">
        <v>294</v>
      </c>
      <c r="K19" s="24"/>
      <c r="L19" s="24"/>
      <c r="M19" s="25"/>
      <c r="N19" s="19" t="s">
        <v>300</v>
      </c>
      <c r="O19" s="19" t="s">
        <v>202</v>
      </c>
      <c r="P19" s="24" t="s">
        <v>301</v>
      </c>
      <c r="Q19" s="20"/>
      <c r="R19" s="27"/>
      <c r="S19" s="28"/>
      <c r="T19" s="29"/>
      <c r="U19" s="30"/>
      <c r="V19" s="30"/>
    </row>
    <row r="20" spans="1:22">
      <c r="A20" s="19" t="s">
        <v>302</v>
      </c>
      <c r="B20" s="20">
        <v>1</v>
      </c>
      <c r="C20" s="20"/>
      <c r="D20" s="21">
        <v>45468</v>
      </c>
      <c r="E20" s="22">
        <v>45468</v>
      </c>
      <c r="F20" s="23"/>
      <c r="G20" s="19"/>
      <c r="H20" s="19" t="s">
        <v>303</v>
      </c>
      <c r="I20" s="19" t="s">
        <v>304</v>
      </c>
      <c r="J20" s="23" t="s">
        <v>305</v>
      </c>
      <c r="K20" s="24"/>
      <c r="L20" s="24"/>
      <c r="M20" s="25"/>
      <c r="N20" s="19" t="s">
        <v>306</v>
      </c>
      <c r="O20" s="19" t="s">
        <v>202</v>
      </c>
      <c r="P20" s="24"/>
      <c r="Q20" s="20"/>
      <c r="R20" s="27"/>
      <c r="S20" s="28"/>
      <c r="T20" s="29"/>
      <c r="U20" s="30"/>
      <c r="V20" s="30"/>
    </row>
    <row r="21" spans="1:22">
      <c r="A21" s="19" t="s">
        <v>279</v>
      </c>
      <c r="B21" s="20">
        <v>1</v>
      </c>
      <c r="C21" s="20"/>
      <c r="D21" s="21">
        <v>45468</v>
      </c>
      <c r="E21" s="22">
        <v>45468</v>
      </c>
      <c r="F21" s="23"/>
      <c r="G21" s="19"/>
      <c r="H21" s="19" t="s">
        <v>307</v>
      </c>
      <c r="I21" s="19" t="s">
        <v>308</v>
      </c>
      <c r="J21" s="23" t="s">
        <v>309</v>
      </c>
      <c r="K21" s="24"/>
      <c r="L21" s="24"/>
      <c r="M21" s="25"/>
      <c r="N21" s="19" t="s">
        <v>310</v>
      </c>
      <c r="O21" s="19" t="s">
        <v>202</v>
      </c>
      <c r="P21" s="24" t="s">
        <v>311</v>
      </c>
      <c r="Q21" s="20"/>
      <c r="R21" s="27"/>
      <c r="S21" s="28"/>
      <c r="T21" s="29"/>
      <c r="U21" s="30"/>
      <c r="V21" s="30"/>
    </row>
    <row r="22" spans="1:22" ht="29.25" customHeight="1">
      <c r="A22" s="19" t="s">
        <v>312</v>
      </c>
      <c r="B22" s="20">
        <v>1</v>
      </c>
      <c r="C22" s="20"/>
      <c r="D22" s="20"/>
      <c r="E22" s="22">
        <v>45493</v>
      </c>
      <c r="F22" s="23"/>
      <c r="G22" s="19" t="s">
        <v>313</v>
      </c>
      <c r="H22" s="19" t="s">
        <v>314</v>
      </c>
      <c r="I22" s="19" t="s">
        <v>315</v>
      </c>
      <c r="J22" s="23" t="s">
        <v>316</v>
      </c>
      <c r="K22" s="24"/>
      <c r="L22" s="31" t="s">
        <v>317</v>
      </c>
      <c r="M22" s="25"/>
      <c r="N22" s="26" t="s">
        <v>318</v>
      </c>
      <c r="O22" s="32" t="s">
        <v>319</v>
      </c>
      <c r="P22" s="20"/>
      <c r="Q22" s="20" t="s">
        <v>320</v>
      </c>
      <c r="R22" s="27"/>
      <c r="S22" s="28"/>
      <c r="T22" s="29"/>
      <c r="U22" s="33" t="s">
        <v>321</v>
      </c>
    </row>
    <row r="23" spans="1:22">
      <c r="A23" s="19" t="s">
        <v>322</v>
      </c>
      <c r="B23" s="20">
        <v>1</v>
      </c>
      <c r="C23" s="20"/>
      <c r="D23" s="20"/>
      <c r="E23" s="22">
        <v>45499</v>
      </c>
      <c r="F23" s="23"/>
      <c r="G23" s="19" t="s">
        <v>323</v>
      </c>
      <c r="H23" s="19" t="s">
        <v>324</v>
      </c>
      <c r="I23" s="19" t="s">
        <v>325</v>
      </c>
      <c r="J23" s="23" t="s">
        <v>326</v>
      </c>
      <c r="K23" s="24"/>
      <c r="L23" s="24" t="s">
        <v>327</v>
      </c>
      <c r="M23" s="25"/>
      <c r="N23" s="26" t="s">
        <v>328</v>
      </c>
      <c r="O23" s="19" t="s">
        <v>202</v>
      </c>
      <c r="P23" s="20"/>
      <c r="Q23" s="20"/>
      <c r="R23" s="27"/>
      <c r="S23" s="28"/>
      <c r="T23" s="29"/>
      <c r="U23" s="33" t="s">
        <v>329</v>
      </c>
    </row>
    <row r="24" spans="1:22">
      <c r="A24" s="19" t="s">
        <v>330</v>
      </c>
      <c r="B24" s="20">
        <v>1</v>
      </c>
      <c r="C24" s="20"/>
      <c r="D24" s="20"/>
      <c r="E24" s="22">
        <v>45522</v>
      </c>
      <c r="F24" s="23"/>
      <c r="G24" s="19" t="s">
        <v>331</v>
      </c>
      <c r="H24" s="19" t="s">
        <v>332</v>
      </c>
      <c r="I24" s="19" t="s">
        <v>333</v>
      </c>
      <c r="J24" s="23" t="s">
        <v>316</v>
      </c>
      <c r="K24" s="24" t="s">
        <v>334</v>
      </c>
      <c r="L24" s="31" t="s">
        <v>320</v>
      </c>
      <c r="M24" s="25"/>
      <c r="N24" s="26" t="s">
        <v>335</v>
      </c>
      <c r="O24" s="34" t="s">
        <v>319</v>
      </c>
      <c r="P24" s="35"/>
      <c r="Q24" s="35" t="s">
        <v>336</v>
      </c>
      <c r="R24" s="36" t="s">
        <v>337</v>
      </c>
      <c r="S24" s="37" t="s">
        <v>338</v>
      </c>
      <c r="T24" s="38">
        <v>577600</v>
      </c>
      <c r="U24" s="27" t="s">
        <v>339</v>
      </c>
    </row>
    <row r="25" spans="1:22">
      <c r="A25" s="19" t="s">
        <v>340</v>
      </c>
      <c r="B25" s="20">
        <v>1</v>
      </c>
      <c r="C25" s="20"/>
      <c r="D25" s="20"/>
      <c r="E25" s="22">
        <v>45526</v>
      </c>
      <c r="F25" s="23"/>
      <c r="G25" s="19" t="s">
        <v>341</v>
      </c>
      <c r="H25" s="19" t="s">
        <v>342</v>
      </c>
      <c r="I25" s="19" t="s">
        <v>343</v>
      </c>
      <c r="J25" s="23" t="s">
        <v>316</v>
      </c>
      <c r="K25" s="24"/>
      <c r="L25" s="24"/>
      <c r="M25" s="25"/>
      <c r="N25" s="26" t="s">
        <v>344</v>
      </c>
      <c r="O25" s="19" t="s">
        <v>319</v>
      </c>
      <c r="P25" s="20"/>
      <c r="Q25" s="20" t="s">
        <v>320</v>
      </c>
      <c r="R25" s="27"/>
      <c r="S25" s="28"/>
      <c r="T25" s="29"/>
      <c r="U25" s="33" t="s">
        <v>345</v>
      </c>
    </row>
    <row r="26" spans="1:22">
      <c r="A26" s="20" t="s">
        <v>279</v>
      </c>
      <c r="B26" s="20">
        <v>1</v>
      </c>
      <c r="C26" s="20"/>
      <c r="D26" s="20"/>
      <c r="E26" s="22">
        <v>45536</v>
      </c>
      <c r="F26" s="23"/>
      <c r="G26" s="19" t="s">
        <v>346</v>
      </c>
      <c r="H26" s="19" t="s">
        <v>347</v>
      </c>
      <c r="I26" s="19" t="s">
        <v>348</v>
      </c>
      <c r="J26" s="23" t="s">
        <v>349</v>
      </c>
      <c r="K26" s="24" t="s">
        <v>350</v>
      </c>
      <c r="L26" t="s">
        <v>351</v>
      </c>
      <c r="M26" s="25" t="s">
        <v>352</v>
      </c>
      <c r="N26" s="39" t="s">
        <v>353</v>
      </c>
      <c r="O26" s="24" t="s">
        <v>354</v>
      </c>
      <c r="P26" s="33"/>
      <c r="Q26" s="20"/>
      <c r="R26" s="27"/>
      <c r="S26" s="28"/>
      <c r="T26" s="29"/>
      <c r="U26" s="40"/>
    </row>
    <row r="27" spans="1:22">
      <c r="A27" s="19" t="s">
        <v>355</v>
      </c>
      <c r="B27" s="20">
        <v>1</v>
      </c>
      <c r="C27" s="20"/>
      <c r="D27" s="20"/>
      <c r="E27" s="22">
        <v>45537</v>
      </c>
      <c r="F27" s="23"/>
      <c r="G27" s="19" t="s">
        <v>356</v>
      </c>
      <c r="H27" s="19" t="s">
        <v>357</v>
      </c>
      <c r="I27" s="19" t="s">
        <v>358</v>
      </c>
      <c r="J27" s="23" t="s">
        <v>316</v>
      </c>
      <c r="K27" s="24"/>
      <c r="L27" s="24" t="s">
        <v>359</v>
      </c>
      <c r="M27" s="25"/>
      <c r="N27" s="26" t="s">
        <v>360</v>
      </c>
      <c r="O27" s="19" t="s">
        <v>319</v>
      </c>
      <c r="P27" s="20"/>
      <c r="Q27" s="20" t="s">
        <v>320</v>
      </c>
      <c r="R27" s="27"/>
      <c r="S27" s="28"/>
      <c r="T27" s="29"/>
      <c r="U27" s="33" t="s">
        <v>361</v>
      </c>
    </row>
    <row r="28" spans="1:22">
      <c r="A28" s="19" t="s">
        <v>362</v>
      </c>
      <c r="B28" s="20">
        <v>1</v>
      </c>
      <c r="C28" s="20"/>
      <c r="D28" s="20"/>
      <c r="E28" s="22">
        <v>45538</v>
      </c>
      <c r="F28" s="23"/>
      <c r="G28" s="19" t="s">
        <v>363</v>
      </c>
      <c r="H28" s="19" t="s">
        <v>364</v>
      </c>
      <c r="I28" s="19" t="s">
        <v>365</v>
      </c>
      <c r="J28" s="23" t="s">
        <v>316</v>
      </c>
      <c r="K28" s="24"/>
      <c r="L28" s="24"/>
      <c r="M28" s="25"/>
      <c r="N28" s="26" t="s">
        <v>366</v>
      </c>
      <c r="O28" s="19" t="s">
        <v>319</v>
      </c>
      <c r="P28" s="20"/>
      <c r="Q28" s="20" t="s">
        <v>320</v>
      </c>
      <c r="R28" s="27"/>
      <c r="S28" s="28"/>
      <c r="T28" s="29"/>
      <c r="U28" s="33" t="s">
        <v>367</v>
      </c>
    </row>
    <row r="29" spans="1:22">
      <c r="A29" s="19" t="s">
        <v>279</v>
      </c>
      <c r="B29" s="20">
        <v>1</v>
      </c>
      <c r="C29" s="20"/>
      <c r="D29" s="20"/>
      <c r="E29" s="22">
        <v>45541</v>
      </c>
      <c r="F29" s="23"/>
      <c r="G29" s="19" t="s">
        <v>346</v>
      </c>
      <c r="H29" s="19" t="s">
        <v>368</v>
      </c>
      <c r="I29" s="19" t="s">
        <v>348</v>
      </c>
      <c r="J29" s="23" t="s">
        <v>369</v>
      </c>
      <c r="K29" s="24"/>
      <c r="L29" s="24"/>
      <c r="M29" s="25"/>
      <c r="N29" s="26" t="s">
        <v>353</v>
      </c>
      <c r="O29" s="19" t="s">
        <v>349</v>
      </c>
      <c r="P29" s="20" t="s">
        <v>370</v>
      </c>
      <c r="Q29" s="20"/>
      <c r="R29" s="27"/>
      <c r="S29" s="28"/>
      <c r="T29" s="29"/>
      <c r="U29" s="33"/>
    </row>
    <row r="30" spans="1:22">
      <c r="A30" s="19" t="s">
        <v>371</v>
      </c>
      <c r="B30" s="20">
        <v>1</v>
      </c>
      <c r="C30" s="20"/>
      <c r="D30" s="20"/>
      <c r="E30" s="22">
        <v>45544</v>
      </c>
      <c r="F30" s="23"/>
      <c r="G30" s="19" t="s">
        <v>372</v>
      </c>
      <c r="H30" s="19" t="s">
        <v>373</v>
      </c>
      <c r="I30" s="19" t="s">
        <v>374</v>
      </c>
      <c r="J30" s="23" t="s">
        <v>375</v>
      </c>
      <c r="K30" s="24"/>
      <c r="L30" s="24"/>
      <c r="M30" s="25"/>
      <c r="N30" s="26"/>
      <c r="O30" s="19" t="s">
        <v>319</v>
      </c>
      <c r="P30" s="20"/>
      <c r="Q30" s="20"/>
      <c r="R30" s="27"/>
      <c r="S30" s="28"/>
      <c r="T30" s="29"/>
      <c r="U30" s="33" t="s">
        <v>376</v>
      </c>
    </row>
    <row r="31" spans="1:22">
      <c r="A31" s="19" t="s">
        <v>377</v>
      </c>
      <c r="B31" s="20">
        <v>1</v>
      </c>
      <c r="C31" s="20"/>
      <c r="D31" s="20"/>
      <c r="E31" s="22">
        <v>45556</v>
      </c>
      <c r="F31" s="23"/>
      <c r="G31" s="19" t="s">
        <v>378</v>
      </c>
      <c r="H31" s="19" t="s">
        <v>379</v>
      </c>
      <c r="I31" s="19" t="s">
        <v>380</v>
      </c>
      <c r="J31" s="23" t="s">
        <v>316</v>
      </c>
      <c r="K31" s="24" t="s">
        <v>276</v>
      </c>
      <c r="L31" s="24"/>
      <c r="M31" s="25"/>
      <c r="N31" s="26" t="s">
        <v>381</v>
      </c>
      <c r="O31" s="19" t="s">
        <v>319</v>
      </c>
      <c r="P31" s="20"/>
      <c r="Q31" s="20"/>
      <c r="R31" s="27"/>
      <c r="S31" s="28"/>
      <c r="T31" s="29"/>
      <c r="U31" s="41" t="s">
        <v>382</v>
      </c>
    </row>
    <row r="32" spans="1:22" ht="15.75" customHeight="1">
      <c r="A32" s="19" t="s">
        <v>383</v>
      </c>
      <c r="B32" s="20">
        <v>1</v>
      </c>
      <c r="C32" s="20"/>
      <c r="D32" s="20"/>
      <c r="E32" s="22">
        <v>45561</v>
      </c>
      <c r="F32" s="23"/>
      <c r="G32" s="19" t="s">
        <v>384</v>
      </c>
      <c r="H32" s="19" t="s">
        <v>385</v>
      </c>
      <c r="I32" s="19" t="s">
        <v>386</v>
      </c>
      <c r="J32" s="23" t="s">
        <v>375</v>
      </c>
      <c r="K32" s="24"/>
      <c r="L32" s="24"/>
      <c r="M32" s="25"/>
      <c r="N32" s="26"/>
      <c r="O32" s="19" t="s">
        <v>319</v>
      </c>
      <c r="P32" s="20"/>
      <c r="Q32" s="20"/>
      <c r="R32" s="27"/>
      <c r="S32" s="28"/>
      <c r="T32" s="29"/>
      <c r="U32" s="42" t="s">
        <v>387</v>
      </c>
    </row>
    <row r="33" spans="1:22">
      <c r="A33" s="19" t="s">
        <v>388</v>
      </c>
      <c r="B33" s="20">
        <v>1</v>
      </c>
      <c r="C33" s="20"/>
      <c r="D33" s="20"/>
      <c r="E33" s="22">
        <v>45564</v>
      </c>
      <c r="F33" s="23"/>
      <c r="G33" s="19" t="s">
        <v>372</v>
      </c>
      <c r="H33" s="19" t="s">
        <v>373</v>
      </c>
      <c r="I33" s="19" t="s">
        <v>374</v>
      </c>
      <c r="J33" s="23" t="s">
        <v>316</v>
      </c>
      <c r="K33" s="24" t="s">
        <v>276</v>
      </c>
      <c r="L33" s="24"/>
      <c r="M33" s="25"/>
      <c r="N33" s="26"/>
      <c r="O33" s="19" t="s">
        <v>319</v>
      </c>
      <c r="P33" s="20"/>
      <c r="Q33" s="20"/>
      <c r="R33" s="27"/>
      <c r="S33" s="28"/>
      <c r="T33" s="29"/>
      <c r="U33" s="43" t="s">
        <v>387</v>
      </c>
    </row>
    <row r="34" spans="1:22" ht="29.25" customHeight="1">
      <c r="A34" s="19" t="s">
        <v>389</v>
      </c>
      <c r="B34" s="20">
        <v>1</v>
      </c>
      <c r="C34" s="20"/>
      <c r="D34" s="20"/>
      <c r="E34" s="22">
        <v>45567</v>
      </c>
      <c r="F34" s="23" t="s">
        <v>390</v>
      </c>
      <c r="G34" s="19" t="s">
        <v>390</v>
      </c>
      <c r="H34" s="19" t="s">
        <v>391</v>
      </c>
      <c r="I34" s="19" t="s">
        <v>392</v>
      </c>
      <c r="J34" s="23" t="s">
        <v>375</v>
      </c>
      <c r="K34" s="24" t="s">
        <v>393</v>
      </c>
      <c r="L34" s="24"/>
      <c r="M34" s="25"/>
      <c r="N34" s="26" t="s">
        <v>394</v>
      </c>
      <c r="O34" s="32" t="s">
        <v>319</v>
      </c>
      <c r="P34" s="20"/>
      <c r="Q34" s="20" t="s">
        <v>395</v>
      </c>
      <c r="R34" s="20"/>
      <c r="S34" s="28"/>
      <c r="T34" s="29"/>
      <c r="U34" s="27"/>
    </row>
    <row r="35" spans="1:22">
      <c r="A35" s="19" t="s">
        <v>396</v>
      </c>
      <c r="B35" s="20">
        <v>1</v>
      </c>
      <c r="C35" s="20"/>
      <c r="D35" s="20"/>
      <c r="E35" s="22">
        <v>45573</v>
      </c>
      <c r="F35" s="23"/>
      <c r="G35" s="19" t="s">
        <v>397</v>
      </c>
      <c r="H35" s="19" t="s">
        <v>398</v>
      </c>
      <c r="I35" s="44" t="s">
        <v>399</v>
      </c>
      <c r="J35" s="45" t="s">
        <v>400</v>
      </c>
      <c r="K35" s="24" t="s">
        <v>401</v>
      </c>
      <c r="L35" s="31" t="s">
        <v>402</v>
      </c>
      <c r="M35" s="25">
        <v>1</v>
      </c>
      <c r="N35" s="26" t="s">
        <v>403</v>
      </c>
      <c r="O35" s="34" t="s">
        <v>404</v>
      </c>
      <c r="P35" s="46" t="s">
        <v>405</v>
      </c>
      <c r="Q35" s="47" t="s">
        <v>406</v>
      </c>
      <c r="R35" s="48" t="s">
        <v>407</v>
      </c>
      <c r="S35" s="49" t="s">
        <v>408</v>
      </c>
      <c r="T35" s="50">
        <v>1140000</v>
      </c>
      <c r="U35" s="27" t="s">
        <v>409</v>
      </c>
    </row>
    <row r="36" spans="1:22" ht="15.75" customHeight="1">
      <c r="A36" s="19" t="s">
        <v>410</v>
      </c>
      <c r="B36" s="20">
        <v>1</v>
      </c>
      <c r="C36" s="20"/>
      <c r="D36" s="20"/>
      <c r="E36" s="22">
        <v>45573</v>
      </c>
      <c r="F36" s="23"/>
      <c r="G36" s="19" t="s">
        <v>390</v>
      </c>
      <c r="H36" s="19" t="s">
        <v>411</v>
      </c>
      <c r="I36" s="19" t="s">
        <v>412</v>
      </c>
      <c r="J36" s="23" t="s">
        <v>319</v>
      </c>
      <c r="K36" s="24" t="s">
        <v>413</v>
      </c>
      <c r="L36" s="24"/>
      <c r="M36" s="25"/>
      <c r="N36" s="26" t="s">
        <v>414</v>
      </c>
      <c r="O36" s="19" t="s">
        <v>319</v>
      </c>
      <c r="P36" s="20"/>
      <c r="Q36" s="20" t="s">
        <v>320</v>
      </c>
      <c r="R36" s="27"/>
      <c r="S36" s="28"/>
      <c r="T36" s="29"/>
      <c r="U36" s="51"/>
    </row>
    <row r="37" spans="1:22">
      <c r="A37" s="19" t="s">
        <v>415</v>
      </c>
      <c r="B37" s="20">
        <v>1</v>
      </c>
      <c r="C37" s="20"/>
      <c r="D37" s="20"/>
      <c r="E37" s="22">
        <v>45577</v>
      </c>
      <c r="F37" s="23"/>
      <c r="G37" s="19" t="s">
        <v>416</v>
      </c>
      <c r="H37" s="19" t="s">
        <v>417</v>
      </c>
      <c r="I37" s="44" t="s">
        <v>418</v>
      </c>
      <c r="J37" s="52" t="s">
        <v>419</v>
      </c>
      <c r="K37" s="24" t="s">
        <v>420</v>
      </c>
      <c r="L37" s="24" t="s">
        <v>421</v>
      </c>
      <c r="M37" s="25"/>
      <c r="N37" s="39" t="s">
        <v>422</v>
      </c>
      <c r="O37" s="32" t="s">
        <v>202</v>
      </c>
      <c r="P37" s="20"/>
      <c r="Q37" s="20" t="s">
        <v>320</v>
      </c>
      <c r="R37" s="20" t="s">
        <v>423</v>
      </c>
      <c r="S37" s="28"/>
      <c r="T37" s="29"/>
      <c r="U37" s="27" t="s">
        <v>424</v>
      </c>
    </row>
    <row r="38" spans="1:22">
      <c r="A38" s="19" t="s">
        <v>425</v>
      </c>
      <c r="B38" s="20">
        <v>1</v>
      </c>
      <c r="C38" s="20"/>
      <c r="D38" s="20"/>
      <c r="E38" s="22">
        <v>45582</v>
      </c>
      <c r="F38" s="23"/>
      <c r="G38" s="19" t="s">
        <v>426</v>
      </c>
      <c r="H38" s="19" t="s">
        <v>427</v>
      </c>
      <c r="I38" s="44" t="s">
        <v>428</v>
      </c>
      <c r="J38" s="52" t="s">
        <v>400</v>
      </c>
      <c r="K38" s="24" t="s">
        <v>429</v>
      </c>
      <c r="L38" s="24" t="s">
        <v>320</v>
      </c>
      <c r="M38" s="25"/>
      <c r="N38" s="33" t="s">
        <v>430</v>
      </c>
      <c r="O38" s="19" t="s">
        <v>431</v>
      </c>
      <c r="P38" s="20"/>
      <c r="Q38" s="20" t="s">
        <v>320</v>
      </c>
      <c r="R38" s="20" t="s">
        <v>423</v>
      </c>
      <c r="S38" s="28"/>
      <c r="T38" s="29"/>
      <c r="U38" s="27" t="s">
        <v>432</v>
      </c>
      <c r="V38" t="s">
        <v>433</v>
      </c>
    </row>
    <row r="39" spans="1:22" ht="29.25" customHeight="1">
      <c r="A39" s="19" t="s">
        <v>434</v>
      </c>
      <c r="B39" s="20">
        <v>1</v>
      </c>
      <c r="C39" s="20">
        <v>1</v>
      </c>
      <c r="D39" s="23"/>
      <c r="E39" s="53">
        <v>45601</v>
      </c>
      <c r="F39" s="54"/>
      <c r="G39" s="19" t="s">
        <v>435</v>
      </c>
      <c r="H39" s="19" t="s">
        <v>436</v>
      </c>
      <c r="I39" s="44" t="s">
        <v>437</v>
      </c>
      <c r="J39" s="45" t="s">
        <v>400</v>
      </c>
      <c r="K39" s="24" t="s">
        <v>401</v>
      </c>
      <c r="L39" s="24" t="s">
        <v>320</v>
      </c>
      <c r="M39" s="25">
        <v>0</v>
      </c>
      <c r="N39" s="55" t="s">
        <v>438</v>
      </c>
      <c r="O39" s="56" t="s">
        <v>439</v>
      </c>
      <c r="P39" s="57" t="s">
        <v>440</v>
      </c>
      <c r="Q39" s="58" t="s">
        <v>441</v>
      </c>
      <c r="R39" s="59" t="s">
        <v>442</v>
      </c>
      <c r="T39" s="29"/>
      <c r="U39" s="60" t="s">
        <v>443</v>
      </c>
      <c r="V39" t="s">
        <v>444</v>
      </c>
    </row>
    <row r="40" spans="1:22">
      <c r="A40" s="61" t="s">
        <v>445</v>
      </c>
      <c r="B40" s="20">
        <v>1</v>
      </c>
      <c r="C40" s="20">
        <v>1</v>
      </c>
      <c r="D40" s="23"/>
      <c r="E40" s="53">
        <v>45603</v>
      </c>
      <c r="F40" s="54"/>
      <c r="G40" s="19" t="s">
        <v>446</v>
      </c>
      <c r="H40" s="19" t="s">
        <v>447</v>
      </c>
      <c r="I40" s="19" t="s">
        <v>448</v>
      </c>
      <c r="J40" s="52" t="s">
        <v>449</v>
      </c>
      <c r="K40" s="24" t="s">
        <v>251</v>
      </c>
      <c r="L40" s="24" t="s">
        <v>320</v>
      </c>
      <c r="M40" s="25">
        <v>0</v>
      </c>
      <c r="N40" s="55" t="s">
        <v>450</v>
      </c>
      <c r="O40" s="62" t="s">
        <v>202</v>
      </c>
      <c r="P40" s="24"/>
      <c r="Q40" s="63" t="s">
        <v>451</v>
      </c>
      <c r="R40" s="64" t="s">
        <v>452</v>
      </c>
      <c r="S40" s="65"/>
      <c r="T40" s="66"/>
      <c r="U40" s="60" t="s">
        <v>453</v>
      </c>
    </row>
    <row r="41" spans="1:22" ht="29.25" customHeight="1">
      <c r="A41" s="19" t="s">
        <v>454</v>
      </c>
      <c r="B41" s="67">
        <v>1</v>
      </c>
      <c r="C41" s="67">
        <v>0</v>
      </c>
      <c r="D41" s="23"/>
      <c r="E41" s="53">
        <v>45604</v>
      </c>
      <c r="F41" s="54"/>
      <c r="G41" s="19" t="s">
        <v>455</v>
      </c>
      <c r="H41" s="19" t="s">
        <v>456</v>
      </c>
      <c r="I41" s="19" t="s">
        <v>457</v>
      </c>
      <c r="J41" s="68" t="s">
        <v>400</v>
      </c>
      <c r="K41" s="24" t="s">
        <v>251</v>
      </c>
      <c r="L41" s="67" t="s">
        <v>458</v>
      </c>
      <c r="M41" s="25">
        <v>1</v>
      </c>
      <c r="N41" s="69" t="s">
        <v>459</v>
      </c>
      <c r="O41" s="56" t="s">
        <v>439</v>
      </c>
      <c r="P41" s="70"/>
      <c r="Q41" s="67" t="s">
        <v>460</v>
      </c>
      <c r="R41" s="71" t="s">
        <v>461</v>
      </c>
      <c r="S41" s="72" t="s">
        <v>462</v>
      </c>
      <c r="T41" s="73">
        <v>451980</v>
      </c>
      <c r="U41" s="60" t="s">
        <v>463</v>
      </c>
    </row>
    <row r="42" spans="1:22">
      <c r="A42" s="61" t="s">
        <v>464</v>
      </c>
      <c r="B42" s="20">
        <v>1</v>
      </c>
      <c r="C42" s="20">
        <v>1</v>
      </c>
      <c r="D42" s="23"/>
      <c r="E42" s="53">
        <v>45607</v>
      </c>
      <c r="F42" s="54"/>
      <c r="G42" s="61" t="s">
        <v>465</v>
      </c>
      <c r="H42" s="61" t="s">
        <v>466</v>
      </c>
      <c r="I42" s="61" t="s">
        <v>467</v>
      </c>
      <c r="J42" s="45" t="s">
        <v>400</v>
      </c>
      <c r="K42" s="24" t="s">
        <v>401</v>
      </c>
      <c r="L42" s="31" t="s">
        <v>468</v>
      </c>
      <c r="M42" s="74">
        <v>1</v>
      </c>
      <c r="N42" s="75" t="s">
        <v>469</v>
      </c>
      <c r="O42" s="76" t="s">
        <v>470</v>
      </c>
      <c r="P42" s="77"/>
      <c r="Q42" s="47" t="s">
        <v>406</v>
      </c>
      <c r="R42" s="78" t="s">
        <v>471</v>
      </c>
      <c r="S42" s="79" t="s">
        <v>338</v>
      </c>
      <c r="T42" s="80" t="s">
        <v>420</v>
      </c>
      <c r="U42" s="60" t="s">
        <v>472</v>
      </c>
    </row>
    <row r="43" spans="1:22">
      <c r="A43" s="81" t="s">
        <v>473</v>
      </c>
      <c r="B43" s="20">
        <v>1</v>
      </c>
      <c r="C43" s="20">
        <v>1</v>
      </c>
      <c r="D43" s="23"/>
      <c r="E43" s="53">
        <v>45625</v>
      </c>
      <c r="F43" s="54"/>
      <c r="G43" s="81" t="s">
        <v>474</v>
      </c>
      <c r="H43" s="81" t="s">
        <v>475</v>
      </c>
      <c r="I43" s="81" t="s">
        <v>476</v>
      </c>
      <c r="J43" s="45" t="s">
        <v>400</v>
      </c>
      <c r="K43" s="24" t="s">
        <v>393</v>
      </c>
      <c r="L43" s="24" t="s">
        <v>477</v>
      </c>
      <c r="M43" s="25">
        <v>1</v>
      </c>
      <c r="N43" s="82" t="s">
        <v>478</v>
      </c>
      <c r="O43" s="62" t="s">
        <v>470</v>
      </c>
      <c r="P43" s="70"/>
      <c r="Q43" s="20" t="s">
        <v>479</v>
      </c>
      <c r="R43" s="83"/>
      <c r="S43" s="84"/>
      <c r="T43" s="85"/>
      <c r="U43" s="60" t="s">
        <v>480</v>
      </c>
    </row>
    <row r="44" spans="1:22" ht="43.5" customHeight="1">
      <c r="A44" s="81" t="s">
        <v>481</v>
      </c>
      <c r="B44" s="20">
        <v>1</v>
      </c>
      <c r="C44" s="20">
        <v>1</v>
      </c>
      <c r="D44" s="23"/>
      <c r="E44" s="53">
        <v>45638</v>
      </c>
      <c r="F44" s="54"/>
      <c r="G44" s="81" t="s">
        <v>482</v>
      </c>
      <c r="H44" s="81" t="s">
        <v>285</v>
      </c>
      <c r="I44" s="81" t="s">
        <v>483</v>
      </c>
      <c r="J44" s="45" t="s">
        <v>400</v>
      </c>
      <c r="K44" s="24" t="s">
        <v>251</v>
      </c>
      <c r="L44" s="31" t="s">
        <v>402</v>
      </c>
      <c r="M44" s="74">
        <v>1</v>
      </c>
      <c r="N44" s="86" t="s">
        <v>484</v>
      </c>
      <c r="O44" s="87" t="s">
        <v>404</v>
      </c>
      <c r="P44" s="77"/>
      <c r="Q44" s="47" t="s">
        <v>485</v>
      </c>
      <c r="R44" s="48" t="s">
        <v>481</v>
      </c>
      <c r="S44" s="48" t="s">
        <v>486</v>
      </c>
      <c r="T44" s="50">
        <f>211200+172800</f>
        <v>384000</v>
      </c>
      <c r="U44" s="60" t="s">
        <v>487</v>
      </c>
    </row>
    <row r="45" spans="1:22">
      <c r="A45" s="88" t="s">
        <v>488</v>
      </c>
      <c r="B45" s="20">
        <v>1</v>
      </c>
      <c r="C45" s="20">
        <v>1</v>
      </c>
      <c r="D45" s="20"/>
      <c r="E45" s="89">
        <v>45668</v>
      </c>
      <c r="F45" s="20"/>
      <c r="G45" s="88" t="s">
        <v>489</v>
      </c>
      <c r="H45" s="88" t="s">
        <v>490</v>
      </c>
      <c r="I45" s="88" t="s">
        <v>491</v>
      </c>
      <c r="J45" s="90" t="s">
        <v>492</v>
      </c>
      <c r="K45" s="24" t="s">
        <v>251</v>
      </c>
      <c r="L45" s="24" t="s">
        <v>320</v>
      </c>
      <c r="M45" s="91">
        <v>0</v>
      </c>
      <c r="N45" s="70" t="s">
        <v>493</v>
      </c>
      <c r="O45" s="24" t="s">
        <v>319</v>
      </c>
      <c r="P45" s="24"/>
      <c r="Q45" s="58" t="s">
        <v>451</v>
      </c>
      <c r="R45" s="20" t="s">
        <v>452</v>
      </c>
      <c r="S45" s="28"/>
      <c r="T45" s="28"/>
      <c r="U45" s="60" t="s">
        <v>494</v>
      </c>
    </row>
    <row r="46" spans="1:22">
      <c r="A46" s="20" t="s">
        <v>495</v>
      </c>
      <c r="B46" s="20">
        <v>1</v>
      </c>
      <c r="C46" s="20">
        <v>1</v>
      </c>
      <c r="D46" s="20"/>
      <c r="E46" s="92">
        <v>45662</v>
      </c>
      <c r="F46" s="20"/>
      <c r="G46" s="20" t="s">
        <v>496</v>
      </c>
      <c r="H46" s="20" t="s">
        <v>497</v>
      </c>
      <c r="I46" s="20" t="s">
        <v>498</v>
      </c>
      <c r="J46" s="23" t="s">
        <v>419</v>
      </c>
      <c r="K46" s="24" t="s">
        <v>401</v>
      </c>
      <c r="L46" s="93" t="s">
        <v>320</v>
      </c>
      <c r="M46" s="94">
        <v>0</v>
      </c>
      <c r="N46" s="95" t="s">
        <v>499</v>
      </c>
      <c r="O46" s="24" t="s">
        <v>202</v>
      </c>
      <c r="P46" s="24"/>
      <c r="Q46" s="58" t="s">
        <v>500</v>
      </c>
      <c r="R46" s="20" t="s">
        <v>423</v>
      </c>
      <c r="S46" s="28"/>
      <c r="T46" s="28"/>
      <c r="U46" s="96" t="s">
        <v>501</v>
      </c>
    </row>
    <row r="47" spans="1:22">
      <c r="A47" s="20" t="s">
        <v>502</v>
      </c>
      <c r="B47" s="20">
        <v>1</v>
      </c>
      <c r="C47" s="20">
        <v>1</v>
      </c>
      <c r="D47" s="20"/>
      <c r="E47" s="92">
        <v>45685</v>
      </c>
      <c r="F47" s="20"/>
      <c r="G47" s="20" t="s">
        <v>503</v>
      </c>
      <c r="H47" s="20" t="s">
        <v>504</v>
      </c>
      <c r="I47" s="20" t="s">
        <v>505</v>
      </c>
      <c r="J47" s="20" t="s">
        <v>400</v>
      </c>
      <c r="K47" s="97" t="s">
        <v>251</v>
      </c>
      <c r="L47" s="20" t="s">
        <v>477</v>
      </c>
      <c r="M47" s="98">
        <v>1</v>
      </c>
      <c r="N47" s="99" t="s">
        <v>506</v>
      </c>
      <c r="O47" s="24" t="s">
        <v>202</v>
      </c>
      <c r="P47" s="24"/>
      <c r="Q47" s="58" t="s">
        <v>479</v>
      </c>
      <c r="R47" s="20"/>
      <c r="S47" s="28"/>
      <c r="T47" s="28"/>
      <c r="U47" s="96" t="s">
        <v>507</v>
      </c>
    </row>
    <row r="48" spans="1:22">
      <c r="A48" s="20" t="s">
        <v>508</v>
      </c>
      <c r="B48" s="20">
        <v>1</v>
      </c>
      <c r="C48" s="20">
        <v>1</v>
      </c>
      <c r="D48" s="20"/>
      <c r="E48" s="92">
        <v>45688</v>
      </c>
      <c r="F48" s="20"/>
      <c r="G48" s="20" t="s">
        <v>509</v>
      </c>
      <c r="H48" s="20" t="s">
        <v>510</v>
      </c>
      <c r="I48" s="20" t="s">
        <v>511</v>
      </c>
      <c r="J48" s="20" t="s">
        <v>512</v>
      </c>
      <c r="K48" s="90" t="s">
        <v>401</v>
      </c>
      <c r="L48" s="35" t="s">
        <v>402</v>
      </c>
      <c r="M48" s="100">
        <v>1</v>
      </c>
      <c r="N48" s="101" t="s">
        <v>513</v>
      </c>
      <c r="O48" s="31" t="s">
        <v>431</v>
      </c>
      <c r="P48" s="31"/>
      <c r="Q48" s="102" t="s">
        <v>406</v>
      </c>
      <c r="R48" s="48" t="s">
        <v>514</v>
      </c>
      <c r="S48" s="47" t="s">
        <v>408</v>
      </c>
      <c r="T48" s="50">
        <v>597400</v>
      </c>
      <c r="U48" s="96" t="s">
        <v>515</v>
      </c>
    </row>
    <row r="49" spans="1:22">
      <c r="A49" s="103" t="s">
        <v>516</v>
      </c>
      <c r="B49" s="104">
        <v>0</v>
      </c>
      <c r="C49" s="104">
        <v>0</v>
      </c>
      <c r="D49" s="103"/>
      <c r="E49" s="105">
        <v>45694</v>
      </c>
      <c r="F49" s="103"/>
      <c r="G49" s="103" t="s">
        <v>517</v>
      </c>
      <c r="H49" s="103" t="s">
        <v>518</v>
      </c>
      <c r="I49" s="103" t="s">
        <v>519</v>
      </c>
      <c r="J49" s="103" t="s">
        <v>520</v>
      </c>
      <c r="K49" s="106" t="s">
        <v>521</v>
      </c>
      <c r="L49" s="107" t="s">
        <v>460</v>
      </c>
      <c r="M49" s="108">
        <v>0</v>
      </c>
      <c r="N49" s="103" t="s">
        <v>522</v>
      </c>
      <c r="O49" s="109" t="s">
        <v>404</v>
      </c>
      <c r="P49" s="110" t="s">
        <v>523</v>
      </c>
      <c r="Q49" s="107" t="s">
        <v>524</v>
      </c>
      <c r="R49" s="111" t="s">
        <v>525</v>
      </c>
      <c r="S49" s="104" t="s">
        <v>526</v>
      </c>
      <c r="T49" s="112">
        <v>821839.67</v>
      </c>
      <c r="U49" s="113" t="s">
        <v>527</v>
      </c>
      <c r="V49" s="114" t="s">
        <v>528</v>
      </c>
    </row>
    <row r="50" spans="1:22">
      <c r="A50" s="20" t="s">
        <v>529</v>
      </c>
      <c r="B50" s="20">
        <v>1</v>
      </c>
      <c r="C50" s="20">
        <v>1</v>
      </c>
      <c r="D50" s="20"/>
      <c r="E50" s="92">
        <v>45698</v>
      </c>
      <c r="F50" s="20"/>
      <c r="G50" s="20" t="s">
        <v>503</v>
      </c>
      <c r="H50" s="20" t="s">
        <v>504</v>
      </c>
      <c r="I50" s="20" t="s">
        <v>530</v>
      </c>
      <c r="J50" s="20" t="s">
        <v>400</v>
      </c>
      <c r="K50" s="20" t="s">
        <v>251</v>
      </c>
      <c r="L50" s="88" t="s">
        <v>477</v>
      </c>
      <c r="M50" s="115">
        <v>1</v>
      </c>
      <c r="N50" s="88" t="s">
        <v>506</v>
      </c>
      <c r="O50" s="20" t="s">
        <v>431</v>
      </c>
      <c r="P50" s="23"/>
      <c r="Q50" s="20" t="s">
        <v>479</v>
      </c>
      <c r="R50" s="20"/>
      <c r="S50" s="28"/>
      <c r="T50" s="28"/>
      <c r="U50" s="116"/>
    </row>
    <row r="51" spans="1:22">
      <c r="A51" s="20" t="s">
        <v>531</v>
      </c>
      <c r="B51" s="20">
        <v>1</v>
      </c>
      <c r="C51" s="20">
        <v>1</v>
      </c>
      <c r="D51" s="20"/>
      <c r="E51" s="92">
        <v>45706</v>
      </c>
      <c r="F51" s="20"/>
      <c r="G51" s="20" t="s">
        <v>532</v>
      </c>
      <c r="H51" s="20" t="s">
        <v>533</v>
      </c>
      <c r="I51" s="20" t="s">
        <v>534</v>
      </c>
      <c r="J51" s="20" t="s">
        <v>535</v>
      </c>
      <c r="K51" s="20" t="s">
        <v>401</v>
      </c>
      <c r="L51" s="20" t="s">
        <v>6</v>
      </c>
      <c r="M51" s="98">
        <v>0</v>
      </c>
      <c r="N51" s="20" t="s">
        <v>536</v>
      </c>
      <c r="O51" s="20" t="s">
        <v>431</v>
      </c>
      <c r="P51" s="23"/>
      <c r="Q51" s="57" t="s">
        <v>537</v>
      </c>
      <c r="R51" s="20"/>
      <c r="S51" s="28"/>
      <c r="T51" s="28"/>
      <c r="U51" s="116"/>
    </row>
    <row r="52" spans="1:22">
      <c r="A52" s="20" t="s">
        <v>538</v>
      </c>
      <c r="B52" s="20">
        <v>1</v>
      </c>
      <c r="C52" s="20">
        <v>1</v>
      </c>
      <c r="D52" s="20"/>
      <c r="E52" s="92">
        <v>45702</v>
      </c>
      <c r="F52" s="20"/>
      <c r="G52" s="20" t="s">
        <v>539</v>
      </c>
      <c r="H52" s="20" t="s">
        <v>540</v>
      </c>
      <c r="I52" s="20" t="s">
        <v>541</v>
      </c>
      <c r="J52" s="20" t="s">
        <v>400</v>
      </c>
      <c r="K52" s="20" t="s">
        <v>251</v>
      </c>
      <c r="L52" s="20" t="s">
        <v>320</v>
      </c>
      <c r="M52" s="98">
        <v>0</v>
      </c>
      <c r="N52" s="20" t="s">
        <v>542</v>
      </c>
      <c r="O52" s="20" t="s">
        <v>319</v>
      </c>
      <c r="P52" s="23"/>
      <c r="Q52" s="20" t="s">
        <v>543</v>
      </c>
      <c r="R52" s="20" t="s">
        <v>452</v>
      </c>
      <c r="S52" s="28"/>
      <c r="T52" s="28"/>
      <c r="U52" s="60" t="s">
        <v>544</v>
      </c>
    </row>
    <row r="53" spans="1:22">
      <c r="A53" s="20" t="s">
        <v>545</v>
      </c>
      <c r="B53" s="20">
        <v>1</v>
      </c>
      <c r="C53" s="20">
        <v>1</v>
      </c>
      <c r="D53" s="20"/>
      <c r="E53" s="92">
        <v>45721</v>
      </c>
      <c r="F53" s="20"/>
      <c r="G53" s="20" t="s">
        <v>546</v>
      </c>
      <c r="H53" s="20" t="s">
        <v>547</v>
      </c>
      <c r="I53" s="20" t="s">
        <v>548</v>
      </c>
      <c r="J53" s="20" t="s">
        <v>549</v>
      </c>
      <c r="K53" s="20" t="s">
        <v>401</v>
      </c>
      <c r="L53" s="20" t="s">
        <v>320</v>
      </c>
      <c r="M53" s="98">
        <v>0</v>
      </c>
      <c r="N53" s="117" t="s">
        <v>550</v>
      </c>
      <c r="O53" s="20" t="s">
        <v>319</v>
      </c>
      <c r="P53" s="23"/>
      <c r="Q53" s="57" t="s">
        <v>551</v>
      </c>
      <c r="R53" s="27" t="s">
        <v>552</v>
      </c>
      <c r="S53" s="118" t="s">
        <v>553</v>
      </c>
      <c r="T53" s="119">
        <v>232400</v>
      </c>
      <c r="U53" s="60" t="s">
        <v>554</v>
      </c>
    </row>
    <row r="54" spans="1:22">
      <c r="A54" s="20" t="s">
        <v>555</v>
      </c>
      <c r="B54" s="20">
        <v>0</v>
      </c>
      <c r="C54" s="20">
        <v>0</v>
      </c>
      <c r="D54" s="20"/>
      <c r="E54" s="92">
        <v>45721</v>
      </c>
      <c r="F54" s="20"/>
      <c r="G54" s="20" t="s">
        <v>556</v>
      </c>
      <c r="H54" s="20" t="s">
        <v>368</v>
      </c>
      <c r="I54" s="20" t="s">
        <v>298</v>
      </c>
      <c r="J54" s="20" t="s">
        <v>557</v>
      </c>
      <c r="K54" s="20" t="s">
        <v>558</v>
      </c>
      <c r="L54" s="120" t="s">
        <v>559</v>
      </c>
      <c r="M54" s="121">
        <v>0</v>
      </c>
      <c r="N54" s="117" t="s">
        <v>560</v>
      </c>
      <c r="O54" s="20" t="s">
        <v>431</v>
      </c>
      <c r="P54" s="23"/>
      <c r="Q54" s="67" t="s">
        <v>561</v>
      </c>
      <c r="R54" s="71" t="s">
        <v>562</v>
      </c>
      <c r="S54" s="122" t="s">
        <v>563</v>
      </c>
      <c r="T54" s="73">
        <v>30000</v>
      </c>
      <c r="U54" s="60" t="s">
        <v>564</v>
      </c>
      <c r="V54" s="33" t="s">
        <v>565</v>
      </c>
    </row>
    <row r="55" spans="1:22">
      <c r="A55" s="20" t="s">
        <v>566</v>
      </c>
      <c r="B55" s="20">
        <v>1</v>
      </c>
      <c r="C55" s="20">
        <v>1</v>
      </c>
      <c r="D55" s="20"/>
      <c r="E55" s="92">
        <v>45723</v>
      </c>
      <c r="F55" s="20"/>
      <c r="G55" s="20" t="s">
        <v>567</v>
      </c>
      <c r="H55" s="20" t="s">
        <v>568</v>
      </c>
      <c r="I55" s="20" t="s">
        <v>569</v>
      </c>
      <c r="J55" s="20" t="s">
        <v>570</v>
      </c>
      <c r="K55" s="20" t="s">
        <v>401</v>
      </c>
      <c r="L55" s="35" t="s">
        <v>402</v>
      </c>
      <c r="M55" s="100">
        <v>1</v>
      </c>
      <c r="N55" s="123" t="s">
        <v>571</v>
      </c>
      <c r="O55" s="35" t="s">
        <v>572</v>
      </c>
      <c r="P55" s="101"/>
      <c r="Q55" s="47" t="s">
        <v>406</v>
      </c>
      <c r="R55" s="48" t="s">
        <v>566</v>
      </c>
      <c r="S55" s="49" t="s">
        <v>563</v>
      </c>
      <c r="T55" s="50">
        <v>279200</v>
      </c>
      <c r="U55" s="60" t="s">
        <v>573</v>
      </c>
    </row>
    <row r="56" spans="1:22">
      <c r="A56" s="124" t="s">
        <v>574</v>
      </c>
      <c r="B56" s="20">
        <v>1</v>
      </c>
      <c r="C56" s="125">
        <v>1</v>
      </c>
      <c r="D56" s="19"/>
      <c r="E56" s="92">
        <v>45723</v>
      </c>
      <c r="F56" s="19"/>
      <c r="G56" s="124" t="s">
        <v>575</v>
      </c>
      <c r="H56" s="124" t="s">
        <v>576</v>
      </c>
      <c r="I56" s="19" t="s">
        <v>577</v>
      </c>
      <c r="J56" s="20" t="s">
        <v>557</v>
      </c>
      <c r="K56" s="19" t="s">
        <v>578</v>
      </c>
      <c r="L56" s="34" t="s">
        <v>468</v>
      </c>
      <c r="M56" s="126">
        <v>1</v>
      </c>
      <c r="N56" s="123" t="s">
        <v>579</v>
      </c>
      <c r="O56" s="34" t="s">
        <v>202</v>
      </c>
      <c r="P56" s="127"/>
      <c r="Q56" s="34" t="s">
        <v>192</v>
      </c>
      <c r="R56" s="36" t="s">
        <v>574</v>
      </c>
      <c r="S56" s="128" t="s">
        <v>338</v>
      </c>
      <c r="T56" s="38">
        <v>437600</v>
      </c>
      <c r="U56" s="60" t="s">
        <v>580</v>
      </c>
      <c r="V56" t="s">
        <v>581</v>
      </c>
    </row>
    <row r="57" spans="1:22">
      <c r="A57" s="129" t="s">
        <v>582</v>
      </c>
      <c r="B57" s="104">
        <v>0</v>
      </c>
      <c r="C57" s="130">
        <v>0</v>
      </c>
      <c r="D57" s="131"/>
      <c r="E57" s="105">
        <v>45729</v>
      </c>
      <c r="F57" s="131"/>
      <c r="G57" s="129" t="s">
        <v>583</v>
      </c>
      <c r="H57" s="129" t="s">
        <v>584</v>
      </c>
      <c r="I57" s="131" t="s">
        <v>585</v>
      </c>
      <c r="J57" s="103" t="s">
        <v>586</v>
      </c>
      <c r="K57" s="131" t="s">
        <v>587</v>
      </c>
      <c r="L57" s="132" t="s">
        <v>460</v>
      </c>
      <c r="M57" s="133">
        <v>0</v>
      </c>
      <c r="N57" s="131" t="s">
        <v>588</v>
      </c>
      <c r="O57" s="103" t="s">
        <v>431</v>
      </c>
      <c r="P57" s="134"/>
      <c r="Q57" s="135" t="s">
        <v>589</v>
      </c>
      <c r="R57" s="111" t="s">
        <v>590</v>
      </c>
      <c r="S57" s="136" t="s">
        <v>591</v>
      </c>
      <c r="T57" s="137" t="s">
        <v>420</v>
      </c>
      <c r="U57" s="138"/>
      <c r="V57" s="114"/>
    </row>
    <row r="58" spans="1:22">
      <c r="A58" s="139" t="s">
        <v>592</v>
      </c>
      <c r="B58" s="20">
        <v>1</v>
      </c>
      <c r="C58" s="140">
        <v>0</v>
      </c>
      <c r="D58" s="45"/>
      <c r="E58" s="92">
        <v>45731</v>
      </c>
      <c r="F58" s="45"/>
      <c r="G58" s="139" t="s">
        <v>593</v>
      </c>
      <c r="H58" s="139" t="s">
        <v>475</v>
      </c>
      <c r="I58" s="45" t="s">
        <v>594</v>
      </c>
      <c r="J58" s="20" t="s">
        <v>595</v>
      </c>
      <c r="K58" s="45" t="s">
        <v>596</v>
      </c>
      <c r="L58" s="141" t="s">
        <v>468</v>
      </c>
      <c r="M58" s="142">
        <v>1</v>
      </c>
      <c r="N58" s="33" t="s">
        <v>597</v>
      </c>
      <c r="O58" s="143" t="s">
        <v>439</v>
      </c>
      <c r="P58" s="52"/>
      <c r="Q58" s="144" t="s">
        <v>598</v>
      </c>
      <c r="R58" s="145" t="s">
        <v>599</v>
      </c>
      <c r="S58" s="144"/>
      <c r="T58" s="146">
        <v>73000</v>
      </c>
      <c r="U58" s="147" t="s">
        <v>600</v>
      </c>
      <c r="V58" s="148"/>
    </row>
    <row r="59" spans="1:22">
      <c r="A59" s="124" t="s">
        <v>601</v>
      </c>
      <c r="B59" s="20">
        <v>1</v>
      </c>
      <c r="C59" s="125">
        <v>1</v>
      </c>
      <c r="D59" s="19"/>
      <c r="E59" s="53">
        <v>45751</v>
      </c>
      <c r="F59" s="19"/>
      <c r="G59" s="19" t="s">
        <v>602</v>
      </c>
      <c r="H59" s="124" t="s">
        <v>603</v>
      </c>
      <c r="I59" s="19" t="s">
        <v>604</v>
      </c>
      <c r="J59" s="19" t="s">
        <v>605</v>
      </c>
      <c r="K59" s="19" t="s">
        <v>401</v>
      </c>
      <c r="L59" s="34" t="s">
        <v>468</v>
      </c>
      <c r="M59" s="126">
        <v>1</v>
      </c>
      <c r="N59" s="123" t="s">
        <v>606</v>
      </c>
      <c r="O59" s="35" t="s">
        <v>431</v>
      </c>
      <c r="P59" s="127"/>
      <c r="Q59" s="34" t="s">
        <v>607</v>
      </c>
      <c r="R59" s="36" t="s">
        <v>302</v>
      </c>
      <c r="S59" s="128" t="s">
        <v>338</v>
      </c>
      <c r="T59" s="38">
        <v>100000</v>
      </c>
      <c r="U59" s="60" t="s">
        <v>608</v>
      </c>
    </row>
    <row r="60" spans="1:22" ht="15.75" customHeight="1">
      <c r="A60" s="124" t="s">
        <v>609</v>
      </c>
      <c r="B60" s="20">
        <v>1</v>
      </c>
      <c r="C60" s="125">
        <v>1</v>
      </c>
      <c r="D60" s="19"/>
      <c r="E60" s="53">
        <v>45759</v>
      </c>
      <c r="F60" s="19"/>
      <c r="G60" s="149" t="s">
        <v>610</v>
      </c>
      <c r="H60" s="124" t="s">
        <v>611</v>
      </c>
      <c r="I60" s="19" t="s">
        <v>612</v>
      </c>
      <c r="J60" s="19" t="s">
        <v>613</v>
      </c>
      <c r="K60" s="19" t="s">
        <v>401</v>
      </c>
      <c r="L60" s="19" t="s">
        <v>6</v>
      </c>
      <c r="M60" s="150"/>
      <c r="N60" s="151" t="s">
        <v>614</v>
      </c>
      <c r="O60" s="20" t="s">
        <v>431</v>
      </c>
      <c r="P60" s="152"/>
      <c r="Q60" s="20" t="s">
        <v>615</v>
      </c>
      <c r="R60" s="20" t="s">
        <v>423</v>
      </c>
      <c r="S60" s="153"/>
      <c r="T60" s="29"/>
      <c r="U60" s="96"/>
    </row>
    <row r="61" spans="1:22" ht="15.75" customHeight="1">
      <c r="A61" s="45" t="s">
        <v>616</v>
      </c>
      <c r="B61" s="140">
        <v>1</v>
      </c>
      <c r="C61" s="140">
        <v>1</v>
      </c>
      <c r="D61" s="19"/>
      <c r="E61" s="53">
        <v>45799</v>
      </c>
      <c r="F61" s="19"/>
      <c r="G61" s="45" t="s">
        <v>390</v>
      </c>
      <c r="H61" s="45" t="s">
        <v>617</v>
      </c>
      <c r="I61" s="45" t="s">
        <v>618</v>
      </c>
      <c r="J61" s="45" t="s">
        <v>619</v>
      </c>
      <c r="K61" s="19" t="s">
        <v>251</v>
      </c>
      <c r="L61" s="19" t="s">
        <v>6</v>
      </c>
      <c r="M61" s="154"/>
      <c r="N61" s="117" t="s">
        <v>620</v>
      </c>
      <c r="O61" s="45" t="s">
        <v>319</v>
      </c>
      <c r="P61" s="152"/>
      <c r="Q61" s="20" t="s">
        <v>500</v>
      </c>
      <c r="R61" s="117"/>
      <c r="S61" s="153"/>
      <c r="T61" s="29"/>
      <c r="U61" s="96" t="s">
        <v>621</v>
      </c>
    </row>
    <row r="62" spans="1:22">
      <c r="A62" s="45" t="s">
        <v>622</v>
      </c>
      <c r="B62" s="140">
        <v>1</v>
      </c>
      <c r="C62" s="140">
        <v>1</v>
      </c>
      <c r="D62" s="19"/>
      <c r="E62" s="53">
        <v>45811</v>
      </c>
      <c r="F62" s="19"/>
      <c r="G62" s="45" t="s">
        <v>623</v>
      </c>
      <c r="H62" s="45" t="s">
        <v>624</v>
      </c>
      <c r="I62" s="45" t="s">
        <v>625</v>
      </c>
      <c r="J62" s="45" t="s">
        <v>369</v>
      </c>
      <c r="K62" s="19" t="s">
        <v>251</v>
      </c>
      <c r="L62" s="34" t="s">
        <v>468</v>
      </c>
      <c r="M62" s="126">
        <v>1</v>
      </c>
      <c r="N62" s="123" t="s">
        <v>626</v>
      </c>
      <c r="O62" s="155" t="s">
        <v>404</v>
      </c>
      <c r="P62" s="34"/>
      <c r="Q62" s="34" t="s">
        <v>192</v>
      </c>
      <c r="R62" s="156" t="s">
        <v>622</v>
      </c>
      <c r="S62" s="157" t="s">
        <v>338</v>
      </c>
      <c r="T62" s="158">
        <v>193200</v>
      </c>
      <c r="U62" s="60" t="s">
        <v>627</v>
      </c>
      <c r="V62" s="159" t="s">
        <v>628</v>
      </c>
    </row>
    <row r="63" spans="1:22">
      <c r="A63" s="45" t="s">
        <v>629</v>
      </c>
      <c r="B63" s="140">
        <v>1</v>
      </c>
      <c r="C63" s="140">
        <v>1</v>
      </c>
      <c r="D63" s="19"/>
      <c r="E63" s="53">
        <v>45818</v>
      </c>
      <c r="F63" s="19"/>
      <c r="G63" s="45" t="s">
        <v>630</v>
      </c>
      <c r="H63" s="45" t="s">
        <v>631</v>
      </c>
      <c r="I63" s="45" t="s">
        <v>632</v>
      </c>
      <c r="J63" s="45" t="s">
        <v>369</v>
      </c>
      <c r="K63" s="19" t="s">
        <v>251</v>
      </c>
      <c r="L63" s="19" t="s">
        <v>320</v>
      </c>
      <c r="M63" s="154">
        <v>1</v>
      </c>
      <c r="N63" s="117" t="s">
        <v>633</v>
      </c>
      <c r="O63" s="45" t="s">
        <v>439</v>
      </c>
      <c r="P63" s="117" t="s">
        <v>634</v>
      </c>
      <c r="Q63" s="20" t="s">
        <v>635</v>
      </c>
      <c r="R63" s="117"/>
      <c r="S63" s="160"/>
      <c r="T63" s="29"/>
      <c r="U63" s="60" t="s">
        <v>636</v>
      </c>
      <c r="V63" s="161" t="s">
        <v>637</v>
      </c>
    </row>
    <row r="64" spans="1:22">
      <c r="A64" s="131" t="s">
        <v>638</v>
      </c>
      <c r="B64" s="162">
        <v>0</v>
      </c>
      <c r="C64" s="162">
        <v>0</v>
      </c>
      <c r="D64" s="131"/>
      <c r="E64" s="163">
        <v>45826</v>
      </c>
      <c r="F64" s="131"/>
      <c r="G64" s="131" t="s">
        <v>639</v>
      </c>
      <c r="H64" s="131" t="s">
        <v>640</v>
      </c>
      <c r="I64" s="131" t="s">
        <v>641</v>
      </c>
      <c r="J64" s="131" t="s">
        <v>369</v>
      </c>
      <c r="K64" s="131" t="s">
        <v>401</v>
      </c>
      <c r="L64" s="131" t="s">
        <v>642</v>
      </c>
      <c r="M64" s="164">
        <v>1</v>
      </c>
      <c r="N64" s="165" t="s">
        <v>643</v>
      </c>
      <c r="O64" s="131" t="s">
        <v>439</v>
      </c>
      <c r="P64" s="165"/>
      <c r="Q64" s="103" t="s">
        <v>644</v>
      </c>
      <c r="R64" s="165"/>
      <c r="S64" s="166"/>
      <c r="T64" s="167"/>
      <c r="U64" s="113" t="s">
        <v>645</v>
      </c>
      <c r="V64" s="168" t="s">
        <v>646</v>
      </c>
    </row>
    <row r="65" spans="1:22">
      <c r="A65" s="45" t="s">
        <v>647</v>
      </c>
      <c r="B65" s="140">
        <v>1</v>
      </c>
      <c r="C65" s="140">
        <v>1</v>
      </c>
      <c r="D65" s="19"/>
      <c r="E65" s="53">
        <v>45828</v>
      </c>
      <c r="F65" s="19"/>
      <c r="G65" s="45" t="s">
        <v>648</v>
      </c>
      <c r="H65" s="45" t="s">
        <v>649</v>
      </c>
      <c r="I65" s="45" t="s">
        <v>650</v>
      </c>
      <c r="J65" s="45" t="s">
        <v>369</v>
      </c>
      <c r="K65" s="19" t="s">
        <v>401</v>
      </c>
      <c r="L65" s="34" t="s">
        <v>468</v>
      </c>
      <c r="M65" s="126">
        <v>1</v>
      </c>
      <c r="N65" s="123" t="s">
        <v>651</v>
      </c>
      <c r="O65" s="155" t="s">
        <v>431</v>
      </c>
      <c r="P65" s="123" t="s">
        <v>634</v>
      </c>
      <c r="Q65" s="34" t="s">
        <v>192</v>
      </c>
      <c r="R65" s="156" t="s">
        <v>652</v>
      </c>
      <c r="S65" s="169" t="s">
        <v>408</v>
      </c>
      <c r="T65" s="38">
        <v>506800</v>
      </c>
      <c r="U65" s="60" t="s">
        <v>653</v>
      </c>
      <c r="V65" s="161" t="s">
        <v>654</v>
      </c>
    </row>
    <row r="66" spans="1:22">
      <c r="A66" s="45" t="s">
        <v>655</v>
      </c>
      <c r="B66" s="140">
        <v>1</v>
      </c>
      <c r="C66" s="140">
        <v>0</v>
      </c>
      <c r="D66" s="19"/>
      <c r="E66" s="53">
        <v>45831</v>
      </c>
      <c r="F66" s="19"/>
      <c r="G66" s="45" t="s">
        <v>656</v>
      </c>
      <c r="H66" s="45" t="s">
        <v>657</v>
      </c>
      <c r="I66" s="45" t="s">
        <v>658</v>
      </c>
      <c r="J66" s="45" t="s">
        <v>369</v>
      </c>
      <c r="K66" s="19" t="s">
        <v>401</v>
      </c>
      <c r="L66" s="19" t="s">
        <v>6</v>
      </c>
      <c r="M66" s="170"/>
      <c r="N66" s="117" t="s">
        <v>659</v>
      </c>
      <c r="O66" s="45" t="s">
        <v>202</v>
      </c>
      <c r="P66" s="117" t="s">
        <v>660</v>
      </c>
      <c r="Q66" s="20" t="s">
        <v>6</v>
      </c>
      <c r="R66" s="117"/>
      <c r="S66" s="160"/>
      <c r="T66" s="29"/>
      <c r="U66" s="60" t="s">
        <v>661</v>
      </c>
      <c r="V66" s="161" t="s">
        <v>662</v>
      </c>
    </row>
    <row r="67" spans="1:22" ht="15.75" customHeight="1">
      <c r="A67" s="45" t="s">
        <v>663</v>
      </c>
      <c r="B67" s="140">
        <v>1</v>
      </c>
      <c r="C67" s="140">
        <v>1</v>
      </c>
      <c r="D67" s="19"/>
      <c r="E67" s="53">
        <v>45835</v>
      </c>
      <c r="F67" s="19"/>
      <c r="G67" s="45" t="s">
        <v>664</v>
      </c>
      <c r="H67" s="45" t="s">
        <v>665</v>
      </c>
      <c r="I67" s="45" t="s">
        <v>666</v>
      </c>
      <c r="J67" s="45" t="s">
        <v>586</v>
      </c>
      <c r="K67" s="19" t="s">
        <v>667</v>
      </c>
      <c r="L67" s="19" t="s">
        <v>668</v>
      </c>
      <c r="M67" s="154"/>
      <c r="N67" s="117" t="s">
        <v>669</v>
      </c>
      <c r="O67" s="45" t="s">
        <v>431</v>
      </c>
      <c r="P67" s="117" t="s">
        <v>670</v>
      </c>
      <c r="Q67" s="20" t="s">
        <v>671</v>
      </c>
      <c r="R67" s="117"/>
      <c r="S67" s="160"/>
      <c r="T67" s="29"/>
      <c r="U67" s="60" t="s">
        <v>672</v>
      </c>
      <c r="V67" s="171"/>
    </row>
    <row r="68" spans="1:22" ht="15.75" customHeight="1">
      <c r="A68" s="45" t="s">
        <v>396</v>
      </c>
      <c r="B68" s="140">
        <v>1</v>
      </c>
      <c r="C68" s="140">
        <v>1</v>
      </c>
      <c r="D68" s="19"/>
      <c r="E68" s="53">
        <v>45834</v>
      </c>
      <c r="F68" s="19"/>
      <c r="G68" s="45" t="s">
        <v>673</v>
      </c>
      <c r="H68" s="45" t="s">
        <v>475</v>
      </c>
      <c r="I68" s="45" t="s">
        <v>674</v>
      </c>
      <c r="J68" s="45" t="s">
        <v>675</v>
      </c>
      <c r="K68" s="19"/>
      <c r="L68" s="19" t="s">
        <v>6</v>
      </c>
      <c r="M68" s="154"/>
      <c r="N68" s="117" t="s">
        <v>676</v>
      </c>
      <c r="O68" s="45" t="s">
        <v>404</v>
      </c>
      <c r="P68" s="117" t="s">
        <v>677</v>
      </c>
      <c r="Q68" s="20" t="s">
        <v>6</v>
      </c>
      <c r="R68" s="117"/>
      <c r="S68" s="160"/>
      <c r="T68" s="29"/>
      <c r="U68" s="60" t="s">
        <v>678</v>
      </c>
      <c r="V68" s="171"/>
    </row>
    <row r="69" spans="1:22" ht="15.75" customHeight="1">
      <c r="A69" s="45" t="s">
        <v>389</v>
      </c>
      <c r="B69" s="140">
        <v>0</v>
      </c>
      <c r="C69" s="140">
        <v>0</v>
      </c>
      <c r="D69" s="19"/>
      <c r="E69" s="53">
        <v>45841</v>
      </c>
      <c r="F69" s="19"/>
      <c r="G69" s="45" t="s">
        <v>679</v>
      </c>
      <c r="H69" s="45" t="s">
        <v>680</v>
      </c>
      <c r="I69" s="45" t="s">
        <v>681</v>
      </c>
      <c r="J69" s="45" t="s">
        <v>682</v>
      </c>
      <c r="K69" s="19" t="s">
        <v>683</v>
      </c>
      <c r="L69" s="19" t="s">
        <v>6</v>
      </c>
      <c r="M69" s="170"/>
      <c r="N69" s="117" t="s">
        <v>684</v>
      </c>
      <c r="O69" s="45" t="s">
        <v>439</v>
      </c>
      <c r="P69" s="117"/>
      <c r="Q69" s="20" t="s">
        <v>6</v>
      </c>
      <c r="R69" s="117"/>
      <c r="S69" s="160"/>
      <c r="T69" s="29"/>
      <c r="U69" s="60" t="s">
        <v>685</v>
      </c>
      <c r="V69" s="171"/>
    </row>
    <row r="70" spans="1:22" ht="15.75" customHeight="1">
      <c r="A70" s="45" t="s">
        <v>686</v>
      </c>
      <c r="B70" s="140">
        <v>1</v>
      </c>
      <c r="C70" s="140">
        <v>1</v>
      </c>
      <c r="D70" s="19"/>
      <c r="E70" s="53">
        <v>45841</v>
      </c>
      <c r="F70" s="19"/>
      <c r="G70" s="45" t="s">
        <v>687</v>
      </c>
      <c r="H70" s="45" t="s">
        <v>688</v>
      </c>
      <c r="I70" s="45" t="s">
        <v>689</v>
      </c>
      <c r="J70" s="45" t="s">
        <v>682</v>
      </c>
      <c r="K70" s="19" t="s">
        <v>690</v>
      </c>
      <c r="L70" s="34" t="s">
        <v>468</v>
      </c>
      <c r="M70" s="126">
        <v>1</v>
      </c>
      <c r="N70" s="123" t="s">
        <v>691</v>
      </c>
      <c r="O70" s="155" t="s">
        <v>692</v>
      </c>
      <c r="P70" s="117" t="s">
        <v>693</v>
      </c>
      <c r="Q70" s="20" t="s">
        <v>642</v>
      </c>
      <c r="R70" s="117"/>
      <c r="S70" s="160"/>
      <c r="T70" s="29"/>
      <c r="U70" s="60" t="s">
        <v>694</v>
      </c>
      <c r="V70" s="171"/>
    </row>
    <row r="71" spans="1:22" ht="15.75" customHeight="1">
      <c r="A71" s="131" t="s">
        <v>695</v>
      </c>
      <c r="B71" s="162">
        <v>0</v>
      </c>
      <c r="C71" s="162">
        <v>0</v>
      </c>
      <c r="D71" s="131"/>
      <c r="E71" s="163">
        <v>45841</v>
      </c>
      <c r="F71" s="131"/>
      <c r="G71" s="131" t="s">
        <v>696</v>
      </c>
      <c r="H71" s="131" t="s">
        <v>697</v>
      </c>
      <c r="I71" s="131" t="s">
        <v>698</v>
      </c>
      <c r="J71" s="131" t="s">
        <v>699</v>
      </c>
      <c r="K71" s="131" t="s">
        <v>401</v>
      </c>
      <c r="L71" s="131" t="s">
        <v>148</v>
      </c>
      <c r="M71" s="172"/>
      <c r="N71" s="165" t="s">
        <v>700</v>
      </c>
      <c r="O71" s="131" t="s">
        <v>202</v>
      </c>
      <c r="P71" s="165"/>
      <c r="Q71" s="103" t="s">
        <v>701</v>
      </c>
      <c r="R71" s="165"/>
      <c r="S71" s="166"/>
      <c r="T71" s="167"/>
      <c r="U71" s="113" t="s">
        <v>702</v>
      </c>
      <c r="V71" s="173"/>
    </row>
    <row r="72" spans="1:22" ht="15.75" customHeight="1">
      <c r="A72" s="131" t="s">
        <v>703</v>
      </c>
      <c r="B72" s="162">
        <v>0</v>
      </c>
      <c r="C72" s="162">
        <v>0</v>
      </c>
      <c r="D72" s="131">
        <v>45846</v>
      </c>
      <c r="E72" s="163">
        <v>45846</v>
      </c>
      <c r="F72" s="131" t="s">
        <v>704</v>
      </c>
      <c r="G72" s="131" t="s">
        <v>705</v>
      </c>
      <c r="H72" s="131" t="s">
        <v>706</v>
      </c>
      <c r="I72" s="131" t="s">
        <v>707</v>
      </c>
      <c r="J72" s="131" t="s">
        <v>708</v>
      </c>
      <c r="K72" s="131"/>
      <c r="L72" s="131" t="s">
        <v>709</v>
      </c>
      <c r="M72" s="172"/>
      <c r="N72" s="27" t="s">
        <v>710</v>
      </c>
      <c r="O72" s="131" t="s">
        <v>470</v>
      </c>
      <c r="P72" s="165"/>
      <c r="Q72" s="103" t="s">
        <v>711</v>
      </c>
      <c r="R72" s="165"/>
      <c r="S72" s="166"/>
      <c r="T72" s="167"/>
      <c r="U72" s="60" t="s">
        <v>712</v>
      </c>
      <c r="V72" s="173"/>
    </row>
    <row r="73" spans="1:22" ht="15.75" customHeight="1">
      <c r="A73" s="45" t="s">
        <v>713</v>
      </c>
      <c r="B73" s="140">
        <v>1</v>
      </c>
      <c r="C73" s="140">
        <v>0</v>
      </c>
      <c r="D73" s="19"/>
      <c r="E73" s="53">
        <v>45852</v>
      </c>
      <c r="F73" s="19"/>
      <c r="G73" s="45" t="s">
        <v>714</v>
      </c>
      <c r="H73" s="45" t="s">
        <v>715</v>
      </c>
      <c r="I73" s="45" t="s">
        <v>716</v>
      </c>
      <c r="J73" s="45" t="s">
        <v>717</v>
      </c>
      <c r="K73" s="19"/>
      <c r="L73" s="19" t="s">
        <v>718</v>
      </c>
      <c r="M73" s="170"/>
      <c r="N73" s="27" t="s">
        <v>719</v>
      </c>
      <c r="O73" s="45" t="s">
        <v>431</v>
      </c>
      <c r="P73" s="117" t="s">
        <v>720</v>
      </c>
      <c r="Q73" s="20" t="s">
        <v>721</v>
      </c>
      <c r="R73" s="117"/>
      <c r="S73" s="160"/>
      <c r="T73" s="29"/>
      <c r="U73" s="60" t="s">
        <v>722</v>
      </c>
      <c r="V73" s="171"/>
    </row>
    <row r="74" spans="1:22" ht="15.75" customHeight="1">
      <c r="A74" s="45" t="s">
        <v>723</v>
      </c>
      <c r="B74" s="140">
        <v>1</v>
      </c>
      <c r="C74" s="140">
        <v>1</v>
      </c>
      <c r="D74" s="19">
        <v>45854</v>
      </c>
      <c r="E74" s="53">
        <v>45854</v>
      </c>
      <c r="F74" s="19"/>
      <c r="G74" s="45" t="s">
        <v>724</v>
      </c>
      <c r="H74" s="45" t="s">
        <v>725</v>
      </c>
      <c r="I74" s="45" t="s">
        <v>726</v>
      </c>
      <c r="J74" s="45" t="s">
        <v>727</v>
      </c>
      <c r="K74" s="19" t="s">
        <v>728</v>
      </c>
      <c r="L74" s="19" t="s">
        <v>6</v>
      </c>
      <c r="M74" s="154"/>
      <c r="N74" s="117" t="s">
        <v>729</v>
      </c>
      <c r="O74" s="45" t="s">
        <v>439</v>
      </c>
      <c r="P74" s="45"/>
      <c r="Q74" s="20" t="s">
        <v>730</v>
      </c>
      <c r="R74" s="117"/>
      <c r="S74" s="160"/>
      <c r="T74" s="29"/>
      <c r="U74" s="60" t="s">
        <v>731</v>
      </c>
      <c r="V74" s="171"/>
    </row>
    <row r="75" spans="1:22" ht="15.75" customHeight="1">
      <c r="A75" s="131" t="s">
        <v>732</v>
      </c>
      <c r="B75" s="162">
        <v>0</v>
      </c>
      <c r="C75" s="162">
        <v>0</v>
      </c>
      <c r="D75" s="131">
        <v>45862</v>
      </c>
      <c r="E75" s="163">
        <v>45862</v>
      </c>
      <c r="F75" s="131"/>
      <c r="G75" s="131" t="s">
        <v>733</v>
      </c>
      <c r="H75" s="131" t="s">
        <v>734</v>
      </c>
      <c r="I75" s="131" t="s">
        <v>735</v>
      </c>
      <c r="J75" s="131" t="s">
        <v>736</v>
      </c>
      <c r="K75" s="131"/>
      <c r="L75" s="131" t="s">
        <v>709</v>
      </c>
      <c r="M75" s="172"/>
      <c r="N75" s="27" t="s">
        <v>737</v>
      </c>
      <c r="O75" s="131" t="s">
        <v>148</v>
      </c>
      <c r="P75" s="165"/>
      <c r="Q75" s="103" t="s">
        <v>738</v>
      </c>
      <c r="R75" s="165"/>
      <c r="S75" s="166"/>
      <c r="T75" s="167"/>
      <c r="U75" s="60" t="s">
        <v>739</v>
      </c>
      <c r="V75" s="173"/>
    </row>
    <row r="76" spans="1:22" ht="15.75" customHeight="1">
      <c r="A76" s="45" t="s">
        <v>740</v>
      </c>
      <c r="B76" s="140">
        <v>1</v>
      </c>
      <c r="C76" s="140">
        <v>1</v>
      </c>
      <c r="D76" s="19">
        <v>45869</v>
      </c>
      <c r="E76" s="53">
        <v>45869</v>
      </c>
      <c r="F76" s="19"/>
      <c r="G76" s="45" t="s">
        <v>741</v>
      </c>
      <c r="H76" s="45" t="s">
        <v>742</v>
      </c>
      <c r="I76" s="45" t="s">
        <v>743</v>
      </c>
      <c r="J76" s="45" t="s">
        <v>744</v>
      </c>
      <c r="K76" s="19"/>
      <c r="L76" s="34" t="s">
        <v>402</v>
      </c>
      <c r="M76" s="126">
        <v>1</v>
      </c>
      <c r="N76" s="123" t="s">
        <v>745</v>
      </c>
      <c r="O76" s="155" t="s">
        <v>439</v>
      </c>
      <c r="P76" s="123"/>
      <c r="Q76" s="35" t="s">
        <v>642</v>
      </c>
      <c r="R76" s="174" t="s">
        <v>746</v>
      </c>
      <c r="S76" s="169" t="s">
        <v>408</v>
      </c>
      <c r="T76" s="38">
        <v>458800</v>
      </c>
      <c r="U76" s="60" t="s">
        <v>747</v>
      </c>
      <c r="V76" s="171"/>
    </row>
    <row r="77" spans="1:22" ht="15.75" customHeight="1">
      <c r="A77" s="45" t="s">
        <v>748</v>
      </c>
      <c r="B77" s="140">
        <v>1</v>
      </c>
      <c r="C77" s="140">
        <v>1</v>
      </c>
      <c r="D77" s="19">
        <v>45869</v>
      </c>
      <c r="E77" s="53">
        <v>45869</v>
      </c>
      <c r="F77" s="19"/>
      <c r="G77" s="45" t="s">
        <v>687</v>
      </c>
      <c r="H77" s="45" t="s">
        <v>298</v>
      </c>
      <c r="I77" s="45" t="s">
        <v>749</v>
      </c>
      <c r="J77" s="45" t="s">
        <v>750</v>
      </c>
      <c r="K77" s="19"/>
      <c r="L77" s="19" t="s">
        <v>6</v>
      </c>
      <c r="M77" s="154"/>
      <c r="N77" s="117" t="s">
        <v>751</v>
      </c>
      <c r="O77" s="45" t="s">
        <v>752</v>
      </c>
      <c r="P77" s="117"/>
      <c r="Q77" s="20" t="s">
        <v>6</v>
      </c>
      <c r="R77" s="117"/>
      <c r="S77" s="160"/>
      <c r="T77" s="29"/>
      <c r="U77" s="60" t="s">
        <v>753</v>
      </c>
      <c r="V77" s="171"/>
    </row>
    <row r="78" spans="1:22" ht="15.75" customHeight="1">
      <c r="A78" s="45" t="s">
        <v>754</v>
      </c>
      <c r="B78" s="140">
        <v>1</v>
      </c>
      <c r="C78" s="140">
        <v>1</v>
      </c>
      <c r="D78" s="19"/>
      <c r="E78" s="53">
        <v>45876</v>
      </c>
      <c r="F78" s="19"/>
      <c r="G78" s="45" t="s">
        <v>755</v>
      </c>
      <c r="H78" s="45" t="s">
        <v>521</v>
      </c>
      <c r="I78" s="45" t="s">
        <v>756</v>
      </c>
      <c r="J78" s="19" t="s">
        <v>757</v>
      </c>
      <c r="K78" s="19"/>
      <c r="L78" s="19" t="s">
        <v>758</v>
      </c>
      <c r="M78" s="154"/>
      <c r="N78" s="117" t="s">
        <v>759</v>
      </c>
      <c r="O78" s="45" t="s">
        <v>760</v>
      </c>
      <c r="P78" s="117"/>
      <c r="Q78" s="20" t="s">
        <v>761</v>
      </c>
      <c r="R78" s="117"/>
      <c r="S78" s="160"/>
      <c r="T78" s="29"/>
      <c r="U78" s="60" t="s">
        <v>762</v>
      </c>
      <c r="V78" s="171"/>
    </row>
    <row r="79" spans="1:22" ht="15.75" customHeight="1">
      <c r="A79" s="45" t="s">
        <v>763</v>
      </c>
      <c r="B79" s="140">
        <v>1</v>
      </c>
      <c r="C79" s="140">
        <v>0</v>
      </c>
      <c r="D79" s="19"/>
      <c r="E79" s="53">
        <v>45881</v>
      </c>
      <c r="F79" s="19"/>
      <c r="G79" s="45" t="s">
        <v>764</v>
      </c>
      <c r="H79" s="45" t="s">
        <v>765</v>
      </c>
      <c r="I79" s="175" t="s">
        <v>766</v>
      </c>
      <c r="J79" s="176" t="s">
        <v>767</v>
      </c>
      <c r="K79" s="176"/>
      <c r="L79" s="34" t="s">
        <v>402</v>
      </c>
      <c r="M79" s="177">
        <v>1</v>
      </c>
      <c r="N79" s="123" t="s">
        <v>768</v>
      </c>
      <c r="O79" s="155" t="s">
        <v>470</v>
      </c>
      <c r="P79" s="123"/>
      <c r="Q79" s="35" t="s">
        <v>192</v>
      </c>
      <c r="R79" s="156" t="s">
        <v>763</v>
      </c>
      <c r="S79" s="169" t="s">
        <v>338</v>
      </c>
      <c r="T79" s="38">
        <v>50000</v>
      </c>
      <c r="U79" s="60" t="s">
        <v>769</v>
      </c>
      <c r="V79" s="171"/>
    </row>
    <row r="80" spans="1:22">
      <c r="A80" s="45" t="s">
        <v>770</v>
      </c>
      <c r="B80" s="140">
        <v>1</v>
      </c>
      <c r="C80" s="140">
        <v>1</v>
      </c>
      <c r="D80" s="19"/>
      <c r="E80" s="53">
        <v>45881</v>
      </c>
      <c r="F80" s="19"/>
      <c r="G80" s="45" t="s">
        <v>771</v>
      </c>
      <c r="H80" s="175" t="s">
        <v>772</v>
      </c>
      <c r="I80" s="175" t="s">
        <v>773</v>
      </c>
      <c r="J80" s="176" t="s">
        <v>767</v>
      </c>
      <c r="K80" s="176"/>
      <c r="L80" s="34" t="s">
        <v>642</v>
      </c>
      <c r="M80" s="126">
        <v>1</v>
      </c>
      <c r="N80" s="117" t="s">
        <v>774</v>
      </c>
      <c r="O80" s="45" t="s">
        <v>470</v>
      </c>
      <c r="P80" s="117"/>
      <c r="Q80" s="20" t="s">
        <v>775</v>
      </c>
      <c r="R80" s="117"/>
      <c r="S80" s="160"/>
      <c r="T80" s="29"/>
      <c r="U80" s="60" t="s">
        <v>776</v>
      </c>
      <c r="V80" s="33" t="s">
        <v>777</v>
      </c>
    </row>
    <row r="81" spans="1:22" ht="15.75" customHeight="1">
      <c r="A81" s="45" t="s">
        <v>778</v>
      </c>
      <c r="B81" s="140">
        <v>1</v>
      </c>
      <c r="C81" s="140">
        <v>1</v>
      </c>
      <c r="D81" s="19"/>
      <c r="E81" s="53">
        <v>45883</v>
      </c>
      <c r="F81" s="19"/>
      <c r="G81" s="45" t="s">
        <v>779</v>
      </c>
      <c r="H81" s="175" t="s">
        <v>780</v>
      </c>
      <c r="I81" s="175" t="s">
        <v>781</v>
      </c>
      <c r="J81" s="176" t="s">
        <v>750</v>
      </c>
      <c r="K81" s="176"/>
      <c r="L81" s="34" t="s">
        <v>642</v>
      </c>
      <c r="M81" s="126">
        <v>1</v>
      </c>
      <c r="N81" s="117" t="s">
        <v>782</v>
      </c>
      <c r="O81" s="45" t="s">
        <v>470</v>
      </c>
      <c r="P81" s="117"/>
      <c r="Q81" s="20" t="s">
        <v>642</v>
      </c>
      <c r="R81" s="117"/>
      <c r="S81" s="160"/>
      <c r="T81" s="29"/>
      <c r="U81" s="60" t="s">
        <v>783</v>
      </c>
      <c r="V81" s="171"/>
    </row>
    <row r="82" spans="1:22" ht="15.75" customHeight="1">
      <c r="A82" s="45" t="s">
        <v>784</v>
      </c>
      <c r="B82" s="140">
        <v>1</v>
      </c>
      <c r="C82" s="140">
        <v>1</v>
      </c>
      <c r="D82" s="19"/>
      <c r="E82" s="53">
        <v>45896</v>
      </c>
      <c r="F82" s="19"/>
      <c r="G82" s="45" t="s">
        <v>785</v>
      </c>
      <c r="H82" s="175" t="s">
        <v>786</v>
      </c>
      <c r="I82" s="175" t="s">
        <v>787</v>
      </c>
      <c r="J82" s="176" t="s">
        <v>750</v>
      </c>
      <c r="K82" s="176" t="s">
        <v>401</v>
      </c>
      <c r="L82" s="34" t="s">
        <v>788</v>
      </c>
      <c r="M82" s="126">
        <v>1</v>
      </c>
      <c r="N82" s="117" t="s">
        <v>789</v>
      </c>
      <c r="O82" s="45" t="s">
        <v>470</v>
      </c>
      <c r="P82" s="117"/>
      <c r="Q82" s="20" t="s">
        <v>642</v>
      </c>
      <c r="R82" s="117"/>
      <c r="S82" s="160"/>
      <c r="T82" s="29"/>
      <c r="U82" s="60" t="s">
        <v>790</v>
      </c>
      <c r="V82" s="171"/>
    </row>
    <row r="83" spans="1:22" ht="15.75" customHeight="1">
      <c r="A83" s="45" t="s">
        <v>791</v>
      </c>
      <c r="B83" s="140">
        <v>1</v>
      </c>
      <c r="C83" s="140">
        <v>0</v>
      </c>
      <c r="D83" s="19"/>
      <c r="E83" s="53">
        <v>45903</v>
      </c>
      <c r="F83" s="19"/>
      <c r="G83" s="45" t="s">
        <v>792</v>
      </c>
      <c r="H83" s="45" t="s">
        <v>793</v>
      </c>
      <c r="I83" s="45" t="s">
        <v>794</v>
      </c>
      <c r="J83" s="19" t="s">
        <v>795</v>
      </c>
      <c r="K83" s="19" t="s">
        <v>401</v>
      </c>
      <c r="L83" s="20" t="s">
        <v>796</v>
      </c>
      <c r="M83" s="170"/>
      <c r="N83" s="117" t="s">
        <v>797</v>
      </c>
      <c r="O83" s="45" t="s">
        <v>798</v>
      </c>
      <c r="P83" s="61" t="s">
        <v>799</v>
      </c>
      <c r="Q83" s="20" t="s">
        <v>800</v>
      </c>
      <c r="R83" s="117"/>
      <c r="S83" s="160"/>
      <c r="T83" s="29"/>
      <c r="U83" s="60" t="s">
        <v>801</v>
      </c>
      <c r="V83" s="171"/>
    </row>
    <row r="84" spans="1:22" ht="15.75" customHeight="1">
      <c r="A84" s="45" t="s">
        <v>802</v>
      </c>
      <c r="B84" s="140">
        <v>1</v>
      </c>
      <c r="C84" s="140">
        <v>0</v>
      </c>
      <c r="D84" s="19"/>
      <c r="E84" s="53">
        <v>45903</v>
      </c>
      <c r="F84" s="19"/>
      <c r="G84" s="45" t="s">
        <v>803</v>
      </c>
      <c r="H84" s="45" t="s">
        <v>804</v>
      </c>
      <c r="I84" s="45" t="s">
        <v>805</v>
      </c>
      <c r="J84" s="19" t="s">
        <v>795</v>
      </c>
      <c r="K84" s="19" t="s">
        <v>401</v>
      </c>
      <c r="L84" s="20" t="s">
        <v>796</v>
      </c>
      <c r="M84" s="170"/>
      <c r="N84" s="117" t="s">
        <v>806</v>
      </c>
      <c r="O84" s="45" t="s">
        <v>798</v>
      </c>
      <c r="P84" s="117"/>
      <c r="Q84" s="20" t="s">
        <v>800</v>
      </c>
      <c r="R84" s="117"/>
      <c r="S84" s="160"/>
      <c r="T84" s="29"/>
      <c r="U84" s="60" t="s">
        <v>807</v>
      </c>
      <c r="V84" s="171"/>
    </row>
    <row r="85" spans="1:22" ht="15.75" customHeight="1">
      <c r="A85" s="178" t="s">
        <v>808</v>
      </c>
      <c r="B85" s="179">
        <v>0</v>
      </c>
      <c r="C85" s="179">
        <v>0</v>
      </c>
      <c r="D85" s="180"/>
      <c r="E85" s="181">
        <v>45901</v>
      </c>
      <c r="F85" s="180"/>
      <c r="G85" s="178" t="s">
        <v>809</v>
      </c>
      <c r="H85" s="178" t="s">
        <v>810</v>
      </c>
      <c r="I85" s="178" t="s">
        <v>811</v>
      </c>
      <c r="J85" s="180" t="s">
        <v>767</v>
      </c>
      <c r="K85" s="180" t="s">
        <v>401</v>
      </c>
      <c r="L85" s="182" t="s">
        <v>812</v>
      </c>
      <c r="M85" s="170"/>
      <c r="N85" s="183" t="s">
        <v>813</v>
      </c>
      <c r="O85" s="45" t="s">
        <v>798</v>
      </c>
      <c r="P85" s="117"/>
      <c r="Q85" s="20" t="s">
        <v>814</v>
      </c>
      <c r="R85" s="117"/>
      <c r="S85" s="160"/>
      <c r="T85" s="29"/>
      <c r="U85" s="60" t="s">
        <v>815</v>
      </c>
      <c r="V85" s="171"/>
    </row>
    <row r="86" spans="1:22" ht="15.75" customHeight="1">
      <c r="A86" s="178" t="s">
        <v>816</v>
      </c>
      <c r="B86" s="179">
        <v>0</v>
      </c>
      <c r="C86" s="179">
        <v>0</v>
      </c>
      <c r="D86" s="180"/>
      <c r="E86" s="181">
        <v>45907</v>
      </c>
      <c r="F86" s="180"/>
      <c r="G86" s="178" t="s">
        <v>817</v>
      </c>
      <c r="H86" s="178" t="s">
        <v>818</v>
      </c>
      <c r="I86" s="178" t="s">
        <v>819</v>
      </c>
      <c r="J86" s="180" t="s">
        <v>820</v>
      </c>
      <c r="K86" s="180" t="s">
        <v>401</v>
      </c>
      <c r="L86" s="182" t="s">
        <v>821</v>
      </c>
      <c r="M86" s="170"/>
      <c r="N86" s="117" t="s">
        <v>822</v>
      </c>
      <c r="O86" s="45" t="s">
        <v>823</v>
      </c>
      <c r="P86" s="117"/>
      <c r="Q86" s="20" t="s">
        <v>824</v>
      </c>
      <c r="R86" s="117"/>
      <c r="S86" s="160"/>
      <c r="T86" s="29"/>
      <c r="U86" s="60" t="s">
        <v>825</v>
      </c>
      <c r="V86" s="171"/>
    </row>
    <row r="87" spans="1:22">
      <c r="A87" s="178" t="s">
        <v>826</v>
      </c>
      <c r="B87" s="179">
        <v>0</v>
      </c>
      <c r="C87" s="179">
        <v>0</v>
      </c>
      <c r="D87" s="180"/>
      <c r="E87" s="181">
        <v>45908</v>
      </c>
      <c r="F87" s="180"/>
      <c r="G87" s="178" t="s">
        <v>827</v>
      </c>
      <c r="H87" s="178" t="s">
        <v>533</v>
      </c>
      <c r="I87" s="178" t="s">
        <v>828</v>
      </c>
      <c r="J87" s="180" t="s">
        <v>829</v>
      </c>
      <c r="K87" s="180" t="s">
        <v>401</v>
      </c>
      <c r="L87" s="182" t="s">
        <v>821</v>
      </c>
      <c r="M87" s="184"/>
      <c r="N87" s="185"/>
      <c r="O87" s="186" t="s">
        <v>798</v>
      </c>
      <c r="P87" s="187" t="s">
        <v>830</v>
      </c>
      <c r="Q87" s="188" t="s">
        <v>831</v>
      </c>
      <c r="R87" s="189"/>
      <c r="S87" s="190"/>
      <c r="T87" s="191"/>
      <c r="U87" s="192" t="s">
        <v>832</v>
      </c>
      <c r="V87" s="193" t="s">
        <v>833</v>
      </c>
    </row>
    <row r="88" spans="1:22" ht="15.75" customHeight="1">
      <c r="A88" s="178" t="s">
        <v>834</v>
      </c>
      <c r="B88" s="182">
        <v>0</v>
      </c>
      <c r="C88" s="182">
        <v>0</v>
      </c>
      <c r="D88" s="178"/>
      <c r="E88" s="181">
        <v>45910</v>
      </c>
      <c r="F88" s="178"/>
      <c r="G88" s="178" t="s">
        <v>835</v>
      </c>
      <c r="H88" s="178" t="s">
        <v>836</v>
      </c>
      <c r="I88" s="178" t="s">
        <v>837</v>
      </c>
      <c r="J88" s="178" t="s">
        <v>449</v>
      </c>
      <c r="K88" s="180" t="s">
        <v>838</v>
      </c>
      <c r="L88" s="180" t="s">
        <v>718</v>
      </c>
      <c r="M88" s="170"/>
      <c r="N88" s="151" t="s">
        <v>839</v>
      </c>
      <c r="O88" s="45" t="s">
        <v>798</v>
      </c>
      <c r="Q88" s="194" t="s">
        <v>840</v>
      </c>
      <c r="R88" s="117"/>
      <c r="S88" s="160"/>
      <c r="T88" s="29"/>
      <c r="U88" s="195" t="s">
        <v>841</v>
      </c>
      <c r="V88" s="171"/>
    </row>
    <row r="89" spans="1:22" ht="15.75" customHeight="1">
      <c r="A89" s="196" t="s">
        <v>842</v>
      </c>
      <c r="B89" s="197">
        <v>0</v>
      </c>
      <c r="C89" s="197">
        <v>0</v>
      </c>
      <c r="D89" s="196"/>
      <c r="E89" s="198">
        <v>45917</v>
      </c>
      <c r="F89" s="45" t="s">
        <v>843</v>
      </c>
      <c r="G89" s="45" t="s">
        <v>844</v>
      </c>
      <c r="H89" s="45" t="s">
        <v>845</v>
      </c>
      <c r="I89" s="45" t="s">
        <v>846</v>
      </c>
      <c r="J89" s="19" t="s">
        <v>844</v>
      </c>
      <c r="K89" s="19" t="s">
        <v>401</v>
      </c>
      <c r="L89" s="196" t="s">
        <v>29</v>
      </c>
      <c r="M89" s="170"/>
      <c r="N89" s="117" t="s">
        <v>847</v>
      </c>
      <c r="O89" s="45" t="s">
        <v>470</v>
      </c>
      <c r="P89" s="117"/>
      <c r="Q89" s="20" t="s">
        <v>848</v>
      </c>
      <c r="R89" s="117"/>
      <c r="S89" s="160"/>
      <c r="T89" s="29"/>
      <c r="U89" s="60" t="s">
        <v>849</v>
      </c>
      <c r="V89" s="171"/>
    </row>
    <row r="90" spans="1:22" ht="15.75" customHeight="1">
      <c r="A90" s="178" t="s">
        <v>850</v>
      </c>
      <c r="B90" s="182">
        <v>0</v>
      </c>
      <c r="C90" s="182">
        <v>0</v>
      </c>
      <c r="D90" s="178"/>
      <c r="E90" s="181">
        <v>45918</v>
      </c>
      <c r="F90" s="178"/>
      <c r="G90" s="178" t="s">
        <v>851</v>
      </c>
      <c r="H90" s="178" t="s">
        <v>852</v>
      </c>
      <c r="I90" s="178" t="s">
        <v>853</v>
      </c>
      <c r="J90" s="180" t="s">
        <v>449</v>
      </c>
      <c r="K90" s="180" t="s">
        <v>854</v>
      </c>
      <c r="L90" s="178" t="s">
        <v>812</v>
      </c>
      <c r="M90" s="184"/>
      <c r="N90" s="189" t="s">
        <v>855</v>
      </c>
      <c r="O90" s="186" t="s">
        <v>798</v>
      </c>
      <c r="P90" s="189"/>
      <c r="Q90" s="188" t="s">
        <v>856</v>
      </c>
      <c r="R90" s="189"/>
      <c r="S90" s="190"/>
      <c r="T90" s="191"/>
      <c r="U90" s="199" t="s">
        <v>857</v>
      </c>
      <c r="V90" s="200"/>
    </row>
    <row r="91" spans="1:22" ht="15.75" customHeight="1">
      <c r="A91" s="45" t="s">
        <v>858</v>
      </c>
      <c r="B91" s="20">
        <v>1</v>
      </c>
      <c r="C91" s="20">
        <v>1</v>
      </c>
      <c r="D91" s="45" t="s">
        <v>859</v>
      </c>
      <c r="E91" s="53">
        <v>45920</v>
      </c>
      <c r="F91" s="45"/>
      <c r="G91" s="45" t="s">
        <v>860</v>
      </c>
      <c r="H91" s="45" t="s">
        <v>861</v>
      </c>
      <c r="I91" s="45" t="s">
        <v>862</v>
      </c>
      <c r="J91" s="45" t="s">
        <v>863</v>
      </c>
      <c r="K91" s="19" t="s">
        <v>401</v>
      </c>
      <c r="L91" s="45" t="s">
        <v>320</v>
      </c>
      <c r="M91" s="154"/>
      <c r="N91" s="117" t="s">
        <v>864</v>
      </c>
      <c r="O91" s="45" t="s">
        <v>798</v>
      </c>
      <c r="P91" s="117"/>
      <c r="Q91" s="20" t="s">
        <v>865</v>
      </c>
      <c r="R91" s="117"/>
      <c r="S91" s="160"/>
      <c r="T91" s="117"/>
      <c r="U91" s="60" t="s">
        <v>866</v>
      </c>
      <c r="V91" s="171"/>
    </row>
    <row r="92" spans="1:22" ht="15.75" customHeight="1">
      <c r="A92" s="178" t="s">
        <v>867</v>
      </c>
      <c r="B92" s="179">
        <v>0</v>
      </c>
      <c r="C92" s="179">
        <v>0</v>
      </c>
      <c r="D92" s="180"/>
      <c r="E92" s="181">
        <v>45936</v>
      </c>
      <c r="F92" s="180"/>
      <c r="G92" s="178" t="s">
        <v>868</v>
      </c>
      <c r="H92" s="178" t="s">
        <v>869</v>
      </c>
      <c r="I92" s="178" t="s">
        <v>870</v>
      </c>
      <c r="J92" s="180" t="s">
        <v>871</v>
      </c>
      <c r="K92" s="180" t="s">
        <v>401</v>
      </c>
      <c r="L92" s="178" t="s">
        <v>872</v>
      </c>
      <c r="M92" s="170"/>
      <c r="N92" s="117" t="s">
        <v>873</v>
      </c>
      <c r="O92" s="45" t="s">
        <v>874</v>
      </c>
      <c r="P92" s="117"/>
      <c r="Q92" s="20"/>
      <c r="R92" s="117"/>
      <c r="S92" s="160"/>
      <c r="T92" s="29"/>
      <c r="U92" s="33" t="s">
        <v>875</v>
      </c>
      <c r="V92" s="171"/>
    </row>
    <row r="93" spans="1:22" ht="15.75" customHeight="1">
      <c r="A93" s="45" t="s">
        <v>279</v>
      </c>
      <c r="B93" s="140">
        <v>1</v>
      </c>
      <c r="C93" s="140">
        <v>0</v>
      </c>
      <c r="D93" s="19"/>
      <c r="E93" s="53">
        <v>45944</v>
      </c>
      <c r="F93" s="19"/>
      <c r="G93" s="45" t="s">
        <v>876</v>
      </c>
      <c r="H93" s="45" t="s">
        <v>877</v>
      </c>
      <c r="I93" s="45" t="s">
        <v>878</v>
      </c>
      <c r="J93" s="19" t="s">
        <v>879</v>
      </c>
      <c r="K93" s="19"/>
      <c r="L93" s="45" t="s">
        <v>880</v>
      </c>
      <c r="M93" s="170"/>
      <c r="N93" s="117" t="s">
        <v>881</v>
      </c>
      <c r="O93" s="45" t="s">
        <v>798</v>
      </c>
      <c r="P93" s="117"/>
      <c r="Q93" s="20"/>
      <c r="R93" s="117"/>
      <c r="S93" s="160"/>
      <c r="T93" s="29"/>
      <c r="U93" s="33" t="s">
        <v>882</v>
      </c>
      <c r="V93" s="171"/>
    </row>
    <row r="94" spans="1:22" ht="15.75" customHeight="1">
      <c r="A94" s="45" t="s">
        <v>883</v>
      </c>
      <c r="B94" s="140">
        <v>1</v>
      </c>
      <c r="C94" s="140">
        <v>1</v>
      </c>
      <c r="D94" s="19"/>
      <c r="E94" s="53">
        <v>45945</v>
      </c>
      <c r="F94" s="19"/>
      <c r="G94" s="45" t="s">
        <v>884</v>
      </c>
      <c r="H94" s="45" t="s">
        <v>885</v>
      </c>
      <c r="I94" s="45" t="s">
        <v>886</v>
      </c>
      <c r="J94" s="19" t="s">
        <v>887</v>
      </c>
      <c r="K94" s="19" t="s">
        <v>401</v>
      </c>
      <c r="L94" s="45" t="s">
        <v>796</v>
      </c>
      <c r="M94" s="154"/>
      <c r="N94" s="117" t="s">
        <v>888</v>
      </c>
      <c r="O94" s="45" t="s">
        <v>431</v>
      </c>
      <c r="P94" s="117"/>
      <c r="Q94" s="20"/>
      <c r="R94" s="117"/>
      <c r="S94" s="160"/>
      <c r="T94" s="29"/>
      <c r="U94" s="33" t="s">
        <v>889</v>
      </c>
      <c r="V94" s="171"/>
    </row>
    <row r="95" spans="1:22" ht="15.75" customHeight="1">
      <c r="A95" s="45" t="s">
        <v>890</v>
      </c>
      <c r="B95" s="20">
        <v>1</v>
      </c>
      <c r="C95" s="20">
        <v>1</v>
      </c>
      <c r="D95" s="45"/>
      <c r="E95" s="53">
        <v>45951</v>
      </c>
      <c r="F95" s="45" t="s">
        <v>891</v>
      </c>
      <c r="G95" s="45" t="s">
        <v>892</v>
      </c>
      <c r="H95" s="45" t="s">
        <v>893</v>
      </c>
      <c r="I95" s="45" t="s">
        <v>894</v>
      </c>
      <c r="J95" s="45" t="s">
        <v>895</v>
      </c>
      <c r="K95" s="19" t="s">
        <v>401</v>
      </c>
      <c r="L95" s="155" t="s">
        <v>788</v>
      </c>
      <c r="M95" s="126">
        <v>1</v>
      </c>
      <c r="N95" s="117" t="s">
        <v>896</v>
      </c>
      <c r="O95" s="45" t="s">
        <v>798</v>
      </c>
      <c r="P95" s="117"/>
      <c r="Q95" s="20" t="s">
        <v>642</v>
      </c>
      <c r="R95" s="117"/>
      <c r="S95" s="160"/>
      <c r="T95" s="117"/>
      <c r="U95" s="60" t="s">
        <v>897</v>
      </c>
      <c r="V95" s="171"/>
    </row>
    <row r="96" spans="1:22" ht="15.75" customHeight="1">
      <c r="A96" s="178" t="s">
        <v>898</v>
      </c>
      <c r="B96" s="179">
        <v>0</v>
      </c>
      <c r="C96" s="179">
        <v>0</v>
      </c>
      <c r="D96" s="180"/>
      <c r="E96" s="181">
        <v>45952</v>
      </c>
      <c r="F96" s="180"/>
      <c r="G96" s="178" t="s">
        <v>899</v>
      </c>
      <c r="H96" s="178" t="s">
        <v>900</v>
      </c>
      <c r="I96" s="178" t="s">
        <v>901</v>
      </c>
      <c r="J96" s="180" t="s">
        <v>795</v>
      </c>
      <c r="K96" s="180" t="s">
        <v>401</v>
      </c>
      <c r="L96" s="178" t="s">
        <v>320</v>
      </c>
      <c r="M96" s="170"/>
      <c r="N96" s="117" t="s">
        <v>902</v>
      </c>
      <c r="O96" s="45" t="s">
        <v>798</v>
      </c>
      <c r="P96" s="117"/>
      <c r="Q96" s="20"/>
      <c r="R96" s="117"/>
      <c r="S96" s="160"/>
      <c r="T96" s="29"/>
      <c r="U96" s="33" t="s">
        <v>903</v>
      </c>
      <c r="V96" s="171"/>
    </row>
    <row r="97" spans="1:22" ht="15.75" customHeight="1">
      <c r="A97" s="178" t="s">
        <v>904</v>
      </c>
      <c r="B97" s="179">
        <v>0</v>
      </c>
      <c r="C97" s="179">
        <v>0</v>
      </c>
      <c r="D97" s="180"/>
      <c r="E97" s="181">
        <v>45955</v>
      </c>
      <c r="F97" s="180" t="s">
        <v>905</v>
      </c>
      <c r="G97" s="178" t="s">
        <v>906</v>
      </c>
      <c r="H97" s="178" t="s">
        <v>907</v>
      </c>
      <c r="I97" s="178" t="s">
        <v>908</v>
      </c>
      <c r="J97" s="180" t="s">
        <v>895</v>
      </c>
      <c r="K97" s="180" t="s">
        <v>578</v>
      </c>
      <c r="L97" s="178" t="s">
        <v>909</v>
      </c>
      <c r="M97" s="170"/>
      <c r="N97" s="117" t="s">
        <v>910</v>
      </c>
      <c r="O97" s="45" t="s">
        <v>439</v>
      </c>
      <c r="P97" s="117"/>
      <c r="Q97" s="20"/>
      <c r="R97" s="117"/>
      <c r="S97" s="160"/>
      <c r="T97" s="29"/>
      <c r="U97" s="33" t="s">
        <v>911</v>
      </c>
      <c r="V97" s="171"/>
    </row>
    <row r="98" spans="1:22" ht="15.75" customHeight="1">
      <c r="A98" s="201" t="s">
        <v>912</v>
      </c>
      <c r="B98" s="202">
        <v>1</v>
      </c>
      <c r="C98" s="202">
        <v>1</v>
      </c>
      <c r="D98" s="201"/>
      <c r="E98" s="203">
        <v>45955</v>
      </c>
      <c r="F98" s="201"/>
      <c r="G98" s="201" t="s">
        <v>913</v>
      </c>
      <c r="H98" s="201" t="s">
        <v>914</v>
      </c>
      <c r="I98" s="201" t="s">
        <v>915</v>
      </c>
      <c r="J98" s="201" t="s">
        <v>916</v>
      </c>
      <c r="K98" s="201" t="s">
        <v>401</v>
      </c>
      <c r="L98" s="201" t="s">
        <v>796</v>
      </c>
      <c r="M98" s="154"/>
      <c r="N98" s="117" t="s">
        <v>917</v>
      </c>
      <c r="O98" s="45" t="s">
        <v>918</v>
      </c>
      <c r="P98" s="117"/>
      <c r="Q98" s="20"/>
      <c r="R98" s="117"/>
      <c r="S98" s="160"/>
      <c r="T98" s="29"/>
      <c r="U98" s="33" t="s">
        <v>919</v>
      </c>
      <c r="V98" s="171"/>
    </row>
    <row r="99" spans="1:22" ht="15.75" customHeight="1">
      <c r="A99" s="204" t="s">
        <v>920</v>
      </c>
      <c r="B99" s="205">
        <v>1</v>
      </c>
      <c r="C99" s="205">
        <v>1</v>
      </c>
      <c r="D99" s="204"/>
      <c r="E99" s="206">
        <v>45956</v>
      </c>
      <c r="F99" s="204"/>
      <c r="G99" s="204" t="s">
        <v>921</v>
      </c>
      <c r="H99" s="204" t="s">
        <v>922</v>
      </c>
      <c r="I99" s="204" t="s">
        <v>923</v>
      </c>
      <c r="J99" s="204" t="s">
        <v>916</v>
      </c>
      <c r="K99" s="204" t="s">
        <v>401</v>
      </c>
      <c r="L99" s="204" t="s">
        <v>796</v>
      </c>
      <c r="M99" s="207"/>
      <c r="N99" s="208" t="s">
        <v>924</v>
      </c>
      <c r="O99" s="45" t="s">
        <v>439</v>
      </c>
      <c r="P99" s="117"/>
      <c r="Q99" s="20"/>
      <c r="R99" s="117"/>
      <c r="S99" s="160"/>
      <c r="T99" s="29"/>
      <c r="U99" s="33" t="s">
        <v>897</v>
      </c>
      <c r="V99" s="171"/>
    </row>
    <row r="100" spans="1:22" ht="15.75" customHeight="1">
      <c r="A100" s="209" t="s">
        <v>925</v>
      </c>
      <c r="B100" s="210">
        <v>1</v>
      </c>
      <c r="C100" s="210">
        <v>0</v>
      </c>
      <c r="D100" s="209"/>
      <c r="E100" s="206">
        <v>45959</v>
      </c>
      <c r="F100" s="209"/>
      <c r="G100" s="209" t="s">
        <v>926</v>
      </c>
      <c r="H100" s="209" t="s">
        <v>927</v>
      </c>
      <c r="I100" s="209" t="s">
        <v>928</v>
      </c>
      <c r="J100" s="209" t="s">
        <v>929</v>
      </c>
      <c r="K100" s="209" t="s">
        <v>401</v>
      </c>
      <c r="L100" s="209" t="s">
        <v>796</v>
      </c>
      <c r="N100" s="211" t="s">
        <v>930</v>
      </c>
      <c r="O100" s="212" t="s">
        <v>202</v>
      </c>
      <c r="P100" s="45"/>
      <c r="Q100" s="45"/>
      <c r="R100" s="45"/>
      <c r="U100" s="33" t="s">
        <v>931</v>
      </c>
      <c r="V100" s="171"/>
    </row>
    <row r="101" spans="1:22" ht="15.75" customHeight="1">
      <c r="A101" s="213" t="s">
        <v>850</v>
      </c>
      <c r="B101" s="214">
        <v>0</v>
      </c>
      <c r="C101" s="214">
        <v>0</v>
      </c>
      <c r="D101" s="213"/>
      <c r="E101" s="215">
        <v>45964</v>
      </c>
      <c r="F101" s="213"/>
      <c r="G101" s="213" t="s">
        <v>851</v>
      </c>
      <c r="H101" s="213" t="s">
        <v>852</v>
      </c>
      <c r="I101" s="213" t="s">
        <v>853</v>
      </c>
      <c r="J101" s="213" t="s">
        <v>449</v>
      </c>
      <c r="K101" s="213" t="s">
        <v>401</v>
      </c>
      <c r="L101" s="213" t="s">
        <v>932</v>
      </c>
      <c r="M101" s="216"/>
      <c r="N101" s="55" t="s">
        <v>855</v>
      </c>
      <c r="O101" s="217" t="s">
        <v>798</v>
      </c>
      <c r="P101" s="117"/>
      <c r="Q101" s="20"/>
      <c r="R101" s="117"/>
      <c r="S101" s="160"/>
      <c r="T101" s="117"/>
      <c r="U101" s="83" t="s">
        <v>857</v>
      </c>
      <c r="V101" s="171"/>
    </row>
    <row r="102" spans="1:22" ht="15.75" customHeight="1">
      <c r="A102" s="213" t="s">
        <v>933</v>
      </c>
      <c r="B102" s="214">
        <v>0</v>
      </c>
      <c r="C102" s="214">
        <v>0</v>
      </c>
      <c r="D102" s="213"/>
      <c r="E102" s="215">
        <v>45967</v>
      </c>
      <c r="F102" s="213"/>
      <c r="G102" s="213" t="s">
        <v>934</v>
      </c>
      <c r="H102" s="213" t="s">
        <v>935</v>
      </c>
      <c r="I102" s="213" t="s">
        <v>936</v>
      </c>
      <c r="J102" s="213" t="s">
        <v>934</v>
      </c>
      <c r="K102" s="213" t="s">
        <v>401</v>
      </c>
      <c r="L102" s="213" t="s">
        <v>872</v>
      </c>
      <c r="M102" s="216"/>
      <c r="N102" s="218" t="s">
        <v>937</v>
      </c>
      <c r="O102" s="219" t="s">
        <v>938</v>
      </c>
      <c r="P102" s="208"/>
      <c r="Q102" s="64"/>
      <c r="R102" s="208"/>
      <c r="S102" s="220"/>
      <c r="T102" s="208"/>
      <c r="U102" s="60" t="s">
        <v>939</v>
      </c>
      <c r="V102" s="171"/>
    </row>
    <row r="103" spans="1:22" ht="15.75" customHeight="1">
      <c r="A103" s="213" t="s">
        <v>940</v>
      </c>
      <c r="B103" s="214">
        <v>0</v>
      </c>
      <c r="C103" s="214">
        <v>0</v>
      </c>
      <c r="D103" s="213"/>
      <c r="E103" s="215">
        <v>45971</v>
      </c>
      <c r="F103" s="213"/>
      <c r="G103" s="213" t="s">
        <v>941</v>
      </c>
      <c r="H103" s="213" t="s">
        <v>942</v>
      </c>
      <c r="I103" s="213" t="s">
        <v>943</v>
      </c>
      <c r="J103" s="213" t="s">
        <v>944</v>
      </c>
      <c r="K103" s="213" t="s">
        <v>401</v>
      </c>
      <c r="L103" s="213" t="s">
        <v>909</v>
      </c>
      <c r="M103" s="212"/>
      <c r="N103" s="212" t="s">
        <v>945</v>
      </c>
      <c r="O103" s="217" t="s">
        <v>798</v>
      </c>
      <c r="P103" s="212"/>
      <c r="Q103" s="212"/>
      <c r="R103" s="212"/>
      <c r="S103" s="221"/>
      <c r="T103" s="55"/>
      <c r="U103" s="60" t="s">
        <v>946</v>
      </c>
      <c r="V103" s="171"/>
    </row>
    <row r="104" spans="1:22" ht="71.25" customHeight="1">
      <c r="A104" s="222" t="s">
        <v>947</v>
      </c>
      <c r="B104" s="210">
        <v>1</v>
      </c>
      <c r="C104" s="210">
        <v>1</v>
      </c>
      <c r="D104" s="209"/>
      <c r="E104" s="206">
        <v>45972</v>
      </c>
      <c r="F104" s="209"/>
      <c r="G104" s="222" t="s">
        <v>948</v>
      </c>
      <c r="H104" s="222" t="s">
        <v>949</v>
      </c>
      <c r="I104" s="222" t="s">
        <v>950</v>
      </c>
      <c r="J104" s="222" t="s">
        <v>369</v>
      </c>
      <c r="K104" s="209" t="s">
        <v>401</v>
      </c>
      <c r="L104" s="209" t="s">
        <v>796</v>
      </c>
      <c r="M104" s="223"/>
      <c r="N104" s="212" t="s">
        <v>951</v>
      </c>
      <c r="O104" s="212" t="s">
        <v>952</v>
      </c>
      <c r="P104" s="212"/>
      <c r="Q104" s="212"/>
      <c r="R104" s="212"/>
      <c r="S104" s="221"/>
      <c r="T104" s="55"/>
      <c r="U104" s="60" t="s">
        <v>953</v>
      </c>
      <c r="V104" s="171"/>
    </row>
    <row r="105" spans="1:22" ht="42.75" customHeight="1">
      <c r="A105" s="222" t="s">
        <v>954</v>
      </c>
      <c r="B105" s="210">
        <v>1</v>
      </c>
      <c r="C105" s="210">
        <v>1</v>
      </c>
      <c r="D105" s="209"/>
      <c r="E105" s="206">
        <v>45975</v>
      </c>
      <c r="F105" s="209"/>
      <c r="G105" s="222" t="s">
        <v>955</v>
      </c>
      <c r="H105" s="222" t="s">
        <v>956</v>
      </c>
      <c r="I105" s="222" t="s">
        <v>957</v>
      </c>
      <c r="J105" s="209" t="s">
        <v>258</v>
      </c>
      <c r="K105" s="209" t="s">
        <v>958</v>
      </c>
      <c r="L105" s="209" t="s">
        <v>796</v>
      </c>
      <c r="M105" s="223"/>
      <c r="N105" s="212" t="s">
        <v>959</v>
      </c>
      <c r="O105" s="212" t="s">
        <v>431</v>
      </c>
      <c r="P105" s="212"/>
      <c r="Q105" s="212"/>
      <c r="R105" s="212"/>
      <c r="S105" s="221"/>
      <c r="T105" s="55"/>
      <c r="U105" s="60" t="s">
        <v>960</v>
      </c>
      <c r="V105" s="171"/>
    </row>
    <row r="106" spans="1:22" ht="15.75" customHeight="1">
      <c r="A106" s="209" t="s">
        <v>961</v>
      </c>
      <c r="B106" s="224">
        <v>1</v>
      </c>
      <c r="C106" s="224" t="s">
        <v>838</v>
      </c>
      <c r="D106" s="209"/>
      <c r="E106" s="206">
        <v>45976</v>
      </c>
      <c r="F106" s="209"/>
      <c r="G106" s="209" t="s">
        <v>962</v>
      </c>
      <c r="H106" s="209" t="s">
        <v>963</v>
      </c>
      <c r="I106" s="209" t="s">
        <v>964</v>
      </c>
      <c r="J106" s="209" t="s">
        <v>944</v>
      </c>
      <c r="K106" s="209" t="s">
        <v>401</v>
      </c>
      <c r="L106" s="209" t="s">
        <v>796</v>
      </c>
      <c r="M106" s="223"/>
      <c r="N106" s="212" t="s">
        <v>965</v>
      </c>
      <c r="O106" s="212" t="s">
        <v>439</v>
      </c>
      <c r="P106" s="212"/>
      <c r="Q106" s="212"/>
      <c r="R106" s="212"/>
      <c r="S106" s="221"/>
      <c r="T106" s="55"/>
      <c r="U106" s="33" t="s">
        <v>966</v>
      </c>
      <c r="V106" s="171"/>
    </row>
    <row r="107" spans="1:22" ht="15.75" customHeight="1">
      <c r="A107" s="213" t="s">
        <v>967</v>
      </c>
      <c r="B107" s="225">
        <v>0</v>
      </c>
      <c r="C107" s="225">
        <v>0</v>
      </c>
      <c r="D107" s="213"/>
      <c r="E107" s="215">
        <v>45980</v>
      </c>
      <c r="F107" s="213"/>
      <c r="G107" s="213"/>
      <c r="H107" s="213" t="s">
        <v>968</v>
      </c>
      <c r="I107" s="213" t="s">
        <v>969</v>
      </c>
      <c r="J107" s="213" t="s">
        <v>449</v>
      </c>
      <c r="K107" s="213" t="s">
        <v>401</v>
      </c>
      <c r="L107" s="213" t="s">
        <v>909</v>
      </c>
      <c r="M107" s="226"/>
      <c r="N107" s="212" t="s">
        <v>970</v>
      </c>
      <c r="O107" s="212" t="s">
        <v>202</v>
      </c>
      <c r="P107" s="212"/>
      <c r="Q107" s="212"/>
      <c r="R107" s="212"/>
      <c r="S107" s="221"/>
      <c r="T107" s="55"/>
      <c r="U107" s="33" t="s">
        <v>971</v>
      </c>
      <c r="V107" s="171"/>
    </row>
    <row r="108" spans="1:22" ht="128.25" customHeight="1">
      <c r="A108" s="222" t="s">
        <v>972</v>
      </c>
      <c r="B108" s="210">
        <v>1</v>
      </c>
      <c r="C108" s="210">
        <v>1</v>
      </c>
      <c r="D108" s="209"/>
      <c r="E108" s="227">
        <v>45984</v>
      </c>
      <c r="F108" s="209"/>
      <c r="G108" s="222" t="s">
        <v>973</v>
      </c>
      <c r="H108" s="222" t="s">
        <v>974</v>
      </c>
      <c r="I108" s="222" t="s">
        <v>975</v>
      </c>
      <c r="J108" s="209" t="s">
        <v>976</v>
      </c>
      <c r="K108" s="209" t="s">
        <v>401</v>
      </c>
      <c r="L108" s="209" t="s">
        <v>796</v>
      </c>
      <c r="M108" s="223"/>
      <c r="N108" s="212" t="s">
        <v>977</v>
      </c>
      <c r="O108" s="212" t="s">
        <v>319</v>
      </c>
      <c r="P108" s="212"/>
      <c r="Q108" s="212"/>
      <c r="R108" s="212"/>
      <c r="S108" s="221"/>
      <c r="T108" s="55"/>
      <c r="U108" s="217"/>
      <c r="V108" s="171"/>
    </row>
    <row r="109" spans="1:22" ht="15.75" customHeight="1">
      <c r="A109" s="213" t="s">
        <v>978</v>
      </c>
      <c r="B109" s="225">
        <v>0</v>
      </c>
      <c r="C109" s="225">
        <v>0</v>
      </c>
      <c r="D109" s="213" t="s">
        <v>979</v>
      </c>
      <c r="E109" s="228">
        <v>45993</v>
      </c>
      <c r="F109" s="213"/>
      <c r="G109" s="213" t="s">
        <v>980</v>
      </c>
      <c r="H109" s="213"/>
      <c r="I109" s="213"/>
      <c r="J109" s="213" t="s">
        <v>981</v>
      </c>
      <c r="K109" s="213"/>
      <c r="L109" s="213" t="s">
        <v>982</v>
      </c>
      <c r="M109" s="221"/>
      <c r="N109" s="212"/>
      <c r="O109" s="212" t="s">
        <v>983</v>
      </c>
      <c r="P109" s="82"/>
      <c r="Q109" s="212"/>
      <c r="R109" s="212"/>
      <c r="S109" s="221"/>
      <c r="T109" s="229"/>
      <c r="U109" t="s">
        <v>984</v>
      </c>
      <c r="V109" s="230" t="s">
        <v>985</v>
      </c>
    </row>
    <row r="110" spans="1:22" ht="15.75" customHeight="1">
      <c r="A110" s="209" t="s">
        <v>566</v>
      </c>
      <c r="B110" s="210">
        <v>0</v>
      </c>
      <c r="C110" s="210">
        <v>0</v>
      </c>
      <c r="D110" s="209"/>
      <c r="E110" s="206">
        <v>45992</v>
      </c>
      <c r="F110" s="209"/>
      <c r="G110" s="209" t="s">
        <v>921</v>
      </c>
      <c r="H110" s="222" t="s">
        <v>986</v>
      </c>
      <c r="I110" s="222" t="s">
        <v>987</v>
      </c>
      <c r="J110" s="209" t="s">
        <v>820</v>
      </c>
      <c r="K110" s="209"/>
      <c r="L110" s="209" t="s">
        <v>988</v>
      </c>
      <c r="M110" s="212"/>
      <c r="N110" s="212"/>
      <c r="O110" s="212" t="s">
        <v>439</v>
      </c>
      <c r="P110" s="212"/>
      <c r="Q110" s="212"/>
      <c r="R110" s="212"/>
      <c r="S110" s="231"/>
      <c r="T110" s="232">
        <f>SUM(T59,T56,T55,T48,T44,T62,T65)</f>
        <v>2498200</v>
      </c>
      <c r="U110" s="33" t="s">
        <v>989</v>
      </c>
      <c r="V110" s="230" t="s">
        <v>990</v>
      </c>
    </row>
    <row r="111" spans="1:22" ht="15.75" customHeight="1">
      <c r="A111" s="209" t="s">
        <v>991</v>
      </c>
      <c r="B111" s="210">
        <v>0</v>
      </c>
      <c r="C111" s="210">
        <v>0</v>
      </c>
      <c r="D111" s="209"/>
      <c r="E111" s="206">
        <v>45992</v>
      </c>
      <c r="F111" s="209"/>
      <c r="G111" s="209" t="s">
        <v>992</v>
      </c>
      <c r="H111" s="222" t="s">
        <v>993</v>
      </c>
      <c r="I111" s="222" t="s">
        <v>994</v>
      </c>
      <c r="J111" s="209" t="s">
        <v>995</v>
      </c>
      <c r="K111" s="209"/>
      <c r="L111" s="209" t="s">
        <v>909</v>
      </c>
      <c r="M111" s="212"/>
      <c r="N111" s="82" t="s">
        <v>996</v>
      </c>
      <c r="O111" s="212" t="s">
        <v>798</v>
      </c>
      <c r="P111" s="221"/>
      <c r="Q111" s="212"/>
      <c r="R111" s="212"/>
      <c r="S111" s="221"/>
      <c r="T111" s="221"/>
      <c r="U111" s="33" t="s">
        <v>997</v>
      </c>
      <c r="V111" s="230" t="s">
        <v>998</v>
      </c>
    </row>
    <row r="112" spans="1:22" ht="15.75" customHeight="1">
      <c r="A112" s="209" t="s">
        <v>999</v>
      </c>
      <c r="B112" s="210">
        <v>0</v>
      </c>
      <c r="C112" s="210">
        <v>0</v>
      </c>
      <c r="D112" s="209" t="s">
        <v>1000</v>
      </c>
      <c r="E112" s="227">
        <v>45993</v>
      </c>
      <c r="F112" s="209"/>
      <c r="G112" s="209" t="s">
        <v>1001</v>
      </c>
      <c r="H112" s="222" t="s">
        <v>1002</v>
      </c>
      <c r="I112" s="222" t="s">
        <v>749</v>
      </c>
      <c r="J112" s="209" t="s">
        <v>820</v>
      </c>
      <c r="K112" s="209" t="s">
        <v>1003</v>
      </c>
      <c r="L112" s="209" t="s">
        <v>1004</v>
      </c>
      <c r="M112" s="221"/>
      <c r="N112" s="82" t="s">
        <v>1005</v>
      </c>
      <c r="O112" s="212" t="s">
        <v>798</v>
      </c>
      <c r="P112" s="221"/>
      <c r="Q112" s="221"/>
      <c r="R112" s="221"/>
      <c r="S112" s="221"/>
      <c r="T112" s="233"/>
      <c r="U112" s="33" t="s">
        <v>1006</v>
      </c>
      <c r="V112" s="230" t="s">
        <v>1007</v>
      </c>
    </row>
    <row r="113" spans="1:25" ht="28.5" customHeight="1">
      <c r="A113" s="201" t="s">
        <v>1008</v>
      </c>
      <c r="B113" s="28">
        <v>1</v>
      </c>
      <c r="C113" s="28">
        <v>1</v>
      </c>
      <c r="D113" s="201"/>
      <c r="E113" s="203">
        <v>45999</v>
      </c>
      <c r="F113" s="201"/>
      <c r="G113" s="201" t="s">
        <v>1009</v>
      </c>
      <c r="H113" s="234" t="s">
        <v>417</v>
      </c>
      <c r="I113" s="234" t="s">
        <v>1010</v>
      </c>
      <c r="J113" s="45" t="s">
        <v>916</v>
      </c>
      <c r="K113" s="201"/>
      <c r="L113" s="201" t="s">
        <v>872</v>
      </c>
      <c r="M113" s="235"/>
      <c r="N113" s="27" t="s">
        <v>1011</v>
      </c>
      <c r="O113" s="45" t="s">
        <v>439</v>
      </c>
      <c r="P113" s="236"/>
      <c r="Q113" s="236"/>
      <c r="R113" s="236"/>
      <c r="S113" s="236"/>
      <c r="T113" s="237"/>
      <c r="U113" s="33" t="s">
        <v>1012</v>
      </c>
      <c r="V113" s="230"/>
    </row>
    <row r="114" spans="1:25" ht="15.75" customHeight="1">
      <c r="A114" s="201" t="s">
        <v>1013</v>
      </c>
      <c r="B114" s="28">
        <v>0</v>
      </c>
      <c r="C114" s="28">
        <v>0</v>
      </c>
      <c r="D114" s="201"/>
      <c r="E114" s="203">
        <v>46007</v>
      </c>
      <c r="F114" s="201"/>
      <c r="G114" s="201" t="s">
        <v>1014</v>
      </c>
      <c r="H114" s="234" t="s">
        <v>1015</v>
      </c>
      <c r="I114" s="234" t="s">
        <v>1016</v>
      </c>
      <c r="J114" s="45" t="s">
        <v>1017</v>
      </c>
      <c r="K114" s="201"/>
      <c r="L114" s="201" t="s">
        <v>909</v>
      </c>
      <c r="M114" s="236"/>
      <c r="N114" s="27" t="s">
        <v>1018</v>
      </c>
      <c r="O114" s="45" t="s">
        <v>319</v>
      </c>
      <c r="P114" s="236"/>
      <c r="Q114" s="236"/>
      <c r="R114" s="236"/>
      <c r="S114" s="236"/>
      <c r="T114" s="237"/>
      <c r="U114" s="33" t="s">
        <v>1019</v>
      </c>
      <c r="V114" s="230"/>
    </row>
    <row r="115" spans="1:25" ht="28.5" customHeight="1">
      <c r="A115" s="201" t="s">
        <v>1020</v>
      </c>
      <c r="B115" s="28">
        <v>1</v>
      </c>
      <c r="C115" s="28">
        <v>1</v>
      </c>
      <c r="D115" s="201"/>
      <c r="E115" s="203">
        <v>46010</v>
      </c>
      <c r="F115" s="201"/>
      <c r="G115" s="201" t="s">
        <v>1021</v>
      </c>
      <c r="H115" s="234" t="s">
        <v>1022</v>
      </c>
      <c r="I115" s="234" t="s">
        <v>1023</v>
      </c>
      <c r="J115" s="45" t="s">
        <v>1024</v>
      </c>
      <c r="K115" s="201"/>
      <c r="L115" s="155" t="s">
        <v>788</v>
      </c>
      <c r="M115" s="238">
        <v>1</v>
      </c>
      <c r="N115" s="236" t="s">
        <v>1025</v>
      </c>
      <c r="O115" s="45" t="s">
        <v>431</v>
      </c>
      <c r="P115" s="236"/>
      <c r="Q115" s="236" t="s">
        <v>642</v>
      </c>
      <c r="R115" s="236"/>
      <c r="S115" s="236"/>
      <c r="T115" s="237"/>
      <c r="U115" s="33" t="s">
        <v>1026</v>
      </c>
      <c r="V115" s="230"/>
    </row>
    <row r="116" spans="1:25" ht="15.75" customHeight="1">
      <c r="A116" s="201" t="s">
        <v>1027</v>
      </c>
      <c r="B116" s="28">
        <v>0</v>
      </c>
      <c r="C116" s="28">
        <v>1</v>
      </c>
      <c r="D116" s="201"/>
      <c r="E116" s="203">
        <v>46012</v>
      </c>
      <c r="F116" s="201"/>
      <c r="G116" s="201" t="s">
        <v>1028</v>
      </c>
      <c r="H116" s="234" t="s">
        <v>1029</v>
      </c>
      <c r="I116" s="234" t="s">
        <v>1030</v>
      </c>
      <c r="J116" s="201" t="s">
        <v>976</v>
      </c>
      <c r="K116" s="201" t="s">
        <v>401</v>
      </c>
      <c r="L116" s="201" t="s">
        <v>1031</v>
      </c>
      <c r="M116" s="235"/>
      <c r="N116" s="27" t="s">
        <v>1032</v>
      </c>
      <c r="O116" s="45" t="s">
        <v>319</v>
      </c>
      <c r="P116" s="236"/>
      <c r="Q116" s="236"/>
      <c r="R116" s="236"/>
      <c r="S116" s="236"/>
      <c r="T116" s="237"/>
      <c r="U116" s="33" t="s">
        <v>1033</v>
      </c>
      <c r="V116" s="230"/>
    </row>
    <row r="117" spans="1:25" ht="28.5" customHeight="1">
      <c r="A117" s="201" t="s">
        <v>1034</v>
      </c>
      <c r="B117" s="28">
        <v>0</v>
      </c>
      <c r="C117" s="28">
        <v>0</v>
      </c>
      <c r="D117" s="201"/>
      <c r="E117" s="203">
        <v>46014</v>
      </c>
      <c r="F117" s="201"/>
      <c r="G117" s="201" t="s">
        <v>1035</v>
      </c>
      <c r="H117" s="234" t="s">
        <v>1036</v>
      </c>
      <c r="I117" s="234" t="s">
        <v>1037</v>
      </c>
      <c r="J117" s="201"/>
      <c r="K117" s="201"/>
      <c r="L117" s="201" t="s">
        <v>1038</v>
      </c>
      <c r="M117" s="235"/>
      <c r="N117" s="27" t="s">
        <v>1039</v>
      </c>
      <c r="O117" s="45" t="s">
        <v>439</v>
      </c>
      <c r="P117" s="236"/>
      <c r="Q117" s="236"/>
      <c r="R117" s="236"/>
      <c r="S117" s="236"/>
      <c r="T117" s="237"/>
      <c r="U117" s="33" t="s">
        <v>1040</v>
      </c>
      <c r="V117" s="230"/>
    </row>
    <row r="118" spans="1:25" ht="15.75" customHeight="1">
      <c r="A118" s="201" t="s">
        <v>655</v>
      </c>
      <c r="B118" s="239">
        <v>0</v>
      </c>
      <c r="C118" s="239">
        <v>0</v>
      </c>
      <c r="D118" s="201"/>
      <c r="E118" s="206">
        <v>46019</v>
      </c>
      <c r="F118" s="201"/>
      <c r="G118" s="204" t="s">
        <v>921</v>
      </c>
      <c r="H118" s="240" t="s">
        <v>1041</v>
      </c>
      <c r="I118" s="240" t="s">
        <v>1042</v>
      </c>
      <c r="J118" s="204" t="s">
        <v>1043</v>
      </c>
      <c r="K118" s="201"/>
      <c r="L118" s="204" t="s">
        <v>1031</v>
      </c>
      <c r="M118" s="241"/>
      <c r="N118" s="242" t="s">
        <v>1044</v>
      </c>
      <c r="O118" s="243" t="s">
        <v>439</v>
      </c>
      <c r="P118" s="244"/>
      <c r="Q118" s="244"/>
      <c r="R118" s="244"/>
      <c r="S118" s="244"/>
      <c r="T118" s="245"/>
      <c r="U118" s="33" t="s">
        <v>1045</v>
      </c>
      <c r="V118" s="230"/>
    </row>
    <row r="119" spans="1:25" ht="15.75" customHeight="1">
      <c r="A119" s="576" t="s">
        <v>1046</v>
      </c>
      <c r="B119" s="28">
        <v>1</v>
      </c>
      <c r="C119" s="28">
        <v>1</v>
      </c>
      <c r="D119" s="461"/>
      <c r="E119" s="203">
        <v>46030</v>
      </c>
      <c r="F119" s="461"/>
      <c r="G119" s="201" t="s">
        <v>1047</v>
      </c>
      <c r="H119" s="577" t="s">
        <v>1048</v>
      </c>
      <c r="I119" s="577" t="s">
        <v>1049</v>
      </c>
      <c r="J119" s="201" t="s">
        <v>1050</v>
      </c>
      <c r="K119" s="461"/>
      <c r="L119" s="201" t="s">
        <v>1051</v>
      </c>
      <c r="M119" s="578">
        <v>1</v>
      </c>
      <c r="N119" s="33" t="s">
        <v>1052</v>
      </c>
      <c r="O119" s="45" t="s">
        <v>404</v>
      </c>
      <c r="P119" s="236"/>
      <c r="Q119" s="236"/>
      <c r="R119" s="236"/>
      <c r="S119" s="236"/>
      <c r="T119" s="237"/>
      <c r="U119" s="33" t="s">
        <v>1053</v>
      </c>
      <c r="V119" s="230"/>
    </row>
    <row r="120" spans="1:25" ht="15.75" customHeight="1">
      <c r="A120" s="576" t="s">
        <v>1054</v>
      </c>
      <c r="B120" s="28">
        <v>0</v>
      </c>
      <c r="C120" s="28">
        <v>1</v>
      </c>
      <c r="D120" s="461"/>
      <c r="E120" s="203">
        <v>46035</v>
      </c>
      <c r="F120" s="461"/>
      <c r="G120" s="201" t="s">
        <v>1055</v>
      </c>
      <c r="H120" s="234" t="s">
        <v>1056</v>
      </c>
      <c r="I120" s="234" t="s">
        <v>1057</v>
      </c>
      <c r="J120" s="201" t="s">
        <v>1058</v>
      </c>
      <c r="K120" s="461"/>
      <c r="L120" s="201" t="s">
        <v>1031</v>
      </c>
      <c r="M120" s="578"/>
      <c r="N120" s="33" t="s">
        <v>1059</v>
      </c>
      <c r="O120" s="45" t="s">
        <v>470</v>
      </c>
      <c r="P120" s="236"/>
      <c r="Q120" s="236"/>
      <c r="R120" s="236"/>
      <c r="S120" s="236"/>
      <c r="T120" s="237"/>
      <c r="U120" s="33" t="s">
        <v>1060</v>
      </c>
      <c r="V120" s="230"/>
    </row>
    <row r="121" spans="1:25" ht="15.75" customHeight="1">
      <c r="A121" s="576" t="s">
        <v>1061</v>
      </c>
      <c r="B121" s="28">
        <v>0</v>
      </c>
      <c r="C121" s="28">
        <v>0</v>
      </c>
      <c r="D121" s="461"/>
      <c r="E121" s="203">
        <v>46040</v>
      </c>
      <c r="F121" s="461"/>
      <c r="G121" s="201" t="s">
        <v>1062</v>
      </c>
      <c r="H121" s="234" t="s">
        <v>1063</v>
      </c>
      <c r="I121" s="234" t="s">
        <v>1064</v>
      </c>
      <c r="J121" s="201" t="s">
        <v>1065</v>
      </c>
      <c r="K121" s="461"/>
      <c r="L121" s="201" t="s">
        <v>812</v>
      </c>
      <c r="M121" s="578"/>
      <c r="N121" s="33" t="s">
        <v>1066</v>
      </c>
      <c r="O121" s="45" t="s">
        <v>1067</v>
      </c>
      <c r="P121" s="236"/>
      <c r="Q121" s="236"/>
      <c r="R121" s="236"/>
      <c r="S121" s="236"/>
      <c r="T121" s="237"/>
      <c r="U121" s="33" t="s">
        <v>1068</v>
      </c>
      <c r="V121" s="230"/>
    </row>
    <row r="122" spans="1:25" ht="28.5" customHeight="1">
      <c r="A122" s="576" t="s">
        <v>1069</v>
      </c>
      <c r="B122" s="28">
        <v>1</v>
      </c>
      <c r="C122" s="28">
        <v>1</v>
      </c>
      <c r="D122" s="461"/>
      <c r="E122" s="203">
        <v>46042</v>
      </c>
      <c r="F122" s="461"/>
      <c r="G122" s="201" t="s">
        <v>1070</v>
      </c>
      <c r="H122" s="234" t="s">
        <v>1071</v>
      </c>
      <c r="I122" s="234" t="s">
        <v>1072</v>
      </c>
      <c r="J122" s="201" t="s">
        <v>439</v>
      </c>
      <c r="K122" s="461"/>
      <c r="L122" s="201" t="s">
        <v>642</v>
      </c>
      <c r="M122" s="578">
        <v>1</v>
      </c>
      <c r="N122" s="33" t="s">
        <v>1073</v>
      </c>
      <c r="O122" s="45" t="s">
        <v>439</v>
      </c>
      <c r="P122" s="236"/>
      <c r="Q122" s="236"/>
      <c r="R122" s="236"/>
      <c r="S122" s="236"/>
      <c r="T122" s="237"/>
      <c r="U122" s="33" t="s">
        <v>1074</v>
      </c>
      <c r="V122" s="230"/>
    </row>
    <row r="123" spans="1:25" ht="15.75">
      <c r="A123" s="576" t="s">
        <v>1075</v>
      </c>
      <c r="B123" s="28">
        <v>0</v>
      </c>
      <c r="C123" s="28">
        <v>0</v>
      </c>
      <c r="D123" s="461"/>
      <c r="E123" s="203">
        <v>46062</v>
      </c>
      <c r="F123" s="461"/>
      <c r="G123" s="201" t="s">
        <v>1076</v>
      </c>
      <c r="H123" s="234" t="s">
        <v>1077</v>
      </c>
      <c r="I123" s="462" t="s">
        <v>1078</v>
      </c>
      <c r="J123" s="201" t="s">
        <v>1079</v>
      </c>
      <c r="K123" s="461"/>
      <c r="L123" s="201" t="s">
        <v>320</v>
      </c>
      <c r="M123" s="578"/>
      <c r="N123" s="33" t="s">
        <v>1080</v>
      </c>
      <c r="O123" s="45" t="s">
        <v>439</v>
      </c>
      <c r="P123" s="236"/>
      <c r="Q123" s="236" t="s">
        <v>1081</v>
      </c>
      <c r="R123" s="236"/>
      <c r="S123" s="236"/>
      <c r="T123" s="237"/>
      <c r="U123" s="33" t="s">
        <v>1082</v>
      </c>
      <c r="V123" s="230"/>
    </row>
    <row r="124" spans="1:25" ht="15.75">
      <c r="A124" s="576" t="s">
        <v>1083</v>
      </c>
      <c r="B124" s="28">
        <v>1</v>
      </c>
      <c r="C124" s="28">
        <v>1</v>
      </c>
      <c r="D124" s="461"/>
      <c r="E124" s="203">
        <v>46087</v>
      </c>
      <c r="F124" s="461"/>
      <c r="G124" s="201" t="s">
        <v>1084</v>
      </c>
      <c r="H124" s="234" t="s">
        <v>1085</v>
      </c>
      <c r="I124" s="234" t="s">
        <v>1086</v>
      </c>
      <c r="J124" s="201" t="s">
        <v>1087</v>
      </c>
      <c r="K124" s="461"/>
      <c r="L124" s="461"/>
      <c r="M124" s="461"/>
      <c r="N124" s="461" t="s">
        <v>1088</v>
      </c>
      <c r="O124" s="201" t="s">
        <v>1089</v>
      </c>
      <c r="P124" s="578"/>
      <c r="Q124" s="33"/>
      <c r="R124" s="45"/>
      <c r="S124" s="236"/>
      <c r="T124" s="236"/>
      <c r="U124" s="236"/>
      <c r="V124" s="236"/>
      <c r="W124" s="237"/>
      <c r="X124" s="33"/>
      <c r="Y124" s="230"/>
    </row>
    <row r="125" spans="1:25" ht="15.75">
      <c r="A125" s="461" t="s">
        <v>1090</v>
      </c>
      <c r="B125" s="465">
        <v>1</v>
      </c>
      <c r="C125" s="465">
        <v>1</v>
      </c>
      <c r="D125" s="461"/>
      <c r="E125" s="466">
        <v>46090</v>
      </c>
      <c r="F125" s="461"/>
      <c r="G125" s="461" t="s">
        <v>1091</v>
      </c>
      <c r="H125" s="467" t="s">
        <v>1092</v>
      </c>
      <c r="I125" s="467" t="s">
        <v>1093</v>
      </c>
      <c r="J125" s="461" t="s">
        <v>400</v>
      </c>
      <c r="K125" s="461"/>
      <c r="L125" s="461"/>
      <c r="M125" s="461"/>
      <c r="N125" s="461" t="s">
        <v>1094</v>
      </c>
      <c r="O125" s="461" t="s">
        <v>470</v>
      </c>
      <c r="P125" s="468"/>
      <c r="Q125" s="33"/>
      <c r="R125" s="462"/>
      <c r="U125" s="461" t="s">
        <v>1095</v>
      </c>
      <c r="W125" s="469"/>
      <c r="X125" s="33"/>
      <c r="Y125" s="230"/>
    </row>
    <row r="126" spans="1:25" ht="15.75">
      <c r="A126" s="461" t="s">
        <v>1096</v>
      </c>
      <c r="B126" s="465">
        <v>1</v>
      </c>
      <c r="C126" s="465">
        <v>1</v>
      </c>
      <c r="D126" s="461"/>
      <c r="E126" s="466">
        <v>46092</v>
      </c>
      <c r="F126" s="461"/>
      <c r="G126" s="461" t="s">
        <v>1097</v>
      </c>
      <c r="H126" s="467" t="s">
        <v>1098</v>
      </c>
      <c r="I126" s="467" t="s">
        <v>1099</v>
      </c>
      <c r="J126" s="461" t="s">
        <v>1100</v>
      </c>
      <c r="K126" s="461"/>
      <c r="L126" s="461"/>
      <c r="M126" s="461"/>
      <c r="N126" s="461" t="s">
        <v>1101</v>
      </c>
      <c r="O126" s="461" t="s">
        <v>1102</v>
      </c>
      <c r="P126" s="468"/>
      <c r="Q126" s="33"/>
      <c r="R126" s="462"/>
      <c r="U126" s="461" t="s">
        <v>1103</v>
      </c>
      <c r="W126" s="469"/>
      <c r="X126" s="33"/>
      <c r="Y126" s="230"/>
    </row>
    <row r="127" spans="1:25" ht="15.75">
      <c r="A127" s="461" t="s">
        <v>1104</v>
      </c>
      <c r="B127" s="465">
        <v>1</v>
      </c>
      <c r="C127" s="465">
        <v>1</v>
      </c>
      <c r="D127" s="461"/>
      <c r="E127" s="466">
        <v>46093</v>
      </c>
      <c r="F127" s="461"/>
      <c r="G127" s="461" t="s">
        <v>1105</v>
      </c>
      <c r="H127" s="467" t="s">
        <v>1106</v>
      </c>
      <c r="I127" s="467" t="s">
        <v>1107</v>
      </c>
      <c r="J127" s="461" t="s">
        <v>1108</v>
      </c>
      <c r="K127" s="461"/>
      <c r="L127" s="461"/>
      <c r="M127" s="461"/>
      <c r="N127" s="461" t="s">
        <v>1109</v>
      </c>
      <c r="O127" s="461" t="s">
        <v>470</v>
      </c>
      <c r="P127" s="468"/>
      <c r="Q127" s="33"/>
      <c r="R127" s="462"/>
      <c r="U127" s="461" t="s">
        <v>1110</v>
      </c>
      <c r="W127" s="469"/>
      <c r="X127" s="33"/>
      <c r="Y127" s="230"/>
    </row>
    <row r="128" spans="1:25" ht="15.75">
      <c r="A128" s="461" t="s">
        <v>1111</v>
      </c>
      <c r="B128" s="465">
        <v>1</v>
      </c>
      <c r="C128" s="465">
        <v>1</v>
      </c>
      <c r="D128" s="461"/>
      <c r="E128" s="466">
        <v>46097</v>
      </c>
      <c r="F128" s="461"/>
      <c r="G128" s="461" t="s">
        <v>1112</v>
      </c>
      <c r="H128" s="467" t="s">
        <v>1113</v>
      </c>
      <c r="I128" s="467" t="s">
        <v>1114</v>
      </c>
      <c r="J128" s="461" t="s">
        <v>1115</v>
      </c>
      <c r="K128" s="461"/>
      <c r="L128" s="461"/>
      <c r="M128" s="461"/>
      <c r="N128" s="461" t="s">
        <v>1116</v>
      </c>
      <c r="O128" s="461" t="s">
        <v>1089</v>
      </c>
      <c r="P128" s="468"/>
      <c r="Q128" s="33"/>
      <c r="R128" s="462"/>
      <c r="U128" s="461" t="s">
        <v>1117</v>
      </c>
      <c r="W128" s="469"/>
      <c r="X128" s="33"/>
      <c r="Y128" s="230"/>
    </row>
    <row r="129" spans="1:25" ht="15.75">
      <c r="A129" s="461" t="s">
        <v>1118</v>
      </c>
      <c r="B129" s="465">
        <v>0</v>
      </c>
      <c r="C129" s="465">
        <v>0</v>
      </c>
      <c r="D129" s="461"/>
      <c r="E129" s="466">
        <v>46106</v>
      </c>
      <c r="F129" s="461"/>
      <c r="G129" s="461" t="s">
        <v>1119</v>
      </c>
      <c r="H129" s="467" t="s">
        <v>1120</v>
      </c>
      <c r="I129" s="467" t="s">
        <v>1121</v>
      </c>
      <c r="J129" s="461" t="s">
        <v>1058</v>
      </c>
      <c r="K129" s="461"/>
      <c r="L129" s="461"/>
      <c r="M129" s="461"/>
      <c r="N129" s="461" t="s">
        <v>1122</v>
      </c>
      <c r="O129" s="461" t="s">
        <v>470</v>
      </c>
      <c r="P129" s="468"/>
      <c r="Q129" s="33"/>
      <c r="R129" s="462"/>
      <c r="U129" s="33" t="s">
        <v>1123</v>
      </c>
      <c r="W129" s="469"/>
      <c r="X129" s="33"/>
      <c r="Y129" s="230"/>
    </row>
    <row r="130" spans="1:25" ht="15.75">
      <c r="A130" s="461" t="s">
        <v>1124</v>
      </c>
      <c r="B130" s="465">
        <v>0</v>
      </c>
      <c r="C130" s="465">
        <v>0</v>
      </c>
      <c r="D130" s="461"/>
      <c r="E130" s="466"/>
      <c r="F130" s="461"/>
      <c r="G130" s="461"/>
      <c r="H130" s="467"/>
      <c r="I130" s="467"/>
      <c r="J130" s="461"/>
      <c r="K130" s="461"/>
      <c r="L130" s="461"/>
      <c r="M130" s="461"/>
      <c r="N130" s="461"/>
      <c r="O130" s="461"/>
      <c r="P130" s="468"/>
      <c r="Q130" s="33"/>
      <c r="R130" s="462"/>
      <c r="U130" s="33"/>
      <c r="W130" s="469"/>
      <c r="X130" s="33"/>
      <c r="Y130" s="230"/>
    </row>
    <row r="131" spans="1:25" ht="15.75">
      <c r="A131" s="461" t="s">
        <v>1125</v>
      </c>
      <c r="B131" s="465">
        <v>0</v>
      </c>
      <c r="C131" s="465">
        <v>0</v>
      </c>
      <c r="D131" s="461"/>
      <c r="E131" s="466"/>
      <c r="F131" s="461"/>
      <c r="G131" s="461"/>
      <c r="H131" s="467"/>
      <c r="I131" s="467"/>
      <c r="J131" s="461"/>
      <c r="K131" s="461"/>
      <c r="L131" s="461"/>
      <c r="M131" s="461"/>
      <c r="N131" s="461"/>
      <c r="O131" s="461"/>
      <c r="P131" s="468"/>
      <c r="Q131" s="33"/>
      <c r="R131" s="462"/>
      <c r="U131" s="33"/>
      <c r="W131" s="469"/>
      <c r="X131" s="33"/>
      <c r="Y131" s="230"/>
    </row>
    <row r="132" spans="1:25" ht="15.75">
      <c r="A132" s="461" t="s">
        <v>1126</v>
      </c>
      <c r="B132" s="465">
        <v>1</v>
      </c>
      <c r="C132" s="465">
        <v>1</v>
      </c>
      <c r="D132" s="461"/>
      <c r="E132" s="466">
        <v>46121</v>
      </c>
      <c r="F132" s="461"/>
      <c r="G132" s="461" t="s">
        <v>921</v>
      </c>
      <c r="H132" s="467" t="s">
        <v>1127</v>
      </c>
      <c r="I132" s="467" t="s">
        <v>1128</v>
      </c>
      <c r="J132" s="461" t="s">
        <v>1129</v>
      </c>
      <c r="K132" s="461"/>
      <c r="L132" s="461" t="s">
        <v>320</v>
      </c>
      <c r="M132" s="461"/>
      <c r="N132" s="33" t="s">
        <v>1130</v>
      </c>
      <c r="O132" s="461" t="s">
        <v>202</v>
      </c>
      <c r="P132" s="468"/>
      <c r="Q132" s="33"/>
      <c r="R132" s="462"/>
      <c r="U132" s="33"/>
      <c r="W132" s="469"/>
      <c r="X132" s="33"/>
      <c r="Y132" s="230"/>
    </row>
    <row r="133" spans="1:25" ht="15.75">
      <c r="A133" s="461" t="s">
        <v>1131</v>
      </c>
      <c r="B133" s="465">
        <v>0</v>
      </c>
      <c r="C133" s="465">
        <v>0</v>
      </c>
      <c r="D133" s="461"/>
      <c r="E133" s="466">
        <v>46126</v>
      </c>
      <c r="F133" s="461"/>
      <c r="G133" s="461" t="s">
        <v>1132</v>
      </c>
      <c r="H133" s="467" t="s">
        <v>1133</v>
      </c>
      <c r="I133" s="467" t="s">
        <v>1134</v>
      </c>
      <c r="J133" s="461" t="s">
        <v>1135</v>
      </c>
      <c r="K133" s="461"/>
      <c r="L133" s="461" t="s">
        <v>6</v>
      </c>
      <c r="M133" s="461"/>
      <c r="N133" s="33" t="s">
        <v>1136</v>
      </c>
      <c r="O133" s="461" t="s">
        <v>202</v>
      </c>
      <c r="P133" s="468"/>
      <c r="Q133" s="33"/>
      <c r="R133" s="462"/>
      <c r="U133" s="33"/>
      <c r="W133" s="469"/>
      <c r="X133" s="33"/>
      <c r="Y133" s="230"/>
    </row>
    <row r="134" spans="1:25" ht="15.75">
      <c r="A134" s="461" t="s">
        <v>454</v>
      </c>
      <c r="B134" s="465">
        <v>1</v>
      </c>
      <c r="C134" s="465">
        <v>1</v>
      </c>
      <c r="D134" s="461"/>
      <c r="E134" s="466">
        <v>46134</v>
      </c>
      <c r="F134" s="461"/>
      <c r="G134" s="461" t="s">
        <v>1137</v>
      </c>
      <c r="H134" s="467" t="s">
        <v>1138</v>
      </c>
      <c r="I134" s="467" t="s">
        <v>428</v>
      </c>
      <c r="J134" s="461" t="s">
        <v>1139</v>
      </c>
      <c r="K134" s="461"/>
      <c r="L134" s="461" t="s">
        <v>6</v>
      </c>
      <c r="M134" s="461"/>
      <c r="N134" s="33" t="s">
        <v>1140</v>
      </c>
      <c r="O134" s="461" t="s">
        <v>439</v>
      </c>
      <c r="P134" s="468"/>
      <c r="Q134" s="33"/>
      <c r="R134" s="462"/>
      <c r="U134" s="33"/>
      <c r="W134" s="469"/>
      <c r="X134" s="33"/>
      <c r="Y134" s="230"/>
    </row>
    <row r="135" spans="1:25" ht="15.75">
      <c r="A135" s="461" t="s">
        <v>1141</v>
      </c>
      <c r="B135" s="465">
        <v>0</v>
      </c>
      <c r="C135" s="465">
        <v>0</v>
      </c>
      <c r="D135" s="461"/>
      <c r="E135" s="466">
        <v>46135</v>
      </c>
      <c r="F135" s="461"/>
      <c r="G135" s="461" t="s">
        <v>1142</v>
      </c>
      <c r="H135" s="467" t="s">
        <v>1143</v>
      </c>
      <c r="I135" s="467" t="s">
        <v>1144</v>
      </c>
      <c r="J135" s="461" t="s">
        <v>1129</v>
      </c>
      <c r="K135" s="461"/>
      <c r="L135" s="461" t="s">
        <v>320</v>
      </c>
      <c r="M135" s="461"/>
      <c r="N135" s="33" t="s">
        <v>1145</v>
      </c>
      <c r="O135" s="461" t="s">
        <v>202</v>
      </c>
      <c r="P135" s="468"/>
      <c r="Q135" s="33"/>
      <c r="R135" s="462"/>
      <c r="U135" s="33"/>
      <c r="W135" s="469"/>
      <c r="X135" s="33"/>
      <c r="Y135" s="230"/>
    </row>
    <row r="136" spans="1:25" ht="15.75">
      <c r="A136" s="461" t="s">
        <v>1146</v>
      </c>
      <c r="B136" s="465">
        <v>1</v>
      </c>
      <c r="C136" s="465">
        <v>1</v>
      </c>
      <c r="D136" s="461"/>
      <c r="E136" s="466">
        <v>46136</v>
      </c>
      <c r="F136" s="461"/>
      <c r="G136" s="461" t="s">
        <v>1147</v>
      </c>
      <c r="H136" s="467" t="s">
        <v>1148</v>
      </c>
      <c r="I136" s="467" t="s">
        <v>862</v>
      </c>
      <c r="J136" s="461" t="s">
        <v>1149</v>
      </c>
      <c r="K136" s="461"/>
      <c r="L136" s="461" t="s">
        <v>320</v>
      </c>
      <c r="M136" s="461"/>
      <c r="N136" s="33" t="s">
        <v>1150</v>
      </c>
      <c r="O136" s="461" t="s">
        <v>439</v>
      </c>
      <c r="P136" s="468"/>
      <c r="Q136" s="33"/>
      <c r="R136" s="462"/>
      <c r="U136" s="33"/>
      <c r="W136" s="469"/>
      <c r="X136" s="33"/>
      <c r="Y136" s="230"/>
    </row>
    <row r="137" spans="1:25" s="337" customFormat="1">
      <c r="A137" s="579" t="s">
        <v>1151</v>
      </c>
      <c r="B137" s="463">
        <v>1</v>
      </c>
      <c r="C137" s="463">
        <v>1</v>
      </c>
      <c r="D137" s="141"/>
      <c r="E137" s="464">
        <v>46153</v>
      </c>
      <c r="F137" s="141"/>
      <c r="G137" s="337" t="s">
        <v>1152</v>
      </c>
      <c r="H137" s="141" t="s">
        <v>1153</v>
      </c>
      <c r="I137" s="141" t="s">
        <v>1154</v>
      </c>
      <c r="J137" s="579" t="s">
        <v>944</v>
      </c>
      <c r="L137" s="246" t="s">
        <v>642</v>
      </c>
      <c r="M137" s="337">
        <v>1</v>
      </c>
      <c r="N137" s="247" t="s">
        <v>1155</v>
      </c>
      <c r="O137" s="246" t="s">
        <v>439</v>
      </c>
      <c r="U137" s="247" t="s">
        <v>1156</v>
      </c>
    </row>
    <row r="138" spans="1:25" s="337" customFormat="1">
      <c r="A138" s="579" t="s">
        <v>1157</v>
      </c>
      <c r="B138" s="463">
        <v>1</v>
      </c>
      <c r="C138" s="463">
        <v>1</v>
      </c>
      <c r="D138" s="141"/>
      <c r="E138" s="464">
        <v>46155</v>
      </c>
      <c r="F138" s="141"/>
      <c r="G138" s="141" t="s">
        <v>1158</v>
      </c>
      <c r="H138" s="141" t="s">
        <v>436</v>
      </c>
      <c r="I138" s="141" t="s">
        <v>1159</v>
      </c>
      <c r="J138" s="579" t="s">
        <v>944</v>
      </c>
      <c r="L138" s="246" t="s">
        <v>320</v>
      </c>
      <c r="N138" s="247" t="s">
        <v>1160</v>
      </c>
      <c r="O138" s="246" t="s">
        <v>470</v>
      </c>
      <c r="U138" s="247" t="s">
        <v>1161</v>
      </c>
    </row>
    <row r="139" spans="1:25">
      <c r="A139" s="461" t="s">
        <v>1162</v>
      </c>
      <c r="B139" s="465">
        <v>0</v>
      </c>
      <c r="C139" s="465">
        <v>0</v>
      </c>
      <c r="E139" s="466">
        <v>46163</v>
      </c>
      <c r="G139" s="461" t="s">
        <v>1163</v>
      </c>
      <c r="H139" s="467" t="s">
        <v>1164</v>
      </c>
      <c r="I139" s="467" t="s">
        <v>1165</v>
      </c>
      <c r="J139" s="461" t="s">
        <v>1166</v>
      </c>
      <c r="L139" s="461" t="s">
        <v>320</v>
      </c>
      <c r="N139" s="33" t="s">
        <v>1167</v>
      </c>
      <c r="O139" s="461" t="s">
        <v>1168</v>
      </c>
      <c r="U139" t="s">
        <v>1169</v>
      </c>
    </row>
    <row r="140" spans="1:25">
      <c r="A140" s="461" t="s">
        <v>1170</v>
      </c>
      <c r="B140" s="465">
        <v>0</v>
      </c>
      <c r="C140" s="465">
        <v>0</v>
      </c>
      <c r="E140" s="466">
        <v>46170</v>
      </c>
      <c r="G140" s="461" t="s">
        <v>420</v>
      </c>
      <c r="H140" s="467" t="s">
        <v>1171</v>
      </c>
      <c r="I140" s="467" t="s">
        <v>1172</v>
      </c>
      <c r="J140" s="461" t="s">
        <v>1173</v>
      </c>
      <c r="L140" s="461" t="s">
        <v>6</v>
      </c>
      <c r="N140" s="33" t="s">
        <v>1174</v>
      </c>
      <c r="O140" s="461" t="s">
        <v>1168</v>
      </c>
      <c r="U140" t="s">
        <v>1175</v>
      </c>
    </row>
    <row r="141" spans="1:25">
      <c r="A141" s="461" t="s">
        <v>1176</v>
      </c>
      <c r="B141" s="465">
        <v>0</v>
      </c>
      <c r="C141" s="465">
        <v>0</v>
      </c>
      <c r="E141" s="466">
        <v>46174</v>
      </c>
      <c r="G141" s="461" t="s">
        <v>1177</v>
      </c>
      <c r="H141" s="462" t="s">
        <v>1178</v>
      </c>
      <c r="I141" s="462" t="s">
        <v>1179</v>
      </c>
      <c r="J141" s="462" t="s">
        <v>1173</v>
      </c>
      <c r="K141" s="462"/>
      <c r="L141" s="462" t="s">
        <v>320</v>
      </c>
      <c r="N141" s="33" t="s">
        <v>1180</v>
      </c>
      <c r="O141" s="462" t="s">
        <v>202</v>
      </c>
      <c r="U141" s="33" t="s">
        <v>1181</v>
      </c>
    </row>
    <row r="142" spans="1:25" ht="15.75">
      <c r="A142" s="462" t="s">
        <v>1182</v>
      </c>
      <c r="B142" s="626">
        <v>0</v>
      </c>
      <c r="C142" s="465">
        <v>0</v>
      </c>
      <c r="D142" s="462"/>
      <c r="E142" s="627">
        <v>46184</v>
      </c>
      <c r="F142" s="462"/>
      <c r="G142" s="462" t="s">
        <v>1183</v>
      </c>
      <c r="H142" s="462" t="s">
        <v>1184</v>
      </c>
      <c r="I142" s="462" t="s">
        <v>1185</v>
      </c>
      <c r="J142" s="628" t="s">
        <v>1186</v>
      </c>
      <c r="K142" s="462"/>
      <c r="L142" s="462" t="s">
        <v>6</v>
      </c>
      <c r="N142" s="316" t="s">
        <v>1187</v>
      </c>
      <c r="O142" s="462" t="s">
        <v>202</v>
      </c>
      <c r="U142" s="462" t="s">
        <v>1188</v>
      </c>
    </row>
    <row r="143" spans="1:25" ht="15.75">
      <c r="A143" s="462" t="s">
        <v>1189</v>
      </c>
      <c r="B143" s="626">
        <v>0</v>
      </c>
      <c r="C143" s="465">
        <v>0</v>
      </c>
      <c r="D143" s="462"/>
      <c r="E143" s="627">
        <v>46184</v>
      </c>
      <c r="F143" s="462"/>
      <c r="G143" s="462" t="s">
        <v>1190</v>
      </c>
      <c r="H143" s="462" t="s">
        <v>1191</v>
      </c>
      <c r="I143" s="586" t="s">
        <v>1192</v>
      </c>
      <c r="J143" s="462" t="s">
        <v>1186</v>
      </c>
      <c r="K143" s="462"/>
      <c r="L143" s="462" t="s">
        <v>6</v>
      </c>
      <c r="N143" s="316" t="s">
        <v>1193</v>
      </c>
      <c r="O143" s="462" t="s">
        <v>202</v>
      </c>
      <c r="U143" s="462" t="s">
        <v>1194</v>
      </c>
    </row>
    <row r="144" spans="1:25">
      <c r="A144" s="462" t="s">
        <v>1195</v>
      </c>
      <c r="B144" s="626">
        <v>0</v>
      </c>
      <c r="C144" s="465">
        <v>0</v>
      </c>
      <c r="D144" s="462"/>
      <c r="E144" s="627">
        <v>46190</v>
      </c>
      <c r="F144" s="462"/>
      <c r="G144" s="462" t="s">
        <v>921</v>
      </c>
      <c r="H144" s="462" t="s">
        <v>1196</v>
      </c>
      <c r="I144" s="462" t="s">
        <v>1197</v>
      </c>
      <c r="J144" s="462" t="s">
        <v>1198</v>
      </c>
      <c r="K144" s="462"/>
      <c r="L144" s="462" t="s">
        <v>6</v>
      </c>
      <c r="N144" s="33" t="s">
        <v>1199</v>
      </c>
      <c r="O144" s="462" t="s">
        <v>439</v>
      </c>
      <c r="U144" s="462" t="s">
        <v>1200</v>
      </c>
    </row>
    <row r="145" spans="1:22" ht="15.75">
      <c r="A145" s="628" t="s">
        <v>1201</v>
      </c>
      <c r="B145" s="629">
        <v>0</v>
      </c>
      <c r="C145" s="465">
        <v>0</v>
      </c>
      <c r="D145" s="628"/>
      <c r="E145" s="630">
        <v>46197</v>
      </c>
      <c r="F145" s="628"/>
      <c r="G145" s="631" t="s">
        <v>733</v>
      </c>
      <c r="H145" s="628" t="s">
        <v>1202</v>
      </c>
      <c r="I145" s="628" t="s">
        <v>1203</v>
      </c>
      <c r="J145" s="628" t="s">
        <v>1129</v>
      </c>
      <c r="K145" s="628"/>
      <c r="L145" s="628" t="s">
        <v>6</v>
      </c>
      <c r="N145" s="33" t="s">
        <v>1204</v>
      </c>
      <c r="O145" s="628" t="s">
        <v>202</v>
      </c>
      <c r="U145" s="632" t="s">
        <v>1205</v>
      </c>
    </row>
    <row r="146" spans="1:22">
      <c r="A146" s="462" t="s">
        <v>1206</v>
      </c>
      <c r="B146" s="626">
        <v>0</v>
      </c>
      <c r="C146" s="465">
        <v>0</v>
      </c>
      <c r="D146" s="462"/>
      <c r="E146" s="627">
        <v>46199</v>
      </c>
      <c r="F146" s="462"/>
      <c r="G146" s="462" t="s">
        <v>1207</v>
      </c>
      <c r="H146" s="462" t="s">
        <v>1208</v>
      </c>
      <c r="I146" s="462" t="s">
        <v>1209</v>
      </c>
      <c r="J146" s="628" t="s">
        <v>1210</v>
      </c>
      <c r="K146" s="462"/>
      <c r="L146" s="462" t="s">
        <v>6</v>
      </c>
      <c r="N146" s="40" t="s">
        <v>1211</v>
      </c>
      <c r="O146" s="462" t="s">
        <v>439</v>
      </c>
      <c r="U146" s="40" t="s">
        <v>1212</v>
      </c>
    </row>
    <row r="147" spans="1:22">
      <c r="A147" s="462" t="s">
        <v>1206</v>
      </c>
      <c r="B147" s="626">
        <v>0</v>
      </c>
      <c r="C147" s="465">
        <v>0</v>
      </c>
      <c r="D147" s="462"/>
      <c r="E147" s="627">
        <v>46199</v>
      </c>
      <c r="F147" s="462"/>
      <c r="G147" s="462" t="s">
        <v>921</v>
      </c>
      <c r="H147" s="462" t="s">
        <v>1213</v>
      </c>
      <c r="I147" s="462" t="s">
        <v>1214</v>
      </c>
      <c r="J147" s="628" t="s">
        <v>1210</v>
      </c>
      <c r="K147" s="462"/>
      <c r="L147" s="462" t="s">
        <v>6</v>
      </c>
      <c r="N147" s="40" t="s">
        <v>1215</v>
      </c>
      <c r="O147" s="462" t="s">
        <v>470</v>
      </c>
      <c r="U147" s="40" t="s">
        <v>1216</v>
      </c>
    </row>
    <row r="148" spans="1:22" ht="15.75">
      <c r="A148" s="462" t="s">
        <v>1217</v>
      </c>
      <c r="B148" s="626">
        <v>0</v>
      </c>
      <c r="C148" s="465">
        <v>0</v>
      </c>
      <c r="D148" s="462"/>
      <c r="E148" s="627">
        <v>46199</v>
      </c>
      <c r="F148" s="462"/>
      <c r="G148" s="462" t="s">
        <v>921</v>
      </c>
      <c r="H148" s="316" t="s">
        <v>1218</v>
      </c>
      <c r="I148" s="586" t="s">
        <v>534</v>
      </c>
      <c r="J148" s="628" t="s">
        <v>1219</v>
      </c>
      <c r="K148" s="462"/>
      <c r="L148" s="462" t="s">
        <v>6</v>
      </c>
      <c r="N148" s="40" t="s">
        <v>1220</v>
      </c>
      <c r="O148" s="462" t="s">
        <v>202</v>
      </c>
      <c r="U148" s="40" t="s">
        <v>1221</v>
      </c>
    </row>
    <row r="149" spans="1:22">
      <c r="A149" s="462" t="s">
        <v>133</v>
      </c>
      <c r="B149" s="626">
        <v>1</v>
      </c>
      <c r="C149" s="462">
        <v>1</v>
      </c>
      <c r="D149" s="462"/>
      <c r="E149" s="627">
        <v>46204</v>
      </c>
      <c r="F149" s="462"/>
      <c r="G149" s="462" t="s">
        <v>1222</v>
      </c>
      <c r="H149" s="462" t="s">
        <v>1223</v>
      </c>
      <c r="I149" s="462" t="s">
        <v>1224</v>
      </c>
      <c r="J149" s="628" t="s">
        <v>1225</v>
      </c>
      <c r="K149" s="462"/>
      <c r="L149" s="462" t="s">
        <v>6</v>
      </c>
      <c r="N149" s="33" t="s">
        <v>1226</v>
      </c>
      <c r="O149" s="462" t="s">
        <v>202</v>
      </c>
      <c r="Q149" s="462"/>
      <c r="R149" s="462"/>
      <c r="S149" s="462"/>
      <c r="T149" s="462"/>
      <c r="U149" s="33" t="s">
        <v>1227</v>
      </c>
    </row>
    <row r="150" spans="1:22">
      <c r="A150" s="462" t="s">
        <v>134</v>
      </c>
      <c r="B150" s="626">
        <v>1</v>
      </c>
      <c r="C150" s="462">
        <v>1</v>
      </c>
      <c r="D150" s="462"/>
      <c r="E150" s="627">
        <v>46204</v>
      </c>
      <c r="F150" s="462"/>
      <c r="G150" s="462" t="s">
        <v>1228</v>
      </c>
      <c r="H150" s="462" t="s">
        <v>1229</v>
      </c>
      <c r="I150" s="462" t="s">
        <v>1230</v>
      </c>
      <c r="J150" s="628" t="s">
        <v>1231</v>
      </c>
      <c r="K150" s="462"/>
      <c r="L150" s="633" t="s">
        <v>642</v>
      </c>
      <c r="M150">
        <v>1</v>
      </c>
      <c r="N150" s="33" t="s">
        <v>1232</v>
      </c>
      <c r="O150" s="462" t="s">
        <v>1233</v>
      </c>
      <c r="Q150" s="462"/>
      <c r="R150" s="462"/>
      <c r="S150" s="462"/>
      <c r="T150" s="462"/>
      <c r="U150" s="33" t="s">
        <v>1234</v>
      </c>
      <c r="V150" s="33" t="s">
        <v>1235</v>
      </c>
    </row>
    <row r="151" spans="1:22">
      <c r="A151" s="462" t="s">
        <v>140</v>
      </c>
      <c r="B151" s="626">
        <v>1</v>
      </c>
      <c r="C151" s="462">
        <v>1</v>
      </c>
      <c r="D151" s="462"/>
      <c r="E151" s="627">
        <v>46205</v>
      </c>
      <c r="F151" s="462"/>
      <c r="G151" s="462" t="s">
        <v>1236</v>
      </c>
      <c r="H151" s="462" t="s">
        <v>1237</v>
      </c>
      <c r="I151" s="462" t="s">
        <v>1238</v>
      </c>
      <c r="J151" s="628" t="s">
        <v>1239</v>
      </c>
      <c r="K151" s="462"/>
      <c r="L151" s="462" t="s">
        <v>6</v>
      </c>
      <c r="N151" s="33" t="s">
        <v>1240</v>
      </c>
      <c r="O151" s="462" t="s">
        <v>404</v>
      </c>
      <c r="Q151" s="462"/>
      <c r="R151" s="462"/>
      <c r="S151" s="462"/>
      <c r="T151" s="462"/>
      <c r="U151" s="33" t="s">
        <v>1241</v>
      </c>
    </row>
    <row r="152" spans="1:22">
      <c r="A152" s="462" t="s">
        <v>141</v>
      </c>
      <c r="B152" s="626">
        <v>1</v>
      </c>
      <c r="C152" s="462">
        <v>1</v>
      </c>
      <c r="D152" s="462"/>
      <c r="E152" s="627">
        <v>46206</v>
      </c>
      <c r="F152" s="462"/>
      <c r="G152" s="462" t="s">
        <v>1242</v>
      </c>
      <c r="H152" s="462" t="s">
        <v>1243</v>
      </c>
      <c r="I152" s="462" t="s">
        <v>1244</v>
      </c>
      <c r="J152" s="628" t="s">
        <v>1245</v>
      </c>
      <c r="K152" s="462"/>
      <c r="L152" s="633" t="s">
        <v>642</v>
      </c>
      <c r="M152">
        <v>1</v>
      </c>
      <c r="N152" s="33" t="s">
        <v>1246</v>
      </c>
      <c r="O152" s="462" t="s">
        <v>1067</v>
      </c>
      <c r="Q152" s="462"/>
      <c r="R152" s="462"/>
      <c r="S152" s="462"/>
      <c r="T152" s="462"/>
      <c r="U152" s="33" t="s">
        <v>1247</v>
      </c>
    </row>
    <row r="153" spans="1:22">
      <c r="A153" s="462" t="s">
        <v>1248</v>
      </c>
      <c r="B153" s="626">
        <v>0</v>
      </c>
      <c r="C153" s="462"/>
      <c r="D153" s="462"/>
      <c r="E153" s="627">
        <v>46206</v>
      </c>
      <c r="F153" s="462"/>
      <c r="G153" s="462" t="s">
        <v>1249</v>
      </c>
      <c r="H153" s="462" t="s">
        <v>1250</v>
      </c>
      <c r="I153" s="462" t="s">
        <v>1251</v>
      </c>
      <c r="J153" s="628" t="s">
        <v>1252</v>
      </c>
      <c r="K153" s="462"/>
      <c r="L153" s="462" t="s">
        <v>6</v>
      </c>
      <c r="N153" s="33" t="s">
        <v>1253</v>
      </c>
      <c r="O153" s="462" t="s">
        <v>202</v>
      </c>
      <c r="Q153" s="462"/>
      <c r="R153" s="462"/>
      <c r="S153" s="462"/>
      <c r="T153" s="462"/>
      <c r="U153" s="33" t="s">
        <v>1254</v>
      </c>
    </row>
    <row r="154" spans="1:22">
      <c r="A154" s="462" t="s">
        <v>1255</v>
      </c>
      <c r="B154" s="626">
        <v>0</v>
      </c>
      <c r="C154" s="462"/>
      <c r="D154" s="462"/>
      <c r="E154" s="627">
        <v>46223</v>
      </c>
      <c r="F154" s="462"/>
      <c r="G154" s="462" t="s">
        <v>921</v>
      </c>
      <c r="H154" s="462" t="s">
        <v>1256</v>
      </c>
      <c r="I154" s="462" t="s">
        <v>1257</v>
      </c>
      <c r="J154" s="628" t="s">
        <v>921</v>
      </c>
      <c r="K154" s="462"/>
      <c r="L154" s="462" t="s">
        <v>477</v>
      </c>
      <c r="N154" s="33" t="s">
        <v>1258</v>
      </c>
      <c r="O154" t="s">
        <v>404</v>
      </c>
      <c r="Q154" s="462"/>
      <c r="R154" s="462"/>
      <c r="S154" s="462"/>
      <c r="T154" s="462"/>
      <c r="U154" s="33" t="s">
        <v>1259</v>
      </c>
    </row>
    <row r="155" spans="1:22">
      <c r="A155" s="462" t="s">
        <v>142</v>
      </c>
      <c r="B155" s="626">
        <v>1</v>
      </c>
      <c r="C155" s="462">
        <v>1</v>
      </c>
      <c r="D155" s="462"/>
      <c r="E155" s="627">
        <v>46227</v>
      </c>
      <c r="F155" s="462"/>
      <c r="G155" s="462" t="s">
        <v>546</v>
      </c>
      <c r="H155" s="462" t="s">
        <v>456</v>
      </c>
      <c r="I155" s="462" t="s">
        <v>1260</v>
      </c>
      <c r="J155" s="628" t="s">
        <v>1252</v>
      </c>
      <c r="K155" s="462"/>
      <c r="L155" s="462" t="s">
        <v>642</v>
      </c>
      <c r="N155" s="33" t="s">
        <v>1261</v>
      </c>
      <c r="O155" t="s">
        <v>1262</v>
      </c>
      <c r="Q155" s="462"/>
      <c r="R155" s="462"/>
      <c r="S155" s="462"/>
      <c r="T155" s="462"/>
      <c r="U155" s="33" t="s">
        <v>1263</v>
      </c>
    </row>
    <row r="156" spans="1:22">
      <c r="A156" s="462" t="s">
        <v>1264</v>
      </c>
      <c r="B156" s="626">
        <v>0</v>
      </c>
      <c r="C156" s="462"/>
      <c r="D156" s="462"/>
      <c r="E156" s="627">
        <v>46230</v>
      </c>
      <c r="F156" s="462"/>
      <c r="G156" s="462" t="s">
        <v>1265</v>
      </c>
      <c r="H156" s="462" t="s">
        <v>631</v>
      </c>
      <c r="I156" s="462" t="s">
        <v>1266</v>
      </c>
      <c r="J156" s="628"/>
      <c r="K156" s="462"/>
      <c r="L156" s="462"/>
      <c r="Q156" s="462"/>
      <c r="R156" s="462"/>
      <c r="S156" s="462"/>
      <c r="T156" s="462"/>
      <c r="U156" s="462"/>
    </row>
    <row r="157" spans="1:22">
      <c r="A157" s="462" t="s">
        <v>143</v>
      </c>
      <c r="B157" s="626">
        <v>1</v>
      </c>
      <c r="C157" s="462">
        <v>1</v>
      </c>
      <c r="D157" s="462"/>
      <c r="E157" s="627">
        <v>46234</v>
      </c>
      <c r="F157" s="462"/>
      <c r="G157" s="462" t="s">
        <v>1267</v>
      </c>
      <c r="H157" s="462" t="s">
        <v>1268</v>
      </c>
      <c r="I157" s="462" t="s">
        <v>1269</v>
      </c>
      <c r="J157" s="628" t="s">
        <v>1129</v>
      </c>
      <c r="K157" s="462"/>
      <c r="L157" s="462" t="s">
        <v>6</v>
      </c>
      <c r="N157" s="33" t="s">
        <v>1270</v>
      </c>
      <c r="O157" t="s">
        <v>202</v>
      </c>
      <c r="Q157" s="462"/>
      <c r="R157" s="462"/>
      <c r="S157" s="462"/>
      <c r="T157" s="462"/>
      <c r="U157" s="33" t="s">
        <v>1271</v>
      </c>
    </row>
  </sheetData>
  <autoFilter ref="A1:V136" xr:uid="{00000000-0001-0000-0600-000000000000}"/>
  <hyperlinks>
    <hyperlink ref="U22" r:id="rId1" xr:uid="{00000000-0004-0000-0600-000000000000}"/>
    <hyperlink ref="U23" r:id="rId2" xr:uid="{00000000-0004-0000-0600-000001000000}"/>
    <hyperlink ref="N24" r:id="rId3" xr:uid="{00000000-0004-0000-0600-000002000000}"/>
    <hyperlink ref="R24" r:id="rId4" xr:uid="{00000000-0004-0000-0600-000003000000}"/>
    <hyperlink ref="U24" r:id="rId5" xr:uid="{00000000-0004-0000-0600-000004000000}"/>
    <hyperlink ref="N26" r:id="rId6" xr:uid="{00000000-0004-0000-0600-000005000000}"/>
    <hyperlink ref="N34" r:id="rId7" xr:uid="{00000000-0004-0000-0600-000006000000}"/>
    <hyperlink ref="N35" r:id="rId8" xr:uid="{00000000-0004-0000-0600-000007000000}"/>
    <hyperlink ref="P35" r:id="rId9" xr:uid="{00000000-0004-0000-0600-000008000000}"/>
    <hyperlink ref="R35" r:id="rId10" xr:uid="{00000000-0004-0000-0600-000009000000}"/>
    <hyperlink ref="N37" r:id="rId11" xr:uid="{00000000-0004-0000-0600-00000A000000}"/>
    <hyperlink ref="U37" r:id="rId12" xr:uid="{00000000-0004-0000-0600-00000B000000}"/>
    <hyperlink ref="N38" r:id="rId13" xr:uid="{00000000-0004-0000-0600-00000C000000}"/>
    <hyperlink ref="U38" r:id="rId14" xr:uid="{00000000-0004-0000-0600-00000D000000}"/>
    <hyperlink ref="N39" r:id="rId15" display="mailto:areddy@hhamedicine.com" xr:uid="{00000000-0004-0000-0600-00000E000000}"/>
    <hyperlink ref="U39" r:id="rId16" xr:uid="{00000000-0004-0000-0600-00000F000000}"/>
    <hyperlink ref="N40" r:id="rId17" display="mailto:wrowlan@rei.com" xr:uid="{00000000-0004-0000-0600-000010000000}"/>
    <hyperlink ref="U40" r:id="rId18" xr:uid="{00000000-0004-0000-0600-000011000000}"/>
    <hyperlink ref="N41" r:id="rId19" xr:uid="{00000000-0004-0000-0600-000012000000}"/>
    <hyperlink ref="R41" r:id="rId20" display="https://intradiem2023.lightning.force.com/lightning/r/006V50000052eDAIAY/view" xr:uid="{00000000-0004-0000-0600-000013000000}"/>
    <hyperlink ref="U41" r:id="rId21" xr:uid="{00000000-0004-0000-0600-000014000000}"/>
    <hyperlink ref="N42" r:id="rId22" display="mailto:gary.ersan@belairdirect.com" xr:uid="{00000000-0004-0000-0600-000015000000}"/>
    <hyperlink ref="R42" r:id="rId23" xr:uid="{00000000-0004-0000-0600-000016000000}"/>
    <hyperlink ref="U42" r:id="rId24" xr:uid="{00000000-0004-0000-0600-000017000000}"/>
    <hyperlink ref="N43" r:id="rId25" xr:uid="{00000000-0004-0000-0600-000018000000}"/>
    <hyperlink ref="U43" r:id="rId26" xr:uid="{00000000-0004-0000-0600-000019000000}"/>
    <hyperlink ref="N44" r:id="rId27" xr:uid="{00000000-0004-0000-0600-00001A000000}"/>
    <hyperlink ref="R44" r:id="rId28" display="https://intradiem2023.lightning.force.com/lightning/r/006V500000B6SmTIAV/view" xr:uid="{00000000-0004-0000-0600-00001B000000}"/>
    <hyperlink ref="S44" r:id="rId29" display="https://intradiem2023.lightning.force.com/lightning/r/006V500000CJ5DCIA1/view" xr:uid="{00000000-0004-0000-0600-00001C000000}"/>
    <hyperlink ref="U44" r:id="rId30" xr:uid="{00000000-0004-0000-0600-00001D000000}"/>
    <hyperlink ref="U45" r:id="rId31" xr:uid="{00000000-0004-0000-0600-00001E000000}"/>
    <hyperlink ref="N46" r:id="rId32" xr:uid="{00000000-0004-0000-0600-00001F000000}"/>
    <hyperlink ref="U46" r:id="rId33" xr:uid="{00000000-0004-0000-0600-000020000000}"/>
    <hyperlink ref="N48" r:id="rId34" xr:uid="{00000000-0004-0000-0600-000021000000}"/>
    <hyperlink ref="R48" r:id="rId35" display="https://intradiem2023.lightning.force.com/lightning/r/006V500000BjNoXIAV/view" xr:uid="{00000000-0004-0000-0600-000022000000}"/>
    <hyperlink ref="U48" r:id="rId36" xr:uid="{00000000-0004-0000-0600-000023000000}"/>
    <hyperlink ref="N49" r:id="rId37" xr:uid="{00000000-0004-0000-0600-000024000000}"/>
    <hyperlink ref="P49" r:id="rId38" xr:uid="{00000000-0004-0000-0600-000025000000}"/>
    <hyperlink ref="R49" r:id="rId39" display="https://intradiem2023.lightning.force.com/lightning/r/006V50000052Z8MIAU/view" xr:uid="{00000000-0004-0000-0600-000026000000}"/>
    <hyperlink ref="U49" r:id="rId40" xr:uid="{00000000-0004-0000-0600-000027000000}"/>
    <hyperlink ref="N50" r:id="rId41" xr:uid="{00000000-0004-0000-0600-000028000000}"/>
    <hyperlink ref="N51" r:id="rId42" xr:uid="{00000000-0004-0000-0600-000029000000}"/>
    <hyperlink ref="N52" r:id="rId43" xr:uid="{00000000-0004-0000-0600-00002A000000}"/>
    <hyperlink ref="U52" r:id="rId44" xr:uid="{00000000-0004-0000-0600-00002B000000}"/>
    <hyperlink ref="N53" r:id="rId45" xr:uid="{00000000-0004-0000-0600-00002C000000}"/>
    <hyperlink ref="R53" r:id="rId46" xr:uid="{00000000-0004-0000-0600-00002D000000}"/>
    <hyperlink ref="S53" r:id="rId47" xr:uid="{00000000-0004-0000-0600-00002E000000}"/>
    <hyperlink ref="U53" r:id="rId48" xr:uid="{00000000-0004-0000-0600-00002F000000}"/>
    <hyperlink ref="N54" r:id="rId49" xr:uid="{00000000-0004-0000-0600-000030000000}"/>
    <hyperlink ref="R54" r:id="rId50" xr:uid="{00000000-0004-0000-0600-000031000000}"/>
    <hyperlink ref="U54" r:id="rId51" xr:uid="{00000000-0004-0000-0600-000032000000}"/>
    <hyperlink ref="V54" r:id="rId52" xr:uid="{00000000-0004-0000-0600-000033000000}"/>
    <hyperlink ref="N55" r:id="rId53" xr:uid="{00000000-0004-0000-0600-000034000000}"/>
    <hyperlink ref="R55" r:id="rId54" xr:uid="{00000000-0004-0000-0600-000035000000}"/>
    <hyperlink ref="U55" r:id="rId55" xr:uid="{00000000-0004-0000-0600-000036000000}"/>
    <hyperlink ref="N56" r:id="rId56" xr:uid="{00000000-0004-0000-0600-000037000000}"/>
    <hyperlink ref="R56" r:id="rId57" xr:uid="{00000000-0004-0000-0600-000038000000}"/>
    <hyperlink ref="U56" r:id="rId58" xr:uid="{00000000-0004-0000-0600-000039000000}"/>
    <hyperlink ref="R57" r:id="rId59" xr:uid="{00000000-0004-0000-0600-00003A000000}"/>
    <hyperlink ref="N58" r:id="rId60" xr:uid="{00000000-0004-0000-0600-00003B000000}"/>
    <hyperlink ref="R58" r:id="rId61" xr:uid="{00000000-0004-0000-0600-00003C000000}"/>
    <hyperlink ref="U58" r:id="rId62" xr:uid="{00000000-0004-0000-0600-00003D000000}"/>
    <hyperlink ref="N59" r:id="rId63" display="mailto:silvia.glowka@covetrus.com" xr:uid="{00000000-0004-0000-0600-00003E000000}"/>
    <hyperlink ref="R59" r:id="rId64" xr:uid="{00000000-0004-0000-0600-00003F000000}"/>
    <hyperlink ref="U59" r:id="rId65" xr:uid="{00000000-0004-0000-0600-000040000000}"/>
    <hyperlink ref="N60" r:id="rId66" display="mailto:charlemagne.canela@capitalone.com" xr:uid="{00000000-0004-0000-0600-000041000000}"/>
    <hyperlink ref="N61" r:id="rId67" display="mailto:hayden.bowman@hilton.com" xr:uid="{00000000-0004-0000-0600-000042000000}"/>
    <hyperlink ref="N62" r:id="rId68" display="mailto:morgan.minogue@hummingbird.healthcare" xr:uid="{00000000-0004-0000-0600-000043000000}"/>
    <hyperlink ref="R62" r:id="rId69" xr:uid="{00000000-0004-0000-0600-000044000000}"/>
    <hyperlink ref="U62" r:id="rId70" xr:uid="{00000000-0004-0000-0600-000045000000}"/>
    <hyperlink ref="N63" r:id="rId71" xr:uid="{00000000-0004-0000-0600-000046000000}"/>
    <hyperlink ref="P63" r:id="rId72" xr:uid="{00000000-0004-0000-0600-000047000000}"/>
    <hyperlink ref="U63" r:id="rId73" xr:uid="{00000000-0004-0000-0600-000048000000}"/>
    <hyperlink ref="U64" r:id="rId74" xr:uid="{00000000-0004-0000-0600-000049000000}"/>
    <hyperlink ref="P65" r:id="rId75" xr:uid="{00000000-0004-0000-0600-00004A000000}"/>
    <hyperlink ref="R65" r:id="rId76" xr:uid="{00000000-0004-0000-0600-00004B000000}"/>
    <hyperlink ref="U65" r:id="rId77" xr:uid="{00000000-0004-0000-0600-00004C000000}"/>
    <hyperlink ref="P66" r:id="rId78" xr:uid="{00000000-0004-0000-0600-00004D000000}"/>
    <hyperlink ref="U66" r:id="rId79" xr:uid="{00000000-0004-0000-0600-00004E000000}"/>
    <hyperlink ref="N67" r:id="rId80" xr:uid="{00000000-0004-0000-0600-00004F000000}"/>
    <hyperlink ref="P67" r:id="rId81" xr:uid="{00000000-0004-0000-0600-000050000000}"/>
    <hyperlink ref="U67" r:id="rId82" xr:uid="{00000000-0004-0000-0600-000051000000}"/>
    <hyperlink ref="N68" r:id="rId83" xr:uid="{00000000-0004-0000-0600-000052000000}"/>
    <hyperlink ref="P68" r:id="rId84" xr:uid="{00000000-0004-0000-0600-000053000000}"/>
    <hyperlink ref="U68" r:id="rId85" xr:uid="{00000000-0004-0000-0600-000054000000}"/>
    <hyperlink ref="N69" r:id="rId86" xr:uid="{00000000-0004-0000-0600-000055000000}"/>
    <hyperlink ref="U69" r:id="rId87" xr:uid="{00000000-0004-0000-0600-000056000000}"/>
    <hyperlink ref="N70" r:id="rId88" xr:uid="{00000000-0004-0000-0600-000057000000}"/>
    <hyperlink ref="P70" r:id="rId89" xr:uid="{00000000-0004-0000-0600-000058000000}"/>
    <hyperlink ref="U70" r:id="rId90" xr:uid="{00000000-0004-0000-0600-000059000000}"/>
    <hyperlink ref="N71" r:id="rId91" xr:uid="{00000000-0004-0000-0600-00005A000000}"/>
    <hyperlink ref="U71" r:id="rId92" xr:uid="{00000000-0004-0000-0600-00005B000000}"/>
    <hyperlink ref="N72" r:id="rId93" xr:uid="{00000000-0004-0000-0600-00005C000000}"/>
    <hyperlink ref="U72" r:id="rId94" xr:uid="{00000000-0004-0000-0600-00005D000000}"/>
    <hyperlink ref="N73" r:id="rId95" xr:uid="{00000000-0004-0000-0600-00005E000000}"/>
    <hyperlink ref="U73" r:id="rId96" xr:uid="{00000000-0004-0000-0600-00005F000000}"/>
    <hyperlink ref="U74" r:id="rId97" xr:uid="{00000000-0004-0000-0600-000060000000}"/>
    <hyperlink ref="N75" r:id="rId98" xr:uid="{00000000-0004-0000-0600-000061000000}"/>
    <hyperlink ref="U75" r:id="rId99" xr:uid="{00000000-0004-0000-0600-000062000000}"/>
    <hyperlink ref="R76" r:id="rId100" xr:uid="{00000000-0004-0000-0600-000063000000}"/>
    <hyperlink ref="U76" r:id="rId101" xr:uid="{00000000-0004-0000-0600-000064000000}"/>
    <hyperlink ref="U77" r:id="rId102" xr:uid="{00000000-0004-0000-0600-000065000000}"/>
    <hyperlink ref="U78" r:id="rId103" xr:uid="{00000000-0004-0000-0600-000066000000}"/>
    <hyperlink ref="R79" r:id="rId104" xr:uid="{00000000-0004-0000-0600-000067000000}"/>
    <hyperlink ref="U79" r:id="rId105" xr:uid="{00000000-0004-0000-0600-000068000000}"/>
    <hyperlink ref="V80" r:id="rId106" xr:uid="{00000000-0004-0000-0600-000069000000}"/>
    <hyperlink ref="U81" r:id="rId107" xr:uid="{00000000-0004-0000-0600-00006A000000}"/>
    <hyperlink ref="U82" r:id="rId108" xr:uid="{00000000-0004-0000-0600-00006B000000}"/>
    <hyperlink ref="U83" r:id="rId109" xr:uid="{00000000-0004-0000-0600-00006C000000}"/>
    <hyperlink ref="U84" r:id="rId110" xr:uid="{00000000-0004-0000-0600-00006D000000}"/>
    <hyperlink ref="N85" r:id="rId111" xr:uid="{00000000-0004-0000-0600-00006E000000}"/>
    <hyperlink ref="U85" r:id="rId112" xr:uid="{00000000-0004-0000-0600-00006F000000}"/>
    <hyperlink ref="N86" r:id="rId113" display="mailto:mark.obrien@dpr-grp.com" xr:uid="{00000000-0004-0000-0600-000070000000}"/>
    <hyperlink ref="U86" r:id="rId114" xr:uid="{00000000-0004-0000-0600-000071000000}"/>
    <hyperlink ref="U87" r:id="rId115" xr:uid="{00000000-0004-0000-0600-000072000000}"/>
    <hyperlink ref="N88" r:id="rId116" display="mailto:b.cruz@virtualhelppartner.com" xr:uid="{00000000-0004-0000-0600-000073000000}"/>
    <hyperlink ref="U88" r:id="rId117" xr:uid="{00000000-0004-0000-0600-000074000000}"/>
    <hyperlink ref="N89" r:id="rId118" xr:uid="{00000000-0004-0000-0600-000075000000}"/>
    <hyperlink ref="U89" r:id="rId119" xr:uid="{00000000-0004-0000-0600-000076000000}"/>
    <hyperlink ref="N90" r:id="rId120" xr:uid="{00000000-0004-0000-0600-000077000000}"/>
    <hyperlink ref="U90" r:id="rId121" xr:uid="{00000000-0004-0000-0600-000078000000}"/>
    <hyperlink ref="N91" r:id="rId122" xr:uid="{00000000-0004-0000-0600-000079000000}"/>
    <hyperlink ref="U91" r:id="rId123" xr:uid="{00000000-0004-0000-0600-00007A000000}"/>
    <hyperlink ref="N92" r:id="rId124" xr:uid="{00000000-0004-0000-0600-00007B000000}"/>
    <hyperlink ref="U92" r:id="rId125" xr:uid="{00000000-0004-0000-0600-00007C000000}"/>
    <hyperlink ref="N93" r:id="rId126" xr:uid="{00000000-0004-0000-0600-00007D000000}"/>
    <hyperlink ref="U93" r:id="rId127" xr:uid="{00000000-0004-0000-0600-00007E000000}"/>
    <hyperlink ref="N94" r:id="rId128" xr:uid="{00000000-0004-0000-0600-00007F000000}"/>
    <hyperlink ref="U94" r:id="rId129" xr:uid="{00000000-0004-0000-0600-000080000000}"/>
    <hyperlink ref="N95" r:id="rId130" xr:uid="{00000000-0004-0000-0600-000081000000}"/>
    <hyperlink ref="U95" r:id="rId131" xr:uid="{00000000-0004-0000-0600-000082000000}"/>
    <hyperlink ref="N96" r:id="rId132" xr:uid="{00000000-0004-0000-0600-000083000000}"/>
    <hyperlink ref="U96" r:id="rId133" xr:uid="{00000000-0004-0000-0600-000084000000}"/>
    <hyperlink ref="N97" r:id="rId134" xr:uid="{00000000-0004-0000-0600-000085000000}"/>
    <hyperlink ref="U97" r:id="rId135" xr:uid="{00000000-0004-0000-0600-000086000000}"/>
    <hyperlink ref="N98" r:id="rId136" xr:uid="{00000000-0004-0000-0600-000087000000}"/>
    <hyperlink ref="U98" r:id="rId137" xr:uid="{00000000-0004-0000-0600-000088000000}"/>
    <hyperlink ref="N99" r:id="rId138" xr:uid="{00000000-0004-0000-0600-000089000000}"/>
    <hyperlink ref="U99" r:id="rId139" xr:uid="{00000000-0004-0000-0600-00008A000000}"/>
    <hyperlink ref="U100" r:id="rId140" xr:uid="{00000000-0004-0000-0600-00008B000000}"/>
    <hyperlink ref="U101" r:id="rId141" xr:uid="{00000000-0004-0000-0600-00008C000000}"/>
    <hyperlink ref="N102" r:id="rId142" xr:uid="{00000000-0004-0000-0600-00008D000000}"/>
    <hyperlink ref="U102" r:id="rId143" xr:uid="{00000000-0004-0000-0600-00008E000000}"/>
    <hyperlink ref="N103" r:id="rId144" xr:uid="{00000000-0004-0000-0600-00008F000000}"/>
    <hyperlink ref="U103" r:id="rId145" xr:uid="{00000000-0004-0000-0600-000090000000}"/>
    <hyperlink ref="N104" r:id="rId146" display="mailto:jacquita.f.borden@osfhealthcare.org" xr:uid="{00000000-0004-0000-0600-000091000000}"/>
    <hyperlink ref="U104" r:id="rId147" xr:uid="{00000000-0004-0000-0600-000092000000}"/>
    <hyperlink ref="U105" r:id="rId148" xr:uid="{00000000-0004-0000-0600-000093000000}"/>
    <hyperlink ref="N106" r:id="rId149" display="mailto:samantha.lee1@asda.uk" xr:uid="{00000000-0004-0000-0600-000094000000}"/>
    <hyperlink ref="U106" r:id="rId150" xr:uid="{00000000-0004-0000-0600-000095000000}"/>
    <hyperlink ref="N107" r:id="rId151" display="mailto:jollyjoe@quakerhoughtonind.com" xr:uid="{00000000-0004-0000-0600-000096000000}"/>
    <hyperlink ref="U107" r:id="rId152" xr:uid="{00000000-0004-0000-0600-000097000000}"/>
    <hyperlink ref="N108" r:id="rId153" display="mailto:carolyne.truelove@aa.com" xr:uid="{00000000-0004-0000-0600-000098000000}"/>
    <hyperlink ref="U110" r:id="rId154" xr:uid="{00000000-0004-0000-0600-000099000000}"/>
    <hyperlink ref="N111" r:id="rId155" xr:uid="{00000000-0004-0000-0600-00009A000000}"/>
    <hyperlink ref="U111" r:id="rId156" xr:uid="{00000000-0004-0000-0600-00009B000000}"/>
    <hyperlink ref="N112" r:id="rId157" xr:uid="{00000000-0004-0000-0600-00009C000000}"/>
    <hyperlink ref="U112" r:id="rId158" xr:uid="{00000000-0004-0000-0600-00009D000000}"/>
    <hyperlink ref="N113" r:id="rId159" xr:uid="{00000000-0004-0000-0600-00009E000000}"/>
    <hyperlink ref="U113" r:id="rId160" xr:uid="{00000000-0004-0000-0600-00009F000000}"/>
    <hyperlink ref="N114" r:id="rId161" xr:uid="{00000000-0004-0000-0600-0000A0000000}"/>
    <hyperlink ref="U114" r:id="rId162" xr:uid="{00000000-0004-0000-0600-0000A1000000}"/>
    <hyperlink ref="U115" r:id="rId163" xr:uid="{00000000-0004-0000-0600-0000A2000000}"/>
    <hyperlink ref="N116" r:id="rId164" xr:uid="{00000000-0004-0000-0600-0000A3000000}"/>
    <hyperlink ref="U116" r:id="rId165" xr:uid="{00000000-0004-0000-0600-0000A4000000}"/>
    <hyperlink ref="N117" r:id="rId166" xr:uid="{00000000-0004-0000-0600-0000A5000000}"/>
    <hyperlink ref="U117" r:id="rId167" xr:uid="{00000000-0004-0000-0600-0000A6000000}"/>
    <hyperlink ref="N118" r:id="rId168" xr:uid="{00000000-0004-0000-0600-0000A7000000}"/>
    <hyperlink ref="U118" r:id="rId169" xr:uid="{00000000-0004-0000-0600-0000A8000000}"/>
    <hyperlink ref="N119" r:id="rId170" xr:uid="{00000000-0004-0000-0600-0000A9000000}"/>
    <hyperlink ref="U119" r:id="rId171" xr:uid="{00000000-0004-0000-0600-0000AA000000}"/>
    <hyperlink ref="N120" r:id="rId172" xr:uid="{00000000-0004-0000-0600-0000AB000000}"/>
    <hyperlink ref="U120" r:id="rId173" xr:uid="{00000000-0004-0000-0600-0000AC000000}"/>
    <hyperlink ref="N121" r:id="rId174" xr:uid="{00000000-0004-0000-0600-0000AD000000}"/>
    <hyperlink ref="U121" r:id="rId175" xr:uid="{00000000-0004-0000-0600-0000AE000000}"/>
    <hyperlink ref="N122" r:id="rId176" xr:uid="{00000000-0004-0000-0600-0000AF000000}"/>
    <hyperlink ref="U122" r:id="rId177" xr:uid="{00000000-0004-0000-0600-0000B0000000}"/>
    <hyperlink ref="U123" r:id="rId178" xr:uid="{31CDAD6E-AAD4-4BAC-823B-BAC998A6E226}"/>
    <hyperlink ref="N123" r:id="rId179" xr:uid="{9C7EB683-BEB0-451D-AD0D-166FEB4A06DE}"/>
    <hyperlink ref="U129" r:id="rId180" xr:uid="{751A77BC-D4DF-4553-AC0B-1604F924D55C}"/>
    <hyperlink ref="N136" r:id="rId181" xr:uid="{8D056C67-31FE-E14A-B6DF-926273B23E51}"/>
    <hyperlink ref="N132" r:id="rId182" display="mailto:tgibbins@lenarcorporation.com" xr:uid="{FAE690FC-7754-854C-A38B-B89DE7AC62C1}"/>
    <hyperlink ref="N134" r:id="rId183" display="mailto:besimpson@tiaa.org" xr:uid="{AF038CCF-DCC4-7548-89DD-EA78EB9F368D}"/>
    <hyperlink ref="N133" r:id="rId184" display="mailto:mmperez@gmv.es" xr:uid="{63FEE1F6-4151-B848-9FAB-B810CDE0A735}"/>
    <hyperlink ref="N135" r:id="rId185" xr:uid="{AC1492EA-828D-BA4A-B11D-B3E6B3AE3ED1}"/>
    <hyperlink ref="N137" r:id="rId186" display="mailto:tthigpen@amplifai.com" xr:uid="{8F63CDB7-F2C3-3A4F-97D4-D366DD08E2C9}"/>
    <hyperlink ref="U137" r:id="rId187" xr:uid="{A5CDC425-E349-204D-84C5-2A6A849395B3}"/>
    <hyperlink ref="N140" r:id="rId188" display="mailto:brent.staus@breadfinancial.com" xr:uid="{159E0F94-862D-1945-90D0-243DAE6A252A}"/>
    <hyperlink ref="N139" r:id="rId189" display="https://pi.pardot.com/prospect/read?id=31211527" xr:uid="{7A535A73-F85F-C642-A9F4-209E5816939B}"/>
    <hyperlink ref="N138" r:id="rId190" display="mailto:sachan.akhil@bcg.com" xr:uid="{43D1E9BA-0BA6-1548-874B-25120FA3F148}"/>
    <hyperlink ref="N141" r:id="rId191" display="mailto:cari.brooks@carspp.com" xr:uid="{768359BE-E823-B841-96E7-131031EB7FED}"/>
    <hyperlink ref="U141" r:id="rId192" xr:uid="{1C5B547A-AE5F-CA48-BF23-2B8A962BDBC7}"/>
    <hyperlink ref="N144" r:id="rId193" display="mailto:gideon@ghubllc.com" xr:uid="{BD00EE9D-398D-504D-B7D1-9FEB30FDC7F8}"/>
    <hyperlink ref="N145" r:id="rId194" display="mailto:bseverson@mandslnc.com" xr:uid="{F54345CE-CA68-3942-9AA7-9F9DD5B7AD2E}"/>
    <hyperlink ref="U145" r:id="rId195" xr:uid="{3D66AA79-E203-0F43-8CF2-12D9479265E7}"/>
    <hyperlink ref="N146" r:id="rId196" display="mailto:adam.bowcutt@autogeneral.com.au" xr:uid="{5E4BD8FF-7529-8648-A336-142ADCFA284A}"/>
    <hyperlink ref="U146" r:id="rId197" xr:uid="{199253E5-164E-ED4F-B2F3-95B76E0351F5}"/>
    <hyperlink ref="N147" r:id="rId198" display="mailto:shivani.collinson@autogeneral.com.au" xr:uid="{3D13A57A-B9F9-6F46-B0EA-C2905A447DE3}"/>
    <hyperlink ref="U147" r:id="rId199" xr:uid="{E2B86132-8370-1544-92EC-C0F5B224BC37}"/>
    <hyperlink ref="N148" r:id="rId200" display="mailto:arushi@actionfi.com" xr:uid="{3A978515-888B-8446-94BA-FB4B0DC23D5B}"/>
    <hyperlink ref="U148" r:id="rId201" xr:uid="{12A9347A-0896-B448-B7A4-5FBCF4DFDC19}"/>
    <hyperlink ref="N149" r:id="rId202" display="mailto:jdemello@hubspot.com" xr:uid="{108788BD-419C-EC43-8D96-7914597F8805}"/>
    <hyperlink ref="U149" r:id="rId203" xr:uid="{D6E25974-C7FA-3742-8C85-691EBB13D3C4}"/>
    <hyperlink ref="N150" r:id="rId204" display="mailto:madeline.sacripanti@instructure.com" xr:uid="{53E0B2AF-E0A5-0542-B52F-EE72D07B44CE}"/>
    <hyperlink ref="U150" r:id="rId205" xr:uid="{E50DD943-0CBA-DB46-87C3-546890778622}"/>
    <hyperlink ref="N151" r:id="rId206" display="mailto:tiedens.stephenie@principal.com" xr:uid="{B0E951B6-F5BF-2843-860E-8B0978172F75}"/>
    <hyperlink ref="U151" r:id="rId207" xr:uid="{4BA70CB8-8BEA-EB4A-A2C6-1B6FC635E756}"/>
    <hyperlink ref="N152" r:id="rId208" display="mailto:kseniya.piniagina@indriver.com" xr:uid="{14DE53BB-20A9-3C4B-B8B8-2108B693A974}"/>
    <hyperlink ref="U152" r:id="rId209" xr:uid="{C953F8D5-0980-2F47-A9A2-1E696BFEB628}"/>
    <hyperlink ref="N153" r:id="rId210" display="mailto:pratiksha.barmera@chase.com" xr:uid="{6061D9B5-7414-1A41-B51C-7CEF88148B18}"/>
    <hyperlink ref="U153" r:id="rId211" xr:uid="{37F16749-05C0-504E-B430-DBD2E76A731F}"/>
    <hyperlink ref="V150" r:id="rId212" xr:uid="{B208881A-07E0-E544-9694-F6FBC3A5E292}"/>
    <hyperlink ref="N154" r:id="rId213" xr:uid="{07F020A4-22C0-4786-90D6-713E85DB98DC}"/>
    <hyperlink ref="N155" r:id="rId214" xr:uid="{414B0C4E-1B25-4F44-BDDE-09879782C29B}"/>
    <hyperlink ref="N157" r:id="rId215" display="mailto:donette.leathers@verizonwireless.com" xr:uid="{1ADD19B2-2368-4CE2-8C44-77C5AFFD3F01}"/>
    <hyperlink ref="U154" r:id="rId216" xr:uid="{7465EC92-3780-AA44-BF8E-211473E8DB46}"/>
    <hyperlink ref="U155" r:id="rId217" xr:uid="{2AEDE8E8-5701-2641-8266-09703854BDA1}"/>
    <hyperlink ref="U157" r:id="rId218" xr:uid="{FBB71B0C-46FC-A948-B7C3-075CB7C32DA4}"/>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BA89"/>
  <sheetViews>
    <sheetView topLeftCell="A4" zoomScale="90" zoomScaleNormal="90" workbookViewId="0">
      <selection activeCell="A23" sqref="A23:XFD23"/>
    </sheetView>
  </sheetViews>
  <sheetFormatPr defaultColWidth="8.7109375" defaultRowHeight="15"/>
  <cols>
    <col min="1" max="1" width="7.140625" bestFit="1" customWidth="1"/>
    <col min="2" max="2" width="19.140625" customWidth="1"/>
    <col min="3" max="3" width="15.42578125" customWidth="1"/>
    <col min="4" max="4" width="39.140625" customWidth="1"/>
    <col min="5" max="5" width="26.7109375" customWidth="1"/>
    <col min="6" max="6" width="28" customWidth="1"/>
    <col min="7" max="7" width="19.42578125" customWidth="1"/>
    <col min="8" max="8" width="24" customWidth="1"/>
    <col min="9" max="9" width="22.7109375" customWidth="1"/>
    <col min="10" max="10" width="20.42578125" customWidth="1"/>
    <col min="11" max="11" width="21.7109375" style="250" customWidth="1"/>
    <col min="12" max="12" width="19" style="250" customWidth="1"/>
    <col min="13" max="36" width="13.7109375" customWidth="1"/>
    <col min="37" max="37" width="12.28515625" bestFit="1" customWidth="1"/>
    <col min="39" max="39" width="10.28515625" bestFit="1" customWidth="1"/>
    <col min="40" max="40" width="12" bestFit="1" customWidth="1"/>
    <col min="43" max="43" width="10.140625" bestFit="1" customWidth="1"/>
    <col min="16383" max="16383" width="8.7109375" bestFit="1" customWidth="1"/>
  </cols>
  <sheetData>
    <row r="1" spans="2:42">
      <c r="B1" s="248" t="s">
        <v>101</v>
      </c>
      <c r="C1" s="249" t="s">
        <v>1272</v>
      </c>
      <c r="D1" s="249" t="s">
        <v>1273</v>
      </c>
    </row>
    <row r="2" spans="2:42">
      <c r="B2" t="s">
        <v>1274</v>
      </c>
      <c r="C2" s="251">
        <v>5</v>
      </c>
      <c r="D2" s="252" t="s">
        <v>1275</v>
      </c>
      <c r="E2" s="252"/>
      <c r="F2" s="251"/>
      <c r="G2" s="253">
        <v>45597</v>
      </c>
      <c r="H2" s="254"/>
      <c r="I2" s="255">
        <v>45627</v>
      </c>
      <c r="J2" s="256"/>
      <c r="K2" s="253">
        <v>45658</v>
      </c>
      <c r="L2" s="257"/>
      <c r="M2" s="258">
        <v>45689</v>
      </c>
      <c r="N2" s="259"/>
      <c r="O2" s="253">
        <v>45717</v>
      </c>
      <c r="P2" s="260"/>
      <c r="Q2" s="255">
        <v>45748</v>
      </c>
      <c r="R2" s="261"/>
      <c r="S2" s="253">
        <v>45778</v>
      </c>
      <c r="T2" s="260"/>
      <c r="U2" s="262">
        <v>45809</v>
      </c>
      <c r="V2" s="263"/>
      <c r="W2" s="253">
        <v>45839</v>
      </c>
      <c r="X2" s="260"/>
      <c r="Y2" s="262">
        <v>45870</v>
      </c>
      <c r="Z2" s="263"/>
      <c r="AA2" s="253">
        <v>45901</v>
      </c>
      <c r="AB2" s="260"/>
      <c r="AC2" s="255">
        <v>45931</v>
      </c>
      <c r="AD2" s="264"/>
      <c r="AE2" s="253">
        <v>45962</v>
      </c>
      <c r="AF2" s="260"/>
      <c r="AG2" s="255">
        <v>45992</v>
      </c>
      <c r="AH2" s="264"/>
      <c r="AI2" s="253">
        <v>46023</v>
      </c>
      <c r="AJ2" s="260"/>
      <c r="AK2" s="255">
        <v>46054</v>
      </c>
      <c r="AL2" s="264"/>
      <c r="AM2" s="253">
        <v>46082</v>
      </c>
      <c r="AN2" s="260"/>
    </row>
    <row r="3" spans="2:42">
      <c r="B3" t="s">
        <v>1276</v>
      </c>
      <c r="C3" s="251">
        <v>1</v>
      </c>
      <c r="D3" t="s">
        <v>1277</v>
      </c>
      <c r="F3" s="265"/>
      <c r="G3" s="266" t="s">
        <v>6</v>
      </c>
      <c r="H3" s="266" t="s">
        <v>642</v>
      </c>
      <c r="I3" s="266" t="s">
        <v>6</v>
      </c>
      <c r="J3" s="266" t="s">
        <v>642</v>
      </c>
      <c r="K3" s="267" t="s">
        <v>6</v>
      </c>
      <c r="L3" s="267" t="s">
        <v>642</v>
      </c>
      <c r="M3" s="266" t="s">
        <v>6</v>
      </c>
      <c r="N3" s="266" t="s">
        <v>642</v>
      </c>
      <c r="O3" s="266" t="s">
        <v>6</v>
      </c>
      <c r="P3" s="266" t="s">
        <v>642</v>
      </c>
      <c r="Q3" s="266" t="s">
        <v>6</v>
      </c>
      <c r="R3" s="266" t="s">
        <v>642</v>
      </c>
      <c r="S3" s="266" t="s">
        <v>6</v>
      </c>
      <c r="T3" s="266" t="s">
        <v>642</v>
      </c>
      <c r="U3" s="266" t="s">
        <v>6</v>
      </c>
      <c r="V3" s="266" t="s">
        <v>642</v>
      </c>
      <c r="W3" s="266" t="s">
        <v>6</v>
      </c>
      <c r="X3" s="266" t="s">
        <v>642</v>
      </c>
      <c r="Y3" s="266" t="s">
        <v>6</v>
      </c>
      <c r="Z3" s="266" t="s">
        <v>642</v>
      </c>
      <c r="AA3" s="266" t="s">
        <v>6</v>
      </c>
      <c r="AB3" s="266" t="s">
        <v>642</v>
      </c>
      <c r="AC3" s="266" t="s">
        <v>6</v>
      </c>
      <c r="AD3" s="266" t="s">
        <v>642</v>
      </c>
      <c r="AE3" s="266" t="s">
        <v>6</v>
      </c>
      <c r="AF3" s="266" t="s">
        <v>642</v>
      </c>
      <c r="AG3" s="266" t="s">
        <v>6</v>
      </c>
      <c r="AH3" s="266" t="s">
        <v>642</v>
      </c>
      <c r="AI3" s="268" t="s">
        <v>6</v>
      </c>
      <c r="AJ3" s="268" t="s">
        <v>642</v>
      </c>
      <c r="AK3" s="266" t="s">
        <v>6</v>
      </c>
      <c r="AL3" s="266" t="s">
        <v>642</v>
      </c>
      <c r="AM3" s="268" t="s">
        <v>6</v>
      </c>
      <c r="AN3" s="268" t="s">
        <v>642</v>
      </c>
      <c r="AO3" s="249" t="s">
        <v>1278</v>
      </c>
    </row>
    <row r="4" spans="2:42">
      <c r="B4" t="s">
        <v>1279</v>
      </c>
      <c r="C4" s="251">
        <v>4</v>
      </c>
      <c r="D4" t="s">
        <v>1280</v>
      </c>
      <c r="F4" s="269" t="s">
        <v>1281</v>
      </c>
      <c r="G4" s="226">
        <v>0</v>
      </c>
      <c r="H4" s="226"/>
      <c r="I4" s="226">
        <v>0</v>
      </c>
      <c r="J4" s="226"/>
      <c r="K4" s="223">
        <v>0</v>
      </c>
      <c r="L4" s="223"/>
      <c r="M4" s="226">
        <v>0</v>
      </c>
      <c r="N4" s="226"/>
      <c r="O4" s="226">
        <v>0</v>
      </c>
      <c r="P4" s="226"/>
      <c r="Q4" s="226"/>
      <c r="R4" s="226"/>
      <c r="S4" s="226"/>
      <c r="T4" s="221"/>
      <c r="U4" s="226"/>
      <c r="V4" s="226"/>
      <c r="W4" s="226"/>
      <c r="X4" s="226"/>
      <c r="Y4" s="226"/>
      <c r="Z4" s="226"/>
      <c r="AA4" s="226"/>
      <c r="AB4" s="226"/>
      <c r="AC4" s="226"/>
      <c r="AD4" s="226"/>
      <c r="AE4" s="226"/>
      <c r="AF4" s="226"/>
      <c r="AG4" s="226"/>
      <c r="AH4" s="270"/>
      <c r="AI4" s="271"/>
      <c r="AJ4" s="271"/>
      <c r="AK4" s="226"/>
      <c r="AL4" s="270"/>
      <c r="AM4" s="271"/>
      <c r="AN4" s="271"/>
      <c r="AO4" s="272">
        <f>SUM(G4,I4,K4,M4,W4,Q4,S4,U4,Y4,AA4,AC4,AE4,AG4,O4,AI4,AM4)</f>
        <v>0</v>
      </c>
      <c r="AP4" t="s">
        <v>1282</v>
      </c>
    </row>
    <row r="5" spans="2:42">
      <c r="B5" t="s">
        <v>1283</v>
      </c>
      <c r="C5" s="251">
        <v>3</v>
      </c>
      <c r="D5" t="s">
        <v>1284</v>
      </c>
      <c r="F5" s="269" t="s">
        <v>1089</v>
      </c>
      <c r="G5" s="226">
        <v>0</v>
      </c>
      <c r="H5" s="226"/>
      <c r="I5" s="226">
        <v>0</v>
      </c>
      <c r="J5" s="226"/>
      <c r="K5" s="223">
        <v>1</v>
      </c>
      <c r="L5" s="223"/>
      <c r="M5" s="226">
        <v>1</v>
      </c>
      <c r="N5" s="226">
        <v>0</v>
      </c>
      <c r="O5" s="226">
        <v>1</v>
      </c>
      <c r="P5" s="226"/>
      <c r="Q5" s="226"/>
      <c r="R5" s="226"/>
      <c r="S5" s="226">
        <v>1</v>
      </c>
      <c r="T5" s="226">
        <v>0</v>
      </c>
      <c r="U5" s="226"/>
      <c r="V5" s="226"/>
      <c r="W5" s="226"/>
      <c r="X5" s="226"/>
      <c r="Y5" s="226">
        <v>1</v>
      </c>
      <c r="Z5" s="226"/>
      <c r="AA5" s="226"/>
      <c r="AB5" s="226"/>
      <c r="AC5" s="226"/>
      <c r="AD5" s="226"/>
      <c r="AE5" s="226">
        <v>1</v>
      </c>
      <c r="AF5" s="226"/>
      <c r="AG5" s="226"/>
      <c r="AH5" s="270"/>
      <c r="AI5" s="271"/>
      <c r="AJ5" s="271"/>
      <c r="AK5" s="226"/>
      <c r="AL5" s="270"/>
      <c r="AM5" s="271"/>
      <c r="AN5" s="271"/>
      <c r="AO5" s="272">
        <f>SUM(G5,I5,K5,M5,W5,Q5,S5,U5,Y5,AA5,AC5,AE5,AG5,O5,AI5,AM5)</f>
        <v>6</v>
      </c>
      <c r="AP5" t="s">
        <v>1285</v>
      </c>
    </row>
    <row r="6" spans="2:42">
      <c r="B6" s="148" t="s">
        <v>1286</v>
      </c>
      <c r="C6" s="273">
        <v>3</v>
      </c>
      <c r="D6" s="148" t="s">
        <v>1287</v>
      </c>
      <c r="F6" s="269" t="s">
        <v>1288</v>
      </c>
      <c r="G6" s="226">
        <v>2</v>
      </c>
      <c r="H6" s="226">
        <v>1</v>
      </c>
      <c r="I6" s="226">
        <v>0</v>
      </c>
      <c r="J6" s="226"/>
      <c r="K6" s="223">
        <v>0</v>
      </c>
      <c r="L6" s="223"/>
      <c r="M6" s="226">
        <v>0</v>
      </c>
      <c r="N6" s="226"/>
      <c r="O6" s="226">
        <v>0</v>
      </c>
      <c r="P6" s="226"/>
      <c r="Q6" s="226"/>
      <c r="R6" s="226"/>
      <c r="S6" s="226"/>
      <c r="T6" s="226"/>
      <c r="U6" s="226">
        <v>1</v>
      </c>
      <c r="V6" s="226"/>
      <c r="W6" s="226">
        <v>1</v>
      </c>
      <c r="X6" s="226"/>
      <c r="Y6" s="226"/>
      <c r="Z6" s="226"/>
      <c r="AA6" s="226"/>
      <c r="AB6" s="226"/>
      <c r="AC6" s="226"/>
      <c r="AD6" s="226"/>
      <c r="AE6" s="226">
        <v>1</v>
      </c>
      <c r="AF6" s="226"/>
      <c r="AG6" s="226">
        <v>1</v>
      </c>
      <c r="AH6" s="270"/>
      <c r="AI6" s="271">
        <v>1</v>
      </c>
      <c r="AJ6" s="271">
        <v>1</v>
      </c>
      <c r="AK6" s="226"/>
      <c r="AL6" s="270"/>
      <c r="AM6" s="271"/>
      <c r="AN6" s="271"/>
      <c r="AO6" s="272">
        <f>SUM(G6,I6,K6,M6,W6,Q6,S6,U6,Y6,AA6,AC6,AE6,AG6,O6,AI6,AM6,AK6)</f>
        <v>7</v>
      </c>
      <c r="AP6" t="s">
        <v>1289</v>
      </c>
    </row>
    <row r="7" spans="2:42">
      <c r="B7" s="148" t="s">
        <v>1290</v>
      </c>
      <c r="C7" s="273">
        <v>2</v>
      </c>
      <c r="D7" s="148" t="s">
        <v>1291</v>
      </c>
      <c r="F7" s="265" t="s">
        <v>349</v>
      </c>
      <c r="G7" s="226">
        <v>2</v>
      </c>
      <c r="H7" s="226">
        <v>2</v>
      </c>
      <c r="I7" s="226">
        <v>1</v>
      </c>
      <c r="J7" s="226">
        <v>1</v>
      </c>
      <c r="K7" s="223">
        <v>1</v>
      </c>
      <c r="L7" s="223">
        <v>1</v>
      </c>
      <c r="M7" s="226">
        <v>2</v>
      </c>
      <c r="N7" s="226"/>
      <c r="O7" s="226">
        <v>1</v>
      </c>
      <c r="P7" s="226">
        <v>1</v>
      </c>
      <c r="Q7" s="226">
        <v>2</v>
      </c>
      <c r="R7" s="226">
        <v>1</v>
      </c>
      <c r="S7" s="226"/>
      <c r="T7" s="226"/>
      <c r="U7" s="226">
        <v>4</v>
      </c>
      <c r="V7" s="226">
        <v>2</v>
      </c>
      <c r="W7" s="226">
        <v>2</v>
      </c>
      <c r="X7" s="226"/>
      <c r="Y7" s="226">
        <v>4</v>
      </c>
      <c r="Z7" s="226">
        <v>4</v>
      </c>
      <c r="AA7" s="226"/>
      <c r="AB7" s="226"/>
      <c r="AC7" s="226">
        <v>1</v>
      </c>
      <c r="AD7" s="226"/>
      <c r="AE7" s="226">
        <v>2</v>
      </c>
      <c r="AF7" s="226"/>
      <c r="AG7" s="226">
        <v>1</v>
      </c>
      <c r="AH7" s="270">
        <v>1</v>
      </c>
      <c r="AI7" s="271">
        <v>1</v>
      </c>
      <c r="AJ7" s="271">
        <v>1</v>
      </c>
      <c r="AK7" s="226"/>
      <c r="AL7" s="270"/>
      <c r="AM7" s="271"/>
      <c r="AN7" s="271"/>
      <c r="AO7" s="272">
        <f>SUM(G7,I7,K7,M7,W7,Q7,S7,U7,Y7,AA7,AC7,AE7,AG7,O7,AI7,AM7)</f>
        <v>24</v>
      </c>
      <c r="AP7" t="s">
        <v>1292</v>
      </c>
    </row>
    <row r="8" spans="2:42">
      <c r="B8" s="148" t="s">
        <v>1293</v>
      </c>
      <c r="C8" s="273">
        <v>1</v>
      </c>
      <c r="D8" s="148" t="s">
        <v>1294</v>
      </c>
      <c r="F8" s="265" t="s">
        <v>1295</v>
      </c>
      <c r="G8" s="226">
        <v>1</v>
      </c>
      <c r="H8" s="226"/>
      <c r="I8" s="226">
        <v>0</v>
      </c>
      <c r="J8" s="226"/>
      <c r="K8" s="223">
        <v>2</v>
      </c>
      <c r="L8" s="223">
        <v>1</v>
      </c>
      <c r="M8" s="226">
        <v>0</v>
      </c>
      <c r="N8" s="226">
        <v>2</v>
      </c>
      <c r="O8" s="226">
        <v>1</v>
      </c>
      <c r="P8" s="226">
        <v>1</v>
      </c>
      <c r="Q8" s="226">
        <v>0</v>
      </c>
      <c r="R8" s="226"/>
      <c r="S8" s="226"/>
      <c r="T8" s="226"/>
      <c r="U8" s="226">
        <v>1</v>
      </c>
      <c r="V8" s="226"/>
      <c r="W8" s="226">
        <v>2</v>
      </c>
      <c r="X8" s="226"/>
      <c r="Y8" s="226">
        <v>0</v>
      </c>
      <c r="Z8" s="226"/>
      <c r="AA8" s="226">
        <v>3</v>
      </c>
      <c r="AB8" s="226"/>
      <c r="AC8" s="226">
        <v>2</v>
      </c>
      <c r="AD8" s="226">
        <v>1</v>
      </c>
      <c r="AE8" s="226"/>
      <c r="AF8" s="226"/>
      <c r="AG8" s="226"/>
      <c r="AH8" s="270"/>
      <c r="AI8" s="271"/>
      <c r="AJ8" s="271"/>
      <c r="AK8" s="226"/>
      <c r="AL8" s="270"/>
      <c r="AM8" s="271"/>
      <c r="AN8" s="271"/>
      <c r="AO8" s="272">
        <f>SUM(G8,I8,K8,M8,W8,Q8,S8,U8,Y8,AA8,AC8,AE8,AG8,O8,AI8,AK8,AM8)</f>
        <v>12</v>
      </c>
      <c r="AP8" s="274" t="s">
        <v>1296</v>
      </c>
    </row>
    <row r="9" spans="2:42">
      <c r="B9" s="148" t="s">
        <v>1297</v>
      </c>
      <c r="C9" s="273">
        <v>6</v>
      </c>
      <c r="D9" s="148" t="s">
        <v>1298</v>
      </c>
      <c r="F9" s="269" t="s">
        <v>1299</v>
      </c>
      <c r="G9" s="275">
        <f>SUM(G4:G8)</f>
        <v>5</v>
      </c>
      <c r="H9" s="275">
        <v>3</v>
      </c>
      <c r="I9" s="275">
        <f>SUM(I4:I8)</f>
        <v>1</v>
      </c>
      <c r="J9" s="275">
        <v>1</v>
      </c>
      <c r="K9" s="276">
        <f>SUM(K4:K8)</f>
        <v>4</v>
      </c>
      <c r="L9" s="276">
        <v>2</v>
      </c>
      <c r="M9" s="275">
        <f>SUM(M4:M8)</f>
        <v>3</v>
      </c>
      <c r="N9" s="275">
        <v>2</v>
      </c>
      <c r="O9" s="275">
        <v>3</v>
      </c>
      <c r="P9" s="275">
        <v>2</v>
      </c>
      <c r="Q9" s="275">
        <f>SUM(Q4:Q8)</f>
        <v>2</v>
      </c>
      <c r="R9" s="275">
        <v>1</v>
      </c>
      <c r="S9" s="266">
        <v>1</v>
      </c>
      <c r="T9" s="266">
        <v>0</v>
      </c>
      <c r="U9" s="266">
        <f>SUM(U4:U8)</f>
        <v>6</v>
      </c>
      <c r="V9" s="266">
        <v>2</v>
      </c>
      <c r="W9" s="266">
        <v>5</v>
      </c>
      <c r="X9" s="266">
        <v>1</v>
      </c>
      <c r="Y9" s="266">
        <f>SUM(Y4:Y8)</f>
        <v>5</v>
      </c>
      <c r="Z9" s="266">
        <f>SUM(Z4:Z8)</f>
        <v>4</v>
      </c>
      <c r="AA9" s="266">
        <v>3</v>
      </c>
      <c r="AB9" s="266">
        <f>SUM(AB4:AB8)</f>
        <v>0</v>
      </c>
      <c r="AC9" s="266">
        <v>5</v>
      </c>
      <c r="AD9" s="266">
        <f>SUM(AD4:AD8)</f>
        <v>1</v>
      </c>
      <c r="AE9" s="268">
        <v>4</v>
      </c>
      <c r="AF9" s="268">
        <v>0</v>
      </c>
      <c r="AG9" s="268">
        <v>2</v>
      </c>
      <c r="AH9" s="277">
        <v>1</v>
      </c>
      <c r="AI9" s="278">
        <v>2</v>
      </c>
      <c r="AJ9" s="278"/>
      <c r="AK9" s="268">
        <v>0</v>
      </c>
      <c r="AL9" s="277">
        <v>0</v>
      </c>
      <c r="AM9" s="278"/>
      <c r="AN9" s="278"/>
      <c r="AO9" s="279">
        <f>SUM(G9,I9,K9,M9,Q9,S9,U9,W9,Y9,AA9,AC9,AE9,AG9,O9,AI9,AK9,AM9)</f>
        <v>51</v>
      </c>
      <c r="AP9" s="280" t="s">
        <v>1300</v>
      </c>
    </row>
    <row r="10" spans="2:42">
      <c r="B10" s="148" t="s">
        <v>1301</v>
      </c>
      <c r="C10" s="273">
        <v>5</v>
      </c>
      <c r="D10" s="148" t="s">
        <v>1302</v>
      </c>
      <c r="F10" s="281" t="s">
        <v>1303</v>
      </c>
      <c r="G10" s="282">
        <f>SUM(G4:G6)</f>
        <v>2</v>
      </c>
      <c r="H10" s="282">
        <v>1</v>
      </c>
      <c r="I10" s="282">
        <f>SUM(I4:I6)</f>
        <v>0</v>
      </c>
      <c r="J10" s="282">
        <v>1</v>
      </c>
      <c r="K10" s="283">
        <f>SUM(K4:K6)</f>
        <v>1</v>
      </c>
      <c r="L10" s="283">
        <v>0</v>
      </c>
      <c r="M10" s="282">
        <f>SUM(M4:M6)</f>
        <v>1</v>
      </c>
      <c r="N10" s="282">
        <v>0</v>
      </c>
      <c r="O10" s="282">
        <v>1</v>
      </c>
      <c r="P10" s="282">
        <v>2</v>
      </c>
      <c r="Q10" s="282">
        <v>0</v>
      </c>
      <c r="R10" s="282">
        <v>0</v>
      </c>
      <c r="S10" s="282">
        <f>SUM(S3:S5)</f>
        <v>1</v>
      </c>
      <c r="T10" s="284">
        <v>0</v>
      </c>
      <c r="U10" s="282">
        <f t="shared" ref="U10:AB10" si="0">SUM(U4:U6)</f>
        <v>1</v>
      </c>
      <c r="V10" s="282">
        <f t="shared" si="0"/>
        <v>0</v>
      </c>
      <c r="W10" s="282">
        <f t="shared" si="0"/>
        <v>1</v>
      </c>
      <c r="X10" s="282">
        <f t="shared" si="0"/>
        <v>0</v>
      </c>
      <c r="Y10" s="282">
        <f t="shared" si="0"/>
        <v>1</v>
      </c>
      <c r="Z10" s="282">
        <f t="shared" si="0"/>
        <v>0</v>
      </c>
      <c r="AA10" s="282">
        <f t="shared" si="0"/>
        <v>0</v>
      </c>
      <c r="AB10" s="282">
        <f t="shared" si="0"/>
        <v>0</v>
      </c>
      <c r="AC10" s="282">
        <v>2</v>
      </c>
      <c r="AD10" s="285">
        <v>2</v>
      </c>
      <c r="AE10" s="282">
        <v>2</v>
      </c>
      <c r="AF10" s="285">
        <v>0</v>
      </c>
      <c r="AG10" s="271">
        <v>1</v>
      </c>
      <c r="AH10" s="286"/>
      <c r="AI10" s="271"/>
      <c r="AJ10" s="271"/>
      <c r="AK10" s="271">
        <v>0</v>
      </c>
      <c r="AL10" s="286">
        <v>0</v>
      </c>
      <c r="AM10" s="271"/>
      <c r="AN10" s="271"/>
      <c r="AO10" s="272">
        <f>SUM($G$10,$I$10,K10,M10,W10,Q10,S10,U10,Y10,AA10,AC10,AE10,AG10,O10,AI10)</f>
        <v>14</v>
      </c>
      <c r="AP10" s="114" t="s">
        <v>1304</v>
      </c>
    </row>
    <row r="11" spans="2:42">
      <c r="B11" s="148" t="s">
        <v>1305</v>
      </c>
      <c r="C11" s="273">
        <v>5</v>
      </c>
      <c r="D11" s="148" t="s">
        <v>1306</v>
      </c>
      <c r="F11" s="281"/>
      <c r="G11" s="287"/>
      <c r="H11" s="287"/>
      <c r="I11" s="287"/>
      <c r="J11" s="287"/>
      <c r="K11" s="288"/>
      <c r="L11" s="288"/>
      <c r="M11" s="287"/>
      <c r="N11" s="287"/>
      <c r="O11" s="287"/>
      <c r="P11" s="287"/>
      <c r="Q11" s="287"/>
      <c r="R11" s="289"/>
      <c r="S11" s="287"/>
      <c r="T11" s="289"/>
      <c r="U11" s="287"/>
      <c r="V11" s="287"/>
      <c r="W11" s="287"/>
      <c r="X11" s="287"/>
      <c r="Y11" s="114"/>
      <c r="Z11" s="114"/>
    </row>
    <row r="12" spans="2:42">
      <c r="B12" s="148" t="s">
        <v>1307</v>
      </c>
      <c r="C12" s="273">
        <v>4</v>
      </c>
      <c r="D12" s="148" t="s">
        <v>1308</v>
      </c>
      <c r="F12" s="281"/>
      <c r="G12" s="287"/>
      <c r="H12" s="287"/>
      <c r="I12" s="287"/>
      <c r="J12" s="287"/>
      <c r="K12" s="288"/>
      <c r="L12" s="288"/>
      <c r="M12" s="287"/>
      <c r="N12" s="287"/>
      <c r="O12" s="287"/>
      <c r="P12" s="287"/>
      <c r="Q12" s="287"/>
      <c r="R12" s="289"/>
      <c r="S12" s="287"/>
      <c r="T12" s="289"/>
      <c r="U12" s="287"/>
      <c r="V12" s="287"/>
      <c r="W12" s="287"/>
      <c r="X12" s="287"/>
      <c r="Y12" s="114"/>
      <c r="Z12" s="114"/>
    </row>
    <row r="13" spans="2:42">
      <c r="B13" s="148" t="s">
        <v>1309</v>
      </c>
      <c r="C13" s="273">
        <v>5</v>
      </c>
      <c r="D13" s="148" t="s">
        <v>1310</v>
      </c>
      <c r="F13" s="281"/>
      <c r="G13" s="287"/>
      <c r="H13" s="287"/>
      <c r="I13" s="287"/>
      <c r="J13" s="287"/>
      <c r="K13" s="288"/>
      <c r="L13" s="288"/>
      <c r="M13" s="287"/>
      <c r="N13" s="287"/>
      <c r="O13" s="287"/>
      <c r="P13" s="287"/>
      <c r="Q13" s="287"/>
      <c r="R13" s="289"/>
      <c r="S13" s="287"/>
      <c r="T13" s="289"/>
      <c r="U13" s="287"/>
      <c r="V13" s="287"/>
      <c r="W13" s="287"/>
      <c r="X13" s="287"/>
      <c r="Y13" s="114"/>
      <c r="Z13" s="114"/>
    </row>
    <row r="14" spans="2:42">
      <c r="B14" s="148" t="s">
        <v>1311</v>
      </c>
      <c r="C14" s="273">
        <v>4</v>
      </c>
      <c r="D14" s="148" t="s">
        <v>1312</v>
      </c>
      <c r="F14" s="281"/>
      <c r="G14" s="287"/>
      <c r="H14" s="287"/>
      <c r="I14" s="287"/>
      <c r="J14" s="287"/>
      <c r="K14" s="288"/>
      <c r="L14" s="288"/>
      <c r="M14" s="287"/>
      <c r="N14" s="287"/>
      <c r="O14" s="287"/>
      <c r="P14" s="287"/>
      <c r="Q14" s="287"/>
      <c r="R14" s="289"/>
      <c r="S14" s="287"/>
      <c r="T14" s="289"/>
      <c r="U14" s="287"/>
      <c r="V14" s="287"/>
      <c r="W14" s="287"/>
      <c r="X14" s="287"/>
      <c r="Y14" s="114"/>
      <c r="Z14" s="114"/>
    </row>
    <row r="15" spans="2:42">
      <c r="B15" s="148" t="s">
        <v>1313</v>
      </c>
      <c r="C15" s="251">
        <v>2</v>
      </c>
      <c r="D15" t="s">
        <v>1314</v>
      </c>
      <c r="AH15" s="290"/>
      <c r="AI15" s="290"/>
    </row>
    <row r="16" spans="2:42">
      <c r="B16" s="441">
        <v>46023</v>
      </c>
      <c r="C16" s="291">
        <v>2</v>
      </c>
      <c r="D16" t="s">
        <v>1315</v>
      </c>
      <c r="AH16" s="290"/>
      <c r="AI16" s="290"/>
    </row>
    <row r="17" spans="2:53">
      <c r="B17" s="441">
        <v>46054</v>
      </c>
      <c r="C17" s="251">
        <v>0</v>
      </c>
      <c r="AH17" s="290"/>
      <c r="AI17" s="290"/>
    </row>
    <row r="18" spans="2:53">
      <c r="B18" s="441">
        <v>46082</v>
      </c>
      <c r="C18" s="251">
        <v>5</v>
      </c>
      <c r="D18" t="s">
        <v>1316</v>
      </c>
      <c r="AH18" s="290"/>
      <c r="AI18" s="290"/>
    </row>
    <row r="19" spans="2:53" ht="15.75">
      <c r="B19" s="608">
        <v>46113</v>
      </c>
      <c r="C19" s="251"/>
      <c r="AH19" s="290"/>
      <c r="AI19" s="290"/>
    </row>
    <row r="20" spans="2:53" ht="15.75">
      <c r="B20" s="608">
        <v>46143</v>
      </c>
      <c r="C20" s="251"/>
      <c r="AH20" s="290"/>
      <c r="AI20" s="290"/>
    </row>
    <row r="21" spans="2:53" ht="15.75">
      <c r="B21" s="608">
        <v>46174</v>
      </c>
      <c r="C21" s="251"/>
      <c r="AH21" s="290"/>
      <c r="AI21" s="290"/>
    </row>
    <row r="22" spans="2:53" ht="15.75">
      <c r="B22" s="608">
        <v>46204</v>
      </c>
    </row>
    <row r="23" spans="2:53" ht="15.75">
      <c r="B23" s="608"/>
    </row>
    <row r="24" spans="2:53" ht="15.75" customHeight="1">
      <c r="B24" s="293" t="s">
        <v>1317</v>
      </c>
      <c r="C24" s="293"/>
      <c r="D24" s="294"/>
      <c r="E24" s="294"/>
      <c r="F24" s="295"/>
      <c r="H24" s="296" t="s">
        <v>1318</v>
      </c>
      <c r="I24" s="296"/>
      <c r="J24" s="296"/>
      <c r="K24" s="297"/>
      <c r="L24" s="297"/>
      <c r="M24" s="249"/>
      <c r="N24" s="298" t="s">
        <v>1319</v>
      </c>
      <c r="O24" s="298"/>
      <c r="P24" s="298"/>
      <c r="Q24" s="298"/>
      <c r="R24" s="298"/>
      <c r="S24" s="299"/>
      <c r="T24" s="249"/>
      <c r="U24" s="300" t="s">
        <v>1320</v>
      </c>
      <c r="V24" s="300"/>
      <c r="W24" s="301"/>
      <c r="X24" s="301"/>
      <c r="Y24" s="301"/>
      <c r="AC24" s="302" t="s">
        <v>1321</v>
      </c>
      <c r="AD24" s="302"/>
      <c r="AE24" s="303"/>
      <c r="AF24" s="303"/>
      <c r="AG24" s="303"/>
      <c r="AJ24" s="304" t="s">
        <v>1322</v>
      </c>
      <c r="AK24" s="304"/>
      <c r="AL24" s="305"/>
      <c r="AM24" s="305"/>
      <c r="AN24" s="305"/>
    </row>
    <row r="25" spans="2:53" ht="31.5" customHeight="1">
      <c r="B25" s="306" t="s">
        <v>101</v>
      </c>
      <c r="C25" s="307" t="s">
        <v>1323</v>
      </c>
      <c r="D25" s="307" t="s">
        <v>1324</v>
      </c>
      <c r="E25" s="307" t="s">
        <v>1325</v>
      </c>
      <c r="F25" s="307" t="s">
        <v>1326</v>
      </c>
      <c r="G25" s="308"/>
      <c r="H25" s="309" t="s">
        <v>101</v>
      </c>
      <c r="I25" s="309" t="s">
        <v>1327</v>
      </c>
      <c r="J25" s="309" t="s">
        <v>1324</v>
      </c>
      <c r="K25" s="310" t="s">
        <v>1328</v>
      </c>
      <c r="L25" s="310" t="s">
        <v>1329</v>
      </c>
      <c r="M25" s="311"/>
      <c r="N25" s="312" t="s">
        <v>101</v>
      </c>
      <c r="O25" s="312" t="s">
        <v>1327</v>
      </c>
      <c r="P25" s="312" t="s">
        <v>1324</v>
      </c>
      <c r="Q25" s="312" t="s">
        <v>1326</v>
      </c>
      <c r="R25" s="312" t="s">
        <v>1329</v>
      </c>
      <c r="S25" s="313" t="s">
        <v>1330</v>
      </c>
      <c r="T25" s="314" t="s">
        <v>1331</v>
      </c>
      <c r="U25" s="315" t="s">
        <v>101</v>
      </c>
      <c r="V25" s="315" t="s">
        <v>1327</v>
      </c>
      <c r="W25" s="315" t="s">
        <v>1324</v>
      </c>
      <c r="X25" s="315" t="s">
        <v>1332</v>
      </c>
      <c r="Y25" s="315" t="s">
        <v>1329</v>
      </c>
      <c r="Z25" s="316" t="s">
        <v>1333</v>
      </c>
      <c r="AA25" s="316" t="s">
        <v>1334</v>
      </c>
      <c r="AB25" s="317" t="s">
        <v>1335</v>
      </c>
      <c r="AC25" s="318" t="s">
        <v>101</v>
      </c>
      <c r="AD25" s="318" t="s">
        <v>1327</v>
      </c>
      <c r="AE25" s="318" t="s">
        <v>1324</v>
      </c>
      <c r="AF25" s="318" t="s">
        <v>1332</v>
      </c>
      <c r="AG25" s="318" t="s">
        <v>1329</v>
      </c>
      <c r="AH25" s="311"/>
      <c r="AI25" s="311"/>
      <c r="AJ25" s="319" t="s">
        <v>101</v>
      </c>
      <c r="AK25" s="319" t="s">
        <v>1327</v>
      </c>
      <c r="AL25" s="319" t="s">
        <v>1324</v>
      </c>
      <c r="AM25" s="319" t="s">
        <v>1332</v>
      </c>
      <c r="AN25" s="319" t="s">
        <v>1329</v>
      </c>
      <c r="AP25" s="148" t="s">
        <v>1336</v>
      </c>
      <c r="AZ25" t="s">
        <v>1337</v>
      </c>
    </row>
    <row r="26" spans="2:53" ht="15.75" customHeight="1">
      <c r="B26" s="320">
        <v>45597</v>
      </c>
      <c r="C26" s="321">
        <f t="shared" ref="C26:C31" si="1">SUM(L26,R26,Y26)</f>
        <v>12795.82</v>
      </c>
      <c r="D26" s="322">
        <f t="shared" ref="D26:D31" si="2">SUM(P26,J26,W26)</f>
        <v>1390330</v>
      </c>
      <c r="E26" s="322">
        <f t="shared" ref="E26:E31" si="3">SUM(I26,O26,V26)</f>
        <v>5566</v>
      </c>
      <c r="F26" s="323">
        <f t="shared" ref="F26:F47" si="4">E26/D26</f>
        <v>4.0033661073270374E-3</v>
      </c>
      <c r="G26" s="308"/>
      <c r="H26" s="324">
        <v>45621</v>
      </c>
      <c r="I26" s="322">
        <v>1421</v>
      </c>
      <c r="J26" s="322">
        <v>40099</v>
      </c>
      <c r="K26" s="325">
        <f t="shared" ref="K26:K31" si="5">I26/J26</f>
        <v>3.54372927005661E-2</v>
      </c>
      <c r="L26" s="326">
        <v>2482.98</v>
      </c>
      <c r="M26" s="148" t="s">
        <v>1338</v>
      </c>
      <c r="N26" s="324">
        <v>45621</v>
      </c>
      <c r="O26" s="316">
        <v>307</v>
      </c>
      <c r="P26" s="322">
        <v>555800</v>
      </c>
      <c r="Q26" s="325">
        <v>5.9999999999999995E-4</v>
      </c>
      <c r="R26" s="321">
        <v>5870.61</v>
      </c>
      <c r="S26" s="327">
        <v>1071</v>
      </c>
      <c r="T26" s="328">
        <v>10.64</v>
      </c>
      <c r="U26" s="324">
        <v>45621</v>
      </c>
      <c r="V26" s="329">
        <v>3838</v>
      </c>
      <c r="W26" s="322">
        <v>794431</v>
      </c>
      <c r="X26" s="325">
        <v>4.7999999999999996E-3</v>
      </c>
      <c r="Y26" s="321">
        <v>4442.2299999999996</v>
      </c>
      <c r="Z26" s="330" t="s">
        <v>1339</v>
      </c>
      <c r="AA26" s="330" t="s">
        <v>1340</v>
      </c>
      <c r="AB26" s="330"/>
      <c r="AC26" s="324">
        <v>45621</v>
      </c>
      <c r="AD26" s="331"/>
      <c r="AE26" s="331"/>
      <c r="AF26" s="331"/>
      <c r="AG26" s="331"/>
      <c r="AH26" s="316"/>
      <c r="AI26" s="316"/>
      <c r="AJ26" s="324">
        <v>45621</v>
      </c>
      <c r="AK26" s="331"/>
      <c r="AL26" s="331"/>
      <c r="AM26" s="331"/>
      <c r="AN26" s="331"/>
      <c r="AP26" s="148" t="s">
        <v>1341</v>
      </c>
      <c r="AZ26" s="33" t="s">
        <v>1342</v>
      </c>
    </row>
    <row r="27" spans="2:53" ht="15.75" customHeight="1">
      <c r="B27" s="320">
        <v>45627</v>
      </c>
      <c r="C27" s="321">
        <f t="shared" si="1"/>
        <v>10042.780000000001</v>
      </c>
      <c r="D27" s="322">
        <f t="shared" si="2"/>
        <v>872982</v>
      </c>
      <c r="E27" s="322">
        <f t="shared" si="3"/>
        <v>2616</v>
      </c>
      <c r="F27" s="323">
        <f t="shared" si="4"/>
        <v>2.996625359973058E-3</v>
      </c>
      <c r="G27" s="308"/>
      <c r="H27" s="324">
        <v>45651</v>
      </c>
      <c r="I27" s="316">
        <v>746</v>
      </c>
      <c r="J27" s="322">
        <v>25415</v>
      </c>
      <c r="K27" s="325">
        <f t="shared" si="5"/>
        <v>2.9352744442258508E-2</v>
      </c>
      <c r="L27" s="326">
        <v>1315.64</v>
      </c>
      <c r="M27" s="332"/>
      <c r="N27" s="324">
        <v>45651</v>
      </c>
      <c r="O27" s="316">
        <v>351</v>
      </c>
      <c r="P27" s="322">
        <v>585440</v>
      </c>
      <c r="Q27" s="325">
        <v>5.9999999999999995E-4</v>
      </c>
      <c r="R27" s="321">
        <v>5917.82</v>
      </c>
      <c r="S27" s="327">
        <v>1038</v>
      </c>
      <c r="T27" s="328">
        <v>10.210000000000001</v>
      </c>
      <c r="U27" s="324">
        <v>45651</v>
      </c>
      <c r="V27" s="329">
        <v>1519</v>
      </c>
      <c r="W27" s="322">
        <v>262127</v>
      </c>
      <c r="X27" s="325">
        <v>5.7999999999999996E-3</v>
      </c>
      <c r="Y27" s="321">
        <v>2809.32</v>
      </c>
      <c r="Z27" s="330" t="s">
        <v>1339</v>
      </c>
      <c r="AA27" s="330" t="s">
        <v>1343</v>
      </c>
      <c r="AB27" s="330"/>
      <c r="AC27" s="324">
        <v>45651</v>
      </c>
      <c r="AD27" s="331"/>
      <c r="AE27" s="331"/>
      <c r="AF27" s="331"/>
      <c r="AG27" s="331"/>
      <c r="AH27" s="316"/>
      <c r="AI27" s="316"/>
      <c r="AJ27" s="324">
        <v>45651</v>
      </c>
      <c r="AK27" s="331"/>
      <c r="AL27" s="331"/>
      <c r="AM27" s="331"/>
      <c r="AN27" s="331"/>
      <c r="AP27" s="148" t="s">
        <v>1344</v>
      </c>
    </row>
    <row r="28" spans="2:53" ht="15.75" customHeight="1">
      <c r="B28" s="320">
        <v>45658</v>
      </c>
      <c r="C28" s="321">
        <f t="shared" si="1"/>
        <v>10121.93</v>
      </c>
      <c r="D28" s="322">
        <f t="shared" si="2"/>
        <v>923059</v>
      </c>
      <c r="E28" s="322">
        <f t="shared" si="3"/>
        <v>2566</v>
      </c>
      <c r="F28" s="323">
        <f t="shared" si="4"/>
        <v>2.7798873094785925E-3</v>
      </c>
      <c r="G28" s="308"/>
      <c r="H28" s="324">
        <v>45682</v>
      </c>
      <c r="I28" s="316">
        <v>561</v>
      </c>
      <c r="J28" s="322">
        <v>27869</v>
      </c>
      <c r="K28" s="325">
        <f t="shared" si="5"/>
        <v>2.012989342997596E-2</v>
      </c>
      <c r="L28" s="326">
        <v>1233.06</v>
      </c>
      <c r="M28" s="274"/>
      <c r="N28" s="324">
        <v>45682</v>
      </c>
      <c r="O28" s="314">
        <v>313</v>
      </c>
      <c r="P28" s="322">
        <v>611159</v>
      </c>
      <c r="Q28" s="333">
        <v>5.9999999999999995E-4</v>
      </c>
      <c r="R28" s="321">
        <v>5734.74</v>
      </c>
      <c r="S28" s="327">
        <v>1090</v>
      </c>
      <c r="T28" s="328">
        <v>9.5399999999999991</v>
      </c>
      <c r="U28" s="324">
        <v>45682</v>
      </c>
      <c r="V28" s="329">
        <v>1692</v>
      </c>
      <c r="W28" s="322">
        <v>284031</v>
      </c>
      <c r="X28" s="325">
        <v>6.0000000000000001E-3</v>
      </c>
      <c r="Y28" s="321">
        <v>3154.13</v>
      </c>
      <c r="Z28" s="330" t="s">
        <v>1345</v>
      </c>
      <c r="AA28" s="330" t="s">
        <v>1343</v>
      </c>
      <c r="AB28" s="330"/>
      <c r="AC28" s="324">
        <v>45682</v>
      </c>
      <c r="AD28" s="331"/>
      <c r="AE28" s="331"/>
      <c r="AF28" s="331"/>
      <c r="AG28" s="331"/>
      <c r="AH28" s="316"/>
      <c r="AI28" s="316"/>
      <c r="AJ28" s="324">
        <v>45682</v>
      </c>
      <c r="AK28" s="331"/>
      <c r="AL28" s="331"/>
      <c r="AM28" s="331"/>
      <c r="AN28" s="331"/>
      <c r="AP28" s="148" t="s">
        <v>1346</v>
      </c>
    </row>
    <row r="29" spans="2:53" ht="15.75" customHeight="1">
      <c r="B29" s="320">
        <v>45689</v>
      </c>
      <c r="C29" s="321">
        <f t="shared" si="1"/>
        <v>11589.400000000001</v>
      </c>
      <c r="D29" s="322">
        <f t="shared" si="2"/>
        <v>969667</v>
      </c>
      <c r="E29" s="322">
        <f t="shared" si="3"/>
        <v>3030</v>
      </c>
      <c r="F29" s="323">
        <f t="shared" si="4"/>
        <v>3.1247840753578292E-3</v>
      </c>
      <c r="G29" s="308"/>
      <c r="H29" s="324">
        <v>45713</v>
      </c>
      <c r="I29" s="316">
        <v>447</v>
      </c>
      <c r="J29" s="322">
        <v>58467</v>
      </c>
      <c r="K29" s="325">
        <f t="shared" si="5"/>
        <v>7.6453383960182666E-3</v>
      </c>
      <c r="L29" s="326">
        <v>2241.65</v>
      </c>
      <c r="M29" s="274"/>
      <c r="N29" s="324">
        <v>45713</v>
      </c>
      <c r="O29" s="314">
        <v>174</v>
      </c>
      <c r="P29" s="322">
        <v>453615</v>
      </c>
      <c r="Q29" s="333">
        <v>4.0000000000000002E-4</v>
      </c>
      <c r="R29" s="321">
        <v>4587.53</v>
      </c>
      <c r="S29" s="327">
        <v>1129</v>
      </c>
      <c r="T29" s="328">
        <v>10.19</v>
      </c>
      <c r="U29" s="324">
        <v>45713</v>
      </c>
      <c r="V29" s="329">
        <v>2409</v>
      </c>
      <c r="W29" s="322">
        <v>457585</v>
      </c>
      <c r="X29" s="333">
        <f>V29/W29</f>
        <v>5.2645956488958333E-3</v>
      </c>
      <c r="Y29" s="334">
        <v>4760.22</v>
      </c>
      <c r="Z29" s="330" t="s">
        <v>1339</v>
      </c>
      <c r="AA29" s="330" t="s">
        <v>1343</v>
      </c>
      <c r="AB29" s="330"/>
      <c r="AC29" s="324">
        <v>45713</v>
      </c>
      <c r="AD29" s="331"/>
      <c r="AE29" s="331"/>
      <c r="AF29" s="331"/>
      <c r="AG29" s="331"/>
      <c r="AH29" s="316"/>
      <c r="AI29" s="316"/>
      <c r="AJ29" s="324">
        <v>45713</v>
      </c>
      <c r="AK29" s="331"/>
      <c r="AL29" s="331"/>
      <c r="AM29" s="331"/>
      <c r="AN29" s="331"/>
      <c r="AP29" s="148" t="s">
        <v>1347</v>
      </c>
      <c r="AZ29" s="314" t="s">
        <v>1348</v>
      </c>
      <c r="BA29" s="314"/>
    </row>
    <row r="30" spans="2:53" ht="15.75" customHeight="1">
      <c r="B30" s="320">
        <v>45717</v>
      </c>
      <c r="C30" s="321">
        <f t="shared" si="1"/>
        <v>23022.89</v>
      </c>
      <c r="D30" s="322">
        <f t="shared" si="2"/>
        <v>1219456</v>
      </c>
      <c r="E30" s="322">
        <f t="shared" si="3"/>
        <v>5028</v>
      </c>
      <c r="F30" s="323">
        <f t="shared" si="4"/>
        <v>4.123149994751758E-3</v>
      </c>
      <c r="G30" s="308"/>
      <c r="H30" s="324">
        <v>45741</v>
      </c>
      <c r="I30" s="322">
        <v>1523</v>
      </c>
      <c r="J30" s="322">
        <v>76517</v>
      </c>
      <c r="K30" s="325">
        <f t="shared" si="5"/>
        <v>1.9904073604558464E-2</v>
      </c>
      <c r="L30" s="326">
        <v>4244.79</v>
      </c>
      <c r="M30" s="274"/>
      <c r="N30" s="324">
        <v>45741</v>
      </c>
      <c r="O30" s="314">
        <v>323</v>
      </c>
      <c r="P30" s="322">
        <v>720377</v>
      </c>
      <c r="Q30" s="333">
        <v>4.0000000000000002E-4</v>
      </c>
      <c r="R30" s="321">
        <v>7955.82</v>
      </c>
      <c r="S30" s="327">
        <v>1199</v>
      </c>
      <c r="T30" s="328">
        <v>11.13</v>
      </c>
      <c r="U30" s="324">
        <v>45741</v>
      </c>
      <c r="V30" s="329">
        <v>3182</v>
      </c>
      <c r="W30" s="322">
        <v>422562</v>
      </c>
      <c r="X30" s="333">
        <f>V30/W30</f>
        <v>7.5302559151083151E-3</v>
      </c>
      <c r="Y30" s="334">
        <v>10822.28</v>
      </c>
      <c r="Z30" s="330" t="s">
        <v>1349</v>
      </c>
      <c r="AA30" s="330" t="s">
        <v>1343</v>
      </c>
      <c r="AB30" s="330"/>
      <c r="AC30" s="324">
        <v>45741</v>
      </c>
      <c r="AD30" s="331"/>
      <c r="AE30" s="331"/>
      <c r="AF30" s="331"/>
      <c r="AG30" s="331"/>
      <c r="AH30" s="316"/>
      <c r="AI30" s="316"/>
      <c r="AJ30" s="324">
        <v>45741</v>
      </c>
      <c r="AK30" s="331"/>
      <c r="AL30" s="331"/>
      <c r="AM30" s="331"/>
      <c r="AN30" s="331"/>
      <c r="AZ30" s="33" t="s">
        <v>1350</v>
      </c>
    </row>
    <row r="31" spans="2:53" ht="15.75" customHeight="1">
      <c r="B31" s="320">
        <v>45748</v>
      </c>
      <c r="C31" s="321">
        <f t="shared" si="1"/>
        <v>22527.66</v>
      </c>
      <c r="D31" s="322">
        <f t="shared" si="2"/>
        <v>1271009</v>
      </c>
      <c r="E31" s="322">
        <f t="shared" si="3"/>
        <v>4053</v>
      </c>
      <c r="F31" s="323">
        <f t="shared" si="4"/>
        <v>3.1888051146766075E-3</v>
      </c>
      <c r="G31" s="308"/>
      <c r="H31" s="324">
        <v>45748</v>
      </c>
      <c r="I31" s="322">
        <v>1206</v>
      </c>
      <c r="J31" s="322">
        <v>84360</v>
      </c>
      <c r="K31" s="325">
        <f t="shared" si="5"/>
        <v>1.4295874822190611E-2</v>
      </c>
      <c r="L31" s="326">
        <v>1838.19</v>
      </c>
      <c r="M31" s="274"/>
      <c r="N31" s="324">
        <v>45748</v>
      </c>
      <c r="O31" s="314">
        <v>479</v>
      </c>
      <c r="P31" s="322">
        <v>835475</v>
      </c>
      <c r="Q31" s="333">
        <f>O31/P31</f>
        <v>5.7332655076453519E-4</v>
      </c>
      <c r="R31" s="321">
        <v>8671.48</v>
      </c>
      <c r="S31" s="327">
        <v>1540</v>
      </c>
      <c r="T31" s="328">
        <v>10.44</v>
      </c>
      <c r="U31" s="324">
        <v>45748</v>
      </c>
      <c r="V31" s="329">
        <v>2368</v>
      </c>
      <c r="W31" s="322">
        <v>351174</v>
      </c>
      <c r="X31" s="333">
        <f>V31/W31</f>
        <v>6.7430960150808433E-3</v>
      </c>
      <c r="Y31" s="334">
        <v>12017.99</v>
      </c>
      <c r="Z31" s="330" t="s">
        <v>1351</v>
      </c>
      <c r="AA31" s="330" t="s">
        <v>1343</v>
      </c>
      <c r="AB31" s="330"/>
      <c r="AC31" s="324">
        <v>45748</v>
      </c>
      <c r="AD31" s="335"/>
      <c r="AE31" s="335"/>
      <c r="AF31" s="335"/>
      <c r="AG31" s="335"/>
      <c r="AH31" s="330"/>
      <c r="AI31" s="330"/>
      <c r="AJ31" s="324">
        <v>45748</v>
      </c>
      <c r="AK31" s="335"/>
      <c r="AL31" s="335"/>
      <c r="AM31" s="335"/>
      <c r="AN31" s="335"/>
      <c r="AP31" s="148" t="s">
        <v>1352</v>
      </c>
      <c r="AZ31" s="33"/>
    </row>
    <row r="32" spans="2:53" ht="15.75" customHeight="1">
      <c r="B32" s="320">
        <v>45778</v>
      </c>
      <c r="C32" s="321">
        <f>SUM(L32,R32,Y32,AG32)</f>
        <v>20398.949999999997</v>
      </c>
      <c r="D32" s="322">
        <f>SUM(P32,J32,W32,AE32)</f>
        <v>827720</v>
      </c>
      <c r="E32" s="322">
        <f>SUM(I32,O32,V32,AD32)</f>
        <v>1511</v>
      </c>
      <c r="F32" s="323">
        <f t="shared" si="4"/>
        <v>1.8254965447252695E-3</v>
      </c>
      <c r="G32" s="308"/>
      <c r="H32" s="324">
        <v>45778</v>
      </c>
      <c r="I32" s="316">
        <v>303</v>
      </c>
      <c r="J32" s="322">
        <v>5907</v>
      </c>
      <c r="K32" s="325">
        <v>5.1299999999999998E-2</v>
      </c>
      <c r="L32" s="326">
        <v>1226.1199999999999</v>
      </c>
      <c r="M32" s="148" t="s">
        <v>1353</v>
      </c>
      <c r="N32" s="324">
        <v>45778</v>
      </c>
      <c r="O32" s="316">
        <v>360</v>
      </c>
      <c r="P32" s="322">
        <v>608435</v>
      </c>
      <c r="Q32" s="325">
        <v>5.9999999999999995E-4</v>
      </c>
      <c r="R32" s="321">
        <v>6381.88</v>
      </c>
      <c r="S32" s="327">
        <v>1805</v>
      </c>
      <c r="T32" s="328">
        <v>10.54</v>
      </c>
      <c r="U32" s="324">
        <v>45778</v>
      </c>
      <c r="V32" s="316">
        <v>237</v>
      </c>
      <c r="W32" s="322">
        <v>46595</v>
      </c>
      <c r="X32" s="325">
        <v>5.1000000000000004E-3</v>
      </c>
      <c r="Y32" s="321">
        <v>11845.24</v>
      </c>
      <c r="Z32" s="336" t="s">
        <v>1354</v>
      </c>
      <c r="AA32" s="330" t="s">
        <v>1343</v>
      </c>
      <c r="AB32" s="330"/>
      <c r="AC32" s="324">
        <v>45778</v>
      </c>
      <c r="AD32" s="316">
        <v>611</v>
      </c>
      <c r="AE32" s="322">
        <v>166783</v>
      </c>
      <c r="AF32" s="325">
        <v>3.7000000000000002E-3</v>
      </c>
      <c r="AG32" s="321">
        <v>945.71</v>
      </c>
      <c r="AH32" s="336"/>
      <c r="AI32" s="336"/>
      <c r="AJ32" s="324">
        <v>45778</v>
      </c>
      <c r="AK32" s="331"/>
      <c r="AL32" s="331"/>
      <c r="AM32" s="331"/>
      <c r="AN32" s="331"/>
      <c r="AP32" s="148"/>
      <c r="AZ32" s="337" t="s">
        <v>1355</v>
      </c>
    </row>
    <row r="33" spans="2:53" ht="15.75" customHeight="1">
      <c r="B33" s="320">
        <v>45809</v>
      </c>
      <c r="C33" s="321">
        <f>SUM(L33,R33,Y33,AG33)</f>
        <v>14967.103302999998</v>
      </c>
      <c r="D33" s="322">
        <f>SUM(P33,J33,W33,AE33)</f>
        <v>621650</v>
      </c>
      <c r="E33" s="322">
        <f>SUM(I33,O33,V33,AD33)</f>
        <v>1907</v>
      </c>
      <c r="F33" s="323">
        <f t="shared" si="4"/>
        <v>3.0676425641438109E-3</v>
      </c>
      <c r="G33" s="308"/>
      <c r="H33" s="324">
        <v>45809</v>
      </c>
      <c r="I33" s="316">
        <v>412</v>
      </c>
      <c r="J33" s="322">
        <v>9396</v>
      </c>
      <c r="K33" s="325">
        <f>I33/J33</f>
        <v>4.3848446147296723E-2</v>
      </c>
      <c r="L33" s="326">
        <v>1193.69</v>
      </c>
      <c r="M33" s="148" t="s">
        <v>1345</v>
      </c>
      <c r="N33" s="324">
        <v>45809</v>
      </c>
      <c r="O33" s="316">
        <v>228</v>
      </c>
      <c r="P33" s="322">
        <v>444986</v>
      </c>
      <c r="Q33" s="325">
        <v>5.0000000000000001E-4</v>
      </c>
      <c r="R33" s="321">
        <v>4682.7</v>
      </c>
      <c r="S33" s="327">
        <v>1953</v>
      </c>
      <c r="T33" s="328">
        <v>10.54</v>
      </c>
      <c r="U33" s="324">
        <v>45809</v>
      </c>
      <c r="V33" s="316">
        <v>1134</v>
      </c>
      <c r="W33" s="322">
        <v>138847</v>
      </c>
      <c r="X33" s="325">
        <f>V33/W33</f>
        <v>8.1672632465951724E-3</v>
      </c>
      <c r="Y33" s="321">
        <v>8850.39</v>
      </c>
      <c r="Z33" s="330" t="s">
        <v>1339</v>
      </c>
      <c r="AA33" s="330" t="s">
        <v>1343</v>
      </c>
      <c r="AB33" s="330"/>
      <c r="AC33" s="324">
        <v>45809</v>
      </c>
      <c r="AD33" s="316">
        <v>133</v>
      </c>
      <c r="AE33" s="322">
        <v>28421</v>
      </c>
      <c r="AF33" s="325">
        <v>4.6796379999999999E-3</v>
      </c>
      <c r="AG33" s="321">
        <v>240.32330300000001</v>
      </c>
      <c r="AH33" s="336"/>
      <c r="AI33" s="336"/>
      <c r="AJ33" s="324">
        <v>45809</v>
      </c>
      <c r="AK33" s="331"/>
      <c r="AL33" s="331"/>
      <c r="AM33" s="331"/>
      <c r="AN33" s="331"/>
      <c r="AP33" s="338"/>
      <c r="AZ33" s="247" t="s">
        <v>1356</v>
      </c>
    </row>
    <row r="34" spans="2:53" ht="15.75" customHeight="1">
      <c r="B34" s="320">
        <v>45839</v>
      </c>
      <c r="C34" s="321">
        <f t="shared" ref="C34:C40" si="6">SUM(L34,R34,Y34,AG34,AN34)</f>
        <v>13702.02</v>
      </c>
      <c r="D34" s="322">
        <f t="shared" ref="D34:D40" si="7">SUM(P34,J34,W34,AE34,AL34)</f>
        <v>609488</v>
      </c>
      <c r="E34" s="322">
        <f t="shared" ref="E34:E40" si="8">SUM(I34,O34,V34,AD34,AK34)</f>
        <v>3447</v>
      </c>
      <c r="F34" s="323">
        <f t="shared" si="4"/>
        <v>5.6555666395400727E-3</v>
      </c>
      <c r="G34" s="308"/>
      <c r="H34" s="324">
        <v>45839</v>
      </c>
      <c r="I34" s="316">
        <v>625</v>
      </c>
      <c r="J34" s="322">
        <v>13682</v>
      </c>
      <c r="K34" s="325">
        <v>4.5699999999999998E-2</v>
      </c>
      <c r="L34" s="326">
        <v>3280.08</v>
      </c>
      <c r="M34" s="148" t="s">
        <v>1345</v>
      </c>
      <c r="N34" s="324">
        <v>45839</v>
      </c>
      <c r="O34" s="316">
        <v>169</v>
      </c>
      <c r="P34" s="322">
        <v>236803</v>
      </c>
      <c r="Q34" s="325">
        <v>6.9999999999999999E-4</v>
      </c>
      <c r="R34" s="321">
        <v>2639.13</v>
      </c>
      <c r="S34" s="327">
        <v>1981</v>
      </c>
      <c r="T34" s="328">
        <v>11.14</v>
      </c>
      <c r="U34" s="324">
        <v>45839</v>
      </c>
      <c r="V34" s="322">
        <v>1498</v>
      </c>
      <c r="W34" s="322">
        <v>145556</v>
      </c>
      <c r="X34" s="325">
        <f>V34/W34</f>
        <v>1.029157162878892E-2</v>
      </c>
      <c r="Y34" s="321">
        <v>5768.37</v>
      </c>
      <c r="Z34" s="330" t="s">
        <v>1339</v>
      </c>
      <c r="AA34" s="330" t="s">
        <v>1343</v>
      </c>
      <c r="AB34" s="330"/>
      <c r="AC34" s="324">
        <v>45839</v>
      </c>
      <c r="AD34" s="316">
        <v>610</v>
      </c>
      <c r="AE34" s="322">
        <v>149676</v>
      </c>
      <c r="AF34" s="325">
        <v>4.0800000000000003E-3</v>
      </c>
      <c r="AG34" s="321">
        <v>1098.25</v>
      </c>
      <c r="AH34" s="336"/>
      <c r="AI34" s="336"/>
      <c r="AJ34" s="324">
        <v>45839</v>
      </c>
      <c r="AK34" s="322">
        <v>545</v>
      </c>
      <c r="AL34" s="322">
        <v>63771</v>
      </c>
      <c r="AM34" s="325">
        <f t="shared" ref="AM34:AM47" si="9">AK34/AL34</f>
        <v>8.5462043875742886E-3</v>
      </c>
      <c r="AN34" s="339">
        <v>916.19</v>
      </c>
      <c r="AP34" s="338"/>
      <c r="AZ34" s="33"/>
    </row>
    <row r="35" spans="2:53" ht="15.75" customHeight="1">
      <c r="B35" s="320">
        <v>45870</v>
      </c>
      <c r="C35" s="321">
        <f t="shared" si="6"/>
        <v>15211.830000000002</v>
      </c>
      <c r="D35" s="322">
        <f t="shared" si="7"/>
        <v>743971</v>
      </c>
      <c r="E35" s="322">
        <f t="shared" si="8"/>
        <v>7127</v>
      </c>
      <c r="F35" s="323">
        <f t="shared" si="4"/>
        <v>9.5796744765588981E-3</v>
      </c>
      <c r="G35" s="308"/>
      <c r="H35" s="324">
        <v>45870</v>
      </c>
      <c r="I35" s="316">
        <v>861</v>
      </c>
      <c r="J35" s="322">
        <v>17743</v>
      </c>
      <c r="K35" s="325">
        <f>I35/J35</f>
        <v>4.8526179338330609E-2</v>
      </c>
      <c r="L35" s="326">
        <v>2860.18</v>
      </c>
      <c r="M35" s="148"/>
      <c r="N35" s="324">
        <v>45870</v>
      </c>
      <c r="O35" s="316">
        <v>234</v>
      </c>
      <c r="P35" s="322">
        <v>301664</v>
      </c>
      <c r="Q35" s="325">
        <f>O35/P35</f>
        <v>7.7569746472896993E-4</v>
      </c>
      <c r="R35" s="321">
        <v>2700.15</v>
      </c>
      <c r="S35" s="327">
        <v>2212</v>
      </c>
      <c r="T35" s="328">
        <v>8.9499999999999993</v>
      </c>
      <c r="U35" s="324">
        <v>45870</v>
      </c>
      <c r="V35" s="322">
        <v>3769</v>
      </c>
      <c r="W35" s="322">
        <v>264254</v>
      </c>
      <c r="X35" s="325">
        <f>V35/W35</f>
        <v>1.4262792616195024E-2</v>
      </c>
      <c r="Y35" s="321">
        <v>6748.21</v>
      </c>
      <c r="Z35" s="330" t="s">
        <v>1345</v>
      </c>
      <c r="AA35" s="330" t="s">
        <v>1343</v>
      </c>
      <c r="AB35" s="330"/>
      <c r="AC35" s="324">
        <v>45870</v>
      </c>
      <c r="AD35" s="316">
        <v>405</v>
      </c>
      <c r="AE35" s="322">
        <v>73280</v>
      </c>
      <c r="AF35" s="325">
        <f>AD35/AE35</f>
        <v>5.5267467248908296E-3</v>
      </c>
      <c r="AG35" s="321">
        <v>892.66</v>
      </c>
      <c r="AH35" s="336"/>
      <c r="AI35" s="336"/>
      <c r="AJ35" s="324">
        <v>45870</v>
      </c>
      <c r="AK35" s="322">
        <v>1858</v>
      </c>
      <c r="AL35" s="322">
        <v>87030</v>
      </c>
      <c r="AM35" s="325">
        <f t="shared" si="9"/>
        <v>2.1348960128691256E-2</v>
      </c>
      <c r="AN35" s="339">
        <v>2010.63</v>
      </c>
      <c r="AP35" s="338"/>
      <c r="AZ35" s="33"/>
    </row>
    <row r="36" spans="2:53" ht="15.75" customHeight="1">
      <c r="B36" s="320">
        <v>45901</v>
      </c>
      <c r="C36" s="321">
        <f t="shared" si="6"/>
        <v>14287.68</v>
      </c>
      <c r="D36" s="322">
        <f t="shared" si="7"/>
        <v>840953</v>
      </c>
      <c r="E36" s="322">
        <f t="shared" si="8"/>
        <v>8208</v>
      </c>
      <c r="F36" s="323">
        <f t="shared" si="4"/>
        <v>9.7603552160465575E-3</v>
      </c>
      <c r="G36" s="308"/>
      <c r="H36" s="324">
        <v>45901</v>
      </c>
      <c r="I36" s="316">
        <v>919</v>
      </c>
      <c r="J36" s="322">
        <v>19535</v>
      </c>
      <c r="K36" s="325">
        <f>I36/J36</f>
        <v>4.7043767596621447E-2</v>
      </c>
      <c r="L36" s="326">
        <v>1582.33</v>
      </c>
      <c r="M36" s="148"/>
      <c r="N36" s="324">
        <v>45901</v>
      </c>
      <c r="O36" s="322">
        <v>312</v>
      </c>
      <c r="P36" s="322">
        <v>409410</v>
      </c>
      <c r="Q36" s="325">
        <f>O36/P36</f>
        <v>7.6207225031142375E-4</v>
      </c>
      <c r="R36" s="321">
        <v>3272.47</v>
      </c>
      <c r="S36" s="327">
        <v>2385</v>
      </c>
      <c r="T36" s="328">
        <v>7.99</v>
      </c>
      <c r="U36" s="324">
        <v>45901</v>
      </c>
      <c r="V36" s="322">
        <v>3130</v>
      </c>
      <c r="W36" s="322">
        <v>292258</v>
      </c>
      <c r="X36" s="325">
        <v>1.0699999999999999E-2</v>
      </c>
      <c r="Y36" s="321">
        <v>6657.81</v>
      </c>
      <c r="Z36" s="330" t="s">
        <v>1339</v>
      </c>
      <c r="AA36" s="330" t="s">
        <v>1343</v>
      </c>
      <c r="AB36" s="330"/>
      <c r="AC36" s="324">
        <v>45901</v>
      </c>
      <c r="AD36" s="316">
        <v>21</v>
      </c>
      <c r="AE36" s="322">
        <v>2879</v>
      </c>
      <c r="AF36" s="325">
        <f>AD36/AE36</f>
        <v>7.2941993747829108E-3</v>
      </c>
      <c r="AG36" s="321">
        <v>50.85</v>
      </c>
      <c r="AH36" s="336"/>
      <c r="AI36" s="336"/>
      <c r="AJ36" s="324">
        <v>45901</v>
      </c>
      <c r="AK36" s="322">
        <v>3826</v>
      </c>
      <c r="AL36" s="322">
        <v>116871</v>
      </c>
      <c r="AM36" s="325">
        <f t="shared" si="9"/>
        <v>3.2736949285964864E-2</v>
      </c>
      <c r="AN36" s="339">
        <v>2724.22</v>
      </c>
      <c r="AO36" t="s">
        <v>1343</v>
      </c>
      <c r="AP36" s="338"/>
      <c r="AZ36" s="33"/>
    </row>
    <row r="37" spans="2:53" ht="15.75" customHeight="1">
      <c r="B37" s="320">
        <v>45931</v>
      </c>
      <c r="C37" s="321">
        <f t="shared" si="6"/>
        <v>24129.370000000003</v>
      </c>
      <c r="D37" s="322">
        <f t="shared" si="7"/>
        <v>1151744</v>
      </c>
      <c r="E37" s="322">
        <f t="shared" si="8"/>
        <v>6278</v>
      </c>
      <c r="F37" s="323">
        <f t="shared" si="4"/>
        <v>5.4508640809068686E-3</v>
      </c>
      <c r="G37" s="308"/>
      <c r="H37" s="324">
        <v>45931</v>
      </c>
      <c r="I37" s="316">
        <v>1791</v>
      </c>
      <c r="J37" s="322">
        <v>73169</v>
      </c>
      <c r="K37" s="325">
        <f>I37/J37</f>
        <v>2.4477579302710165E-2</v>
      </c>
      <c r="L37" s="326">
        <v>6174.97</v>
      </c>
      <c r="M37" s="148"/>
      <c r="N37" s="324">
        <v>45931</v>
      </c>
      <c r="O37" s="322">
        <v>622</v>
      </c>
      <c r="P37" s="322">
        <v>845758</v>
      </c>
      <c r="Q37" s="325">
        <f>O37/P37</f>
        <v>7.3543495893624419E-4</v>
      </c>
      <c r="R37" s="321">
        <v>7244.43</v>
      </c>
      <c r="S37" s="327">
        <v>2582</v>
      </c>
      <c r="T37" s="328">
        <v>8.57</v>
      </c>
      <c r="U37" s="324">
        <v>45931</v>
      </c>
      <c r="V37" s="322">
        <v>2927</v>
      </c>
      <c r="W37" s="322">
        <v>205784</v>
      </c>
      <c r="X37" s="325">
        <v>1.4200000000000001E-2</v>
      </c>
      <c r="Y37" s="321">
        <v>9410.27</v>
      </c>
      <c r="Z37" s="330" t="s">
        <v>1339</v>
      </c>
      <c r="AA37" s="330" t="s">
        <v>1343</v>
      </c>
      <c r="AB37" s="330"/>
      <c r="AC37" s="324">
        <v>45931</v>
      </c>
      <c r="AD37" s="335"/>
      <c r="AE37" s="335"/>
      <c r="AF37" s="335"/>
      <c r="AG37" s="335"/>
      <c r="AH37" s="336"/>
      <c r="AI37" s="336"/>
      <c r="AJ37" s="324">
        <v>45931</v>
      </c>
      <c r="AK37" s="322">
        <v>938</v>
      </c>
      <c r="AL37" s="322">
        <v>27033</v>
      </c>
      <c r="AM37" s="325">
        <f t="shared" si="9"/>
        <v>3.4698331668701218E-2</v>
      </c>
      <c r="AN37" s="339">
        <v>1299.7</v>
      </c>
      <c r="AO37" t="s">
        <v>1343</v>
      </c>
      <c r="AP37" s="338"/>
      <c r="AZ37" s="33"/>
    </row>
    <row r="38" spans="2:53" ht="15.75" customHeight="1">
      <c r="B38" s="320">
        <v>45962</v>
      </c>
      <c r="C38" s="321">
        <f t="shared" si="6"/>
        <v>33841.019999999997</v>
      </c>
      <c r="D38" s="322">
        <f t="shared" si="7"/>
        <v>1546142</v>
      </c>
      <c r="E38" s="322">
        <f t="shared" si="8"/>
        <v>9367</v>
      </c>
      <c r="F38" s="323">
        <f t="shared" si="4"/>
        <v>6.0583051233327858E-3</v>
      </c>
      <c r="G38" s="308"/>
      <c r="H38" s="324">
        <v>45962</v>
      </c>
      <c r="I38" s="316">
        <v>2593</v>
      </c>
      <c r="J38" s="322">
        <v>56620</v>
      </c>
      <c r="K38" s="325">
        <v>4.58E-2</v>
      </c>
      <c r="L38" s="326">
        <v>8886.9699999999993</v>
      </c>
      <c r="M38" s="148"/>
      <c r="N38" s="324">
        <v>45962</v>
      </c>
      <c r="O38" s="322">
        <v>733</v>
      </c>
      <c r="P38" s="322">
        <v>1086444</v>
      </c>
      <c r="Q38" s="325">
        <v>6.9999999999999999E-4</v>
      </c>
      <c r="R38" s="321">
        <v>9420.77</v>
      </c>
      <c r="S38" s="327">
        <v>2576</v>
      </c>
      <c r="T38" s="328">
        <v>8.67</v>
      </c>
      <c r="U38" s="324">
        <v>45962</v>
      </c>
      <c r="V38" s="322">
        <v>4642</v>
      </c>
      <c r="W38" s="322">
        <v>367052</v>
      </c>
      <c r="X38" s="325">
        <f>V38/W38</f>
        <v>1.2646709458060438E-2</v>
      </c>
      <c r="Y38" s="321">
        <v>13566.52</v>
      </c>
      <c r="Z38" s="330" t="s">
        <v>1354</v>
      </c>
      <c r="AA38" s="330" t="s">
        <v>1357</v>
      </c>
      <c r="AB38" s="330"/>
      <c r="AC38" s="324">
        <v>45962</v>
      </c>
      <c r="AD38" s="335"/>
      <c r="AE38" s="335"/>
      <c r="AF38" s="335"/>
      <c r="AG38" s="335"/>
      <c r="AH38" s="336"/>
      <c r="AI38" s="336"/>
      <c r="AJ38" s="324">
        <v>45962</v>
      </c>
      <c r="AK38" s="322">
        <v>1399</v>
      </c>
      <c r="AL38" s="322">
        <v>36026</v>
      </c>
      <c r="AM38" s="325">
        <f t="shared" si="9"/>
        <v>3.8833065008604895E-2</v>
      </c>
      <c r="AN38" s="339">
        <v>1966.76</v>
      </c>
      <c r="AP38" s="338"/>
      <c r="AZ38" s="33"/>
    </row>
    <row r="39" spans="2:53" ht="15.75" customHeight="1">
      <c r="B39" s="320">
        <v>45992</v>
      </c>
      <c r="C39" s="321">
        <f t="shared" si="6"/>
        <v>54388.649999999994</v>
      </c>
      <c r="D39" s="322">
        <f t="shared" si="7"/>
        <v>2624983</v>
      </c>
      <c r="E39" s="322">
        <f t="shared" si="8"/>
        <v>18364</v>
      </c>
      <c r="F39" s="323">
        <f t="shared" si="4"/>
        <v>6.9958548302979486E-3</v>
      </c>
      <c r="G39" s="308"/>
      <c r="H39" s="324">
        <v>45992</v>
      </c>
      <c r="I39" s="316">
        <v>4669</v>
      </c>
      <c r="J39" s="322">
        <v>505904</v>
      </c>
      <c r="K39" s="325">
        <f>I39/J39</f>
        <v>9.2290236882886876E-3</v>
      </c>
      <c r="L39" s="326">
        <v>14217.45</v>
      </c>
      <c r="M39" s="148"/>
      <c r="N39" s="324">
        <v>45992</v>
      </c>
      <c r="O39" s="322">
        <v>656</v>
      </c>
      <c r="P39" s="322">
        <v>1183380</v>
      </c>
      <c r="Q39" s="325">
        <f>O39/P39</f>
        <v>5.5434433571633799E-4</v>
      </c>
      <c r="R39" s="321">
        <v>9944.1200000000008</v>
      </c>
      <c r="S39" s="327">
        <v>2388</v>
      </c>
      <c r="T39" s="328">
        <v>8.4</v>
      </c>
      <c r="U39" s="324">
        <v>45992</v>
      </c>
      <c r="V39" s="322">
        <v>11718</v>
      </c>
      <c r="W39" s="322">
        <v>890282</v>
      </c>
      <c r="X39" s="325">
        <f>V39/W39</f>
        <v>1.316212166482081E-2</v>
      </c>
      <c r="Y39" s="321">
        <v>28156.41</v>
      </c>
      <c r="Z39" s="330" t="s">
        <v>1358</v>
      </c>
      <c r="AA39" s="330" t="s">
        <v>1359</v>
      </c>
      <c r="AB39" s="340">
        <v>2.3E-3</v>
      </c>
      <c r="AC39" s="324">
        <v>45992</v>
      </c>
      <c r="AD39" s="335"/>
      <c r="AE39" s="335"/>
      <c r="AF39" s="335"/>
      <c r="AG39" s="335"/>
      <c r="AH39" s="336"/>
      <c r="AI39" s="336"/>
      <c r="AJ39" s="324">
        <v>45992</v>
      </c>
      <c r="AK39" s="322">
        <v>1321</v>
      </c>
      <c r="AL39" s="322">
        <v>45417</v>
      </c>
      <c r="AM39" s="325">
        <f t="shared" si="9"/>
        <v>2.9086025056696833E-2</v>
      </c>
      <c r="AN39" s="339">
        <v>2070.67</v>
      </c>
      <c r="AP39" s="338"/>
      <c r="AZ39" s="33"/>
    </row>
    <row r="40" spans="2:53" ht="15.75" customHeight="1">
      <c r="B40" s="324">
        <v>46023</v>
      </c>
      <c r="C40" s="321">
        <f t="shared" si="6"/>
        <v>33454.83</v>
      </c>
      <c r="D40" s="322">
        <f t="shared" si="7"/>
        <v>2301702</v>
      </c>
      <c r="E40" s="322">
        <f t="shared" si="8"/>
        <v>9534</v>
      </c>
      <c r="F40" s="323">
        <f t="shared" si="4"/>
        <v>4.1421521986773268E-3</v>
      </c>
      <c r="G40" s="308"/>
      <c r="H40" s="324">
        <v>46023</v>
      </c>
      <c r="I40" s="316">
        <v>1696</v>
      </c>
      <c r="J40" s="322">
        <v>249239</v>
      </c>
      <c r="K40" s="325">
        <f>I40/J40</f>
        <v>6.8047135480402343E-3</v>
      </c>
      <c r="L40" s="326">
        <v>8499.34</v>
      </c>
      <c r="M40" s="148"/>
      <c r="N40" s="324">
        <v>46023</v>
      </c>
      <c r="O40" s="322">
        <v>820</v>
      </c>
      <c r="P40" s="322">
        <v>1437045</v>
      </c>
      <c r="Q40" s="325">
        <f>O40/P40</f>
        <v>5.7061539478582785E-4</v>
      </c>
      <c r="R40" s="321">
        <v>10384.92</v>
      </c>
      <c r="S40" s="327">
        <v>3178</v>
      </c>
      <c r="T40" s="328">
        <v>7.23</v>
      </c>
      <c r="U40" s="324">
        <v>46023</v>
      </c>
      <c r="V40" s="322">
        <v>6073</v>
      </c>
      <c r="W40" s="322">
        <v>557154</v>
      </c>
      <c r="X40" s="325">
        <f>V40/W40</f>
        <v>1.090003840948822E-2</v>
      </c>
      <c r="Y40" s="321">
        <v>11772.91</v>
      </c>
      <c r="Z40" s="330" t="s">
        <v>1360</v>
      </c>
      <c r="AA40" s="330" t="s">
        <v>1343</v>
      </c>
      <c r="AB40" s="340"/>
      <c r="AC40" s="324">
        <v>46023</v>
      </c>
      <c r="AD40" s="335"/>
      <c r="AE40" s="335"/>
      <c r="AF40" s="335"/>
      <c r="AG40" s="335"/>
      <c r="AH40" s="336"/>
      <c r="AI40" s="336"/>
      <c r="AJ40" s="324">
        <v>46023</v>
      </c>
      <c r="AK40" s="322">
        <v>945</v>
      </c>
      <c r="AL40" s="322">
        <v>58264</v>
      </c>
      <c r="AM40" s="325">
        <f t="shared" si="9"/>
        <v>1.6219277770149663E-2</v>
      </c>
      <c r="AN40" s="339">
        <v>2797.66</v>
      </c>
      <c r="AP40" s="338"/>
      <c r="AZ40" s="33"/>
    </row>
    <row r="41" spans="2:53" ht="15.75" customHeight="1">
      <c r="B41" s="324">
        <v>46054</v>
      </c>
      <c r="C41" s="321">
        <f>SUM(L41,R41,Y41,AG41,AN41)</f>
        <v>29363.53</v>
      </c>
      <c r="D41" s="322">
        <f>SUM(P41,J41,W41,AE41,AL41)</f>
        <v>1801654</v>
      </c>
      <c r="E41" s="322">
        <f>SUM(I41,O41,V41,AD41,AK41)</f>
        <v>9740</v>
      </c>
      <c r="F41" s="323">
        <f>E41/D41</f>
        <v>5.406143465948512E-3</v>
      </c>
      <c r="G41" s="308"/>
      <c r="H41" s="324">
        <v>46054</v>
      </c>
      <c r="I41" s="316">
        <v>1409</v>
      </c>
      <c r="J41" s="322">
        <v>62914</v>
      </c>
      <c r="K41" s="325">
        <f>I41/J41</f>
        <v>2.2395651206408747E-2</v>
      </c>
      <c r="L41" s="326">
        <v>6762.26</v>
      </c>
      <c r="M41" s="148"/>
      <c r="N41" s="324">
        <v>46054</v>
      </c>
      <c r="O41" s="322">
        <v>542</v>
      </c>
      <c r="P41" s="322">
        <v>1026438</v>
      </c>
      <c r="Q41" s="325">
        <f>O41/P41</f>
        <v>5.2803968676140209E-4</v>
      </c>
      <c r="R41" s="321">
        <v>8489.4699999999993</v>
      </c>
      <c r="S41" s="327">
        <v>3287</v>
      </c>
      <c r="T41" s="328">
        <v>8.27</v>
      </c>
      <c r="U41" s="324">
        <v>46054</v>
      </c>
      <c r="V41" s="322">
        <v>6607</v>
      </c>
      <c r="W41" s="322">
        <v>676188</v>
      </c>
      <c r="X41" s="325">
        <f>V41/W41</f>
        <v>9.7709512739060731E-3</v>
      </c>
      <c r="Y41" s="321">
        <v>12286.86</v>
      </c>
      <c r="Z41" s="330" t="s">
        <v>1338</v>
      </c>
      <c r="AA41" s="330" t="s">
        <v>1357</v>
      </c>
      <c r="AB41" s="340"/>
      <c r="AC41" s="324">
        <v>46054</v>
      </c>
      <c r="AD41" s="335"/>
      <c r="AE41" s="335"/>
      <c r="AF41" s="335"/>
      <c r="AG41" s="335"/>
      <c r="AH41" s="336"/>
      <c r="AI41" s="336"/>
      <c r="AJ41" s="324">
        <v>46054</v>
      </c>
      <c r="AK41" s="322">
        <v>1182</v>
      </c>
      <c r="AL41" s="322">
        <v>36114</v>
      </c>
      <c r="AM41" s="325">
        <f>AK41/AL41</f>
        <v>3.2729689317162317E-2</v>
      </c>
      <c r="AN41" s="339">
        <v>1824.94</v>
      </c>
      <c r="AP41" s="338"/>
      <c r="AZ41" s="33"/>
    </row>
    <row r="42" spans="2:53" ht="15.75" customHeight="1">
      <c r="B42" s="324">
        <v>46082</v>
      </c>
      <c r="C42" s="321">
        <v>31298.720000000001</v>
      </c>
      <c r="D42" s="322">
        <v>1757377</v>
      </c>
      <c r="E42" s="322">
        <v>13081</v>
      </c>
      <c r="F42" s="325">
        <v>7.4000000000000003E-3</v>
      </c>
      <c r="G42" s="308"/>
      <c r="H42" s="324">
        <v>46082</v>
      </c>
      <c r="I42" s="316">
        <v>1922</v>
      </c>
      <c r="J42" s="322">
        <v>97187</v>
      </c>
      <c r="K42" s="325">
        <v>1.9800000000000002E-2</v>
      </c>
      <c r="L42" s="326">
        <v>7551.61</v>
      </c>
      <c r="M42" s="148"/>
      <c r="N42" s="458">
        <v>46107</v>
      </c>
      <c r="O42" s="316">
        <v>468</v>
      </c>
      <c r="P42" s="322">
        <v>962617</v>
      </c>
      <c r="Q42" s="325">
        <v>5.0000000000000001E-4</v>
      </c>
      <c r="R42" s="321">
        <v>8134.09</v>
      </c>
      <c r="S42" s="327">
        <v>2660</v>
      </c>
      <c r="T42" s="459">
        <v>8.4499999999999993</v>
      </c>
      <c r="U42" s="324">
        <v>46082</v>
      </c>
      <c r="V42" s="322">
        <v>9260</v>
      </c>
      <c r="W42" s="322">
        <v>648937</v>
      </c>
      <c r="X42" s="325">
        <v>1.43E-2</v>
      </c>
      <c r="Y42" s="321">
        <v>13803.93</v>
      </c>
      <c r="Z42" s="336" t="s">
        <v>1361</v>
      </c>
      <c r="AA42" s="336" t="s">
        <v>1340</v>
      </c>
      <c r="AB42" s="336"/>
      <c r="AC42" s="324">
        <v>46082</v>
      </c>
      <c r="AD42" s="335"/>
      <c r="AE42" s="335"/>
      <c r="AF42" s="335"/>
      <c r="AG42" s="335"/>
      <c r="AH42" s="336"/>
      <c r="AI42" s="336"/>
      <c r="AJ42" s="324">
        <v>46082</v>
      </c>
      <c r="AK42" s="322">
        <v>1431</v>
      </c>
      <c r="AL42" s="322">
        <v>48636</v>
      </c>
      <c r="AM42" s="325">
        <v>2.9399999999999999E-2</v>
      </c>
      <c r="AN42" s="321">
        <v>1809.09</v>
      </c>
      <c r="AP42" s="338"/>
      <c r="AZ42" s="33"/>
    </row>
    <row r="43" spans="2:53" ht="15.75">
      <c r="B43" s="324">
        <v>46113</v>
      </c>
      <c r="C43" s="321">
        <f>SUM(L43,R43,Y43,AG43,AN43)</f>
        <v>30962.790000000005</v>
      </c>
      <c r="D43" s="322">
        <f>SUM(P43,J43,W43,AE43,AL43)</f>
        <v>1577060</v>
      </c>
      <c r="E43" s="322">
        <f>SUM(I43,O43,V43,AD43,AK43)</f>
        <v>11636</v>
      </c>
      <c r="F43" s="323">
        <f t="shared" ref="F43" si="10">E43/D43</f>
        <v>7.3782861780781958E-3</v>
      </c>
      <c r="G43" s="308"/>
      <c r="H43" s="324">
        <v>46113</v>
      </c>
      <c r="I43" s="316">
        <v>1967</v>
      </c>
      <c r="J43" s="322">
        <v>42481</v>
      </c>
      <c r="K43" s="325">
        <f t="shared" ref="K43" si="11">I43/J43</f>
        <v>4.6303053129634425E-2</v>
      </c>
      <c r="L43" s="326">
        <v>8084.47</v>
      </c>
      <c r="M43" s="148"/>
      <c r="N43" s="324">
        <v>46113</v>
      </c>
      <c r="O43" s="322">
        <v>520</v>
      </c>
      <c r="P43" s="322">
        <v>1002078</v>
      </c>
      <c r="Q43" s="325">
        <f t="shared" ref="Q43" si="12">O43/P43</f>
        <v>5.1892168074740689E-4</v>
      </c>
      <c r="R43" s="321">
        <v>7753.34</v>
      </c>
      <c r="S43" s="327">
        <v>2796</v>
      </c>
      <c r="T43" s="328">
        <v>7.93</v>
      </c>
      <c r="U43" s="324">
        <v>46113</v>
      </c>
      <c r="V43" s="322">
        <v>8369</v>
      </c>
      <c r="W43" s="322">
        <v>485484</v>
      </c>
      <c r="X43" s="325">
        <f t="shared" ref="X43" si="13">V43/W43</f>
        <v>1.7238467179144935E-2</v>
      </c>
      <c r="Y43" s="321">
        <v>14027.67</v>
      </c>
      <c r="Z43" s="330"/>
      <c r="AA43" s="330"/>
      <c r="AB43" s="340"/>
      <c r="AC43" s="324">
        <v>46113</v>
      </c>
      <c r="AD43" s="335"/>
      <c r="AE43" s="335"/>
      <c r="AF43" s="335"/>
      <c r="AG43" s="335"/>
      <c r="AH43" s="336"/>
      <c r="AI43" s="336"/>
      <c r="AJ43" s="324">
        <v>46113</v>
      </c>
      <c r="AK43" s="322">
        <v>780</v>
      </c>
      <c r="AL43" s="322">
        <v>47017</v>
      </c>
      <c r="AM43" s="325">
        <f>AK43/AL43</f>
        <v>1.658974413510007E-2</v>
      </c>
      <c r="AN43" s="339">
        <v>1097.31</v>
      </c>
      <c r="AP43" s="338"/>
      <c r="AZ43" s="33"/>
    </row>
    <row r="44" spans="2:53" ht="15.75">
      <c r="B44" s="324">
        <v>46143</v>
      </c>
      <c r="C44" s="321">
        <v>31329.1</v>
      </c>
      <c r="D44" s="322">
        <v>1506053</v>
      </c>
      <c r="E44" s="322">
        <v>12190</v>
      </c>
      <c r="F44" s="325">
        <v>8.0999999999999996E-3</v>
      </c>
      <c r="G44" s="316"/>
      <c r="H44" s="324">
        <v>46143</v>
      </c>
      <c r="I44" s="316">
        <v>1267</v>
      </c>
      <c r="J44" s="322">
        <v>54225</v>
      </c>
      <c r="K44" s="325">
        <v>2.3400000000000001E-2</v>
      </c>
      <c r="L44" s="321">
        <v>8541.81</v>
      </c>
      <c r="M44" s="148"/>
      <c r="N44" s="324">
        <v>46143</v>
      </c>
      <c r="O44" s="316">
        <v>530</v>
      </c>
      <c r="P44" s="322">
        <v>1039413</v>
      </c>
      <c r="Q44" s="325">
        <v>5.0000000000000001E-4</v>
      </c>
      <c r="R44" s="321">
        <v>7776.77</v>
      </c>
      <c r="S44" s="327">
        <v>2826</v>
      </c>
      <c r="T44" s="148"/>
      <c r="U44" s="324">
        <v>46143</v>
      </c>
      <c r="V44" s="322">
        <v>9622</v>
      </c>
      <c r="W44" s="566">
        <v>382964</v>
      </c>
      <c r="X44" s="325">
        <v>2.5100000000000001E-2</v>
      </c>
      <c r="Y44" s="321">
        <v>13245.49</v>
      </c>
      <c r="Z44" s="336" t="s">
        <v>1339</v>
      </c>
      <c r="AA44" s="336" t="s">
        <v>1362</v>
      </c>
      <c r="AB44" s="336"/>
      <c r="AC44" s="324">
        <v>46143</v>
      </c>
      <c r="AD44" s="335"/>
      <c r="AE44" s="335"/>
      <c r="AF44" s="335"/>
      <c r="AG44" s="335"/>
      <c r="AH44" s="336"/>
      <c r="AI44" s="336"/>
      <c r="AJ44" s="324">
        <v>46143</v>
      </c>
      <c r="AK44" s="316">
        <v>771</v>
      </c>
      <c r="AL44" s="322">
        <v>29451</v>
      </c>
      <c r="AM44" s="325">
        <v>2.6200000000000001E-2</v>
      </c>
      <c r="AN44" s="321">
        <v>1765.03</v>
      </c>
      <c r="AO44" s="148" t="s">
        <v>1363</v>
      </c>
      <c r="AP44" s="338"/>
      <c r="AZ44" s="33"/>
    </row>
    <row r="45" spans="2:53" ht="15.75">
      <c r="B45" s="324">
        <v>46174</v>
      </c>
      <c r="C45" s="321">
        <v>31769.46</v>
      </c>
      <c r="D45" s="322">
        <v>1354314</v>
      </c>
      <c r="E45" s="322">
        <v>12982</v>
      </c>
      <c r="F45" s="325">
        <v>9.5999999999999992E-3</v>
      </c>
      <c r="G45" s="316"/>
      <c r="H45" s="324">
        <v>46174</v>
      </c>
      <c r="I45" s="322">
        <v>1686</v>
      </c>
      <c r="J45" s="322">
        <v>59755</v>
      </c>
      <c r="K45" s="325">
        <v>2.8199999999999999E-2</v>
      </c>
      <c r="L45" s="321">
        <v>8550.7099999999991</v>
      </c>
      <c r="M45" s="148"/>
      <c r="N45" s="324">
        <v>46174</v>
      </c>
      <c r="O45" s="316">
        <v>407</v>
      </c>
      <c r="P45" s="322">
        <v>948075</v>
      </c>
      <c r="Q45" s="325">
        <v>4.0000000000000002E-4</v>
      </c>
      <c r="R45" s="321">
        <v>7849.59</v>
      </c>
      <c r="S45" s="327">
        <v>3099</v>
      </c>
      <c r="T45" s="459">
        <v>8.2799999999999994</v>
      </c>
      <c r="U45" s="324">
        <v>46174</v>
      </c>
      <c r="V45" s="322">
        <v>10125</v>
      </c>
      <c r="W45" s="566">
        <v>325937</v>
      </c>
      <c r="X45" s="325">
        <v>3.1099999999999999E-2</v>
      </c>
      <c r="Y45" s="321">
        <v>13553.12</v>
      </c>
      <c r="Z45" s="336" t="s">
        <v>1339</v>
      </c>
      <c r="AA45" s="336" t="s">
        <v>1343</v>
      </c>
      <c r="AB45" s="336"/>
      <c r="AC45" s="324">
        <v>46174</v>
      </c>
      <c r="AD45" s="335"/>
      <c r="AE45" s="335"/>
      <c r="AF45" s="335"/>
      <c r="AG45" s="335"/>
      <c r="AH45" s="336"/>
      <c r="AI45" s="336"/>
      <c r="AJ45" s="324">
        <v>46174</v>
      </c>
      <c r="AK45" s="316">
        <v>764</v>
      </c>
      <c r="AL45" s="322">
        <v>20547</v>
      </c>
      <c r="AM45" s="325">
        <v>3.7199999999999997E-2</v>
      </c>
      <c r="AN45" s="321">
        <v>1816.04</v>
      </c>
      <c r="AO45" s="148" t="s">
        <v>1357</v>
      </c>
      <c r="AP45" s="338"/>
      <c r="AQ45" s="585">
        <v>46190</v>
      </c>
      <c r="AZ45" s="33"/>
    </row>
    <row r="46" spans="2:53" ht="15.75">
      <c r="B46" s="324">
        <v>46204</v>
      </c>
      <c r="C46" s="321">
        <v>34395.589999999997</v>
      </c>
      <c r="D46" s="322">
        <v>2234994</v>
      </c>
      <c r="E46" s="322">
        <v>20500</v>
      </c>
      <c r="F46" s="325">
        <v>9.1999999999999998E-3</v>
      </c>
      <c r="G46" s="316"/>
      <c r="H46" s="324">
        <v>46204</v>
      </c>
      <c r="I46" s="322">
        <v>1153</v>
      </c>
      <c r="J46" s="322">
        <v>48171</v>
      </c>
      <c r="K46" s="325">
        <f>I46/J46</f>
        <v>2.3935562890535798E-2</v>
      </c>
      <c r="L46" s="321">
        <v>7874.09</v>
      </c>
      <c r="M46" s="148"/>
      <c r="N46" s="324">
        <v>46204</v>
      </c>
      <c r="O46" s="316">
        <v>535</v>
      </c>
      <c r="P46" s="322">
        <v>1007310</v>
      </c>
      <c r="Q46" s="325">
        <f>O46/P46</f>
        <v>5.3111753084949024E-4</v>
      </c>
      <c r="R46" s="321">
        <v>8008.94</v>
      </c>
      <c r="S46" s="327">
        <v>3331</v>
      </c>
      <c r="T46" s="459">
        <v>7.95</v>
      </c>
      <c r="U46" s="324">
        <v>46204</v>
      </c>
      <c r="V46" s="322">
        <v>15452</v>
      </c>
      <c r="W46" s="566">
        <v>372286</v>
      </c>
      <c r="X46" s="325">
        <f>V46/W46</f>
        <v>4.1505724093841831E-2</v>
      </c>
      <c r="Y46" s="607" t="s">
        <v>1364</v>
      </c>
      <c r="Z46" s="336" t="s">
        <v>1339</v>
      </c>
      <c r="AA46" s="336" t="s">
        <v>1363</v>
      </c>
      <c r="AB46" s="336"/>
      <c r="AC46" s="324">
        <v>46204</v>
      </c>
      <c r="AD46" s="335"/>
      <c r="AE46" s="335"/>
      <c r="AF46" s="335"/>
      <c r="AG46" s="335"/>
      <c r="AH46" s="336"/>
      <c r="AI46" s="336"/>
      <c r="AJ46" s="324">
        <v>46204</v>
      </c>
      <c r="AK46" s="322">
        <v>3360</v>
      </c>
      <c r="AL46" s="322">
        <v>807227</v>
      </c>
      <c r="AM46" s="325">
        <v>1.7000000000000001E-2</v>
      </c>
      <c r="AN46" s="321">
        <v>3527.56</v>
      </c>
      <c r="AO46" s="148"/>
      <c r="AP46" s="338"/>
      <c r="AQ46" s="585"/>
      <c r="AZ46" s="33"/>
    </row>
    <row r="47" spans="2:53" s="314" customFormat="1" ht="15.75" customHeight="1">
      <c r="B47" s="317"/>
      <c r="C47" s="341">
        <f>SUM(C26:C46)</f>
        <v>503601.12330299988</v>
      </c>
      <c r="D47" s="342">
        <f>SUM(D26:D46)</f>
        <v>28146308</v>
      </c>
      <c r="E47" s="342">
        <f>SUM(E26:E46)</f>
        <v>168731</v>
      </c>
      <c r="F47" s="343">
        <f t="shared" si="4"/>
        <v>5.9947826905042039E-3</v>
      </c>
      <c r="G47" s="308"/>
      <c r="H47" s="344" t="s">
        <v>1365</v>
      </c>
      <c r="I47" s="342">
        <f>SUM(I26:I46)</f>
        <v>29177</v>
      </c>
      <c r="J47" s="342">
        <f>SUM(J26:J46)</f>
        <v>1628655</v>
      </c>
      <c r="K47" s="345">
        <f>I47/J47</f>
        <v>1.7914782443181645E-2</v>
      </c>
      <c r="L47" s="346">
        <f>SUM(L26:L46)</f>
        <v>108642.38999999998</v>
      </c>
      <c r="M47" s="347"/>
      <c r="N47" s="348" t="s">
        <v>1365</v>
      </c>
      <c r="O47" s="349">
        <f>SUM(O26:O46)</f>
        <v>9083</v>
      </c>
      <c r="P47" s="350">
        <f>SUM(P26:P46)</f>
        <v>16301722</v>
      </c>
      <c r="Q47" s="351">
        <f>O47/P47</f>
        <v>5.5718040094169196E-4</v>
      </c>
      <c r="R47" s="352">
        <f>SUM(R26:R46)</f>
        <v>143420.76999999999</v>
      </c>
      <c r="S47" s="353"/>
      <c r="U47" s="348" t="s">
        <v>1365</v>
      </c>
      <c r="V47" s="350">
        <f>SUM(V26:V46)</f>
        <v>109571</v>
      </c>
      <c r="W47" s="350">
        <f>SUM(W26:W46)</f>
        <v>8371488</v>
      </c>
      <c r="X47" s="351">
        <f>V47/W47</f>
        <v>1.308859309121628E-2</v>
      </c>
      <c r="Y47" s="352">
        <f>SUM(Y26:Y46)</f>
        <v>207699.37000000002</v>
      </c>
      <c r="Z47" s="347"/>
      <c r="AA47" s="347"/>
      <c r="AB47" s="347"/>
      <c r="AC47" s="344" t="s">
        <v>1365</v>
      </c>
      <c r="AD47" s="311">
        <f>SUM(AD32:AD37)</f>
        <v>1780</v>
      </c>
      <c r="AE47" s="342">
        <f>SUM(AE32:AE37)</f>
        <v>421039</v>
      </c>
      <c r="AF47" s="354">
        <f>AD47/AE47</f>
        <v>4.2276368697436581E-3</v>
      </c>
      <c r="AG47" s="341">
        <f>SUM(AG32:AG37)</f>
        <v>3227.7933029999999</v>
      </c>
      <c r="AH47" s="347"/>
      <c r="AI47" s="347"/>
      <c r="AJ47" s="344" t="s">
        <v>1365</v>
      </c>
      <c r="AK47" s="342">
        <f>SUM(AK34:AK44)</f>
        <v>14996</v>
      </c>
      <c r="AL47" s="342">
        <f>SUM(AL34:AL44)</f>
        <v>595630</v>
      </c>
      <c r="AM47" s="354">
        <f t="shared" si="9"/>
        <v>2.5176703658311369E-2</v>
      </c>
      <c r="AN47" s="341">
        <f>SUM(AN34:AN44)</f>
        <v>20282.2</v>
      </c>
      <c r="AP47" s="338"/>
      <c r="AZ47" s="274" t="s">
        <v>1366</v>
      </c>
      <c r="BA47" s="274"/>
    </row>
    <row r="48" spans="2:53" ht="15.75" customHeight="1">
      <c r="B48" s="355"/>
      <c r="C48" s="308"/>
      <c r="D48" s="308"/>
      <c r="E48" s="308"/>
      <c r="F48" s="308"/>
      <c r="G48" s="308"/>
      <c r="H48" s="344"/>
      <c r="I48" s="342"/>
      <c r="J48" s="342"/>
      <c r="K48" s="356"/>
      <c r="L48" s="346"/>
      <c r="N48" s="249"/>
      <c r="O48" s="357"/>
      <c r="P48" s="358"/>
      <c r="Q48" s="359"/>
      <c r="T48" s="360"/>
      <c r="U48" s="357"/>
      <c r="V48" s="357"/>
      <c r="W48" s="358"/>
      <c r="X48" s="359"/>
      <c r="AA48" s="361"/>
      <c r="AB48" s="361"/>
      <c r="AC48" s="332"/>
      <c r="AD48" s="362"/>
      <c r="AE48" s="363"/>
      <c r="AF48" s="364"/>
      <c r="AY48" s="33" t="s">
        <v>1367</v>
      </c>
    </row>
    <row r="49" spans="2:32" ht="15.75" customHeight="1">
      <c r="B49" s="355"/>
      <c r="C49" s="308"/>
      <c r="D49" s="308"/>
      <c r="E49" s="308"/>
      <c r="F49" s="308"/>
      <c r="G49" s="308"/>
      <c r="H49" s="344"/>
      <c r="I49" s="342"/>
      <c r="J49" s="342"/>
      <c r="K49" s="356"/>
      <c r="L49" s="346"/>
      <c r="N49" s="249"/>
      <c r="O49" s="357"/>
      <c r="P49" s="358"/>
      <c r="Q49" s="359"/>
      <c r="T49" s="360"/>
      <c r="U49" s="357"/>
      <c r="V49" s="357"/>
      <c r="W49" s="358"/>
      <c r="X49" s="359"/>
      <c r="AA49" s="361"/>
      <c r="AB49" s="361"/>
      <c r="AC49" s="332"/>
      <c r="AD49" s="362"/>
      <c r="AE49" s="363"/>
      <c r="AF49" s="364"/>
    </row>
    <row r="50" spans="2:32" ht="15.75" customHeight="1">
      <c r="E50" s="365"/>
      <c r="J50" s="316"/>
      <c r="K50" s="366"/>
      <c r="L50" s="366"/>
      <c r="M50" s="316"/>
    </row>
    <row r="51" spans="2:32" ht="15.75" customHeight="1">
      <c r="G51" s="359"/>
      <c r="I51" s="390"/>
      <c r="J51" s="391"/>
      <c r="K51" s="346"/>
      <c r="L51" s="346"/>
      <c r="M51" s="322"/>
    </row>
    <row r="52" spans="2:32">
      <c r="I52" s="114"/>
      <c r="J52" s="392"/>
    </row>
    <row r="54" spans="2:32" ht="15.75" customHeight="1">
      <c r="B54" s="370"/>
      <c r="C54" s="370"/>
      <c r="F54" s="394"/>
      <c r="G54" s="395"/>
      <c r="H54" s="33"/>
      <c r="I54" s="370"/>
    </row>
    <row r="55" spans="2:32" ht="15.75" customHeight="1">
      <c r="B55" s="370"/>
      <c r="C55" s="370"/>
      <c r="G55" s="397"/>
      <c r="H55" s="398"/>
      <c r="I55" s="370"/>
    </row>
    <row r="56" spans="2:32">
      <c r="G56" s="359"/>
    </row>
    <row r="57" spans="2:32" ht="15.75" customHeight="1">
      <c r="B57" s="370"/>
      <c r="E57" s="250"/>
    </row>
    <row r="58" spans="2:32">
      <c r="E58" s="250"/>
    </row>
    <row r="59" spans="2:32" ht="15.75" customHeight="1">
      <c r="B59" s="320"/>
      <c r="C59" s="328"/>
      <c r="E59" s="250"/>
    </row>
    <row r="60" spans="2:32" ht="15.75" customHeight="1">
      <c r="B60" s="320"/>
      <c r="C60" s="328"/>
      <c r="E60" s="250"/>
    </row>
    <row r="61" spans="2:32" ht="15.75" customHeight="1">
      <c r="B61" s="320"/>
      <c r="C61" s="328"/>
      <c r="E61" s="250"/>
    </row>
    <row r="62" spans="2:32" ht="15.75" customHeight="1">
      <c r="B62" s="320"/>
      <c r="C62" s="328"/>
      <c r="E62" s="250"/>
    </row>
    <row r="63" spans="2:32" ht="15.75" customHeight="1">
      <c r="B63" s="320"/>
      <c r="C63" s="328"/>
      <c r="E63" s="250"/>
    </row>
    <row r="64" spans="2:32" ht="15.75" customHeight="1">
      <c r="B64" s="320"/>
      <c r="C64" s="328"/>
      <c r="E64" s="250"/>
    </row>
    <row r="65" spans="2:5" ht="15.75" customHeight="1">
      <c r="B65" s="320"/>
      <c r="C65" s="328"/>
      <c r="E65" s="250"/>
    </row>
    <row r="66" spans="2:5" ht="15.75" customHeight="1">
      <c r="B66" s="320"/>
      <c r="C66" s="328"/>
      <c r="E66" s="250"/>
    </row>
    <row r="67" spans="2:5" ht="15.75" customHeight="1">
      <c r="B67" s="320"/>
      <c r="C67" s="328"/>
      <c r="E67" s="250"/>
    </row>
    <row r="68" spans="2:5" ht="15.75" customHeight="1">
      <c r="B68" s="320"/>
      <c r="C68" s="328"/>
      <c r="E68" s="250"/>
    </row>
    <row r="69" spans="2:5" ht="15.75" customHeight="1">
      <c r="B69" s="320"/>
      <c r="C69" s="328"/>
      <c r="E69" s="250"/>
    </row>
    <row r="70" spans="2:5" ht="15.75" customHeight="1">
      <c r="B70" s="320"/>
      <c r="C70" s="328"/>
      <c r="E70" s="250"/>
    </row>
    <row r="71" spans="2:5" ht="15.75" customHeight="1">
      <c r="B71" s="324"/>
      <c r="C71" s="328"/>
      <c r="E71" s="250"/>
    </row>
    <row r="72" spans="2:5">
      <c r="E72" s="250"/>
    </row>
    <row r="73" spans="2:5">
      <c r="E73" s="250"/>
    </row>
    <row r="74" spans="2:5">
      <c r="E74" s="250"/>
    </row>
    <row r="75" spans="2:5">
      <c r="E75" s="250"/>
    </row>
    <row r="76" spans="2:5">
      <c r="E76" s="250"/>
    </row>
    <row r="77" spans="2:5">
      <c r="E77" s="250"/>
    </row>
    <row r="78" spans="2:5">
      <c r="E78" s="250"/>
    </row>
    <row r="79" spans="2:5">
      <c r="E79" s="250"/>
    </row>
    <row r="80" spans="2:5">
      <c r="E80" s="250"/>
    </row>
    <row r="81" spans="5:5">
      <c r="E81" s="250"/>
    </row>
    <row r="82" spans="5:5">
      <c r="E82" s="250"/>
    </row>
    <row r="83" spans="5:5">
      <c r="E83" s="250"/>
    </row>
    <row r="84" spans="5:5">
      <c r="E84" s="250"/>
    </row>
    <row r="85" spans="5:5">
      <c r="E85" s="250"/>
    </row>
    <row r="86" spans="5:5">
      <c r="E86" s="250"/>
    </row>
    <row r="87" spans="5:5">
      <c r="E87" s="250"/>
    </row>
    <row r="88" spans="5:5">
      <c r="E88" s="250"/>
    </row>
    <row r="89" spans="5:5">
      <c r="E89" s="250"/>
    </row>
  </sheetData>
  <hyperlinks>
    <hyperlink ref="AZ26" r:id="rId1" xr:uid="{00000000-0004-0000-0700-000000000000}"/>
    <hyperlink ref="AZ30" r:id="rId2" xr:uid="{00000000-0004-0000-0700-000001000000}"/>
    <hyperlink ref="AZ33" r:id="rId3" xr:uid="{00000000-0004-0000-0700-000002000000}"/>
    <hyperlink ref="AY48" r:id="rId4" xr:uid="{00000000-0004-0000-0700-000003000000}"/>
  </hyperlinks>
  <pageMargins left="0.7" right="0.7" top="0.75" bottom="0.75" header="0.3" footer="0.3"/>
  <legacy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60"/>
  <sheetViews>
    <sheetView topLeftCell="A37" workbookViewId="0"/>
  </sheetViews>
  <sheetFormatPr defaultColWidth="8.7109375" defaultRowHeight="15"/>
  <cols>
    <col min="1" max="1" width="35.42578125" bestFit="1" customWidth="1"/>
    <col min="2" max="2" width="11.7109375" style="535" bestFit="1" customWidth="1"/>
    <col min="3" max="3" width="11.42578125" style="250" bestFit="1" customWidth="1"/>
    <col min="4" max="4" width="6" bestFit="1" customWidth="1"/>
    <col min="5" max="5" width="6" customWidth="1"/>
    <col min="6" max="6" width="5.7109375" bestFit="1" customWidth="1"/>
    <col min="7" max="7" width="11.7109375" style="422" bestFit="1" customWidth="1"/>
  </cols>
  <sheetData>
    <row r="1" spans="1:7" ht="30" customHeight="1">
      <c r="A1" s="399" t="s">
        <v>1368</v>
      </c>
      <c r="B1" s="527" t="s">
        <v>149</v>
      </c>
      <c r="C1" s="568" t="s">
        <v>5</v>
      </c>
      <c r="D1" s="400" t="s">
        <v>1369</v>
      </c>
      <c r="E1" s="400" t="s">
        <v>7</v>
      </c>
      <c r="F1" s="401" t="s">
        <v>1370</v>
      </c>
      <c r="G1" s="443" t="s">
        <v>1371</v>
      </c>
    </row>
    <row r="2" spans="1:7">
      <c r="A2" s="402" t="s">
        <v>1372</v>
      </c>
      <c r="B2" s="528" t="s">
        <v>1373</v>
      </c>
      <c r="C2" s="569">
        <v>6561</v>
      </c>
      <c r="D2" s="403">
        <v>7</v>
      </c>
      <c r="E2" s="403"/>
      <c r="F2" s="271">
        <v>0</v>
      </c>
      <c r="G2" s="563">
        <v>45601</v>
      </c>
    </row>
    <row r="3" spans="1:7">
      <c r="A3" s="236" t="s">
        <v>1374</v>
      </c>
      <c r="B3" s="529" t="s">
        <v>1375</v>
      </c>
      <c r="C3" s="570">
        <v>8500</v>
      </c>
      <c r="D3" s="404">
        <v>2</v>
      </c>
      <c r="E3" s="404"/>
      <c r="F3" s="271">
        <v>0</v>
      </c>
      <c r="G3" s="563">
        <v>45608</v>
      </c>
    </row>
    <row r="4" spans="1:7">
      <c r="A4" s="236" t="s">
        <v>1376</v>
      </c>
      <c r="B4" s="529" t="s">
        <v>1377</v>
      </c>
      <c r="C4" s="570">
        <v>1500</v>
      </c>
      <c r="D4" s="404">
        <v>11</v>
      </c>
      <c r="E4" s="404"/>
      <c r="F4" s="271">
        <v>0</v>
      </c>
      <c r="G4" s="563">
        <v>45638</v>
      </c>
    </row>
    <row r="5" spans="1:7">
      <c r="A5" s="405" t="s">
        <v>1376</v>
      </c>
      <c r="B5" s="530" t="s">
        <v>1378</v>
      </c>
      <c r="C5" s="570">
        <v>1500</v>
      </c>
      <c r="D5" s="406">
        <v>13</v>
      </c>
      <c r="E5" s="406">
        <v>12</v>
      </c>
      <c r="F5" s="271">
        <v>0</v>
      </c>
      <c r="G5" s="563">
        <v>45713</v>
      </c>
    </row>
    <row r="6" spans="1:7">
      <c r="A6" s="405" t="s">
        <v>1379</v>
      </c>
      <c r="B6" s="530" t="s">
        <v>1380</v>
      </c>
      <c r="C6" s="570">
        <v>45000</v>
      </c>
      <c r="D6" s="406">
        <v>14</v>
      </c>
      <c r="E6" s="406">
        <v>8</v>
      </c>
      <c r="F6" s="271">
        <v>1</v>
      </c>
      <c r="G6" s="563">
        <v>45719</v>
      </c>
    </row>
    <row r="7" spans="1:7">
      <c r="A7" s="405" t="s">
        <v>1381</v>
      </c>
      <c r="B7" s="530" t="s">
        <v>1382</v>
      </c>
      <c r="C7" s="570">
        <v>32000</v>
      </c>
      <c r="D7" s="406">
        <v>9</v>
      </c>
      <c r="E7" s="406">
        <v>9</v>
      </c>
      <c r="F7" s="271">
        <v>2</v>
      </c>
      <c r="G7" s="563">
        <v>45721</v>
      </c>
    </row>
    <row r="8" spans="1:7">
      <c r="A8" s="405" t="s">
        <v>1383</v>
      </c>
      <c r="B8" s="530" t="s">
        <v>1384</v>
      </c>
      <c r="C8" s="570">
        <v>30000</v>
      </c>
      <c r="D8" s="406">
        <v>3</v>
      </c>
      <c r="E8" s="406">
        <v>2</v>
      </c>
      <c r="F8" s="271">
        <v>1</v>
      </c>
      <c r="G8" s="563">
        <v>45728</v>
      </c>
    </row>
    <row r="9" spans="1:7">
      <c r="A9" s="405" t="s">
        <v>1385</v>
      </c>
      <c r="B9" s="530" t="s">
        <v>1386</v>
      </c>
      <c r="C9" s="570">
        <v>15000</v>
      </c>
      <c r="D9" s="407">
        <v>3</v>
      </c>
      <c r="E9" s="407">
        <v>1</v>
      </c>
      <c r="F9" s="408">
        <v>0</v>
      </c>
      <c r="G9" s="563">
        <v>45742</v>
      </c>
    </row>
    <row r="10" spans="1:7">
      <c r="A10" s="405" t="s">
        <v>1387</v>
      </c>
      <c r="B10" s="530" t="s">
        <v>1388</v>
      </c>
      <c r="C10" s="571">
        <v>50000</v>
      </c>
      <c r="D10" s="409">
        <v>8</v>
      </c>
      <c r="E10" s="409">
        <v>7</v>
      </c>
      <c r="F10" s="226">
        <v>1</v>
      </c>
      <c r="G10" s="563">
        <v>45753</v>
      </c>
    </row>
    <row r="11" spans="1:7">
      <c r="A11" s="405" t="s">
        <v>1389</v>
      </c>
      <c r="B11" s="530" t="s">
        <v>1390</v>
      </c>
      <c r="C11" s="571">
        <v>20000</v>
      </c>
      <c r="D11" s="409">
        <v>21</v>
      </c>
      <c r="E11" s="409">
        <v>15</v>
      </c>
      <c r="F11" s="226">
        <v>3</v>
      </c>
      <c r="G11" s="563">
        <v>45772</v>
      </c>
    </row>
    <row r="12" spans="1:7">
      <c r="A12" s="405" t="s">
        <v>1372</v>
      </c>
      <c r="B12" s="530" t="s">
        <v>1391</v>
      </c>
      <c r="C12" s="571">
        <v>8000</v>
      </c>
      <c r="D12" s="409">
        <v>18</v>
      </c>
      <c r="E12" s="409">
        <v>13</v>
      </c>
      <c r="F12" s="226">
        <v>0</v>
      </c>
      <c r="G12" s="563">
        <v>45777</v>
      </c>
    </row>
    <row r="13" spans="1:7">
      <c r="A13" s="405" t="s">
        <v>1376</v>
      </c>
      <c r="B13" s="530" t="s">
        <v>1392</v>
      </c>
      <c r="C13" s="571">
        <v>1500</v>
      </c>
      <c r="D13" s="409">
        <v>8</v>
      </c>
      <c r="E13" s="409">
        <v>4</v>
      </c>
      <c r="F13" s="226">
        <v>0</v>
      </c>
      <c r="G13" s="563">
        <v>45785</v>
      </c>
    </row>
    <row r="14" spans="1:7">
      <c r="A14" s="410" t="s">
        <v>1393</v>
      </c>
      <c r="B14" s="531" t="s">
        <v>1394</v>
      </c>
      <c r="C14" s="571">
        <v>2705</v>
      </c>
      <c r="D14" s="409">
        <v>12</v>
      </c>
      <c r="E14" s="409">
        <v>6</v>
      </c>
      <c r="F14" s="226">
        <v>0</v>
      </c>
      <c r="G14" s="563">
        <v>45811</v>
      </c>
    </row>
    <row r="15" spans="1:7">
      <c r="A15" s="410" t="s">
        <v>1395</v>
      </c>
      <c r="B15" s="532" t="s">
        <v>1396</v>
      </c>
      <c r="C15" s="571">
        <v>13526</v>
      </c>
      <c r="D15" s="409">
        <v>16</v>
      </c>
      <c r="E15" s="409">
        <v>6</v>
      </c>
      <c r="F15" s="226">
        <v>2</v>
      </c>
      <c r="G15" s="563">
        <v>45818</v>
      </c>
    </row>
    <row r="16" spans="1:7">
      <c r="A16" s="410" t="s">
        <v>1397</v>
      </c>
      <c r="B16" s="532" t="s">
        <v>1398</v>
      </c>
      <c r="C16" s="571">
        <v>4084</v>
      </c>
      <c r="D16" s="409">
        <v>13</v>
      </c>
      <c r="E16" s="409">
        <v>6</v>
      </c>
      <c r="F16" s="226">
        <v>2</v>
      </c>
      <c r="G16" s="563">
        <v>45820</v>
      </c>
    </row>
    <row r="17" spans="1:7">
      <c r="A17" s="410" t="s">
        <v>1399</v>
      </c>
      <c r="B17" s="533" t="s">
        <v>1400</v>
      </c>
      <c r="C17" s="572">
        <v>1500</v>
      </c>
      <c r="D17" s="411">
        <v>5</v>
      </c>
      <c r="E17" s="411">
        <v>5</v>
      </c>
      <c r="F17" s="412">
        <v>0</v>
      </c>
      <c r="G17" s="563">
        <v>45834</v>
      </c>
    </row>
    <row r="18" spans="1:7">
      <c r="A18" s="413" t="s">
        <v>1401</v>
      </c>
      <c r="B18" s="530" t="s">
        <v>1402</v>
      </c>
      <c r="C18" s="573">
        <v>0</v>
      </c>
      <c r="D18" s="414">
        <v>0</v>
      </c>
      <c r="E18" s="414"/>
      <c r="F18" s="271">
        <v>0</v>
      </c>
      <c r="G18" s="563">
        <v>45859</v>
      </c>
    </row>
    <row r="19" spans="1:7">
      <c r="A19" s="413" t="s">
        <v>1403</v>
      </c>
      <c r="B19" s="530" t="s">
        <v>1404</v>
      </c>
      <c r="C19" s="573">
        <v>0</v>
      </c>
      <c r="D19" s="414">
        <v>0</v>
      </c>
      <c r="E19" s="414"/>
      <c r="F19" s="271">
        <v>0</v>
      </c>
      <c r="G19" s="563">
        <v>45861</v>
      </c>
    </row>
    <row r="20" spans="1:7">
      <c r="A20" s="413" t="s">
        <v>1405</v>
      </c>
      <c r="B20" s="530" t="s">
        <v>1406</v>
      </c>
      <c r="C20" s="573">
        <v>30750</v>
      </c>
      <c r="D20" s="414">
        <v>39</v>
      </c>
      <c r="E20" s="414">
        <v>17</v>
      </c>
      <c r="F20" s="271">
        <v>0</v>
      </c>
      <c r="G20" s="563">
        <v>45876</v>
      </c>
    </row>
    <row r="21" spans="1:7">
      <c r="A21" s="413" t="s">
        <v>1407</v>
      </c>
      <c r="B21" s="530" t="s">
        <v>1408</v>
      </c>
      <c r="C21" s="573">
        <v>35000</v>
      </c>
      <c r="D21" s="414">
        <v>32</v>
      </c>
      <c r="E21" s="414">
        <v>28</v>
      </c>
      <c r="F21" s="271">
        <v>2</v>
      </c>
      <c r="G21" s="563">
        <v>45910</v>
      </c>
    </row>
    <row r="22" spans="1:7">
      <c r="A22" s="413" t="s">
        <v>1376</v>
      </c>
      <c r="B22" s="530" t="s">
        <v>1409</v>
      </c>
      <c r="C22" s="573">
        <v>1500</v>
      </c>
      <c r="D22" s="414">
        <v>15</v>
      </c>
      <c r="E22" s="414">
        <v>7</v>
      </c>
      <c r="F22" s="415">
        <v>0</v>
      </c>
      <c r="G22" s="563">
        <v>45930</v>
      </c>
    </row>
    <row r="23" spans="1:7">
      <c r="A23" s="413" t="s">
        <v>1410</v>
      </c>
      <c r="B23" s="530" t="s">
        <v>1411</v>
      </c>
      <c r="C23" s="573">
        <v>14950</v>
      </c>
      <c r="D23" s="414">
        <v>3</v>
      </c>
      <c r="E23" s="414">
        <v>3</v>
      </c>
      <c r="F23" s="415">
        <v>1</v>
      </c>
      <c r="G23" s="563">
        <v>45936</v>
      </c>
    </row>
    <row r="24" spans="1:7">
      <c r="A24" s="413" t="s">
        <v>1412</v>
      </c>
      <c r="B24" s="530" t="s">
        <v>1413</v>
      </c>
      <c r="C24" s="573">
        <v>15000</v>
      </c>
      <c r="D24" s="414">
        <v>0</v>
      </c>
      <c r="E24" s="414"/>
      <c r="F24" s="415">
        <v>0</v>
      </c>
      <c r="G24" s="563">
        <v>45944</v>
      </c>
    </row>
    <row r="25" spans="1:7">
      <c r="A25" s="416" t="s">
        <v>1414</v>
      </c>
      <c r="B25" s="534" t="s">
        <v>1415</v>
      </c>
      <c r="C25" s="573">
        <v>33000</v>
      </c>
      <c r="D25" s="414">
        <v>8</v>
      </c>
      <c r="E25" s="414">
        <v>6</v>
      </c>
      <c r="F25" s="415">
        <v>0</v>
      </c>
      <c r="G25" s="563">
        <v>45964</v>
      </c>
    </row>
    <row r="26" spans="1:7">
      <c r="A26" s="417" t="s">
        <v>1416</v>
      </c>
      <c r="B26" s="418">
        <v>11.5</v>
      </c>
      <c r="C26" s="573">
        <v>8230</v>
      </c>
      <c r="D26" s="414">
        <v>8</v>
      </c>
      <c r="E26" s="414">
        <v>6</v>
      </c>
      <c r="F26" s="415">
        <v>0</v>
      </c>
      <c r="G26" s="563">
        <v>45966</v>
      </c>
    </row>
    <row r="27" spans="1:7">
      <c r="A27" s="417" t="s">
        <v>1417</v>
      </c>
      <c r="B27" s="418">
        <v>11.5</v>
      </c>
      <c r="C27" s="573">
        <v>7752</v>
      </c>
      <c r="D27" s="414">
        <v>14</v>
      </c>
      <c r="E27" s="414">
        <v>8</v>
      </c>
      <c r="F27" s="415">
        <v>0</v>
      </c>
      <c r="G27" s="563">
        <v>45966</v>
      </c>
    </row>
    <row r="28" spans="1:7">
      <c r="A28" s="417" t="s">
        <v>1374</v>
      </c>
      <c r="B28" s="418" t="s">
        <v>1418</v>
      </c>
      <c r="C28" s="573">
        <v>35000</v>
      </c>
      <c r="D28" s="414">
        <v>21</v>
      </c>
      <c r="E28" s="414">
        <v>19</v>
      </c>
      <c r="F28" s="415">
        <v>2</v>
      </c>
      <c r="G28" s="563">
        <v>45978</v>
      </c>
    </row>
    <row r="29" spans="1:7">
      <c r="A29" s="417" t="s">
        <v>1419</v>
      </c>
      <c r="B29" s="418" t="s">
        <v>1420</v>
      </c>
      <c r="C29" s="573">
        <v>10437</v>
      </c>
      <c r="D29" s="414">
        <v>6</v>
      </c>
      <c r="E29" s="414">
        <v>6</v>
      </c>
      <c r="F29" s="415">
        <v>0</v>
      </c>
      <c r="G29" s="563">
        <v>45980</v>
      </c>
    </row>
    <row r="30" spans="1:7">
      <c r="A30" s="417" t="s">
        <v>1421</v>
      </c>
      <c r="B30" s="418" t="s">
        <v>1422</v>
      </c>
      <c r="C30" s="573">
        <v>30750</v>
      </c>
      <c r="D30" s="414">
        <v>6</v>
      </c>
      <c r="E30" s="414">
        <v>4</v>
      </c>
      <c r="F30" s="415">
        <v>0</v>
      </c>
      <c r="G30" s="563">
        <v>45981</v>
      </c>
    </row>
    <row r="31" spans="1:7">
      <c r="A31" s="417" t="s">
        <v>1376</v>
      </c>
      <c r="B31" s="418" t="s">
        <v>1423</v>
      </c>
      <c r="C31" s="573">
        <v>1500</v>
      </c>
      <c r="D31" s="414">
        <v>14</v>
      </c>
      <c r="E31" s="414"/>
      <c r="F31" s="415">
        <v>0</v>
      </c>
      <c r="G31" s="563">
        <v>46050</v>
      </c>
    </row>
    <row r="32" spans="1:7">
      <c r="A32" s="417" t="s">
        <v>1379</v>
      </c>
      <c r="B32" s="418" t="s">
        <v>1424</v>
      </c>
      <c r="C32" s="573">
        <v>47300</v>
      </c>
      <c r="D32" s="440">
        <v>10</v>
      </c>
      <c r="E32">
        <v>7</v>
      </c>
      <c r="G32" s="563">
        <v>46078</v>
      </c>
    </row>
    <row r="33" spans="1:7">
      <c r="A33" s="417" t="s">
        <v>1383</v>
      </c>
      <c r="B33" s="418" t="s">
        <v>1425</v>
      </c>
      <c r="C33" s="573">
        <v>37500</v>
      </c>
      <c r="D33" s="537">
        <v>8</v>
      </c>
      <c r="E33">
        <v>7</v>
      </c>
      <c r="F33" s="415">
        <v>1</v>
      </c>
      <c r="G33" s="563">
        <v>46085</v>
      </c>
    </row>
    <row r="34" spans="1:7">
      <c r="A34" s="417" t="s">
        <v>1381</v>
      </c>
      <c r="B34" s="418" t="s">
        <v>1426</v>
      </c>
      <c r="C34" s="573">
        <v>31000</v>
      </c>
      <c r="D34" s="537">
        <v>8</v>
      </c>
      <c r="E34">
        <v>7</v>
      </c>
      <c r="F34" s="415"/>
      <c r="G34" s="563">
        <v>46084</v>
      </c>
    </row>
    <row r="35" spans="1:7">
      <c r="A35" s="417" t="s">
        <v>1427</v>
      </c>
      <c r="B35" s="418" t="s">
        <v>1428</v>
      </c>
      <c r="C35" s="573">
        <v>20000</v>
      </c>
      <c r="D35" s="537">
        <v>15</v>
      </c>
      <c r="E35">
        <v>11</v>
      </c>
      <c r="F35" s="415"/>
      <c r="G35" s="563">
        <v>46082</v>
      </c>
    </row>
    <row r="36" spans="1:7">
      <c r="A36" s="417" t="s">
        <v>1385</v>
      </c>
      <c r="B36" s="418">
        <v>3.25</v>
      </c>
      <c r="C36" s="573">
        <v>20000</v>
      </c>
      <c r="D36" s="537">
        <v>2</v>
      </c>
      <c r="E36">
        <v>2</v>
      </c>
      <c r="F36" s="415"/>
      <c r="G36" s="563">
        <v>46106</v>
      </c>
    </row>
    <row r="37" spans="1:7">
      <c r="A37" s="416" t="s">
        <v>1429</v>
      </c>
      <c r="B37" s="536" t="s">
        <v>1430</v>
      </c>
      <c r="C37" s="574">
        <v>55000</v>
      </c>
      <c r="D37" s="236">
        <v>25</v>
      </c>
      <c r="E37" s="236">
        <v>21</v>
      </c>
      <c r="F37" s="236"/>
      <c r="G37" s="563">
        <v>46124</v>
      </c>
    </row>
    <row r="38" spans="1:7">
      <c r="A38" s="416" t="s">
        <v>1431</v>
      </c>
      <c r="B38" s="536">
        <v>4.22</v>
      </c>
      <c r="C38" s="574">
        <v>300</v>
      </c>
      <c r="D38" s="236">
        <v>0</v>
      </c>
      <c r="E38" s="236"/>
      <c r="F38" s="236"/>
      <c r="G38" s="563">
        <v>46134</v>
      </c>
    </row>
    <row r="39" spans="1:7">
      <c r="A39" s="416" t="s">
        <v>1432</v>
      </c>
      <c r="B39" s="536" t="s">
        <v>1433</v>
      </c>
      <c r="C39" s="574">
        <v>55000</v>
      </c>
      <c r="D39" s="236">
        <v>30</v>
      </c>
      <c r="E39" s="236">
        <v>24</v>
      </c>
      <c r="F39" s="236">
        <v>2</v>
      </c>
      <c r="G39" s="563">
        <v>46139</v>
      </c>
    </row>
    <row r="40" spans="1:7">
      <c r="A40" s="416" t="s">
        <v>1416</v>
      </c>
      <c r="B40" s="536">
        <v>4.28</v>
      </c>
      <c r="C40" s="574">
        <v>16000</v>
      </c>
      <c r="D40" s="236">
        <v>17</v>
      </c>
      <c r="E40" s="236">
        <v>14</v>
      </c>
      <c r="F40" s="236"/>
      <c r="G40" s="563">
        <v>46140</v>
      </c>
    </row>
    <row r="41" spans="1:7">
      <c r="A41" s="416" t="s">
        <v>1434</v>
      </c>
      <c r="B41" s="536" t="s">
        <v>1435</v>
      </c>
      <c r="C41" s="574">
        <v>8000</v>
      </c>
      <c r="D41" s="236">
        <v>8</v>
      </c>
      <c r="E41" s="236">
        <v>4</v>
      </c>
      <c r="F41" s="236"/>
      <c r="G41" s="563">
        <v>46140</v>
      </c>
    </row>
    <row r="42" spans="1:7">
      <c r="A42" s="416" t="s">
        <v>1436</v>
      </c>
      <c r="B42" s="536" t="s">
        <v>1437</v>
      </c>
      <c r="C42" s="574">
        <v>0</v>
      </c>
      <c r="D42" s="236">
        <v>0</v>
      </c>
      <c r="E42" s="236"/>
      <c r="F42" s="236"/>
      <c r="G42" s="563">
        <v>46141</v>
      </c>
    </row>
    <row r="43" spans="1:7">
      <c r="A43" s="416" t="s">
        <v>1438</v>
      </c>
      <c r="B43" s="536">
        <v>4.3</v>
      </c>
      <c r="C43" s="574">
        <v>500</v>
      </c>
      <c r="D43" s="236">
        <v>0</v>
      </c>
      <c r="E43" s="236"/>
      <c r="F43" s="236"/>
      <c r="G43" s="563">
        <v>46142</v>
      </c>
    </row>
    <row r="44" spans="1:7">
      <c r="A44" s="417" t="s">
        <v>1427</v>
      </c>
      <c r="B44" s="418" t="s">
        <v>1428</v>
      </c>
      <c r="C44" s="573">
        <v>20000</v>
      </c>
      <c r="D44" s="537">
        <v>15</v>
      </c>
      <c r="E44">
        <v>15</v>
      </c>
      <c r="F44" s="415"/>
      <c r="G44" s="563">
        <v>46113</v>
      </c>
    </row>
    <row r="45" spans="1:7">
      <c r="A45" s="546" t="s">
        <v>1439</v>
      </c>
      <c r="B45" s="535" t="s">
        <v>1428</v>
      </c>
      <c r="D45" s="547">
        <v>1</v>
      </c>
      <c r="E45">
        <v>1</v>
      </c>
      <c r="G45" s="563">
        <v>46113</v>
      </c>
    </row>
    <row r="46" spans="1:7">
      <c r="A46" s="546" t="s">
        <v>1440</v>
      </c>
      <c r="B46" s="563">
        <v>46154</v>
      </c>
      <c r="C46" s="250">
        <v>20000</v>
      </c>
      <c r="D46" s="547">
        <v>0</v>
      </c>
      <c r="G46" s="563">
        <v>46154</v>
      </c>
    </row>
    <row r="47" spans="1:7">
      <c r="A47" s="562" t="s">
        <v>1395</v>
      </c>
      <c r="B47" s="563">
        <v>46155</v>
      </c>
      <c r="C47" s="250">
        <v>24000</v>
      </c>
      <c r="D47" s="547">
        <v>9</v>
      </c>
      <c r="E47">
        <v>6</v>
      </c>
      <c r="G47" s="563">
        <v>46155</v>
      </c>
    </row>
    <row r="48" spans="1:7">
      <c r="A48" s="562" t="s">
        <v>1441</v>
      </c>
      <c r="B48" s="563">
        <v>46162</v>
      </c>
      <c r="C48" s="250">
        <v>1500</v>
      </c>
      <c r="D48" s="547">
        <v>10</v>
      </c>
      <c r="E48">
        <v>10</v>
      </c>
      <c r="G48" s="563">
        <v>46162</v>
      </c>
    </row>
    <row r="49" spans="1:7">
      <c r="A49" s="562" t="s">
        <v>1442</v>
      </c>
      <c r="B49" s="563">
        <v>46197</v>
      </c>
      <c r="C49" s="250">
        <v>19600</v>
      </c>
      <c r="D49" s="547">
        <v>4</v>
      </c>
      <c r="E49">
        <v>4</v>
      </c>
      <c r="G49" s="563">
        <v>46197</v>
      </c>
    </row>
    <row r="50" spans="1:7">
      <c r="A50" s="634" t="s">
        <v>1443</v>
      </c>
      <c r="B50" s="635" t="s">
        <v>1444</v>
      </c>
      <c r="C50" s="250">
        <v>5000</v>
      </c>
      <c r="G50" s="563">
        <v>46225</v>
      </c>
    </row>
    <row r="51" spans="1:7">
      <c r="A51" s="634" t="s">
        <v>1445</v>
      </c>
      <c r="B51" s="636" t="s">
        <v>1446</v>
      </c>
      <c r="C51" s="250">
        <v>37500</v>
      </c>
      <c r="G51" s="563">
        <v>46266</v>
      </c>
    </row>
    <row r="52" spans="1:7">
      <c r="A52" s="634" t="s">
        <v>1447</v>
      </c>
      <c r="B52" s="636">
        <v>9.1999999999999993</v>
      </c>
      <c r="C52" s="250" t="s">
        <v>1448</v>
      </c>
      <c r="G52" s="563">
        <v>46267</v>
      </c>
    </row>
    <row r="53" spans="1:7">
      <c r="A53" s="634" t="s">
        <v>1449</v>
      </c>
      <c r="B53" s="636" t="s">
        <v>1450</v>
      </c>
      <c r="C53" s="590">
        <v>21000</v>
      </c>
      <c r="G53" s="563">
        <v>46295</v>
      </c>
    </row>
    <row r="54" spans="1:7">
      <c r="A54" s="634" t="s">
        <v>1451</v>
      </c>
      <c r="B54" s="636" t="s">
        <v>1452</v>
      </c>
      <c r="C54" s="590">
        <v>12500</v>
      </c>
      <c r="G54" s="563">
        <v>46307</v>
      </c>
    </row>
    <row r="55" spans="1:7">
      <c r="A55" s="634" t="s">
        <v>1453</v>
      </c>
      <c r="B55" s="636" t="s">
        <v>1454</v>
      </c>
      <c r="C55" s="590">
        <v>34000</v>
      </c>
      <c r="G55" s="563">
        <v>46308</v>
      </c>
    </row>
    <row r="56" spans="1:7">
      <c r="A56" s="634" t="s">
        <v>1455</v>
      </c>
      <c r="B56" s="636" t="s">
        <v>1456</v>
      </c>
      <c r="C56" s="590">
        <v>17500</v>
      </c>
      <c r="G56" s="563">
        <v>46308</v>
      </c>
    </row>
    <row r="57" spans="1:7">
      <c r="A57" s="634" t="s">
        <v>1414</v>
      </c>
      <c r="B57" s="635" t="s">
        <v>1457</v>
      </c>
      <c r="C57" s="590">
        <v>31000</v>
      </c>
      <c r="G57" s="563">
        <v>46308</v>
      </c>
    </row>
    <row r="58" spans="1:7">
      <c r="A58" s="634" t="s">
        <v>1458</v>
      </c>
      <c r="B58" s="535" t="s">
        <v>1459</v>
      </c>
      <c r="C58" s="590"/>
      <c r="G58" s="563">
        <v>46308</v>
      </c>
    </row>
    <row r="59" spans="1:7">
      <c r="A59" s="634" t="s">
        <v>1416</v>
      </c>
      <c r="B59" s="635">
        <v>45964</v>
      </c>
      <c r="C59" s="250">
        <v>5000</v>
      </c>
      <c r="G59" s="563">
        <v>46329</v>
      </c>
    </row>
    <row r="60" spans="1:7">
      <c r="G60" s="56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60EC2-5AAC-4F59-81F5-161D0F31A5FB}">
  <dimension ref="A1:J33"/>
  <sheetViews>
    <sheetView workbookViewId="0">
      <selection activeCell="B11" sqref="B11"/>
    </sheetView>
  </sheetViews>
  <sheetFormatPr defaultColWidth="8.7109375" defaultRowHeight="15"/>
  <cols>
    <col min="1" max="1" width="21" bestFit="1" customWidth="1"/>
    <col min="2" max="2" width="7.7109375" bestFit="1" customWidth="1"/>
    <col min="9" max="9" width="28.7109375" bestFit="1" customWidth="1"/>
  </cols>
  <sheetData>
    <row r="1" spans="1:10">
      <c r="A1" t="s">
        <v>1460</v>
      </c>
      <c r="B1" t="s">
        <v>4</v>
      </c>
      <c r="I1" t="s">
        <v>1461</v>
      </c>
    </row>
    <row r="2" spans="1:10">
      <c r="A2" t="s">
        <v>148</v>
      </c>
      <c r="B2" t="s">
        <v>32</v>
      </c>
      <c r="I2" t="s">
        <v>1462</v>
      </c>
    </row>
    <row r="3" spans="1:10">
      <c r="A3" t="s">
        <v>1463</v>
      </c>
      <c r="B3" t="s">
        <v>30</v>
      </c>
      <c r="I3" t="s">
        <v>408</v>
      </c>
    </row>
    <row r="4" spans="1:10">
      <c r="A4" t="s">
        <v>1464</v>
      </c>
      <c r="B4" t="s">
        <v>30</v>
      </c>
      <c r="I4" t="s">
        <v>563</v>
      </c>
    </row>
    <row r="5" spans="1:10">
      <c r="A5" t="s">
        <v>1465</v>
      </c>
      <c r="B5" t="s">
        <v>1466</v>
      </c>
      <c r="I5" t="s">
        <v>1467</v>
      </c>
    </row>
    <row r="6" spans="1:10">
      <c r="A6" t="s">
        <v>1468</v>
      </c>
      <c r="B6" t="s">
        <v>29</v>
      </c>
      <c r="I6" t="s">
        <v>1469</v>
      </c>
    </row>
    <row r="7" spans="1:10">
      <c r="A7" t="s">
        <v>202</v>
      </c>
      <c r="B7" t="s">
        <v>27</v>
      </c>
      <c r="I7" t="s">
        <v>462</v>
      </c>
      <c r="J7" t="s">
        <v>12</v>
      </c>
    </row>
    <row r="8" spans="1:10">
      <c r="A8" t="s">
        <v>404</v>
      </c>
      <c r="B8" t="s">
        <v>27</v>
      </c>
      <c r="I8" t="s">
        <v>338</v>
      </c>
    </row>
    <row r="9" spans="1:10">
      <c r="A9" t="s">
        <v>29</v>
      </c>
      <c r="B9" t="s">
        <v>29</v>
      </c>
      <c r="I9" t="s">
        <v>591</v>
      </c>
    </row>
    <row r="10" spans="1:10">
      <c r="A10" t="s">
        <v>1470</v>
      </c>
      <c r="B10" t="s">
        <v>30</v>
      </c>
      <c r="I10" t="s">
        <v>526</v>
      </c>
      <c r="J10" t="s">
        <v>12</v>
      </c>
    </row>
    <row r="11" spans="1:10">
      <c r="A11" t="s">
        <v>1471</v>
      </c>
      <c r="B11" t="s">
        <v>27</v>
      </c>
      <c r="I11" t="s">
        <v>1472</v>
      </c>
    </row>
    <row r="12" spans="1:10">
      <c r="A12" t="s">
        <v>1473</v>
      </c>
      <c r="B12" t="s">
        <v>29</v>
      </c>
      <c r="I12" t="s">
        <v>1474</v>
      </c>
    </row>
    <row r="13" spans="1:10">
      <c r="A13" t="s">
        <v>1475</v>
      </c>
      <c r="B13" t="s">
        <v>1466</v>
      </c>
    </row>
    <row r="14" spans="1:10">
      <c r="A14" t="s">
        <v>1476</v>
      </c>
      <c r="B14" t="s">
        <v>30</v>
      </c>
    </row>
    <row r="15" spans="1:10">
      <c r="A15" t="s">
        <v>470</v>
      </c>
      <c r="B15" t="s">
        <v>27</v>
      </c>
    </row>
    <row r="16" spans="1:10">
      <c r="A16" t="s">
        <v>1477</v>
      </c>
      <c r="B16" t="s">
        <v>30</v>
      </c>
    </row>
    <row r="17" spans="1:2">
      <c r="A17" t="s">
        <v>1281</v>
      </c>
      <c r="B17" t="s">
        <v>27</v>
      </c>
    </row>
    <row r="18" spans="1:2">
      <c r="A18" t="s">
        <v>319</v>
      </c>
      <c r="B18" t="s">
        <v>27</v>
      </c>
    </row>
    <row r="19" spans="1:2">
      <c r="A19" t="s">
        <v>1478</v>
      </c>
      <c r="B19" t="s">
        <v>27</v>
      </c>
    </row>
    <row r="20" spans="1:2">
      <c r="A20" t="s">
        <v>1479</v>
      </c>
      <c r="B20" t="s">
        <v>27</v>
      </c>
    </row>
    <row r="21" spans="1:2">
      <c r="A21" t="s">
        <v>1480</v>
      </c>
      <c r="B21" t="s">
        <v>27</v>
      </c>
    </row>
    <row r="22" spans="1:2">
      <c r="A22" t="s">
        <v>1481</v>
      </c>
      <c r="B22" t="s">
        <v>30</v>
      </c>
    </row>
    <row r="23" spans="1:2">
      <c r="A23" s="438" t="s">
        <v>1482</v>
      </c>
      <c r="B23" t="s">
        <v>27</v>
      </c>
    </row>
    <row r="24" spans="1:2">
      <c r="A24" s="439" t="s">
        <v>1483</v>
      </c>
      <c r="B24" t="s">
        <v>30</v>
      </c>
    </row>
    <row r="25" spans="1:2">
      <c r="A25" s="439" t="s">
        <v>1484</v>
      </c>
      <c r="B25" t="s">
        <v>1466</v>
      </c>
    </row>
    <row r="26" spans="1:2">
      <c r="A26" t="s">
        <v>1485</v>
      </c>
      <c r="B26" t="s">
        <v>27</v>
      </c>
    </row>
    <row r="27" spans="1:2">
      <c r="A27" t="s">
        <v>1486</v>
      </c>
      <c r="B27" t="s">
        <v>1466</v>
      </c>
    </row>
    <row r="28" spans="1:2">
      <c r="A28" t="s">
        <v>1478</v>
      </c>
      <c r="B28" t="s">
        <v>27</v>
      </c>
    </row>
    <row r="29" spans="1:2">
      <c r="A29" s="457" t="s">
        <v>1487</v>
      </c>
      <c r="B29" t="s">
        <v>32</v>
      </c>
    </row>
    <row r="30" spans="1:2">
      <c r="A30" s="457" t="s">
        <v>1488</v>
      </c>
      <c r="B30" t="s">
        <v>32</v>
      </c>
    </row>
    <row r="31" spans="1:2">
      <c r="A31" s="457" t="s">
        <v>1489</v>
      </c>
      <c r="B31" t="s">
        <v>30</v>
      </c>
    </row>
    <row r="32" spans="1:2">
      <c r="A32" s="457" t="s">
        <v>1490</v>
      </c>
      <c r="B32" t="s">
        <v>30</v>
      </c>
    </row>
    <row r="33" spans="1:2">
      <c r="A33" s="457" t="s">
        <v>30</v>
      </c>
      <c r="B33" t="s">
        <v>30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791"/>
  <sheetViews>
    <sheetView tabSelected="1" zoomScale="80" zoomScaleNormal="80" workbookViewId="0">
      <selection activeCell="F3" sqref="F3"/>
    </sheetView>
  </sheetViews>
  <sheetFormatPr defaultColWidth="8.7109375" defaultRowHeight="15"/>
  <cols>
    <col min="1" max="1" width="14.28515625" customWidth="1"/>
    <col min="2" max="2" width="11.7109375" customWidth="1"/>
    <col min="3" max="3" width="28" bestFit="1" customWidth="1"/>
    <col min="4" max="4" width="20.28515625" bestFit="1" customWidth="1"/>
    <col min="5" max="5" width="72.140625" bestFit="1" customWidth="1"/>
    <col min="6" max="6" width="25.140625" bestFit="1" customWidth="1"/>
    <col min="7" max="7" width="21.42578125" customWidth="1"/>
    <col min="8" max="8" width="9.7109375" customWidth="1"/>
    <col min="9" max="9" width="15.140625" customWidth="1"/>
    <col min="10" max="10" width="13.140625" customWidth="1"/>
    <col min="11" max="11" width="10.140625" customWidth="1"/>
    <col min="12" max="12" width="19.7109375" customWidth="1"/>
    <col min="13" max="13" width="18.140625" bestFit="1" customWidth="1"/>
    <col min="14" max="14" width="40.42578125" bestFit="1" customWidth="1"/>
    <col min="15" max="15" width="11.140625" bestFit="1" customWidth="1"/>
    <col min="16" max="16" width="15.140625" style="422" bestFit="1" customWidth="1"/>
    <col min="17" max="17" width="14.7109375" bestFit="1" customWidth="1"/>
    <col min="18" max="18" width="16.140625" customWidth="1"/>
    <col min="19" max="19" width="32.28515625" bestFit="1" customWidth="1"/>
    <col min="20" max="20" width="33.42578125" bestFit="1" customWidth="1"/>
    <col min="21" max="22" width="33.42578125" customWidth="1"/>
    <col min="23" max="23" width="8.7109375" style="444"/>
    <col min="24" max="24" width="17.7109375" style="422" bestFit="1" customWidth="1"/>
    <col min="25" max="25" width="15.42578125" style="476" bestFit="1" customWidth="1"/>
    <col min="26" max="26" width="20" style="476" bestFit="1" customWidth="1"/>
    <col min="27" max="27" width="22.7109375" style="422" bestFit="1" customWidth="1"/>
    <col min="28" max="28" width="22.28515625" bestFit="1" customWidth="1"/>
    <col min="29" max="29" width="27.7109375" style="476" bestFit="1" customWidth="1"/>
    <col min="30" max="30" width="35.7109375" bestFit="1" customWidth="1"/>
    <col min="31" max="31" width="22.28515625" bestFit="1" customWidth="1"/>
  </cols>
  <sheetData>
    <row r="1" spans="1:32">
      <c r="A1" t="s">
        <v>1491</v>
      </c>
      <c r="B1" s="33" t="s">
        <v>1492</v>
      </c>
    </row>
    <row r="2" spans="1:32">
      <c r="A2" t="s">
        <v>1493</v>
      </c>
      <c r="B2" t="s">
        <v>1494</v>
      </c>
      <c r="C2" t="s">
        <v>1495</v>
      </c>
      <c r="D2" t="s">
        <v>1496</v>
      </c>
      <c r="E2" t="s">
        <v>1497</v>
      </c>
      <c r="F2" t="s">
        <v>1460</v>
      </c>
      <c r="G2" t="s">
        <v>1498</v>
      </c>
      <c r="H2" t="s">
        <v>148</v>
      </c>
      <c r="I2" t="s">
        <v>1499</v>
      </c>
      <c r="J2" t="s">
        <v>1500</v>
      </c>
      <c r="K2" t="s">
        <v>194</v>
      </c>
      <c r="L2" t="s">
        <v>1501</v>
      </c>
      <c r="M2" t="s">
        <v>1502</v>
      </c>
      <c r="N2" t="s">
        <v>1503</v>
      </c>
      <c r="O2" t="s">
        <v>4</v>
      </c>
      <c r="P2" s="422" t="s">
        <v>1504</v>
      </c>
      <c r="Q2" t="s">
        <v>1505</v>
      </c>
      <c r="R2" t="s">
        <v>1506</v>
      </c>
      <c r="S2" t="s">
        <v>1507</v>
      </c>
      <c r="T2" t="s">
        <v>1508</v>
      </c>
      <c r="U2" t="s">
        <v>1509</v>
      </c>
      <c r="V2" t="s">
        <v>1510</v>
      </c>
      <c r="W2" s="444" t="s">
        <v>1511</v>
      </c>
      <c r="X2" s="422" t="s">
        <v>1512</v>
      </c>
      <c r="Y2" s="476" t="s">
        <v>1513</v>
      </c>
      <c r="Z2" s="476" t="s">
        <v>1514</v>
      </c>
      <c r="AA2" s="422" t="s">
        <v>1515</v>
      </c>
      <c r="AB2" s="422" t="s">
        <v>1516</v>
      </c>
      <c r="AC2" s="476" t="s">
        <v>1517</v>
      </c>
      <c r="AD2" s="476" t="s">
        <v>1518</v>
      </c>
      <c r="AE2" s="476" t="s">
        <v>1519</v>
      </c>
      <c r="AF2" s="476" t="s">
        <v>1520</v>
      </c>
    </row>
    <row r="3" spans="1:32">
      <c r="A3" t="s">
        <v>1461</v>
      </c>
      <c r="B3" t="s">
        <v>338</v>
      </c>
      <c r="C3" t="s">
        <v>1462</v>
      </c>
      <c r="D3" t="s">
        <v>1521</v>
      </c>
      <c r="E3" t="s">
        <v>1522</v>
      </c>
      <c r="I3" s="422">
        <v>46122</v>
      </c>
      <c r="J3" s="422">
        <v>46477</v>
      </c>
      <c r="K3">
        <v>16000</v>
      </c>
      <c r="L3">
        <v>16000</v>
      </c>
      <c r="M3" t="s">
        <v>1523</v>
      </c>
      <c r="N3" t="s">
        <v>1524</v>
      </c>
      <c r="O3" t="str">
        <f>_xlfn.IFNA(VLOOKUP(Table1[[#This Row],[Lead Source]],'helper tab'!A:B,2,FALSE),"Exclude")</f>
        <v>Exclude</v>
      </c>
      <c r="P3" s="422">
        <f t="shared" ref="P3:P66" si="0">--SUBSTITUTE(D3,",","")</f>
        <v>46234.492361111108</v>
      </c>
      <c r="Q3">
        <f t="shared" ref="Q3:Q66" si="1">IF(OR($C3="Propose",$C3="Procure"),1,0)</f>
        <v>0</v>
      </c>
      <c r="R3">
        <f t="shared" ref="R3:R66" si="2">IF($C3="Closed Won",1,0)</f>
        <v>0</v>
      </c>
      <c r="S3">
        <f>IF(
AND($Q3=1,$M3&lt;&gt;""),
IF(
COUNTIFS(
$M$3:$M3,$M3,
$O$3:$O3,$O3,
$Q$3:$Q3,1,
$P$3:$P3,"&gt;="&amp;EOMONTH($P3,-1)+1,
$P$3:$P3,"&lt;"&amp;EOMONTH($P3,0)+1
)=1,
1,
0),
0)</f>
        <v>0</v>
      </c>
      <c r="T3">
        <f>IF(AND($R3=1,$M3&lt;&gt;""),IF(COUNTIFS($M$3:$M3,$M3,$O$3:$O3,$O3,$R$3:$R3,1,$P$3:$P3,"&gt;="&amp;EOMONTH($P3,-1)+1,$P$3:$P3,"&lt;"&amp;EOMONTH($P3,0)+1)=1,1,0),0)</f>
        <v>0</v>
      </c>
      <c r="U3">
        <f t="shared" ref="U3:U66" si="3">IF($C3="Closed Lost",1,0)</f>
        <v>0</v>
      </c>
      <c r="V3">
        <f>IF(AND($U3=1,$M3&lt;&gt;""),IF(COUNTIFS($M$3:$M3,$M3,$O$3:$O3,$O3,$U$3:$U3,1,$P$3:$P3,"&gt;="&amp;EOMONTH($P3,-1)+1,$P$3:$P3,"&lt;"&amp;EOMONTH($P3,0)+1)=1,1,0),0)</f>
        <v>0</v>
      </c>
      <c r="W3" s="444">
        <f ca="1">TODAY()-Table1[[#This Row],[Change Date]]</f>
        <v>23.507638888891961</v>
      </c>
      <c r="X3" s="422" t="str">
        <f t="shared" ref="X3:X66" si="4">IFERROR(
IF(
COUNTIFS($M:$M,$M3,$P:$P,"&gt;"&amp;$P3)=0,
"",
_xlfn.MINIFS($P:$P,$M:$M,$M3,$P:$P,"&gt;"&amp;$P3)
),
""
)</f>
        <v/>
      </c>
      <c r="Y3" s="476">
        <f ca="1">IF(Table1[[#This Row],[Next Stage Date]]&lt;&gt;"",Table1[[#This Row],[Next Stage Date]]-Table1[[#This Row],[Change Date]],TODAY()-Table1[[#This Row],[Change Date]])</f>
        <v>23.507638888891961</v>
      </c>
      <c r="Z3" s="476">
        <f t="shared" ref="Z3:Z66" si="5">IF(P3=_xlfn.MAXIFS($P:$P,$M:$M,$M3),1,0)</f>
        <v>1</v>
      </c>
      <c r="AA3" s="422" t="str">
        <f t="shared" ref="AA3:AA66" si="6">IF(
COUNTIFS($M:$M,$M3,$C:$C,"Closed Won")=0,
"",
_xlfn.MINIFS($P:$P,$M:$M,$M3,$C:$C,"Closed Won")
)</f>
        <v/>
      </c>
      <c r="AB3" s="422" t="str">
        <f t="shared" ref="AB3:AB66" si="7">IF(
COUNTIFS($M:$M,$M3,$Q:$Q,1)=0,
"",
_xlfn.MINIFS($P:$P,$M:$M,$M3,$Q:$Q,1)
)</f>
        <v/>
      </c>
      <c r="AC3" s="476" t="str">
        <f t="shared" ref="AC3:AC66" si="8">IF(AB3&lt;&gt;"",AB3-I3,"")</f>
        <v/>
      </c>
      <c r="AD3" s="476" t="str">
        <f t="shared" ref="AD3:AD66" si="9">IF(AND(AB3&lt;&gt;"",AA3&lt;&gt;""),AA3-AB3,"")</f>
        <v/>
      </c>
      <c r="AE3" s="476" t="str">
        <f t="shared" ref="AE3:AE66" si="10">IF(AA3&lt;&gt;"",AA3-I3,"")</f>
        <v/>
      </c>
      <c r="AF3" s="476" t="b">
        <f>IFERROR(_xlfn.XLOOKUP(Table1[[#This Row],[Opportunity ID]],'Aging Detail'!$H$14:$H$20,'Aging Detail'!$F$14:$F$20),TRUE)</f>
        <v>1</v>
      </c>
    </row>
    <row r="4" spans="1:32">
      <c r="A4" t="s">
        <v>1461</v>
      </c>
      <c r="B4" t="s">
        <v>1462</v>
      </c>
      <c r="C4" t="s">
        <v>462</v>
      </c>
      <c r="D4" t="s">
        <v>1525</v>
      </c>
      <c r="E4" t="s">
        <v>1526</v>
      </c>
      <c r="F4" t="s">
        <v>148</v>
      </c>
      <c r="H4" t="s">
        <v>169</v>
      </c>
      <c r="I4" s="422">
        <v>46195</v>
      </c>
      <c r="J4" s="422">
        <v>46290</v>
      </c>
      <c r="K4">
        <v>210184</v>
      </c>
      <c r="L4">
        <v>140184</v>
      </c>
      <c r="M4" t="s">
        <v>1527</v>
      </c>
      <c r="N4" t="s">
        <v>1528</v>
      </c>
      <c r="O4" t="str">
        <f>_xlfn.IFNA(VLOOKUP(Table1[[#This Row],[Lead Source]],'helper tab'!A:B,2,FALSE),"Exclude")</f>
        <v>Alliances</v>
      </c>
      <c r="P4" s="422">
        <f t="shared" si="0"/>
        <v>46234.477777777778</v>
      </c>
      <c r="Q4">
        <f t="shared" si="1"/>
        <v>1</v>
      </c>
      <c r="R4">
        <f t="shared" si="2"/>
        <v>0</v>
      </c>
      <c r="S4">
        <f>IF(
AND($Q4=1,$M4&lt;&gt;""),
IF(
COUNTIFS(
$M$3:$M4,$M4,
$O$3:$O4,$O4,
$Q$3:$Q4,1,
$P$3:$P4,"&gt;="&amp;EOMONTH($P4,-1)+1,
$P$3:$P4,"&lt;"&amp;EOMONTH($P4,0)+1
)=1,
1,
0),
0)</f>
        <v>1</v>
      </c>
      <c r="T4">
        <f>IF(AND($R4=1,$M4&lt;&gt;""),IF(COUNTIFS($M$3:$M4,$M4,$O$3:$O4,$O4,$R$3:$R4,1,$P$3:$P4,"&gt;="&amp;EOMONTH($P4,-1)+1,$P$3:$P4,"&lt;"&amp;EOMONTH($P4,0)+1)=1,1,0),0)</f>
        <v>0</v>
      </c>
      <c r="U4">
        <f t="shared" si="3"/>
        <v>0</v>
      </c>
      <c r="V4">
        <f>IF(AND($U4=1,$M4&lt;&gt;""),IF(COUNTIFS($M$3:$M4,$M4,$O$3:$O4,$O4,$U$3:$U4,1,$P$3:$P4,"&gt;="&amp;EOMONTH($P4,-1)+1,$P$3:$P4,"&lt;"&amp;EOMONTH($P4,0)+1)=1,1,0),0)</f>
        <v>0</v>
      </c>
      <c r="W4" s="444">
        <f ca="1">TODAY()-Table1[[#This Row],[Change Date]]</f>
        <v>23.522222222221899</v>
      </c>
      <c r="X4" s="422" t="str">
        <f t="shared" si="4"/>
        <v/>
      </c>
      <c r="Y4" s="476">
        <f ca="1">IF(Table1[[#This Row],[Next Stage Date]]&lt;&gt;"",Table1[[#This Row],[Next Stage Date]]-Table1[[#This Row],[Change Date]],TODAY()-Table1[[#This Row],[Change Date]])</f>
        <v>23.522222222221899</v>
      </c>
      <c r="Z4" s="476">
        <f t="shared" si="5"/>
        <v>1</v>
      </c>
      <c r="AA4" s="422" t="str">
        <f t="shared" si="6"/>
        <v/>
      </c>
      <c r="AB4" s="422">
        <f t="shared" si="7"/>
        <v>46234.477777777778</v>
      </c>
      <c r="AC4" s="476">
        <f t="shared" si="8"/>
        <v>39.477777777778101</v>
      </c>
      <c r="AD4" s="476" t="str">
        <f t="shared" si="9"/>
        <v/>
      </c>
      <c r="AE4" s="476" t="str">
        <f t="shared" si="10"/>
        <v/>
      </c>
      <c r="AF4" s="476" t="b">
        <f>IFERROR(_xlfn.XLOOKUP(Table1[[#This Row],[Opportunity ID]],'Aging Detail'!$H$14:$H$20,'Aging Detail'!$F$14:$F$20),TRUE)</f>
        <v>1</v>
      </c>
    </row>
    <row r="5" spans="1:32">
      <c r="A5" t="s">
        <v>1461</v>
      </c>
      <c r="B5" t="s">
        <v>408</v>
      </c>
      <c r="C5" t="s">
        <v>1469</v>
      </c>
      <c r="D5" t="s">
        <v>1529</v>
      </c>
      <c r="E5" t="s">
        <v>1530</v>
      </c>
      <c r="F5" t="s">
        <v>1484</v>
      </c>
      <c r="I5" s="422">
        <v>45366</v>
      </c>
      <c r="J5" s="422">
        <v>46234</v>
      </c>
      <c r="L5">
        <v>0</v>
      </c>
      <c r="M5" t="s">
        <v>1531</v>
      </c>
      <c r="N5" t="s">
        <v>1532</v>
      </c>
      <c r="O5" t="str">
        <f>_xlfn.IFNA(VLOOKUP(Table1[[#This Row],[Lead Source]],'helper tab'!A:B,2,FALSE),"Exclude")</f>
        <v>Exclude</v>
      </c>
      <c r="P5" s="422">
        <f t="shared" si="0"/>
        <v>46234.387499999997</v>
      </c>
      <c r="Q5">
        <f t="shared" si="1"/>
        <v>0</v>
      </c>
      <c r="R5">
        <f t="shared" si="2"/>
        <v>0</v>
      </c>
      <c r="S5">
        <f>IF(
AND($Q5=1,$M5&lt;&gt;""),
IF(
COUNTIFS(
$M$3:$M5,$M5,
$O$3:$O5,$O5,
$Q$3:$Q5,1,
$P$3:$P5,"&gt;="&amp;EOMONTH($P5,-1)+1,
$P$3:$P5,"&lt;"&amp;EOMONTH($P5,0)+1
)=1,
1,
0),
0)</f>
        <v>0</v>
      </c>
      <c r="T5">
        <f>IF(AND($R5=1,$M5&lt;&gt;""),IF(COUNTIFS($M$3:$M5,$M5,$O$3:$O5,$O5,$R$3:$R5,1,$P$3:$P5,"&gt;="&amp;EOMONTH($P5,-1)+1,$P$3:$P5,"&lt;"&amp;EOMONTH($P5,0)+1)=1,1,0),0)</f>
        <v>0</v>
      </c>
      <c r="U5">
        <f t="shared" si="3"/>
        <v>1</v>
      </c>
      <c r="V5">
        <f>IF(AND($U5=1,$M5&lt;&gt;""),IF(COUNTIFS($M$3:$M5,$M5,$O$3:$O5,$O5,$U$3:$U5,1,$P$3:$P5,"&gt;="&amp;EOMONTH($P5,-1)+1,$P$3:$P5,"&lt;"&amp;EOMONTH($P5,0)+1)=1,1,0),0)</f>
        <v>1</v>
      </c>
      <c r="W5" s="444">
        <f ca="1">TODAY()-Table1[[#This Row],[Change Date]]</f>
        <v>23.61250000000291</v>
      </c>
      <c r="X5" s="422" t="str">
        <f t="shared" si="4"/>
        <v/>
      </c>
      <c r="Y5" s="476">
        <f ca="1">IF(Table1[[#This Row],[Next Stage Date]]&lt;&gt;"",Table1[[#This Row],[Next Stage Date]]-Table1[[#This Row],[Change Date]],TODAY()-Table1[[#This Row],[Change Date]])</f>
        <v>23.61250000000291</v>
      </c>
      <c r="Z5" s="476">
        <f t="shared" si="5"/>
        <v>1</v>
      </c>
      <c r="AA5" s="422" t="str">
        <f t="shared" si="6"/>
        <v/>
      </c>
      <c r="AB5" s="422" t="str">
        <f t="shared" si="7"/>
        <v/>
      </c>
      <c r="AC5" s="476" t="str">
        <f t="shared" si="8"/>
        <v/>
      </c>
      <c r="AD5" s="476" t="str">
        <f t="shared" si="9"/>
        <v/>
      </c>
      <c r="AE5" s="476" t="str">
        <f t="shared" si="10"/>
        <v/>
      </c>
      <c r="AF5" s="476" t="b">
        <f>IFERROR(_xlfn.XLOOKUP(Table1[[#This Row],[Opportunity ID]],'Aging Detail'!$H$14:$H$20,'Aging Detail'!$F$14:$F$20),TRUE)</f>
        <v>1</v>
      </c>
    </row>
    <row r="6" spans="1:32">
      <c r="A6" t="s">
        <v>1461</v>
      </c>
      <c r="B6" t="s">
        <v>526</v>
      </c>
      <c r="C6" t="s">
        <v>462</v>
      </c>
      <c r="D6" t="s">
        <v>1533</v>
      </c>
      <c r="E6" t="s">
        <v>1534</v>
      </c>
      <c r="I6" s="422">
        <v>46127</v>
      </c>
      <c r="J6" s="422">
        <v>46387</v>
      </c>
      <c r="K6">
        <v>31680</v>
      </c>
      <c r="L6">
        <v>31680</v>
      </c>
      <c r="M6" t="s">
        <v>1535</v>
      </c>
      <c r="N6" t="s">
        <v>1536</v>
      </c>
      <c r="O6" t="str">
        <f>_xlfn.IFNA(VLOOKUP(Table1[[#This Row],[Lead Source]],'helper tab'!A:B,2,FALSE),"Exclude")</f>
        <v>Exclude</v>
      </c>
      <c r="P6" s="422">
        <f t="shared" si="0"/>
        <v>46234.376388888886</v>
      </c>
      <c r="Q6">
        <f t="shared" si="1"/>
        <v>1</v>
      </c>
      <c r="R6">
        <f t="shared" si="2"/>
        <v>0</v>
      </c>
      <c r="S6">
        <f>IF(
AND($Q6=1,$M6&lt;&gt;""),
IF(
COUNTIFS(
$M$3:$M6,$M6,
$O$3:$O6,$O6,
$Q$3:$Q6,1,
$P$3:$P6,"&gt;="&amp;EOMONTH($P6,-1)+1,
$P$3:$P6,"&lt;"&amp;EOMONTH($P6,0)+1
)=1,
1,
0),
0)</f>
        <v>1</v>
      </c>
      <c r="T6">
        <f>IF(AND($R6=1,$M6&lt;&gt;""),IF(COUNTIFS($M$3:$M6,$M6,$O$3:$O6,$O6,$R$3:$R6,1,$P$3:$P6,"&gt;="&amp;EOMONTH($P6,-1)+1,$P$3:$P6,"&lt;"&amp;EOMONTH($P6,0)+1)=1,1,0),0)</f>
        <v>0</v>
      </c>
      <c r="U6">
        <f t="shared" si="3"/>
        <v>0</v>
      </c>
      <c r="V6">
        <f>IF(AND($U6=1,$M6&lt;&gt;""),IF(COUNTIFS($M$3:$M6,$M6,$O$3:$O6,$O6,$U$3:$U6,1,$P$3:$P6,"&gt;="&amp;EOMONTH($P6,-1)+1,$P$3:$P6,"&lt;"&amp;EOMONTH($P6,0)+1)=1,1,0),0)</f>
        <v>0</v>
      </c>
      <c r="W6" s="444">
        <f ca="1">TODAY()-Table1[[#This Row],[Change Date]]</f>
        <v>23.62361111111386</v>
      </c>
      <c r="X6" s="422" t="str">
        <f t="shared" si="4"/>
        <v/>
      </c>
      <c r="Y6" s="476">
        <f ca="1">IF(Table1[[#This Row],[Next Stage Date]]&lt;&gt;"",Table1[[#This Row],[Next Stage Date]]-Table1[[#This Row],[Change Date]],TODAY()-Table1[[#This Row],[Change Date]])</f>
        <v>23.62361111111386</v>
      </c>
      <c r="Z6" s="476">
        <f t="shared" si="5"/>
        <v>1</v>
      </c>
      <c r="AA6" s="422" t="str">
        <f t="shared" si="6"/>
        <v/>
      </c>
      <c r="AB6" s="422">
        <f t="shared" si="7"/>
        <v>46205.504166666666</v>
      </c>
      <c r="AC6" s="476">
        <f t="shared" si="8"/>
        <v>78.504166666665697</v>
      </c>
      <c r="AD6" s="476" t="str">
        <f t="shared" si="9"/>
        <v/>
      </c>
      <c r="AE6" s="476" t="str">
        <f t="shared" si="10"/>
        <v/>
      </c>
      <c r="AF6" s="476" t="b">
        <f>IFERROR(_xlfn.XLOOKUP(Table1[[#This Row],[Opportunity ID]],'Aging Detail'!$H$14:$H$20,'Aging Detail'!$F$14:$F$20),TRUE)</f>
        <v>1</v>
      </c>
    </row>
    <row r="7" spans="1:32">
      <c r="A7" t="s">
        <v>1461</v>
      </c>
      <c r="B7" t="s">
        <v>462</v>
      </c>
      <c r="C7" t="s">
        <v>526</v>
      </c>
      <c r="D7" t="s">
        <v>1537</v>
      </c>
      <c r="E7" t="s">
        <v>1534</v>
      </c>
      <c r="I7" s="422">
        <v>46127</v>
      </c>
      <c r="J7" s="422">
        <v>46387</v>
      </c>
      <c r="K7">
        <v>31680</v>
      </c>
      <c r="L7">
        <v>31680</v>
      </c>
      <c r="M7" t="s">
        <v>1535</v>
      </c>
      <c r="N7" t="s">
        <v>1536</v>
      </c>
      <c r="O7" t="str">
        <f>_xlfn.IFNA(VLOOKUP(Table1[[#This Row],[Lead Source]],'helper tab'!A:B,2,FALSE),"Exclude")</f>
        <v>Exclude</v>
      </c>
      <c r="P7" s="422">
        <f t="shared" si="0"/>
        <v>46234.375694444447</v>
      </c>
      <c r="Q7">
        <f t="shared" si="1"/>
        <v>1</v>
      </c>
      <c r="R7">
        <f t="shared" si="2"/>
        <v>0</v>
      </c>
      <c r="S7">
        <f>IF(
AND($Q7=1,$M7&lt;&gt;""),
IF(
COUNTIFS(
$M$3:$M7,$M7,
$O$3:$O7,$O7,
$Q$3:$Q7,1,
$P$3:$P7,"&gt;="&amp;EOMONTH($P7,-1)+1,
$P$3:$P7,"&lt;"&amp;EOMONTH($P7,0)+1
)=1,
1,
0),
0)</f>
        <v>0</v>
      </c>
      <c r="T7">
        <f>IF(AND($R7=1,$M7&lt;&gt;""),IF(COUNTIFS($M$3:$M7,$M7,$O$3:$O7,$O7,$R$3:$R7,1,$P$3:$P7,"&gt;="&amp;EOMONTH($P7,-1)+1,$P$3:$P7,"&lt;"&amp;EOMONTH($P7,0)+1)=1,1,0),0)</f>
        <v>0</v>
      </c>
      <c r="U7">
        <f t="shared" si="3"/>
        <v>0</v>
      </c>
      <c r="V7">
        <f>IF(AND($U7=1,$M7&lt;&gt;""),IF(COUNTIFS($M$3:$M7,$M7,$O$3:$O7,$O7,$U$3:$U7,1,$P$3:$P7,"&gt;="&amp;EOMONTH($P7,-1)+1,$P$3:$P7,"&lt;"&amp;EOMONTH($P7,0)+1)=1,1,0),0)</f>
        <v>0</v>
      </c>
      <c r="W7" s="444">
        <f ca="1">TODAY()-Table1[[#This Row],[Change Date]]</f>
        <v>23.624305555553292</v>
      </c>
      <c r="X7" s="422">
        <f t="shared" si="4"/>
        <v>46234.376388888886</v>
      </c>
      <c r="Y7" s="476">
        <f ca="1">IF(Table1[[#This Row],[Next Stage Date]]&lt;&gt;"",Table1[[#This Row],[Next Stage Date]]-Table1[[#This Row],[Change Date]],TODAY()-Table1[[#This Row],[Change Date]])</f>
        <v>6.9444443943211809E-4</v>
      </c>
      <c r="Z7" s="476">
        <f t="shared" si="5"/>
        <v>0</v>
      </c>
      <c r="AA7" s="422" t="str">
        <f t="shared" si="6"/>
        <v/>
      </c>
      <c r="AB7" s="422">
        <f t="shared" si="7"/>
        <v>46205.504166666666</v>
      </c>
      <c r="AC7" s="476">
        <f t="shared" si="8"/>
        <v>78.504166666665697</v>
      </c>
      <c r="AD7" s="476" t="str">
        <f t="shared" si="9"/>
        <v/>
      </c>
      <c r="AE7" s="476" t="str">
        <f t="shared" si="10"/>
        <v/>
      </c>
      <c r="AF7" s="476" t="b">
        <f>IFERROR(_xlfn.XLOOKUP(Table1[[#This Row],[Opportunity ID]],'Aging Detail'!$H$14:$H$20,'Aging Detail'!$F$14:$F$20),TRUE)</f>
        <v>1</v>
      </c>
    </row>
    <row r="8" spans="1:32">
      <c r="A8" t="s">
        <v>1461</v>
      </c>
      <c r="B8" t="s">
        <v>338</v>
      </c>
      <c r="C8" t="s">
        <v>1469</v>
      </c>
      <c r="D8" t="s">
        <v>1538</v>
      </c>
      <c r="E8" t="s">
        <v>1539</v>
      </c>
      <c r="F8" t="s">
        <v>202</v>
      </c>
      <c r="G8" t="s">
        <v>202</v>
      </c>
      <c r="I8" s="422">
        <v>45720</v>
      </c>
      <c r="J8" s="422">
        <v>45747</v>
      </c>
      <c r="L8">
        <v>0</v>
      </c>
      <c r="M8" t="s">
        <v>1540</v>
      </c>
      <c r="N8" t="s">
        <v>1541</v>
      </c>
      <c r="O8" t="str">
        <f>_xlfn.IFNA(VLOOKUP(Table1[[#This Row],[Lead Source]],'helper tab'!A:B,2,FALSE),"Exclude")</f>
        <v>Digital</v>
      </c>
      <c r="P8" s="422">
        <f t="shared" si="0"/>
        <v>46234.352777777778</v>
      </c>
      <c r="Q8">
        <f t="shared" si="1"/>
        <v>0</v>
      </c>
      <c r="R8">
        <f t="shared" si="2"/>
        <v>0</v>
      </c>
      <c r="S8">
        <f>IF(
AND($Q8=1,$M8&lt;&gt;""),
IF(
COUNTIFS(
$M$3:$M8,$M8,
$O$3:$O8,$O8,
$Q$3:$Q8,1,
$P$3:$P8,"&gt;="&amp;EOMONTH($P8,-1)+1,
$P$3:$P8,"&lt;"&amp;EOMONTH($P8,0)+1
)=1,
1,
0),
0)</f>
        <v>0</v>
      </c>
      <c r="T8">
        <f>IF(AND($R8=1,$M8&lt;&gt;""),IF(COUNTIFS($M$3:$M8,$M8,$O$3:$O8,$O8,$R$3:$R8,1,$P$3:$P8,"&gt;="&amp;EOMONTH($P8,-1)+1,$P$3:$P8,"&lt;"&amp;EOMONTH($P8,0)+1)=1,1,0),0)</f>
        <v>0</v>
      </c>
      <c r="U8">
        <f t="shared" si="3"/>
        <v>1</v>
      </c>
      <c r="V8">
        <f>IF(AND($U8=1,$M8&lt;&gt;""),IF(COUNTIFS($M$3:$M8,$M8,$O$3:$O8,$O8,$U$3:$U8,1,$P$3:$P8,"&gt;="&amp;EOMONTH($P8,-1)+1,$P$3:$P8,"&lt;"&amp;EOMONTH($P8,0)+1)=1,1,0),0)</f>
        <v>1</v>
      </c>
      <c r="W8" s="444">
        <f ca="1">TODAY()-Table1[[#This Row],[Change Date]]</f>
        <v>23.647222222221899</v>
      </c>
      <c r="X8" s="422" t="str">
        <f t="shared" si="4"/>
        <v/>
      </c>
      <c r="Y8" s="476">
        <f ca="1">IF(Table1[[#This Row],[Next Stage Date]]&lt;&gt;"",Table1[[#This Row],[Next Stage Date]]-Table1[[#This Row],[Change Date]],TODAY()-Table1[[#This Row],[Change Date]])</f>
        <v>23.647222222221899</v>
      </c>
      <c r="Z8" s="476">
        <f t="shared" si="5"/>
        <v>1</v>
      </c>
      <c r="AA8" s="422" t="str">
        <f t="shared" si="6"/>
        <v/>
      </c>
      <c r="AB8" s="422" t="str">
        <f t="shared" si="7"/>
        <v/>
      </c>
      <c r="AC8" s="476" t="str">
        <f t="shared" si="8"/>
        <v/>
      </c>
      <c r="AD8" s="476" t="str">
        <f t="shared" si="9"/>
        <v/>
      </c>
      <c r="AE8" s="476" t="str">
        <f t="shared" si="10"/>
        <v/>
      </c>
      <c r="AF8" s="476" t="b">
        <f>IFERROR(_xlfn.XLOOKUP(Table1[[#This Row],[Opportunity ID]],'Aging Detail'!$H$14:$H$20,'Aging Detail'!$F$14:$F$20),TRUE)</f>
        <v>1</v>
      </c>
    </row>
    <row r="9" spans="1:32">
      <c r="A9" t="s">
        <v>1461</v>
      </c>
      <c r="B9" t="s">
        <v>338</v>
      </c>
      <c r="C9" t="s">
        <v>1469</v>
      </c>
      <c r="D9" t="s">
        <v>1542</v>
      </c>
      <c r="E9" t="s">
        <v>1543</v>
      </c>
      <c r="F9" t="s">
        <v>202</v>
      </c>
      <c r="I9" s="422">
        <v>45720</v>
      </c>
      <c r="J9" s="422">
        <v>45747</v>
      </c>
      <c r="L9">
        <v>0</v>
      </c>
      <c r="M9" t="s">
        <v>1544</v>
      </c>
      <c r="N9" t="s">
        <v>1541</v>
      </c>
      <c r="O9" t="str">
        <f>_xlfn.IFNA(VLOOKUP(Table1[[#This Row],[Lead Source]],'helper tab'!A:B,2,FALSE),"Exclude")</f>
        <v>Digital</v>
      </c>
      <c r="P9" s="422">
        <f t="shared" si="0"/>
        <v>46234.352083333331</v>
      </c>
      <c r="Q9">
        <f t="shared" si="1"/>
        <v>0</v>
      </c>
      <c r="R9">
        <f t="shared" si="2"/>
        <v>0</v>
      </c>
      <c r="S9">
        <f>IF(
AND($Q9=1,$M9&lt;&gt;""),
IF(
COUNTIFS(
$M$3:$M9,$M9,
$O$3:$O9,$O9,
$Q$3:$Q9,1,
$P$3:$P9,"&gt;="&amp;EOMONTH($P9,-1)+1,
$P$3:$P9,"&lt;"&amp;EOMONTH($P9,0)+1
)=1,
1,
0),
0)</f>
        <v>0</v>
      </c>
      <c r="T9">
        <f>IF(AND($R9=1,$M9&lt;&gt;""),IF(COUNTIFS($M$3:$M9,$M9,$O$3:$O9,$O9,$R$3:$R9,1,$P$3:$P9,"&gt;="&amp;EOMONTH($P9,-1)+1,$P$3:$P9,"&lt;"&amp;EOMONTH($P9,0)+1)=1,1,0),0)</f>
        <v>0</v>
      </c>
      <c r="U9">
        <f t="shared" si="3"/>
        <v>1</v>
      </c>
      <c r="V9">
        <f>IF(AND($U9=1,$M9&lt;&gt;""),IF(COUNTIFS($M$3:$M9,$M9,$O$3:$O9,$O9,$U$3:$U9,1,$P$3:$P9,"&gt;="&amp;EOMONTH($P9,-1)+1,$P$3:$P9,"&lt;"&amp;EOMONTH($P9,0)+1)=1,1,0),0)</f>
        <v>1</v>
      </c>
      <c r="W9" s="444">
        <f ca="1">TODAY()-Table1[[#This Row],[Change Date]]</f>
        <v>23.647916666668607</v>
      </c>
      <c r="X9" s="422" t="str">
        <f t="shared" si="4"/>
        <v/>
      </c>
      <c r="Y9" s="476">
        <f ca="1">IF(Table1[[#This Row],[Next Stage Date]]&lt;&gt;"",Table1[[#This Row],[Next Stage Date]]-Table1[[#This Row],[Change Date]],TODAY()-Table1[[#This Row],[Change Date]])</f>
        <v>23.647916666668607</v>
      </c>
      <c r="Z9" s="476">
        <f t="shared" si="5"/>
        <v>1</v>
      </c>
      <c r="AA9" s="422" t="str">
        <f t="shared" si="6"/>
        <v/>
      </c>
      <c r="AB9" s="422" t="str">
        <f t="shared" si="7"/>
        <v/>
      </c>
      <c r="AC9" s="476" t="str">
        <f t="shared" si="8"/>
        <v/>
      </c>
      <c r="AD9" s="476" t="str">
        <f t="shared" si="9"/>
        <v/>
      </c>
      <c r="AE9" s="476" t="str">
        <f t="shared" si="10"/>
        <v/>
      </c>
      <c r="AF9" s="476" t="b">
        <f>IFERROR(_xlfn.XLOOKUP(Table1[[#This Row],[Opportunity ID]],'Aging Detail'!$H$14:$H$20,'Aging Detail'!$F$14:$F$20),TRUE)</f>
        <v>1</v>
      </c>
    </row>
    <row r="10" spans="1:32">
      <c r="A10" t="s">
        <v>1461</v>
      </c>
      <c r="B10" t="s">
        <v>408</v>
      </c>
      <c r="C10" t="s">
        <v>1462</v>
      </c>
      <c r="D10" t="s">
        <v>1545</v>
      </c>
      <c r="E10" t="s">
        <v>1526</v>
      </c>
      <c r="F10" t="s">
        <v>148</v>
      </c>
      <c r="H10" t="s">
        <v>169</v>
      </c>
      <c r="I10" s="422">
        <v>46195</v>
      </c>
      <c r="J10" s="422">
        <v>46290</v>
      </c>
      <c r="K10">
        <v>210184</v>
      </c>
      <c r="L10">
        <v>140184</v>
      </c>
      <c r="M10" t="s">
        <v>1527</v>
      </c>
      <c r="N10" t="s">
        <v>1528</v>
      </c>
      <c r="O10" t="str">
        <f>_xlfn.IFNA(VLOOKUP(Table1[[#This Row],[Lead Source]],'helper tab'!A:B,2,FALSE),"Exclude")</f>
        <v>Alliances</v>
      </c>
      <c r="P10" s="422">
        <f t="shared" si="0"/>
        <v>46234.29791666667</v>
      </c>
      <c r="Q10">
        <f t="shared" si="1"/>
        <v>0</v>
      </c>
      <c r="R10">
        <f t="shared" si="2"/>
        <v>0</v>
      </c>
      <c r="S10">
        <f>IF(
AND($Q10=1,$M10&lt;&gt;""),
IF(
COUNTIFS(
$M$3:$M10,$M10,
$O$3:$O10,$O10,
$Q$3:$Q10,1,
$P$3:$P10,"&gt;="&amp;EOMONTH($P10,-1)+1,
$P$3:$P10,"&lt;"&amp;EOMONTH($P10,0)+1
)=1,
1,
0),
0)</f>
        <v>0</v>
      </c>
      <c r="T10">
        <f>IF(AND($R10=1,$M10&lt;&gt;""),IF(COUNTIFS($M$3:$M10,$M10,$O$3:$O10,$O10,$R$3:$R10,1,$P$3:$P10,"&gt;="&amp;EOMONTH($P10,-1)+1,$P$3:$P10,"&lt;"&amp;EOMONTH($P10,0)+1)=1,1,0),0)</f>
        <v>0</v>
      </c>
      <c r="U10">
        <f t="shared" si="3"/>
        <v>0</v>
      </c>
      <c r="V10">
        <f>IF(AND($U10=1,$M10&lt;&gt;""),IF(COUNTIFS($M$3:$M10,$M10,$O$3:$O10,$O10,$U$3:$U10,1,$P$3:$P10,"&gt;="&amp;EOMONTH($P10,-1)+1,$P$3:$P10,"&lt;"&amp;EOMONTH($P10,0)+1)=1,1,0),0)</f>
        <v>0</v>
      </c>
      <c r="W10" s="444">
        <f ca="1">TODAY()-Table1[[#This Row],[Change Date]]</f>
        <v>23.702083333329938</v>
      </c>
      <c r="X10" s="422">
        <f t="shared" si="4"/>
        <v>46234.477777777778</v>
      </c>
      <c r="Y10" s="476">
        <f ca="1">IF(Table1[[#This Row],[Next Stage Date]]&lt;&gt;"",Table1[[#This Row],[Next Stage Date]]-Table1[[#This Row],[Change Date]],TODAY()-Table1[[#This Row],[Change Date]])</f>
        <v>0.17986111110803904</v>
      </c>
      <c r="Z10" s="476">
        <f t="shared" si="5"/>
        <v>0</v>
      </c>
      <c r="AA10" s="422" t="str">
        <f t="shared" si="6"/>
        <v/>
      </c>
      <c r="AB10" s="422">
        <f t="shared" si="7"/>
        <v>46234.477777777778</v>
      </c>
      <c r="AC10" s="476">
        <f t="shared" si="8"/>
        <v>39.477777777778101</v>
      </c>
      <c r="AD10" s="476" t="str">
        <f t="shared" si="9"/>
        <v/>
      </c>
      <c r="AE10" s="476" t="str">
        <f t="shared" si="10"/>
        <v/>
      </c>
      <c r="AF10" s="476" t="b">
        <f>IFERROR(_xlfn.XLOOKUP(Table1[[#This Row],[Opportunity ID]],'Aging Detail'!$H$14:$H$20,'Aging Detail'!$F$14:$F$20),TRUE)</f>
        <v>1</v>
      </c>
    </row>
    <row r="11" spans="1:32">
      <c r="A11" t="s">
        <v>1461</v>
      </c>
      <c r="B11" t="s">
        <v>462</v>
      </c>
      <c r="C11" t="s">
        <v>1469</v>
      </c>
      <c r="D11" t="s">
        <v>1546</v>
      </c>
      <c r="E11" t="s">
        <v>1547</v>
      </c>
      <c r="I11" s="422">
        <v>46210</v>
      </c>
      <c r="J11" s="422">
        <v>46356</v>
      </c>
      <c r="K11">
        <v>30950.639999999999</v>
      </c>
      <c r="L11">
        <v>30950.639999999999</v>
      </c>
      <c r="M11" t="s">
        <v>1548</v>
      </c>
      <c r="N11" t="s">
        <v>1549</v>
      </c>
      <c r="O11" t="str">
        <f>_xlfn.IFNA(VLOOKUP(Table1[[#This Row],[Lead Source]],'helper tab'!A:B,2,FALSE),"Exclude")</f>
        <v>Exclude</v>
      </c>
      <c r="P11" s="422">
        <f t="shared" si="0"/>
        <v>46233.540972222225</v>
      </c>
      <c r="Q11">
        <f t="shared" si="1"/>
        <v>0</v>
      </c>
      <c r="R11">
        <f t="shared" si="2"/>
        <v>0</v>
      </c>
      <c r="S11">
        <f>IF(
AND($Q11=1,$M11&lt;&gt;""),
IF(
COUNTIFS(
$M$3:$M11,$M11,
$O$3:$O11,$O11,
$Q$3:$Q11,1,
$P$3:$P11,"&gt;="&amp;EOMONTH($P11,-1)+1,
$P$3:$P11,"&lt;"&amp;EOMONTH($P11,0)+1
)=1,
1,
0),
0)</f>
        <v>0</v>
      </c>
      <c r="T11">
        <f>IF(AND($R11=1,$M11&lt;&gt;""),IF(COUNTIFS($M$3:$M11,$M11,$O$3:$O11,$O11,$R$3:$R11,1,$P$3:$P11,"&gt;="&amp;EOMONTH($P11,-1)+1,$P$3:$P11,"&lt;"&amp;EOMONTH($P11,0)+1)=1,1,0),0)</f>
        <v>0</v>
      </c>
      <c r="U11">
        <f t="shared" si="3"/>
        <v>1</v>
      </c>
      <c r="V11">
        <f>IF(AND($U11=1,$M11&lt;&gt;""),IF(COUNTIFS($M$3:$M11,$M11,$O$3:$O11,$O11,$U$3:$U11,1,$P$3:$P11,"&gt;="&amp;EOMONTH($P11,-1)+1,$P$3:$P11,"&lt;"&amp;EOMONTH($P11,0)+1)=1,1,0),0)</f>
        <v>1</v>
      </c>
      <c r="W11" s="444">
        <f ca="1">TODAY()-Table1[[#This Row],[Change Date]]</f>
        <v>24.459027777775191</v>
      </c>
      <c r="X11" s="422" t="str">
        <f t="shared" si="4"/>
        <v/>
      </c>
      <c r="Y11" s="476">
        <f ca="1">IF(Table1[[#This Row],[Next Stage Date]]&lt;&gt;"",Table1[[#This Row],[Next Stage Date]]-Table1[[#This Row],[Change Date]],TODAY()-Table1[[#This Row],[Change Date]])</f>
        <v>24.459027777775191</v>
      </c>
      <c r="Z11" s="476">
        <f t="shared" si="5"/>
        <v>1</v>
      </c>
      <c r="AA11" s="422" t="str">
        <f t="shared" si="6"/>
        <v/>
      </c>
      <c r="AB11" s="422">
        <f t="shared" si="7"/>
        <v>46210.517361111109</v>
      </c>
      <c r="AC11" s="476">
        <f t="shared" si="8"/>
        <v>0.51736111110949423</v>
      </c>
      <c r="AD11" s="476" t="str">
        <f t="shared" si="9"/>
        <v/>
      </c>
      <c r="AE11" s="476" t="str">
        <f t="shared" si="10"/>
        <v/>
      </c>
      <c r="AF11" s="476" t="b">
        <f>IFERROR(_xlfn.XLOOKUP(Table1[[#This Row],[Opportunity ID]],'Aging Detail'!$H$14:$H$20,'Aging Detail'!$F$14:$F$20),TRUE)</f>
        <v>1</v>
      </c>
    </row>
    <row r="12" spans="1:32">
      <c r="A12" t="s">
        <v>1461</v>
      </c>
      <c r="B12" t="s">
        <v>408</v>
      </c>
      <c r="C12" t="s">
        <v>1462</v>
      </c>
      <c r="D12" t="s">
        <v>1550</v>
      </c>
      <c r="E12" t="s">
        <v>763</v>
      </c>
      <c r="F12" t="s">
        <v>470</v>
      </c>
      <c r="G12" t="s">
        <v>470</v>
      </c>
      <c r="I12" s="422">
        <v>45938</v>
      </c>
      <c r="J12" s="422">
        <v>46752</v>
      </c>
      <c r="K12">
        <v>50000</v>
      </c>
      <c r="L12">
        <v>50000</v>
      </c>
      <c r="M12" t="s">
        <v>1551</v>
      </c>
      <c r="N12" t="s">
        <v>1552</v>
      </c>
      <c r="O12" t="str">
        <f>_xlfn.IFNA(VLOOKUP(Table1[[#This Row],[Lead Source]],'helper tab'!A:B,2,FALSE),"Exclude")</f>
        <v>Digital</v>
      </c>
      <c r="P12" s="422">
        <f t="shared" si="0"/>
        <v>46233.499305555553</v>
      </c>
      <c r="Q12">
        <f t="shared" si="1"/>
        <v>0</v>
      </c>
      <c r="R12">
        <f t="shared" si="2"/>
        <v>0</v>
      </c>
      <c r="S12">
        <f>IF(
AND($Q12=1,$M12&lt;&gt;""),
IF(
COUNTIFS(
$M$3:$M12,$M12,
$O$3:$O12,$O12,
$Q$3:$Q12,1,
$P$3:$P12,"&gt;="&amp;EOMONTH($P12,-1)+1,
$P$3:$P12,"&lt;"&amp;EOMONTH($P12,0)+1
)=1,
1,
0),
0)</f>
        <v>0</v>
      </c>
      <c r="T12">
        <f>IF(AND($R12=1,$M12&lt;&gt;""),IF(COUNTIFS($M$3:$M12,$M12,$O$3:$O12,$O12,$R$3:$R12,1,$P$3:$P12,"&gt;="&amp;EOMONTH($P12,-1)+1,$P$3:$P12,"&lt;"&amp;EOMONTH($P12,0)+1)=1,1,0),0)</f>
        <v>0</v>
      </c>
      <c r="U12">
        <f t="shared" si="3"/>
        <v>0</v>
      </c>
      <c r="V12">
        <f>IF(AND($U12=1,$M12&lt;&gt;""),IF(COUNTIFS($M$3:$M12,$M12,$O$3:$O12,$O12,$U$3:$U12,1,$P$3:$P12,"&gt;="&amp;EOMONTH($P12,-1)+1,$P$3:$P12,"&lt;"&amp;EOMONTH($P12,0)+1)=1,1,0),0)</f>
        <v>0</v>
      </c>
      <c r="W12" s="444">
        <f ca="1">TODAY()-Table1[[#This Row],[Change Date]]</f>
        <v>24.500694444446708</v>
      </c>
      <c r="X12" s="422" t="str">
        <f t="shared" si="4"/>
        <v/>
      </c>
      <c r="Y12" s="476">
        <f ca="1">IF(Table1[[#This Row],[Next Stage Date]]&lt;&gt;"",Table1[[#This Row],[Next Stage Date]]-Table1[[#This Row],[Change Date]],TODAY()-Table1[[#This Row],[Change Date]])</f>
        <v>24.500694444446708</v>
      </c>
      <c r="Z12" s="476">
        <f t="shared" si="5"/>
        <v>1</v>
      </c>
      <c r="AA12" s="422" t="str">
        <f t="shared" si="6"/>
        <v/>
      </c>
      <c r="AB12" s="422" t="str">
        <f t="shared" si="7"/>
        <v/>
      </c>
      <c r="AC12" s="476" t="str">
        <f t="shared" si="8"/>
        <v/>
      </c>
      <c r="AD12" s="476" t="str">
        <f t="shared" si="9"/>
        <v/>
      </c>
      <c r="AE12" s="476" t="str">
        <f t="shared" si="10"/>
        <v/>
      </c>
      <c r="AF12" s="476" t="b">
        <f>IFERROR(_xlfn.XLOOKUP(Table1[[#This Row],[Opportunity ID]],'Aging Detail'!$H$14:$H$20,'Aging Detail'!$F$14:$F$20),TRUE)</f>
        <v>1</v>
      </c>
    </row>
    <row r="13" spans="1:32">
      <c r="A13" t="s">
        <v>1461</v>
      </c>
      <c r="B13" t="s">
        <v>408</v>
      </c>
      <c r="C13" t="s">
        <v>1462</v>
      </c>
      <c r="D13" t="s">
        <v>1553</v>
      </c>
      <c r="E13" t="s">
        <v>1554</v>
      </c>
      <c r="F13" t="s">
        <v>1465</v>
      </c>
      <c r="I13" s="422">
        <v>46097</v>
      </c>
      <c r="J13" s="422">
        <v>46283</v>
      </c>
      <c r="K13">
        <v>100400</v>
      </c>
      <c r="L13">
        <v>50400</v>
      </c>
      <c r="M13" t="s">
        <v>1555</v>
      </c>
      <c r="N13" t="s">
        <v>1556</v>
      </c>
      <c r="O13" t="str">
        <f>_xlfn.IFNA(VLOOKUP(Table1[[#This Row],[Lead Source]],'helper tab'!A:B,2,FALSE),"Exclude")</f>
        <v>Exclude</v>
      </c>
      <c r="P13" s="422">
        <f t="shared" si="0"/>
        <v>46233.497916666667</v>
      </c>
      <c r="Q13">
        <f t="shared" si="1"/>
        <v>0</v>
      </c>
      <c r="R13">
        <f t="shared" si="2"/>
        <v>0</v>
      </c>
      <c r="S13">
        <f>IF(
AND($Q13=1,$M13&lt;&gt;""),
IF(
COUNTIFS(
$M$3:$M13,$M13,
$O$3:$O13,$O13,
$Q$3:$Q13,1,
$P$3:$P13,"&gt;="&amp;EOMONTH($P13,-1)+1,
$P$3:$P13,"&lt;"&amp;EOMONTH($P13,0)+1
)=1,
1,
0),
0)</f>
        <v>0</v>
      </c>
      <c r="T13">
        <f>IF(AND($R13=1,$M13&lt;&gt;""),IF(COUNTIFS($M$3:$M13,$M13,$O$3:$O13,$O13,$R$3:$R13,1,$P$3:$P13,"&gt;="&amp;EOMONTH($P13,-1)+1,$P$3:$P13,"&lt;"&amp;EOMONTH($P13,0)+1)=1,1,0),0)</f>
        <v>0</v>
      </c>
      <c r="U13">
        <f t="shared" si="3"/>
        <v>0</v>
      </c>
      <c r="V13">
        <f>IF(AND($U13=1,$M13&lt;&gt;""),IF(COUNTIFS($M$3:$M13,$M13,$O$3:$O13,$O13,$U$3:$U13,1,$P$3:$P13,"&gt;="&amp;EOMONTH($P13,-1)+1,$P$3:$P13,"&lt;"&amp;EOMONTH($P13,0)+1)=1,1,0),0)</f>
        <v>0</v>
      </c>
      <c r="W13" s="444">
        <f ca="1">TODAY()-Table1[[#This Row],[Change Date]]</f>
        <v>24.502083333332848</v>
      </c>
      <c r="X13" s="422" t="str">
        <f t="shared" si="4"/>
        <v/>
      </c>
      <c r="Y13" s="476">
        <f ca="1">IF(Table1[[#This Row],[Next Stage Date]]&lt;&gt;"",Table1[[#This Row],[Next Stage Date]]-Table1[[#This Row],[Change Date]],TODAY()-Table1[[#This Row],[Change Date]])</f>
        <v>24.502083333332848</v>
      </c>
      <c r="Z13" s="476">
        <f t="shared" si="5"/>
        <v>1</v>
      </c>
      <c r="AA13" s="422" t="str">
        <f t="shared" si="6"/>
        <v/>
      </c>
      <c r="AB13" s="422" t="str">
        <f t="shared" si="7"/>
        <v/>
      </c>
      <c r="AC13" s="476" t="str">
        <f t="shared" si="8"/>
        <v/>
      </c>
      <c r="AD13" s="476" t="str">
        <f t="shared" si="9"/>
        <v/>
      </c>
      <c r="AE13" s="476" t="str">
        <f t="shared" si="10"/>
        <v/>
      </c>
      <c r="AF13" s="476" t="b">
        <f>IFERROR(_xlfn.XLOOKUP(Table1[[#This Row],[Opportunity ID]],'Aging Detail'!$H$14:$H$20,'Aging Detail'!$F$14:$F$20),TRUE)</f>
        <v>1</v>
      </c>
    </row>
    <row r="14" spans="1:32">
      <c r="A14" t="s">
        <v>1461</v>
      </c>
      <c r="B14" t="s">
        <v>408</v>
      </c>
      <c r="C14" t="s">
        <v>1462</v>
      </c>
      <c r="D14" t="s">
        <v>1557</v>
      </c>
      <c r="E14" t="s">
        <v>1558</v>
      </c>
      <c r="F14" t="s">
        <v>1465</v>
      </c>
      <c r="I14" s="422">
        <v>46097</v>
      </c>
      <c r="J14" s="422">
        <v>46374</v>
      </c>
      <c r="K14">
        <v>617600</v>
      </c>
      <c r="L14">
        <v>537600</v>
      </c>
      <c r="M14" t="s">
        <v>1559</v>
      </c>
      <c r="N14" t="s">
        <v>516</v>
      </c>
      <c r="O14" t="str">
        <f>_xlfn.IFNA(VLOOKUP(Table1[[#This Row],[Lead Source]],'helper tab'!A:B,2,FALSE),"Exclude")</f>
        <v>Exclude</v>
      </c>
      <c r="P14" s="422">
        <f t="shared" si="0"/>
        <v>46233.49722222222</v>
      </c>
      <c r="Q14">
        <f t="shared" si="1"/>
        <v>0</v>
      </c>
      <c r="R14">
        <f t="shared" si="2"/>
        <v>0</v>
      </c>
      <c r="S14">
        <f>IF(
AND($Q14=1,$M14&lt;&gt;""),
IF(
COUNTIFS(
$M$3:$M14,$M14,
$O$3:$O14,$O14,
$Q$3:$Q14,1,
$P$3:$P14,"&gt;="&amp;EOMONTH($P14,-1)+1,
$P$3:$P14,"&lt;"&amp;EOMONTH($P14,0)+1
)=1,
1,
0),
0)</f>
        <v>0</v>
      </c>
      <c r="T14">
        <f>IF(AND($R14=1,$M14&lt;&gt;""),IF(COUNTIFS($M$3:$M14,$M14,$O$3:$O14,$O14,$R$3:$R14,1,$P$3:$P14,"&gt;="&amp;EOMONTH($P14,-1)+1,$P$3:$P14,"&lt;"&amp;EOMONTH($P14,0)+1)=1,1,0),0)</f>
        <v>0</v>
      </c>
      <c r="U14">
        <f t="shared" si="3"/>
        <v>0</v>
      </c>
      <c r="V14">
        <f>IF(AND($U14=1,$M14&lt;&gt;""),IF(COUNTIFS($M$3:$M14,$M14,$O$3:$O14,$O14,$U$3:$U14,1,$P$3:$P14,"&gt;="&amp;EOMONTH($P14,-1)+1,$P$3:$P14,"&lt;"&amp;EOMONTH($P14,0)+1)=1,1,0),0)</f>
        <v>0</v>
      </c>
      <c r="W14" s="444">
        <f ca="1">TODAY()-Table1[[#This Row],[Change Date]]</f>
        <v>24.502777777779556</v>
      </c>
      <c r="X14" s="422" t="str">
        <f t="shared" si="4"/>
        <v/>
      </c>
      <c r="Y14" s="476">
        <f ca="1">IF(Table1[[#This Row],[Next Stage Date]]&lt;&gt;"",Table1[[#This Row],[Next Stage Date]]-Table1[[#This Row],[Change Date]],TODAY()-Table1[[#This Row],[Change Date]])</f>
        <v>24.502777777779556</v>
      </c>
      <c r="Z14" s="476">
        <f t="shared" si="5"/>
        <v>1</v>
      </c>
      <c r="AA14" s="422" t="str">
        <f t="shared" si="6"/>
        <v/>
      </c>
      <c r="AB14" s="422" t="str">
        <f t="shared" si="7"/>
        <v/>
      </c>
      <c r="AC14" s="476" t="str">
        <f t="shared" si="8"/>
        <v/>
      </c>
      <c r="AD14" s="476" t="str">
        <f t="shared" si="9"/>
        <v/>
      </c>
      <c r="AE14" s="476" t="str">
        <f t="shared" si="10"/>
        <v/>
      </c>
      <c r="AF14" s="476" t="b">
        <f>IFERROR(_xlfn.XLOOKUP(Table1[[#This Row],[Opportunity ID]],'Aging Detail'!$H$14:$H$20,'Aging Detail'!$F$14:$F$20),TRUE)</f>
        <v>1</v>
      </c>
    </row>
    <row r="15" spans="1:32">
      <c r="A15" t="s">
        <v>1461</v>
      </c>
      <c r="B15" t="s">
        <v>408</v>
      </c>
      <c r="C15" t="s">
        <v>1462</v>
      </c>
      <c r="D15" t="s">
        <v>1560</v>
      </c>
      <c r="E15" t="s">
        <v>1561</v>
      </c>
      <c r="F15" t="s">
        <v>1465</v>
      </c>
      <c r="G15" t="s">
        <v>1562</v>
      </c>
      <c r="I15" s="422">
        <v>46137</v>
      </c>
      <c r="J15" s="422">
        <v>46374</v>
      </c>
      <c r="K15">
        <v>178800</v>
      </c>
      <c r="L15">
        <v>118800</v>
      </c>
      <c r="M15" t="s">
        <v>1563</v>
      </c>
      <c r="N15" t="s">
        <v>1564</v>
      </c>
      <c r="O15" t="str">
        <f>_xlfn.IFNA(VLOOKUP(Table1[[#This Row],[Lead Source]],'helper tab'!A:B,2,FALSE),"Exclude")</f>
        <v>Exclude</v>
      </c>
      <c r="P15" s="422">
        <f t="shared" si="0"/>
        <v>46233.468055555553</v>
      </c>
      <c r="Q15">
        <f t="shared" si="1"/>
        <v>0</v>
      </c>
      <c r="R15">
        <f t="shared" si="2"/>
        <v>0</v>
      </c>
      <c r="S15">
        <f>IF(
AND($Q15=1,$M15&lt;&gt;""),
IF(
COUNTIFS(
$M$3:$M15,$M15,
$O$3:$O15,$O15,
$Q$3:$Q15,1,
$P$3:$P15,"&gt;="&amp;EOMONTH($P15,-1)+1,
$P$3:$P15,"&lt;"&amp;EOMONTH($P15,0)+1
)=1,
1,
0),
0)</f>
        <v>0</v>
      </c>
      <c r="T15">
        <f>IF(AND($R15=1,$M15&lt;&gt;""),IF(COUNTIFS($M$3:$M15,$M15,$O$3:$O15,$O15,$R$3:$R15,1,$P$3:$P15,"&gt;="&amp;EOMONTH($P15,-1)+1,$P$3:$P15,"&lt;"&amp;EOMONTH($P15,0)+1)=1,1,0),0)</f>
        <v>0</v>
      </c>
      <c r="U15">
        <f t="shared" si="3"/>
        <v>0</v>
      </c>
      <c r="V15">
        <f>IF(AND($U15=1,$M15&lt;&gt;""),IF(COUNTIFS($M$3:$M15,$M15,$O$3:$O15,$O15,$U$3:$U15,1,$P$3:$P15,"&gt;="&amp;EOMONTH($P15,-1)+1,$P$3:$P15,"&lt;"&amp;EOMONTH($P15,0)+1)=1,1,0),0)</f>
        <v>0</v>
      </c>
      <c r="W15" s="444">
        <f ca="1">TODAY()-Table1[[#This Row],[Change Date]]</f>
        <v>24.531944444446708</v>
      </c>
      <c r="X15" s="422" t="str">
        <f t="shared" si="4"/>
        <v/>
      </c>
      <c r="Y15" s="476">
        <f ca="1">IF(Table1[[#This Row],[Next Stage Date]]&lt;&gt;"",Table1[[#This Row],[Next Stage Date]]-Table1[[#This Row],[Change Date]],TODAY()-Table1[[#This Row],[Change Date]])</f>
        <v>24.531944444446708</v>
      </c>
      <c r="Z15" s="476">
        <f t="shared" si="5"/>
        <v>1</v>
      </c>
      <c r="AA15" s="422" t="str">
        <f t="shared" si="6"/>
        <v/>
      </c>
      <c r="AB15" s="422" t="str">
        <f t="shared" si="7"/>
        <v/>
      </c>
      <c r="AC15" s="476" t="str">
        <f t="shared" si="8"/>
        <v/>
      </c>
      <c r="AD15" s="476" t="str">
        <f t="shared" si="9"/>
        <v/>
      </c>
      <c r="AE15" s="476" t="str">
        <f t="shared" si="10"/>
        <v/>
      </c>
      <c r="AF15" s="476" t="b">
        <f>IFERROR(_xlfn.XLOOKUP(Table1[[#This Row],[Opportunity ID]],'Aging Detail'!$H$14:$H$20,'Aging Detail'!$F$14:$F$20),TRUE)</f>
        <v>1</v>
      </c>
    </row>
    <row r="16" spans="1:32">
      <c r="A16" t="s">
        <v>1461</v>
      </c>
      <c r="B16" t="s">
        <v>408</v>
      </c>
      <c r="C16" t="s">
        <v>1469</v>
      </c>
      <c r="D16" t="s">
        <v>1565</v>
      </c>
      <c r="E16" t="s">
        <v>1566</v>
      </c>
      <c r="F16" t="s">
        <v>1465</v>
      </c>
      <c r="I16" s="422">
        <v>45750</v>
      </c>
      <c r="J16" s="422">
        <v>46232</v>
      </c>
      <c r="K16">
        <v>25000</v>
      </c>
      <c r="L16">
        <v>25000</v>
      </c>
      <c r="M16" t="s">
        <v>1567</v>
      </c>
      <c r="N16" t="s">
        <v>1568</v>
      </c>
      <c r="O16" t="str">
        <f>_xlfn.IFNA(VLOOKUP(Table1[[#This Row],[Lead Source]],'helper tab'!A:B,2,FALSE),"Exclude")</f>
        <v>Exclude</v>
      </c>
      <c r="P16" s="422">
        <f t="shared" si="0"/>
        <v>46232.54791666667</v>
      </c>
      <c r="Q16">
        <f t="shared" si="1"/>
        <v>0</v>
      </c>
      <c r="R16">
        <f t="shared" si="2"/>
        <v>0</v>
      </c>
      <c r="S16">
        <f>IF(
AND($Q16=1,$M16&lt;&gt;""),
IF(
COUNTIFS(
$M$3:$M45,$M16,
$O$3:$O45,$O16,
$Q$3:$Q45,1,
$P$3:$P45,"&gt;="&amp;EOMONTH($P16,-1)+1,
$P$3:$P45,"&lt;"&amp;EOMONTH($P16,0)+1
)=1,
1,
0),
0)</f>
        <v>0</v>
      </c>
      <c r="T16">
        <f>IF(AND($R16=1,$M16&lt;&gt;""),IF(COUNTIFS($M$3:$M16,$M16,$O$3:$O16,$O16,$R$3:$R16,1,$P$3:$P16,"&gt;="&amp;EOMONTH($P16,-1)+1,$P$3:$P16,"&lt;"&amp;EOMONTH($P16,0)+1)=1,1,0),0)</f>
        <v>0</v>
      </c>
      <c r="U16">
        <f t="shared" si="3"/>
        <v>1</v>
      </c>
      <c r="V16">
        <f>IF(AND($U16=1,$M16&lt;&gt;""),IF(COUNTIFS($M$3:$M16,$M16,$O$3:$O16,$O16,$U$3:$U16,1,$P$3:$P16,"&gt;="&amp;EOMONTH($P16,-1)+1,$P$3:$P16,"&lt;"&amp;EOMONTH($P16,0)+1)=1,1,0),0)</f>
        <v>1</v>
      </c>
      <c r="W16" s="444">
        <f ca="1">TODAY()-Table1[[#This Row],[Change Date]]</f>
        <v>25.452083333329938</v>
      </c>
      <c r="X16" s="422" t="str">
        <f t="shared" si="4"/>
        <v/>
      </c>
      <c r="Y16" s="476">
        <f ca="1">IF(Table1[[#This Row],[Next Stage Date]]&lt;&gt;"",Table1[[#This Row],[Next Stage Date]]-Table1[[#This Row],[Change Date]],TODAY()-Table1[[#This Row],[Change Date]])</f>
        <v>25.452083333329938</v>
      </c>
      <c r="Z16" s="476">
        <f t="shared" si="5"/>
        <v>1</v>
      </c>
      <c r="AA16" s="422" t="str">
        <f t="shared" si="6"/>
        <v/>
      </c>
      <c r="AB16" s="422" t="str">
        <f t="shared" si="7"/>
        <v/>
      </c>
      <c r="AC16" s="476" t="str">
        <f t="shared" si="8"/>
        <v/>
      </c>
      <c r="AD16" s="476" t="str">
        <f t="shared" si="9"/>
        <v/>
      </c>
      <c r="AE16" s="476" t="str">
        <f t="shared" si="10"/>
        <v/>
      </c>
      <c r="AF16" s="476" t="b">
        <f>IFERROR(_xlfn.XLOOKUP(Table1[[#This Row],[Opportunity ID]],'Aging Detail'!$H$14:$H$20,'Aging Detail'!$F$14:$F$20),TRUE)</f>
        <v>1</v>
      </c>
    </row>
    <row r="17" spans="1:32">
      <c r="A17" t="s">
        <v>1461</v>
      </c>
      <c r="B17" t="s">
        <v>408</v>
      </c>
      <c r="C17" t="s">
        <v>1462</v>
      </c>
      <c r="D17" t="s">
        <v>1569</v>
      </c>
      <c r="E17" t="s">
        <v>1570</v>
      </c>
      <c r="F17" t="s">
        <v>1571</v>
      </c>
      <c r="I17" s="422">
        <v>46118</v>
      </c>
      <c r="J17" s="422">
        <v>46568</v>
      </c>
      <c r="K17">
        <v>189600</v>
      </c>
      <c r="L17">
        <v>129600</v>
      </c>
      <c r="M17" t="s">
        <v>1572</v>
      </c>
      <c r="N17" t="s">
        <v>1573</v>
      </c>
      <c r="O17" t="str">
        <f>_xlfn.IFNA(VLOOKUP(Table1[[#This Row],[Lead Source]],'helper tab'!A:B,2,FALSE),"Exclude")</f>
        <v>Exclude</v>
      </c>
      <c r="P17" s="422">
        <f t="shared" si="0"/>
        <v>46232.545138888891</v>
      </c>
      <c r="Q17">
        <f t="shared" si="1"/>
        <v>0</v>
      </c>
      <c r="R17">
        <f t="shared" si="2"/>
        <v>0</v>
      </c>
      <c r="S17">
        <f>IF(
AND($Q17=1,$M17&lt;&gt;""),
IF(
COUNTIFS(
$M$3:$M17,$M17,
$O$3:$O17,$O17,
$Q$3:$Q17,1,
$P$3:$P17,"&gt;="&amp;EOMONTH($P17,-1)+1,
$P$3:$P17,"&lt;"&amp;EOMONTH($P17,0)+1
)=1,
1,
0),
0)</f>
        <v>0</v>
      </c>
      <c r="T17">
        <f>IF(AND($R17=1,$M17&lt;&gt;""),IF(COUNTIFS($M$3:$M17,$M17,$O$3:$O17,$O17,$R$3:$R17,1,$P$3:$P17,"&gt;="&amp;EOMONTH($P17,-1)+1,$P$3:$P17,"&lt;"&amp;EOMONTH($P17,0)+1)=1,1,0),0)</f>
        <v>0</v>
      </c>
      <c r="U17">
        <f t="shared" si="3"/>
        <v>0</v>
      </c>
      <c r="V17">
        <f>IF(AND($U17=1,$M17&lt;&gt;""),IF(COUNTIFS($M$3:$M17,$M17,$O$3:$O17,$O17,$U$3:$U17,1,$P$3:$P17,"&gt;="&amp;EOMONTH($P17,-1)+1,$P$3:$P17,"&lt;"&amp;EOMONTH($P17,0)+1)=1,1,0),0)</f>
        <v>0</v>
      </c>
      <c r="W17" s="444">
        <f ca="1">TODAY()-Table1[[#This Row],[Change Date]]</f>
        <v>25.454861111109494</v>
      </c>
      <c r="X17" s="422" t="str">
        <f t="shared" si="4"/>
        <v/>
      </c>
      <c r="Y17" s="476">
        <f ca="1">IF(Table1[[#This Row],[Next Stage Date]]&lt;&gt;"",Table1[[#This Row],[Next Stage Date]]-Table1[[#This Row],[Change Date]],TODAY()-Table1[[#This Row],[Change Date]])</f>
        <v>25.454861111109494</v>
      </c>
      <c r="Z17" s="476">
        <f t="shared" si="5"/>
        <v>1</v>
      </c>
      <c r="AA17" s="422" t="str">
        <f t="shared" si="6"/>
        <v/>
      </c>
      <c r="AB17" s="422" t="str">
        <f t="shared" si="7"/>
        <v/>
      </c>
      <c r="AC17" s="476" t="str">
        <f t="shared" si="8"/>
        <v/>
      </c>
      <c r="AD17" s="476" t="str">
        <f t="shared" si="9"/>
        <v/>
      </c>
      <c r="AE17" s="476" t="str">
        <f t="shared" si="10"/>
        <v/>
      </c>
      <c r="AF17" s="476" t="b">
        <f>IFERROR(_xlfn.XLOOKUP(Table1[[#This Row],[Opportunity ID]],'Aging Detail'!$H$14:$H$20,'Aging Detail'!$F$14:$F$20),TRUE)</f>
        <v>1</v>
      </c>
    </row>
    <row r="18" spans="1:32">
      <c r="A18" t="s">
        <v>1461</v>
      </c>
      <c r="B18" t="s">
        <v>1462</v>
      </c>
      <c r="C18" t="s">
        <v>462</v>
      </c>
      <c r="D18" t="s">
        <v>1574</v>
      </c>
      <c r="E18" t="s">
        <v>1575</v>
      </c>
      <c r="F18" t="s">
        <v>1465</v>
      </c>
      <c r="I18" s="422">
        <v>46212</v>
      </c>
      <c r="J18" s="422">
        <v>46395</v>
      </c>
      <c r="K18">
        <v>100000</v>
      </c>
      <c r="L18">
        <v>100000</v>
      </c>
      <c r="M18" t="s">
        <v>1576</v>
      </c>
      <c r="N18" t="s">
        <v>1577</v>
      </c>
      <c r="O18" t="str">
        <f>_xlfn.IFNA(VLOOKUP(Table1[[#This Row],[Lead Source]],'helper tab'!A:B,2,FALSE),"Exclude")</f>
        <v>Exclude</v>
      </c>
      <c r="P18" s="422">
        <f t="shared" si="0"/>
        <v>46232.543055555558</v>
      </c>
      <c r="Q18">
        <f t="shared" si="1"/>
        <v>1</v>
      </c>
      <c r="R18">
        <f t="shared" si="2"/>
        <v>0</v>
      </c>
      <c r="S18">
        <f>IF(
AND($Q18=1,$M18&lt;&gt;""),
IF(
COUNTIFS(
$M$3:$M18,$M18,
$O$3:$O18,$O18,
$Q$3:$Q18,1,
$P$3:$P18,"&gt;="&amp;EOMONTH($P18,-1)+1,
$P$3:$P18,"&lt;"&amp;EOMONTH($P18,0)+1
)=1,
1,
0),
0)</f>
        <v>1</v>
      </c>
      <c r="T18">
        <f>IF(AND($R18=1,$M18&lt;&gt;""),IF(COUNTIFS($M$3:$M18,$M18,$O$3:$O18,$O18,$R$3:$R18,1,$P$3:$P18,"&gt;="&amp;EOMONTH($P18,-1)+1,$P$3:$P18,"&lt;"&amp;EOMONTH($P18,0)+1)=1,1,0),0)</f>
        <v>0</v>
      </c>
      <c r="U18">
        <f t="shared" si="3"/>
        <v>0</v>
      </c>
      <c r="V18">
        <f>IF(AND($U18=1,$M18&lt;&gt;""),IF(COUNTIFS($M$3:$M18,$M18,$O$3:$O18,$O18,$U$3:$U18,1,$P$3:$P18,"&gt;="&amp;EOMONTH($P18,-1)+1,$P$3:$P18,"&lt;"&amp;EOMONTH($P18,0)+1)=1,1,0),0)</f>
        <v>0</v>
      </c>
      <c r="W18" s="444">
        <f ca="1">TODAY()-Table1[[#This Row],[Change Date]]</f>
        <v>25.456944444442343</v>
      </c>
      <c r="X18" s="422" t="str">
        <f t="shared" si="4"/>
        <v/>
      </c>
      <c r="Y18" s="476">
        <f ca="1">IF(Table1[[#This Row],[Next Stage Date]]&lt;&gt;"",Table1[[#This Row],[Next Stage Date]]-Table1[[#This Row],[Change Date]],TODAY()-Table1[[#This Row],[Change Date]])</f>
        <v>25.456944444442343</v>
      </c>
      <c r="Z18" s="476">
        <f t="shared" si="5"/>
        <v>1</v>
      </c>
      <c r="AA18" s="422" t="str">
        <f t="shared" si="6"/>
        <v/>
      </c>
      <c r="AB18" s="422">
        <f t="shared" si="7"/>
        <v>46232.543055555558</v>
      </c>
      <c r="AC18" s="476">
        <f t="shared" si="8"/>
        <v>20.543055555557657</v>
      </c>
      <c r="AD18" s="476" t="str">
        <f t="shared" si="9"/>
        <v/>
      </c>
      <c r="AE18" s="476" t="str">
        <f t="shared" si="10"/>
        <v/>
      </c>
      <c r="AF18" s="476" t="b">
        <f>IFERROR(_xlfn.XLOOKUP(Table1[[#This Row],[Opportunity ID]],'Aging Detail'!$H$14:$H$20,'Aging Detail'!$F$14:$F$20),TRUE)</f>
        <v>1</v>
      </c>
    </row>
    <row r="19" spans="1:32">
      <c r="A19" t="s">
        <v>1461</v>
      </c>
      <c r="B19" t="s">
        <v>408</v>
      </c>
      <c r="C19" t="s">
        <v>1462</v>
      </c>
      <c r="D19" t="s">
        <v>1578</v>
      </c>
      <c r="E19" t="s">
        <v>1579</v>
      </c>
      <c r="F19" t="s">
        <v>148</v>
      </c>
      <c r="H19" t="s">
        <v>169</v>
      </c>
      <c r="I19" s="422">
        <v>46168</v>
      </c>
      <c r="J19" s="422">
        <v>46535</v>
      </c>
      <c r="K19">
        <v>564000</v>
      </c>
      <c r="L19">
        <v>504000</v>
      </c>
      <c r="M19" t="s">
        <v>1580</v>
      </c>
      <c r="N19" t="s">
        <v>1581</v>
      </c>
      <c r="O19" t="str">
        <f>_xlfn.IFNA(VLOOKUP(Table1[[#This Row],[Lead Source]],'helper tab'!A:B,2,FALSE),"Exclude")</f>
        <v>Alliances</v>
      </c>
      <c r="P19" s="422">
        <f t="shared" si="0"/>
        <v>46232.541666666664</v>
      </c>
      <c r="Q19">
        <f t="shared" si="1"/>
        <v>0</v>
      </c>
      <c r="R19">
        <f t="shared" si="2"/>
        <v>0</v>
      </c>
      <c r="S19">
        <f>IF(
AND($Q19=1,$M19&lt;&gt;""),
IF(
COUNTIFS(
$M$3:$M19,$M19,
$O$3:$O19,$O19,
$Q$3:$Q19,1,
$P$3:$P19,"&gt;="&amp;EOMONTH($P19,-1)+1,
$P$3:$P19,"&lt;"&amp;EOMONTH($P19,0)+1
)=1,
1,
0),
0)</f>
        <v>0</v>
      </c>
      <c r="T19">
        <f>IF(AND($R19=1,$M19&lt;&gt;""),IF(COUNTIFS($M$3:$M19,$M19,$O$3:$O19,$O19,$R$3:$R19,1,$P$3:$P19,"&gt;="&amp;EOMONTH($P19,-1)+1,$P$3:$P19,"&lt;"&amp;EOMONTH($P19,0)+1)=1,1,0),0)</f>
        <v>0</v>
      </c>
      <c r="U19">
        <f t="shared" si="3"/>
        <v>0</v>
      </c>
      <c r="V19">
        <f>IF(AND($U19=1,$M19&lt;&gt;""),IF(COUNTIFS($M$3:$M19,$M19,$O$3:$O19,$O19,$U$3:$U19,1,$P$3:$P19,"&gt;="&amp;EOMONTH($P19,-1)+1,$P$3:$P19,"&lt;"&amp;EOMONTH($P19,0)+1)=1,1,0),0)</f>
        <v>0</v>
      </c>
      <c r="W19" s="444">
        <f ca="1">TODAY()-Table1[[#This Row],[Change Date]]</f>
        <v>25.458333333335759</v>
      </c>
      <c r="X19" s="422" t="str">
        <f t="shared" si="4"/>
        <v/>
      </c>
      <c r="Y19" s="476">
        <f ca="1">IF(Table1[[#This Row],[Next Stage Date]]&lt;&gt;"",Table1[[#This Row],[Next Stage Date]]-Table1[[#This Row],[Change Date]],TODAY()-Table1[[#This Row],[Change Date]])</f>
        <v>25.458333333335759</v>
      </c>
      <c r="Z19" s="476">
        <f t="shared" si="5"/>
        <v>1</v>
      </c>
      <c r="AA19" s="422" t="str">
        <f t="shared" si="6"/>
        <v/>
      </c>
      <c r="AB19" s="422" t="str">
        <f t="shared" si="7"/>
        <v/>
      </c>
      <c r="AC19" s="476" t="str">
        <f t="shared" si="8"/>
        <v/>
      </c>
      <c r="AD19" s="476" t="str">
        <f t="shared" si="9"/>
        <v/>
      </c>
      <c r="AE19" s="476" t="str">
        <f t="shared" si="10"/>
        <v/>
      </c>
      <c r="AF19" s="476" t="b">
        <f>IFERROR(_xlfn.XLOOKUP(Table1[[#This Row],[Opportunity ID]],'Aging Detail'!$H$14:$H$20,'Aging Detail'!$F$14:$F$20),TRUE)</f>
        <v>1</v>
      </c>
    </row>
    <row r="20" spans="1:32">
      <c r="A20" t="s">
        <v>1461</v>
      </c>
      <c r="B20" t="s">
        <v>408</v>
      </c>
      <c r="C20" t="s">
        <v>1462</v>
      </c>
      <c r="D20" t="s">
        <v>1582</v>
      </c>
      <c r="E20" t="s">
        <v>1583</v>
      </c>
      <c r="F20" t="s">
        <v>148</v>
      </c>
      <c r="G20" t="s">
        <v>148</v>
      </c>
      <c r="H20" t="s">
        <v>169</v>
      </c>
      <c r="I20" s="422">
        <v>45995</v>
      </c>
      <c r="J20" s="422">
        <v>46374</v>
      </c>
      <c r="K20">
        <v>2900000</v>
      </c>
      <c r="L20">
        <v>2760000</v>
      </c>
      <c r="M20" t="s">
        <v>1584</v>
      </c>
      <c r="N20" t="s">
        <v>1585</v>
      </c>
      <c r="O20" t="str">
        <f>_xlfn.IFNA(VLOOKUP(Table1[[#This Row],[Lead Source]],'helper tab'!A:B,2,FALSE),"Exclude")</f>
        <v>Alliances</v>
      </c>
      <c r="P20" s="422">
        <f t="shared" si="0"/>
        <v>46232.540972222225</v>
      </c>
      <c r="Q20">
        <f t="shared" si="1"/>
        <v>0</v>
      </c>
      <c r="R20">
        <f t="shared" si="2"/>
        <v>0</v>
      </c>
      <c r="S20">
        <f>IF(
AND($Q20=1,$M20&lt;&gt;""),
IF(
COUNTIFS(
$M$3:$M20,$M20,
$O$3:$O20,$O20,
$Q$3:$Q20,1,
$P$3:$P20,"&gt;="&amp;EOMONTH($P20,-1)+1,
$P$3:$P20,"&lt;"&amp;EOMONTH($P20,0)+1
)=1,
1,
0),
0)</f>
        <v>0</v>
      </c>
      <c r="T20">
        <f>IF(AND($R20=1,$M20&lt;&gt;""),IF(COUNTIFS($M$3:$M20,$M20,$O$3:$O20,$O20,$R$3:$R20,1,$P$3:$P20,"&gt;="&amp;EOMONTH($P20,-1)+1,$P$3:$P20,"&lt;"&amp;EOMONTH($P20,0)+1)=1,1,0),0)</f>
        <v>0</v>
      </c>
      <c r="U20">
        <f t="shared" si="3"/>
        <v>0</v>
      </c>
      <c r="V20">
        <f>IF(AND($U20=1,$M20&lt;&gt;""),IF(COUNTIFS($M$3:$M20,$M20,$O$3:$O20,$O20,$U$3:$U20,1,$P$3:$P20,"&gt;="&amp;EOMONTH($P20,-1)+1,$P$3:$P20,"&lt;"&amp;EOMONTH($P20,0)+1)=1,1,0),0)</f>
        <v>0</v>
      </c>
      <c r="W20" s="444">
        <f ca="1">TODAY()-Table1[[#This Row],[Change Date]]</f>
        <v>25.459027777775191</v>
      </c>
      <c r="X20" s="422" t="str">
        <f t="shared" si="4"/>
        <v/>
      </c>
      <c r="Y20" s="476">
        <f ca="1">IF(Table1[[#This Row],[Next Stage Date]]&lt;&gt;"",Table1[[#This Row],[Next Stage Date]]-Table1[[#This Row],[Change Date]],TODAY()-Table1[[#This Row],[Change Date]])</f>
        <v>25.459027777775191</v>
      </c>
      <c r="Z20" s="476">
        <f t="shared" si="5"/>
        <v>1</v>
      </c>
      <c r="AA20" s="422" t="str">
        <f t="shared" si="6"/>
        <v/>
      </c>
      <c r="AB20" s="422" t="str">
        <f t="shared" si="7"/>
        <v/>
      </c>
      <c r="AC20" s="476" t="str">
        <f t="shared" si="8"/>
        <v/>
      </c>
      <c r="AD20" s="476" t="str">
        <f t="shared" si="9"/>
        <v/>
      </c>
      <c r="AE20" s="476" t="str">
        <f t="shared" si="10"/>
        <v/>
      </c>
      <c r="AF20" s="476" t="b">
        <f>IFERROR(_xlfn.XLOOKUP(Table1[[#This Row],[Opportunity ID]],'Aging Detail'!$H$14:$H$20,'Aging Detail'!$F$14:$F$20),TRUE)</f>
        <v>1</v>
      </c>
    </row>
    <row r="21" spans="1:32">
      <c r="A21" t="s">
        <v>1461</v>
      </c>
      <c r="B21" t="s">
        <v>462</v>
      </c>
      <c r="C21" t="s">
        <v>526</v>
      </c>
      <c r="D21" t="s">
        <v>1586</v>
      </c>
      <c r="E21" t="s">
        <v>1587</v>
      </c>
      <c r="F21" t="s">
        <v>29</v>
      </c>
      <c r="I21" s="422">
        <v>46225</v>
      </c>
      <c r="J21" s="422">
        <v>46234</v>
      </c>
      <c r="L21">
        <v>0</v>
      </c>
      <c r="M21" t="s">
        <v>1588</v>
      </c>
      <c r="N21" t="s">
        <v>1589</v>
      </c>
      <c r="O21" t="str">
        <f>_xlfn.IFNA(VLOOKUP(Table1[[#This Row],[Lead Source]],'helper tab'!A:B,2,FALSE),"Exclude")</f>
        <v>Events</v>
      </c>
      <c r="P21" s="422">
        <f t="shared" si="0"/>
        <v>46232.467361111114</v>
      </c>
      <c r="Q21">
        <f t="shared" si="1"/>
        <v>1</v>
      </c>
      <c r="R21">
        <f t="shared" si="2"/>
        <v>0</v>
      </c>
      <c r="S21">
        <f>IF(
AND($Q21=1,$M21&lt;&gt;""),
IF(
COUNTIFS(
$M$3:$M21,$M21,
$O$3:$O21,$O21,
$Q$3:$Q21,1,
$P$3:$P21,"&gt;="&amp;EOMONTH($P21,-1)+1,
$P$3:$P21,"&lt;"&amp;EOMONTH($P21,0)+1
)=1,
1,
0),
0)</f>
        <v>1</v>
      </c>
      <c r="T21">
        <f>IF(AND($R21=1,$M21&lt;&gt;""),IF(COUNTIFS($M$3:$M21,$M21,$O$3:$O21,$O21,$R$3:$R21,1,$P$3:$P21,"&gt;="&amp;EOMONTH($P21,-1)+1,$P$3:$P21,"&lt;"&amp;EOMONTH($P21,0)+1)=1,1,0),0)</f>
        <v>0</v>
      </c>
      <c r="U21">
        <f t="shared" si="3"/>
        <v>0</v>
      </c>
      <c r="V21">
        <f>IF(AND($U21=1,$M21&lt;&gt;""),IF(COUNTIFS($M$3:$M21,$M21,$O$3:$O21,$O21,$U$3:$U21,1,$P$3:$P21,"&gt;="&amp;EOMONTH($P21,-1)+1,$P$3:$P21,"&lt;"&amp;EOMONTH($P21,0)+1)=1,1,0),0)</f>
        <v>0</v>
      </c>
      <c r="W21" s="444">
        <f ca="1">TODAY()-Table1[[#This Row],[Change Date]]</f>
        <v>25.53263888888614</v>
      </c>
      <c r="X21" s="422" t="str">
        <f t="shared" si="4"/>
        <v/>
      </c>
      <c r="Y21" s="476">
        <f ca="1">IF(Table1[[#This Row],[Next Stage Date]]&lt;&gt;"",Table1[[#This Row],[Next Stage Date]]-Table1[[#This Row],[Change Date]],TODAY()-Table1[[#This Row],[Change Date]])</f>
        <v>25.53263888888614</v>
      </c>
      <c r="Z21" s="476">
        <f t="shared" si="5"/>
        <v>1</v>
      </c>
      <c r="AA21" s="422" t="str">
        <f t="shared" si="6"/>
        <v/>
      </c>
      <c r="AB21" s="422">
        <f t="shared" si="7"/>
        <v>46225.513194444444</v>
      </c>
      <c r="AC21" s="476">
        <f t="shared" si="8"/>
        <v>0.51319444444379769</v>
      </c>
      <c r="AD21" s="476" t="str">
        <f t="shared" si="9"/>
        <v/>
      </c>
      <c r="AE21" s="476" t="str">
        <f t="shared" si="10"/>
        <v/>
      </c>
      <c r="AF21" s="476" t="b">
        <f>IFERROR(_xlfn.XLOOKUP(Table1[[#This Row],[Opportunity ID]],'Aging Detail'!$H$14:$H$20,'Aging Detail'!$F$14:$F$20),TRUE)</f>
        <v>1</v>
      </c>
    </row>
    <row r="22" spans="1:32">
      <c r="A22" t="s">
        <v>1461</v>
      </c>
      <c r="B22" t="s">
        <v>1462</v>
      </c>
      <c r="C22" t="s">
        <v>462</v>
      </c>
      <c r="D22" t="s">
        <v>1590</v>
      </c>
      <c r="E22" t="s">
        <v>1591</v>
      </c>
      <c r="I22" s="422">
        <v>46135</v>
      </c>
      <c r="J22" s="422">
        <v>46387</v>
      </c>
      <c r="K22">
        <v>74500</v>
      </c>
      <c r="L22">
        <v>10500</v>
      </c>
      <c r="M22" t="s">
        <v>1592</v>
      </c>
      <c r="N22" t="s">
        <v>1593</v>
      </c>
      <c r="O22" t="str">
        <f>_xlfn.IFNA(VLOOKUP(Table1[[#This Row],[Lead Source]],'helper tab'!A:B,2,FALSE),"Exclude")</f>
        <v>Exclude</v>
      </c>
      <c r="P22" s="422">
        <f t="shared" si="0"/>
        <v>46226.696527777778</v>
      </c>
      <c r="Q22">
        <f t="shared" si="1"/>
        <v>1</v>
      </c>
      <c r="R22">
        <f t="shared" si="2"/>
        <v>0</v>
      </c>
      <c r="S22">
        <f>IF(
AND($Q22=1,$M22&lt;&gt;""),
IF(
COUNTIFS(
$M$3:$M22,$M22,
$O$3:$O22,$O22,
$Q$3:$Q22,1,
$P$3:$P22,"&gt;="&amp;EOMONTH($P22,-1)+1,
$P$3:$P22,"&lt;"&amp;EOMONTH($P22,0)+1
)=1,
1,
0),
0)</f>
        <v>1</v>
      </c>
      <c r="T22">
        <f>IF(AND($R22=1,$M22&lt;&gt;""),IF(COUNTIFS($M$3:$M22,$M22,$O$3:$O22,$O22,$R$3:$R22,1,$P$3:$P22,"&gt;="&amp;EOMONTH($P22,-1)+1,$P$3:$P22,"&lt;"&amp;EOMONTH($P22,0)+1)=1,1,0),0)</f>
        <v>0</v>
      </c>
      <c r="U22">
        <f t="shared" si="3"/>
        <v>0</v>
      </c>
      <c r="V22">
        <f>IF(AND($U22=1,$M22&lt;&gt;""),IF(COUNTIFS($M$3:$M22,$M22,$O$3:$O22,$O22,$U$3:$U22,1,$P$3:$P22,"&gt;="&amp;EOMONTH($P22,-1)+1,$P$3:$P22,"&lt;"&amp;EOMONTH($P22,0)+1)=1,1,0),0)</f>
        <v>0</v>
      </c>
      <c r="W22" s="444">
        <f ca="1">TODAY()-Table1[[#This Row],[Change Date]]</f>
        <v>31.303472222221899</v>
      </c>
      <c r="X22" s="422" t="str">
        <f t="shared" si="4"/>
        <v/>
      </c>
      <c r="Y22" s="476">
        <f ca="1">IF(Table1[[#This Row],[Next Stage Date]]&lt;&gt;"",Table1[[#This Row],[Next Stage Date]]-Table1[[#This Row],[Change Date]],TODAY()-Table1[[#This Row],[Change Date]])</f>
        <v>31.303472222221899</v>
      </c>
      <c r="Z22" s="476">
        <f t="shared" si="5"/>
        <v>1</v>
      </c>
      <c r="AA22" s="422" t="str">
        <f t="shared" si="6"/>
        <v/>
      </c>
      <c r="AB22" s="422">
        <f t="shared" si="7"/>
        <v>46226.696527777778</v>
      </c>
      <c r="AC22" s="476">
        <f t="shared" si="8"/>
        <v>91.696527777778101</v>
      </c>
      <c r="AD22" s="476" t="str">
        <f t="shared" si="9"/>
        <v/>
      </c>
      <c r="AE22" s="476" t="str">
        <f t="shared" si="10"/>
        <v/>
      </c>
      <c r="AF22" s="476" t="b">
        <f>IFERROR(_xlfn.XLOOKUP(Table1[[#This Row],[Opportunity ID]],'Aging Detail'!$H$14:$H$20,'Aging Detail'!$F$14:$F$20),TRUE)</f>
        <v>1</v>
      </c>
    </row>
    <row r="23" spans="1:32">
      <c r="A23" t="s">
        <v>1461</v>
      </c>
      <c r="B23" t="s">
        <v>1462</v>
      </c>
      <c r="C23" t="s">
        <v>462</v>
      </c>
      <c r="D23" t="s">
        <v>1594</v>
      </c>
      <c r="E23" t="s">
        <v>1595</v>
      </c>
      <c r="F23" t="s">
        <v>148</v>
      </c>
      <c r="H23" t="s">
        <v>154</v>
      </c>
      <c r="I23" s="422">
        <v>46161</v>
      </c>
      <c r="J23" s="422">
        <v>46326</v>
      </c>
      <c r="K23">
        <v>19824</v>
      </c>
      <c r="L23">
        <v>19824</v>
      </c>
      <c r="M23" t="s">
        <v>1596</v>
      </c>
      <c r="N23" t="s">
        <v>592</v>
      </c>
      <c r="O23" t="str">
        <f>_xlfn.IFNA(VLOOKUP(Table1[[#This Row],[Lead Source]],'helper tab'!A:B,2,FALSE),"Exclude")</f>
        <v>Alliances</v>
      </c>
      <c r="P23" s="422">
        <f t="shared" si="0"/>
        <v>46226.588194444441</v>
      </c>
      <c r="Q23">
        <f t="shared" si="1"/>
        <v>1</v>
      </c>
      <c r="R23">
        <f t="shared" si="2"/>
        <v>0</v>
      </c>
      <c r="S23">
        <f>IF(
AND($Q23=1,$M23&lt;&gt;""),
IF(
COUNTIFS(
$M$3:$M23,$M23,
$O$3:$O23,$O23,
$Q$3:$Q23,1,
$P$3:$P23,"&gt;="&amp;EOMONTH($P23,-1)+1,
$P$3:$P23,"&lt;"&amp;EOMONTH($P23,0)+1
)=1,
1,
0),
0)</f>
        <v>1</v>
      </c>
      <c r="T23">
        <f>IF(AND($R23=1,$M23&lt;&gt;""),IF(COUNTIFS($M$3:$M23,$M23,$O$3:$O23,$O23,$R$3:$R23,1,$P$3:$P23,"&gt;="&amp;EOMONTH($P23,-1)+1,$P$3:$P23,"&lt;"&amp;EOMONTH($P23,0)+1)=1,1,0),0)</f>
        <v>0</v>
      </c>
      <c r="U23">
        <f t="shared" si="3"/>
        <v>0</v>
      </c>
      <c r="V23">
        <f>IF(AND($U23=1,$M23&lt;&gt;""),IF(COUNTIFS($M$3:$M23,$M23,$O$3:$O23,$O23,$U$3:$U23,1,$P$3:$P23,"&gt;="&amp;EOMONTH($P23,-1)+1,$P$3:$P23,"&lt;"&amp;EOMONTH($P23,0)+1)=1,1,0),0)</f>
        <v>0</v>
      </c>
      <c r="W23" s="444">
        <f ca="1">TODAY()-Table1[[#This Row],[Change Date]]</f>
        <v>31.411805555559113</v>
      </c>
      <c r="X23" s="422" t="str">
        <f t="shared" si="4"/>
        <v/>
      </c>
      <c r="Y23" s="476">
        <f ca="1">IF(Table1[[#This Row],[Next Stage Date]]&lt;&gt;"",Table1[[#This Row],[Next Stage Date]]-Table1[[#This Row],[Change Date]],TODAY()-Table1[[#This Row],[Change Date]])</f>
        <v>31.411805555559113</v>
      </c>
      <c r="Z23" s="476">
        <f t="shared" si="5"/>
        <v>1</v>
      </c>
      <c r="AA23" s="422" t="str">
        <f t="shared" si="6"/>
        <v/>
      </c>
      <c r="AB23" s="422">
        <f t="shared" si="7"/>
        <v>46226.588194444441</v>
      </c>
      <c r="AC23" s="476">
        <f t="shared" si="8"/>
        <v>65.588194444440887</v>
      </c>
      <c r="AD23" s="476" t="str">
        <f t="shared" si="9"/>
        <v/>
      </c>
      <c r="AE23" s="476" t="str">
        <f t="shared" si="10"/>
        <v/>
      </c>
      <c r="AF23" s="476" t="b">
        <f>IFERROR(_xlfn.XLOOKUP(Table1[[#This Row],[Opportunity ID]],'Aging Detail'!$H$14:$H$20,'Aging Detail'!$F$14:$F$20),TRUE)</f>
        <v>1</v>
      </c>
    </row>
    <row r="24" spans="1:32">
      <c r="A24" t="s">
        <v>1461</v>
      </c>
      <c r="B24" t="s">
        <v>408</v>
      </c>
      <c r="C24" t="s">
        <v>1462</v>
      </c>
      <c r="D24" t="s">
        <v>1594</v>
      </c>
      <c r="E24" t="s">
        <v>1595</v>
      </c>
      <c r="F24" t="s">
        <v>148</v>
      </c>
      <c r="H24" t="s">
        <v>154</v>
      </c>
      <c r="I24" s="422">
        <v>46161</v>
      </c>
      <c r="J24" s="422">
        <v>46326</v>
      </c>
      <c r="K24">
        <v>19824</v>
      </c>
      <c r="L24">
        <v>19824</v>
      </c>
      <c r="M24" t="s">
        <v>1596</v>
      </c>
      <c r="N24" t="s">
        <v>592</v>
      </c>
      <c r="O24" t="str">
        <f>_xlfn.IFNA(VLOOKUP(Table1[[#This Row],[Lead Source]],'helper tab'!A:B,2,FALSE),"Exclude")</f>
        <v>Alliances</v>
      </c>
      <c r="P24" s="422">
        <f t="shared" si="0"/>
        <v>46226.588194444441</v>
      </c>
      <c r="Q24">
        <f t="shared" si="1"/>
        <v>0</v>
      </c>
      <c r="R24">
        <f t="shared" si="2"/>
        <v>0</v>
      </c>
      <c r="S24">
        <f>IF(
AND($Q24=1,$M24&lt;&gt;""),
IF(
COUNTIFS(
$M$3:$M24,$M24,
$O$3:$O24,$O24,
$Q$3:$Q24,1,
$P$3:$P24,"&gt;="&amp;EOMONTH($P24,-1)+1,
$P$3:$P24,"&lt;"&amp;EOMONTH($P24,0)+1
)=1,
1,
0),
0)</f>
        <v>0</v>
      </c>
      <c r="T24">
        <f>IF(AND($R24=1,$M24&lt;&gt;""),IF(COUNTIFS($M$3:$M24,$M24,$O$3:$O24,$O24,$R$3:$R24,1,$P$3:$P24,"&gt;="&amp;EOMONTH($P24,-1)+1,$P$3:$P24,"&lt;"&amp;EOMONTH($P24,0)+1)=1,1,0),0)</f>
        <v>0</v>
      </c>
      <c r="U24">
        <f t="shared" si="3"/>
        <v>0</v>
      </c>
      <c r="V24">
        <f>IF(AND($U24=1,$M24&lt;&gt;""),IF(COUNTIFS($M$3:$M24,$M24,$O$3:$O24,$O24,$U$3:$U24,1,$P$3:$P24,"&gt;="&amp;EOMONTH($P24,-1)+1,$P$3:$P24,"&lt;"&amp;EOMONTH($P24,0)+1)=1,1,0),0)</f>
        <v>0</v>
      </c>
      <c r="W24" s="444">
        <f ca="1">TODAY()-Table1[[#This Row],[Change Date]]</f>
        <v>31.411805555559113</v>
      </c>
      <c r="X24" s="422" t="str">
        <f t="shared" si="4"/>
        <v/>
      </c>
      <c r="Y24" s="476">
        <f ca="1">IF(Table1[[#This Row],[Next Stage Date]]&lt;&gt;"",Table1[[#This Row],[Next Stage Date]]-Table1[[#This Row],[Change Date]],TODAY()-Table1[[#This Row],[Change Date]])</f>
        <v>31.411805555559113</v>
      </c>
      <c r="Z24" s="476">
        <f t="shared" si="5"/>
        <v>1</v>
      </c>
      <c r="AA24" s="422" t="str">
        <f t="shared" si="6"/>
        <v/>
      </c>
      <c r="AB24" s="422">
        <f t="shared" si="7"/>
        <v>46226.588194444441</v>
      </c>
      <c r="AC24" s="476">
        <f t="shared" si="8"/>
        <v>65.588194444440887</v>
      </c>
      <c r="AD24" s="476" t="str">
        <f t="shared" si="9"/>
        <v/>
      </c>
      <c r="AE24" s="476" t="str">
        <f t="shared" si="10"/>
        <v/>
      </c>
      <c r="AF24" s="476" t="b">
        <f>IFERROR(_xlfn.XLOOKUP(Table1[[#This Row],[Opportunity ID]],'Aging Detail'!$H$14:$H$20,'Aging Detail'!$F$14:$F$20),TRUE)</f>
        <v>1</v>
      </c>
    </row>
    <row r="25" spans="1:32">
      <c r="A25" t="s">
        <v>1461</v>
      </c>
      <c r="B25" t="s">
        <v>338</v>
      </c>
      <c r="C25" t="s">
        <v>1469</v>
      </c>
      <c r="D25" t="s">
        <v>1597</v>
      </c>
      <c r="E25" t="s">
        <v>1598</v>
      </c>
      <c r="I25" s="422">
        <v>46189</v>
      </c>
      <c r="J25" s="422">
        <v>46356</v>
      </c>
      <c r="K25">
        <v>9000</v>
      </c>
      <c r="L25">
        <v>0</v>
      </c>
      <c r="M25" t="s">
        <v>1599</v>
      </c>
      <c r="N25" t="s">
        <v>1600</v>
      </c>
      <c r="O25" t="str">
        <f>_xlfn.IFNA(VLOOKUP(Table1[[#This Row],[Lead Source]],'helper tab'!A:B,2,FALSE),"Exclude")</f>
        <v>Exclude</v>
      </c>
      <c r="P25" s="422">
        <f t="shared" si="0"/>
        <v>46225.599999999999</v>
      </c>
      <c r="Q25">
        <f t="shared" si="1"/>
        <v>0</v>
      </c>
      <c r="R25">
        <f t="shared" si="2"/>
        <v>0</v>
      </c>
      <c r="S25">
        <f>IF(
AND($Q25=1,$M25&lt;&gt;""),
IF(
COUNTIFS(
$M$3:$M25,$M25,
$O$3:$O25,$O25,
$Q$3:$Q25,1,
$P$3:$P25,"&gt;="&amp;EOMONTH($P25,-1)+1,
$P$3:$P25,"&lt;"&amp;EOMONTH($P25,0)+1
)=1,
1,
0),
0)</f>
        <v>0</v>
      </c>
      <c r="T25">
        <f>IF(AND($R25=1,$M25&lt;&gt;""),IF(COUNTIFS($M$3:$M25,$M25,$O$3:$O25,$O25,$R$3:$R25,1,$P$3:$P25,"&gt;="&amp;EOMONTH($P25,-1)+1,$P$3:$P25,"&lt;"&amp;EOMONTH($P25,0)+1)=1,1,0),0)</f>
        <v>0</v>
      </c>
      <c r="U25">
        <f t="shared" si="3"/>
        <v>1</v>
      </c>
      <c r="V25">
        <f>IF(AND($U25=1,$M25&lt;&gt;""),IF(COUNTIFS($M$3:$M25,$M25,$O$3:$O25,$O25,$U$3:$U25,1,$P$3:$P25,"&gt;="&amp;EOMONTH($P25,-1)+1,$P$3:$P25,"&lt;"&amp;EOMONTH($P25,0)+1)=1,1,0),0)</f>
        <v>1</v>
      </c>
      <c r="W25" s="444">
        <f ca="1">TODAY()-Table1[[#This Row],[Change Date]]</f>
        <v>32.400000000001455</v>
      </c>
      <c r="X25" s="422" t="str">
        <f t="shared" si="4"/>
        <v/>
      </c>
      <c r="Y25" s="476">
        <f ca="1">IF(Table1[[#This Row],[Next Stage Date]]&lt;&gt;"",Table1[[#This Row],[Next Stage Date]]-Table1[[#This Row],[Change Date]],TODAY()-Table1[[#This Row],[Change Date]])</f>
        <v>32.400000000001455</v>
      </c>
      <c r="Z25" s="476">
        <f t="shared" si="5"/>
        <v>1</v>
      </c>
      <c r="AA25" s="422" t="str">
        <f t="shared" si="6"/>
        <v/>
      </c>
      <c r="AB25" s="422" t="str">
        <f t="shared" si="7"/>
        <v/>
      </c>
      <c r="AC25" s="476" t="str">
        <f t="shared" si="8"/>
        <v/>
      </c>
      <c r="AD25" s="476" t="str">
        <f t="shared" si="9"/>
        <v/>
      </c>
      <c r="AE25" s="476" t="str">
        <f t="shared" si="10"/>
        <v/>
      </c>
      <c r="AF25" s="476" t="b">
        <f>IFERROR(_xlfn.XLOOKUP(Table1[[#This Row],[Opportunity ID]],'Aging Detail'!$H$14:$H$20,'Aging Detail'!$F$14:$F$20),TRUE)</f>
        <v>1</v>
      </c>
    </row>
    <row r="26" spans="1:32">
      <c r="A26" t="s">
        <v>1461</v>
      </c>
      <c r="B26" t="s">
        <v>526</v>
      </c>
      <c r="C26" t="s">
        <v>563</v>
      </c>
      <c r="D26" t="s">
        <v>1601</v>
      </c>
      <c r="E26" t="s">
        <v>1602</v>
      </c>
      <c r="F26" t="s">
        <v>1465</v>
      </c>
      <c r="I26" s="422">
        <v>46080</v>
      </c>
      <c r="J26" s="422">
        <v>46225</v>
      </c>
      <c r="K26">
        <v>0</v>
      </c>
      <c r="L26">
        <v>0</v>
      </c>
      <c r="M26" t="s">
        <v>1603</v>
      </c>
      <c r="N26" t="s">
        <v>1604</v>
      </c>
      <c r="O26" t="str">
        <f>_xlfn.IFNA(VLOOKUP(Table1[[#This Row],[Lead Source]],'helper tab'!A:B,2,FALSE),"Exclude")</f>
        <v>Exclude</v>
      </c>
      <c r="P26" s="422">
        <f t="shared" si="0"/>
        <v>46225.582638888889</v>
      </c>
      <c r="Q26">
        <f t="shared" si="1"/>
        <v>0</v>
      </c>
      <c r="R26">
        <f t="shared" si="2"/>
        <v>1</v>
      </c>
      <c r="S26">
        <f>IF(
AND($Q26=1,$M26&lt;&gt;""),
IF(
COUNTIFS(
$M$3:$M26,$M26,
$O$3:$O26,$O26,
$Q$3:$Q26,1,
$P$3:$P26,"&gt;="&amp;EOMONTH($P26,-1)+1,
$P$3:$P26,"&lt;"&amp;EOMONTH($P26,0)+1
)=1,
1,
0),
0)</f>
        <v>0</v>
      </c>
      <c r="T26">
        <f>IF(AND($R26=1,$M26&lt;&gt;""),IF(COUNTIFS($M$3:$M26,$M26,$O$3:$O26,$O26,$R$3:$R26,1,$P$3:$P26,"&gt;="&amp;EOMONTH($P26,-1)+1,$P$3:$P26,"&lt;"&amp;EOMONTH($P26,0)+1)=1,1,0),0)</f>
        <v>1</v>
      </c>
      <c r="U26">
        <f t="shared" si="3"/>
        <v>0</v>
      </c>
      <c r="V26">
        <f>IF(AND($U26=1,$M26&lt;&gt;""),IF(COUNTIFS($M$3:$M26,$M26,$O$3:$O26,$O26,$U$3:$U26,1,$P$3:$P26,"&gt;="&amp;EOMONTH($P26,-1)+1,$P$3:$P26,"&lt;"&amp;EOMONTH($P26,0)+1)=1,1,0),0)</f>
        <v>0</v>
      </c>
      <c r="W26" s="444">
        <f ca="1">TODAY()-Table1[[#This Row],[Change Date]]</f>
        <v>32.417361111110949</v>
      </c>
      <c r="X26" s="422" t="str">
        <f t="shared" si="4"/>
        <v/>
      </c>
      <c r="Y26" s="476">
        <f ca="1">IF(Table1[[#This Row],[Next Stage Date]]&lt;&gt;"",Table1[[#This Row],[Next Stage Date]]-Table1[[#This Row],[Change Date]],TODAY()-Table1[[#This Row],[Change Date]])</f>
        <v>32.417361111110949</v>
      </c>
      <c r="Z26" s="476">
        <f t="shared" si="5"/>
        <v>1</v>
      </c>
      <c r="AA26" s="422">
        <f t="shared" si="6"/>
        <v>46225.582638888889</v>
      </c>
      <c r="AB26" s="422">
        <f t="shared" si="7"/>
        <v>46120.576388888891</v>
      </c>
      <c r="AC26" s="476">
        <f t="shared" si="8"/>
        <v>40.576388888890506</v>
      </c>
      <c r="AD26" s="476">
        <f t="shared" si="9"/>
        <v>105.00624999999854</v>
      </c>
      <c r="AE26" s="476">
        <f t="shared" si="10"/>
        <v>145.58263888888905</v>
      </c>
      <c r="AF26" s="476" t="b">
        <f>IFERROR(_xlfn.XLOOKUP(Table1[[#This Row],[Opportunity ID]],'Aging Detail'!$H$14:$H$20,'Aging Detail'!$F$14:$F$20),TRUE)</f>
        <v>1</v>
      </c>
    </row>
    <row r="27" spans="1:32">
      <c r="A27" t="s">
        <v>1461</v>
      </c>
      <c r="B27" t="s">
        <v>408</v>
      </c>
      <c r="C27" t="s">
        <v>1462</v>
      </c>
      <c r="D27" t="s">
        <v>1605</v>
      </c>
      <c r="E27" t="s">
        <v>1606</v>
      </c>
      <c r="I27" s="422">
        <v>46113</v>
      </c>
      <c r="J27" s="422">
        <v>46265</v>
      </c>
      <c r="K27">
        <v>44496</v>
      </c>
      <c r="L27">
        <v>44496</v>
      </c>
      <c r="M27" t="s">
        <v>1607</v>
      </c>
      <c r="N27" t="s">
        <v>1608</v>
      </c>
      <c r="O27" t="str">
        <f>_xlfn.IFNA(VLOOKUP(Table1[[#This Row],[Lead Source]],'helper tab'!A:B,2,FALSE),"Exclude")</f>
        <v>Exclude</v>
      </c>
      <c r="P27" s="422">
        <f t="shared" si="0"/>
        <v>46225.529861111114</v>
      </c>
      <c r="Q27">
        <f t="shared" si="1"/>
        <v>0</v>
      </c>
      <c r="R27">
        <f t="shared" si="2"/>
        <v>0</v>
      </c>
      <c r="S27">
        <f>IF(
AND($Q27=1,$M27&lt;&gt;""),
IF(
COUNTIFS(
$M$3:$M27,$M27,
$O$3:$O27,$O27,
$Q$3:$Q27,1,
$P$3:$P27,"&gt;="&amp;EOMONTH($P27,-1)+1,
$P$3:$P27,"&lt;"&amp;EOMONTH($P27,0)+1
)=1,
1,
0),
0)</f>
        <v>0</v>
      </c>
      <c r="T27">
        <f>IF(AND($R27=1,$M27&lt;&gt;""),IF(COUNTIFS($M$3:$M27,$M27,$O$3:$O27,$O27,$R$3:$R27,1,$P$3:$P27,"&gt;="&amp;EOMONTH($P27,-1)+1,$P$3:$P27,"&lt;"&amp;EOMONTH($P27,0)+1)=1,1,0),0)</f>
        <v>0</v>
      </c>
      <c r="U27">
        <f t="shared" si="3"/>
        <v>0</v>
      </c>
      <c r="V27">
        <f>IF(AND($U27=1,$M27&lt;&gt;""),IF(COUNTIFS($M$3:$M27,$M27,$O$3:$O27,$O27,$U$3:$U27,1,$P$3:$P27,"&gt;="&amp;EOMONTH($P27,-1)+1,$P$3:$P27,"&lt;"&amp;EOMONTH($P27,0)+1)=1,1,0),0)</f>
        <v>0</v>
      </c>
      <c r="W27" s="444">
        <f ca="1">TODAY()-Table1[[#This Row],[Change Date]]</f>
        <v>32.47013888888614</v>
      </c>
      <c r="X27" s="422" t="str">
        <f t="shared" si="4"/>
        <v/>
      </c>
      <c r="Y27" s="476">
        <f ca="1">IF(Table1[[#This Row],[Next Stage Date]]&lt;&gt;"",Table1[[#This Row],[Next Stage Date]]-Table1[[#This Row],[Change Date]],TODAY()-Table1[[#This Row],[Change Date]])</f>
        <v>32.47013888888614</v>
      </c>
      <c r="Z27" s="476">
        <f t="shared" si="5"/>
        <v>1</v>
      </c>
      <c r="AA27" s="422" t="str">
        <f t="shared" si="6"/>
        <v/>
      </c>
      <c r="AB27" s="422" t="str">
        <f t="shared" si="7"/>
        <v/>
      </c>
      <c r="AC27" s="476" t="str">
        <f t="shared" si="8"/>
        <v/>
      </c>
      <c r="AD27" s="476" t="str">
        <f t="shared" si="9"/>
        <v/>
      </c>
      <c r="AE27" s="476" t="str">
        <f t="shared" si="10"/>
        <v/>
      </c>
      <c r="AF27" s="476" t="b">
        <f>IFERROR(_xlfn.XLOOKUP(Table1[[#This Row],[Opportunity ID]],'Aging Detail'!$H$14:$H$20,'Aging Detail'!$F$14:$F$20),TRUE)</f>
        <v>1</v>
      </c>
    </row>
    <row r="28" spans="1:32">
      <c r="A28" t="s">
        <v>1461</v>
      </c>
      <c r="B28" t="s">
        <v>1462</v>
      </c>
      <c r="C28" t="s">
        <v>462</v>
      </c>
      <c r="D28" t="s">
        <v>1609</v>
      </c>
      <c r="E28" t="s">
        <v>1587</v>
      </c>
      <c r="F28" t="s">
        <v>29</v>
      </c>
      <c r="I28" s="422">
        <v>46225</v>
      </c>
      <c r="J28" s="422">
        <v>46234</v>
      </c>
      <c r="L28">
        <v>0</v>
      </c>
      <c r="M28" t="s">
        <v>1588</v>
      </c>
      <c r="N28" t="s">
        <v>1589</v>
      </c>
      <c r="O28" t="str">
        <f>_xlfn.IFNA(VLOOKUP(Table1[[#This Row],[Lead Source]],'helper tab'!A:B,2,FALSE),"Exclude")</f>
        <v>Events</v>
      </c>
      <c r="P28" s="422">
        <f t="shared" si="0"/>
        <v>46225.513194444444</v>
      </c>
      <c r="Q28">
        <f t="shared" si="1"/>
        <v>1</v>
      </c>
      <c r="R28">
        <f t="shared" si="2"/>
        <v>0</v>
      </c>
      <c r="S28">
        <f>IF(
AND($Q28=1,$M28&lt;&gt;""),
IF(
COUNTIFS(
$M$3:$M28,$M28,
$O$3:$O28,$O28,
$Q$3:$Q28,1,
$P$3:$P28,"&gt;="&amp;EOMONTH($P28,-1)+1,
$P$3:$P28,"&lt;"&amp;EOMONTH($P28,0)+1
)=1,
1,
0),
0)</f>
        <v>0</v>
      </c>
      <c r="T28">
        <f>IF(AND($R28=1,$M28&lt;&gt;""),IF(COUNTIFS($M$3:$M28,$M28,$O$3:$O28,$O28,$R$3:$R28,1,$P$3:$P28,"&gt;="&amp;EOMONTH($P28,-1)+1,$P$3:$P28,"&lt;"&amp;EOMONTH($P28,0)+1)=1,1,0),0)</f>
        <v>0</v>
      </c>
      <c r="U28">
        <f t="shared" si="3"/>
        <v>0</v>
      </c>
      <c r="V28">
        <f>IF(AND($U28=1,$M28&lt;&gt;""),IF(COUNTIFS($M$3:$M28,$M28,$O$3:$O28,$O28,$U$3:$U28,1,$P$3:$P28,"&gt;="&amp;EOMONTH($P28,-1)+1,$P$3:$P28,"&lt;"&amp;EOMONTH($P28,0)+1)=1,1,0),0)</f>
        <v>0</v>
      </c>
      <c r="W28" s="444">
        <f ca="1">TODAY()-Table1[[#This Row],[Change Date]]</f>
        <v>32.486805555556202</v>
      </c>
      <c r="X28" s="422">
        <f t="shared" si="4"/>
        <v>46232.467361111114</v>
      </c>
      <c r="Y28" s="476">
        <f ca="1">IF(Table1[[#This Row],[Next Stage Date]]&lt;&gt;"",Table1[[#This Row],[Next Stage Date]]-Table1[[#This Row],[Change Date]],TODAY()-Table1[[#This Row],[Change Date]])</f>
        <v>6.9541666666700621</v>
      </c>
      <c r="Z28" s="476">
        <f t="shared" si="5"/>
        <v>0</v>
      </c>
      <c r="AA28" s="422" t="str">
        <f t="shared" si="6"/>
        <v/>
      </c>
      <c r="AB28" s="422">
        <f t="shared" si="7"/>
        <v>46225.513194444444</v>
      </c>
      <c r="AC28" s="476">
        <f t="shared" si="8"/>
        <v>0.51319444444379769</v>
      </c>
      <c r="AD28" s="476" t="str">
        <f t="shared" si="9"/>
        <v/>
      </c>
      <c r="AE28" s="476" t="str">
        <f t="shared" si="10"/>
        <v/>
      </c>
      <c r="AF28" s="476" t="b">
        <f>IFERROR(_xlfn.XLOOKUP(Table1[[#This Row],[Opportunity ID]],'Aging Detail'!$H$14:$H$20,'Aging Detail'!$F$14:$F$20),TRUE)</f>
        <v>1</v>
      </c>
    </row>
    <row r="29" spans="1:32">
      <c r="A29" t="s">
        <v>1461</v>
      </c>
      <c r="B29" t="s">
        <v>408</v>
      </c>
      <c r="C29" t="s">
        <v>1462</v>
      </c>
      <c r="D29" t="s">
        <v>1610</v>
      </c>
      <c r="E29" t="s">
        <v>1587</v>
      </c>
      <c r="F29" t="s">
        <v>29</v>
      </c>
      <c r="I29" s="422">
        <v>46225</v>
      </c>
      <c r="J29" s="422">
        <v>46234</v>
      </c>
      <c r="L29">
        <v>0</v>
      </c>
      <c r="M29" t="s">
        <v>1588</v>
      </c>
      <c r="N29" t="s">
        <v>1589</v>
      </c>
      <c r="O29" t="str">
        <f>_xlfn.IFNA(VLOOKUP(Table1[[#This Row],[Lead Source]],'helper tab'!A:B,2,FALSE),"Exclude")</f>
        <v>Events</v>
      </c>
      <c r="P29" s="422">
        <f t="shared" si="0"/>
        <v>46225.354166666664</v>
      </c>
      <c r="Q29">
        <f t="shared" si="1"/>
        <v>0</v>
      </c>
      <c r="R29">
        <f t="shared" si="2"/>
        <v>0</v>
      </c>
      <c r="S29">
        <f>IF(
AND($Q29=1,$M29&lt;&gt;""),
IF(
COUNTIFS(
$M$3:$M29,$M29,
$O$3:$O29,$O29,
$Q$3:$Q29,1,
$P$3:$P29,"&gt;="&amp;EOMONTH($P29,-1)+1,
$P$3:$P29,"&lt;"&amp;EOMONTH($P29,0)+1
)=1,
1,
0),
0)</f>
        <v>0</v>
      </c>
      <c r="T29">
        <f>IF(AND($R29=1,$M29&lt;&gt;""),IF(COUNTIFS($M$3:$M29,$M29,$O$3:$O29,$O29,$R$3:$R29,1,$P$3:$P29,"&gt;="&amp;EOMONTH($P29,-1)+1,$P$3:$P29,"&lt;"&amp;EOMONTH($P29,0)+1)=1,1,0),0)</f>
        <v>0</v>
      </c>
      <c r="U29">
        <f t="shared" si="3"/>
        <v>0</v>
      </c>
      <c r="V29">
        <f>IF(AND($U29=1,$M29&lt;&gt;""),IF(COUNTIFS($M$3:$M29,$M29,$O$3:$O29,$O29,$U$3:$U29,1,$P$3:$P29,"&gt;="&amp;EOMONTH($P29,-1)+1,$P$3:$P29,"&lt;"&amp;EOMONTH($P29,0)+1)=1,1,0),0)</f>
        <v>0</v>
      </c>
      <c r="W29" s="444">
        <f ca="1">TODAY()-Table1[[#This Row],[Change Date]]</f>
        <v>32.645833333335759</v>
      </c>
      <c r="X29" s="422">
        <f t="shared" si="4"/>
        <v>46225.513194444444</v>
      </c>
      <c r="Y29" s="476">
        <f ca="1">IF(Table1[[#This Row],[Next Stage Date]]&lt;&gt;"",Table1[[#This Row],[Next Stage Date]]-Table1[[#This Row],[Change Date]],TODAY()-Table1[[#This Row],[Change Date]])</f>
        <v>0.15902777777955635</v>
      </c>
      <c r="Z29" s="476">
        <f t="shared" si="5"/>
        <v>0</v>
      </c>
      <c r="AA29" s="422" t="str">
        <f t="shared" si="6"/>
        <v/>
      </c>
      <c r="AB29" s="422">
        <f t="shared" si="7"/>
        <v>46225.513194444444</v>
      </c>
      <c r="AC29" s="476">
        <f t="shared" si="8"/>
        <v>0.51319444444379769</v>
      </c>
      <c r="AD29" s="476" t="str">
        <f t="shared" si="9"/>
        <v/>
      </c>
      <c r="AE29" s="476" t="str">
        <f t="shared" si="10"/>
        <v/>
      </c>
      <c r="AF29" s="476" t="b">
        <f>IFERROR(_xlfn.XLOOKUP(Table1[[#This Row],[Opportunity ID]],'Aging Detail'!$H$14:$H$20,'Aging Detail'!$F$14:$F$20),TRUE)</f>
        <v>1</v>
      </c>
    </row>
    <row r="30" spans="1:32">
      <c r="A30" t="s">
        <v>1461</v>
      </c>
      <c r="B30" t="s">
        <v>1462</v>
      </c>
      <c r="C30" t="s">
        <v>462</v>
      </c>
      <c r="D30" t="s">
        <v>1611</v>
      </c>
      <c r="E30" t="s">
        <v>1612</v>
      </c>
      <c r="I30" s="422">
        <v>46154</v>
      </c>
      <c r="J30" s="422">
        <v>46265</v>
      </c>
      <c r="K30">
        <v>22000</v>
      </c>
      <c r="L30">
        <v>0</v>
      </c>
      <c r="M30" t="s">
        <v>1613</v>
      </c>
      <c r="N30" t="s">
        <v>1614</v>
      </c>
      <c r="O30" t="str">
        <f>_xlfn.IFNA(VLOOKUP(Table1[[#This Row],[Lead Source]],'helper tab'!A:B,2,FALSE),"Exclude")</f>
        <v>Exclude</v>
      </c>
      <c r="P30" s="422">
        <f t="shared" si="0"/>
        <v>46224.633333333331</v>
      </c>
      <c r="Q30">
        <f t="shared" si="1"/>
        <v>1</v>
      </c>
      <c r="R30">
        <f t="shared" si="2"/>
        <v>0</v>
      </c>
      <c r="S30">
        <f>IF(
AND($Q30=1,$M30&lt;&gt;""),
IF(
COUNTIFS(
$M$3:$M30,$M30,
$O$3:$O30,$O30,
$Q$3:$Q30,1,
$P$3:$P30,"&gt;="&amp;EOMONTH($P30,-1)+1,
$P$3:$P30,"&lt;"&amp;EOMONTH($P30,0)+1
)=1,
1,
0),
0)</f>
        <v>1</v>
      </c>
      <c r="T30">
        <f>IF(AND($R30=1,$M30&lt;&gt;""),IF(COUNTIFS($M$3:$M30,$M30,$O$3:$O30,$O30,$R$3:$R30,1,$P$3:$P30,"&gt;="&amp;EOMONTH($P30,-1)+1,$P$3:$P30,"&lt;"&amp;EOMONTH($P30,0)+1)=1,1,0),0)</f>
        <v>0</v>
      </c>
      <c r="U30">
        <f t="shared" si="3"/>
        <v>0</v>
      </c>
      <c r="V30">
        <f>IF(AND($U30=1,$M30&lt;&gt;""),IF(COUNTIFS($M$3:$M30,$M30,$O$3:$O30,$O30,$U$3:$U30,1,$P$3:$P30,"&gt;="&amp;EOMONTH($P30,-1)+1,$P$3:$P30,"&lt;"&amp;EOMONTH($P30,0)+1)=1,1,0),0)</f>
        <v>0</v>
      </c>
      <c r="W30" s="444">
        <f ca="1">TODAY()-Table1[[#This Row],[Change Date]]</f>
        <v>33.366666666668607</v>
      </c>
      <c r="X30" s="422" t="str">
        <f t="shared" si="4"/>
        <v/>
      </c>
      <c r="Y30" s="476">
        <f ca="1">IF(Table1[[#This Row],[Next Stage Date]]&lt;&gt;"",Table1[[#This Row],[Next Stage Date]]-Table1[[#This Row],[Change Date]],TODAY()-Table1[[#This Row],[Change Date]])</f>
        <v>33.366666666668607</v>
      </c>
      <c r="Z30" s="476">
        <f t="shared" si="5"/>
        <v>1</v>
      </c>
      <c r="AA30" s="422" t="str">
        <f t="shared" si="6"/>
        <v/>
      </c>
      <c r="AB30" s="422">
        <f t="shared" si="7"/>
        <v>46224.633333333331</v>
      </c>
      <c r="AC30" s="476">
        <f t="shared" si="8"/>
        <v>70.633333333331393</v>
      </c>
      <c r="AD30" s="476" t="str">
        <f t="shared" si="9"/>
        <v/>
      </c>
      <c r="AE30" s="476" t="str">
        <f t="shared" si="10"/>
        <v/>
      </c>
      <c r="AF30" s="476" t="b">
        <f>IFERROR(_xlfn.XLOOKUP(Table1[[#This Row],[Opportunity ID]],'Aging Detail'!$H$14:$H$20,'Aging Detail'!$F$14:$F$20),TRUE)</f>
        <v>1</v>
      </c>
    </row>
    <row r="31" spans="1:32">
      <c r="A31" t="s">
        <v>1461</v>
      </c>
      <c r="B31" t="s">
        <v>338</v>
      </c>
      <c r="C31" t="s">
        <v>1462</v>
      </c>
      <c r="D31" t="s">
        <v>1615</v>
      </c>
      <c r="E31" t="s">
        <v>1616</v>
      </c>
      <c r="I31" s="422">
        <v>46185</v>
      </c>
      <c r="J31" s="422">
        <v>46325</v>
      </c>
      <c r="K31">
        <v>3600</v>
      </c>
      <c r="L31">
        <v>0</v>
      </c>
      <c r="M31" t="s">
        <v>1617</v>
      </c>
      <c r="N31" t="s">
        <v>1618</v>
      </c>
      <c r="O31" t="str">
        <f>_xlfn.IFNA(VLOOKUP(Table1[[#This Row],[Lead Source]],'helper tab'!A:B,2,FALSE),"Exclude")</f>
        <v>Exclude</v>
      </c>
      <c r="P31" s="422">
        <f t="shared" si="0"/>
        <v>46224.631944444445</v>
      </c>
      <c r="Q31">
        <f t="shared" si="1"/>
        <v>0</v>
      </c>
      <c r="R31">
        <f t="shared" si="2"/>
        <v>0</v>
      </c>
      <c r="S31">
        <f>IF(
AND($Q31=1,$M31&lt;&gt;""),
IF(
COUNTIFS(
$M$3:$M31,$M31,
$O$3:$O31,$O31,
$Q$3:$Q31,1,
$P$3:$P31,"&gt;="&amp;EOMONTH($P31,-1)+1,
$P$3:$P31,"&lt;"&amp;EOMONTH($P31,0)+1
)=1,
1,
0),
0)</f>
        <v>0</v>
      </c>
      <c r="T31">
        <f>IF(AND($R31=1,$M31&lt;&gt;""),IF(COUNTIFS($M$3:$M31,$M31,$O$3:$O31,$O31,$R$3:$R31,1,$P$3:$P31,"&gt;="&amp;EOMONTH($P31,-1)+1,$P$3:$P31,"&lt;"&amp;EOMONTH($P31,0)+1)=1,1,0),0)</f>
        <v>0</v>
      </c>
      <c r="U31">
        <f t="shared" si="3"/>
        <v>0</v>
      </c>
      <c r="V31">
        <f>IF(AND($U31=1,$M31&lt;&gt;""),IF(COUNTIFS($M$3:$M31,$M31,$O$3:$O31,$O31,$U$3:$U31,1,$P$3:$P31,"&gt;="&amp;EOMONTH($P31,-1)+1,$P$3:$P31,"&lt;"&amp;EOMONTH($P31,0)+1)=1,1,0),0)</f>
        <v>0</v>
      </c>
      <c r="W31" s="444">
        <f ca="1">TODAY()-Table1[[#This Row],[Change Date]]</f>
        <v>33.368055555554747</v>
      </c>
      <c r="X31" s="422" t="str">
        <f t="shared" si="4"/>
        <v/>
      </c>
      <c r="Y31" s="476">
        <f ca="1">IF(Table1[[#This Row],[Next Stage Date]]&lt;&gt;"",Table1[[#This Row],[Next Stage Date]]-Table1[[#This Row],[Change Date]],TODAY()-Table1[[#This Row],[Change Date]])</f>
        <v>33.368055555554747</v>
      </c>
      <c r="Z31" s="476">
        <f t="shared" si="5"/>
        <v>1</v>
      </c>
      <c r="AA31" s="422" t="str">
        <f t="shared" si="6"/>
        <v/>
      </c>
      <c r="AB31" s="422" t="str">
        <f t="shared" si="7"/>
        <v/>
      </c>
      <c r="AC31" s="476" t="str">
        <f t="shared" si="8"/>
        <v/>
      </c>
      <c r="AD31" s="476" t="str">
        <f t="shared" si="9"/>
        <v/>
      </c>
      <c r="AE31" s="476" t="str">
        <f t="shared" si="10"/>
        <v/>
      </c>
      <c r="AF31" s="476" t="b">
        <f>IFERROR(_xlfn.XLOOKUP(Table1[[#This Row],[Opportunity ID]],'Aging Detail'!$H$14:$H$20,'Aging Detail'!$F$14:$F$20),TRUE)</f>
        <v>1</v>
      </c>
    </row>
    <row r="32" spans="1:32">
      <c r="A32" t="s">
        <v>1461</v>
      </c>
      <c r="B32" t="s">
        <v>338</v>
      </c>
      <c r="C32" t="s">
        <v>1462</v>
      </c>
      <c r="D32" t="s">
        <v>1615</v>
      </c>
      <c r="E32" t="s">
        <v>1619</v>
      </c>
      <c r="I32" s="422">
        <v>46185</v>
      </c>
      <c r="J32" s="422">
        <v>46325</v>
      </c>
      <c r="K32">
        <v>112000</v>
      </c>
      <c r="L32">
        <v>0</v>
      </c>
      <c r="M32" t="s">
        <v>1620</v>
      </c>
      <c r="N32" t="s">
        <v>1618</v>
      </c>
      <c r="O32" t="str">
        <f>_xlfn.IFNA(VLOOKUP(Table1[[#This Row],[Lead Source]],'helper tab'!A:B,2,FALSE),"Exclude")</f>
        <v>Exclude</v>
      </c>
      <c r="P32" s="422">
        <f t="shared" si="0"/>
        <v>46224.631944444445</v>
      </c>
      <c r="Q32">
        <f t="shared" si="1"/>
        <v>0</v>
      </c>
      <c r="R32">
        <f t="shared" si="2"/>
        <v>0</v>
      </c>
      <c r="S32">
        <f>IF(
AND($Q32=1,$M32&lt;&gt;""),
IF(
COUNTIFS(
$M$3:$M32,$M32,
$O$3:$O32,$O32,
$Q$3:$Q32,1,
$P$3:$P32,"&gt;="&amp;EOMONTH($P32,-1)+1,
$P$3:$P32,"&lt;"&amp;EOMONTH($P32,0)+1
)=1,
1,
0),
0)</f>
        <v>0</v>
      </c>
      <c r="T32">
        <f>IF(AND($R32=1,$M32&lt;&gt;""),IF(COUNTIFS($M$3:$M32,$M32,$O$3:$O32,$O32,$R$3:$R32,1,$P$3:$P32,"&gt;="&amp;EOMONTH($P32,-1)+1,$P$3:$P32,"&lt;"&amp;EOMONTH($P32,0)+1)=1,1,0),0)</f>
        <v>0</v>
      </c>
      <c r="U32">
        <f t="shared" si="3"/>
        <v>0</v>
      </c>
      <c r="V32">
        <f>IF(AND($U32=1,$M32&lt;&gt;""),IF(COUNTIFS($M$3:$M32,$M32,$O$3:$O32,$O32,$U$3:$U32,1,$P$3:$P32,"&gt;="&amp;EOMONTH($P32,-1)+1,$P$3:$P32,"&lt;"&amp;EOMONTH($P32,0)+1)=1,1,0),0)</f>
        <v>0</v>
      </c>
      <c r="W32" s="444">
        <f ca="1">TODAY()-Table1[[#This Row],[Change Date]]</f>
        <v>33.368055555554747</v>
      </c>
      <c r="X32" s="422" t="str">
        <f t="shared" si="4"/>
        <v/>
      </c>
      <c r="Y32" s="476">
        <f ca="1">IF(Table1[[#This Row],[Next Stage Date]]&lt;&gt;"",Table1[[#This Row],[Next Stage Date]]-Table1[[#This Row],[Change Date]],TODAY()-Table1[[#This Row],[Change Date]])</f>
        <v>33.368055555554747</v>
      </c>
      <c r="Z32" s="476">
        <f t="shared" si="5"/>
        <v>1</v>
      </c>
      <c r="AA32" s="422" t="str">
        <f t="shared" si="6"/>
        <v/>
      </c>
      <c r="AB32" s="422" t="str">
        <f t="shared" si="7"/>
        <v/>
      </c>
      <c r="AC32" s="476" t="str">
        <f t="shared" si="8"/>
        <v/>
      </c>
      <c r="AD32" s="476" t="str">
        <f t="shared" si="9"/>
        <v/>
      </c>
      <c r="AE32" s="476" t="str">
        <f t="shared" si="10"/>
        <v/>
      </c>
      <c r="AF32" s="476" t="b">
        <f>IFERROR(_xlfn.XLOOKUP(Table1[[#This Row],[Opportunity ID]],'Aging Detail'!$H$14:$H$20,'Aging Detail'!$F$14:$F$20),TRUE)</f>
        <v>1</v>
      </c>
    </row>
    <row r="33" spans="1:32">
      <c r="A33" t="s">
        <v>1461</v>
      </c>
      <c r="B33" t="s">
        <v>338</v>
      </c>
      <c r="C33" t="s">
        <v>1462</v>
      </c>
      <c r="D33" t="s">
        <v>1621</v>
      </c>
      <c r="E33" t="s">
        <v>1612</v>
      </c>
      <c r="I33" s="422">
        <v>46154</v>
      </c>
      <c r="J33" s="422">
        <v>46265</v>
      </c>
      <c r="K33">
        <v>22000</v>
      </c>
      <c r="L33">
        <v>0</v>
      </c>
      <c r="M33" t="s">
        <v>1613</v>
      </c>
      <c r="N33" t="s">
        <v>1614</v>
      </c>
      <c r="O33" t="str">
        <f>_xlfn.IFNA(VLOOKUP(Table1[[#This Row],[Lead Source]],'helper tab'!A:B,2,FALSE),"Exclude")</f>
        <v>Exclude</v>
      </c>
      <c r="P33" s="422">
        <f t="shared" si="0"/>
        <v>46224.621527777781</v>
      </c>
      <c r="Q33">
        <f t="shared" si="1"/>
        <v>0</v>
      </c>
      <c r="R33">
        <f t="shared" si="2"/>
        <v>0</v>
      </c>
      <c r="S33">
        <f>IF(
AND($Q33=1,$M33&lt;&gt;""),
IF(
COUNTIFS(
$M$3:$M33,$M33,
$O$3:$O33,$O33,
$Q$3:$Q33,1,
$P$3:$P33,"&gt;="&amp;EOMONTH($P33,-1)+1,
$P$3:$P33,"&lt;"&amp;EOMONTH($P33,0)+1
)=1,
1,
0),
0)</f>
        <v>0</v>
      </c>
      <c r="T33">
        <f>IF(AND($R33=1,$M33&lt;&gt;""),IF(COUNTIFS($M$3:$M33,$M33,$O$3:$O33,$O33,$R$3:$R33,1,$P$3:$P33,"&gt;="&amp;EOMONTH($P33,-1)+1,$P$3:$P33,"&lt;"&amp;EOMONTH($P33,0)+1)=1,1,0),0)</f>
        <v>0</v>
      </c>
      <c r="U33">
        <f t="shared" si="3"/>
        <v>0</v>
      </c>
      <c r="V33">
        <f>IF(AND($U33=1,$M33&lt;&gt;""),IF(COUNTIFS($M$3:$M33,$M33,$O$3:$O33,$O33,$U$3:$U33,1,$P$3:$P33,"&gt;="&amp;EOMONTH($P33,-1)+1,$P$3:$P33,"&lt;"&amp;EOMONTH($P33,0)+1)=1,1,0),0)</f>
        <v>0</v>
      </c>
      <c r="W33" s="444">
        <f ca="1">TODAY()-Table1[[#This Row],[Change Date]]</f>
        <v>33.378472222218988</v>
      </c>
      <c r="X33" s="422">
        <f t="shared" si="4"/>
        <v>46224.633333333331</v>
      </c>
      <c r="Y33" s="476">
        <f ca="1">IF(Table1[[#This Row],[Next Stage Date]]&lt;&gt;"",Table1[[#This Row],[Next Stage Date]]-Table1[[#This Row],[Change Date]],TODAY()-Table1[[#This Row],[Change Date]])</f>
        <v>1.1805555550381541E-2</v>
      </c>
      <c r="Z33" s="476">
        <f t="shared" si="5"/>
        <v>0</v>
      </c>
      <c r="AA33" s="422" t="str">
        <f t="shared" si="6"/>
        <v/>
      </c>
      <c r="AB33" s="422">
        <f t="shared" si="7"/>
        <v>46224.633333333331</v>
      </c>
      <c r="AC33" s="476">
        <f t="shared" si="8"/>
        <v>70.633333333331393</v>
      </c>
      <c r="AD33" s="476" t="str">
        <f t="shared" si="9"/>
        <v/>
      </c>
      <c r="AE33" s="476" t="str">
        <f t="shared" si="10"/>
        <v/>
      </c>
      <c r="AF33" s="476" t="b">
        <f>IFERROR(_xlfn.XLOOKUP(Table1[[#This Row],[Opportunity ID]],'Aging Detail'!$H$14:$H$20,'Aging Detail'!$F$14:$F$20),TRUE)</f>
        <v>1</v>
      </c>
    </row>
    <row r="34" spans="1:32">
      <c r="A34" t="s">
        <v>1461</v>
      </c>
      <c r="B34" t="s">
        <v>462</v>
      </c>
      <c r="C34" t="s">
        <v>526</v>
      </c>
      <c r="D34" t="s">
        <v>1622</v>
      </c>
      <c r="E34" t="s">
        <v>1623</v>
      </c>
      <c r="I34" s="422">
        <v>45926</v>
      </c>
      <c r="J34" s="422">
        <v>46248</v>
      </c>
      <c r="K34">
        <v>0</v>
      </c>
      <c r="L34">
        <v>0</v>
      </c>
      <c r="M34" t="s">
        <v>1624</v>
      </c>
      <c r="N34" t="s">
        <v>1625</v>
      </c>
      <c r="O34" t="str">
        <f>_xlfn.IFNA(VLOOKUP(Table1[[#This Row],[Lead Source]],'helper tab'!A:B,2,FALSE),"Exclude")</f>
        <v>Exclude</v>
      </c>
      <c r="P34" s="422">
        <f t="shared" si="0"/>
        <v>46224.616666666669</v>
      </c>
      <c r="Q34">
        <f t="shared" si="1"/>
        <v>1</v>
      </c>
      <c r="R34">
        <f t="shared" si="2"/>
        <v>0</v>
      </c>
      <c r="S34">
        <f>IF(
AND($Q34=1,$M34&lt;&gt;""),
IF(
COUNTIFS(
$M$3:$M34,$M34,
$O$3:$O34,$O34,
$Q$3:$Q34,1,
$P$3:$P34,"&gt;="&amp;EOMONTH($P34,-1)+1,
$P$3:$P34,"&lt;"&amp;EOMONTH($P34,0)+1
)=1,
1,
0),
0)</f>
        <v>1</v>
      </c>
      <c r="T34">
        <f>IF(AND($R34=1,$M34&lt;&gt;""),IF(COUNTIFS($M$3:$M34,$M34,$O$3:$O34,$O34,$R$3:$R34,1,$P$3:$P34,"&gt;="&amp;EOMONTH($P34,-1)+1,$P$3:$P34,"&lt;"&amp;EOMONTH($P34,0)+1)=1,1,0),0)</f>
        <v>0</v>
      </c>
      <c r="U34">
        <f t="shared" si="3"/>
        <v>0</v>
      </c>
      <c r="V34">
        <f>IF(AND($U34=1,$M34&lt;&gt;""),IF(COUNTIFS($M$3:$M34,$M34,$O$3:$O34,$O34,$U$3:$U34,1,$P$3:$P34,"&gt;="&amp;EOMONTH($P34,-1)+1,$P$3:$P34,"&lt;"&amp;EOMONTH($P34,0)+1)=1,1,0),0)</f>
        <v>0</v>
      </c>
      <c r="W34" s="444">
        <f ca="1">TODAY()-Table1[[#This Row],[Change Date]]</f>
        <v>33.383333333331393</v>
      </c>
      <c r="X34" s="422" t="str">
        <f t="shared" si="4"/>
        <v/>
      </c>
      <c r="Y34" s="476">
        <f ca="1">IF(Table1[[#This Row],[Next Stage Date]]&lt;&gt;"",Table1[[#This Row],[Next Stage Date]]-Table1[[#This Row],[Change Date]],TODAY()-Table1[[#This Row],[Change Date]])</f>
        <v>33.383333333331393</v>
      </c>
      <c r="Z34" s="476">
        <f t="shared" si="5"/>
        <v>1</v>
      </c>
      <c r="AA34" s="422" t="str">
        <f t="shared" si="6"/>
        <v/>
      </c>
      <c r="AB34" s="422">
        <f t="shared" si="7"/>
        <v>45936.552777777775</v>
      </c>
      <c r="AC34" s="476">
        <f t="shared" si="8"/>
        <v>10.552777777775191</v>
      </c>
      <c r="AD34" s="476" t="str">
        <f t="shared" si="9"/>
        <v/>
      </c>
      <c r="AE34" s="476" t="str">
        <f t="shared" si="10"/>
        <v/>
      </c>
      <c r="AF34" s="476" t="b">
        <f>IFERROR(_xlfn.XLOOKUP(Table1[[#This Row],[Opportunity ID]],'Aging Detail'!$H$14:$H$20,'Aging Detail'!$F$14:$F$20),TRUE)</f>
        <v>1</v>
      </c>
    </row>
    <row r="35" spans="1:32">
      <c r="A35" t="s">
        <v>1461</v>
      </c>
      <c r="B35" t="s">
        <v>526</v>
      </c>
      <c r="C35" t="s">
        <v>563</v>
      </c>
      <c r="D35" t="s">
        <v>1626</v>
      </c>
      <c r="E35" t="s">
        <v>1627</v>
      </c>
      <c r="I35" s="422">
        <v>46107</v>
      </c>
      <c r="J35" s="422">
        <v>46224</v>
      </c>
      <c r="K35">
        <v>6400</v>
      </c>
      <c r="L35">
        <v>0</v>
      </c>
      <c r="M35" t="s">
        <v>1628</v>
      </c>
      <c r="N35" t="s">
        <v>1629</v>
      </c>
      <c r="O35" t="str">
        <f>_xlfn.IFNA(VLOOKUP(Table1[[#This Row],[Lead Source]],'helper tab'!A:B,2,FALSE),"Exclude")</f>
        <v>Exclude</v>
      </c>
      <c r="P35" s="422">
        <f t="shared" si="0"/>
        <v>46224.459027777775</v>
      </c>
      <c r="Q35">
        <f t="shared" si="1"/>
        <v>0</v>
      </c>
      <c r="R35">
        <f t="shared" si="2"/>
        <v>1</v>
      </c>
      <c r="S35">
        <f>IF(
AND($Q35=1,$M35&lt;&gt;""),
IF(
COUNTIFS(
$M$3:$M35,$M35,
$O$3:$O35,$O35,
$Q$3:$Q35,1,
$P$3:$P35,"&gt;="&amp;EOMONTH($P35,-1)+1,
$P$3:$P35,"&lt;"&amp;EOMONTH($P35,0)+1
)=1,
1,
0),
0)</f>
        <v>0</v>
      </c>
      <c r="T35">
        <f>IF(AND($R35=1,$M35&lt;&gt;""),IF(COUNTIFS($M$3:$M35,$M35,$O$3:$O35,$O35,$R$3:$R35,1,$P$3:$P35,"&gt;="&amp;EOMONTH($P35,-1)+1,$P$3:$P35,"&lt;"&amp;EOMONTH($P35,0)+1)=1,1,0),0)</f>
        <v>1</v>
      </c>
      <c r="U35">
        <f t="shared" si="3"/>
        <v>0</v>
      </c>
      <c r="V35">
        <f>IF(AND($U35=1,$M35&lt;&gt;""),IF(COUNTIFS($M$3:$M35,$M35,$O$3:$O35,$O35,$U$3:$U35,1,$P$3:$P35,"&gt;="&amp;EOMONTH($P35,-1)+1,$P$3:$P35,"&lt;"&amp;EOMONTH($P35,0)+1)=1,1,0),0)</f>
        <v>0</v>
      </c>
      <c r="W35" s="444">
        <f ca="1">TODAY()-Table1[[#This Row],[Change Date]]</f>
        <v>33.540972222224809</v>
      </c>
      <c r="X35" s="422" t="str">
        <f t="shared" si="4"/>
        <v/>
      </c>
      <c r="Y35" s="476">
        <f ca="1">IF(Table1[[#This Row],[Next Stage Date]]&lt;&gt;"",Table1[[#This Row],[Next Stage Date]]-Table1[[#This Row],[Change Date]],TODAY()-Table1[[#This Row],[Change Date]])</f>
        <v>33.540972222224809</v>
      </c>
      <c r="Z35" s="476">
        <f t="shared" si="5"/>
        <v>1</v>
      </c>
      <c r="AA35" s="422">
        <f t="shared" si="6"/>
        <v>46224.459027777775</v>
      </c>
      <c r="AB35" s="422">
        <f t="shared" si="7"/>
        <v>46204.37222222222</v>
      </c>
      <c r="AC35" s="476">
        <f t="shared" si="8"/>
        <v>97.372222222220444</v>
      </c>
      <c r="AD35" s="476">
        <f t="shared" si="9"/>
        <v>20.086805555554747</v>
      </c>
      <c r="AE35" s="476">
        <f t="shared" si="10"/>
        <v>117.45902777777519</v>
      </c>
      <c r="AF35" s="476" t="b">
        <f>IFERROR(_xlfn.XLOOKUP(Table1[[#This Row],[Opportunity ID]],'Aging Detail'!$H$14:$H$20,'Aging Detail'!$F$14:$F$20),TRUE)</f>
        <v>1</v>
      </c>
    </row>
    <row r="36" spans="1:32">
      <c r="A36" t="s">
        <v>1461</v>
      </c>
      <c r="B36" t="s">
        <v>1469</v>
      </c>
      <c r="C36" t="s">
        <v>1462</v>
      </c>
      <c r="D36" t="s">
        <v>1630</v>
      </c>
      <c r="E36" t="s">
        <v>1631</v>
      </c>
      <c r="F36" t="s">
        <v>1632</v>
      </c>
      <c r="I36" s="422">
        <v>45980</v>
      </c>
      <c r="J36" s="422">
        <v>46387</v>
      </c>
      <c r="K36">
        <v>0</v>
      </c>
      <c r="L36">
        <v>0</v>
      </c>
      <c r="M36" t="s">
        <v>1633</v>
      </c>
      <c r="N36" t="s">
        <v>1634</v>
      </c>
      <c r="O36" t="str">
        <f>_xlfn.IFNA(VLOOKUP(Table1[[#This Row],[Lead Source]],'helper tab'!A:B,2,FALSE),"Exclude")</f>
        <v>Exclude</v>
      </c>
      <c r="P36" s="422">
        <f t="shared" si="0"/>
        <v>46224.402083333334</v>
      </c>
      <c r="Q36">
        <f t="shared" si="1"/>
        <v>0</v>
      </c>
      <c r="R36">
        <f t="shared" si="2"/>
        <v>0</v>
      </c>
      <c r="S36">
        <f>IF(
AND($Q36=1,$M36&lt;&gt;""),
IF(
COUNTIFS(
$M$3:$M36,$M36,
$O$3:$O36,$O36,
$Q$3:$Q36,1,
$P$3:$P36,"&gt;="&amp;EOMONTH($P36,-1)+1,
$P$3:$P36,"&lt;"&amp;EOMONTH($P36,0)+1
)=1,
1,
0),
0)</f>
        <v>0</v>
      </c>
      <c r="T36">
        <f>IF(AND($R36=1,$M36&lt;&gt;""),IF(COUNTIFS($M$3:$M36,$M36,$O$3:$O36,$O36,$R$3:$R36,1,$P$3:$P36,"&gt;="&amp;EOMONTH($P36,-1)+1,$P$3:$P36,"&lt;"&amp;EOMONTH($P36,0)+1)=1,1,0),0)</f>
        <v>0</v>
      </c>
      <c r="U36">
        <f t="shared" si="3"/>
        <v>0</v>
      </c>
      <c r="V36">
        <f>IF(AND($U36=1,$M36&lt;&gt;""),IF(COUNTIFS($M$3:$M36,$M36,$O$3:$O36,$O36,$U$3:$U36,1,$P$3:$P36,"&gt;="&amp;EOMONTH($P36,-1)+1,$P$3:$P36,"&lt;"&amp;EOMONTH($P36,0)+1)=1,1,0),0)</f>
        <v>0</v>
      </c>
      <c r="W36" s="444">
        <f ca="1">TODAY()-Table1[[#This Row],[Change Date]]</f>
        <v>33.597916666665697</v>
      </c>
      <c r="X36" s="422" t="str">
        <f t="shared" si="4"/>
        <v/>
      </c>
      <c r="Y36" s="476">
        <f ca="1">IF(Table1[[#This Row],[Next Stage Date]]&lt;&gt;"",Table1[[#This Row],[Next Stage Date]]-Table1[[#This Row],[Change Date]],TODAY()-Table1[[#This Row],[Change Date]])</f>
        <v>33.597916666665697</v>
      </c>
      <c r="Z36" s="476">
        <f t="shared" si="5"/>
        <v>1</v>
      </c>
      <c r="AA36" s="422" t="str">
        <f t="shared" si="6"/>
        <v/>
      </c>
      <c r="AB36" s="422">
        <f t="shared" si="7"/>
        <v>46118.349305555559</v>
      </c>
      <c r="AC36" s="476">
        <f t="shared" si="8"/>
        <v>138.34930555555911</v>
      </c>
      <c r="AD36" s="476" t="str">
        <f t="shared" si="9"/>
        <v/>
      </c>
      <c r="AE36" s="476" t="str">
        <f t="shared" si="10"/>
        <v/>
      </c>
      <c r="AF36" s="476" t="b">
        <f>IFERROR(_xlfn.XLOOKUP(Table1[[#This Row],[Opportunity ID]],'Aging Detail'!$H$14:$H$20,'Aging Detail'!$F$14:$F$20),TRUE)</f>
        <v>1</v>
      </c>
    </row>
    <row r="37" spans="1:32">
      <c r="A37" t="s">
        <v>1461</v>
      </c>
      <c r="B37" t="s">
        <v>462</v>
      </c>
      <c r="C37" t="s">
        <v>526</v>
      </c>
      <c r="D37" t="s">
        <v>1635</v>
      </c>
      <c r="E37" t="s">
        <v>1627</v>
      </c>
      <c r="I37" s="422">
        <v>46107</v>
      </c>
      <c r="J37" s="422">
        <v>46224</v>
      </c>
      <c r="K37">
        <v>6400</v>
      </c>
      <c r="L37">
        <v>0</v>
      </c>
      <c r="M37" t="s">
        <v>1628</v>
      </c>
      <c r="N37" t="s">
        <v>1629</v>
      </c>
      <c r="O37" t="str">
        <f>_xlfn.IFNA(VLOOKUP(Table1[[#This Row],[Lead Source]],'helper tab'!A:B,2,FALSE),"Exclude")</f>
        <v>Exclude</v>
      </c>
      <c r="P37" s="422">
        <f t="shared" si="0"/>
        <v>46224.387499999997</v>
      </c>
      <c r="Q37">
        <f t="shared" si="1"/>
        <v>1</v>
      </c>
      <c r="R37">
        <f t="shared" si="2"/>
        <v>0</v>
      </c>
      <c r="S37">
        <f>IF(
AND($Q37=1,$M37&lt;&gt;""),
IF(
COUNTIFS(
$M$3:$M37,$M37,
$O$3:$O37,$O37,
$Q$3:$Q37,1,
$P$3:$P37,"&gt;="&amp;EOMONTH($P37,-1)+1,
$P$3:$P37,"&lt;"&amp;EOMONTH($P37,0)+1
)=1,
1,
0),
0)</f>
        <v>1</v>
      </c>
      <c r="T37">
        <f>IF(AND($R37=1,$M37&lt;&gt;""),IF(COUNTIFS($M$3:$M37,$M37,$O$3:$O37,$O37,$R$3:$R37,1,$P$3:$P37,"&gt;="&amp;EOMONTH($P37,-1)+1,$P$3:$P37,"&lt;"&amp;EOMONTH($P37,0)+1)=1,1,0),0)</f>
        <v>0</v>
      </c>
      <c r="U37">
        <f t="shared" si="3"/>
        <v>0</v>
      </c>
      <c r="V37">
        <f>IF(AND($U37=1,$M37&lt;&gt;""),IF(COUNTIFS($M$3:$M37,$M37,$O$3:$O37,$O37,$U$3:$U37,1,$P$3:$P37,"&gt;="&amp;EOMONTH($P37,-1)+1,$P$3:$P37,"&lt;"&amp;EOMONTH($P37,0)+1)=1,1,0),0)</f>
        <v>0</v>
      </c>
      <c r="W37" s="444">
        <f ca="1">TODAY()-Table1[[#This Row],[Change Date]]</f>
        <v>33.61250000000291</v>
      </c>
      <c r="X37" s="422">
        <f t="shared" si="4"/>
        <v>46224.459027777775</v>
      </c>
      <c r="Y37" s="476">
        <f ca="1">IF(Table1[[#This Row],[Next Stage Date]]&lt;&gt;"",Table1[[#This Row],[Next Stage Date]]-Table1[[#This Row],[Change Date]],TODAY()-Table1[[#This Row],[Change Date]])</f>
        <v>7.1527777778101154E-2</v>
      </c>
      <c r="Z37" s="476">
        <f t="shared" si="5"/>
        <v>0</v>
      </c>
      <c r="AA37" s="422">
        <f t="shared" si="6"/>
        <v>46224.459027777775</v>
      </c>
      <c r="AB37" s="422">
        <f t="shared" si="7"/>
        <v>46204.37222222222</v>
      </c>
      <c r="AC37" s="476">
        <f t="shared" si="8"/>
        <v>97.372222222220444</v>
      </c>
      <c r="AD37" s="476">
        <f t="shared" si="9"/>
        <v>20.086805555554747</v>
      </c>
      <c r="AE37" s="476">
        <f t="shared" si="10"/>
        <v>117.45902777777519</v>
      </c>
      <c r="AF37" s="476" t="b">
        <f>IFERROR(_xlfn.XLOOKUP(Table1[[#This Row],[Opportunity ID]],'Aging Detail'!$H$14:$H$20,'Aging Detail'!$F$14:$F$20),TRUE)</f>
        <v>1</v>
      </c>
    </row>
    <row r="38" spans="1:32">
      <c r="A38" t="s">
        <v>1461</v>
      </c>
      <c r="B38" t="s">
        <v>408</v>
      </c>
      <c r="C38" t="s">
        <v>1469</v>
      </c>
      <c r="D38" t="s">
        <v>1636</v>
      </c>
      <c r="E38" t="s">
        <v>1637</v>
      </c>
      <c r="F38" t="s">
        <v>1465</v>
      </c>
      <c r="I38" s="422">
        <v>45580</v>
      </c>
      <c r="J38" s="422">
        <v>46223</v>
      </c>
      <c r="K38">
        <v>1132000</v>
      </c>
      <c r="L38">
        <v>792000</v>
      </c>
      <c r="M38" t="s">
        <v>1638</v>
      </c>
      <c r="N38" t="s">
        <v>1637</v>
      </c>
      <c r="O38" t="str">
        <f>_xlfn.IFNA(VLOOKUP(Table1[[#This Row],[Lead Source]],'helper tab'!A:B,2,FALSE),"Exclude")</f>
        <v>Exclude</v>
      </c>
      <c r="P38" s="422">
        <f t="shared" si="0"/>
        <v>46223.595138888886</v>
      </c>
      <c r="Q38">
        <f t="shared" si="1"/>
        <v>0</v>
      </c>
      <c r="R38">
        <f t="shared" si="2"/>
        <v>0</v>
      </c>
      <c r="S38">
        <f>IF(
AND($Q38=1,$M38&lt;&gt;""),
IF(
COUNTIFS(
$M$3:$M38,$M38,
$O$3:$O38,$O38,
$Q$3:$Q38,1,
$P$3:$P38,"&gt;="&amp;EOMONTH($P38,-1)+1,
$P$3:$P38,"&lt;"&amp;EOMONTH($P38,0)+1
)=1,
1,
0),
0)</f>
        <v>0</v>
      </c>
      <c r="T38">
        <f>IF(AND($R38=1,$M38&lt;&gt;""),IF(COUNTIFS($M$3:$M38,$M38,$O$3:$O38,$O38,$R$3:$R38,1,$P$3:$P38,"&gt;="&amp;EOMONTH($P38,-1)+1,$P$3:$P38,"&lt;"&amp;EOMONTH($P38,0)+1)=1,1,0),0)</f>
        <v>0</v>
      </c>
      <c r="U38">
        <f t="shared" si="3"/>
        <v>1</v>
      </c>
      <c r="V38">
        <f>IF(AND($U38=1,$M38&lt;&gt;""),IF(COUNTIFS($M$3:$M38,$M38,$O$3:$O38,$O38,$U$3:$U38,1,$P$3:$P38,"&gt;="&amp;EOMONTH($P38,-1)+1,$P$3:$P38,"&lt;"&amp;EOMONTH($P38,0)+1)=1,1,0),0)</f>
        <v>1</v>
      </c>
      <c r="W38" s="444">
        <f ca="1">TODAY()-Table1[[#This Row],[Change Date]]</f>
        <v>34.40486111111386</v>
      </c>
      <c r="X38" s="422" t="str">
        <f t="shared" si="4"/>
        <v/>
      </c>
      <c r="Y38" s="476">
        <f ca="1">IF(Table1[[#This Row],[Next Stage Date]]&lt;&gt;"",Table1[[#This Row],[Next Stage Date]]-Table1[[#This Row],[Change Date]],TODAY()-Table1[[#This Row],[Change Date]])</f>
        <v>34.40486111111386</v>
      </c>
      <c r="Z38" s="476">
        <f t="shared" si="5"/>
        <v>1</v>
      </c>
      <c r="AA38" s="422" t="str">
        <f t="shared" si="6"/>
        <v/>
      </c>
      <c r="AB38" s="422" t="str">
        <f t="shared" si="7"/>
        <v/>
      </c>
      <c r="AC38" s="476" t="str">
        <f t="shared" si="8"/>
        <v/>
      </c>
      <c r="AD38" s="476" t="str">
        <f t="shared" si="9"/>
        <v/>
      </c>
      <c r="AE38" s="476" t="str">
        <f t="shared" si="10"/>
        <v/>
      </c>
      <c r="AF38" s="476" t="b">
        <f>IFERROR(_xlfn.XLOOKUP(Table1[[#This Row],[Opportunity ID]],'Aging Detail'!$H$14:$H$20,'Aging Detail'!$F$14:$F$20),TRUE)</f>
        <v>1</v>
      </c>
    </row>
    <row r="39" spans="1:32">
      <c r="A39" t="s">
        <v>1461</v>
      </c>
      <c r="B39" t="s">
        <v>338</v>
      </c>
      <c r="C39" t="s">
        <v>462</v>
      </c>
      <c r="D39" t="s">
        <v>1639</v>
      </c>
      <c r="E39" t="s">
        <v>1640</v>
      </c>
      <c r="I39" s="422">
        <v>46202</v>
      </c>
      <c r="J39" s="422">
        <v>46326</v>
      </c>
      <c r="K39">
        <v>66000</v>
      </c>
      <c r="L39">
        <v>0</v>
      </c>
      <c r="M39" t="s">
        <v>1641</v>
      </c>
      <c r="N39" t="s">
        <v>1642</v>
      </c>
      <c r="O39" t="str">
        <f>_xlfn.IFNA(VLOOKUP(Table1[[#This Row],[Lead Source]],'helper tab'!A:B,2,FALSE),"Exclude")</f>
        <v>Exclude</v>
      </c>
      <c r="P39" s="422">
        <f t="shared" si="0"/>
        <v>46223.452777777777</v>
      </c>
      <c r="Q39">
        <f t="shared" si="1"/>
        <v>1</v>
      </c>
      <c r="R39">
        <f t="shared" si="2"/>
        <v>0</v>
      </c>
      <c r="S39">
        <f>IF(
AND($Q39=1,$M39&lt;&gt;""),
IF(
COUNTIFS(
$M$3:$M39,$M39,
$O$3:$O39,$O39,
$Q$3:$Q39,1,
$P$3:$P39,"&gt;="&amp;EOMONTH($P39,-1)+1,
$P$3:$P39,"&lt;"&amp;EOMONTH($P39,0)+1
)=1,
1,
0),
0)</f>
        <v>1</v>
      </c>
      <c r="T39">
        <f>IF(AND($R39=1,$M39&lt;&gt;""),IF(COUNTIFS($M$3:$M39,$M39,$O$3:$O39,$O39,$R$3:$R39,1,$P$3:$P39,"&gt;="&amp;EOMONTH($P39,-1)+1,$P$3:$P39,"&lt;"&amp;EOMONTH($P39,0)+1)=1,1,0),0)</f>
        <v>0</v>
      </c>
      <c r="U39">
        <f t="shared" si="3"/>
        <v>0</v>
      </c>
      <c r="V39">
        <f>IF(AND($U39=1,$M39&lt;&gt;""),IF(COUNTIFS($M$3:$M39,$M39,$O$3:$O39,$O39,$U$3:$U39,1,$P$3:$P39,"&gt;="&amp;EOMONTH($P39,-1)+1,$P$3:$P39,"&lt;"&amp;EOMONTH($P39,0)+1)=1,1,0),0)</f>
        <v>0</v>
      </c>
      <c r="W39" s="444">
        <f ca="1">TODAY()-Table1[[#This Row],[Change Date]]</f>
        <v>34.547222222223354</v>
      </c>
      <c r="X39" s="422" t="str">
        <f t="shared" si="4"/>
        <v/>
      </c>
      <c r="Y39" s="476">
        <f ca="1">IF(Table1[[#This Row],[Next Stage Date]]&lt;&gt;"",Table1[[#This Row],[Next Stage Date]]-Table1[[#This Row],[Change Date]],TODAY()-Table1[[#This Row],[Change Date]])</f>
        <v>34.547222222223354</v>
      </c>
      <c r="Z39" s="476">
        <f t="shared" si="5"/>
        <v>1</v>
      </c>
      <c r="AA39" s="422" t="str">
        <f t="shared" si="6"/>
        <v/>
      </c>
      <c r="AB39" s="422">
        <f t="shared" si="7"/>
        <v>46223.452777777777</v>
      </c>
      <c r="AC39" s="476">
        <f t="shared" si="8"/>
        <v>21.452777777776646</v>
      </c>
      <c r="AD39" s="476" t="str">
        <f t="shared" si="9"/>
        <v/>
      </c>
      <c r="AE39" s="476" t="str">
        <f t="shared" si="10"/>
        <v/>
      </c>
      <c r="AF39" s="476" t="b">
        <f>IFERROR(_xlfn.XLOOKUP(Table1[[#This Row],[Opportunity ID]],'Aging Detail'!$H$14:$H$20,'Aging Detail'!$F$14:$F$20),TRUE)</f>
        <v>1</v>
      </c>
    </row>
    <row r="40" spans="1:32">
      <c r="A40" t="s">
        <v>1461</v>
      </c>
      <c r="B40" t="s">
        <v>338</v>
      </c>
      <c r="C40" t="s">
        <v>1462</v>
      </c>
      <c r="D40" t="s">
        <v>1643</v>
      </c>
      <c r="E40" t="s">
        <v>1644</v>
      </c>
      <c r="I40" s="422">
        <v>46112</v>
      </c>
      <c r="J40" s="422">
        <v>46387</v>
      </c>
      <c r="K40">
        <v>40000</v>
      </c>
      <c r="L40">
        <v>40000</v>
      </c>
      <c r="M40" t="s">
        <v>1645</v>
      </c>
      <c r="N40" t="s">
        <v>1646</v>
      </c>
      <c r="O40" t="str">
        <f>_xlfn.IFNA(VLOOKUP(Table1[[#This Row],[Lead Source]],'helper tab'!A:B,2,FALSE),"Exclude")</f>
        <v>Exclude</v>
      </c>
      <c r="P40" s="422">
        <f t="shared" si="0"/>
        <v>46220.505555555559</v>
      </c>
      <c r="Q40">
        <f t="shared" si="1"/>
        <v>0</v>
      </c>
      <c r="R40">
        <f t="shared" si="2"/>
        <v>0</v>
      </c>
      <c r="S40">
        <f>IF(
AND($Q40=1,$M40&lt;&gt;""),
IF(
COUNTIFS(
$M$3:$M40,$M40,
$O$3:$O40,$O40,
$Q$3:$Q40,1,
$P$3:$P40,"&gt;="&amp;EOMONTH($P40,-1)+1,
$P$3:$P40,"&lt;"&amp;EOMONTH($P40,0)+1
)=1,
1,
0),
0)</f>
        <v>0</v>
      </c>
      <c r="T40">
        <f>IF(AND($R40=1,$M40&lt;&gt;""),IF(COUNTIFS($M$3:$M40,$M40,$O$3:$O40,$O40,$R$3:$R40,1,$P$3:$P40,"&gt;="&amp;EOMONTH($P40,-1)+1,$P$3:$P40,"&lt;"&amp;EOMONTH($P40,0)+1)=1,1,0),0)</f>
        <v>0</v>
      </c>
      <c r="U40">
        <f t="shared" si="3"/>
        <v>0</v>
      </c>
      <c r="V40">
        <f>IF(AND($U40=1,$M40&lt;&gt;""),IF(COUNTIFS($M$3:$M40,$M40,$O$3:$O40,$O40,$U$3:$U40,1,$P$3:$P40,"&gt;="&amp;EOMONTH($P40,-1)+1,$P$3:$P40,"&lt;"&amp;EOMONTH($P40,0)+1)=1,1,0),0)</f>
        <v>0</v>
      </c>
      <c r="W40" s="444">
        <f ca="1">TODAY()-Table1[[#This Row],[Change Date]]</f>
        <v>37.494444444440887</v>
      </c>
      <c r="X40" s="422" t="str">
        <f t="shared" si="4"/>
        <v/>
      </c>
      <c r="Y40" s="476">
        <f ca="1">IF(Table1[[#This Row],[Next Stage Date]]&lt;&gt;"",Table1[[#This Row],[Next Stage Date]]-Table1[[#This Row],[Change Date]],TODAY()-Table1[[#This Row],[Change Date]])</f>
        <v>37.494444444440887</v>
      </c>
      <c r="Z40" s="476">
        <f t="shared" si="5"/>
        <v>1</v>
      </c>
      <c r="AA40" s="422" t="str">
        <f t="shared" si="6"/>
        <v/>
      </c>
      <c r="AB40" s="422" t="str">
        <f t="shared" si="7"/>
        <v/>
      </c>
      <c r="AC40" s="476" t="str">
        <f t="shared" si="8"/>
        <v/>
      </c>
      <c r="AD40" s="476" t="str">
        <f t="shared" si="9"/>
        <v/>
      </c>
      <c r="AE40" s="476" t="str">
        <f t="shared" si="10"/>
        <v/>
      </c>
      <c r="AF40" s="476" t="b">
        <f>IFERROR(_xlfn.XLOOKUP(Table1[[#This Row],[Opportunity ID]],'Aging Detail'!$H$14:$H$20,'Aging Detail'!$F$14:$F$20),TRUE)</f>
        <v>1</v>
      </c>
    </row>
    <row r="41" spans="1:32">
      <c r="A41" t="s">
        <v>1461</v>
      </c>
      <c r="B41" t="s">
        <v>526</v>
      </c>
      <c r="C41" t="s">
        <v>462</v>
      </c>
      <c r="D41" t="s">
        <v>1647</v>
      </c>
      <c r="E41" t="s">
        <v>1547</v>
      </c>
      <c r="I41" s="422">
        <v>46210</v>
      </c>
      <c r="J41" s="422">
        <v>46356</v>
      </c>
      <c r="K41">
        <v>30950.639999999999</v>
      </c>
      <c r="L41">
        <v>30950.639999999999</v>
      </c>
      <c r="M41" t="s">
        <v>1548</v>
      </c>
      <c r="N41" t="s">
        <v>1549</v>
      </c>
      <c r="O41" t="str">
        <f>_xlfn.IFNA(VLOOKUP(Table1[[#This Row],[Lead Source]],'helper tab'!A:B,2,FALSE),"Exclude")</f>
        <v>Exclude</v>
      </c>
      <c r="P41" s="422">
        <f t="shared" si="0"/>
        <v>46220.503472222219</v>
      </c>
      <c r="Q41">
        <f t="shared" si="1"/>
        <v>1</v>
      </c>
      <c r="R41">
        <f t="shared" si="2"/>
        <v>0</v>
      </c>
      <c r="S41">
        <f>IF(
AND($Q41=1,$M41&lt;&gt;""),
IF(
COUNTIFS(
$M$3:$M41,$M41,
$O$3:$O41,$O41,
$Q$3:$Q41,1,
$P$3:$P41,"&gt;="&amp;EOMONTH($P41,-1)+1,
$P$3:$P41,"&lt;"&amp;EOMONTH($P41,0)+1
)=1,
1,
0),
0)</f>
        <v>1</v>
      </c>
      <c r="T41">
        <f>IF(AND($R41=1,$M41&lt;&gt;""),IF(COUNTIFS($M$3:$M41,$M41,$O$3:$O41,$O41,$R$3:$R41,1,$P$3:$P41,"&gt;="&amp;EOMONTH($P41,-1)+1,$P$3:$P41,"&lt;"&amp;EOMONTH($P41,0)+1)=1,1,0),0)</f>
        <v>0</v>
      </c>
      <c r="U41">
        <f t="shared" si="3"/>
        <v>0</v>
      </c>
      <c r="V41">
        <f>IF(AND($U41=1,$M41&lt;&gt;""),IF(COUNTIFS($M$3:$M41,$M41,$O$3:$O41,$O41,$U$3:$U41,1,$P$3:$P41,"&gt;="&amp;EOMONTH($P41,-1)+1,$P$3:$P41,"&lt;"&amp;EOMONTH($P41,0)+1)=1,1,0),0)</f>
        <v>0</v>
      </c>
      <c r="W41" s="444">
        <f ca="1">TODAY()-Table1[[#This Row],[Change Date]]</f>
        <v>37.496527777781012</v>
      </c>
      <c r="X41" s="422">
        <f t="shared" si="4"/>
        <v>46233.540972222225</v>
      </c>
      <c r="Y41" s="476">
        <f ca="1">IF(Table1[[#This Row],[Next Stage Date]]&lt;&gt;"",Table1[[#This Row],[Next Stage Date]]-Table1[[#This Row],[Change Date]],TODAY()-Table1[[#This Row],[Change Date]])</f>
        <v>13.037500000005821</v>
      </c>
      <c r="Z41" s="476">
        <f t="shared" si="5"/>
        <v>0</v>
      </c>
      <c r="AA41" s="422" t="str">
        <f t="shared" si="6"/>
        <v/>
      </c>
      <c r="AB41" s="422">
        <f t="shared" si="7"/>
        <v>46210.517361111109</v>
      </c>
      <c r="AC41" s="476">
        <f t="shared" si="8"/>
        <v>0.51736111110949423</v>
      </c>
      <c r="AD41" s="476" t="str">
        <f t="shared" si="9"/>
        <v/>
      </c>
      <c r="AE41" s="476" t="str">
        <f t="shared" si="10"/>
        <v/>
      </c>
      <c r="AF41" s="476" t="b">
        <f>IFERROR(_xlfn.XLOOKUP(Table1[[#This Row],[Opportunity ID]],'Aging Detail'!$H$14:$H$20,'Aging Detail'!$F$14:$F$20),TRUE)</f>
        <v>1</v>
      </c>
    </row>
    <row r="42" spans="1:32">
      <c r="A42" t="s">
        <v>1461</v>
      </c>
      <c r="B42" t="s">
        <v>338</v>
      </c>
      <c r="C42" t="s">
        <v>1469</v>
      </c>
      <c r="D42" t="s">
        <v>1648</v>
      </c>
      <c r="E42" t="s">
        <v>1649</v>
      </c>
      <c r="I42" s="422">
        <v>45693</v>
      </c>
      <c r="J42" s="422">
        <v>73050</v>
      </c>
      <c r="L42">
        <v>0</v>
      </c>
      <c r="M42" t="s">
        <v>1650</v>
      </c>
      <c r="N42" t="s">
        <v>1625</v>
      </c>
      <c r="O42" t="str">
        <f>_xlfn.IFNA(VLOOKUP(Table1[[#This Row],[Lead Source]],'helper tab'!A:B,2,FALSE),"Exclude")</f>
        <v>Exclude</v>
      </c>
      <c r="P42" s="422">
        <f t="shared" si="0"/>
        <v>46217.439583333333</v>
      </c>
      <c r="Q42">
        <f t="shared" si="1"/>
        <v>0</v>
      </c>
      <c r="R42">
        <f t="shared" si="2"/>
        <v>0</v>
      </c>
      <c r="S42">
        <f>IF(
AND($Q42=1,$M42&lt;&gt;""),
IF(
COUNTIFS(
$M$3:$M42,$M42,
$O$3:$O42,$O42,
$Q$3:$Q42,1,
$P$3:$P42,"&gt;="&amp;EOMONTH($P42,-1)+1,
$P$3:$P42,"&lt;"&amp;EOMONTH($P42,0)+1
)=1,
1,
0),
0)</f>
        <v>0</v>
      </c>
      <c r="T42">
        <f>IF(AND($R42=1,$M42&lt;&gt;""),IF(COUNTIFS($M$3:$M42,$M42,$O$3:$O42,$O42,$R$3:$R42,1,$P$3:$P42,"&gt;="&amp;EOMONTH($P42,-1)+1,$P$3:$P42,"&lt;"&amp;EOMONTH($P42,0)+1)=1,1,0),0)</f>
        <v>0</v>
      </c>
      <c r="U42">
        <f t="shared" si="3"/>
        <v>1</v>
      </c>
      <c r="V42">
        <f>IF(AND($U42=1,$M42&lt;&gt;""),IF(COUNTIFS($M$3:$M42,$M42,$O$3:$O42,$O42,$U$3:$U42,1,$P$3:$P42,"&gt;="&amp;EOMONTH($P42,-1)+1,$P$3:$P42,"&lt;"&amp;EOMONTH($P42,0)+1)=1,1,0),0)</f>
        <v>1</v>
      </c>
      <c r="W42" s="444">
        <f ca="1">TODAY()-Table1[[#This Row],[Change Date]]</f>
        <v>40.560416666667152</v>
      </c>
      <c r="X42" s="422" t="str">
        <f t="shared" si="4"/>
        <v/>
      </c>
      <c r="Y42" s="476">
        <f ca="1">IF(Table1[[#This Row],[Next Stage Date]]&lt;&gt;"",Table1[[#This Row],[Next Stage Date]]-Table1[[#This Row],[Change Date]],TODAY()-Table1[[#This Row],[Change Date]])</f>
        <v>40.560416666667152</v>
      </c>
      <c r="Z42" s="476">
        <f t="shared" si="5"/>
        <v>1</v>
      </c>
      <c r="AA42" s="422" t="str">
        <f t="shared" si="6"/>
        <v/>
      </c>
      <c r="AB42" s="422" t="str">
        <f t="shared" si="7"/>
        <v/>
      </c>
      <c r="AC42" s="476" t="str">
        <f t="shared" si="8"/>
        <v/>
      </c>
      <c r="AD42" s="476" t="str">
        <f t="shared" si="9"/>
        <v/>
      </c>
      <c r="AE42" s="476" t="str">
        <f t="shared" si="10"/>
        <v/>
      </c>
      <c r="AF42" s="476" t="b">
        <f>IFERROR(_xlfn.XLOOKUP(Table1[[#This Row],[Opportunity ID]],'Aging Detail'!$H$14:$H$20,'Aging Detail'!$F$14:$F$20),TRUE)</f>
        <v>1</v>
      </c>
    </row>
    <row r="43" spans="1:32">
      <c r="A43" t="s">
        <v>1461</v>
      </c>
      <c r="B43" t="s">
        <v>338</v>
      </c>
      <c r="C43" t="s">
        <v>1469</v>
      </c>
      <c r="D43" t="s">
        <v>1651</v>
      </c>
      <c r="E43" t="s">
        <v>1652</v>
      </c>
      <c r="I43" s="422">
        <v>45686</v>
      </c>
      <c r="J43" s="422">
        <v>73050</v>
      </c>
      <c r="L43">
        <v>0</v>
      </c>
      <c r="M43" t="s">
        <v>1653</v>
      </c>
      <c r="N43" t="s">
        <v>1625</v>
      </c>
      <c r="O43" t="str">
        <f>_xlfn.IFNA(VLOOKUP(Table1[[#This Row],[Lead Source]],'helper tab'!A:B,2,FALSE),"Exclude")</f>
        <v>Exclude</v>
      </c>
      <c r="P43" s="422">
        <f t="shared" si="0"/>
        <v>46217.438194444447</v>
      </c>
      <c r="Q43">
        <f t="shared" si="1"/>
        <v>0</v>
      </c>
      <c r="R43">
        <f t="shared" si="2"/>
        <v>0</v>
      </c>
      <c r="S43">
        <f>IF(
AND($Q43=1,$M43&lt;&gt;""),
IF(
COUNTIFS(
$M$3:$M43,$M43,
$O$3:$O43,$O43,
$Q$3:$Q43,1,
$P$3:$P43,"&gt;="&amp;EOMONTH($P43,-1)+1,
$P$3:$P43,"&lt;"&amp;EOMONTH($P43,0)+1
)=1,
1,
0),
0)</f>
        <v>0</v>
      </c>
      <c r="T43">
        <f>IF(AND($R43=1,$M43&lt;&gt;""),IF(COUNTIFS($M$3:$M43,$M43,$O$3:$O43,$O43,$R$3:$R43,1,$P$3:$P43,"&gt;="&amp;EOMONTH($P43,-1)+1,$P$3:$P43,"&lt;"&amp;EOMONTH($P43,0)+1)=1,1,0),0)</f>
        <v>0</v>
      </c>
      <c r="U43">
        <f t="shared" si="3"/>
        <v>1</v>
      </c>
      <c r="V43">
        <f>IF(AND($U43=1,$M43&lt;&gt;""),IF(COUNTIFS($M$3:$M43,$M43,$O$3:$O43,$O43,$U$3:$U43,1,$P$3:$P43,"&gt;="&amp;EOMONTH($P43,-1)+1,$P$3:$P43,"&lt;"&amp;EOMONTH($P43,0)+1)=1,1,0),0)</f>
        <v>1</v>
      </c>
      <c r="W43" s="444">
        <f ca="1">TODAY()-Table1[[#This Row],[Change Date]]</f>
        <v>40.561805555553292</v>
      </c>
      <c r="X43" s="422" t="str">
        <f t="shared" si="4"/>
        <v/>
      </c>
      <c r="Y43" s="476">
        <f ca="1">IF(Table1[[#This Row],[Next Stage Date]]&lt;&gt;"",Table1[[#This Row],[Next Stage Date]]-Table1[[#This Row],[Change Date]],TODAY()-Table1[[#This Row],[Change Date]])</f>
        <v>40.561805555553292</v>
      </c>
      <c r="Z43" s="476">
        <f t="shared" si="5"/>
        <v>1</v>
      </c>
      <c r="AA43" s="422" t="str">
        <f t="shared" si="6"/>
        <v/>
      </c>
      <c r="AB43" s="422" t="str">
        <f t="shared" si="7"/>
        <v/>
      </c>
      <c r="AC43" s="476" t="str">
        <f t="shared" si="8"/>
        <v/>
      </c>
      <c r="AD43" s="476" t="str">
        <f t="shared" si="9"/>
        <v/>
      </c>
      <c r="AE43" s="476" t="str">
        <f t="shared" si="10"/>
        <v/>
      </c>
      <c r="AF43" s="476" t="b">
        <f>IFERROR(_xlfn.XLOOKUP(Table1[[#This Row],[Opportunity ID]],'Aging Detail'!$H$14:$H$20,'Aging Detail'!$F$14:$F$20),TRUE)</f>
        <v>1</v>
      </c>
    </row>
    <row r="44" spans="1:32">
      <c r="A44" t="s">
        <v>1461</v>
      </c>
      <c r="B44" t="s">
        <v>408</v>
      </c>
      <c r="C44" t="s">
        <v>1469</v>
      </c>
      <c r="D44" t="s">
        <v>1654</v>
      </c>
      <c r="E44" t="s">
        <v>1655</v>
      </c>
      <c r="F44" t="s">
        <v>29</v>
      </c>
      <c r="I44" s="422">
        <v>46126</v>
      </c>
      <c r="J44" s="422">
        <v>46212</v>
      </c>
      <c r="K44">
        <v>75000</v>
      </c>
      <c r="L44">
        <v>75000</v>
      </c>
      <c r="M44" t="s">
        <v>1656</v>
      </c>
      <c r="N44" t="s">
        <v>1655</v>
      </c>
      <c r="O44" t="str">
        <f>_xlfn.IFNA(VLOOKUP(Table1[[#This Row],[Lead Source]],'helper tab'!A:B,2,FALSE),"Exclude")</f>
        <v>Events</v>
      </c>
      <c r="P44" s="422">
        <f t="shared" si="0"/>
        <v>46212.556250000001</v>
      </c>
      <c r="Q44">
        <f t="shared" si="1"/>
        <v>0</v>
      </c>
      <c r="R44">
        <f t="shared" si="2"/>
        <v>0</v>
      </c>
      <c r="S44">
        <f>IF(
AND($Q44=1,$M44&lt;&gt;""),
IF(
COUNTIFS(
$M$3:$M44,$M44,
$O$3:$O44,$O44,
$Q$3:$Q44,1,
$P$3:$P44,"&gt;="&amp;EOMONTH($P44,-1)+1,
$P$3:$P44,"&lt;"&amp;EOMONTH($P44,0)+1
)=1,
1,
0),
0)</f>
        <v>0</v>
      </c>
      <c r="T44">
        <f>IF(AND($R44=1,$M44&lt;&gt;""),IF(COUNTIFS($M$3:$M44,$M44,$O$3:$O44,$O44,$R$3:$R44,1,$P$3:$P44,"&gt;="&amp;EOMONTH($P44,-1)+1,$P$3:$P44,"&lt;"&amp;EOMONTH($P44,0)+1)=1,1,0),0)</f>
        <v>0</v>
      </c>
      <c r="U44">
        <f t="shared" si="3"/>
        <v>1</v>
      </c>
      <c r="V44">
        <f>IF(AND($U44=1,$M44&lt;&gt;""),IF(COUNTIFS($M$3:$M44,$M44,$O$3:$O44,$O44,$U$3:$U44,1,$P$3:$P44,"&gt;="&amp;EOMONTH($P44,-1)+1,$P$3:$P44,"&lt;"&amp;EOMONTH($P44,0)+1)=1,1,0),0)</f>
        <v>1</v>
      </c>
      <c r="W44" s="444">
        <f ca="1">TODAY()-Table1[[#This Row],[Change Date]]</f>
        <v>45.443749999998545</v>
      </c>
      <c r="X44" s="422" t="str">
        <f t="shared" si="4"/>
        <v/>
      </c>
      <c r="Y44" s="476">
        <f ca="1">IF(Table1[[#This Row],[Next Stage Date]]&lt;&gt;"",Table1[[#This Row],[Next Stage Date]]-Table1[[#This Row],[Change Date]],TODAY()-Table1[[#This Row],[Change Date]])</f>
        <v>45.443749999998545</v>
      </c>
      <c r="Z44" s="476">
        <f t="shared" si="5"/>
        <v>1</v>
      </c>
      <c r="AA44" s="422" t="str">
        <f t="shared" si="6"/>
        <v/>
      </c>
      <c r="AB44" s="422" t="str">
        <f t="shared" si="7"/>
        <v/>
      </c>
      <c r="AC44" s="476" t="str">
        <f t="shared" si="8"/>
        <v/>
      </c>
      <c r="AD44" s="476" t="str">
        <f t="shared" si="9"/>
        <v/>
      </c>
      <c r="AE44" s="476" t="str">
        <f t="shared" si="10"/>
        <v/>
      </c>
      <c r="AF44" s="476" t="b">
        <f>IFERROR(_xlfn.XLOOKUP(Table1[[#This Row],[Opportunity ID]],'Aging Detail'!$H$14:$H$20,'Aging Detail'!$F$14:$F$20),TRUE)</f>
        <v>1</v>
      </c>
    </row>
    <row r="45" spans="1:32">
      <c r="A45" t="s">
        <v>1461</v>
      </c>
      <c r="B45" t="s">
        <v>408</v>
      </c>
      <c r="C45" t="s">
        <v>1462</v>
      </c>
      <c r="D45" t="s">
        <v>1657</v>
      </c>
      <c r="E45" t="s">
        <v>1575</v>
      </c>
      <c r="F45" t="s">
        <v>1465</v>
      </c>
      <c r="I45" s="422">
        <v>46212</v>
      </c>
      <c r="J45" s="422">
        <v>46395</v>
      </c>
      <c r="K45">
        <v>100000</v>
      </c>
      <c r="L45">
        <v>100000</v>
      </c>
      <c r="M45" t="s">
        <v>1576</v>
      </c>
      <c r="N45" t="s">
        <v>1577</v>
      </c>
      <c r="O45" t="str">
        <f>_xlfn.IFNA(VLOOKUP(Table1[[#This Row],[Lead Source]],'helper tab'!A:B,2,FALSE),"Exclude")</f>
        <v>Exclude</v>
      </c>
      <c r="P45" s="422">
        <f t="shared" si="0"/>
        <v>46212.554166666669</v>
      </c>
      <c r="Q45">
        <f t="shared" si="1"/>
        <v>0</v>
      </c>
      <c r="R45">
        <f t="shared" si="2"/>
        <v>0</v>
      </c>
      <c r="S45">
        <f>IF(
AND($Q45=1,$M45&lt;&gt;""),
IF(
COUNTIFS(
$M$3:$M45,$M45,
$O$3:$O45,$O45,
$Q$3:$Q45,1,
$P$3:$P45,"&gt;="&amp;EOMONTH($P45,-1)+1,
$P$3:$P45,"&lt;"&amp;EOMONTH($P45,0)+1
)=1,
1,
0),
0)</f>
        <v>0</v>
      </c>
      <c r="T45">
        <f>IF(AND($R45=1,$M45&lt;&gt;""),IF(COUNTIFS($M$3:$M45,$M45,$O$3:$O45,$O45,$R$3:$R45,1,$P$3:$P45,"&gt;="&amp;EOMONTH($P45,-1)+1,$P$3:$P45,"&lt;"&amp;EOMONTH($P45,0)+1)=1,1,0),0)</f>
        <v>0</v>
      </c>
      <c r="U45">
        <f t="shared" si="3"/>
        <v>0</v>
      </c>
      <c r="V45">
        <f>IF(AND($U45=1,$M45&lt;&gt;""),IF(COUNTIFS($M$3:$M45,$M45,$O$3:$O45,$O45,$U$3:$U45,1,$P$3:$P45,"&gt;="&amp;EOMONTH($P45,-1)+1,$P$3:$P45,"&lt;"&amp;EOMONTH($P45,0)+1)=1,1,0),0)</f>
        <v>0</v>
      </c>
      <c r="W45" s="444">
        <f ca="1">TODAY()-Table1[[#This Row],[Change Date]]</f>
        <v>45.445833333331393</v>
      </c>
      <c r="X45" s="422">
        <f t="shared" si="4"/>
        <v>46232.543055555558</v>
      </c>
      <c r="Y45" s="476">
        <f ca="1">IF(Table1[[#This Row],[Next Stage Date]]&lt;&gt;"",Table1[[#This Row],[Next Stage Date]]-Table1[[#This Row],[Change Date]],TODAY()-Table1[[#This Row],[Change Date]])</f>
        <v>19.988888888889051</v>
      </c>
      <c r="Z45" s="476">
        <f t="shared" si="5"/>
        <v>0</v>
      </c>
      <c r="AA45" s="422" t="str">
        <f t="shared" si="6"/>
        <v/>
      </c>
      <c r="AB45" s="422">
        <f t="shared" si="7"/>
        <v>46232.543055555558</v>
      </c>
      <c r="AC45" s="476">
        <f t="shared" si="8"/>
        <v>20.543055555557657</v>
      </c>
      <c r="AD45" s="476" t="str">
        <f t="shared" si="9"/>
        <v/>
      </c>
      <c r="AE45" s="476" t="str">
        <f t="shared" si="10"/>
        <v/>
      </c>
      <c r="AF45" s="476" t="b">
        <f>IFERROR(_xlfn.XLOOKUP(Table1[[#This Row],[Opportunity ID]],'Aging Detail'!$H$14:$H$20,'Aging Detail'!$F$14:$F$20),TRUE)</f>
        <v>1</v>
      </c>
    </row>
    <row r="46" spans="1:32">
      <c r="A46" t="s">
        <v>1461</v>
      </c>
      <c r="B46" t="s">
        <v>462</v>
      </c>
      <c r="C46" t="s">
        <v>526</v>
      </c>
      <c r="D46" t="s">
        <v>1658</v>
      </c>
      <c r="E46" t="s">
        <v>1659</v>
      </c>
      <c r="H46" t="s">
        <v>154</v>
      </c>
      <c r="I46" s="422">
        <v>46092</v>
      </c>
      <c r="J46" s="422">
        <v>46265</v>
      </c>
      <c r="K46">
        <v>24000</v>
      </c>
      <c r="L46">
        <v>24000</v>
      </c>
      <c r="M46" t="s">
        <v>1660</v>
      </c>
      <c r="N46" t="s">
        <v>592</v>
      </c>
      <c r="O46" t="str">
        <f>_xlfn.IFNA(VLOOKUP(Table1[[#This Row],[Lead Source]],'helper tab'!A:B,2,FALSE),"Exclude")</f>
        <v>Exclude</v>
      </c>
      <c r="P46" s="422">
        <f t="shared" si="0"/>
        <v>46212.527083333334</v>
      </c>
      <c r="Q46">
        <f t="shared" si="1"/>
        <v>1</v>
      </c>
      <c r="R46">
        <f t="shared" si="2"/>
        <v>0</v>
      </c>
      <c r="S46">
        <f>IF(
AND($Q46=1,$M46&lt;&gt;""),
IF(
COUNTIFS(
$M$3:$M46,$M46,
$O$3:$O46,$O46,
$Q$3:$Q46,1,
$P$3:$P46,"&gt;="&amp;EOMONTH($P46,-1)+1,
$P$3:$P46,"&lt;"&amp;EOMONTH($P46,0)+1
)=1,
1,
0),
0)</f>
        <v>1</v>
      </c>
      <c r="T46">
        <f>IF(AND($R46=1,$M46&lt;&gt;""),IF(COUNTIFS($M$3:$M46,$M46,$O$3:$O46,$O46,$R$3:$R46,1,$P$3:$P46,"&gt;="&amp;EOMONTH($P46,-1)+1,$P$3:$P46,"&lt;"&amp;EOMONTH($P46,0)+1)=1,1,0),0)</f>
        <v>0</v>
      </c>
      <c r="U46">
        <f t="shared" si="3"/>
        <v>0</v>
      </c>
      <c r="V46">
        <f>IF(AND($U46=1,$M46&lt;&gt;""),IF(COUNTIFS($M$3:$M46,$M46,$O$3:$O46,$O46,$U$3:$U46,1,$P$3:$P46,"&gt;="&amp;EOMONTH($P46,-1)+1,$P$3:$P46,"&lt;"&amp;EOMONTH($P46,0)+1)=1,1,0),0)</f>
        <v>0</v>
      </c>
      <c r="W46" s="444">
        <f ca="1">TODAY()-Table1[[#This Row],[Change Date]]</f>
        <v>45.472916666665697</v>
      </c>
      <c r="X46" s="422" t="str">
        <f t="shared" si="4"/>
        <v/>
      </c>
      <c r="Y46" s="476">
        <f ca="1">IF(Table1[[#This Row],[Next Stage Date]]&lt;&gt;"",Table1[[#This Row],[Next Stage Date]]-Table1[[#This Row],[Change Date]],TODAY()-Table1[[#This Row],[Change Date]])</f>
        <v>45.472916666665697</v>
      </c>
      <c r="Z46" s="476">
        <f t="shared" si="5"/>
        <v>1</v>
      </c>
      <c r="AA46" s="422" t="str">
        <f t="shared" si="6"/>
        <v/>
      </c>
      <c r="AB46" s="422">
        <f t="shared" si="7"/>
        <v>46176.384722222225</v>
      </c>
      <c r="AC46" s="476">
        <f t="shared" si="8"/>
        <v>84.384722222224809</v>
      </c>
      <c r="AD46" s="476" t="str">
        <f t="shared" si="9"/>
        <v/>
      </c>
      <c r="AE46" s="476" t="str">
        <f t="shared" si="10"/>
        <v/>
      </c>
      <c r="AF46" s="476" t="b">
        <f>IFERROR(_xlfn.XLOOKUP(Table1[[#This Row],[Opportunity ID]],'Aging Detail'!$H$14:$H$20,'Aging Detail'!$F$14:$F$20),TRUE)</f>
        <v>1</v>
      </c>
    </row>
    <row r="47" spans="1:32">
      <c r="A47" t="s">
        <v>1461</v>
      </c>
      <c r="B47" t="s">
        <v>462</v>
      </c>
      <c r="C47" t="s">
        <v>526</v>
      </c>
      <c r="D47" t="s">
        <v>1661</v>
      </c>
      <c r="E47" t="s">
        <v>1662</v>
      </c>
      <c r="F47" t="s">
        <v>148</v>
      </c>
      <c r="H47" t="s">
        <v>154</v>
      </c>
      <c r="I47" s="422">
        <v>46171</v>
      </c>
      <c r="J47" s="422">
        <v>46265</v>
      </c>
      <c r="K47">
        <v>11400</v>
      </c>
      <c r="L47">
        <v>11400</v>
      </c>
      <c r="M47" t="s">
        <v>1663</v>
      </c>
      <c r="N47" t="s">
        <v>592</v>
      </c>
      <c r="O47" t="str">
        <f>_xlfn.IFNA(VLOOKUP(Table1[[#This Row],[Lead Source]],'helper tab'!A:B,2,FALSE),"Exclude")</f>
        <v>Alliances</v>
      </c>
      <c r="P47" s="422">
        <f t="shared" si="0"/>
        <v>46212.525694444441</v>
      </c>
      <c r="Q47">
        <f t="shared" si="1"/>
        <v>1</v>
      </c>
      <c r="R47">
        <f t="shared" si="2"/>
        <v>0</v>
      </c>
      <c r="S47">
        <f>IF(
AND($Q47=1,$M47&lt;&gt;""),
IF(
COUNTIFS(
$M$3:$M47,$M47,
$O$3:$O47,$O47,
$Q$3:$Q47,1,
$P$3:$P47,"&gt;="&amp;EOMONTH($P47,-1)+1,
$P$3:$P47,"&lt;"&amp;EOMONTH($P47,0)+1
)=1,
1,
0),
0)</f>
        <v>1</v>
      </c>
      <c r="T47">
        <f>IF(AND($R47=1,$M47&lt;&gt;""),IF(COUNTIFS($M$3:$M47,$M47,$O$3:$O47,$O47,$R$3:$R47,1,$P$3:$P47,"&gt;="&amp;EOMONTH($P47,-1)+1,$P$3:$P47,"&lt;"&amp;EOMONTH($P47,0)+1)=1,1,0),0)</f>
        <v>0</v>
      </c>
      <c r="U47">
        <f t="shared" si="3"/>
        <v>0</v>
      </c>
      <c r="V47">
        <f>IF(AND($U47=1,$M47&lt;&gt;""),IF(COUNTIFS($M$3:$M47,$M47,$O$3:$O47,$O47,$U$3:$U47,1,$P$3:$P47,"&gt;="&amp;EOMONTH($P47,-1)+1,$P$3:$P47,"&lt;"&amp;EOMONTH($P47,0)+1)=1,1,0),0)</f>
        <v>0</v>
      </c>
      <c r="W47" s="444">
        <f ca="1">TODAY()-Table1[[#This Row],[Change Date]]</f>
        <v>45.474305555559113</v>
      </c>
      <c r="X47" s="422" t="str">
        <f t="shared" si="4"/>
        <v/>
      </c>
      <c r="Y47" s="476">
        <f ca="1">IF(Table1[[#This Row],[Next Stage Date]]&lt;&gt;"",Table1[[#This Row],[Next Stage Date]]-Table1[[#This Row],[Change Date]],TODAY()-Table1[[#This Row],[Change Date]])</f>
        <v>45.474305555559113</v>
      </c>
      <c r="Z47" s="476">
        <f t="shared" si="5"/>
        <v>1</v>
      </c>
      <c r="AA47" s="422" t="str">
        <f t="shared" si="6"/>
        <v/>
      </c>
      <c r="AB47" s="422">
        <f t="shared" si="7"/>
        <v>46176.388888888891</v>
      </c>
      <c r="AC47" s="476">
        <f t="shared" si="8"/>
        <v>5.3888888888905058</v>
      </c>
      <c r="AD47" s="476" t="str">
        <f t="shared" si="9"/>
        <v/>
      </c>
      <c r="AE47" s="476" t="str">
        <f t="shared" si="10"/>
        <v/>
      </c>
      <c r="AF47" s="476" t="b">
        <f>IFERROR(_xlfn.XLOOKUP(Table1[[#This Row],[Opportunity ID]],'Aging Detail'!$H$14:$H$20,'Aging Detail'!$F$14:$F$20),TRUE)</f>
        <v>1</v>
      </c>
    </row>
    <row r="48" spans="1:32">
      <c r="A48" t="s">
        <v>1461</v>
      </c>
      <c r="B48" t="s">
        <v>408</v>
      </c>
      <c r="C48" t="s">
        <v>1462</v>
      </c>
      <c r="D48" t="s">
        <v>1664</v>
      </c>
      <c r="E48" t="s">
        <v>1665</v>
      </c>
      <c r="F48" t="s">
        <v>1465</v>
      </c>
      <c r="H48" t="s">
        <v>169</v>
      </c>
      <c r="I48" s="422">
        <v>46048</v>
      </c>
      <c r="J48" s="422">
        <v>46374</v>
      </c>
      <c r="K48">
        <v>120000</v>
      </c>
      <c r="L48">
        <v>120000</v>
      </c>
      <c r="M48" t="s">
        <v>1666</v>
      </c>
      <c r="N48" t="s">
        <v>1667</v>
      </c>
      <c r="O48" t="str">
        <f>_xlfn.IFNA(VLOOKUP(Table1[[#This Row],[Lead Source]],'helper tab'!A:B,2,FALSE),"Exclude")</f>
        <v>Exclude</v>
      </c>
      <c r="P48" s="422">
        <f t="shared" si="0"/>
        <v>46211.677777777775</v>
      </c>
      <c r="Q48">
        <f t="shared" si="1"/>
        <v>0</v>
      </c>
      <c r="R48">
        <f t="shared" si="2"/>
        <v>0</v>
      </c>
      <c r="S48">
        <f>IF(
AND($Q48=1,$M48&lt;&gt;""),
IF(
COUNTIFS(
$M$3:$M48,$M48,
$O$3:$O48,$O48,
$Q$3:$Q48,1,
$P$3:$P48,"&gt;="&amp;EOMONTH($P48,-1)+1,
$P$3:$P48,"&lt;"&amp;EOMONTH($P48,0)+1
)=1,
1,
0),
0)</f>
        <v>0</v>
      </c>
      <c r="T48">
        <f>IF(AND($R48=1,$M48&lt;&gt;""),IF(COUNTIFS($M$3:$M48,$M48,$O$3:$O48,$O48,$R$3:$R48,1,$P$3:$P48,"&gt;="&amp;EOMONTH($P48,-1)+1,$P$3:$P48,"&lt;"&amp;EOMONTH($P48,0)+1)=1,1,0),0)</f>
        <v>0</v>
      </c>
      <c r="U48">
        <f t="shared" si="3"/>
        <v>0</v>
      </c>
      <c r="V48">
        <f>IF(AND($U48=1,$M48&lt;&gt;""),IF(COUNTIFS($M$3:$M48,$M48,$O$3:$O48,$O48,$U$3:$U48,1,$P$3:$P48,"&gt;="&amp;EOMONTH($P48,-1)+1,$P$3:$P48,"&lt;"&amp;EOMONTH($P48,0)+1)=1,1,0),0)</f>
        <v>0</v>
      </c>
      <c r="W48" s="444">
        <f ca="1">TODAY()-Table1[[#This Row],[Change Date]]</f>
        <v>46.322222222224809</v>
      </c>
      <c r="X48" s="422" t="str">
        <f t="shared" si="4"/>
        <v/>
      </c>
      <c r="Y48" s="476">
        <f ca="1">IF(Table1[[#This Row],[Next Stage Date]]&lt;&gt;"",Table1[[#This Row],[Next Stage Date]]-Table1[[#This Row],[Change Date]],TODAY()-Table1[[#This Row],[Change Date]])</f>
        <v>46.322222222224809</v>
      </c>
      <c r="Z48" s="476">
        <f t="shared" si="5"/>
        <v>1</v>
      </c>
      <c r="AA48" s="422" t="str">
        <f t="shared" si="6"/>
        <v/>
      </c>
      <c r="AB48" s="422" t="str">
        <f t="shared" si="7"/>
        <v/>
      </c>
      <c r="AC48" s="476" t="str">
        <f t="shared" si="8"/>
        <v/>
      </c>
      <c r="AD48" s="476" t="str">
        <f t="shared" si="9"/>
        <v/>
      </c>
      <c r="AE48" s="476" t="str">
        <f t="shared" si="10"/>
        <v/>
      </c>
      <c r="AF48" s="476" t="b">
        <f>IFERROR(_xlfn.XLOOKUP(Table1[[#This Row],[Opportunity ID]],'Aging Detail'!$H$14:$H$20,'Aging Detail'!$F$14:$F$20),TRUE)</f>
        <v>1</v>
      </c>
    </row>
    <row r="49" spans="1:32">
      <c r="A49" t="s">
        <v>1461</v>
      </c>
      <c r="B49" t="s">
        <v>462</v>
      </c>
      <c r="C49" t="s">
        <v>1462</v>
      </c>
      <c r="D49" t="s">
        <v>1668</v>
      </c>
      <c r="E49" t="s">
        <v>1669</v>
      </c>
      <c r="F49" t="s">
        <v>202</v>
      </c>
      <c r="I49" s="422">
        <v>45679</v>
      </c>
      <c r="J49" s="422">
        <v>46326</v>
      </c>
      <c r="K49">
        <v>0</v>
      </c>
      <c r="L49">
        <v>0</v>
      </c>
      <c r="M49" t="s">
        <v>1670</v>
      </c>
      <c r="N49" t="s">
        <v>481</v>
      </c>
      <c r="O49" t="str">
        <f>_xlfn.IFNA(VLOOKUP(Table1[[#This Row],[Lead Source]],'helper tab'!A:B,2,FALSE),"Exclude")</f>
        <v>Digital</v>
      </c>
      <c r="P49" s="422">
        <f t="shared" si="0"/>
        <v>46211.668749999997</v>
      </c>
      <c r="Q49">
        <f t="shared" si="1"/>
        <v>0</v>
      </c>
      <c r="R49">
        <f t="shared" si="2"/>
        <v>0</v>
      </c>
      <c r="S49">
        <f>IF(
AND($Q49=1,$M49&lt;&gt;""),
IF(
COUNTIFS(
$M$3:$M49,$M49,
$O$3:$O49,$O49,
$Q$3:$Q49,1,
$P$3:$P49,"&gt;="&amp;EOMONTH($P49,-1)+1,
$P$3:$P49,"&lt;"&amp;EOMONTH($P49,0)+1
)=1,
1,
0),
0)</f>
        <v>0</v>
      </c>
      <c r="T49">
        <f>IF(AND($R49=1,$M49&lt;&gt;""),IF(COUNTIFS($M$3:$M49,$M49,$O$3:$O49,$O49,$R$3:$R49,1,$P$3:$P49,"&gt;="&amp;EOMONTH($P49,-1)+1,$P$3:$P49,"&lt;"&amp;EOMONTH($P49,0)+1)=1,1,0),0)</f>
        <v>0</v>
      </c>
      <c r="U49">
        <f t="shared" si="3"/>
        <v>0</v>
      </c>
      <c r="V49">
        <f>IF(AND($U49=1,$M49&lt;&gt;""),IF(COUNTIFS($M$3:$M49,$M49,$O$3:$O49,$O49,$U$3:$U49,1,$P$3:$P49,"&gt;="&amp;EOMONTH($P49,-1)+1,$P$3:$P49,"&lt;"&amp;EOMONTH($P49,0)+1)=1,1,0),0)</f>
        <v>0</v>
      </c>
      <c r="W49" s="444">
        <f ca="1">TODAY()-Table1[[#This Row],[Change Date]]</f>
        <v>46.33125000000291</v>
      </c>
      <c r="X49" s="422" t="str">
        <f t="shared" si="4"/>
        <v/>
      </c>
      <c r="Y49" s="476">
        <f ca="1">IF(Table1[[#This Row],[Next Stage Date]]&lt;&gt;"",Table1[[#This Row],[Next Stage Date]]-Table1[[#This Row],[Change Date]],TODAY()-Table1[[#This Row],[Change Date]])</f>
        <v>46.33125000000291</v>
      </c>
      <c r="Z49" s="476">
        <f t="shared" si="5"/>
        <v>1</v>
      </c>
      <c r="AA49" s="422" t="str">
        <f t="shared" si="6"/>
        <v/>
      </c>
      <c r="AB49" s="422">
        <f t="shared" si="7"/>
        <v>45870.59652777778</v>
      </c>
      <c r="AC49" s="476">
        <f t="shared" si="8"/>
        <v>191.59652777777956</v>
      </c>
      <c r="AD49" s="476" t="str">
        <f t="shared" si="9"/>
        <v/>
      </c>
      <c r="AE49" s="476" t="str">
        <f t="shared" si="10"/>
        <v/>
      </c>
      <c r="AF49" s="476" t="b">
        <f>IFERROR(_xlfn.XLOOKUP(Table1[[#This Row],[Opportunity ID]],'Aging Detail'!$H$14:$H$20,'Aging Detail'!$F$14:$F$20),TRUE)</f>
        <v>1</v>
      </c>
    </row>
    <row r="50" spans="1:32">
      <c r="A50" t="s">
        <v>1461</v>
      </c>
      <c r="B50" t="s">
        <v>1462</v>
      </c>
      <c r="C50" t="s">
        <v>462</v>
      </c>
      <c r="D50" t="s">
        <v>1671</v>
      </c>
      <c r="E50" t="s">
        <v>1672</v>
      </c>
      <c r="F50" t="s">
        <v>1464</v>
      </c>
      <c r="I50" s="422">
        <v>45831</v>
      </c>
      <c r="J50" s="422">
        <v>46381</v>
      </c>
      <c r="K50">
        <v>757200</v>
      </c>
      <c r="L50">
        <v>607200</v>
      </c>
      <c r="M50" t="s">
        <v>1673</v>
      </c>
      <c r="N50" t="s">
        <v>1674</v>
      </c>
      <c r="O50" t="str">
        <f>_xlfn.IFNA(VLOOKUP(Table1[[#This Row],[Lead Source]],'helper tab'!A:B,2,FALSE),"Exclude")</f>
        <v>Cold</v>
      </c>
      <c r="P50" s="422">
        <f t="shared" si="0"/>
        <v>46211.668055555558</v>
      </c>
      <c r="Q50">
        <f t="shared" si="1"/>
        <v>1</v>
      </c>
      <c r="R50">
        <f t="shared" si="2"/>
        <v>0</v>
      </c>
      <c r="S50">
        <f>IF(
AND($Q50=1,$M50&lt;&gt;""),
IF(
COUNTIFS(
$M$3:$M50,$M50,
$O$3:$O50,$O50,
$Q$3:$Q50,1,
$P$3:$P50,"&gt;="&amp;EOMONTH($P50,-1)+1,
$P$3:$P50,"&lt;"&amp;EOMONTH($P50,0)+1
)=1,
1,
0),
0)</f>
        <v>1</v>
      </c>
      <c r="T50">
        <f>IF(AND($R50=1,$M50&lt;&gt;""),IF(COUNTIFS($M$3:$M50,$M50,$O$3:$O50,$O50,$R$3:$R50,1,$P$3:$P50,"&gt;="&amp;EOMONTH($P50,-1)+1,$P$3:$P50,"&lt;"&amp;EOMONTH($P50,0)+1)=1,1,0),0)</f>
        <v>0</v>
      </c>
      <c r="U50">
        <f t="shared" si="3"/>
        <v>0</v>
      </c>
      <c r="V50">
        <f>IF(AND($U50=1,$M50&lt;&gt;""),IF(COUNTIFS($M$3:$M50,$M50,$O$3:$O50,$O50,$U$3:$U50,1,$P$3:$P50,"&gt;="&amp;EOMONTH($P50,-1)+1,$P$3:$P50,"&lt;"&amp;EOMONTH($P50,0)+1)=1,1,0),0)</f>
        <v>0</v>
      </c>
      <c r="W50" s="444">
        <f ca="1">TODAY()-Table1[[#This Row],[Change Date]]</f>
        <v>46.331944444442343</v>
      </c>
      <c r="X50" s="422" t="str">
        <f t="shared" si="4"/>
        <v/>
      </c>
      <c r="Y50" s="476">
        <f ca="1">IF(Table1[[#This Row],[Next Stage Date]]&lt;&gt;"",Table1[[#This Row],[Next Stage Date]]-Table1[[#This Row],[Change Date]],TODAY()-Table1[[#This Row],[Change Date]])</f>
        <v>46.331944444442343</v>
      </c>
      <c r="Z50" s="476">
        <f t="shared" si="5"/>
        <v>1</v>
      </c>
      <c r="AA50" s="422" t="str">
        <f t="shared" si="6"/>
        <v/>
      </c>
      <c r="AB50" s="422">
        <f t="shared" si="7"/>
        <v>46211.668055555558</v>
      </c>
      <c r="AC50" s="476">
        <f t="shared" si="8"/>
        <v>380.66805555555766</v>
      </c>
      <c r="AD50" s="476" t="str">
        <f t="shared" si="9"/>
        <v/>
      </c>
      <c r="AE50" s="476" t="str">
        <f t="shared" si="10"/>
        <v/>
      </c>
      <c r="AF50" s="476" t="b">
        <f>IFERROR(_xlfn.XLOOKUP(Table1[[#This Row],[Opportunity ID]],'Aging Detail'!$H$14:$H$20,'Aging Detail'!$F$14:$F$20),TRUE)</f>
        <v>1</v>
      </c>
    </row>
    <row r="51" spans="1:32">
      <c r="A51" t="s">
        <v>1461</v>
      </c>
      <c r="B51" t="s">
        <v>1462</v>
      </c>
      <c r="C51" t="s">
        <v>462</v>
      </c>
      <c r="D51" t="s">
        <v>1675</v>
      </c>
      <c r="E51" t="s">
        <v>1676</v>
      </c>
      <c r="F51" t="s">
        <v>1465</v>
      </c>
      <c r="G51" t="s">
        <v>1562</v>
      </c>
      <c r="I51" s="422">
        <v>46024</v>
      </c>
      <c r="J51" s="422">
        <v>46283</v>
      </c>
      <c r="K51">
        <v>795000</v>
      </c>
      <c r="L51">
        <v>657000</v>
      </c>
      <c r="M51" t="s">
        <v>1677</v>
      </c>
      <c r="N51" t="s">
        <v>1678</v>
      </c>
      <c r="O51" t="str">
        <f>_xlfn.IFNA(VLOOKUP(Table1[[#This Row],[Lead Source]],'helper tab'!A:B,2,FALSE),"Exclude")</f>
        <v>Exclude</v>
      </c>
      <c r="P51" s="422">
        <f t="shared" si="0"/>
        <v>46211.62222222222</v>
      </c>
      <c r="Q51">
        <f t="shared" si="1"/>
        <v>1</v>
      </c>
      <c r="R51">
        <f t="shared" si="2"/>
        <v>0</v>
      </c>
      <c r="S51">
        <f>IF(
AND($Q51=1,$M51&lt;&gt;""),
IF(
COUNTIFS(
$M$3:$M51,$M51,
$O$3:$O51,$O51,
$Q$3:$Q51,1,
$P$3:$P51,"&gt;="&amp;EOMONTH($P51,-1)+1,
$P$3:$P51,"&lt;"&amp;EOMONTH($P51,0)+1
)=1,
1,
0),
0)</f>
        <v>1</v>
      </c>
      <c r="T51">
        <f>IF(AND($R51=1,$M51&lt;&gt;""),IF(COUNTIFS($M$3:$M51,$M51,$O$3:$O51,$O51,$R$3:$R51,1,$P$3:$P51,"&gt;="&amp;EOMONTH($P51,-1)+1,$P$3:$P51,"&lt;"&amp;EOMONTH($P51,0)+1)=1,1,0),0)</f>
        <v>0</v>
      </c>
      <c r="U51">
        <f t="shared" si="3"/>
        <v>0</v>
      </c>
      <c r="V51">
        <f>IF(AND($U51=1,$M51&lt;&gt;""),IF(COUNTIFS($M$3:$M51,$M51,$O$3:$O51,$O51,$U$3:$U51,1,$P$3:$P51,"&gt;="&amp;EOMONTH($P51,-1)+1,$P$3:$P51,"&lt;"&amp;EOMONTH($P51,0)+1)=1,1,0),0)</f>
        <v>0</v>
      </c>
      <c r="W51" s="444">
        <f ca="1">TODAY()-Table1[[#This Row],[Change Date]]</f>
        <v>46.377777777779556</v>
      </c>
      <c r="X51" s="422" t="str">
        <f t="shared" si="4"/>
        <v/>
      </c>
      <c r="Y51" s="476">
        <f ca="1">IF(Table1[[#This Row],[Next Stage Date]]&lt;&gt;"",Table1[[#This Row],[Next Stage Date]]-Table1[[#This Row],[Change Date]],TODAY()-Table1[[#This Row],[Change Date]])</f>
        <v>46.377777777779556</v>
      </c>
      <c r="Z51" s="476">
        <f t="shared" si="5"/>
        <v>1</v>
      </c>
      <c r="AA51" s="422" t="str">
        <f t="shared" si="6"/>
        <v/>
      </c>
      <c r="AB51" s="422">
        <f t="shared" si="7"/>
        <v>46211.62222222222</v>
      </c>
      <c r="AC51" s="476">
        <f t="shared" si="8"/>
        <v>187.62222222222044</v>
      </c>
      <c r="AD51" s="476" t="str">
        <f t="shared" si="9"/>
        <v/>
      </c>
      <c r="AE51" s="476" t="str">
        <f t="shared" si="10"/>
        <v/>
      </c>
      <c r="AF51" s="476" t="b">
        <f>IFERROR(_xlfn.XLOOKUP(Table1[[#This Row],[Opportunity ID]],'Aging Detail'!$H$14:$H$20,'Aging Detail'!$F$14:$F$20),TRUE)</f>
        <v>1</v>
      </c>
    </row>
    <row r="52" spans="1:32">
      <c r="A52" t="s">
        <v>1461</v>
      </c>
      <c r="B52" t="s">
        <v>462</v>
      </c>
      <c r="C52" t="s">
        <v>1462</v>
      </c>
      <c r="D52" t="s">
        <v>1679</v>
      </c>
      <c r="E52" t="s">
        <v>1680</v>
      </c>
      <c r="F52" t="s">
        <v>1468</v>
      </c>
      <c r="I52" s="422">
        <v>45562</v>
      </c>
      <c r="J52" s="422">
        <v>46477</v>
      </c>
      <c r="K52">
        <v>330000</v>
      </c>
      <c r="L52">
        <v>270000</v>
      </c>
      <c r="M52" t="s">
        <v>1681</v>
      </c>
      <c r="N52" t="s">
        <v>1680</v>
      </c>
      <c r="O52" t="str">
        <f>_xlfn.IFNA(VLOOKUP(Table1[[#This Row],[Lead Source]],'helper tab'!A:B,2,FALSE),"Exclude")</f>
        <v>Events</v>
      </c>
      <c r="P52" s="422">
        <f t="shared" si="0"/>
        <v>46211.54791666667</v>
      </c>
      <c r="Q52">
        <f t="shared" si="1"/>
        <v>0</v>
      </c>
      <c r="R52">
        <f t="shared" si="2"/>
        <v>0</v>
      </c>
      <c r="S52">
        <f>IF(
AND($Q52=1,$M52&lt;&gt;""),
IF(
COUNTIFS(
$M$3:$M52,$M52,
$O$3:$O52,$O52,
$Q$3:$Q52,1,
$P$3:$P52,"&gt;="&amp;EOMONTH($P52,-1)+1,
$P$3:$P52,"&lt;"&amp;EOMONTH($P52,0)+1
)=1,
1,
0),
0)</f>
        <v>0</v>
      </c>
      <c r="T52">
        <f>IF(AND($R52=1,$M52&lt;&gt;""),IF(COUNTIFS($M$3:$M52,$M52,$O$3:$O52,$O52,$R$3:$R52,1,$P$3:$P52,"&gt;="&amp;EOMONTH($P52,-1)+1,$P$3:$P52,"&lt;"&amp;EOMONTH($P52,0)+1)=1,1,0),0)</f>
        <v>0</v>
      </c>
      <c r="U52">
        <f t="shared" si="3"/>
        <v>0</v>
      </c>
      <c r="V52">
        <f>IF(AND($U52=1,$M52&lt;&gt;""),IF(COUNTIFS($M$3:$M52,$M52,$O$3:$O52,$O52,$U$3:$U52,1,$P$3:$P52,"&gt;="&amp;EOMONTH($P52,-1)+1,$P$3:$P52,"&lt;"&amp;EOMONTH($P52,0)+1)=1,1,0),0)</f>
        <v>0</v>
      </c>
      <c r="W52" s="444">
        <f ca="1">TODAY()-Table1[[#This Row],[Change Date]]</f>
        <v>46.452083333329938</v>
      </c>
      <c r="X52" s="422" t="str">
        <f t="shared" si="4"/>
        <v/>
      </c>
      <c r="Y52" s="476">
        <f ca="1">IF(Table1[[#This Row],[Next Stage Date]]&lt;&gt;"",Table1[[#This Row],[Next Stage Date]]-Table1[[#This Row],[Change Date]],TODAY()-Table1[[#This Row],[Change Date]])</f>
        <v>46.452083333329938</v>
      </c>
      <c r="Z52" s="476">
        <f t="shared" si="5"/>
        <v>1</v>
      </c>
      <c r="AA52" s="422" t="str">
        <f t="shared" si="6"/>
        <v/>
      </c>
      <c r="AB52" s="422">
        <f t="shared" si="7"/>
        <v>45870.597916666666</v>
      </c>
      <c r="AC52" s="476">
        <f t="shared" si="8"/>
        <v>308.5979166666657</v>
      </c>
      <c r="AD52" s="476" t="str">
        <f t="shared" si="9"/>
        <v/>
      </c>
      <c r="AE52" s="476" t="str">
        <f t="shared" si="10"/>
        <v/>
      </c>
      <c r="AF52" s="476" t="b">
        <f>IFERROR(_xlfn.XLOOKUP(Table1[[#This Row],[Opportunity ID]],'Aging Detail'!$H$14:$H$20,'Aging Detail'!$F$14:$F$20),TRUE)</f>
        <v>1</v>
      </c>
    </row>
    <row r="53" spans="1:32">
      <c r="A53" t="s">
        <v>1461</v>
      </c>
      <c r="B53" t="s">
        <v>462</v>
      </c>
      <c r="C53" t="s">
        <v>526</v>
      </c>
      <c r="D53" t="s">
        <v>1682</v>
      </c>
      <c r="E53" t="s">
        <v>1547</v>
      </c>
      <c r="I53" s="422">
        <v>46210</v>
      </c>
      <c r="J53" s="422">
        <v>46356</v>
      </c>
      <c r="K53">
        <v>30950.639999999999</v>
      </c>
      <c r="L53">
        <v>30950.639999999999</v>
      </c>
      <c r="M53" t="s">
        <v>1548</v>
      </c>
      <c r="N53" t="s">
        <v>1549</v>
      </c>
      <c r="O53" t="str">
        <f>_xlfn.IFNA(VLOOKUP(Table1[[#This Row],[Lead Source]],'helper tab'!A:B,2,FALSE),"Exclude")</f>
        <v>Exclude</v>
      </c>
      <c r="P53" s="422">
        <f t="shared" si="0"/>
        <v>46211.404861111114</v>
      </c>
      <c r="Q53">
        <f t="shared" si="1"/>
        <v>1</v>
      </c>
      <c r="R53">
        <f t="shared" si="2"/>
        <v>0</v>
      </c>
      <c r="S53">
        <f>IF(
AND($Q53=1,$M53&lt;&gt;""),
IF(
COUNTIFS(
$M$3:$M53,$M53,
$O$3:$O53,$O53,
$Q$3:$Q53,1,
$P$3:$P53,"&gt;="&amp;EOMONTH($P53,-1)+1,
$P$3:$P53,"&lt;"&amp;EOMONTH($P53,0)+1
)=1,
1,
0),
0)</f>
        <v>0</v>
      </c>
      <c r="T53">
        <f>IF(AND($R53=1,$M53&lt;&gt;""),IF(COUNTIFS($M$3:$M53,$M53,$O$3:$O53,$O53,$R$3:$R53,1,$P$3:$P53,"&gt;="&amp;EOMONTH($P53,-1)+1,$P$3:$P53,"&lt;"&amp;EOMONTH($P53,0)+1)=1,1,0),0)</f>
        <v>0</v>
      </c>
      <c r="U53">
        <f t="shared" si="3"/>
        <v>0</v>
      </c>
      <c r="V53">
        <f>IF(AND($U53=1,$M53&lt;&gt;""),IF(COUNTIFS($M$3:$M53,$M53,$O$3:$O53,$O53,$U$3:$U53,1,$P$3:$P53,"&gt;="&amp;EOMONTH($P53,-1)+1,$P$3:$P53,"&lt;"&amp;EOMONTH($P53,0)+1)=1,1,0),0)</f>
        <v>0</v>
      </c>
      <c r="W53" s="444">
        <f ca="1">TODAY()-Table1[[#This Row],[Change Date]]</f>
        <v>46.59513888888614</v>
      </c>
      <c r="X53" s="422">
        <f t="shared" si="4"/>
        <v>46220.503472222219</v>
      </c>
      <c r="Y53" s="476">
        <f ca="1">IF(Table1[[#This Row],[Next Stage Date]]&lt;&gt;"",Table1[[#This Row],[Next Stage Date]]-Table1[[#This Row],[Change Date]],TODAY()-Table1[[#This Row],[Change Date]])</f>
        <v>9.0986111111051287</v>
      </c>
      <c r="Z53" s="476">
        <f t="shared" si="5"/>
        <v>0</v>
      </c>
      <c r="AA53" s="422" t="str">
        <f t="shared" si="6"/>
        <v/>
      </c>
      <c r="AB53" s="422">
        <f t="shared" si="7"/>
        <v>46210.517361111109</v>
      </c>
      <c r="AC53" s="476">
        <f t="shared" si="8"/>
        <v>0.51736111110949423</v>
      </c>
      <c r="AD53" s="476" t="str">
        <f t="shared" si="9"/>
        <v/>
      </c>
      <c r="AE53" s="476" t="str">
        <f t="shared" si="10"/>
        <v/>
      </c>
      <c r="AF53" s="476" t="b">
        <f>IFERROR(_xlfn.XLOOKUP(Table1[[#This Row],[Opportunity ID]],'Aging Detail'!$H$14:$H$20,'Aging Detail'!$F$14:$F$20),TRUE)</f>
        <v>1</v>
      </c>
    </row>
    <row r="54" spans="1:32">
      <c r="A54" t="s">
        <v>1461</v>
      </c>
      <c r="B54" t="s">
        <v>338</v>
      </c>
      <c r="C54" t="s">
        <v>1469</v>
      </c>
      <c r="D54" t="s">
        <v>1683</v>
      </c>
      <c r="E54" t="s">
        <v>1684</v>
      </c>
      <c r="F54" t="s">
        <v>1478</v>
      </c>
      <c r="G54" t="s">
        <v>1478</v>
      </c>
      <c r="I54" s="422">
        <v>45754</v>
      </c>
      <c r="J54" s="422">
        <v>45838</v>
      </c>
      <c r="L54">
        <v>0</v>
      </c>
      <c r="M54" t="s">
        <v>1685</v>
      </c>
      <c r="N54" t="s">
        <v>1684</v>
      </c>
      <c r="O54" t="str">
        <f>_xlfn.IFNA(VLOOKUP(Table1[[#This Row],[Lead Source]],'helper tab'!A:B,2,FALSE),"Exclude")</f>
        <v>Digital</v>
      </c>
      <c r="P54" s="422">
        <f t="shared" si="0"/>
        <v>46211.38958333333</v>
      </c>
      <c r="Q54">
        <f t="shared" si="1"/>
        <v>0</v>
      </c>
      <c r="R54">
        <f t="shared" si="2"/>
        <v>0</v>
      </c>
      <c r="S54">
        <f>IF(
AND($Q54=1,$M54&lt;&gt;""),
IF(
COUNTIFS(
$M$3:$M54,$M54,
$O$3:$O54,$O54,
$Q$3:$Q54,1,
$P$3:$P54,"&gt;="&amp;EOMONTH($P54,-1)+1,
$P$3:$P54,"&lt;"&amp;EOMONTH($P54,0)+1
)=1,
1,
0),
0)</f>
        <v>0</v>
      </c>
      <c r="T54">
        <f>IF(AND($R54=1,$M54&lt;&gt;""),IF(COUNTIFS($M$3:$M54,$M54,$O$3:$O54,$O54,$R$3:$R54,1,$P$3:$P54,"&gt;="&amp;EOMONTH($P54,-1)+1,$P$3:$P54,"&lt;"&amp;EOMONTH($P54,0)+1)=1,1,0),0)</f>
        <v>0</v>
      </c>
      <c r="U54">
        <f t="shared" si="3"/>
        <v>1</v>
      </c>
      <c r="V54">
        <f>IF(AND($U54=1,$M54&lt;&gt;""),IF(COUNTIFS($M$3:$M54,$M54,$O$3:$O54,$O54,$U$3:$U54,1,$P$3:$P54,"&gt;="&amp;EOMONTH($P54,-1)+1,$P$3:$P54,"&lt;"&amp;EOMONTH($P54,0)+1)=1,1,0),0)</f>
        <v>1</v>
      </c>
      <c r="W54" s="444">
        <f ca="1">TODAY()-Table1[[#This Row],[Change Date]]</f>
        <v>46.610416666670062</v>
      </c>
      <c r="X54" s="422" t="str">
        <f t="shared" si="4"/>
        <v/>
      </c>
      <c r="Y54" s="476">
        <f ca="1">IF(Table1[[#This Row],[Next Stage Date]]&lt;&gt;"",Table1[[#This Row],[Next Stage Date]]-Table1[[#This Row],[Change Date]],TODAY()-Table1[[#This Row],[Change Date]])</f>
        <v>46.610416666670062</v>
      </c>
      <c r="Z54" s="476">
        <f t="shared" si="5"/>
        <v>1</v>
      </c>
      <c r="AA54" s="422" t="str">
        <f t="shared" si="6"/>
        <v/>
      </c>
      <c r="AB54" s="422" t="str">
        <f t="shared" si="7"/>
        <v/>
      </c>
      <c r="AC54" s="476" t="str">
        <f t="shared" si="8"/>
        <v/>
      </c>
      <c r="AD54" s="476" t="str">
        <f t="shared" si="9"/>
        <v/>
      </c>
      <c r="AE54" s="476" t="str">
        <f t="shared" si="10"/>
        <v/>
      </c>
      <c r="AF54" s="476" t="b">
        <f>IFERROR(_xlfn.XLOOKUP(Table1[[#This Row],[Opportunity ID]],'Aging Detail'!$H$14:$H$20,'Aging Detail'!$F$14:$F$20),TRUE)</f>
        <v>1</v>
      </c>
    </row>
    <row r="55" spans="1:32">
      <c r="A55" t="s">
        <v>1461</v>
      </c>
      <c r="B55" t="s">
        <v>338</v>
      </c>
      <c r="C55" t="s">
        <v>1469</v>
      </c>
      <c r="D55" t="s">
        <v>1686</v>
      </c>
      <c r="E55" t="s">
        <v>255</v>
      </c>
      <c r="F55" t="s">
        <v>1471</v>
      </c>
      <c r="I55" s="422">
        <v>45978</v>
      </c>
      <c r="J55" s="422">
        <v>46022</v>
      </c>
      <c r="L55">
        <v>0</v>
      </c>
      <c r="M55" t="s">
        <v>1687</v>
      </c>
      <c r="N55" t="s">
        <v>255</v>
      </c>
      <c r="O55" t="str">
        <f>_xlfn.IFNA(VLOOKUP(Table1[[#This Row],[Lead Source]],'helper tab'!A:B,2,FALSE),"Exclude")</f>
        <v>Digital</v>
      </c>
      <c r="P55" s="422">
        <f t="shared" si="0"/>
        <v>46211.388194444444</v>
      </c>
      <c r="Q55">
        <f t="shared" si="1"/>
        <v>0</v>
      </c>
      <c r="R55">
        <f t="shared" si="2"/>
        <v>0</v>
      </c>
      <c r="S55">
        <f>IF(
AND($Q55=1,$M55&lt;&gt;""),
IF(
COUNTIFS(
$M$3:$M55,$M55,
$O$3:$O55,$O55,
$Q$3:$Q55,1,
$P$3:$P55,"&gt;="&amp;EOMONTH($P55,-1)+1,
$P$3:$P55,"&lt;"&amp;EOMONTH($P55,0)+1
)=1,
1,
0),
0)</f>
        <v>0</v>
      </c>
      <c r="T55">
        <f>IF(AND($R55=1,$M55&lt;&gt;""),IF(COUNTIFS($M$3:$M55,$M55,$O$3:$O55,$O55,$R$3:$R55,1,$P$3:$P55,"&gt;="&amp;EOMONTH($P55,-1)+1,$P$3:$P55,"&lt;"&amp;EOMONTH($P55,0)+1)=1,1,0),0)</f>
        <v>0</v>
      </c>
      <c r="U55">
        <f t="shared" si="3"/>
        <v>1</v>
      </c>
      <c r="V55">
        <f>IF(AND($U55=1,$M55&lt;&gt;""),IF(COUNTIFS($M$3:$M55,$M55,$O$3:$O55,$O55,$U$3:$U55,1,$P$3:$P55,"&gt;="&amp;EOMONTH($P55,-1)+1,$P$3:$P55,"&lt;"&amp;EOMONTH($P55,0)+1)=1,1,0),0)</f>
        <v>1</v>
      </c>
      <c r="W55" s="444">
        <f ca="1">TODAY()-Table1[[#This Row],[Change Date]]</f>
        <v>46.611805555556202</v>
      </c>
      <c r="X55" s="422" t="str">
        <f t="shared" si="4"/>
        <v/>
      </c>
      <c r="Y55" s="476">
        <f ca="1">IF(Table1[[#This Row],[Next Stage Date]]&lt;&gt;"",Table1[[#This Row],[Next Stage Date]]-Table1[[#This Row],[Change Date]],TODAY()-Table1[[#This Row],[Change Date]])</f>
        <v>46.611805555556202</v>
      </c>
      <c r="Z55" s="476">
        <f t="shared" si="5"/>
        <v>1</v>
      </c>
      <c r="AA55" s="422" t="str">
        <f t="shared" si="6"/>
        <v/>
      </c>
      <c r="AB55" s="422" t="str">
        <f t="shared" si="7"/>
        <v/>
      </c>
      <c r="AC55" s="476" t="str">
        <f t="shared" si="8"/>
        <v/>
      </c>
      <c r="AD55" s="476" t="str">
        <f t="shared" si="9"/>
        <v/>
      </c>
      <c r="AE55" s="476" t="str">
        <f t="shared" si="10"/>
        <v/>
      </c>
      <c r="AF55" s="476" t="b">
        <f>IFERROR(_xlfn.XLOOKUP(Table1[[#This Row],[Opportunity ID]],'Aging Detail'!$H$14:$H$20,'Aging Detail'!$F$14:$F$20),TRUE)</f>
        <v>1</v>
      </c>
    </row>
    <row r="56" spans="1:32">
      <c r="A56" t="s">
        <v>1461</v>
      </c>
      <c r="B56" t="s">
        <v>1462</v>
      </c>
      <c r="C56" t="s">
        <v>1469</v>
      </c>
      <c r="D56" t="s">
        <v>1688</v>
      </c>
      <c r="E56" t="s">
        <v>1689</v>
      </c>
      <c r="I56" s="422">
        <v>45516</v>
      </c>
      <c r="J56" s="422">
        <v>46022</v>
      </c>
      <c r="K56">
        <v>60000</v>
      </c>
      <c r="L56">
        <v>0</v>
      </c>
      <c r="M56" t="s">
        <v>1690</v>
      </c>
      <c r="N56" t="s">
        <v>1691</v>
      </c>
      <c r="O56" t="str">
        <f>_xlfn.IFNA(VLOOKUP(Table1[[#This Row],[Lead Source]],'helper tab'!A:B,2,FALSE),"Exclude")</f>
        <v>Exclude</v>
      </c>
      <c r="P56" s="422">
        <f t="shared" si="0"/>
        <v>46211.365972222222</v>
      </c>
      <c r="Q56">
        <f t="shared" si="1"/>
        <v>0</v>
      </c>
      <c r="R56">
        <f t="shared" si="2"/>
        <v>0</v>
      </c>
      <c r="S56">
        <f>IF(
AND($Q56=1,$M56&lt;&gt;""),
IF(
COUNTIFS(
$M$3:$M56,$M56,
$O$3:$O56,$O56,
$Q$3:$Q56,1,
$P$3:$P56,"&gt;="&amp;EOMONTH($P56,-1)+1,
$P$3:$P56,"&lt;"&amp;EOMONTH($P56,0)+1
)=1,
1,
0),
0)</f>
        <v>0</v>
      </c>
      <c r="T56">
        <f>IF(AND($R56=1,$M56&lt;&gt;""),IF(COUNTIFS($M$3:$M56,$M56,$O$3:$O56,$O56,$R$3:$R56,1,$P$3:$P56,"&gt;="&amp;EOMONTH($P56,-1)+1,$P$3:$P56,"&lt;"&amp;EOMONTH($P56,0)+1)=1,1,0),0)</f>
        <v>0</v>
      </c>
      <c r="U56">
        <f t="shared" si="3"/>
        <v>1</v>
      </c>
      <c r="V56">
        <f>IF(AND($U56=1,$M56&lt;&gt;""),IF(COUNTIFS($M$3:$M56,$M56,$O$3:$O56,$O56,$U$3:$U56,1,$P$3:$P56,"&gt;="&amp;EOMONTH($P56,-1)+1,$P$3:$P56,"&lt;"&amp;EOMONTH($P56,0)+1)=1,1,0),0)</f>
        <v>1</v>
      </c>
      <c r="W56" s="444">
        <f ca="1">TODAY()-Table1[[#This Row],[Change Date]]</f>
        <v>46.634027777778101</v>
      </c>
      <c r="X56" s="422" t="str">
        <f t="shared" si="4"/>
        <v/>
      </c>
      <c r="Y56" s="476">
        <f ca="1">IF(Table1[[#This Row],[Next Stage Date]]&lt;&gt;"",Table1[[#This Row],[Next Stage Date]]-Table1[[#This Row],[Change Date]],TODAY()-Table1[[#This Row],[Change Date]])</f>
        <v>46.634027777778101</v>
      </c>
      <c r="Z56" s="476">
        <f t="shared" si="5"/>
        <v>1</v>
      </c>
      <c r="AA56" s="422" t="str">
        <f t="shared" si="6"/>
        <v/>
      </c>
      <c r="AB56" s="422" t="str">
        <f t="shared" si="7"/>
        <v/>
      </c>
      <c r="AC56" s="476" t="str">
        <f t="shared" si="8"/>
        <v/>
      </c>
      <c r="AD56" s="476" t="str">
        <f t="shared" si="9"/>
        <v/>
      </c>
      <c r="AE56" s="476" t="str">
        <f t="shared" si="10"/>
        <v/>
      </c>
      <c r="AF56" s="476" t="b">
        <f>IFERROR(_xlfn.XLOOKUP(Table1[[#This Row],[Opportunity ID]],'Aging Detail'!$H$14:$H$20,'Aging Detail'!$F$14:$F$20),TRUE)</f>
        <v>1</v>
      </c>
    </row>
    <row r="57" spans="1:32">
      <c r="A57" t="s">
        <v>1461</v>
      </c>
      <c r="B57" t="s">
        <v>462</v>
      </c>
      <c r="C57" t="s">
        <v>1462</v>
      </c>
      <c r="D57" t="s">
        <v>1692</v>
      </c>
      <c r="E57" t="s">
        <v>1693</v>
      </c>
      <c r="I57" s="422">
        <v>45980</v>
      </c>
      <c r="J57" s="422">
        <v>46477</v>
      </c>
      <c r="K57">
        <v>345000</v>
      </c>
      <c r="L57">
        <v>345000</v>
      </c>
      <c r="M57" t="s">
        <v>1694</v>
      </c>
      <c r="N57" t="s">
        <v>1695</v>
      </c>
      <c r="O57" t="str">
        <f>_xlfn.IFNA(VLOOKUP(Table1[[#This Row],[Lead Source]],'helper tab'!A:B,2,FALSE),"Exclude")</f>
        <v>Exclude</v>
      </c>
      <c r="P57" s="422">
        <f t="shared" si="0"/>
        <v>46211.304166666669</v>
      </c>
      <c r="Q57">
        <f t="shared" si="1"/>
        <v>0</v>
      </c>
      <c r="R57">
        <f t="shared" si="2"/>
        <v>0</v>
      </c>
      <c r="S57">
        <f>IF(
AND($Q57=1,$M57&lt;&gt;""),
IF(
COUNTIFS(
$M$3:$M57,$M57,
$O$3:$O57,$O57,
$Q$3:$Q57,1,
$P$3:$P57,"&gt;="&amp;EOMONTH($P57,-1)+1,
$P$3:$P57,"&lt;"&amp;EOMONTH($P57,0)+1
)=1,
1,
0),
0)</f>
        <v>0</v>
      </c>
      <c r="T57">
        <f>IF(AND($R57=1,$M57&lt;&gt;""),IF(COUNTIFS($M$3:$M57,$M57,$O$3:$O57,$O57,$R$3:$R57,1,$P$3:$P57,"&gt;="&amp;EOMONTH($P57,-1)+1,$P$3:$P57,"&lt;"&amp;EOMONTH($P57,0)+1)=1,1,0),0)</f>
        <v>0</v>
      </c>
      <c r="U57">
        <f t="shared" si="3"/>
        <v>0</v>
      </c>
      <c r="V57">
        <f>IF(AND($U57=1,$M57&lt;&gt;""),IF(COUNTIFS($M$3:$M57,$M57,$O$3:$O57,$O57,$U$3:$U57,1,$P$3:$P57,"&gt;="&amp;EOMONTH($P57,-1)+1,$P$3:$P57,"&lt;"&amp;EOMONTH($P57,0)+1)=1,1,0),0)</f>
        <v>0</v>
      </c>
      <c r="W57" s="444">
        <f ca="1">TODAY()-Table1[[#This Row],[Change Date]]</f>
        <v>46.695833333331393</v>
      </c>
      <c r="X57" s="422" t="str">
        <f t="shared" si="4"/>
        <v/>
      </c>
      <c r="Y57" s="476">
        <f ca="1">IF(Table1[[#This Row],[Next Stage Date]]&lt;&gt;"",Table1[[#This Row],[Next Stage Date]]-Table1[[#This Row],[Change Date]],TODAY()-Table1[[#This Row],[Change Date]])</f>
        <v>46.695833333331393</v>
      </c>
      <c r="Z57" s="476">
        <f t="shared" si="5"/>
        <v>1</v>
      </c>
      <c r="AA57" s="422" t="str">
        <f t="shared" si="6"/>
        <v/>
      </c>
      <c r="AB57" s="422">
        <f t="shared" si="7"/>
        <v>46197.490277777775</v>
      </c>
      <c r="AC57" s="476">
        <f t="shared" si="8"/>
        <v>217.49027777777519</v>
      </c>
      <c r="AD57" s="476" t="str">
        <f t="shared" si="9"/>
        <v/>
      </c>
      <c r="AE57" s="476" t="str">
        <f t="shared" si="10"/>
        <v/>
      </c>
      <c r="AF57" s="476" t="b">
        <f>IFERROR(_xlfn.XLOOKUP(Table1[[#This Row],[Opportunity ID]],'Aging Detail'!$H$14:$H$20,'Aging Detail'!$F$14:$F$20),TRUE)</f>
        <v>1</v>
      </c>
    </row>
    <row r="58" spans="1:32">
      <c r="A58" t="s">
        <v>1461</v>
      </c>
      <c r="B58" t="s">
        <v>408</v>
      </c>
      <c r="C58" t="s">
        <v>1469</v>
      </c>
      <c r="D58" t="s">
        <v>1696</v>
      </c>
      <c r="E58" t="s">
        <v>1697</v>
      </c>
      <c r="F58" t="s">
        <v>148</v>
      </c>
      <c r="H58" t="s">
        <v>1698</v>
      </c>
      <c r="I58" s="422">
        <v>45404</v>
      </c>
      <c r="J58" s="422">
        <v>46211</v>
      </c>
      <c r="K58">
        <v>10626</v>
      </c>
      <c r="L58">
        <v>10626</v>
      </c>
      <c r="M58" t="s">
        <v>1699</v>
      </c>
      <c r="N58" t="s">
        <v>1700</v>
      </c>
      <c r="O58" t="str">
        <f>_xlfn.IFNA(VLOOKUP(Table1[[#This Row],[Lead Source]],'helper tab'!A:B,2,FALSE),"Exclude")</f>
        <v>Alliances</v>
      </c>
      <c r="P58" s="422">
        <f t="shared" si="0"/>
        <v>46210.681944444441</v>
      </c>
      <c r="Q58">
        <f t="shared" si="1"/>
        <v>0</v>
      </c>
      <c r="R58">
        <f t="shared" si="2"/>
        <v>0</v>
      </c>
      <c r="S58">
        <f>IF(
AND($Q58=1,$M58&lt;&gt;""),
IF(
COUNTIFS(
$M$3:$M58,$M58,
$O$3:$O58,$O58,
$Q$3:$Q58,1,
$P$3:$P58,"&gt;="&amp;EOMONTH($P58,-1)+1,
$P$3:$P58,"&lt;"&amp;EOMONTH($P58,0)+1
)=1,
1,
0),
0)</f>
        <v>0</v>
      </c>
      <c r="T58">
        <f>IF(AND($R58=1,$M58&lt;&gt;""),IF(COUNTIFS($M$3:$M58,$M58,$O$3:$O58,$O58,$R$3:$R58,1,$P$3:$P58,"&gt;="&amp;EOMONTH($P58,-1)+1,$P$3:$P58,"&lt;"&amp;EOMONTH($P58,0)+1)=1,1,0),0)</f>
        <v>0</v>
      </c>
      <c r="U58">
        <f t="shared" si="3"/>
        <v>1</v>
      </c>
      <c r="V58">
        <f>IF(AND($U58=1,$M58&lt;&gt;""),IF(COUNTIFS($M$3:$M58,$M58,$O$3:$O58,$O58,$U$3:$U58,1,$P$3:$P58,"&gt;="&amp;EOMONTH($P58,-1)+1,$P$3:$P58,"&lt;"&amp;EOMONTH($P58,0)+1)=1,1,0),0)</f>
        <v>1</v>
      </c>
      <c r="W58" s="444">
        <f ca="1">TODAY()-Table1[[#This Row],[Change Date]]</f>
        <v>47.318055555559113</v>
      </c>
      <c r="X58" s="422" t="str">
        <f t="shared" si="4"/>
        <v/>
      </c>
      <c r="Y58" s="476">
        <f ca="1">IF(Table1[[#This Row],[Next Stage Date]]&lt;&gt;"",Table1[[#This Row],[Next Stage Date]]-Table1[[#This Row],[Change Date]],TODAY()-Table1[[#This Row],[Change Date]])</f>
        <v>47.318055555559113</v>
      </c>
      <c r="Z58" s="476">
        <f t="shared" si="5"/>
        <v>1</v>
      </c>
      <c r="AA58" s="422" t="str">
        <f t="shared" si="6"/>
        <v/>
      </c>
      <c r="AB58" s="422" t="str">
        <f t="shared" si="7"/>
        <v/>
      </c>
      <c r="AC58" s="476" t="str">
        <f t="shared" si="8"/>
        <v/>
      </c>
      <c r="AD58" s="476" t="str">
        <f t="shared" si="9"/>
        <v/>
      </c>
      <c r="AE58" s="476" t="str">
        <f t="shared" si="10"/>
        <v/>
      </c>
      <c r="AF58" s="476" t="b">
        <f>IFERROR(_xlfn.XLOOKUP(Table1[[#This Row],[Opportunity ID]],'Aging Detail'!$H$14:$H$20,'Aging Detail'!$F$14:$F$20),TRUE)</f>
        <v>1</v>
      </c>
    </row>
    <row r="59" spans="1:32">
      <c r="A59" t="s">
        <v>1461</v>
      </c>
      <c r="B59" t="s">
        <v>1462</v>
      </c>
      <c r="C59" t="s">
        <v>462</v>
      </c>
      <c r="D59" t="s">
        <v>1701</v>
      </c>
      <c r="E59" t="s">
        <v>1547</v>
      </c>
      <c r="I59" s="422">
        <v>46210</v>
      </c>
      <c r="J59" s="422">
        <v>46356</v>
      </c>
      <c r="K59">
        <v>30950.639999999999</v>
      </c>
      <c r="L59">
        <v>30950.639999999999</v>
      </c>
      <c r="M59" t="s">
        <v>1548</v>
      </c>
      <c r="N59" t="s">
        <v>1549</v>
      </c>
      <c r="O59" t="str">
        <f>_xlfn.IFNA(VLOOKUP(Table1[[#This Row],[Lead Source]],'helper tab'!A:B,2,FALSE),"Exclude")</f>
        <v>Exclude</v>
      </c>
      <c r="P59" s="422">
        <f t="shared" si="0"/>
        <v>46210.517361111109</v>
      </c>
      <c r="Q59">
        <f t="shared" si="1"/>
        <v>1</v>
      </c>
      <c r="R59">
        <f t="shared" si="2"/>
        <v>0</v>
      </c>
      <c r="S59">
        <f>IF(
AND($Q59=1,$M59&lt;&gt;""),
IF(
COUNTIFS(
$M$3:$M59,$M59,
$O$3:$O59,$O59,
$Q$3:$Q59,1,
$P$3:$P59,"&gt;="&amp;EOMONTH($P59,-1)+1,
$P$3:$P59,"&lt;"&amp;EOMONTH($P59,0)+1
)=1,
1,
0),
0)</f>
        <v>0</v>
      </c>
      <c r="T59">
        <f>IF(AND($R59=1,$M59&lt;&gt;""),IF(COUNTIFS($M$3:$M59,$M59,$O$3:$O59,$O59,$R$3:$R59,1,$P$3:$P59,"&gt;="&amp;EOMONTH($P59,-1)+1,$P$3:$P59,"&lt;"&amp;EOMONTH($P59,0)+1)=1,1,0),0)</f>
        <v>0</v>
      </c>
      <c r="U59">
        <f t="shared" si="3"/>
        <v>0</v>
      </c>
      <c r="V59">
        <f>IF(AND($U59=1,$M59&lt;&gt;""),IF(COUNTIFS($M$3:$M59,$M59,$O$3:$O59,$O59,$U$3:$U59,1,$P$3:$P59,"&gt;="&amp;EOMONTH($P59,-1)+1,$P$3:$P59,"&lt;"&amp;EOMONTH($P59,0)+1)=1,1,0),0)</f>
        <v>0</v>
      </c>
      <c r="W59" s="444">
        <f ca="1">TODAY()-Table1[[#This Row],[Change Date]]</f>
        <v>47.482638888890506</v>
      </c>
      <c r="X59" s="422">
        <f t="shared" si="4"/>
        <v>46211.404861111114</v>
      </c>
      <c r="Y59" s="476">
        <f ca="1">IF(Table1[[#This Row],[Next Stage Date]]&lt;&gt;"",Table1[[#This Row],[Next Stage Date]]-Table1[[#This Row],[Change Date]],TODAY()-Table1[[#This Row],[Change Date]])</f>
        <v>0.88750000000436557</v>
      </c>
      <c r="Z59" s="476">
        <f t="shared" si="5"/>
        <v>0</v>
      </c>
      <c r="AA59" s="422" t="str">
        <f t="shared" si="6"/>
        <v/>
      </c>
      <c r="AB59" s="422">
        <f t="shared" si="7"/>
        <v>46210.517361111109</v>
      </c>
      <c r="AC59" s="476">
        <f t="shared" si="8"/>
        <v>0.51736111110949423</v>
      </c>
      <c r="AD59" s="476" t="str">
        <f t="shared" si="9"/>
        <v/>
      </c>
      <c r="AE59" s="476" t="str">
        <f t="shared" si="10"/>
        <v/>
      </c>
      <c r="AF59" s="476" t="b">
        <f>IFERROR(_xlfn.XLOOKUP(Table1[[#This Row],[Opportunity ID]],'Aging Detail'!$H$14:$H$20,'Aging Detail'!$F$14:$F$20),TRUE)</f>
        <v>1</v>
      </c>
    </row>
    <row r="60" spans="1:32">
      <c r="A60" t="s">
        <v>1461</v>
      </c>
      <c r="B60" t="s">
        <v>408</v>
      </c>
      <c r="C60" t="s">
        <v>1469</v>
      </c>
      <c r="D60" t="s">
        <v>1702</v>
      </c>
      <c r="E60" t="s">
        <v>1703</v>
      </c>
      <c r="I60" s="422">
        <v>45744</v>
      </c>
      <c r="J60" s="422">
        <v>46356</v>
      </c>
      <c r="K60">
        <v>0</v>
      </c>
      <c r="L60">
        <v>0</v>
      </c>
      <c r="M60" t="s">
        <v>1704</v>
      </c>
      <c r="N60" t="s">
        <v>1549</v>
      </c>
      <c r="O60" t="str">
        <f>_xlfn.IFNA(VLOOKUP(Table1[[#This Row],[Lead Source]],'helper tab'!A:B,2,FALSE),"Exclude")</f>
        <v>Exclude</v>
      </c>
      <c r="P60" s="422">
        <f t="shared" si="0"/>
        <v>46210.488888888889</v>
      </c>
      <c r="Q60">
        <f t="shared" si="1"/>
        <v>0</v>
      </c>
      <c r="R60">
        <f t="shared" si="2"/>
        <v>0</v>
      </c>
      <c r="S60">
        <f>IF(
AND($Q60=1,$M60&lt;&gt;""),
IF(
COUNTIFS(
$M$3:$M60,$M60,
$O$3:$O60,$O60,
$Q$3:$Q60,1,
$P$3:$P60,"&gt;="&amp;EOMONTH($P60,-1)+1,
$P$3:$P60,"&lt;"&amp;EOMONTH($P60,0)+1
)=1,
1,
0),
0)</f>
        <v>0</v>
      </c>
      <c r="T60">
        <f>IF(AND($R60=1,$M60&lt;&gt;""),IF(COUNTIFS($M$3:$M60,$M60,$O$3:$O60,$O60,$R$3:$R60,1,$P$3:$P60,"&gt;="&amp;EOMONTH($P60,-1)+1,$P$3:$P60,"&lt;"&amp;EOMONTH($P60,0)+1)=1,1,0),0)</f>
        <v>0</v>
      </c>
      <c r="U60">
        <f t="shared" si="3"/>
        <v>1</v>
      </c>
      <c r="V60">
        <f>IF(AND($U60=1,$M60&lt;&gt;""),IF(COUNTIFS($M$3:$M60,$M60,$O$3:$O60,$O60,$U$3:$U60,1,$P$3:$P60,"&gt;="&amp;EOMONTH($P60,-1)+1,$P$3:$P60,"&lt;"&amp;EOMONTH($P60,0)+1)=1,1,0),0)</f>
        <v>1</v>
      </c>
      <c r="W60" s="444">
        <f ca="1">TODAY()-Table1[[#This Row],[Change Date]]</f>
        <v>47.511111111110949</v>
      </c>
      <c r="X60" s="422" t="str">
        <f t="shared" si="4"/>
        <v/>
      </c>
      <c r="Y60" s="476">
        <f ca="1">IF(Table1[[#This Row],[Next Stage Date]]&lt;&gt;"",Table1[[#This Row],[Next Stage Date]]-Table1[[#This Row],[Change Date]],TODAY()-Table1[[#This Row],[Change Date]])</f>
        <v>47.511111111110949</v>
      </c>
      <c r="Z60" s="476">
        <f t="shared" si="5"/>
        <v>1</v>
      </c>
      <c r="AA60" s="422" t="str">
        <f t="shared" si="6"/>
        <v/>
      </c>
      <c r="AB60" s="422" t="str">
        <f t="shared" si="7"/>
        <v/>
      </c>
      <c r="AC60" s="476" t="str">
        <f t="shared" si="8"/>
        <v/>
      </c>
      <c r="AD60" s="476" t="str">
        <f t="shared" si="9"/>
        <v/>
      </c>
      <c r="AE60" s="476" t="str">
        <f t="shared" si="10"/>
        <v/>
      </c>
      <c r="AF60" s="476" t="b">
        <f>IFERROR(_xlfn.XLOOKUP(Table1[[#This Row],[Opportunity ID]],'Aging Detail'!$H$14:$H$20,'Aging Detail'!$F$14:$F$20),TRUE)</f>
        <v>1</v>
      </c>
    </row>
    <row r="61" spans="1:32">
      <c r="A61" t="s">
        <v>1461</v>
      </c>
      <c r="B61" t="s">
        <v>1462</v>
      </c>
      <c r="C61" t="s">
        <v>1469</v>
      </c>
      <c r="D61" t="s">
        <v>1705</v>
      </c>
      <c r="E61" t="s">
        <v>1706</v>
      </c>
      <c r="F61" t="s">
        <v>1484</v>
      </c>
      <c r="I61" s="422">
        <v>45348</v>
      </c>
      <c r="J61" s="422">
        <v>46265</v>
      </c>
      <c r="K61">
        <v>0</v>
      </c>
      <c r="L61">
        <v>0</v>
      </c>
      <c r="M61" t="s">
        <v>1707</v>
      </c>
      <c r="N61" t="s">
        <v>1708</v>
      </c>
      <c r="O61" t="str">
        <f>_xlfn.IFNA(VLOOKUP(Table1[[#This Row],[Lead Source]],'helper tab'!A:B,2,FALSE),"Exclude")</f>
        <v>Exclude</v>
      </c>
      <c r="P61" s="422">
        <f t="shared" si="0"/>
        <v>46210.429166666669</v>
      </c>
      <c r="Q61">
        <f t="shared" si="1"/>
        <v>0</v>
      </c>
      <c r="R61">
        <f t="shared" si="2"/>
        <v>0</v>
      </c>
      <c r="S61">
        <f>IF(
AND($Q61=1,$M61&lt;&gt;""),
IF(
COUNTIFS(
$M$3:$M61,$M61,
$O$3:$O61,$O61,
$Q$3:$Q61,1,
$P$3:$P61,"&gt;="&amp;EOMONTH($P61,-1)+1,
$P$3:$P61,"&lt;"&amp;EOMONTH($P61,0)+1
)=1,
1,
0),
0)</f>
        <v>0</v>
      </c>
      <c r="T61">
        <f>IF(AND($R61=1,$M61&lt;&gt;""),IF(COUNTIFS($M$3:$M61,$M61,$O$3:$O61,$O61,$R$3:$R61,1,$P$3:$P61,"&gt;="&amp;EOMONTH($P61,-1)+1,$P$3:$P61,"&lt;"&amp;EOMONTH($P61,0)+1)=1,1,0),0)</f>
        <v>0</v>
      </c>
      <c r="U61">
        <f t="shared" si="3"/>
        <v>1</v>
      </c>
      <c r="V61">
        <f>IF(AND($U61=1,$M61&lt;&gt;""),IF(COUNTIFS($M$3:$M61,$M61,$O$3:$O61,$O61,$U$3:$U61,1,$P$3:$P61,"&gt;="&amp;EOMONTH($P61,-1)+1,$P$3:$P61,"&lt;"&amp;EOMONTH($P61,0)+1)=1,1,0),0)</f>
        <v>1</v>
      </c>
      <c r="W61" s="444">
        <f ca="1">TODAY()-Table1[[#This Row],[Change Date]]</f>
        <v>47.570833333331393</v>
      </c>
      <c r="X61" s="422" t="str">
        <f t="shared" si="4"/>
        <v/>
      </c>
      <c r="Y61" s="476">
        <f ca="1">IF(Table1[[#This Row],[Next Stage Date]]&lt;&gt;"",Table1[[#This Row],[Next Stage Date]]-Table1[[#This Row],[Change Date]],TODAY()-Table1[[#This Row],[Change Date]])</f>
        <v>47.570833333331393</v>
      </c>
      <c r="Z61" s="476">
        <f t="shared" si="5"/>
        <v>1</v>
      </c>
      <c r="AA61" s="422" t="str">
        <f t="shared" si="6"/>
        <v/>
      </c>
      <c r="AB61" s="422" t="str">
        <f t="shared" si="7"/>
        <v/>
      </c>
      <c r="AC61" s="476" t="str">
        <f t="shared" si="8"/>
        <v/>
      </c>
      <c r="AD61" s="476" t="str">
        <f t="shared" si="9"/>
        <v/>
      </c>
      <c r="AE61" s="476" t="str">
        <f t="shared" si="10"/>
        <v/>
      </c>
      <c r="AF61" s="476" t="b">
        <f>IFERROR(_xlfn.XLOOKUP(Table1[[#This Row],[Opportunity ID]],'Aging Detail'!$H$14:$H$20,'Aging Detail'!$F$14:$F$20),TRUE)</f>
        <v>1</v>
      </c>
    </row>
    <row r="62" spans="1:32">
      <c r="A62" t="s">
        <v>1461</v>
      </c>
      <c r="B62" t="s">
        <v>408</v>
      </c>
      <c r="C62" t="s">
        <v>1469</v>
      </c>
      <c r="D62" t="s">
        <v>1709</v>
      </c>
      <c r="E62" t="s">
        <v>1710</v>
      </c>
      <c r="I62" s="422">
        <v>45713</v>
      </c>
      <c r="J62" s="422">
        <v>73050</v>
      </c>
      <c r="L62">
        <v>0</v>
      </c>
      <c r="M62" t="s">
        <v>1711</v>
      </c>
      <c r="N62" t="s">
        <v>1708</v>
      </c>
      <c r="O62" t="str">
        <f>_xlfn.IFNA(VLOOKUP(Table1[[#This Row],[Lead Source]],'helper tab'!A:B,2,FALSE),"Exclude")</f>
        <v>Exclude</v>
      </c>
      <c r="P62" s="422">
        <f t="shared" si="0"/>
        <v>46210.428472222222</v>
      </c>
      <c r="Q62">
        <f t="shared" si="1"/>
        <v>0</v>
      </c>
      <c r="R62">
        <f t="shared" si="2"/>
        <v>0</v>
      </c>
      <c r="S62">
        <f>IF(
AND($Q62=1,$M62&lt;&gt;""),
IF(
COUNTIFS(
$M$3:$M62,$M62,
$O$3:$O62,$O62,
$Q$3:$Q62,1,
$P$3:$P62,"&gt;="&amp;EOMONTH($P62,-1)+1,
$P$3:$P62,"&lt;"&amp;EOMONTH($P62,0)+1
)=1,
1,
0),
0)</f>
        <v>0</v>
      </c>
      <c r="T62">
        <f>IF(AND($R62=1,$M62&lt;&gt;""),IF(COUNTIFS($M$3:$M62,$M62,$O$3:$O62,$O62,$R$3:$R62,1,$P$3:$P62,"&gt;="&amp;EOMONTH($P62,-1)+1,$P$3:$P62,"&lt;"&amp;EOMONTH($P62,0)+1)=1,1,0),0)</f>
        <v>0</v>
      </c>
      <c r="U62">
        <f t="shared" si="3"/>
        <v>1</v>
      </c>
      <c r="V62">
        <f>IF(AND($U62=1,$M62&lt;&gt;""),IF(COUNTIFS($M$3:$M62,$M62,$O$3:$O62,$O62,$U$3:$U62,1,$P$3:$P62,"&gt;="&amp;EOMONTH($P62,-1)+1,$P$3:$P62,"&lt;"&amp;EOMONTH($P62,0)+1)=1,1,0),0)</f>
        <v>1</v>
      </c>
      <c r="W62" s="444">
        <f ca="1">TODAY()-Table1[[#This Row],[Change Date]]</f>
        <v>47.571527777778101</v>
      </c>
      <c r="X62" s="422" t="str">
        <f t="shared" si="4"/>
        <v/>
      </c>
      <c r="Y62" s="476">
        <f ca="1">IF(Table1[[#This Row],[Next Stage Date]]&lt;&gt;"",Table1[[#This Row],[Next Stage Date]]-Table1[[#This Row],[Change Date]],TODAY()-Table1[[#This Row],[Change Date]])</f>
        <v>47.571527777778101</v>
      </c>
      <c r="Z62" s="476">
        <f t="shared" si="5"/>
        <v>1</v>
      </c>
      <c r="AA62" s="422" t="str">
        <f t="shared" si="6"/>
        <v/>
      </c>
      <c r="AB62" s="422" t="str">
        <f t="shared" si="7"/>
        <v/>
      </c>
      <c r="AC62" s="476" t="str">
        <f t="shared" si="8"/>
        <v/>
      </c>
      <c r="AD62" s="476" t="str">
        <f t="shared" si="9"/>
        <v/>
      </c>
      <c r="AE62" s="476" t="str">
        <f t="shared" si="10"/>
        <v/>
      </c>
      <c r="AF62" s="476" t="b">
        <f>IFERROR(_xlfn.XLOOKUP(Table1[[#This Row],[Opportunity ID]],'Aging Detail'!$H$14:$H$20,'Aging Detail'!$F$14:$F$20),TRUE)</f>
        <v>1</v>
      </c>
    </row>
    <row r="63" spans="1:32">
      <c r="A63" t="s">
        <v>1461</v>
      </c>
      <c r="B63" t="s">
        <v>338</v>
      </c>
      <c r="C63" t="s">
        <v>1469</v>
      </c>
      <c r="D63" t="s">
        <v>1709</v>
      </c>
      <c r="E63" t="s">
        <v>1712</v>
      </c>
      <c r="F63" t="s">
        <v>1484</v>
      </c>
      <c r="I63" s="422">
        <v>45231</v>
      </c>
      <c r="J63" s="422">
        <v>46265</v>
      </c>
      <c r="K63">
        <v>0</v>
      </c>
      <c r="L63">
        <v>0</v>
      </c>
      <c r="M63" t="s">
        <v>1713</v>
      </c>
      <c r="N63" t="s">
        <v>1708</v>
      </c>
      <c r="O63" t="str">
        <f>_xlfn.IFNA(VLOOKUP(Table1[[#This Row],[Lead Source]],'helper tab'!A:B,2,FALSE),"Exclude")</f>
        <v>Exclude</v>
      </c>
      <c r="P63" s="422">
        <f t="shared" si="0"/>
        <v>46210.428472222222</v>
      </c>
      <c r="Q63">
        <f t="shared" si="1"/>
        <v>0</v>
      </c>
      <c r="R63">
        <f t="shared" si="2"/>
        <v>0</v>
      </c>
      <c r="S63">
        <f>IF(
AND($Q63=1,$M63&lt;&gt;""),
IF(
COUNTIFS(
$M$3:$M63,$M63,
$O$3:$O63,$O63,
$Q$3:$Q63,1,
$P$3:$P63,"&gt;="&amp;EOMONTH($P63,-1)+1,
$P$3:$P63,"&lt;"&amp;EOMONTH($P63,0)+1
)=1,
1,
0),
0)</f>
        <v>0</v>
      </c>
      <c r="T63">
        <f>IF(AND($R63=1,$M63&lt;&gt;""),IF(COUNTIFS($M$3:$M63,$M63,$O$3:$O63,$O63,$R$3:$R63,1,$P$3:$P63,"&gt;="&amp;EOMONTH($P63,-1)+1,$P$3:$P63,"&lt;"&amp;EOMONTH($P63,0)+1)=1,1,0),0)</f>
        <v>0</v>
      </c>
      <c r="U63">
        <f t="shared" si="3"/>
        <v>1</v>
      </c>
      <c r="V63">
        <f>IF(AND($U63=1,$M63&lt;&gt;""),IF(COUNTIFS($M$3:$M63,$M63,$O$3:$O63,$O63,$U$3:$U63,1,$P$3:$P63,"&gt;="&amp;EOMONTH($P63,-1)+1,$P$3:$P63,"&lt;"&amp;EOMONTH($P63,0)+1)=1,1,0),0)</f>
        <v>1</v>
      </c>
      <c r="W63" s="444">
        <f ca="1">TODAY()-Table1[[#This Row],[Change Date]]</f>
        <v>47.571527777778101</v>
      </c>
      <c r="X63" s="422" t="str">
        <f t="shared" si="4"/>
        <v/>
      </c>
      <c r="Y63" s="476">
        <f ca="1">IF(Table1[[#This Row],[Next Stage Date]]&lt;&gt;"",Table1[[#This Row],[Next Stage Date]]-Table1[[#This Row],[Change Date]],TODAY()-Table1[[#This Row],[Change Date]])</f>
        <v>47.571527777778101</v>
      </c>
      <c r="Z63" s="476">
        <f t="shared" si="5"/>
        <v>1</v>
      </c>
      <c r="AA63" s="422" t="str">
        <f t="shared" si="6"/>
        <v/>
      </c>
      <c r="AB63" s="422" t="str">
        <f t="shared" si="7"/>
        <v/>
      </c>
      <c r="AC63" s="476" t="str">
        <f t="shared" si="8"/>
        <v/>
      </c>
      <c r="AD63" s="476" t="str">
        <f t="shared" si="9"/>
        <v/>
      </c>
      <c r="AE63" s="476" t="str">
        <f t="shared" si="10"/>
        <v/>
      </c>
      <c r="AF63" s="476" t="b">
        <f>IFERROR(_xlfn.XLOOKUP(Table1[[#This Row],[Opportunity ID]],'Aging Detail'!$H$14:$H$20,'Aging Detail'!$F$14:$F$20),TRUE)</f>
        <v>1</v>
      </c>
    </row>
    <row r="64" spans="1:32">
      <c r="A64" t="s">
        <v>1461</v>
      </c>
      <c r="B64" t="s">
        <v>408</v>
      </c>
      <c r="C64" t="s">
        <v>1462</v>
      </c>
      <c r="D64" t="s">
        <v>1714</v>
      </c>
      <c r="E64" t="s">
        <v>1715</v>
      </c>
      <c r="F64" t="s">
        <v>1465</v>
      </c>
      <c r="I64" s="422">
        <v>46035</v>
      </c>
      <c r="J64" s="422">
        <v>46371</v>
      </c>
      <c r="K64">
        <v>284000</v>
      </c>
      <c r="L64">
        <v>144000</v>
      </c>
      <c r="M64" t="s">
        <v>1716</v>
      </c>
      <c r="N64" t="s">
        <v>1717</v>
      </c>
      <c r="O64" t="str">
        <f>_xlfn.IFNA(VLOOKUP(Table1[[#This Row],[Lead Source]],'helper tab'!A:B,2,FALSE),"Exclude")</f>
        <v>Exclude</v>
      </c>
      <c r="P64" s="422">
        <f t="shared" si="0"/>
        <v>46210.122916666667</v>
      </c>
      <c r="Q64">
        <f t="shared" si="1"/>
        <v>0</v>
      </c>
      <c r="R64">
        <f t="shared" si="2"/>
        <v>0</v>
      </c>
      <c r="S64">
        <f>IF(
AND($Q64=1,$M64&lt;&gt;""),
IF(
COUNTIFS(
$M$3:$M64,$M64,
$O$3:$O64,$O64,
$Q$3:$Q64,1,
$P$3:$P64,"&gt;="&amp;EOMONTH($P64,-1)+1,
$P$3:$P64,"&lt;"&amp;EOMONTH($P64,0)+1
)=1,
1,
0),
0)</f>
        <v>0</v>
      </c>
      <c r="T64">
        <f>IF(AND($R64=1,$M64&lt;&gt;""),IF(COUNTIFS($M$3:$M64,$M64,$O$3:$O64,$O64,$R$3:$R64,1,$P$3:$P64,"&gt;="&amp;EOMONTH($P64,-1)+1,$P$3:$P64,"&lt;"&amp;EOMONTH($P64,0)+1)=1,1,0),0)</f>
        <v>0</v>
      </c>
      <c r="U64">
        <f t="shared" si="3"/>
        <v>0</v>
      </c>
      <c r="V64">
        <f>IF(AND($U64=1,$M64&lt;&gt;""),IF(COUNTIFS($M$3:$M64,$M64,$O$3:$O64,$O64,$U$3:$U64,1,$P$3:$P64,"&gt;="&amp;EOMONTH($P64,-1)+1,$P$3:$P64,"&lt;"&amp;EOMONTH($P64,0)+1)=1,1,0),0)</f>
        <v>0</v>
      </c>
      <c r="W64" s="444">
        <f ca="1">TODAY()-Table1[[#This Row],[Change Date]]</f>
        <v>47.877083333332848</v>
      </c>
      <c r="X64" s="422" t="str">
        <f t="shared" si="4"/>
        <v/>
      </c>
      <c r="Y64" s="476">
        <f ca="1">IF(Table1[[#This Row],[Next Stage Date]]&lt;&gt;"",Table1[[#This Row],[Next Stage Date]]-Table1[[#This Row],[Change Date]],TODAY()-Table1[[#This Row],[Change Date]])</f>
        <v>47.877083333332848</v>
      </c>
      <c r="Z64" s="476">
        <f t="shared" si="5"/>
        <v>1</v>
      </c>
      <c r="AA64" s="422" t="str">
        <f t="shared" si="6"/>
        <v/>
      </c>
      <c r="AB64" s="422" t="str">
        <f t="shared" si="7"/>
        <v/>
      </c>
      <c r="AC64" s="476" t="str">
        <f t="shared" si="8"/>
        <v/>
      </c>
      <c r="AD64" s="476" t="str">
        <f t="shared" si="9"/>
        <v/>
      </c>
      <c r="AE64" s="476" t="str">
        <f t="shared" si="10"/>
        <v/>
      </c>
      <c r="AF64" s="476" t="b">
        <f>IFERROR(_xlfn.XLOOKUP(Table1[[#This Row],[Opportunity ID]],'Aging Detail'!$H$14:$H$20,'Aging Detail'!$F$14:$F$20),TRUE)</f>
        <v>1</v>
      </c>
    </row>
    <row r="65" spans="1:32">
      <c r="A65" t="s">
        <v>1461</v>
      </c>
      <c r="B65" t="s">
        <v>408</v>
      </c>
      <c r="C65" t="s">
        <v>1462</v>
      </c>
      <c r="D65" t="s">
        <v>1718</v>
      </c>
      <c r="E65" t="s">
        <v>1719</v>
      </c>
      <c r="F65" t="s">
        <v>1473</v>
      </c>
      <c r="G65" t="s">
        <v>1720</v>
      </c>
      <c r="I65" s="422">
        <v>45737</v>
      </c>
      <c r="J65" s="422">
        <v>46443</v>
      </c>
      <c r="K65">
        <v>207056</v>
      </c>
      <c r="L65">
        <v>107016</v>
      </c>
      <c r="M65" t="s">
        <v>1721</v>
      </c>
      <c r="N65" t="s">
        <v>1722</v>
      </c>
      <c r="O65" t="str">
        <f>_xlfn.IFNA(VLOOKUP(Table1[[#This Row],[Lead Source]],'helper tab'!A:B,2,FALSE),"Exclude")</f>
        <v>Events</v>
      </c>
      <c r="P65" s="422">
        <f t="shared" si="0"/>
        <v>46210.1</v>
      </c>
      <c r="Q65">
        <f t="shared" si="1"/>
        <v>0</v>
      </c>
      <c r="R65">
        <f t="shared" si="2"/>
        <v>0</v>
      </c>
      <c r="S65">
        <f>IF(
AND($Q65=1,$M65&lt;&gt;""),
IF(
COUNTIFS(
$M$3:$M65,$M65,
$O$3:$O65,$O65,
$Q$3:$Q65,1,
$P$3:$P65,"&gt;="&amp;EOMONTH($P65,-1)+1,
$P$3:$P65,"&lt;"&amp;EOMONTH($P65,0)+1
)=1,
1,
0),
0)</f>
        <v>0</v>
      </c>
      <c r="T65">
        <f>IF(AND($R65=1,$M65&lt;&gt;""),IF(COUNTIFS($M$3:$M65,$M65,$O$3:$O65,$O65,$R$3:$R65,1,$P$3:$P65,"&gt;="&amp;EOMONTH($P65,-1)+1,$P$3:$P65,"&lt;"&amp;EOMONTH($P65,0)+1)=1,1,0),0)</f>
        <v>0</v>
      </c>
      <c r="U65">
        <f t="shared" si="3"/>
        <v>0</v>
      </c>
      <c r="V65">
        <f>IF(AND($U65=1,$M65&lt;&gt;""),IF(COUNTIFS($M$3:$M65,$M65,$O$3:$O65,$O65,$U$3:$U65,1,$P$3:$P65,"&gt;="&amp;EOMONTH($P65,-1)+1,$P$3:$P65,"&lt;"&amp;EOMONTH($P65,0)+1)=1,1,0),0)</f>
        <v>0</v>
      </c>
      <c r="W65" s="444">
        <f ca="1">TODAY()-Table1[[#This Row],[Change Date]]</f>
        <v>47.900000000001455</v>
      </c>
      <c r="X65" s="422" t="str">
        <f t="shared" si="4"/>
        <v/>
      </c>
      <c r="Y65" s="476">
        <f ca="1">IF(Table1[[#This Row],[Next Stage Date]]&lt;&gt;"",Table1[[#This Row],[Next Stage Date]]-Table1[[#This Row],[Change Date]],TODAY()-Table1[[#This Row],[Change Date]])</f>
        <v>47.900000000001455</v>
      </c>
      <c r="Z65" s="476">
        <f t="shared" si="5"/>
        <v>1</v>
      </c>
      <c r="AA65" s="422" t="str">
        <f t="shared" si="6"/>
        <v/>
      </c>
      <c r="AB65" s="422" t="str">
        <f t="shared" si="7"/>
        <v/>
      </c>
      <c r="AC65" s="476" t="str">
        <f t="shared" si="8"/>
        <v/>
      </c>
      <c r="AD65" s="476" t="str">
        <f t="shared" si="9"/>
        <v/>
      </c>
      <c r="AE65" s="476" t="str">
        <f t="shared" si="10"/>
        <v/>
      </c>
      <c r="AF65" s="476" t="b">
        <f>IFERROR(_xlfn.XLOOKUP(Table1[[#This Row],[Opportunity ID]],'Aging Detail'!$H$14:$H$20,'Aging Detail'!$F$14:$F$20),TRUE)</f>
        <v>1</v>
      </c>
    </row>
    <row r="66" spans="1:32">
      <c r="A66" t="s">
        <v>1461</v>
      </c>
      <c r="B66" t="s">
        <v>1462</v>
      </c>
      <c r="C66" t="s">
        <v>462</v>
      </c>
      <c r="D66" t="s">
        <v>1723</v>
      </c>
      <c r="E66" t="s">
        <v>1724</v>
      </c>
      <c r="F66" t="s">
        <v>148</v>
      </c>
      <c r="H66" t="s">
        <v>169</v>
      </c>
      <c r="I66" s="422">
        <v>46031</v>
      </c>
      <c r="J66" s="422">
        <v>46283</v>
      </c>
      <c r="K66">
        <v>100800</v>
      </c>
      <c r="L66">
        <v>100800</v>
      </c>
      <c r="M66" t="s">
        <v>1725</v>
      </c>
      <c r="N66" t="s">
        <v>1667</v>
      </c>
      <c r="O66" t="str">
        <f>_xlfn.IFNA(VLOOKUP(Table1[[#This Row],[Lead Source]],'helper tab'!A:B,2,FALSE),"Exclude")</f>
        <v>Alliances</v>
      </c>
      <c r="P66" s="422">
        <f t="shared" si="0"/>
        <v>46209.550694444442</v>
      </c>
      <c r="Q66">
        <f t="shared" si="1"/>
        <v>1</v>
      </c>
      <c r="R66">
        <f t="shared" si="2"/>
        <v>0</v>
      </c>
      <c r="S66">
        <f>IF(
AND($Q66=1,$M66&lt;&gt;""),
IF(
COUNTIFS(
$M$3:$M66,$M66,
$O$3:$O66,$O66,
$Q$3:$Q66,1,
$P$3:$P66,"&gt;="&amp;EOMONTH($P66,-1)+1,
$P$3:$P66,"&lt;"&amp;EOMONTH($P66,0)+1
)=1,
1,
0),
0)</f>
        <v>1</v>
      </c>
      <c r="T66">
        <f>IF(AND($R66=1,$M66&lt;&gt;""),IF(COUNTIFS($M$3:$M66,$M66,$O$3:$O66,$O66,$R$3:$R66,1,$P$3:$P66,"&gt;="&amp;EOMONTH($P66,-1)+1,$P$3:$P66,"&lt;"&amp;EOMONTH($P66,0)+1)=1,1,0),0)</f>
        <v>0</v>
      </c>
      <c r="U66">
        <f t="shared" si="3"/>
        <v>0</v>
      </c>
      <c r="V66">
        <f>IF(AND($U66=1,$M66&lt;&gt;""),IF(COUNTIFS($M$3:$M66,$M66,$O$3:$O66,$O66,$U$3:$U66,1,$P$3:$P66,"&gt;="&amp;EOMONTH($P66,-1)+1,$P$3:$P66,"&lt;"&amp;EOMONTH($P66,0)+1)=1,1,0),0)</f>
        <v>0</v>
      </c>
      <c r="W66" s="444">
        <f ca="1">TODAY()-Table1[[#This Row],[Change Date]]</f>
        <v>48.449305555557657</v>
      </c>
      <c r="X66" s="422" t="str">
        <f t="shared" si="4"/>
        <v/>
      </c>
      <c r="Y66" s="476">
        <f ca="1">IF(Table1[[#This Row],[Next Stage Date]]&lt;&gt;"",Table1[[#This Row],[Next Stage Date]]-Table1[[#This Row],[Change Date]],TODAY()-Table1[[#This Row],[Change Date]])</f>
        <v>48.449305555557657</v>
      </c>
      <c r="Z66" s="476">
        <f t="shared" si="5"/>
        <v>1</v>
      </c>
      <c r="AA66" s="422" t="str">
        <f t="shared" si="6"/>
        <v/>
      </c>
      <c r="AB66" s="422">
        <f t="shared" si="7"/>
        <v>46209.550694444442</v>
      </c>
      <c r="AC66" s="476">
        <f t="shared" si="8"/>
        <v>178.55069444444234</v>
      </c>
      <c r="AD66" s="476" t="str">
        <f t="shared" si="9"/>
        <v/>
      </c>
      <c r="AE66" s="476" t="str">
        <f t="shared" si="10"/>
        <v/>
      </c>
      <c r="AF66" s="476" t="b">
        <f>IFERROR(_xlfn.XLOOKUP(Table1[[#This Row],[Opportunity ID]],'Aging Detail'!$H$14:$H$20,'Aging Detail'!$F$14:$F$20),TRUE)</f>
        <v>1</v>
      </c>
    </row>
    <row r="67" spans="1:32">
      <c r="A67" t="s">
        <v>1461</v>
      </c>
      <c r="B67" t="s">
        <v>408</v>
      </c>
      <c r="C67" t="s">
        <v>1462</v>
      </c>
      <c r="D67" t="s">
        <v>1723</v>
      </c>
      <c r="E67" t="s">
        <v>1724</v>
      </c>
      <c r="F67" t="s">
        <v>148</v>
      </c>
      <c r="H67" t="s">
        <v>169</v>
      </c>
      <c r="I67" s="422">
        <v>46031</v>
      </c>
      <c r="J67" s="422">
        <v>46283</v>
      </c>
      <c r="K67">
        <v>100800</v>
      </c>
      <c r="L67">
        <v>100800</v>
      </c>
      <c r="M67" t="s">
        <v>1725</v>
      </c>
      <c r="N67" t="s">
        <v>1667</v>
      </c>
      <c r="O67" t="str">
        <f>_xlfn.IFNA(VLOOKUP(Table1[[#This Row],[Lead Source]],'helper tab'!A:B,2,FALSE),"Exclude")</f>
        <v>Alliances</v>
      </c>
      <c r="P67" s="422">
        <f t="shared" ref="P67:P130" si="11">--SUBSTITUTE(D67,",","")</f>
        <v>46209.550694444442</v>
      </c>
      <c r="Q67">
        <f t="shared" ref="Q67:Q130" si="12">IF(OR($C67="Propose",$C67="Procure"),1,0)</f>
        <v>0</v>
      </c>
      <c r="R67">
        <f t="shared" ref="R67:R130" si="13">IF($C67="Closed Won",1,0)</f>
        <v>0</v>
      </c>
      <c r="S67">
        <f>IF(
AND($Q67=1,$M67&lt;&gt;""),
IF(
COUNTIFS(
$M$3:$M67,$M67,
$O$3:$O67,$O67,
$Q$3:$Q67,1,
$P$3:$P67,"&gt;="&amp;EOMONTH($P67,-1)+1,
$P$3:$P67,"&lt;"&amp;EOMONTH($P67,0)+1
)=1,
1,
0),
0)</f>
        <v>0</v>
      </c>
      <c r="T67">
        <f>IF(AND($R67=1,$M67&lt;&gt;""),IF(COUNTIFS($M$3:$M67,$M67,$O$3:$O67,$O67,$R$3:$R67,1,$P$3:$P67,"&gt;="&amp;EOMONTH($P67,-1)+1,$P$3:$P67,"&lt;"&amp;EOMONTH($P67,0)+1)=1,1,0),0)</f>
        <v>0</v>
      </c>
      <c r="U67">
        <f t="shared" ref="U67:U130" si="14">IF($C67="Closed Lost",1,0)</f>
        <v>0</v>
      </c>
      <c r="V67">
        <f>IF(AND($U67=1,$M67&lt;&gt;""),IF(COUNTIFS($M$3:$M67,$M67,$O$3:$O67,$O67,$U$3:$U67,1,$P$3:$P67,"&gt;="&amp;EOMONTH($P67,-1)+1,$P$3:$P67,"&lt;"&amp;EOMONTH($P67,0)+1)=1,1,0),0)</f>
        <v>0</v>
      </c>
      <c r="W67" s="444">
        <f ca="1">TODAY()-Table1[[#This Row],[Change Date]]</f>
        <v>48.449305555557657</v>
      </c>
      <c r="X67" s="422" t="str">
        <f t="shared" ref="X67:X130" si="15">IFERROR(
IF(
COUNTIFS($M:$M,$M67,$P:$P,"&gt;"&amp;$P67)=0,
"",
_xlfn.MINIFS($P:$P,$M:$M,$M67,$P:$P,"&gt;"&amp;$P67)
),
""
)</f>
        <v/>
      </c>
      <c r="Y67" s="476">
        <f ca="1">IF(Table1[[#This Row],[Next Stage Date]]&lt;&gt;"",Table1[[#This Row],[Next Stage Date]]-Table1[[#This Row],[Change Date]],TODAY()-Table1[[#This Row],[Change Date]])</f>
        <v>48.449305555557657</v>
      </c>
      <c r="Z67" s="476">
        <f t="shared" ref="Z67:Z130" si="16">IF(P67=_xlfn.MAXIFS($P:$P,$M:$M,$M67),1,0)</f>
        <v>1</v>
      </c>
      <c r="AA67" s="422" t="str">
        <f t="shared" ref="AA67:AA130" si="17">IF(
COUNTIFS($M:$M,$M67,$C:$C,"Closed Won")=0,
"",
_xlfn.MINIFS($P:$P,$M:$M,$M67,$C:$C,"Closed Won")
)</f>
        <v/>
      </c>
      <c r="AB67" s="422">
        <f t="shared" ref="AB67:AB130" si="18">IF(
COUNTIFS($M:$M,$M67,$Q:$Q,1)=0,
"",
_xlfn.MINIFS($P:$P,$M:$M,$M67,$Q:$Q,1)
)</f>
        <v>46209.550694444442</v>
      </c>
      <c r="AC67" s="476">
        <f t="shared" ref="AC67:AC130" si="19">IF(AB67&lt;&gt;"",AB67-I67,"")</f>
        <v>178.55069444444234</v>
      </c>
      <c r="AD67" s="476" t="str">
        <f t="shared" ref="AD67:AD130" si="20">IF(AND(AB67&lt;&gt;"",AA67&lt;&gt;""),AA67-AB67,"")</f>
        <v/>
      </c>
      <c r="AE67" s="476" t="str">
        <f t="shared" ref="AE67:AE130" si="21">IF(AA67&lt;&gt;"",AA67-I67,"")</f>
        <v/>
      </c>
      <c r="AF67" s="476" t="b">
        <f>IFERROR(_xlfn.XLOOKUP(Table1[[#This Row],[Opportunity ID]],'Aging Detail'!$H$14:$H$20,'Aging Detail'!$F$14:$F$20),TRUE)</f>
        <v>1</v>
      </c>
    </row>
    <row r="68" spans="1:32">
      <c r="A68" t="s">
        <v>1461</v>
      </c>
      <c r="B68" t="s">
        <v>462</v>
      </c>
      <c r="C68" t="s">
        <v>526</v>
      </c>
      <c r="D68" t="s">
        <v>1726</v>
      </c>
      <c r="E68" t="s">
        <v>136</v>
      </c>
      <c r="F68" t="s">
        <v>470</v>
      </c>
      <c r="I68" s="422">
        <v>46203</v>
      </c>
      <c r="J68" s="422">
        <v>46279</v>
      </c>
      <c r="K68">
        <v>119448</v>
      </c>
      <c r="L68">
        <v>119448</v>
      </c>
      <c r="M68" t="s">
        <v>1727</v>
      </c>
      <c r="N68" t="s">
        <v>647</v>
      </c>
      <c r="O68" t="str">
        <f>_xlfn.IFNA(VLOOKUP(Table1[[#This Row],[Lead Source]],'helper tab'!A:B,2,FALSE),"Exclude")</f>
        <v>Digital</v>
      </c>
      <c r="P68" s="422">
        <f t="shared" si="11"/>
        <v>46209.453472222223</v>
      </c>
      <c r="Q68">
        <f t="shared" si="12"/>
        <v>1</v>
      </c>
      <c r="R68">
        <f t="shared" si="13"/>
        <v>0</v>
      </c>
      <c r="S68">
        <f>IF(
AND($Q68=1,$M68&lt;&gt;""),
IF(
COUNTIFS(
$M$3:$M68,$M68,
$O$3:$O68,$O68,
$Q$3:$Q68,1,
$P$3:$P68,"&gt;="&amp;EOMONTH($P68,-1)+1,
$P$3:$P68,"&lt;"&amp;EOMONTH($P68,0)+1
)=1,
1,
0),
0)</f>
        <v>1</v>
      </c>
      <c r="T68">
        <f>IF(AND($R68=1,$M68&lt;&gt;""),IF(COUNTIFS($M$3:$M68,$M68,$O$3:$O68,$O68,$R$3:$R68,1,$P$3:$P68,"&gt;="&amp;EOMONTH($P68,-1)+1,$P$3:$P68,"&lt;"&amp;EOMONTH($P68,0)+1)=1,1,0),0)</f>
        <v>0</v>
      </c>
      <c r="U68">
        <f t="shared" si="14"/>
        <v>0</v>
      </c>
      <c r="V68">
        <f>IF(AND($U68=1,$M68&lt;&gt;""),IF(COUNTIFS($M$3:$M68,$M68,$O$3:$O68,$O68,$U$3:$U68,1,$P$3:$P68,"&gt;="&amp;EOMONTH($P68,-1)+1,$P$3:$P68,"&lt;"&amp;EOMONTH($P68,0)+1)=1,1,0),0)</f>
        <v>0</v>
      </c>
      <c r="W68" s="444">
        <f ca="1">TODAY()-Table1[[#This Row],[Change Date]]</f>
        <v>48.546527777776646</v>
      </c>
      <c r="X68" s="422" t="str">
        <f t="shared" si="15"/>
        <v/>
      </c>
      <c r="Y68" s="476">
        <f ca="1">IF(Table1[[#This Row],[Next Stage Date]]&lt;&gt;"",Table1[[#This Row],[Next Stage Date]]-Table1[[#This Row],[Change Date]],TODAY()-Table1[[#This Row],[Change Date]])</f>
        <v>48.546527777776646</v>
      </c>
      <c r="Z68" s="476">
        <f t="shared" si="16"/>
        <v>1</v>
      </c>
      <c r="AA68" s="422" t="str">
        <f t="shared" si="17"/>
        <v/>
      </c>
      <c r="AB68" s="422">
        <f t="shared" si="18"/>
        <v>46209.452777777777</v>
      </c>
      <c r="AC68" s="476">
        <f t="shared" si="19"/>
        <v>6.452777777776646</v>
      </c>
      <c r="AD68" s="476" t="str">
        <f t="shared" si="20"/>
        <v/>
      </c>
      <c r="AE68" s="476" t="str">
        <f t="shared" si="21"/>
        <v/>
      </c>
      <c r="AF68" s="476" t="b">
        <f>IFERROR(_xlfn.XLOOKUP(Table1[[#This Row],[Opportunity ID]],'Aging Detail'!$H$14:$H$20,'Aging Detail'!$F$14:$F$20),TRUE)</f>
        <v>1</v>
      </c>
    </row>
    <row r="69" spans="1:32">
      <c r="A69" t="s">
        <v>1461</v>
      </c>
      <c r="B69" t="s">
        <v>1462</v>
      </c>
      <c r="C69" t="s">
        <v>462</v>
      </c>
      <c r="D69" t="s">
        <v>1728</v>
      </c>
      <c r="E69" t="s">
        <v>136</v>
      </c>
      <c r="F69" t="s">
        <v>470</v>
      </c>
      <c r="I69" s="422">
        <v>46203</v>
      </c>
      <c r="J69" s="422">
        <v>46279</v>
      </c>
      <c r="K69">
        <v>119448</v>
      </c>
      <c r="L69">
        <v>119448</v>
      </c>
      <c r="M69" t="s">
        <v>1727</v>
      </c>
      <c r="N69" t="s">
        <v>647</v>
      </c>
      <c r="O69" t="str">
        <f>_xlfn.IFNA(VLOOKUP(Table1[[#This Row],[Lead Source]],'helper tab'!A:B,2,FALSE),"Exclude")</f>
        <v>Digital</v>
      </c>
      <c r="P69" s="422">
        <f t="shared" si="11"/>
        <v>46209.452777777777</v>
      </c>
      <c r="Q69">
        <f t="shared" si="12"/>
        <v>1</v>
      </c>
      <c r="R69">
        <f t="shared" si="13"/>
        <v>0</v>
      </c>
      <c r="S69">
        <f>IF(
AND($Q69=1,$M69&lt;&gt;""),
IF(
COUNTIFS(
$M$3:$M69,$M69,
$O$3:$O69,$O69,
$Q$3:$Q69,1,
$P$3:$P69,"&gt;="&amp;EOMONTH($P69,-1)+1,
$P$3:$P69,"&lt;"&amp;EOMONTH($P69,0)+1
)=1,
1,
0),
0)</f>
        <v>0</v>
      </c>
      <c r="T69">
        <f>IF(AND($R69=1,$M69&lt;&gt;""),IF(COUNTIFS($M$3:$M69,$M69,$O$3:$O69,$O69,$R$3:$R69,1,$P$3:$P69,"&gt;="&amp;EOMONTH($P69,-1)+1,$P$3:$P69,"&lt;"&amp;EOMONTH($P69,0)+1)=1,1,0),0)</f>
        <v>0</v>
      </c>
      <c r="U69">
        <f t="shared" si="14"/>
        <v>0</v>
      </c>
      <c r="V69">
        <f>IF(AND($U69=1,$M69&lt;&gt;""),IF(COUNTIFS($M$3:$M69,$M69,$O$3:$O69,$O69,$U$3:$U69,1,$P$3:$P69,"&gt;="&amp;EOMONTH($P69,-1)+1,$P$3:$P69,"&lt;"&amp;EOMONTH($P69,0)+1)=1,1,0),0)</f>
        <v>0</v>
      </c>
      <c r="W69" s="444">
        <f ca="1">TODAY()-Table1[[#This Row],[Change Date]]</f>
        <v>48.547222222223354</v>
      </c>
      <c r="X69" s="422">
        <f t="shared" si="15"/>
        <v>46209.453472222223</v>
      </c>
      <c r="Y69" s="476">
        <f ca="1">IF(Table1[[#This Row],[Next Stage Date]]&lt;&gt;"",Table1[[#This Row],[Next Stage Date]]-Table1[[#This Row],[Change Date]],TODAY()-Table1[[#This Row],[Change Date]])</f>
        <v>6.944444467080757E-4</v>
      </c>
      <c r="Z69" s="476">
        <f t="shared" si="16"/>
        <v>0</v>
      </c>
      <c r="AA69" s="422" t="str">
        <f t="shared" si="17"/>
        <v/>
      </c>
      <c r="AB69" s="422">
        <f t="shared" si="18"/>
        <v>46209.452777777777</v>
      </c>
      <c r="AC69" s="476">
        <f t="shared" si="19"/>
        <v>6.452777777776646</v>
      </c>
      <c r="AD69" s="476" t="str">
        <f t="shared" si="20"/>
        <v/>
      </c>
      <c r="AE69" s="476" t="str">
        <f t="shared" si="21"/>
        <v/>
      </c>
      <c r="AF69" s="476" t="b">
        <f>IFERROR(_xlfn.XLOOKUP(Table1[[#This Row],[Opportunity ID]],'Aging Detail'!$H$14:$H$20,'Aging Detail'!$F$14:$F$20),TRUE)</f>
        <v>1</v>
      </c>
    </row>
    <row r="70" spans="1:32">
      <c r="A70" t="s">
        <v>1461</v>
      </c>
      <c r="B70" t="s">
        <v>408</v>
      </c>
      <c r="C70" t="s">
        <v>1462</v>
      </c>
      <c r="D70" t="s">
        <v>1728</v>
      </c>
      <c r="E70" t="s">
        <v>136</v>
      </c>
      <c r="F70" t="s">
        <v>470</v>
      </c>
      <c r="I70" s="422">
        <v>46203</v>
      </c>
      <c r="J70" s="422">
        <v>46279</v>
      </c>
      <c r="K70">
        <v>119448</v>
      </c>
      <c r="L70">
        <v>119448</v>
      </c>
      <c r="M70" t="s">
        <v>1727</v>
      </c>
      <c r="N70" t="s">
        <v>647</v>
      </c>
      <c r="O70" t="str">
        <f>_xlfn.IFNA(VLOOKUP(Table1[[#This Row],[Lead Source]],'helper tab'!A:B,2,FALSE),"Exclude")</f>
        <v>Digital</v>
      </c>
      <c r="P70" s="422">
        <f t="shared" si="11"/>
        <v>46209.452777777777</v>
      </c>
      <c r="Q70">
        <f t="shared" si="12"/>
        <v>0</v>
      </c>
      <c r="R70">
        <f t="shared" si="13"/>
        <v>0</v>
      </c>
      <c r="S70">
        <f>IF(
AND($Q70=1,$M70&lt;&gt;""),
IF(
COUNTIFS(
$M$3:$M70,$M70,
$O$3:$O70,$O70,
$Q$3:$Q70,1,
$P$3:$P70,"&gt;="&amp;EOMONTH($P70,-1)+1,
$P$3:$P70,"&lt;"&amp;EOMONTH($P70,0)+1
)=1,
1,
0),
0)</f>
        <v>0</v>
      </c>
      <c r="T70">
        <f>IF(AND($R70=1,$M70&lt;&gt;""),IF(COUNTIFS($M$3:$M70,$M70,$O$3:$O70,$O70,$R$3:$R70,1,$P$3:$P70,"&gt;="&amp;EOMONTH($P70,-1)+1,$P$3:$P70,"&lt;"&amp;EOMONTH($P70,0)+1)=1,1,0),0)</f>
        <v>0</v>
      </c>
      <c r="U70">
        <f t="shared" si="14"/>
        <v>0</v>
      </c>
      <c r="V70">
        <f>IF(AND($U70=1,$M70&lt;&gt;""),IF(COUNTIFS($M$3:$M70,$M70,$O$3:$O70,$O70,$U$3:$U70,1,$P$3:$P70,"&gt;="&amp;EOMONTH($P70,-1)+1,$P$3:$P70,"&lt;"&amp;EOMONTH($P70,0)+1)=1,1,0),0)</f>
        <v>0</v>
      </c>
      <c r="W70" s="444">
        <f ca="1">TODAY()-Table1[[#This Row],[Change Date]]</f>
        <v>48.547222222223354</v>
      </c>
      <c r="X70" s="422">
        <f t="shared" si="15"/>
        <v>46209.453472222223</v>
      </c>
      <c r="Y70" s="476">
        <f ca="1">IF(Table1[[#This Row],[Next Stage Date]]&lt;&gt;"",Table1[[#This Row],[Next Stage Date]]-Table1[[#This Row],[Change Date]],TODAY()-Table1[[#This Row],[Change Date]])</f>
        <v>6.944444467080757E-4</v>
      </c>
      <c r="Z70" s="476">
        <f t="shared" si="16"/>
        <v>0</v>
      </c>
      <c r="AA70" s="422" t="str">
        <f t="shared" si="17"/>
        <v/>
      </c>
      <c r="AB70" s="422">
        <f t="shared" si="18"/>
        <v>46209.452777777777</v>
      </c>
      <c r="AC70" s="476">
        <f t="shared" si="19"/>
        <v>6.452777777776646</v>
      </c>
      <c r="AD70" s="476" t="str">
        <f t="shared" si="20"/>
        <v/>
      </c>
      <c r="AE70" s="476" t="str">
        <f t="shared" si="21"/>
        <v/>
      </c>
      <c r="AF70" s="476" t="b">
        <f>IFERROR(_xlfn.XLOOKUP(Table1[[#This Row],[Opportunity ID]],'Aging Detail'!$H$14:$H$20,'Aging Detail'!$F$14:$F$20),TRUE)</f>
        <v>1</v>
      </c>
    </row>
    <row r="71" spans="1:32">
      <c r="A71" t="s">
        <v>1461</v>
      </c>
      <c r="B71" t="s">
        <v>338</v>
      </c>
      <c r="C71" t="s">
        <v>1469</v>
      </c>
      <c r="D71" t="s">
        <v>1729</v>
      </c>
      <c r="E71" t="s">
        <v>1730</v>
      </c>
      <c r="F71" t="s">
        <v>1465</v>
      </c>
      <c r="I71" s="422">
        <v>45915</v>
      </c>
      <c r="J71" s="422">
        <v>46654</v>
      </c>
      <c r="K71">
        <v>656000</v>
      </c>
      <c r="L71">
        <v>396000</v>
      </c>
      <c r="M71" t="s">
        <v>1731</v>
      </c>
      <c r="N71" t="s">
        <v>1730</v>
      </c>
      <c r="O71" t="str">
        <f>_xlfn.IFNA(VLOOKUP(Table1[[#This Row],[Lead Source]],'helper tab'!A:B,2,FALSE),"Exclude")</f>
        <v>Exclude</v>
      </c>
      <c r="P71" s="422">
        <f t="shared" si="11"/>
        <v>46209.443749999999</v>
      </c>
      <c r="Q71">
        <f t="shared" si="12"/>
        <v>0</v>
      </c>
      <c r="R71">
        <f t="shared" si="13"/>
        <v>0</v>
      </c>
      <c r="S71">
        <f>IF(
AND($Q71=1,$M71&lt;&gt;""),
IF(
COUNTIFS(
$M$3:$M71,$M71,
$O$3:$O71,$O71,
$Q$3:$Q71,1,
$P$3:$P71,"&gt;="&amp;EOMONTH($P71,-1)+1,
$P$3:$P71,"&lt;"&amp;EOMONTH($P71,0)+1
)=1,
1,
0),
0)</f>
        <v>0</v>
      </c>
      <c r="T71">
        <f>IF(AND($R71=1,$M71&lt;&gt;""),IF(COUNTIFS($M$3:$M71,$M71,$O$3:$O71,$O71,$R$3:$R71,1,$P$3:$P71,"&gt;="&amp;EOMONTH($P71,-1)+1,$P$3:$P71,"&lt;"&amp;EOMONTH($P71,0)+1)=1,1,0),0)</f>
        <v>0</v>
      </c>
      <c r="U71">
        <f t="shared" si="14"/>
        <v>1</v>
      </c>
      <c r="V71">
        <f>IF(AND($U71=1,$M71&lt;&gt;""),IF(COUNTIFS($M$3:$M71,$M71,$O$3:$O71,$O71,$U$3:$U71,1,$P$3:$P71,"&gt;="&amp;EOMONTH($P71,-1)+1,$P$3:$P71,"&lt;"&amp;EOMONTH($P71,0)+1)=1,1,0),0)</f>
        <v>1</v>
      </c>
      <c r="W71" s="444">
        <f ca="1">TODAY()-Table1[[#This Row],[Change Date]]</f>
        <v>48.556250000001455</v>
      </c>
      <c r="X71" s="422" t="str">
        <f t="shared" si="15"/>
        <v/>
      </c>
      <c r="Y71" s="476">
        <f ca="1">IF(Table1[[#This Row],[Next Stage Date]]&lt;&gt;"",Table1[[#This Row],[Next Stage Date]]-Table1[[#This Row],[Change Date]],TODAY()-Table1[[#This Row],[Change Date]])</f>
        <v>48.556250000001455</v>
      </c>
      <c r="Z71" s="476">
        <f t="shared" si="16"/>
        <v>1</v>
      </c>
      <c r="AA71" s="422" t="str">
        <f t="shared" si="17"/>
        <v/>
      </c>
      <c r="AB71" s="422" t="str">
        <f t="shared" si="18"/>
        <v/>
      </c>
      <c r="AC71" s="476" t="str">
        <f t="shared" si="19"/>
        <v/>
      </c>
      <c r="AD71" s="476" t="str">
        <f t="shared" si="20"/>
        <v/>
      </c>
      <c r="AE71" s="476" t="str">
        <f t="shared" si="21"/>
        <v/>
      </c>
      <c r="AF71" s="476" t="b">
        <f>IFERROR(_xlfn.XLOOKUP(Table1[[#This Row],[Opportunity ID]],'Aging Detail'!$H$14:$H$20,'Aging Detail'!$F$14:$F$20),TRUE)</f>
        <v>1</v>
      </c>
    </row>
    <row r="72" spans="1:32">
      <c r="A72" t="s">
        <v>1461</v>
      </c>
      <c r="B72" t="s">
        <v>408</v>
      </c>
      <c r="C72" t="s">
        <v>1462</v>
      </c>
      <c r="D72" t="s">
        <v>1732</v>
      </c>
      <c r="E72" t="s">
        <v>1733</v>
      </c>
      <c r="F72" t="s">
        <v>1465</v>
      </c>
      <c r="I72" s="422">
        <v>46209</v>
      </c>
      <c r="J72" s="422">
        <v>46472</v>
      </c>
      <c r="K72">
        <v>566272</v>
      </c>
      <c r="L72">
        <v>391272</v>
      </c>
      <c r="M72" t="s">
        <v>1734</v>
      </c>
      <c r="N72" t="s">
        <v>1577</v>
      </c>
      <c r="O72" t="str">
        <f>_xlfn.IFNA(VLOOKUP(Table1[[#This Row],[Lead Source]],'helper tab'!A:B,2,FALSE),"Exclude")</f>
        <v>Exclude</v>
      </c>
      <c r="P72" s="422">
        <f t="shared" si="11"/>
        <v>46209.433333333334</v>
      </c>
      <c r="Q72">
        <f t="shared" si="12"/>
        <v>0</v>
      </c>
      <c r="R72">
        <f t="shared" si="13"/>
        <v>0</v>
      </c>
      <c r="S72">
        <f>IF(
AND($Q72=1,$M72&lt;&gt;""),
IF(
COUNTIFS(
$M$3:$M72,$M72,
$O$3:$O72,$O72,
$Q$3:$Q72,1,
$P$3:$P72,"&gt;="&amp;EOMONTH($P72,-1)+1,
$P$3:$P72,"&lt;"&amp;EOMONTH($P72,0)+1
)=1,
1,
0),
0)</f>
        <v>0</v>
      </c>
      <c r="T72">
        <f>IF(AND($R72=1,$M72&lt;&gt;""),IF(COUNTIFS($M$3:$M72,$M72,$O$3:$O72,$O72,$R$3:$R72,1,$P$3:$P72,"&gt;="&amp;EOMONTH($P72,-1)+1,$P$3:$P72,"&lt;"&amp;EOMONTH($P72,0)+1)=1,1,0),0)</f>
        <v>0</v>
      </c>
      <c r="U72">
        <f t="shared" si="14"/>
        <v>0</v>
      </c>
      <c r="V72">
        <f>IF(AND($U72=1,$M72&lt;&gt;""),IF(COUNTIFS($M$3:$M72,$M72,$O$3:$O72,$O72,$U$3:$U72,1,$P$3:$P72,"&gt;="&amp;EOMONTH($P72,-1)+1,$P$3:$P72,"&lt;"&amp;EOMONTH($P72,0)+1)=1,1,0),0)</f>
        <v>0</v>
      </c>
      <c r="W72" s="444">
        <f ca="1">TODAY()-Table1[[#This Row],[Change Date]]</f>
        <v>48.566666666665697</v>
      </c>
      <c r="X72" s="422" t="str">
        <f t="shared" si="15"/>
        <v/>
      </c>
      <c r="Y72" s="476">
        <f ca="1">IF(Table1[[#This Row],[Next Stage Date]]&lt;&gt;"",Table1[[#This Row],[Next Stage Date]]-Table1[[#This Row],[Change Date]],TODAY()-Table1[[#This Row],[Change Date]])</f>
        <v>48.566666666665697</v>
      </c>
      <c r="Z72" s="476">
        <f t="shared" si="16"/>
        <v>1</v>
      </c>
      <c r="AA72" s="422" t="str">
        <f t="shared" si="17"/>
        <v/>
      </c>
      <c r="AB72" s="422" t="str">
        <f t="shared" si="18"/>
        <v/>
      </c>
      <c r="AC72" s="476" t="str">
        <f t="shared" si="19"/>
        <v/>
      </c>
      <c r="AD72" s="476" t="str">
        <f t="shared" si="20"/>
        <v/>
      </c>
      <c r="AE72" s="476" t="str">
        <f t="shared" si="21"/>
        <v/>
      </c>
      <c r="AF72" s="476" t="b">
        <f>IFERROR(_xlfn.XLOOKUP(Table1[[#This Row],[Opportunity ID]],'Aging Detail'!$H$14:$H$20,'Aging Detail'!$F$14:$F$20),TRUE)</f>
        <v>1</v>
      </c>
    </row>
    <row r="73" spans="1:32">
      <c r="A73" t="s">
        <v>1461</v>
      </c>
      <c r="B73" t="s">
        <v>338</v>
      </c>
      <c r="C73" t="s">
        <v>1469</v>
      </c>
      <c r="D73" t="s">
        <v>1735</v>
      </c>
      <c r="E73" t="s">
        <v>330</v>
      </c>
      <c r="F73" t="s">
        <v>319</v>
      </c>
      <c r="I73" s="422">
        <v>45686</v>
      </c>
      <c r="J73" s="422">
        <v>46500</v>
      </c>
      <c r="K73">
        <v>577600</v>
      </c>
      <c r="L73">
        <v>237600</v>
      </c>
      <c r="M73" t="s">
        <v>1736</v>
      </c>
      <c r="N73" t="s">
        <v>330</v>
      </c>
      <c r="O73" t="str">
        <f>_xlfn.IFNA(VLOOKUP(Table1[[#This Row],[Lead Source]],'helper tab'!A:B,2,FALSE),"Exclude")</f>
        <v>Digital</v>
      </c>
      <c r="P73" s="422">
        <f t="shared" si="11"/>
        <v>46209.374305555553</v>
      </c>
      <c r="Q73">
        <f t="shared" si="12"/>
        <v>0</v>
      </c>
      <c r="R73">
        <f t="shared" si="13"/>
        <v>0</v>
      </c>
      <c r="S73">
        <f>IF(
AND($Q73=1,$M73&lt;&gt;""),
IF(
COUNTIFS(
$M$3:$M73,$M73,
$O$3:$O73,$O73,
$Q$3:$Q73,1,
$P$3:$P73,"&gt;="&amp;EOMONTH($P73,-1)+1,
$P$3:$P73,"&lt;"&amp;EOMONTH($P73,0)+1
)=1,
1,
0),
0)</f>
        <v>0</v>
      </c>
      <c r="T73">
        <f>IF(AND($R73=1,$M73&lt;&gt;""),IF(COUNTIFS($M$3:$M73,$M73,$O$3:$O73,$O73,$R$3:$R73,1,$P$3:$P73,"&gt;="&amp;EOMONTH($P73,-1)+1,$P$3:$P73,"&lt;"&amp;EOMONTH($P73,0)+1)=1,1,0),0)</f>
        <v>0</v>
      </c>
      <c r="U73">
        <f t="shared" si="14"/>
        <v>1</v>
      </c>
      <c r="V73">
        <f>IF(AND($U73=1,$M73&lt;&gt;""),IF(COUNTIFS($M$3:$M73,$M73,$O$3:$O73,$O73,$U$3:$U73,1,$P$3:$P73,"&gt;="&amp;EOMONTH($P73,-1)+1,$P$3:$P73,"&lt;"&amp;EOMONTH($P73,0)+1)=1,1,0),0)</f>
        <v>1</v>
      </c>
      <c r="W73" s="444">
        <f ca="1">TODAY()-Table1[[#This Row],[Change Date]]</f>
        <v>48.625694444446708</v>
      </c>
      <c r="X73" s="422" t="str">
        <f t="shared" si="15"/>
        <v/>
      </c>
      <c r="Y73" s="476">
        <f ca="1">IF(Table1[[#This Row],[Next Stage Date]]&lt;&gt;"",Table1[[#This Row],[Next Stage Date]]-Table1[[#This Row],[Change Date]],TODAY()-Table1[[#This Row],[Change Date]])</f>
        <v>48.625694444446708</v>
      </c>
      <c r="Z73" s="476">
        <f t="shared" si="16"/>
        <v>1</v>
      </c>
      <c r="AA73" s="422" t="str">
        <f t="shared" si="17"/>
        <v/>
      </c>
      <c r="AB73" s="422" t="str">
        <f t="shared" si="18"/>
        <v/>
      </c>
      <c r="AC73" s="476" t="str">
        <f t="shared" si="19"/>
        <v/>
      </c>
      <c r="AD73" s="476" t="str">
        <f t="shared" si="20"/>
        <v/>
      </c>
      <c r="AE73" s="476" t="str">
        <f t="shared" si="21"/>
        <v/>
      </c>
      <c r="AF73" s="476" t="b">
        <f>IFERROR(_xlfn.XLOOKUP(Table1[[#This Row],[Opportunity ID]],'Aging Detail'!$H$14:$H$20,'Aging Detail'!$F$14:$F$20),TRUE)</f>
        <v>1</v>
      </c>
    </row>
    <row r="74" spans="1:32">
      <c r="A74" t="s">
        <v>1461</v>
      </c>
      <c r="B74" t="s">
        <v>408</v>
      </c>
      <c r="C74" t="s">
        <v>1469</v>
      </c>
      <c r="D74" t="s">
        <v>1735</v>
      </c>
      <c r="E74" t="s">
        <v>1737</v>
      </c>
      <c r="I74" s="422">
        <v>45608</v>
      </c>
      <c r="J74" s="422">
        <v>46418</v>
      </c>
      <c r="K74">
        <v>50000</v>
      </c>
      <c r="L74">
        <v>50000</v>
      </c>
      <c r="M74" t="s">
        <v>1738</v>
      </c>
      <c r="N74" t="s">
        <v>1739</v>
      </c>
      <c r="O74" t="str">
        <f>_xlfn.IFNA(VLOOKUP(Table1[[#This Row],[Lead Source]],'helper tab'!A:B,2,FALSE),"Exclude")</f>
        <v>Exclude</v>
      </c>
      <c r="P74" s="422">
        <f t="shared" si="11"/>
        <v>46209.374305555553</v>
      </c>
      <c r="Q74">
        <f t="shared" si="12"/>
        <v>0</v>
      </c>
      <c r="R74">
        <f t="shared" si="13"/>
        <v>0</v>
      </c>
      <c r="S74">
        <f>IF(
AND($Q74=1,$M74&lt;&gt;""),
IF(
COUNTIFS(
$M$3:$M74,$M74,
$O$3:$O74,$O74,
$Q$3:$Q74,1,
$P$3:$P74,"&gt;="&amp;EOMONTH($P74,-1)+1,
$P$3:$P74,"&lt;"&amp;EOMONTH($P74,0)+1
)=1,
1,
0),
0)</f>
        <v>0</v>
      </c>
      <c r="T74">
        <f>IF(AND($R74=1,$M74&lt;&gt;""),IF(COUNTIFS($M$3:$M74,$M74,$O$3:$O74,$O74,$R$3:$R74,1,$P$3:$P74,"&gt;="&amp;EOMONTH($P74,-1)+1,$P$3:$P74,"&lt;"&amp;EOMONTH($P74,0)+1)=1,1,0),0)</f>
        <v>0</v>
      </c>
      <c r="U74">
        <f t="shared" si="14"/>
        <v>1</v>
      </c>
      <c r="V74">
        <f>IF(AND($U74=1,$M74&lt;&gt;""),IF(COUNTIFS($M$3:$M74,$M74,$O$3:$O74,$O74,$U$3:$U74,1,$P$3:$P74,"&gt;="&amp;EOMONTH($P74,-1)+1,$P$3:$P74,"&lt;"&amp;EOMONTH($P74,0)+1)=1,1,0),0)</f>
        <v>1</v>
      </c>
      <c r="W74" s="444">
        <f ca="1">TODAY()-Table1[[#This Row],[Change Date]]</f>
        <v>48.625694444446708</v>
      </c>
      <c r="X74" s="422" t="str">
        <f t="shared" si="15"/>
        <v/>
      </c>
      <c r="Y74" s="476">
        <f ca="1">IF(Table1[[#This Row],[Next Stage Date]]&lt;&gt;"",Table1[[#This Row],[Next Stage Date]]-Table1[[#This Row],[Change Date]],TODAY()-Table1[[#This Row],[Change Date]])</f>
        <v>48.625694444446708</v>
      </c>
      <c r="Z74" s="476">
        <f t="shared" si="16"/>
        <v>1</v>
      </c>
      <c r="AA74" s="422" t="str">
        <f t="shared" si="17"/>
        <v/>
      </c>
      <c r="AB74" s="422" t="str">
        <f t="shared" si="18"/>
        <v/>
      </c>
      <c r="AC74" s="476" t="str">
        <f t="shared" si="19"/>
        <v/>
      </c>
      <c r="AD74" s="476" t="str">
        <f t="shared" si="20"/>
        <v/>
      </c>
      <c r="AE74" s="476" t="str">
        <f t="shared" si="21"/>
        <v/>
      </c>
      <c r="AF74" s="476" t="b">
        <f>IFERROR(_xlfn.XLOOKUP(Table1[[#This Row],[Opportunity ID]],'Aging Detail'!$H$14:$H$20,'Aging Detail'!$F$14:$F$20),TRUE)</f>
        <v>1</v>
      </c>
    </row>
    <row r="75" spans="1:32">
      <c r="A75" t="s">
        <v>1461</v>
      </c>
      <c r="B75" t="s">
        <v>338</v>
      </c>
      <c r="C75" t="s">
        <v>1469</v>
      </c>
      <c r="D75" t="s">
        <v>1735</v>
      </c>
      <c r="E75" t="s">
        <v>1740</v>
      </c>
      <c r="F75" t="s">
        <v>1464</v>
      </c>
      <c r="I75" s="422">
        <v>45694</v>
      </c>
      <c r="J75" s="422">
        <v>46654</v>
      </c>
      <c r="K75">
        <v>656800</v>
      </c>
      <c r="L75">
        <v>316800</v>
      </c>
      <c r="M75" t="s">
        <v>1741</v>
      </c>
      <c r="N75" t="s">
        <v>1740</v>
      </c>
      <c r="O75" t="str">
        <f>_xlfn.IFNA(VLOOKUP(Table1[[#This Row],[Lead Source]],'helper tab'!A:B,2,FALSE),"Exclude")</f>
        <v>Cold</v>
      </c>
      <c r="P75" s="422">
        <f t="shared" si="11"/>
        <v>46209.374305555553</v>
      </c>
      <c r="Q75">
        <f t="shared" si="12"/>
        <v>0</v>
      </c>
      <c r="R75">
        <f t="shared" si="13"/>
        <v>0</v>
      </c>
      <c r="S75">
        <f>IF(
AND($Q75=1,$M75&lt;&gt;""),
IF(
COUNTIFS(
$M$3:$M75,$M75,
$O$3:$O75,$O75,
$Q$3:$Q75,1,
$P$3:$P75,"&gt;="&amp;EOMONTH($P75,-1)+1,
$P$3:$P75,"&lt;"&amp;EOMONTH($P75,0)+1
)=1,
1,
0),
0)</f>
        <v>0</v>
      </c>
      <c r="T75">
        <f>IF(AND($R75=1,$M75&lt;&gt;""),IF(COUNTIFS($M$3:$M75,$M75,$O$3:$O75,$O75,$R$3:$R75,1,$P$3:$P75,"&gt;="&amp;EOMONTH($P75,-1)+1,$P$3:$P75,"&lt;"&amp;EOMONTH($P75,0)+1)=1,1,0),0)</f>
        <v>0</v>
      </c>
      <c r="U75">
        <f t="shared" si="14"/>
        <v>1</v>
      </c>
      <c r="V75">
        <f>IF(AND($U75=1,$M75&lt;&gt;""),IF(COUNTIFS($M$3:$M75,$M75,$O$3:$O75,$O75,$U$3:$U75,1,$P$3:$P75,"&gt;="&amp;EOMONTH($P75,-1)+1,$P$3:$P75,"&lt;"&amp;EOMONTH($P75,0)+1)=1,1,0),0)</f>
        <v>1</v>
      </c>
      <c r="W75" s="444">
        <f ca="1">TODAY()-Table1[[#This Row],[Change Date]]</f>
        <v>48.625694444446708</v>
      </c>
      <c r="X75" s="422" t="str">
        <f t="shared" si="15"/>
        <v/>
      </c>
      <c r="Y75" s="476">
        <f ca="1">IF(Table1[[#This Row],[Next Stage Date]]&lt;&gt;"",Table1[[#This Row],[Next Stage Date]]-Table1[[#This Row],[Change Date]],TODAY()-Table1[[#This Row],[Change Date]])</f>
        <v>48.625694444446708</v>
      </c>
      <c r="Z75" s="476">
        <f t="shared" si="16"/>
        <v>1</v>
      </c>
      <c r="AA75" s="422" t="str">
        <f t="shared" si="17"/>
        <v/>
      </c>
      <c r="AB75" s="422" t="str">
        <f t="shared" si="18"/>
        <v/>
      </c>
      <c r="AC75" s="476" t="str">
        <f t="shared" si="19"/>
        <v/>
      </c>
      <c r="AD75" s="476" t="str">
        <f t="shared" si="20"/>
        <v/>
      </c>
      <c r="AE75" s="476" t="str">
        <f t="shared" si="21"/>
        <v/>
      </c>
      <c r="AF75" s="476" t="b">
        <f>IFERROR(_xlfn.XLOOKUP(Table1[[#This Row],[Opportunity ID]],'Aging Detail'!$H$14:$H$20,'Aging Detail'!$F$14:$F$20),TRUE)</f>
        <v>1</v>
      </c>
    </row>
    <row r="76" spans="1:32">
      <c r="A76" t="s">
        <v>1461</v>
      </c>
      <c r="B76" t="s">
        <v>338</v>
      </c>
      <c r="C76" t="s">
        <v>1469</v>
      </c>
      <c r="D76" t="s">
        <v>1742</v>
      </c>
      <c r="E76" t="s">
        <v>1743</v>
      </c>
      <c r="F76" t="s">
        <v>1478</v>
      </c>
      <c r="G76" t="s">
        <v>29</v>
      </c>
      <c r="I76" s="422">
        <v>45694</v>
      </c>
      <c r="J76" s="422">
        <v>46738</v>
      </c>
      <c r="K76">
        <v>577600</v>
      </c>
      <c r="L76">
        <v>237600</v>
      </c>
      <c r="M76" t="s">
        <v>1744</v>
      </c>
      <c r="N76" t="s">
        <v>1743</v>
      </c>
      <c r="O76" t="str">
        <f>_xlfn.IFNA(VLOOKUP(Table1[[#This Row],[Lead Source]],'helper tab'!A:B,2,FALSE),"Exclude")</f>
        <v>Digital</v>
      </c>
      <c r="P76" s="422">
        <f t="shared" si="11"/>
        <v>46209.373611111114</v>
      </c>
      <c r="Q76">
        <f t="shared" si="12"/>
        <v>0</v>
      </c>
      <c r="R76">
        <f t="shared" si="13"/>
        <v>0</v>
      </c>
      <c r="S76">
        <f>IF(
AND($Q76=1,$M76&lt;&gt;""),
IF(
COUNTIFS(
$M$3:$M76,$M76,
$O$3:$O76,$O76,
$Q$3:$Q76,1,
$P$3:$P76,"&gt;="&amp;EOMONTH($P76,-1)+1,
$P$3:$P76,"&lt;"&amp;EOMONTH($P76,0)+1
)=1,
1,
0),
0)</f>
        <v>0</v>
      </c>
      <c r="T76">
        <f>IF(AND($R76=1,$M76&lt;&gt;""),IF(COUNTIFS($M$3:$M76,$M76,$O$3:$O76,$O76,$R$3:$R76,1,$P$3:$P76,"&gt;="&amp;EOMONTH($P76,-1)+1,$P$3:$P76,"&lt;"&amp;EOMONTH($P76,0)+1)=1,1,0),0)</f>
        <v>0</v>
      </c>
      <c r="U76">
        <f t="shared" si="14"/>
        <v>1</v>
      </c>
      <c r="V76">
        <f>IF(AND($U76=1,$M76&lt;&gt;""),IF(COUNTIFS($M$3:$M76,$M76,$O$3:$O76,$O76,$U$3:$U76,1,$P$3:$P76,"&gt;="&amp;EOMONTH($P76,-1)+1,$P$3:$P76,"&lt;"&amp;EOMONTH($P76,0)+1)=1,1,0),0)</f>
        <v>1</v>
      </c>
      <c r="W76" s="444">
        <f ca="1">TODAY()-Table1[[#This Row],[Change Date]]</f>
        <v>48.62638888888614</v>
      </c>
      <c r="X76" s="422" t="str">
        <f t="shared" si="15"/>
        <v/>
      </c>
      <c r="Y76" s="476">
        <f ca="1">IF(Table1[[#This Row],[Next Stage Date]]&lt;&gt;"",Table1[[#This Row],[Next Stage Date]]-Table1[[#This Row],[Change Date]],TODAY()-Table1[[#This Row],[Change Date]])</f>
        <v>48.62638888888614</v>
      </c>
      <c r="Z76" s="476">
        <f t="shared" si="16"/>
        <v>1</v>
      </c>
      <c r="AA76" s="422" t="str">
        <f t="shared" si="17"/>
        <v/>
      </c>
      <c r="AB76" s="422" t="str">
        <f t="shared" si="18"/>
        <v/>
      </c>
      <c r="AC76" s="476" t="str">
        <f t="shared" si="19"/>
        <v/>
      </c>
      <c r="AD76" s="476" t="str">
        <f t="shared" si="20"/>
        <v/>
      </c>
      <c r="AE76" s="476" t="str">
        <f t="shared" si="21"/>
        <v/>
      </c>
      <c r="AF76" s="476" t="b">
        <f>IFERROR(_xlfn.XLOOKUP(Table1[[#This Row],[Opportunity ID]],'Aging Detail'!$H$14:$H$20,'Aging Detail'!$F$14:$F$20),TRUE)</f>
        <v>1</v>
      </c>
    </row>
    <row r="77" spans="1:32">
      <c r="A77" t="s">
        <v>1461</v>
      </c>
      <c r="B77" t="s">
        <v>462</v>
      </c>
      <c r="C77" t="s">
        <v>1469</v>
      </c>
      <c r="D77" t="s">
        <v>1745</v>
      </c>
      <c r="E77" t="s">
        <v>1746</v>
      </c>
      <c r="I77" s="422">
        <v>45573</v>
      </c>
      <c r="J77" s="422">
        <v>46295</v>
      </c>
      <c r="K77">
        <v>0</v>
      </c>
      <c r="L77">
        <v>0</v>
      </c>
      <c r="M77" t="s">
        <v>1747</v>
      </c>
      <c r="N77" t="s">
        <v>1748</v>
      </c>
      <c r="O77" t="str">
        <f>_xlfn.IFNA(VLOOKUP(Table1[[#This Row],[Lead Source]],'helper tab'!A:B,2,FALSE),"Exclude")</f>
        <v>Exclude</v>
      </c>
      <c r="P77" s="422">
        <f t="shared" si="11"/>
        <v>46209.334027777775</v>
      </c>
      <c r="Q77">
        <f t="shared" si="12"/>
        <v>0</v>
      </c>
      <c r="R77">
        <f t="shared" si="13"/>
        <v>0</v>
      </c>
      <c r="S77">
        <f>IF(
AND($Q77=1,$M77&lt;&gt;""),
IF(
COUNTIFS(
$M$3:$M77,$M77,
$O$3:$O77,$O77,
$Q$3:$Q77,1,
$P$3:$P77,"&gt;="&amp;EOMONTH($P77,-1)+1,
$P$3:$P77,"&lt;"&amp;EOMONTH($P77,0)+1
)=1,
1,
0),
0)</f>
        <v>0</v>
      </c>
      <c r="T77">
        <f>IF(AND($R77=1,$M77&lt;&gt;""),IF(COUNTIFS($M$3:$M77,$M77,$O$3:$O77,$O77,$R$3:$R77,1,$P$3:$P77,"&gt;="&amp;EOMONTH($P77,-1)+1,$P$3:$P77,"&lt;"&amp;EOMONTH($P77,0)+1)=1,1,0),0)</f>
        <v>0</v>
      </c>
      <c r="U77">
        <f t="shared" si="14"/>
        <v>1</v>
      </c>
      <c r="V77">
        <f>IF(AND($U77=1,$M77&lt;&gt;""),IF(COUNTIFS($M$3:$M77,$M77,$O$3:$O77,$O77,$U$3:$U77,1,$P$3:$P77,"&gt;="&amp;EOMONTH($P77,-1)+1,$P$3:$P77,"&lt;"&amp;EOMONTH($P77,0)+1)=1,1,0),0)</f>
        <v>1</v>
      </c>
      <c r="W77" s="444">
        <f ca="1">TODAY()-Table1[[#This Row],[Change Date]]</f>
        <v>48.665972222224809</v>
      </c>
      <c r="X77" s="422" t="str">
        <f t="shared" si="15"/>
        <v/>
      </c>
      <c r="Y77" s="476">
        <f ca="1">IF(Table1[[#This Row],[Next Stage Date]]&lt;&gt;"",Table1[[#This Row],[Next Stage Date]]-Table1[[#This Row],[Change Date]],TODAY()-Table1[[#This Row],[Change Date]])</f>
        <v>48.665972222224809</v>
      </c>
      <c r="Z77" s="476">
        <f t="shared" si="16"/>
        <v>1</v>
      </c>
      <c r="AA77" s="422" t="str">
        <f t="shared" si="17"/>
        <v/>
      </c>
      <c r="AB77" s="422">
        <f t="shared" si="18"/>
        <v>46104.248611111114</v>
      </c>
      <c r="AC77" s="476">
        <f t="shared" si="19"/>
        <v>531.24861111111386</v>
      </c>
      <c r="AD77" s="476" t="str">
        <f t="shared" si="20"/>
        <v/>
      </c>
      <c r="AE77" s="476" t="str">
        <f t="shared" si="21"/>
        <v/>
      </c>
      <c r="AF77" s="476" t="b">
        <f>IFERROR(_xlfn.XLOOKUP(Table1[[#This Row],[Opportunity ID]],'Aging Detail'!$H$14:$H$20,'Aging Detail'!$F$14:$F$20),TRUE)</f>
        <v>1</v>
      </c>
    </row>
    <row r="78" spans="1:32">
      <c r="A78" t="s">
        <v>1461</v>
      </c>
      <c r="B78" t="s">
        <v>338</v>
      </c>
      <c r="C78" t="s">
        <v>1469</v>
      </c>
      <c r="D78" t="s">
        <v>1749</v>
      </c>
      <c r="E78" t="s">
        <v>1750</v>
      </c>
      <c r="F78" t="s">
        <v>1465</v>
      </c>
      <c r="I78" s="422">
        <v>46057</v>
      </c>
      <c r="J78" s="422">
        <v>46346</v>
      </c>
      <c r="K78">
        <v>352080</v>
      </c>
      <c r="L78">
        <v>262080</v>
      </c>
      <c r="M78" t="s">
        <v>1751</v>
      </c>
      <c r="N78" t="s">
        <v>1752</v>
      </c>
      <c r="O78" t="str">
        <f>_xlfn.IFNA(VLOOKUP(Table1[[#This Row],[Lead Source]],'helper tab'!A:B,2,FALSE),"Exclude")</f>
        <v>Exclude</v>
      </c>
      <c r="P78" s="422">
        <f t="shared" si="11"/>
        <v>46209.293749999997</v>
      </c>
      <c r="Q78">
        <f t="shared" si="12"/>
        <v>0</v>
      </c>
      <c r="R78">
        <f t="shared" si="13"/>
        <v>0</v>
      </c>
      <c r="S78">
        <f>IF(
AND($Q78=1,$M78&lt;&gt;""),
IF(
COUNTIFS(
$M$3:$M78,$M78,
$O$3:$O78,$O78,
$Q$3:$Q78,1,
$P$3:$P78,"&gt;="&amp;EOMONTH($P78,-1)+1,
$P$3:$P78,"&lt;"&amp;EOMONTH($P78,0)+1
)=1,
1,
0),
0)</f>
        <v>0</v>
      </c>
      <c r="T78">
        <f>IF(AND($R78=1,$M78&lt;&gt;""),IF(COUNTIFS($M$3:$M78,$M78,$O$3:$O78,$O78,$R$3:$R78,1,$P$3:$P78,"&gt;="&amp;EOMONTH($P78,-1)+1,$P$3:$P78,"&lt;"&amp;EOMONTH($P78,0)+1)=1,1,0),0)</f>
        <v>0</v>
      </c>
      <c r="U78">
        <f t="shared" si="14"/>
        <v>1</v>
      </c>
      <c r="V78">
        <f>IF(AND($U78=1,$M78&lt;&gt;""),IF(COUNTIFS($M$3:$M78,$M78,$O$3:$O78,$O78,$U$3:$U78,1,$P$3:$P78,"&gt;="&amp;EOMONTH($P78,-1)+1,$P$3:$P78,"&lt;"&amp;EOMONTH($P78,0)+1)=1,1,0),0)</f>
        <v>1</v>
      </c>
      <c r="W78" s="444">
        <f ca="1">TODAY()-Table1[[#This Row],[Change Date]]</f>
        <v>48.70625000000291</v>
      </c>
      <c r="X78" s="422" t="str">
        <f t="shared" si="15"/>
        <v/>
      </c>
      <c r="Y78" s="476">
        <f ca="1">IF(Table1[[#This Row],[Next Stage Date]]&lt;&gt;"",Table1[[#This Row],[Next Stage Date]]-Table1[[#This Row],[Change Date]],TODAY()-Table1[[#This Row],[Change Date]])</f>
        <v>48.70625000000291</v>
      </c>
      <c r="Z78" s="476">
        <f t="shared" si="16"/>
        <v>1</v>
      </c>
      <c r="AA78" s="422" t="str">
        <f t="shared" si="17"/>
        <v/>
      </c>
      <c r="AB78" s="422" t="str">
        <f t="shared" si="18"/>
        <v/>
      </c>
      <c r="AC78" s="476" t="str">
        <f t="shared" si="19"/>
        <v/>
      </c>
      <c r="AD78" s="476" t="str">
        <f t="shared" si="20"/>
        <v/>
      </c>
      <c r="AE78" s="476" t="str">
        <f t="shared" si="21"/>
        <v/>
      </c>
      <c r="AF78" s="476" t="b">
        <f>IFERROR(_xlfn.XLOOKUP(Table1[[#This Row],[Opportunity ID]],'Aging Detail'!$H$14:$H$20,'Aging Detail'!$F$14:$F$20),TRUE)</f>
        <v>1</v>
      </c>
    </row>
    <row r="79" spans="1:32">
      <c r="A79" t="s">
        <v>1461</v>
      </c>
      <c r="B79" t="s">
        <v>462</v>
      </c>
      <c r="C79" t="s">
        <v>1469</v>
      </c>
      <c r="D79" t="s">
        <v>1753</v>
      </c>
      <c r="E79" t="s">
        <v>486</v>
      </c>
      <c r="F79" t="s">
        <v>404</v>
      </c>
      <c r="I79" s="422">
        <v>45716</v>
      </c>
      <c r="J79" s="422">
        <v>46325</v>
      </c>
      <c r="K79">
        <v>271200</v>
      </c>
      <c r="L79">
        <v>211200</v>
      </c>
      <c r="M79" t="s">
        <v>1754</v>
      </c>
      <c r="N79" t="s">
        <v>481</v>
      </c>
      <c r="O79" t="str">
        <f>_xlfn.IFNA(VLOOKUP(Table1[[#This Row],[Lead Source]],'helper tab'!A:B,2,FALSE),"Exclude")</f>
        <v>Digital</v>
      </c>
      <c r="P79" s="422">
        <f t="shared" si="11"/>
        <v>46209.249305555553</v>
      </c>
      <c r="Q79">
        <f t="shared" si="12"/>
        <v>0</v>
      </c>
      <c r="R79">
        <f t="shared" si="13"/>
        <v>0</v>
      </c>
      <c r="S79">
        <f>IF(
AND($Q79=1,$M79&lt;&gt;""),
IF(
COUNTIFS(
$M$3:$M79,$M79,
$O$3:$O79,$O79,
$Q$3:$Q79,1,
$P$3:$P79,"&gt;="&amp;EOMONTH($P79,-1)+1,
$P$3:$P79,"&lt;"&amp;EOMONTH($P79,0)+1
)=1,
1,
0),
0)</f>
        <v>0</v>
      </c>
      <c r="T79">
        <f>IF(AND($R79=1,$M79&lt;&gt;""),IF(COUNTIFS($M$3:$M79,$M79,$O$3:$O79,$O79,$R$3:$R79,1,$P$3:$P79,"&gt;="&amp;EOMONTH($P79,-1)+1,$P$3:$P79,"&lt;"&amp;EOMONTH($P79,0)+1)=1,1,0),0)</f>
        <v>0</v>
      </c>
      <c r="U79">
        <f t="shared" si="14"/>
        <v>1</v>
      </c>
      <c r="V79">
        <f>IF(AND($U79=1,$M79&lt;&gt;""),IF(COUNTIFS($M$3:$M79,$M79,$O$3:$O79,$O79,$U$3:$U79,1,$P$3:$P79,"&gt;="&amp;EOMONTH($P79,-1)+1,$P$3:$P79,"&lt;"&amp;EOMONTH($P79,0)+1)=1,1,0),0)</f>
        <v>1</v>
      </c>
      <c r="W79" s="444">
        <f ca="1">TODAY()-Table1[[#This Row],[Change Date]]</f>
        <v>48.750694444446708</v>
      </c>
      <c r="X79" s="422" t="str">
        <f t="shared" si="15"/>
        <v/>
      </c>
      <c r="Y79" s="476">
        <f ca="1">IF(Table1[[#This Row],[Next Stage Date]]&lt;&gt;"",Table1[[#This Row],[Next Stage Date]]-Table1[[#This Row],[Change Date]],TODAY()-Table1[[#This Row],[Change Date]])</f>
        <v>48.750694444446708</v>
      </c>
      <c r="Z79" s="476">
        <f t="shared" si="16"/>
        <v>1</v>
      </c>
      <c r="AA79" s="422" t="str">
        <f t="shared" si="17"/>
        <v/>
      </c>
      <c r="AB79" s="422">
        <f t="shared" si="18"/>
        <v>45870.597222222219</v>
      </c>
      <c r="AC79" s="476">
        <f t="shared" si="19"/>
        <v>154.59722222221899</v>
      </c>
      <c r="AD79" s="476" t="str">
        <f t="shared" si="20"/>
        <v/>
      </c>
      <c r="AE79" s="476" t="str">
        <f t="shared" si="21"/>
        <v/>
      </c>
      <c r="AF79" s="476" t="b">
        <f>IFERROR(_xlfn.XLOOKUP(Table1[[#This Row],[Opportunity ID]],'Aging Detail'!$H$14:$H$20,'Aging Detail'!$F$14:$F$20),TRUE)</f>
        <v>1</v>
      </c>
    </row>
    <row r="80" spans="1:32">
      <c r="A80" t="s">
        <v>1461</v>
      </c>
      <c r="B80" t="s">
        <v>1462</v>
      </c>
      <c r="C80" t="s">
        <v>462</v>
      </c>
      <c r="D80" t="s">
        <v>1755</v>
      </c>
      <c r="E80" t="s">
        <v>1756</v>
      </c>
      <c r="F80" t="s">
        <v>1465</v>
      </c>
      <c r="I80" s="422">
        <v>46034</v>
      </c>
      <c r="J80" s="422">
        <v>46265</v>
      </c>
      <c r="K80">
        <v>610788</v>
      </c>
      <c r="L80">
        <v>610788</v>
      </c>
      <c r="M80" t="s">
        <v>1757</v>
      </c>
      <c r="N80" t="s">
        <v>1758</v>
      </c>
      <c r="O80" t="str">
        <f>_xlfn.IFNA(VLOOKUP(Table1[[#This Row],[Lead Source]],'helper tab'!A:B,2,FALSE),"Exclude")</f>
        <v>Exclude</v>
      </c>
      <c r="P80" s="422">
        <f t="shared" si="11"/>
        <v>46209.243055555555</v>
      </c>
      <c r="Q80">
        <f t="shared" si="12"/>
        <v>1</v>
      </c>
      <c r="R80">
        <f t="shared" si="13"/>
        <v>0</v>
      </c>
      <c r="S80">
        <f>IF(
AND($Q80=1,$M80&lt;&gt;""),
IF(
COUNTIFS(
$M$3:$M80,$M80,
$O$3:$O80,$O80,
$Q$3:$Q80,1,
$P$3:$P80,"&gt;="&amp;EOMONTH($P80,-1)+1,
$P$3:$P80,"&lt;"&amp;EOMONTH($P80,0)+1
)=1,
1,
0),
0)</f>
        <v>1</v>
      </c>
      <c r="T80">
        <f>IF(AND($R80=1,$M80&lt;&gt;""),IF(COUNTIFS($M$3:$M80,$M80,$O$3:$O80,$O80,$R$3:$R80,1,$P$3:$P80,"&gt;="&amp;EOMONTH($P80,-1)+1,$P$3:$P80,"&lt;"&amp;EOMONTH($P80,0)+1)=1,1,0),0)</f>
        <v>0</v>
      </c>
      <c r="U80">
        <f t="shared" si="14"/>
        <v>0</v>
      </c>
      <c r="V80">
        <f>IF(AND($U80=1,$M80&lt;&gt;""),IF(COUNTIFS($M$3:$M80,$M80,$O$3:$O80,$O80,$U$3:$U80,1,$P$3:$P80,"&gt;="&amp;EOMONTH($P80,-1)+1,$P$3:$P80,"&lt;"&amp;EOMONTH($P80,0)+1)=1,1,0),0)</f>
        <v>0</v>
      </c>
      <c r="W80" s="444">
        <f ca="1">TODAY()-Table1[[#This Row],[Change Date]]</f>
        <v>48.756944444445253</v>
      </c>
      <c r="X80" s="422" t="str">
        <f t="shared" si="15"/>
        <v/>
      </c>
      <c r="Y80" s="476">
        <f ca="1">IF(Table1[[#This Row],[Next Stage Date]]&lt;&gt;"",Table1[[#This Row],[Next Stage Date]]-Table1[[#This Row],[Change Date]],TODAY()-Table1[[#This Row],[Change Date]])</f>
        <v>48.756944444445253</v>
      </c>
      <c r="Z80" s="476">
        <f t="shared" si="16"/>
        <v>1</v>
      </c>
      <c r="AA80" s="422" t="str">
        <f t="shared" si="17"/>
        <v/>
      </c>
      <c r="AB80" s="422">
        <f t="shared" si="18"/>
        <v>46209.243055555555</v>
      </c>
      <c r="AC80" s="476">
        <f t="shared" si="19"/>
        <v>175.24305555555475</v>
      </c>
      <c r="AD80" s="476" t="str">
        <f t="shared" si="20"/>
        <v/>
      </c>
      <c r="AE80" s="476" t="str">
        <f t="shared" si="21"/>
        <v/>
      </c>
      <c r="AF80" s="476" t="b">
        <f>IFERROR(_xlfn.XLOOKUP(Table1[[#This Row],[Opportunity ID]],'Aging Detail'!$H$14:$H$20,'Aging Detail'!$F$14:$F$20),TRUE)</f>
        <v>1</v>
      </c>
    </row>
    <row r="81" spans="1:32">
      <c r="A81" t="s">
        <v>1461</v>
      </c>
      <c r="B81" t="s">
        <v>408</v>
      </c>
      <c r="C81" t="s">
        <v>1462</v>
      </c>
      <c r="D81" t="s">
        <v>1755</v>
      </c>
      <c r="E81" t="s">
        <v>1756</v>
      </c>
      <c r="F81" t="s">
        <v>1465</v>
      </c>
      <c r="I81" s="422">
        <v>46034</v>
      </c>
      <c r="J81" s="422">
        <v>46265</v>
      </c>
      <c r="K81">
        <v>610788</v>
      </c>
      <c r="L81">
        <v>610788</v>
      </c>
      <c r="M81" t="s">
        <v>1757</v>
      </c>
      <c r="N81" t="s">
        <v>1758</v>
      </c>
      <c r="O81" t="str">
        <f>_xlfn.IFNA(VLOOKUP(Table1[[#This Row],[Lead Source]],'helper tab'!A:B,2,FALSE),"Exclude")</f>
        <v>Exclude</v>
      </c>
      <c r="P81" s="422">
        <f t="shared" si="11"/>
        <v>46209.243055555555</v>
      </c>
      <c r="Q81">
        <f t="shared" si="12"/>
        <v>0</v>
      </c>
      <c r="R81">
        <f t="shared" si="13"/>
        <v>0</v>
      </c>
      <c r="S81">
        <f>IF(
AND($Q81=1,$M81&lt;&gt;""),
IF(
COUNTIFS(
$M$3:$M81,$M81,
$O$3:$O81,$O81,
$Q$3:$Q81,1,
$P$3:$P81,"&gt;="&amp;EOMONTH($P81,-1)+1,
$P$3:$P81,"&lt;"&amp;EOMONTH($P81,0)+1
)=1,
1,
0),
0)</f>
        <v>0</v>
      </c>
      <c r="T81">
        <f>IF(AND($R81=1,$M81&lt;&gt;""),IF(COUNTIFS($M$3:$M81,$M81,$O$3:$O81,$O81,$R$3:$R81,1,$P$3:$P81,"&gt;="&amp;EOMONTH($P81,-1)+1,$P$3:$P81,"&lt;"&amp;EOMONTH($P81,0)+1)=1,1,0),0)</f>
        <v>0</v>
      </c>
      <c r="U81">
        <f t="shared" si="14"/>
        <v>0</v>
      </c>
      <c r="V81">
        <f>IF(AND($U81=1,$M81&lt;&gt;""),IF(COUNTIFS($M$3:$M81,$M81,$O$3:$O81,$O81,$U$3:$U81,1,$P$3:$P81,"&gt;="&amp;EOMONTH($P81,-1)+1,$P$3:$P81,"&lt;"&amp;EOMONTH($P81,0)+1)=1,1,0),0)</f>
        <v>0</v>
      </c>
      <c r="W81" s="444">
        <f ca="1">TODAY()-Table1[[#This Row],[Change Date]]</f>
        <v>48.756944444445253</v>
      </c>
      <c r="X81" s="422" t="str">
        <f t="shared" si="15"/>
        <v/>
      </c>
      <c r="Y81" s="476">
        <f ca="1">IF(Table1[[#This Row],[Next Stage Date]]&lt;&gt;"",Table1[[#This Row],[Next Stage Date]]-Table1[[#This Row],[Change Date]],TODAY()-Table1[[#This Row],[Change Date]])</f>
        <v>48.756944444445253</v>
      </c>
      <c r="Z81" s="476">
        <f t="shared" si="16"/>
        <v>1</v>
      </c>
      <c r="AA81" s="422" t="str">
        <f t="shared" si="17"/>
        <v/>
      </c>
      <c r="AB81" s="422">
        <f t="shared" si="18"/>
        <v>46209.243055555555</v>
      </c>
      <c r="AC81" s="476">
        <f t="shared" si="19"/>
        <v>175.24305555555475</v>
      </c>
      <c r="AD81" s="476" t="str">
        <f t="shared" si="20"/>
        <v/>
      </c>
      <c r="AE81" s="476" t="str">
        <f t="shared" si="21"/>
        <v/>
      </c>
      <c r="AF81" s="476" t="b">
        <f>IFERROR(_xlfn.XLOOKUP(Table1[[#This Row],[Opportunity ID]],'Aging Detail'!$H$14:$H$20,'Aging Detail'!$F$14:$F$20),TRUE)</f>
        <v>1</v>
      </c>
    </row>
    <row r="82" spans="1:32">
      <c r="A82" t="s">
        <v>1461</v>
      </c>
      <c r="B82" t="s">
        <v>338</v>
      </c>
      <c r="C82" t="s">
        <v>1469</v>
      </c>
      <c r="D82" t="s">
        <v>1759</v>
      </c>
      <c r="E82" t="s">
        <v>1760</v>
      </c>
      <c r="F82" t="s">
        <v>1465</v>
      </c>
      <c r="I82" s="422">
        <v>46085</v>
      </c>
      <c r="J82" s="422">
        <v>46295</v>
      </c>
      <c r="L82">
        <v>0</v>
      </c>
      <c r="M82" t="s">
        <v>1761</v>
      </c>
      <c r="N82" t="s">
        <v>1604</v>
      </c>
      <c r="O82" t="str">
        <f>_xlfn.IFNA(VLOOKUP(Table1[[#This Row],[Lead Source]],'helper tab'!A:B,2,FALSE),"Exclude")</f>
        <v>Exclude</v>
      </c>
      <c r="P82" s="422">
        <f t="shared" si="11"/>
        <v>46209.238888888889</v>
      </c>
      <c r="Q82">
        <f t="shared" si="12"/>
        <v>0</v>
      </c>
      <c r="R82">
        <f t="shared" si="13"/>
        <v>0</v>
      </c>
      <c r="S82">
        <f>IF(
AND($Q82=1,$M82&lt;&gt;""),
IF(
COUNTIFS(
$M$3:$M82,$M82,
$O$3:$O82,$O82,
$Q$3:$Q82,1,
$P$3:$P82,"&gt;="&amp;EOMONTH($P82,-1)+1,
$P$3:$P82,"&lt;"&amp;EOMONTH($P82,0)+1
)=1,
1,
0),
0)</f>
        <v>0</v>
      </c>
      <c r="T82">
        <f>IF(AND($R82=1,$M82&lt;&gt;""),IF(COUNTIFS($M$3:$M82,$M82,$O$3:$O82,$O82,$R$3:$R82,1,$P$3:$P82,"&gt;="&amp;EOMONTH($P82,-1)+1,$P$3:$P82,"&lt;"&amp;EOMONTH($P82,0)+1)=1,1,0),0)</f>
        <v>0</v>
      </c>
      <c r="U82">
        <f t="shared" si="14"/>
        <v>1</v>
      </c>
      <c r="V82">
        <f>IF(AND($U82=1,$M82&lt;&gt;""),IF(COUNTIFS($M$3:$M82,$M82,$O$3:$O82,$O82,$U$3:$U82,1,$P$3:$P82,"&gt;="&amp;EOMONTH($P82,-1)+1,$P$3:$P82,"&lt;"&amp;EOMONTH($P82,0)+1)=1,1,0),0)</f>
        <v>1</v>
      </c>
      <c r="W82" s="444">
        <f ca="1">TODAY()-Table1[[#This Row],[Change Date]]</f>
        <v>48.761111111110949</v>
      </c>
      <c r="X82" s="422" t="str">
        <f t="shared" si="15"/>
        <v/>
      </c>
      <c r="Y82" s="476">
        <f ca="1">IF(Table1[[#This Row],[Next Stage Date]]&lt;&gt;"",Table1[[#This Row],[Next Stage Date]]-Table1[[#This Row],[Change Date]],TODAY()-Table1[[#This Row],[Change Date]])</f>
        <v>48.761111111110949</v>
      </c>
      <c r="Z82" s="476">
        <f t="shared" si="16"/>
        <v>1</v>
      </c>
      <c r="AA82" s="422" t="str">
        <f t="shared" si="17"/>
        <v/>
      </c>
      <c r="AB82" s="422" t="str">
        <f t="shared" si="18"/>
        <v/>
      </c>
      <c r="AC82" s="476" t="str">
        <f t="shared" si="19"/>
        <v/>
      </c>
      <c r="AD82" s="476" t="str">
        <f t="shared" si="20"/>
        <v/>
      </c>
      <c r="AE82" s="476" t="str">
        <f t="shared" si="21"/>
        <v/>
      </c>
      <c r="AF82" s="476" t="b">
        <f>IFERROR(_xlfn.XLOOKUP(Table1[[#This Row],[Opportunity ID]],'Aging Detail'!$H$14:$H$20,'Aging Detail'!$F$14:$F$20),TRUE)</f>
        <v>1</v>
      </c>
    </row>
    <row r="83" spans="1:32">
      <c r="A83" t="s">
        <v>1461</v>
      </c>
      <c r="B83" t="s">
        <v>462</v>
      </c>
      <c r="C83" t="s">
        <v>526</v>
      </c>
      <c r="D83" t="s">
        <v>1762</v>
      </c>
      <c r="E83" t="s">
        <v>1602</v>
      </c>
      <c r="F83" t="s">
        <v>1465</v>
      </c>
      <c r="I83" s="422">
        <v>46080</v>
      </c>
      <c r="J83" s="422">
        <v>46225</v>
      </c>
      <c r="K83">
        <v>0</v>
      </c>
      <c r="L83">
        <v>0</v>
      </c>
      <c r="M83" t="s">
        <v>1603</v>
      </c>
      <c r="N83" t="s">
        <v>1604</v>
      </c>
      <c r="O83" t="str">
        <f>_xlfn.IFNA(VLOOKUP(Table1[[#This Row],[Lead Source]],'helper tab'!A:B,2,FALSE),"Exclude")</f>
        <v>Exclude</v>
      </c>
      <c r="P83" s="422">
        <f t="shared" si="11"/>
        <v>46209.226388888892</v>
      </c>
      <c r="Q83">
        <f t="shared" si="12"/>
        <v>1</v>
      </c>
      <c r="R83">
        <f t="shared" si="13"/>
        <v>0</v>
      </c>
      <c r="S83">
        <f>IF(
AND($Q83=1,$M83&lt;&gt;""),
IF(
COUNTIFS(
$M$3:$M83,$M83,
$O$3:$O83,$O83,
$Q$3:$Q83,1,
$P$3:$P83,"&gt;="&amp;EOMONTH($P83,-1)+1,
$P$3:$P83,"&lt;"&amp;EOMONTH($P83,0)+1
)=1,
1,
0),
0)</f>
        <v>1</v>
      </c>
      <c r="T83">
        <f>IF(AND($R83=1,$M83&lt;&gt;""),IF(COUNTIFS($M$3:$M83,$M83,$O$3:$O83,$O83,$R$3:$R83,1,$P$3:$P83,"&gt;="&amp;EOMONTH($P83,-1)+1,$P$3:$P83,"&lt;"&amp;EOMONTH($P83,0)+1)=1,1,0),0)</f>
        <v>0</v>
      </c>
      <c r="U83">
        <f t="shared" si="14"/>
        <v>0</v>
      </c>
      <c r="V83">
        <f>IF(AND($U83=1,$M83&lt;&gt;""),IF(COUNTIFS($M$3:$M83,$M83,$O$3:$O83,$O83,$U$3:$U83,1,$P$3:$P83,"&gt;="&amp;EOMONTH($P83,-1)+1,$P$3:$P83,"&lt;"&amp;EOMONTH($P83,0)+1)=1,1,0),0)</f>
        <v>0</v>
      </c>
      <c r="W83" s="444">
        <f ca="1">TODAY()-Table1[[#This Row],[Change Date]]</f>
        <v>48.773611111108039</v>
      </c>
      <c r="X83" s="422">
        <f t="shared" si="15"/>
        <v>46225.582638888889</v>
      </c>
      <c r="Y83" s="476">
        <f ca="1">IF(Table1[[#This Row],[Next Stage Date]]&lt;&gt;"",Table1[[#This Row],[Next Stage Date]]-Table1[[#This Row],[Change Date]],TODAY()-Table1[[#This Row],[Change Date]])</f>
        <v>16.35624999999709</v>
      </c>
      <c r="Z83" s="476">
        <f t="shared" si="16"/>
        <v>0</v>
      </c>
      <c r="AA83" s="422">
        <f t="shared" si="17"/>
        <v>46225.582638888889</v>
      </c>
      <c r="AB83" s="422">
        <f t="shared" si="18"/>
        <v>46120.576388888891</v>
      </c>
      <c r="AC83" s="476">
        <f t="shared" si="19"/>
        <v>40.576388888890506</v>
      </c>
      <c r="AD83" s="476">
        <f t="shared" si="20"/>
        <v>105.00624999999854</v>
      </c>
      <c r="AE83" s="476">
        <f t="shared" si="21"/>
        <v>145.58263888888905</v>
      </c>
      <c r="AF83" s="476" t="b">
        <f>IFERROR(_xlfn.XLOOKUP(Table1[[#This Row],[Opportunity ID]],'Aging Detail'!$H$14:$H$20,'Aging Detail'!$F$14:$F$20),TRUE)</f>
        <v>1</v>
      </c>
    </row>
    <row r="84" spans="1:32">
      <c r="A84" t="s">
        <v>1461</v>
      </c>
      <c r="B84" t="s">
        <v>1462</v>
      </c>
      <c r="C84" t="s">
        <v>462</v>
      </c>
      <c r="D84" t="s">
        <v>1763</v>
      </c>
      <c r="E84" t="s">
        <v>1534</v>
      </c>
      <c r="I84" s="422">
        <v>46127</v>
      </c>
      <c r="J84" s="422">
        <v>46387</v>
      </c>
      <c r="K84">
        <v>31680</v>
      </c>
      <c r="L84">
        <v>31680</v>
      </c>
      <c r="M84" t="s">
        <v>1535</v>
      </c>
      <c r="N84" t="s">
        <v>1536</v>
      </c>
      <c r="O84" t="str">
        <f>_xlfn.IFNA(VLOOKUP(Table1[[#This Row],[Lead Source]],'helper tab'!A:B,2,FALSE),"Exclude")</f>
        <v>Exclude</v>
      </c>
      <c r="P84" s="422">
        <f t="shared" si="11"/>
        <v>46205.504166666666</v>
      </c>
      <c r="Q84">
        <f t="shared" si="12"/>
        <v>1</v>
      </c>
      <c r="R84">
        <f t="shared" si="13"/>
        <v>0</v>
      </c>
      <c r="S84">
        <f>IF(
AND($Q84=1,$M84&lt;&gt;""),
IF(
COUNTIFS(
$M$3:$M84,$M84,
$O$3:$O84,$O84,
$Q$3:$Q84,1,
$P$3:$P84,"&gt;="&amp;EOMONTH($P84,-1)+1,
$P$3:$P84,"&lt;"&amp;EOMONTH($P84,0)+1
)=1,
1,
0),
0)</f>
        <v>0</v>
      </c>
      <c r="T84">
        <f>IF(AND($R84=1,$M84&lt;&gt;""),IF(COUNTIFS($M$3:$M84,$M84,$O$3:$O84,$O84,$R$3:$R84,1,$P$3:$P84,"&gt;="&amp;EOMONTH($P84,-1)+1,$P$3:$P84,"&lt;"&amp;EOMONTH($P84,0)+1)=1,1,0),0)</f>
        <v>0</v>
      </c>
      <c r="U84">
        <f t="shared" si="14"/>
        <v>0</v>
      </c>
      <c r="V84">
        <f>IF(AND($U84=1,$M84&lt;&gt;""),IF(COUNTIFS($M$3:$M84,$M84,$O$3:$O84,$O84,$U$3:$U84,1,$P$3:$P84,"&gt;="&amp;EOMONTH($P84,-1)+1,$P$3:$P84,"&lt;"&amp;EOMONTH($P84,0)+1)=1,1,0),0)</f>
        <v>0</v>
      </c>
      <c r="W84" s="444">
        <f ca="1">TODAY()-Table1[[#This Row],[Change Date]]</f>
        <v>52.495833333334303</v>
      </c>
      <c r="X84" s="422">
        <f t="shared" si="15"/>
        <v>46234.375694444447</v>
      </c>
      <c r="Y84" s="476">
        <f ca="1">IF(Table1[[#This Row],[Next Stage Date]]&lt;&gt;"",Table1[[#This Row],[Next Stage Date]]-Table1[[#This Row],[Change Date]],TODAY()-Table1[[#This Row],[Change Date]])</f>
        <v>28.871527777781012</v>
      </c>
      <c r="Z84" s="476">
        <f t="shared" si="16"/>
        <v>0</v>
      </c>
      <c r="AA84" s="422" t="str">
        <f t="shared" si="17"/>
        <v/>
      </c>
      <c r="AB84" s="422">
        <f t="shared" si="18"/>
        <v>46205.504166666666</v>
      </c>
      <c r="AC84" s="476">
        <f t="shared" si="19"/>
        <v>78.504166666665697</v>
      </c>
      <c r="AD84" s="476" t="str">
        <f t="shared" si="20"/>
        <v/>
      </c>
      <c r="AE84" s="476" t="str">
        <f t="shared" si="21"/>
        <v/>
      </c>
      <c r="AF84" s="476" t="b">
        <f>IFERROR(_xlfn.XLOOKUP(Table1[[#This Row],[Opportunity ID]],'Aging Detail'!$H$14:$H$20,'Aging Detail'!$F$14:$F$20),TRUE)</f>
        <v>1</v>
      </c>
    </row>
    <row r="85" spans="1:32">
      <c r="A85" t="s">
        <v>1461</v>
      </c>
      <c r="B85" t="s">
        <v>526</v>
      </c>
      <c r="C85" t="s">
        <v>563</v>
      </c>
      <c r="D85" t="s">
        <v>1764</v>
      </c>
      <c r="E85" t="s">
        <v>1765</v>
      </c>
      <c r="F85" t="s">
        <v>1465</v>
      </c>
      <c r="H85" t="s">
        <v>157</v>
      </c>
      <c r="I85" s="422">
        <v>46185</v>
      </c>
      <c r="J85" s="422">
        <v>46204</v>
      </c>
      <c r="K85">
        <v>0</v>
      </c>
      <c r="L85">
        <v>0</v>
      </c>
      <c r="M85" t="s">
        <v>1766</v>
      </c>
      <c r="N85" t="s">
        <v>1767</v>
      </c>
      <c r="O85" t="str">
        <f>_xlfn.IFNA(VLOOKUP(Table1[[#This Row],[Lead Source]],'helper tab'!A:B,2,FALSE),"Exclude")</f>
        <v>Exclude</v>
      </c>
      <c r="P85" s="422">
        <f t="shared" si="11"/>
        <v>46205.364583333336</v>
      </c>
      <c r="Q85">
        <f t="shared" si="12"/>
        <v>0</v>
      </c>
      <c r="R85">
        <f t="shared" si="13"/>
        <v>1</v>
      </c>
      <c r="S85">
        <f>IF(
AND($Q85=1,$M85&lt;&gt;""),
IF(
COUNTIFS(
$M$3:$M85,$M85,
$O$3:$O85,$O85,
$Q$3:$Q85,1,
$P$3:$P85,"&gt;="&amp;EOMONTH($P85,-1)+1,
$P$3:$P85,"&lt;"&amp;EOMONTH($P85,0)+1
)=1,
1,
0),
0)</f>
        <v>0</v>
      </c>
      <c r="T85">
        <f>IF(AND($R85=1,$M85&lt;&gt;""),IF(COUNTIFS($M$3:$M85,$M85,$O$3:$O85,$O85,$R$3:$R85,1,$P$3:$P85,"&gt;="&amp;EOMONTH($P85,-1)+1,$P$3:$P85,"&lt;"&amp;EOMONTH($P85,0)+1)=1,1,0),0)</f>
        <v>1</v>
      </c>
      <c r="U85">
        <f t="shared" si="14"/>
        <v>0</v>
      </c>
      <c r="V85">
        <f>IF(AND($U85=1,$M85&lt;&gt;""),IF(COUNTIFS($M$3:$M85,$M85,$O$3:$O85,$O85,$U$3:$U85,1,$P$3:$P85,"&gt;="&amp;EOMONTH($P85,-1)+1,$P$3:$P85,"&lt;"&amp;EOMONTH($P85,0)+1)=1,1,0),0)</f>
        <v>0</v>
      </c>
      <c r="W85" s="444">
        <f ca="1">TODAY()-Table1[[#This Row],[Change Date]]</f>
        <v>52.635416666664241</v>
      </c>
      <c r="X85" s="422" t="str">
        <f t="shared" si="15"/>
        <v/>
      </c>
      <c r="Y85" s="476">
        <f ca="1">IF(Table1[[#This Row],[Next Stage Date]]&lt;&gt;"",Table1[[#This Row],[Next Stage Date]]-Table1[[#This Row],[Change Date]],TODAY()-Table1[[#This Row],[Change Date]])</f>
        <v>52.635416666664241</v>
      </c>
      <c r="Z85" s="476">
        <f t="shared" si="16"/>
        <v>1</v>
      </c>
      <c r="AA85" s="422">
        <f t="shared" si="17"/>
        <v>46205.364583333336</v>
      </c>
      <c r="AB85" s="422">
        <f t="shared" si="18"/>
        <v>46185.473611111112</v>
      </c>
      <c r="AC85" s="476">
        <f t="shared" si="19"/>
        <v>0.47361111111240461</v>
      </c>
      <c r="AD85" s="476">
        <f t="shared" si="20"/>
        <v>19.890972222223354</v>
      </c>
      <c r="AE85" s="476">
        <f t="shared" si="21"/>
        <v>20.364583333335759</v>
      </c>
      <c r="AF85" s="476" t="b">
        <f>IFERROR(_xlfn.XLOOKUP(Table1[[#This Row],[Opportunity ID]],'Aging Detail'!$H$14:$H$20,'Aging Detail'!$F$14:$F$20),TRUE)</f>
        <v>1</v>
      </c>
    </row>
    <row r="86" spans="1:32">
      <c r="A86" t="s">
        <v>1461</v>
      </c>
      <c r="B86" t="s">
        <v>526</v>
      </c>
      <c r="C86" t="s">
        <v>563</v>
      </c>
      <c r="D86" t="s">
        <v>1768</v>
      </c>
      <c r="E86" t="s">
        <v>137</v>
      </c>
      <c r="F86" t="s">
        <v>1482</v>
      </c>
      <c r="H86" t="s">
        <v>157</v>
      </c>
      <c r="I86" s="422">
        <v>46105</v>
      </c>
      <c r="J86" s="422">
        <v>46203</v>
      </c>
      <c r="K86">
        <v>60000</v>
      </c>
      <c r="L86">
        <v>60000</v>
      </c>
      <c r="M86" t="s">
        <v>1769</v>
      </c>
      <c r="N86" t="s">
        <v>1770</v>
      </c>
      <c r="O86" t="str">
        <f>_xlfn.IFNA(VLOOKUP(Table1[[#This Row],[Lead Source]],'helper tab'!A:B,2,FALSE),"Exclude")</f>
        <v>Digital</v>
      </c>
      <c r="P86" s="422">
        <f t="shared" si="11"/>
        <v>46204.482638888891</v>
      </c>
      <c r="Q86">
        <f t="shared" si="12"/>
        <v>0</v>
      </c>
      <c r="R86">
        <f t="shared" si="13"/>
        <v>1</v>
      </c>
      <c r="S86">
        <f>IF(
AND($Q86=1,$M86&lt;&gt;""),
IF(
COUNTIFS(
$M$3:$M86,$M86,
$O$3:$O86,$O86,
$Q$3:$Q86,1,
$P$3:$P86,"&gt;="&amp;EOMONTH($P86,-1)+1,
$P$3:$P86,"&lt;"&amp;EOMONTH($P86,0)+1
)=1,
1,
0),
0)</f>
        <v>0</v>
      </c>
      <c r="T86">
        <f>IF(AND($R86=1,$M86&lt;&gt;""),IF(COUNTIFS($M$3:$M86,$M86,$O$3:$O86,$O86,$R$3:$R86,1,$P$3:$P86,"&gt;="&amp;EOMONTH($P86,-1)+1,$P$3:$P86,"&lt;"&amp;EOMONTH($P86,0)+1)=1,1,0),0)</f>
        <v>1</v>
      </c>
      <c r="U86">
        <f t="shared" si="14"/>
        <v>0</v>
      </c>
      <c r="V86">
        <f>IF(AND($U86=1,$M86&lt;&gt;""),IF(COUNTIFS($M$3:$M86,$M86,$O$3:$O86,$O86,$U$3:$U86,1,$P$3:$P86,"&gt;="&amp;EOMONTH($P86,-1)+1,$P$3:$P86,"&lt;"&amp;EOMONTH($P86,0)+1)=1,1,0),0)</f>
        <v>0</v>
      </c>
      <c r="W86" s="444">
        <f ca="1">TODAY()-Table1[[#This Row],[Change Date]]</f>
        <v>53.517361111109494</v>
      </c>
      <c r="X86" s="422" t="str">
        <f t="shared" si="15"/>
        <v/>
      </c>
      <c r="Y86" s="476">
        <f ca="1">IF(Table1[[#This Row],[Next Stage Date]]&lt;&gt;"",Table1[[#This Row],[Next Stage Date]]-Table1[[#This Row],[Change Date]],TODAY()-Table1[[#This Row],[Change Date]])</f>
        <v>53.517361111109494</v>
      </c>
      <c r="Z86" s="476">
        <f t="shared" si="16"/>
        <v>1</v>
      </c>
      <c r="AA86" s="422">
        <f t="shared" si="17"/>
        <v>46204.482638888891</v>
      </c>
      <c r="AB86" s="422">
        <f t="shared" si="18"/>
        <v>46112.228472222225</v>
      </c>
      <c r="AC86" s="476">
        <f t="shared" si="19"/>
        <v>7.2284722222248092</v>
      </c>
      <c r="AD86" s="476">
        <f t="shared" si="20"/>
        <v>92.254166666665697</v>
      </c>
      <c r="AE86" s="476">
        <f t="shared" si="21"/>
        <v>99.482638888890506</v>
      </c>
      <c r="AF86" s="476" t="b">
        <f>IFERROR(_xlfn.XLOOKUP(Table1[[#This Row],[Opportunity ID]],'Aging Detail'!$H$14:$H$20,'Aging Detail'!$F$14:$F$20),TRUE)</f>
        <v>1</v>
      </c>
    </row>
    <row r="87" spans="1:32">
      <c r="A87" t="s">
        <v>1461</v>
      </c>
      <c r="B87" t="s">
        <v>408</v>
      </c>
      <c r="C87" t="s">
        <v>1462</v>
      </c>
      <c r="D87" t="s">
        <v>1771</v>
      </c>
      <c r="E87" t="s">
        <v>1772</v>
      </c>
      <c r="F87" t="s">
        <v>1484</v>
      </c>
      <c r="I87" s="422">
        <v>45447</v>
      </c>
      <c r="J87" s="422">
        <v>46752</v>
      </c>
      <c r="K87">
        <v>0</v>
      </c>
      <c r="L87">
        <v>0</v>
      </c>
      <c r="M87" t="s">
        <v>1773</v>
      </c>
      <c r="N87" t="s">
        <v>1629</v>
      </c>
      <c r="O87" t="str">
        <f>_xlfn.IFNA(VLOOKUP(Table1[[#This Row],[Lead Source]],'helper tab'!A:B,2,FALSE),"Exclude")</f>
        <v>Exclude</v>
      </c>
      <c r="P87" s="422">
        <f t="shared" si="11"/>
        <v>46204.379166666666</v>
      </c>
      <c r="Q87">
        <f t="shared" si="12"/>
        <v>0</v>
      </c>
      <c r="R87">
        <f t="shared" si="13"/>
        <v>0</v>
      </c>
      <c r="S87">
        <f>IF(
AND($Q87=1,$M87&lt;&gt;""),
IF(
COUNTIFS(
$M$3:$M87,$M87,
$O$3:$O87,$O87,
$Q$3:$Q87,1,
$P$3:$P87,"&gt;="&amp;EOMONTH($P87,-1)+1,
$P$3:$P87,"&lt;"&amp;EOMONTH($P87,0)+1
)=1,
1,
0),
0)</f>
        <v>0</v>
      </c>
      <c r="T87">
        <f>IF(AND($R87=1,$M87&lt;&gt;""),IF(COUNTIFS($M$3:$M87,$M87,$O$3:$O87,$O87,$R$3:$R87,1,$P$3:$P87,"&gt;="&amp;EOMONTH($P87,-1)+1,$P$3:$P87,"&lt;"&amp;EOMONTH($P87,0)+1)=1,1,0),0)</f>
        <v>0</v>
      </c>
      <c r="U87">
        <f t="shared" si="14"/>
        <v>0</v>
      </c>
      <c r="V87">
        <f>IF(AND($U87=1,$M87&lt;&gt;""),IF(COUNTIFS($M$3:$M87,$M87,$O$3:$O87,$O87,$U$3:$U87,1,$P$3:$P87,"&gt;="&amp;EOMONTH($P87,-1)+1,$P$3:$P87,"&lt;"&amp;EOMONTH($P87,0)+1)=1,1,0),0)</f>
        <v>0</v>
      </c>
      <c r="W87" s="444">
        <f ca="1">TODAY()-Table1[[#This Row],[Change Date]]</f>
        <v>53.620833333334303</v>
      </c>
      <c r="X87" s="422" t="str">
        <f t="shared" si="15"/>
        <v/>
      </c>
      <c r="Y87" s="476">
        <f ca="1">IF(Table1[[#This Row],[Next Stage Date]]&lt;&gt;"",Table1[[#This Row],[Next Stage Date]]-Table1[[#This Row],[Change Date]],TODAY()-Table1[[#This Row],[Change Date]])</f>
        <v>53.620833333334303</v>
      </c>
      <c r="Z87" s="476">
        <f t="shared" si="16"/>
        <v>1</v>
      </c>
      <c r="AA87" s="422" t="str">
        <f t="shared" si="17"/>
        <v/>
      </c>
      <c r="AB87" s="422" t="str">
        <f t="shared" si="18"/>
        <v/>
      </c>
      <c r="AC87" s="476" t="str">
        <f t="shared" si="19"/>
        <v/>
      </c>
      <c r="AD87" s="476" t="str">
        <f t="shared" si="20"/>
        <v/>
      </c>
      <c r="AE87" s="476" t="str">
        <f t="shared" si="21"/>
        <v/>
      </c>
      <c r="AF87" s="476" t="b">
        <f>IFERROR(_xlfn.XLOOKUP(Table1[[#This Row],[Opportunity ID]],'Aging Detail'!$H$14:$H$20,'Aging Detail'!$F$14:$F$20),TRUE)</f>
        <v>1</v>
      </c>
    </row>
    <row r="88" spans="1:32">
      <c r="A88" t="s">
        <v>1461</v>
      </c>
      <c r="B88" t="s">
        <v>338</v>
      </c>
      <c r="C88" t="s">
        <v>1462</v>
      </c>
      <c r="D88" t="s">
        <v>1774</v>
      </c>
      <c r="E88" t="s">
        <v>1775</v>
      </c>
      <c r="I88" s="422">
        <v>46161</v>
      </c>
      <c r="J88" s="422">
        <v>46262</v>
      </c>
      <c r="L88">
        <v>0</v>
      </c>
      <c r="M88" t="s">
        <v>1776</v>
      </c>
      <c r="N88" t="s">
        <v>1629</v>
      </c>
      <c r="O88" t="str">
        <f>_xlfn.IFNA(VLOOKUP(Table1[[#This Row],[Lead Source]],'helper tab'!A:B,2,FALSE),"Exclude")</f>
        <v>Exclude</v>
      </c>
      <c r="P88" s="422">
        <f t="shared" si="11"/>
        <v>46204.378472222219</v>
      </c>
      <c r="Q88">
        <f t="shared" si="12"/>
        <v>0</v>
      </c>
      <c r="R88">
        <f t="shared" si="13"/>
        <v>0</v>
      </c>
      <c r="S88">
        <f>IF(
AND($Q88=1,$M88&lt;&gt;""),
IF(
COUNTIFS(
$M$3:$M88,$M88,
$O$3:$O88,$O88,
$Q$3:$Q88,1,
$P$3:$P88,"&gt;="&amp;EOMONTH($P88,-1)+1,
$P$3:$P88,"&lt;"&amp;EOMONTH($P88,0)+1
)=1,
1,
0),
0)</f>
        <v>0</v>
      </c>
      <c r="T88">
        <f>IF(AND($R88=1,$M88&lt;&gt;""),IF(COUNTIFS($M$3:$M88,$M88,$O$3:$O88,$O88,$R$3:$R88,1,$P$3:$P88,"&gt;="&amp;EOMONTH($P88,-1)+1,$P$3:$P88,"&lt;"&amp;EOMONTH($P88,0)+1)=1,1,0),0)</f>
        <v>0</v>
      </c>
      <c r="U88">
        <f t="shared" si="14"/>
        <v>0</v>
      </c>
      <c r="V88">
        <f>IF(AND($U88=1,$M88&lt;&gt;""),IF(COUNTIFS($M$3:$M88,$M88,$O$3:$O88,$O88,$U$3:$U88,1,$P$3:$P88,"&gt;="&amp;EOMONTH($P88,-1)+1,$P$3:$P88,"&lt;"&amp;EOMONTH($P88,0)+1)=1,1,0),0)</f>
        <v>0</v>
      </c>
      <c r="W88" s="444">
        <f ca="1">TODAY()-Table1[[#This Row],[Change Date]]</f>
        <v>53.621527777781012</v>
      </c>
      <c r="X88" s="422" t="str">
        <f t="shared" si="15"/>
        <v/>
      </c>
      <c r="Y88" s="476">
        <f ca="1">IF(Table1[[#This Row],[Next Stage Date]]&lt;&gt;"",Table1[[#This Row],[Next Stage Date]]-Table1[[#This Row],[Change Date]],TODAY()-Table1[[#This Row],[Change Date]])</f>
        <v>53.621527777781012</v>
      </c>
      <c r="Z88" s="476">
        <f t="shared" si="16"/>
        <v>1</v>
      </c>
      <c r="AA88" s="422" t="str">
        <f t="shared" si="17"/>
        <v/>
      </c>
      <c r="AB88" s="422" t="str">
        <f t="shared" si="18"/>
        <v/>
      </c>
      <c r="AC88" s="476" t="str">
        <f t="shared" si="19"/>
        <v/>
      </c>
      <c r="AD88" s="476" t="str">
        <f t="shared" si="20"/>
        <v/>
      </c>
      <c r="AE88" s="476" t="str">
        <f t="shared" si="21"/>
        <v/>
      </c>
      <c r="AF88" s="476" t="b">
        <f>IFERROR(_xlfn.XLOOKUP(Table1[[#This Row],[Opportunity ID]],'Aging Detail'!$H$14:$H$20,'Aging Detail'!$F$14:$F$20),TRUE)</f>
        <v>1</v>
      </c>
    </row>
    <row r="89" spans="1:32">
      <c r="A89" t="s">
        <v>1461</v>
      </c>
      <c r="B89" t="s">
        <v>338</v>
      </c>
      <c r="C89" t="s">
        <v>1462</v>
      </c>
      <c r="D89" t="s">
        <v>1774</v>
      </c>
      <c r="E89" t="s">
        <v>1777</v>
      </c>
      <c r="I89" s="422">
        <v>46160</v>
      </c>
      <c r="J89" s="422">
        <v>46262</v>
      </c>
      <c r="K89">
        <v>575798</v>
      </c>
      <c r="L89">
        <v>0</v>
      </c>
      <c r="M89" t="s">
        <v>1778</v>
      </c>
      <c r="N89" t="s">
        <v>1629</v>
      </c>
      <c r="O89" t="str">
        <f>_xlfn.IFNA(VLOOKUP(Table1[[#This Row],[Lead Source]],'helper tab'!A:B,2,FALSE),"Exclude")</f>
        <v>Exclude</v>
      </c>
      <c r="P89" s="422">
        <f t="shared" si="11"/>
        <v>46204.378472222219</v>
      </c>
      <c r="Q89">
        <f t="shared" si="12"/>
        <v>0</v>
      </c>
      <c r="R89">
        <f t="shared" si="13"/>
        <v>0</v>
      </c>
      <c r="S89">
        <f>IF(
AND($Q89=1,$M89&lt;&gt;""),
IF(
COUNTIFS(
$M$3:$M89,$M89,
$O$3:$O89,$O89,
$Q$3:$Q89,1,
$P$3:$P89,"&gt;="&amp;EOMONTH($P89,-1)+1,
$P$3:$P89,"&lt;"&amp;EOMONTH($P89,0)+1
)=1,
1,
0),
0)</f>
        <v>0</v>
      </c>
      <c r="T89">
        <f>IF(AND($R89=1,$M89&lt;&gt;""),IF(COUNTIFS($M$3:$M89,$M89,$O$3:$O89,$O89,$R$3:$R89,1,$P$3:$P89,"&gt;="&amp;EOMONTH($P89,-1)+1,$P$3:$P89,"&lt;"&amp;EOMONTH($P89,0)+1)=1,1,0),0)</f>
        <v>0</v>
      </c>
      <c r="U89">
        <f t="shared" si="14"/>
        <v>0</v>
      </c>
      <c r="V89">
        <f>IF(AND($U89=1,$M89&lt;&gt;""),IF(COUNTIFS($M$3:$M89,$M89,$O$3:$O89,$O89,$U$3:$U89,1,$P$3:$P89,"&gt;="&amp;EOMONTH($P89,-1)+1,$P$3:$P89,"&lt;"&amp;EOMONTH($P89,0)+1)=1,1,0),0)</f>
        <v>0</v>
      </c>
      <c r="W89" s="444">
        <f ca="1">TODAY()-Table1[[#This Row],[Change Date]]</f>
        <v>53.621527777781012</v>
      </c>
      <c r="X89" s="422" t="str">
        <f t="shared" si="15"/>
        <v/>
      </c>
      <c r="Y89" s="476">
        <f ca="1">IF(Table1[[#This Row],[Next Stage Date]]&lt;&gt;"",Table1[[#This Row],[Next Stage Date]]-Table1[[#This Row],[Change Date]],TODAY()-Table1[[#This Row],[Change Date]])</f>
        <v>53.621527777781012</v>
      </c>
      <c r="Z89" s="476">
        <f t="shared" si="16"/>
        <v>1</v>
      </c>
      <c r="AA89" s="422" t="str">
        <f t="shared" si="17"/>
        <v/>
      </c>
      <c r="AB89" s="422" t="str">
        <f t="shared" si="18"/>
        <v/>
      </c>
      <c r="AC89" s="476" t="str">
        <f t="shared" si="19"/>
        <v/>
      </c>
      <c r="AD89" s="476" t="str">
        <f t="shared" si="20"/>
        <v/>
      </c>
      <c r="AE89" s="476" t="str">
        <f t="shared" si="21"/>
        <v/>
      </c>
      <c r="AF89" s="476" t="b">
        <f>IFERROR(_xlfn.XLOOKUP(Table1[[#This Row],[Opportunity ID]],'Aging Detail'!$H$14:$H$20,'Aging Detail'!$F$14:$F$20),TRUE)</f>
        <v>1</v>
      </c>
    </row>
    <row r="90" spans="1:32">
      <c r="A90" t="s">
        <v>1461</v>
      </c>
      <c r="B90" t="s">
        <v>338</v>
      </c>
      <c r="C90" t="s">
        <v>1462</v>
      </c>
      <c r="D90" t="s">
        <v>1774</v>
      </c>
      <c r="E90" t="s">
        <v>1779</v>
      </c>
      <c r="I90" s="422">
        <v>46160</v>
      </c>
      <c r="J90" s="422">
        <v>46262</v>
      </c>
      <c r="L90">
        <v>0</v>
      </c>
      <c r="M90" t="s">
        <v>1780</v>
      </c>
      <c r="N90" t="s">
        <v>1629</v>
      </c>
      <c r="O90" t="str">
        <f>_xlfn.IFNA(VLOOKUP(Table1[[#This Row],[Lead Source]],'helper tab'!A:B,2,FALSE),"Exclude")</f>
        <v>Exclude</v>
      </c>
      <c r="P90" s="422">
        <f t="shared" si="11"/>
        <v>46204.378472222219</v>
      </c>
      <c r="Q90">
        <f t="shared" si="12"/>
        <v>0</v>
      </c>
      <c r="R90">
        <f t="shared" si="13"/>
        <v>0</v>
      </c>
      <c r="S90">
        <f>IF(
AND($Q90=1,$M90&lt;&gt;""),
IF(
COUNTIFS(
$M$3:$M90,$M90,
$O$3:$O90,$O90,
$Q$3:$Q90,1,
$P$3:$P90,"&gt;="&amp;EOMONTH($P90,-1)+1,
$P$3:$P90,"&lt;"&amp;EOMONTH($P90,0)+1
)=1,
1,
0),
0)</f>
        <v>0</v>
      </c>
      <c r="T90">
        <f>IF(AND($R90=1,$M90&lt;&gt;""),IF(COUNTIFS($M$3:$M90,$M90,$O$3:$O90,$O90,$R$3:$R90,1,$P$3:$P90,"&gt;="&amp;EOMONTH($P90,-1)+1,$P$3:$P90,"&lt;"&amp;EOMONTH($P90,0)+1)=1,1,0),0)</f>
        <v>0</v>
      </c>
      <c r="U90">
        <f t="shared" si="14"/>
        <v>0</v>
      </c>
      <c r="V90">
        <f>IF(AND($U90=1,$M90&lt;&gt;""),IF(COUNTIFS($M$3:$M90,$M90,$O$3:$O90,$O90,$U$3:$U90,1,$P$3:$P90,"&gt;="&amp;EOMONTH($P90,-1)+1,$P$3:$P90,"&lt;"&amp;EOMONTH($P90,0)+1)=1,1,0),0)</f>
        <v>0</v>
      </c>
      <c r="W90" s="444">
        <f ca="1">TODAY()-Table1[[#This Row],[Change Date]]</f>
        <v>53.621527777781012</v>
      </c>
      <c r="X90" s="422" t="str">
        <f t="shared" si="15"/>
        <v/>
      </c>
      <c r="Y90" s="476">
        <f ca="1">IF(Table1[[#This Row],[Next Stage Date]]&lt;&gt;"",Table1[[#This Row],[Next Stage Date]]-Table1[[#This Row],[Change Date]],TODAY()-Table1[[#This Row],[Change Date]])</f>
        <v>53.621527777781012</v>
      </c>
      <c r="Z90" s="476">
        <f t="shared" si="16"/>
        <v>1</v>
      </c>
      <c r="AA90" s="422" t="str">
        <f t="shared" si="17"/>
        <v/>
      </c>
      <c r="AB90" s="422" t="str">
        <f t="shared" si="18"/>
        <v/>
      </c>
      <c r="AC90" s="476" t="str">
        <f t="shared" si="19"/>
        <v/>
      </c>
      <c r="AD90" s="476" t="str">
        <f t="shared" si="20"/>
        <v/>
      </c>
      <c r="AE90" s="476" t="str">
        <f t="shared" si="21"/>
        <v/>
      </c>
      <c r="AF90" s="476" t="b">
        <f>IFERROR(_xlfn.XLOOKUP(Table1[[#This Row],[Opportunity ID]],'Aging Detail'!$H$14:$H$20,'Aging Detail'!$F$14:$F$20),TRUE)</f>
        <v>1</v>
      </c>
    </row>
    <row r="91" spans="1:32">
      <c r="A91" t="s">
        <v>1461</v>
      </c>
      <c r="B91" t="s">
        <v>408</v>
      </c>
      <c r="C91" t="s">
        <v>1462</v>
      </c>
      <c r="D91" t="s">
        <v>1781</v>
      </c>
      <c r="E91" t="s">
        <v>1782</v>
      </c>
      <c r="I91" s="422">
        <v>46199</v>
      </c>
      <c r="J91" s="422">
        <v>46752</v>
      </c>
      <c r="L91">
        <v>0</v>
      </c>
      <c r="M91" t="s">
        <v>1783</v>
      </c>
      <c r="N91" t="s">
        <v>1629</v>
      </c>
      <c r="O91" t="str">
        <f>_xlfn.IFNA(VLOOKUP(Table1[[#This Row],[Lead Source]],'helper tab'!A:B,2,FALSE),"Exclude")</f>
        <v>Exclude</v>
      </c>
      <c r="P91" s="422">
        <f t="shared" si="11"/>
        <v>46204.37777777778</v>
      </c>
      <c r="Q91">
        <f t="shared" si="12"/>
        <v>0</v>
      </c>
      <c r="R91">
        <f t="shared" si="13"/>
        <v>0</v>
      </c>
      <c r="S91">
        <f>IF(
AND($Q91=1,$M91&lt;&gt;""),
IF(
COUNTIFS(
$M$3:$M91,$M91,
$O$3:$O91,$O91,
$Q$3:$Q91,1,
$P$3:$P91,"&gt;="&amp;EOMONTH($P91,-1)+1,
$P$3:$P91,"&lt;"&amp;EOMONTH($P91,0)+1
)=1,
1,
0),
0)</f>
        <v>0</v>
      </c>
      <c r="T91">
        <f>IF(AND($R91=1,$M91&lt;&gt;""),IF(COUNTIFS($M$3:$M91,$M91,$O$3:$O91,$O91,$R$3:$R91,1,$P$3:$P91,"&gt;="&amp;EOMONTH($P91,-1)+1,$P$3:$P91,"&lt;"&amp;EOMONTH($P91,0)+1)=1,1,0),0)</f>
        <v>0</v>
      </c>
      <c r="U91">
        <f t="shared" si="14"/>
        <v>0</v>
      </c>
      <c r="V91">
        <f>IF(AND($U91=1,$M91&lt;&gt;""),IF(COUNTIFS($M$3:$M91,$M91,$O$3:$O91,$O91,$U$3:$U91,1,$P$3:$P91,"&gt;="&amp;EOMONTH($P91,-1)+1,$P$3:$P91,"&lt;"&amp;EOMONTH($P91,0)+1)=1,1,0),0)</f>
        <v>0</v>
      </c>
      <c r="W91" s="444">
        <f ca="1">TODAY()-Table1[[#This Row],[Change Date]]</f>
        <v>53.622222222220444</v>
      </c>
      <c r="X91" s="422" t="str">
        <f t="shared" si="15"/>
        <v/>
      </c>
      <c r="Y91" s="476">
        <f ca="1">IF(Table1[[#This Row],[Next Stage Date]]&lt;&gt;"",Table1[[#This Row],[Next Stage Date]]-Table1[[#This Row],[Change Date]],TODAY()-Table1[[#This Row],[Change Date]])</f>
        <v>53.622222222220444</v>
      </c>
      <c r="Z91" s="476">
        <f t="shared" si="16"/>
        <v>1</v>
      </c>
      <c r="AA91" s="422" t="str">
        <f t="shared" si="17"/>
        <v/>
      </c>
      <c r="AB91" s="422" t="str">
        <f t="shared" si="18"/>
        <v/>
      </c>
      <c r="AC91" s="476" t="str">
        <f t="shared" si="19"/>
        <v/>
      </c>
      <c r="AD91" s="476" t="str">
        <f t="shared" si="20"/>
        <v/>
      </c>
      <c r="AE91" s="476" t="str">
        <f t="shared" si="21"/>
        <v/>
      </c>
      <c r="AF91" s="476" t="b">
        <f>IFERROR(_xlfn.XLOOKUP(Table1[[#This Row],[Opportunity ID]],'Aging Detail'!$H$14:$H$20,'Aging Detail'!$F$14:$F$20),TRUE)</f>
        <v>1</v>
      </c>
    </row>
    <row r="92" spans="1:32">
      <c r="A92" t="s">
        <v>1461</v>
      </c>
      <c r="B92" t="s">
        <v>338</v>
      </c>
      <c r="C92" t="s">
        <v>462</v>
      </c>
      <c r="D92" t="s">
        <v>1784</v>
      </c>
      <c r="E92" t="s">
        <v>1627</v>
      </c>
      <c r="I92" s="422">
        <v>46107</v>
      </c>
      <c r="J92" s="422">
        <v>46224</v>
      </c>
      <c r="K92">
        <v>6400</v>
      </c>
      <c r="L92">
        <v>0</v>
      </c>
      <c r="M92" t="s">
        <v>1628</v>
      </c>
      <c r="N92" t="s">
        <v>1629</v>
      </c>
      <c r="O92" t="str">
        <f>_xlfn.IFNA(VLOOKUP(Table1[[#This Row],[Lead Source]],'helper tab'!A:B,2,FALSE),"Exclude")</f>
        <v>Exclude</v>
      </c>
      <c r="P92" s="422">
        <f t="shared" si="11"/>
        <v>46204.37222222222</v>
      </c>
      <c r="Q92">
        <f t="shared" si="12"/>
        <v>1</v>
      </c>
      <c r="R92">
        <f t="shared" si="13"/>
        <v>0</v>
      </c>
      <c r="S92">
        <f>IF(
AND($Q92=1,$M92&lt;&gt;""),
IF(
COUNTIFS(
$M$3:$M92,$M92,
$O$3:$O92,$O92,
$Q$3:$Q92,1,
$P$3:$P92,"&gt;="&amp;EOMONTH($P92,-1)+1,
$P$3:$P92,"&lt;"&amp;EOMONTH($P92,0)+1
)=1,
1,
0),
0)</f>
        <v>0</v>
      </c>
      <c r="T92">
        <f>IF(AND($R92=1,$M92&lt;&gt;""),IF(COUNTIFS($M$3:$M92,$M92,$O$3:$O92,$O92,$R$3:$R92,1,$P$3:$P92,"&gt;="&amp;EOMONTH($P92,-1)+1,$P$3:$P92,"&lt;"&amp;EOMONTH($P92,0)+1)=1,1,0),0)</f>
        <v>0</v>
      </c>
      <c r="U92">
        <f t="shared" si="14"/>
        <v>0</v>
      </c>
      <c r="V92">
        <f>IF(AND($U92=1,$M92&lt;&gt;""),IF(COUNTIFS($M$3:$M92,$M92,$O$3:$O92,$O92,$U$3:$U92,1,$P$3:$P92,"&gt;="&amp;EOMONTH($P92,-1)+1,$P$3:$P92,"&lt;"&amp;EOMONTH($P92,0)+1)=1,1,0),0)</f>
        <v>0</v>
      </c>
      <c r="W92" s="444">
        <f ca="1">TODAY()-Table1[[#This Row],[Change Date]]</f>
        <v>53.627777777779556</v>
      </c>
      <c r="X92" s="422">
        <f t="shared" si="15"/>
        <v>46224.387499999997</v>
      </c>
      <c r="Y92" s="476">
        <f ca="1">IF(Table1[[#This Row],[Next Stage Date]]&lt;&gt;"",Table1[[#This Row],[Next Stage Date]]-Table1[[#This Row],[Change Date]],TODAY()-Table1[[#This Row],[Change Date]])</f>
        <v>20.015277777776646</v>
      </c>
      <c r="Z92" s="476">
        <f t="shared" si="16"/>
        <v>0</v>
      </c>
      <c r="AA92" s="422">
        <f t="shared" si="17"/>
        <v>46224.459027777775</v>
      </c>
      <c r="AB92" s="422">
        <f t="shared" si="18"/>
        <v>46204.37222222222</v>
      </c>
      <c r="AC92" s="476">
        <f t="shared" si="19"/>
        <v>97.372222222220444</v>
      </c>
      <c r="AD92" s="476">
        <f t="shared" si="20"/>
        <v>20.086805555554747</v>
      </c>
      <c r="AE92" s="476">
        <f t="shared" si="21"/>
        <v>117.45902777777519</v>
      </c>
      <c r="AF92" s="476" t="b">
        <f>IFERROR(_xlfn.XLOOKUP(Table1[[#This Row],[Opportunity ID]],'Aging Detail'!$H$14:$H$20,'Aging Detail'!$F$14:$F$20),TRUE)</f>
        <v>1</v>
      </c>
    </row>
    <row r="93" spans="1:32">
      <c r="A93" t="s">
        <v>1461</v>
      </c>
      <c r="B93" t="s">
        <v>526</v>
      </c>
      <c r="C93" t="s">
        <v>563</v>
      </c>
      <c r="D93" t="s">
        <v>1785</v>
      </c>
      <c r="E93" t="s">
        <v>1786</v>
      </c>
      <c r="F93" t="s">
        <v>1465</v>
      </c>
      <c r="I93" s="422">
        <v>46059</v>
      </c>
      <c r="J93" s="422">
        <v>46202</v>
      </c>
      <c r="K93">
        <v>500423.85</v>
      </c>
      <c r="L93">
        <v>166807.95000000001</v>
      </c>
      <c r="M93" t="s">
        <v>1787</v>
      </c>
      <c r="N93" t="s">
        <v>1788</v>
      </c>
      <c r="O93" t="str">
        <f>_xlfn.IFNA(VLOOKUP(Table1[[#This Row],[Lead Source]],'helper tab'!A:B,2,FALSE),"Exclude")</f>
        <v>Exclude</v>
      </c>
      <c r="P93" s="422">
        <f t="shared" si="11"/>
        <v>46203.917361111111</v>
      </c>
      <c r="Q93">
        <f t="shared" si="12"/>
        <v>0</v>
      </c>
      <c r="R93">
        <f t="shared" si="13"/>
        <v>1</v>
      </c>
      <c r="S93">
        <f>IF(
AND($Q93=1,$M93&lt;&gt;""),
IF(
COUNTIFS(
$M$3:$M93,$M93,
$O$3:$O93,$O93,
$Q$3:$Q93,1,
$P$3:$P93,"&gt;="&amp;EOMONTH($P93,-1)+1,
$P$3:$P93,"&lt;"&amp;EOMONTH($P93,0)+1
)=1,
1,
0),
0)</f>
        <v>0</v>
      </c>
      <c r="T93">
        <f>IF(AND($R93=1,$M93&lt;&gt;""),IF(COUNTIFS($M$3:$M93,$M93,$O$3:$O93,$O93,$R$3:$R93,1,$P$3:$P93,"&gt;="&amp;EOMONTH($P93,-1)+1,$P$3:$P93,"&lt;"&amp;EOMONTH($P93,0)+1)=1,1,0),0)</f>
        <v>1</v>
      </c>
      <c r="U93">
        <f t="shared" si="14"/>
        <v>0</v>
      </c>
      <c r="V93">
        <f>IF(AND($U93=1,$M93&lt;&gt;""),IF(COUNTIFS($M$3:$M93,$M93,$O$3:$O93,$O93,$U$3:$U93,1,$P$3:$P93,"&gt;="&amp;EOMONTH($P93,-1)+1,$P$3:$P93,"&lt;"&amp;EOMONTH($P93,0)+1)=1,1,0),0)</f>
        <v>0</v>
      </c>
      <c r="W93" s="444">
        <f ca="1">TODAY()-Table1[[#This Row],[Change Date]]</f>
        <v>54.082638888889051</v>
      </c>
      <c r="X93" s="422" t="str">
        <f t="shared" si="15"/>
        <v/>
      </c>
      <c r="Y93" s="476">
        <f ca="1">IF(Table1[[#This Row],[Next Stage Date]]&lt;&gt;"",Table1[[#This Row],[Next Stage Date]]-Table1[[#This Row],[Change Date]],TODAY()-Table1[[#This Row],[Change Date]])</f>
        <v>54.082638888889051</v>
      </c>
      <c r="Z93" s="476">
        <f t="shared" si="16"/>
        <v>1</v>
      </c>
      <c r="AA93" s="422">
        <f t="shared" si="17"/>
        <v>46203.917361111111</v>
      </c>
      <c r="AB93" s="422">
        <f t="shared" si="18"/>
        <v>46203.915972222225</v>
      </c>
      <c r="AC93" s="476">
        <f t="shared" si="19"/>
        <v>144.91597222222481</v>
      </c>
      <c r="AD93" s="476">
        <f t="shared" si="20"/>
        <v>1.3888888861401938E-3</v>
      </c>
      <c r="AE93" s="476">
        <f t="shared" si="21"/>
        <v>144.91736111111095</v>
      </c>
      <c r="AF93" s="476" t="b">
        <f>IFERROR(_xlfn.XLOOKUP(Table1[[#This Row],[Opportunity ID]],'Aging Detail'!$H$14:$H$20,'Aging Detail'!$F$14:$F$20),TRUE)</f>
        <v>1</v>
      </c>
    </row>
    <row r="94" spans="1:32">
      <c r="A94" t="s">
        <v>1461</v>
      </c>
      <c r="B94" t="s">
        <v>462</v>
      </c>
      <c r="C94" t="s">
        <v>526</v>
      </c>
      <c r="D94" t="s">
        <v>1789</v>
      </c>
      <c r="E94" t="s">
        <v>1786</v>
      </c>
      <c r="F94" t="s">
        <v>1465</v>
      </c>
      <c r="I94" s="422">
        <v>46059</v>
      </c>
      <c r="J94" s="422">
        <v>46202</v>
      </c>
      <c r="K94">
        <v>500423.85</v>
      </c>
      <c r="L94">
        <v>166807.95000000001</v>
      </c>
      <c r="M94" t="s">
        <v>1787</v>
      </c>
      <c r="N94" t="s">
        <v>1788</v>
      </c>
      <c r="O94" t="str">
        <f>_xlfn.IFNA(VLOOKUP(Table1[[#This Row],[Lead Source]],'helper tab'!A:B,2,FALSE),"Exclude")</f>
        <v>Exclude</v>
      </c>
      <c r="P94" s="422">
        <f t="shared" si="11"/>
        <v>46203.916666666664</v>
      </c>
      <c r="Q94">
        <f t="shared" si="12"/>
        <v>1</v>
      </c>
      <c r="R94">
        <f t="shared" si="13"/>
        <v>0</v>
      </c>
      <c r="S94">
        <f>IF(
AND($Q94=1,$M94&lt;&gt;""),
IF(
COUNTIFS(
$M$3:$M94,$M94,
$O$3:$O94,$O94,
$Q$3:$Q94,1,
$P$3:$P94,"&gt;="&amp;EOMONTH($P94,-1)+1,
$P$3:$P94,"&lt;"&amp;EOMONTH($P94,0)+1
)=1,
1,
0),
0)</f>
        <v>1</v>
      </c>
      <c r="T94">
        <f>IF(AND($R94=1,$M94&lt;&gt;""),IF(COUNTIFS($M$3:$M94,$M94,$O$3:$O94,$O94,$R$3:$R94,1,$P$3:$P94,"&gt;="&amp;EOMONTH($P94,-1)+1,$P$3:$P94,"&lt;"&amp;EOMONTH($P94,0)+1)=1,1,0),0)</f>
        <v>0</v>
      </c>
      <c r="U94">
        <f t="shared" si="14"/>
        <v>0</v>
      </c>
      <c r="V94">
        <f>IF(AND($U94=1,$M94&lt;&gt;""),IF(COUNTIFS($M$3:$M94,$M94,$O$3:$O94,$O94,$U$3:$U94,1,$P$3:$P94,"&gt;="&amp;EOMONTH($P94,-1)+1,$P$3:$P94,"&lt;"&amp;EOMONTH($P94,0)+1)=1,1,0),0)</f>
        <v>0</v>
      </c>
      <c r="W94" s="444">
        <f ca="1">TODAY()-Table1[[#This Row],[Change Date]]</f>
        <v>54.083333333335759</v>
      </c>
      <c r="X94" s="422">
        <f t="shared" si="15"/>
        <v>46203.917361111111</v>
      </c>
      <c r="Y94" s="476">
        <f ca="1">IF(Table1[[#This Row],[Next Stage Date]]&lt;&gt;"",Table1[[#This Row],[Next Stage Date]]-Table1[[#This Row],[Change Date]],TODAY()-Table1[[#This Row],[Change Date]])</f>
        <v>6.944444467080757E-4</v>
      </c>
      <c r="Z94" s="476">
        <f t="shared" si="16"/>
        <v>0</v>
      </c>
      <c r="AA94" s="422">
        <f t="shared" si="17"/>
        <v>46203.917361111111</v>
      </c>
      <c r="AB94" s="422">
        <f t="shared" si="18"/>
        <v>46203.915972222225</v>
      </c>
      <c r="AC94" s="476">
        <f t="shared" si="19"/>
        <v>144.91597222222481</v>
      </c>
      <c r="AD94" s="476">
        <f t="shared" si="20"/>
        <v>1.3888888861401938E-3</v>
      </c>
      <c r="AE94" s="476">
        <f t="shared" si="21"/>
        <v>144.91736111111095</v>
      </c>
      <c r="AF94" s="476" t="b">
        <f>IFERROR(_xlfn.XLOOKUP(Table1[[#This Row],[Opportunity ID]],'Aging Detail'!$H$14:$H$20,'Aging Detail'!$F$14:$F$20),TRUE)</f>
        <v>1</v>
      </c>
    </row>
    <row r="95" spans="1:32">
      <c r="A95" t="s">
        <v>1461</v>
      </c>
      <c r="B95" t="s">
        <v>1462</v>
      </c>
      <c r="C95" t="s">
        <v>462</v>
      </c>
      <c r="D95" t="s">
        <v>1790</v>
      </c>
      <c r="E95" t="s">
        <v>1786</v>
      </c>
      <c r="F95" t="s">
        <v>1465</v>
      </c>
      <c r="I95" s="422">
        <v>46059</v>
      </c>
      <c r="J95" s="422">
        <v>46202</v>
      </c>
      <c r="K95">
        <v>500423.85</v>
      </c>
      <c r="L95">
        <v>166807.95000000001</v>
      </c>
      <c r="M95" t="s">
        <v>1787</v>
      </c>
      <c r="N95" t="s">
        <v>1788</v>
      </c>
      <c r="O95" t="str">
        <f>_xlfn.IFNA(VLOOKUP(Table1[[#This Row],[Lead Source]],'helper tab'!A:B,2,FALSE),"Exclude")</f>
        <v>Exclude</v>
      </c>
      <c r="P95" s="422">
        <f t="shared" si="11"/>
        <v>46203.915972222225</v>
      </c>
      <c r="Q95">
        <f t="shared" si="12"/>
        <v>1</v>
      </c>
      <c r="R95">
        <f t="shared" si="13"/>
        <v>0</v>
      </c>
      <c r="S95">
        <f>IF(
AND($Q95=1,$M95&lt;&gt;""),
IF(
COUNTIFS(
$M$3:$M95,$M95,
$O$3:$O95,$O95,
$Q$3:$Q95,1,
$P$3:$P95,"&gt;="&amp;EOMONTH($P95,-1)+1,
$P$3:$P95,"&lt;"&amp;EOMONTH($P95,0)+1
)=1,
1,
0),
0)</f>
        <v>0</v>
      </c>
      <c r="T95">
        <f>IF(AND($R95=1,$M95&lt;&gt;""),IF(COUNTIFS($M$3:$M95,$M95,$O$3:$O95,$O95,$R$3:$R95,1,$P$3:$P95,"&gt;="&amp;EOMONTH($P95,-1)+1,$P$3:$P95,"&lt;"&amp;EOMONTH($P95,0)+1)=1,1,0),0)</f>
        <v>0</v>
      </c>
      <c r="U95">
        <f t="shared" si="14"/>
        <v>0</v>
      </c>
      <c r="V95">
        <f>IF(AND($U95=1,$M95&lt;&gt;""),IF(COUNTIFS($M$3:$M95,$M95,$O$3:$O95,$O95,$U$3:$U95,1,$P$3:$P95,"&gt;="&amp;EOMONTH($P95,-1)+1,$P$3:$P95,"&lt;"&amp;EOMONTH($P95,0)+1)=1,1,0),0)</f>
        <v>0</v>
      </c>
      <c r="W95" s="444">
        <f ca="1">TODAY()-Table1[[#This Row],[Change Date]]</f>
        <v>54.084027777775191</v>
      </c>
      <c r="X95" s="422">
        <f t="shared" si="15"/>
        <v>46203.916666666664</v>
      </c>
      <c r="Y95" s="476">
        <f ca="1">IF(Table1[[#This Row],[Next Stage Date]]&lt;&gt;"",Table1[[#This Row],[Next Stage Date]]-Table1[[#This Row],[Change Date]],TODAY()-Table1[[#This Row],[Change Date]])</f>
        <v>6.9444443943211809E-4</v>
      </c>
      <c r="Z95" s="476">
        <f t="shared" si="16"/>
        <v>0</v>
      </c>
      <c r="AA95" s="422">
        <f t="shared" si="17"/>
        <v>46203.917361111111</v>
      </c>
      <c r="AB95" s="422">
        <f t="shared" si="18"/>
        <v>46203.915972222225</v>
      </c>
      <c r="AC95" s="476">
        <f t="shared" si="19"/>
        <v>144.91597222222481</v>
      </c>
      <c r="AD95" s="476">
        <f t="shared" si="20"/>
        <v>1.3888888861401938E-3</v>
      </c>
      <c r="AE95" s="476">
        <f t="shared" si="21"/>
        <v>144.91736111111095</v>
      </c>
      <c r="AF95" s="476" t="b">
        <f>IFERROR(_xlfn.XLOOKUP(Table1[[#This Row],[Opportunity ID]],'Aging Detail'!$H$14:$H$20,'Aging Detail'!$F$14:$F$20),TRUE)</f>
        <v>1</v>
      </c>
    </row>
    <row r="96" spans="1:32">
      <c r="A96" t="s">
        <v>1461</v>
      </c>
      <c r="B96" t="s">
        <v>408</v>
      </c>
      <c r="C96" t="s">
        <v>1462</v>
      </c>
      <c r="D96" t="s">
        <v>1791</v>
      </c>
      <c r="E96" t="s">
        <v>1786</v>
      </c>
      <c r="F96" t="s">
        <v>1465</v>
      </c>
      <c r="I96" s="422">
        <v>46059</v>
      </c>
      <c r="J96" s="422">
        <v>46202</v>
      </c>
      <c r="K96">
        <v>500423.85</v>
      </c>
      <c r="L96">
        <v>166807.95000000001</v>
      </c>
      <c r="M96" t="s">
        <v>1787</v>
      </c>
      <c r="N96" t="s">
        <v>1788</v>
      </c>
      <c r="O96" t="str">
        <f>_xlfn.IFNA(VLOOKUP(Table1[[#This Row],[Lead Source]],'helper tab'!A:B,2,FALSE),"Exclude")</f>
        <v>Exclude</v>
      </c>
      <c r="P96" s="422">
        <f t="shared" si="11"/>
        <v>46203.915277777778</v>
      </c>
      <c r="Q96">
        <f t="shared" si="12"/>
        <v>0</v>
      </c>
      <c r="R96">
        <f t="shared" si="13"/>
        <v>0</v>
      </c>
      <c r="S96">
        <f>IF(
AND($Q96=1,$M96&lt;&gt;""),
IF(
COUNTIFS(
$M$3:$M96,$M96,
$O$3:$O96,$O96,
$Q$3:$Q96,1,
$P$3:$P96,"&gt;="&amp;EOMONTH($P96,-1)+1,
$P$3:$P96,"&lt;"&amp;EOMONTH($P96,0)+1
)=1,
1,
0),
0)</f>
        <v>0</v>
      </c>
      <c r="T96">
        <f>IF(AND($R96=1,$M96&lt;&gt;""),IF(COUNTIFS($M$3:$M96,$M96,$O$3:$O96,$O96,$R$3:$R96,1,$P$3:$P96,"&gt;="&amp;EOMONTH($P96,-1)+1,$P$3:$P96,"&lt;"&amp;EOMONTH($P96,0)+1)=1,1,0),0)</f>
        <v>0</v>
      </c>
      <c r="U96">
        <f t="shared" si="14"/>
        <v>0</v>
      </c>
      <c r="V96">
        <f>IF(AND($U96=1,$M96&lt;&gt;""),IF(COUNTIFS($M$3:$M96,$M96,$O$3:$O96,$O96,$U$3:$U96,1,$P$3:$P96,"&gt;="&amp;EOMONTH($P96,-1)+1,$P$3:$P96,"&lt;"&amp;EOMONTH($P96,0)+1)=1,1,0),0)</f>
        <v>0</v>
      </c>
      <c r="W96" s="444">
        <f ca="1">TODAY()-Table1[[#This Row],[Change Date]]</f>
        <v>54.084722222221899</v>
      </c>
      <c r="X96" s="422">
        <f t="shared" si="15"/>
        <v>46203.915972222225</v>
      </c>
      <c r="Y96" s="476">
        <f ca="1">IF(Table1[[#This Row],[Next Stage Date]]&lt;&gt;"",Table1[[#This Row],[Next Stage Date]]-Table1[[#This Row],[Change Date]],TODAY()-Table1[[#This Row],[Change Date]])</f>
        <v>6.944444467080757E-4</v>
      </c>
      <c r="Z96" s="476">
        <f t="shared" si="16"/>
        <v>0</v>
      </c>
      <c r="AA96" s="422">
        <f t="shared" si="17"/>
        <v>46203.917361111111</v>
      </c>
      <c r="AB96" s="422">
        <f t="shared" si="18"/>
        <v>46203.915972222225</v>
      </c>
      <c r="AC96" s="476">
        <f t="shared" si="19"/>
        <v>144.91597222222481</v>
      </c>
      <c r="AD96" s="476">
        <f t="shared" si="20"/>
        <v>1.3888888861401938E-3</v>
      </c>
      <c r="AE96" s="476">
        <f t="shared" si="21"/>
        <v>144.91736111111095</v>
      </c>
      <c r="AF96" s="476" t="b">
        <f>IFERROR(_xlfn.XLOOKUP(Table1[[#This Row],[Opportunity ID]],'Aging Detail'!$H$14:$H$20,'Aging Detail'!$F$14:$F$20),TRUE)</f>
        <v>1</v>
      </c>
    </row>
    <row r="97" spans="1:32">
      <c r="A97" t="s">
        <v>1461</v>
      </c>
      <c r="B97" t="s">
        <v>526</v>
      </c>
      <c r="C97" t="s">
        <v>563</v>
      </c>
      <c r="D97" t="s">
        <v>1792</v>
      </c>
      <c r="E97" t="s">
        <v>652</v>
      </c>
      <c r="F97" t="s">
        <v>470</v>
      </c>
      <c r="I97" s="422">
        <v>45834</v>
      </c>
      <c r="J97" s="422">
        <v>46202</v>
      </c>
      <c r="K97">
        <v>342355</v>
      </c>
      <c r="L97">
        <v>90785</v>
      </c>
      <c r="M97" t="s">
        <v>1793</v>
      </c>
      <c r="N97" t="s">
        <v>647</v>
      </c>
      <c r="O97" t="str">
        <f>_xlfn.IFNA(VLOOKUP(Table1[[#This Row],[Lead Source]],'helper tab'!A:B,2,FALSE),"Exclude")</f>
        <v>Digital</v>
      </c>
      <c r="P97" s="422">
        <f t="shared" si="11"/>
        <v>46203.63958333333</v>
      </c>
      <c r="Q97">
        <f t="shared" si="12"/>
        <v>0</v>
      </c>
      <c r="R97">
        <f t="shared" si="13"/>
        <v>1</v>
      </c>
      <c r="S97">
        <f>IF(
AND($Q97=1,$M97&lt;&gt;""),
IF(
COUNTIFS(
$M$3:$M97,$M97,
$O$3:$O97,$O97,
$Q$3:$Q97,1,
$P$3:$P97,"&gt;="&amp;EOMONTH($P97,-1)+1,
$P$3:$P97,"&lt;"&amp;EOMONTH($P97,0)+1
)=1,
1,
0),
0)</f>
        <v>0</v>
      </c>
      <c r="T97">
        <f>IF(AND($R97=1,$M97&lt;&gt;""),IF(COUNTIFS($M$3:$M97,$M97,$O$3:$O97,$O97,$R$3:$R97,1,$P$3:$P97,"&gt;="&amp;EOMONTH($P97,-1)+1,$P$3:$P97,"&lt;"&amp;EOMONTH($P97,0)+1)=1,1,0),0)</f>
        <v>1</v>
      </c>
      <c r="U97">
        <f t="shared" si="14"/>
        <v>0</v>
      </c>
      <c r="V97">
        <f>IF(AND($U97=1,$M97&lt;&gt;""),IF(COUNTIFS($M$3:$M97,$M97,$O$3:$O97,$O97,$U$3:$U97,1,$P$3:$P97,"&gt;="&amp;EOMONTH($P97,-1)+1,$P$3:$P97,"&lt;"&amp;EOMONTH($P97,0)+1)=1,1,0),0)</f>
        <v>0</v>
      </c>
      <c r="W97" s="444">
        <f ca="1">TODAY()-Table1[[#This Row],[Change Date]]</f>
        <v>54.360416666670062</v>
      </c>
      <c r="X97" s="422" t="str">
        <f t="shared" si="15"/>
        <v/>
      </c>
      <c r="Y97" s="476">
        <f ca="1">IF(Table1[[#This Row],[Next Stage Date]]&lt;&gt;"",Table1[[#This Row],[Next Stage Date]]-Table1[[#This Row],[Change Date]],TODAY()-Table1[[#This Row],[Change Date]])</f>
        <v>54.360416666670062</v>
      </c>
      <c r="Z97" s="476">
        <f t="shared" si="16"/>
        <v>1</v>
      </c>
      <c r="AA97" s="422">
        <f t="shared" si="17"/>
        <v>46203.63958333333</v>
      </c>
      <c r="AB97" s="422">
        <f t="shared" si="18"/>
        <v>46055.431944444441</v>
      </c>
      <c r="AC97" s="476">
        <f t="shared" si="19"/>
        <v>221.43194444444089</v>
      </c>
      <c r="AD97" s="476">
        <f t="shared" si="20"/>
        <v>148.20763888888905</v>
      </c>
      <c r="AE97" s="476">
        <f t="shared" si="21"/>
        <v>369.63958333332994</v>
      </c>
      <c r="AF97" s="476" t="b">
        <f>IFERROR(_xlfn.XLOOKUP(Table1[[#This Row],[Opportunity ID]],'Aging Detail'!$H$14:$H$20,'Aging Detail'!$F$14:$F$20),TRUE)</f>
        <v>1</v>
      </c>
    </row>
    <row r="98" spans="1:32">
      <c r="A98" t="s">
        <v>1461</v>
      </c>
      <c r="B98" t="s">
        <v>526</v>
      </c>
      <c r="C98" t="s">
        <v>563</v>
      </c>
      <c r="D98" t="s">
        <v>1794</v>
      </c>
      <c r="E98" t="s">
        <v>1795</v>
      </c>
      <c r="F98" t="s">
        <v>1484</v>
      </c>
      <c r="I98" s="422">
        <v>45345</v>
      </c>
      <c r="J98" s="422">
        <v>46202</v>
      </c>
      <c r="K98">
        <v>27300</v>
      </c>
      <c r="L98">
        <v>0</v>
      </c>
      <c r="M98" t="s">
        <v>1796</v>
      </c>
      <c r="N98" t="s">
        <v>999</v>
      </c>
      <c r="O98" t="str">
        <f>_xlfn.IFNA(VLOOKUP(Table1[[#This Row],[Lead Source]],'helper tab'!A:B,2,FALSE),"Exclude")</f>
        <v>Exclude</v>
      </c>
      <c r="P98" s="422">
        <f t="shared" si="11"/>
        <v>46202.382638888892</v>
      </c>
      <c r="Q98">
        <f t="shared" si="12"/>
        <v>0</v>
      </c>
      <c r="R98">
        <f t="shared" si="13"/>
        <v>1</v>
      </c>
      <c r="S98">
        <f>IF(
AND($Q98=1,$M98&lt;&gt;""),
IF(
COUNTIFS(
$M$3:$M98,$M98,
$O$3:$O98,$O98,
$Q$3:$Q98,1,
$P$3:$P98,"&gt;="&amp;EOMONTH($P98,-1)+1,
$P$3:$P98,"&lt;"&amp;EOMONTH($P98,0)+1
)=1,
1,
0),
0)</f>
        <v>0</v>
      </c>
      <c r="T98">
        <f>IF(AND($R98=1,$M98&lt;&gt;""),IF(COUNTIFS($M$3:$M98,$M98,$O$3:$O98,$O98,$R$3:$R98,1,$P$3:$P98,"&gt;="&amp;EOMONTH($P98,-1)+1,$P$3:$P98,"&lt;"&amp;EOMONTH($P98,0)+1)=1,1,0),0)</f>
        <v>1</v>
      </c>
      <c r="U98">
        <f t="shared" si="14"/>
        <v>0</v>
      </c>
      <c r="V98">
        <f>IF(AND($U98=1,$M98&lt;&gt;""),IF(COUNTIFS($M$3:$M98,$M98,$O$3:$O98,$O98,$U$3:$U98,1,$P$3:$P98,"&gt;="&amp;EOMONTH($P98,-1)+1,$P$3:$P98,"&lt;"&amp;EOMONTH($P98,0)+1)=1,1,0),0)</f>
        <v>0</v>
      </c>
      <c r="W98" s="444">
        <f ca="1">TODAY()-Table1[[#This Row],[Change Date]]</f>
        <v>55.617361111108039</v>
      </c>
      <c r="X98" s="422" t="str">
        <f t="shared" si="15"/>
        <v/>
      </c>
      <c r="Y98" s="476">
        <f ca="1">IF(Table1[[#This Row],[Next Stage Date]]&lt;&gt;"",Table1[[#This Row],[Next Stage Date]]-Table1[[#This Row],[Change Date]],TODAY()-Table1[[#This Row],[Change Date]])</f>
        <v>55.617361111108039</v>
      </c>
      <c r="Z98" s="476">
        <f t="shared" si="16"/>
        <v>1</v>
      </c>
      <c r="AA98" s="422">
        <f t="shared" si="17"/>
        <v>46202.382638888892</v>
      </c>
      <c r="AB98" s="422">
        <f t="shared" si="18"/>
        <v>46175.522916666669</v>
      </c>
      <c r="AC98" s="476">
        <f t="shared" si="19"/>
        <v>830.52291666666861</v>
      </c>
      <c r="AD98" s="476">
        <f t="shared" si="20"/>
        <v>26.859722222223354</v>
      </c>
      <c r="AE98" s="476">
        <f t="shared" si="21"/>
        <v>857.38263888889196</v>
      </c>
      <c r="AF98" s="476" t="b">
        <f>IFERROR(_xlfn.XLOOKUP(Table1[[#This Row],[Opportunity ID]],'Aging Detail'!$H$14:$H$20,'Aging Detail'!$F$14:$F$20),TRUE)</f>
        <v>1</v>
      </c>
    </row>
    <row r="99" spans="1:32">
      <c r="A99" t="s">
        <v>1461</v>
      </c>
      <c r="B99" t="s">
        <v>408</v>
      </c>
      <c r="C99" t="s">
        <v>1469</v>
      </c>
      <c r="D99" t="s">
        <v>1797</v>
      </c>
      <c r="E99" t="s">
        <v>1798</v>
      </c>
      <c r="I99" s="422">
        <v>45638</v>
      </c>
      <c r="J99" s="422">
        <v>46599</v>
      </c>
      <c r="K99">
        <v>219996</v>
      </c>
      <c r="L99">
        <v>219996</v>
      </c>
      <c r="M99" t="s">
        <v>1799</v>
      </c>
      <c r="N99" t="s">
        <v>1800</v>
      </c>
      <c r="O99" t="str">
        <f>_xlfn.IFNA(VLOOKUP(Table1[[#This Row],[Lead Source]],'helper tab'!A:B,2,FALSE),"Exclude")</f>
        <v>Exclude</v>
      </c>
      <c r="P99" s="422">
        <f t="shared" si="11"/>
        <v>46202.324999999997</v>
      </c>
      <c r="Q99">
        <f t="shared" si="12"/>
        <v>0</v>
      </c>
      <c r="R99">
        <f t="shared" si="13"/>
        <v>0</v>
      </c>
      <c r="S99">
        <f>IF(
AND($Q99=1,$M99&lt;&gt;""),
IF(
COUNTIFS(
$M$3:$M99,$M99,
$O$3:$O99,$O99,
$Q$3:$Q99,1,
$P$3:$P99,"&gt;="&amp;EOMONTH($P99,-1)+1,
$P$3:$P99,"&lt;"&amp;EOMONTH($P99,0)+1
)=1,
1,
0),
0)</f>
        <v>0</v>
      </c>
      <c r="T99">
        <f>IF(AND($R99=1,$M99&lt;&gt;""),IF(COUNTIFS($M$3:$M99,$M99,$O$3:$O99,$O99,$R$3:$R99,1,$P$3:$P99,"&gt;="&amp;EOMONTH($P99,-1)+1,$P$3:$P99,"&lt;"&amp;EOMONTH($P99,0)+1)=1,1,0),0)</f>
        <v>0</v>
      </c>
      <c r="U99">
        <f t="shared" si="14"/>
        <v>1</v>
      </c>
      <c r="V99">
        <f>IF(AND($U99=1,$M99&lt;&gt;""),IF(COUNTIFS($M$3:$M99,$M99,$O$3:$O99,$O99,$U$3:$U99,1,$P$3:$P99,"&gt;="&amp;EOMONTH($P99,-1)+1,$P$3:$P99,"&lt;"&amp;EOMONTH($P99,0)+1)=1,1,0),0)</f>
        <v>1</v>
      </c>
      <c r="W99" s="444">
        <f ca="1">TODAY()-Table1[[#This Row],[Change Date]]</f>
        <v>55.67500000000291</v>
      </c>
      <c r="X99" s="422" t="str">
        <f t="shared" si="15"/>
        <v/>
      </c>
      <c r="Y99" s="476">
        <f ca="1">IF(Table1[[#This Row],[Next Stage Date]]&lt;&gt;"",Table1[[#This Row],[Next Stage Date]]-Table1[[#This Row],[Change Date]],TODAY()-Table1[[#This Row],[Change Date]])</f>
        <v>55.67500000000291</v>
      </c>
      <c r="Z99" s="476">
        <f t="shared" si="16"/>
        <v>1</v>
      </c>
      <c r="AA99" s="422" t="str">
        <f t="shared" si="17"/>
        <v/>
      </c>
      <c r="AB99" s="422" t="str">
        <f t="shared" si="18"/>
        <v/>
      </c>
      <c r="AC99" s="476" t="str">
        <f t="shared" si="19"/>
        <v/>
      </c>
      <c r="AD99" s="476" t="str">
        <f t="shared" si="20"/>
        <v/>
      </c>
      <c r="AE99" s="476" t="str">
        <f t="shared" si="21"/>
        <v/>
      </c>
      <c r="AF99" s="476" t="b">
        <f>IFERROR(_xlfn.XLOOKUP(Table1[[#This Row],[Opportunity ID]],'Aging Detail'!$H$14:$H$20,'Aging Detail'!$F$14:$F$20),TRUE)</f>
        <v>1</v>
      </c>
    </row>
    <row r="100" spans="1:32">
      <c r="A100" t="s">
        <v>1461</v>
      </c>
      <c r="B100" t="s">
        <v>408</v>
      </c>
      <c r="C100" t="s">
        <v>1462</v>
      </c>
      <c r="D100" t="s">
        <v>1801</v>
      </c>
      <c r="E100" t="s">
        <v>1802</v>
      </c>
      <c r="F100" t="s">
        <v>1470</v>
      </c>
      <c r="I100" s="422">
        <v>46189</v>
      </c>
      <c r="J100" s="422">
        <v>46290</v>
      </c>
      <c r="K100">
        <v>33000</v>
      </c>
      <c r="L100">
        <v>33000</v>
      </c>
      <c r="M100" t="s">
        <v>1803</v>
      </c>
      <c r="N100" t="s">
        <v>1804</v>
      </c>
      <c r="O100" t="str">
        <f>_xlfn.IFNA(VLOOKUP(Table1[[#This Row],[Lead Source]],'helper tab'!A:B,2,FALSE),"Exclude")</f>
        <v>Cold</v>
      </c>
      <c r="P100" s="422">
        <f t="shared" si="11"/>
        <v>46202.118055555555</v>
      </c>
      <c r="Q100">
        <f t="shared" si="12"/>
        <v>0</v>
      </c>
      <c r="R100">
        <f t="shared" si="13"/>
        <v>0</v>
      </c>
      <c r="S100">
        <f>IF(
AND($Q100=1,$M100&lt;&gt;""),
IF(
COUNTIFS(
$M$3:$M100,$M100,
$O$3:$O100,$O100,
$Q$3:$Q100,1,
$P$3:$P100,"&gt;="&amp;EOMONTH($P100,-1)+1,
$P$3:$P100,"&lt;"&amp;EOMONTH($P100,0)+1
)=1,
1,
0),
0)</f>
        <v>0</v>
      </c>
      <c r="T100">
        <f>IF(AND($R100=1,$M100&lt;&gt;""),IF(COUNTIFS($M$3:$M100,$M100,$O$3:$O100,$O100,$R$3:$R100,1,$P$3:$P100,"&gt;="&amp;EOMONTH($P100,-1)+1,$P$3:$P100,"&lt;"&amp;EOMONTH($P100,0)+1)=1,1,0),0)</f>
        <v>0</v>
      </c>
      <c r="U100">
        <f t="shared" si="14"/>
        <v>0</v>
      </c>
      <c r="V100">
        <f>IF(AND($U100=1,$M100&lt;&gt;""),IF(COUNTIFS($M$3:$M100,$M100,$O$3:$O100,$O100,$U$3:$U100,1,$P$3:$P100,"&gt;="&amp;EOMONTH($P100,-1)+1,$P$3:$P100,"&lt;"&amp;EOMONTH($P100,0)+1)=1,1,0),0)</f>
        <v>0</v>
      </c>
      <c r="W100" s="444">
        <f ca="1">TODAY()-Table1[[#This Row],[Change Date]]</f>
        <v>55.881944444445253</v>
      </c>
      <c r="X100" s="422" t="str">
        <f t="shared" si="15"/>
        <v/>
      </c>
      <c r="Y100" s="476">
        <f ca="1">IF(Table1[[#This Row],[Next Stage Date]]&lt;&gt;"",Table1[[#This Row],[Next Stage Date]]-Table1[[#This Row],[Change Date]],TODAY()-Table1[[#This Row],[Change Date]])</f>
        <v>55.881944444445253</v>
      </c>
      <c r="Z100" s="476">
        <f t="shared" si="16"/>
        <v>1</v>
      </c>
      <c r="AA100" s="422" t="str">
        <f t="shared" si="17"/>
        <v/>
      </c>
      <c r="AB100" s="422" t="str">
        <f t="shared" si="18"/>
        <v/>
      </c>
      <c r="AC100" s="476" t="str">
        <f t="shared" si="19"/>
        <v/>
      </c>
      <c r="AD100" s="476" t="str">
        <f t="shared" si="20"/>
        <v/>
      </c>
      <c r="AE100" s="476" t="str">
        <f t="shared" si="21"/>
        <v/>
      </c>
      <c r="AF100" s="476" t="b">
        <f>IFERROR(_xlfn.XLOOKUP(Table1[[#This Row],[Opportunity ID]],'Aging Detail'!$H$14:$H$20,'Aging Detail'!$F$14:$F$20),TRUE)</f>
        <v>1</v>
      </c>
    </row>
    <row r="101" spans="1:32">
      <c r="A101" t="s">
        <v>1461</v>
      </c>
      <c r="B101" t="s">
        <v>338</v>
      </c>
      <c r="C101" t="s">
        <v>1469</v>
      </c>
      <c r="D101" t="s">
        <v>1805</v>
      </c>
      <c r="E101" t="s">
        <v>1806</v>
      </c>
      <c r="F101" t="s">
        <v>1464</v>
      </c>
      <c r="I101" s="422">
        <v>45758</v>
      </c>
      <c r="J101" s="422">
        <v>46387</v>
      </c>
      <c r="K101">
        <v>276000</v>
      </c>
      <c r="L101">
        <v>216000</v>
      </c>
      <c r="M101" t="s">
        <v>1807</v>
      </c>
      <c r="N101" t="s">
        <v>1808</v>
      </c>
      <c r="O101" t="str">
        <f>_xlfn.IFNA(VLOOKUP(Table1[[#This Row],[Lead Source]],'helper tab'!A:B,2,FALSE),"Exclude")</f>
        <v>Cold</v>
      </c>
      <c r="P101" s="422">
        <f t="shared" si="11"/>
        <v>46199.40902777778</v>
      </c>
      <c r="Q101">
        <f t="shared" si="12"/>
        <v>0</v>
      </c>
      <c r="R101">
        <f t="shared" si="13"/>
        <v>0</v>
      </c>
      <c r="S101">
        <f>IF(
AND($Q101=1,$M101&lt;&gt;""),
IF(
COUNTIFS(
$M$3:$M101,$M101,
$O$3:$O101,$O101,
$Q$3:$Q101,1,
$P$3:$P101,"&gt;="&amp;EOMONTH($P101,-1)+1,
$P$3:$P101,"&lt;"&amp;EOMONTH($P101,0)+1
)=1,
1,
0),
0)</f>
        <v>0</v>
      </c>
      <c r="T101">
        <f>IF(AND($R101=1,$M101&lt;&gt;""),IF(COUNTIFS($M$3:$M101,$M101,$O$3:$O101,$O101,$R$3:$R101,1,$P$3:$P101,"&gt;="&amp;EOMONTH($P101,-1)+1,$P$3:$P101,"&lt;"&amp;EOMONTH($P101,0)+1)=1,1,0),0)</f>
        <v>0</v>
      </c>
      <c r="U101">
        <f t="shared" si="14"/>
        <v>1</v>
      </c>
      <c r="V101">
        <f>IF(AND($U101=1,$M101&lt;&gt;""),IF(COUNTIFS($M$3:$M101,$M101,$O$3:$O101,$O101,$U$3:$U101,1,$P$3:$P101,"&gt;="&amp;EOMONTH($P101,-1)+1,$P$3:$P101,"&lt;"&amp;EOMONTH($P101,0)+1)=1,1,0),0)</f>
        <v>1</v>
      </c>
      <c r="W101" s="444">
        <f ca="1">TODAY()-Table1[[#This Row],[Change Date]]</f>
        <v>58.590972222220444</v>
      </c>
      <c r="X101" s="422" t="str">
        <f t="shared" si="15"/>
        <v/>
      </c>
      <c r="Y101" s="476">
        <f ca="1">IF(Table1[[#This Row],[Next Stage Date]]&lt;&gt;"",Table1[[#This Row],[Next Stage Date]]-Table1[[#This Row],[Change Date]],TODAY()-Table1[[#This Row],[Change Date]])</f>
        <v>58.590972222220444</v>
      </c>
      <c r="Z101" s="476">
        <f t="shared" si="16"/>
        <v>1</v>
      </c>
      <c r="AA101" s="422" t="str">
        <f t="shared" si="17"/>
        <v/>
      </c>
      <c r="AB101" s="422" t="str">
        <f t="shared" si="18"/>
        <v/>
      </c>
      <c r="AC101" s="476" t="str">
        <f t="shared" si="19"/>
        <v/>
      </c>
      <c r="AD101" s="476" t="str">
        <f t="shared" si="20"/>
        <v/>
      </c>
      <c r="AE101" s="476" t="str">
        <f t="shared" si="21"/>
        <v/>
      </c>
      <c r="AF101" s="476" t="b">
        <f>IFERROR(_xlfn.XLOOKUP(Table1[[#This Row],[Opportunity ID]],'Aging Detail'!$H$14:$H$20,'Aging Detail'!$F$14:$F$20),TRUE)</f>
        <v>1</v>
      </c>
    </row>
    <row r="102" spans="1:32">
      <c r="A102" t="s">
        <v>1461</v>
      </c>
      <c r="B102" t="s">
        <v>1462</v>
      </c>
      <c r="C102" t="s">
        <v>462</v>
      </c>
      <c r="D102" t="s">
        <v>1809</v>
      </c>
      <c r="E102" t="s">
        <v>1810</v>
      </c>
      <c r="I102" s="422">
        <v>46171</v>
      </c>
      <c r="J102" s="422">
        <v>46477</v>
      </c>
      <c r="K102">
        <v>598810</v>
      </c>
      <c r="L102">
        <v>75310</v>
      </c>
      <c r="M102" t="s">
        <v>1811</v>
      </c>
      <c r="N102" t="s">
        <v>1812</v>
      </c>
      <c r="O102" t="str">
        <f>_xlfn.IFNA(VLOOKUP(Table1[[#This Row],[Lead Source]],'helper tab'!A:B,2,FALSE),"Exclude")</f>
        <v>Exclude</v>
      </c>
      <c r="P102" s="422">
        <f t="shared" si="11"/>
        <v>46198.556944444441</v>
      </c>
      <c r="Q102">
        <f t="shared" si="12"/>
        <v>1</v>
      </c>
      <c r="R102">
        <f t="shared" si="13"/>
        <v>0</v>
      </c>
      <c r="S102">
        <f>IF(
AND($Q102=1,$M102&lt;&gt;""),
IF(
COUNTIFS(
$M$3:$M102,$M102,
$O$3:$O102,$O102,
$Q$3:$Q102,1,
$P$3:$P102,"&gt;="&amp;EOMONTH($P102,-1)+1,
$P$3:$P102,"&lt;"&amp;EOMONTH($P102,0)+1
)=1,
1,
0),
0)</f>
        <v>1</v>
      </c>
      <c r="T102">
        <f>IF(AND($R102=1,$M102&lt;&gt;""),IF(COUNTIFS($M$3:$M102,$M102,$O$3:$O102,$O102,$R$3:$R102,1,$P$3:$P102,"&gt;="&amp;EOMONTH($P102,-1)+1,$P$3:$P102,"&lt;"&amp;EOMONTH($P102,0)+1)=1,1,0),0)</f>
        <v>0</v>
      </c>
      <c r="U102">
        <f t="shared" si="14"/>
        <v>0</v>
      </c>
      <c r="V102">
        <f>IF(AND($U102=1,$M102&lt;&gt;""),IF(COUNTIFS($M$3:$M102,$M102,$O$3:$O102,$O102,$U$3:$U102,1,$P$3:$P102,"&gt;="&amp;EOMONTH($P102,-1)+1,$P$3:$P102,"&lt;"&amp;EOMONTH($P102,0)+1)=1,1,0),0)</f>
        <v>0</v>
      </c>
      <c r="W102" s="444">
        <f ca="1">TODAY()-Table1[[#This Row],[Change Date]]</f>
        <v>59.443055555559113</v>
      </c>
      <c r="X102" s="422" t="str">
        <f t="shared" si="15"/>
        <v/>
      </c>
      <c r="Y102" s="476">
        <f ca="1">IF(Table1[[#This Row],[Next Stage Date]]&lt;&gt;"",Table1[[#This Row],[Next Stage Date]]-Table1[[#This Row],[Change Date]],TODAY()-Table1[[#This Row],[Change Date]])</f>
        <v>59.443055555559113</v>
      </c>
      <c r="Z102" s="476">
        <f t="shared" si="16"/>
        <v>1</v>
      </c>
      <c r="AA102" s="422" t="str">
        <f t="shared" si="17"/>
        <v/>
      </c>
      <c r="AB102" s="422">
        <f t="shared" si="18"/>
        <v>46198.556944444441</v>
      </c>
      <c r="AC102" s="476">
        <f t="shared" si="19"/>
        <v>27.556944444440887</v>
      </c>
      <c r="AD102" s="476" t="str">
        <f t="shared" si="20"/>
        <v/>
      </c>
      <c r="AE102" s="476" t="str">
        <f t="shared" si="21"/>
        <v/>
      </c>
      <c r="AF102" s="476" t="b">
        <f>IFERROR(_xlfn.XLOOKUP(Table1[[#This Row],[Opportunity ID]],'Aging Detail'!$H$14:$H$20,'Aging Detail'!$F$14:$F$20),TRUE)</f>
        <v>1</v>
      </c>
    </row>
    <row r="103" spans="1:32">
      <c r="A103" t="s">
        <v>1461</v>
      </c>
      <c r="B103" t="s">
        <v>338</v>
      </c>
      <c r="C103" t="s">
        <v>563</v>
      </c>
      <c r="D103" t="s">
        <v>1813</v>
      </c>
      <c r="E103" t="s">
        <v>1814</v>
      </c>
      <c r="I103" s="422">
        <v>46007</v>
      </c>
      <c r="J103" s="422">
        <v>46008</v>
      </c>
      <c r="L103">
        <v>0</v>
      </c>
      <c r="M103" t="s">
        <v>1815</v>
      </c>
      <c r="N103" t="s">
        <v>1634</v>
      </c>
      <c r="O103" t="str">
        <f>_xlfn.IFNA(VLOOKUP(Table1[[#This Row],[Lead Source]],'helper tab'!A:B,2,FALSE),"Exclude")</f>
        <v>Exclude</v>
      </c>
      <c r="P103" s="422">
        <f t="shared" si="11"/>
        <v>46198.515972222223</v>
      </c>
      <c r="Q103">
        <f t="shared" si="12"/>
        <v>0</v>
      </c>
      <c r="R103">
        <f t="shared" si="13"/>
        <v>1</v>
      </c>
      <c r="S103">
        <f>IF(
AND($Q103=1,$M103&lt;&gt;""),
IF(
COUNTIFS(
$M$3:$M103,$M103,
$O$3:$O103,$O103,
$Q$3:$Q103,1,
$P$3:$P103,"&gt;="&amp;EOMONTH($P103,-1)+1,
$P$3:$P103,"&lt;"&amp;EOMONTH($P103,0)+1
)=1,
1,
0),
0)</f>
        <v>0</v>
      </c>
      <c r="T103">
        <f>IF(AND($R103=1,$M103&lt;&gt;""),IF(COUNTIFS($M$3:$M103,$M103,$O$3:$O103,$O103,$R$3:$R103,1,$P$3:$P103,"&gt;="&amp;EOMONTH($P103,-1)+1,$P$3:$P103,"&lt;"&amp;EOMONTH($P103,0)+1)=1,1,0),0)</f>
        <v>1</v>
      </c>
      <c r="U103">
        <f t="shared" si="14"/>
        <v>0</v>
      </c>
      <c r="V103">
        <f>IF(AND($U103=1,$M103&lt;&gt;""),IF(COUNTIFS($M$3:$M103,$M103,$O$3:$O103,$O103,$U$3:$U103,1,$P$3:$P103,"&gt;="&amp;EOMONTH($P103,-1)+1,$P$3:$P103,"&lt;"&amp;EOMONTH($P103,0)+1)=1,1,0),0)</f>
        <v>0</v>
      </c>
      <c r="W103" s="444">
        <f ca="1">TODAY()-Table1[[#This Row],[Change Date]]</f>
        <v>59.484027777776646</v>
      </c>
      <c r="X103" s="422" t="str">
        <f t="shared" si="15"/>
        <v/>
      </c>
      <c r="Y103" s="476">
        <f ca="1">IF(Table1[[#This Row],[Next Stage Date]]&lt;&gt;"",Table1[[#This Row],[Next Stage Date]]-Table1[[#This Row],[Change Date]],TODAY()-Table1[[#This Row],[Change Date]])</f>
        <v>59.484027777776646</v>
      </c>
      <c r="Z103" s="476">
        <f t="shared" si="16"/>
        <v>1</v>
      </c>
      <c r="AA103" s="422">
        <f t="shared" si="17"/>
        <v>46198.515972222223</v>
      </c>
      <c r="AB103" s="422" t="str">
        <f t="shared" si="18"/>
        <v/>
      </c>
      <c r="AC103" s="476" t="str">
        <f t="shared" si="19"/>
        <v/>
      </c>
      <c r="AD103" s="476" t="str">
        <f t="shared" si="20"/>
        <v/>
      </c>
      <c r="AE103" s="476">
        <f t="shared" si="21"/>
        <v>191.51597222222335</v>
      </c>
      <c r="AF103" s="476" t="b">
        <f>IFERROR(_xlfn.XLOOKUP(Table1[[#This Row],[Opportunity ID]],'Aging Detail'!$H$14:$H$20,'Aging Detail'!$F$14:$F$20),TRUE)</f>
        <v>1</v>
      </c>
    </row>
    <row r="104" spans="1:32">
      <c r="A104" t="s">
        <v>1461</v>
      </c>
      <c r="B104" t="s">
        <v>526</v>
      </c>
      <c r="C104" t="s">
        <v>563</v>
      </c>
      <c r="D104" t="s">
        <v>1816</v>
      </c>
      <c r="E104" t="s">
        <v>1817</v>
      </c>
      <c r="F104" t="s">
        <v>148</v>
      </c>
      <c r="H104" t="s">
        <v>169</v>
      </c>
      <c r="I104" s="422">
        <v>46031</v>
      </c>
      <c r="J104" s="422">
        <v>46198</v>
      </c>
      <c r="K104">
        <v>24000</v>
      </c>
      <c r="L104">
        <v>24000</v>
      </c>
      <c r="M104" t="s">
        <v>1818</v>
      </c>
      <c r="N104" t="s">
        <v>1667</v>
      </c>
      <c r="O104" t="str">
        <f>_xlfn.IFNA(VLOOKUP(Table1[[#This Row],[Lead Source]],'helper tab'!A:B,2,FALSE),"Exclude")</f>
        <v>Alliances</v>
      </c>
      <c r="P104" s="422">
        <f t="shared" si="11"/>
        <v>46198.369444444441</v>
      </c>
      <c r="Q104">
        <f t="shared" si="12"/>
        <v>0</v>
      </c>
      <c r="R104">
        <f t="shared" si="13"/>
        <v>1</v>
      </c>
      <c r="S104">
        <f>IF(
AND($Q104=1,$M104&lt;&gt;""),
IF(
COUNTIFS(
$M$3:$M104,$M104,
$O$3:$O104,$O104,
$Q$3:$Q104,1,
$P$3:$P104,"&gt;="&amp;EOMONTH($P104,-1)+1,
$P$3:$P104,"&lt;"&amp;EOMONTH($P104,0)+1
)=1,
1,
0),
0)</f>
        <v>0</v>
      </c>
      <c r="T104">
        <f>IF(AND($R104=1,$M104&lt;&gt;""),IF(COUNTIFS($M$3:$M104,$M104,$O$3:$O104,$O104,$R$3:$R104,1,$P$3:$P104,"&gt;="&amp;EOMONTH($P104,-1)+1,$P$3:$P104,"&lt;"&amp;EOMONTH($P104,0)+1)=1,1,0),0)</f>
        <v>1</v>
      </c>
      <c r="U104">
        <f t="shared" si="14"/>
        <v>0</v>
      </c>
      <c r="V104">
        <f>IF(AND($U104=1,$M104&lt;&gt;""),IF(COUNTIFS($M$3:$M104,$M104,$O$3:$O104,$O104,$U$3:$U104,1,$P$3:$P104,"&gt;="&amp;EOMONTH($P104,-1)+1,$P$3:$P104,"&lt;"&amp;EOMONTH($P104,0)+1)=1,1,0),0)</f>
        <v>0</v>
      </c>
      <c r="W104" s="444">
        <f ca="1">TODAY()-Table1[[#This Row],[Change Date]]</f>
        <v>59.630555555559113</v>
      </c>
      <c r="X104" s="422" t="str">
        <f t="shared" si="15"/>
        <v/>
      </c>
      <c r="Y104" s="476">
        <f ca="1">IF(Table1[[#This Row],[Next Stage Date]]&lt;&gt;"",Table1[[#This Row],[Next Stage Date]]-Table1[[#This Row],[Change Date]],TODAY()-Table1[[#This Row],[Change Date]])</f>
        <v>59.630555555559113</v>
      </c>
      <c r="Z104" s="476">
        <f t="shared" si="16"/>
        <v>1</v>
      </c>
      <c r="AA104" s="422">
        <f t="shared" si="17"/>
        <v>46198.369444444441</v>
      </c>
      <c r="AB104" s="422">
        <f t="shared" si="18"/>
        <v>46198.368750000001</v>
      </c>
      <c r="AC104" s="476">
        <f t="shared" si="19"/>
        <v>167.36875000000146</v>
      </c>
      <c r="AD104" s="476">
        <f t="shared" si="20"/>
        <v>6.9444443943211809E-4</v>
      </c>
      <c r="AE104" s="476">
        <f t="shared" si="21"/>
        <v>167.36944444444089</v>
      </c>
      <c r="AF104" s="476" t="b">
        <f>IFERROR(_xlfn.XLOOKUP(Table1[[#This Row],[Opportunity ID]],'Aging Detail'!$H$14:$H$20,'Aging Detail'!$F$14:$F$20),TRUE)</f>
        <v>1</v>
      </c>
    </row>
    <row r="105" spans="1:32">
      <c r="A105" t="s">
        <v>1461</v>
      </c>
      <c r="B105" t="s">
        <v>462</v>
      </c>
      <c r="C105" t="s">
        <v>526</v>
      </c>
      <c r="D105" t="s">
        <v>1819</v>
      </c>
      <c r="E105" t="s">
        <v>1817</v>
      </c>
      <c r="F105" t="s">
        <v>148</v>
      </c>
      <c r="H105" t="s">
        <v>169</v>
      </c>
      <c r="I105" s="422">
        <v>46031</v>
      </c>
      <c r="J105" s="422">
        <v>46198</v>
      </c>
      <c r="K105">
        <v>24000</v>
      </c>
      <c r="L105">
        <v>24000</v>
      </c>
      <c r="M105" t="s">
        <v>1818</v>
      </c>
      <c r="N105" t="s">
        <v>1667</v>
      </c>
      <c r="O105" t="str">
        <f>_xlfn.IFNA(VLOOKUP(Table1[[#This Row],[Lead Source]],'helper tab'!A:B,2,FALSE),"Exclude")</f>
        <v>Alliances</v>
      </c>
      <c r="P105" s="422">
        <f t="shared" si="11"/>
        <v>46198.368750000001</v>
      </c>
      <c r="Q105">
        <f t="shared" si="12"/>
        <v>1</v>
      </c>
      <c r="R105">
        <f t="shared" si="13"/>
        <v>0</v>
      </c>
      <c r="S105">
        <f>IF(
AND($Q105=1,$M105&lt;&gt;""),
IF(
COUNTIFS(
$M$3:$M105,$M105,
$O$3:$O105,$O105,
$Q$3:$Q105,1,
$P$3:$P105,"&gt;="&amp;EOMONTH($P105,-1)+1,
$P$3:$P105,"&lt;"&amp;EOMONTH($P105,0)+1
)=1,
1,
0),
0)</f>
        <v>1</v>
      </c>
      <c r="T105">
        <f>IF(AND($R105=1,$M105&lt;&gt;""),IF(COUNTIFS($M$3:$M105,$M105,$O$3:$O105,$O105,$R$3:$R105,1,$P$3:$P105,"&gt;="&amp;EOMONTH($P105,-1)+1,$P$3:$P105,"&lt;"&amp;EOMONTH($P105,0)+1)=1,1,0),0)</f>
        <v>0</v>
      </c>
      <c r="U105">
        <f t="shared" si="14"/>
        <v>0</v>
      </c>
      <c r="V105">
        <f>IF(AND($U105=1,$M105&lt;&gt;""),IF(COUNTIFS($M$3:$M105,$M105,$O$3:$O105,$O105,$U$3:$U105,1,$P$3:$P105,"&gt;="&amp;EOMONTH($P105,-1)+1,$P$3:$P105,"&lt;"&amp;EOMONTH($P105,0)+1)=1,1,0),0)</f>
        <v>0</v>
      </c>
      <c r="W105" s="444">
        <f ca="1">TODAY()-Table1[[#This Row],[Change Date]]</f>
        <v>59.631249999998545</v>
      </c>
      <c r="X105" s="422">
        <f t="shared" si="15"/>
        <v>46198.369444444441</v>
      </c>
      <c r="Y105" s="476">
        <f ca="1">IF(Table1[[#This Row],[Next Stage Date]]&lt;&gt;"",Table1[[#This Row],[Next Stage Date]]-Table1[[#This Row],[Change Date]],TODAY()-Table1[[#This Row],[Change Date]])</f>
        <v>6.9444443943211809E-4</v>
      </c>
      <c r="Z105" s="476">
        <f t="shared" si="16"/>
        <v>0</v>
      </c>
      <c r="AA105" s="422">
        <f t="shared" si="17"/>
        <v>46198.369444444441</v>
      </c>
      <c r="AB105" s="422">
        <f t="shared" si="18"/>
        <v>46198.368750000001</v>
      </c>
      <c r="AC105" s="476">
        <f t="shared" si="19"/>
        <v>167.36875000000146</v>
      </c>
      <c r="AD105" s="476">
        <f t="shared" si="20"/>
        <v>6.9444443943211809E-4</v>
      </c>
      <c r="AE105" s="476">
        <f t="shared" si="21"/>
        <v>167.36944444444089</v>
      </c>
      <c r="AF105" s="476" t="b">
        <f>IFERROR(_xlfn.XLOOKUP(Table1[[#This Row],[Opportunity ID]],'Aging Detail'!$H$14:$H$20,'Aging Detail'!$F$14:$F$20),TRUE)</f>
        <v>1</v>
      </c>
    </row>
    <row r="106" spans="1:32">
      <c r="A106" t="s">
        <v>1461</v>
      </c>
      <c r="B106" t="s">
        <v>1462</v>
      </c>
      <c r="C106" t="s">
        <v>462</v>
      </c>
      <c r="D106" t="s">
        <v>1819</v>
      </c>
      <c r="E106" t="s">
        <v>1817</v>
      </c>
      <c r="F106" t="s">
        <v>148</v>
      </c>
      <c r="H106" t="s">
        <v>169</v>
      </c>
      <c r="I106" s="422">
        <v>46031</v>
      </c>
      <c r="J106" s="422">
        <v>46198</v>
      </c>
      <c r="K106">
        <v>24000</v>
      </c>
      <c r="L106">
        <v>24000</v>
      </c>
      <c r="M106" t="s">
        <v>1818</v>
      </c>
      <c r="N106" t="s">
        <v>1667</v>
      </c>
      <c r="O106" t="str">
        <f>_xlfn.IFNA(VLOOKUP(Table1[[#This Row],[Lead Source]],'helper tab'!A:B,2,FALSE),"Exclude")</f>
        <v>Alliances</v>
      </c>
      <c r="P106" s="422">
        <f t="shared" si="11"/>
        <v>46198.368750000001</v>
      </c>
      <c r="Q106">
        <f t="shared" si="12"/>
        <v>1</v>
      </c>
      <c r="R106">
        <f t="shared" si="13"/>
        <v>0</v>
      </c>
      <c r="S106">
        <f>IF(
AND($Q106=1,$M106&lt;&gt;""),
IF(
COUNTIFS(
$M$3:$M106,$M106,
$O$3:$O106,$O106,
$Q$3:$Q106,1,
$P$3:$P106,"&gt;="&amp;EOMONTH($P106,-1)+1,
$P$3:$P106,"&lt;"&amp;EOMONTH($P106,0)+1
)=1,
1,
0),
0)</f>
        <v>0</v>
      </c>
      <c r="T106">
        <f>IF(AND($R106=1,$M106&lt;&gt;""),IF(COUNTIFS($M$3:$M106,$M106,$O$3:$O106,$O106,$R$3:$R106,1,$P$3:$P106,"&gt;="&amp;EOMONTH($P106,-1)+1,$P$3:$P106,"&lt;"&amp;EOMONTH($P106,0)+1)=1,1,0),0)</f>
        <v>0</v>
      </c>
      <c r="U106">
        <f t="shared" si="14"/>
        <v>0</v>
      </c>
      <c r="V106">
        <f>IF(AND($U106=1,$M106&lt;&gt;""),IF(COUNTIFS($M$3:$M106,$M106,$O$3:$O106,$O106,$U$3:$U106,1,$P$3:$P106,"&gt;="&amp;EOMONTH($P106,-1)+1,$P$3:$P106,"&lt;"&amp;EOMONTH($P106,0)+1)=1,1,0),0)</f>
        <v>0</v>
      </c>
      <c r="W106" s="444">
        <f ca="1">TODAY()-Table1[[#This Row],[Change Date]]</f>
        <v>59.631249999998545</v>
      </c>
      <c r="X106" s="422">
        <f t="shared" si="15"/>
        <v>46198.369444444441</v>
      </c>
      <c r="Y106" s="476">
        <f ca="1">IF(Table1[[#This Row],[Next Stage Date]]&lt;&gt;"",Table1[[#This Row],[Next Stage Date]]-Table1[[#This Row],[Change Date]],TODAY()-Table1[[#This Row],[Change Date]])</f>
        <v>6.9444443943211809E-4</v>
      </c>
      <c r="Z106" s="476">
        <f t="shared" si="16"/>
        <v>0</v>
      </c>
      <c r="AA106" s="422">
        <f t="shared" si="17"/>
        <v>46198.369444444441</v>
      </c>
      <c r="AB106" s="422">
        <f t="shared" si="18"/>
        <v>46198.368750000001</v>
      </c>
      <c r="AC106" s="476">
        <f t="shared" si="19"/>
        <v>167.36875000000146</v>
      </c>
      <c r="AD106" s="476">
        <f t="shared" si="20"/>
        <v>6.9444443943211809E-4</v>
      </c>
      <c r="AE106" s="476">
        <f t="shared" si="21"/>
        <v>167.36944444444089</v>
      </c>
      <c r="AF106" s="476" t="b">
        <f>IFERROR(_xlfn.XLOOKUP(Table1[[#This Row],[Opportunity ID]],'Aging Detail'!$H$14:$H$20,'Aging Detail'!$F$14:$F$20),TRUE)</f>
        <v>1</v>
      </c>
    </row>
    <row r="107" spans="1:32">
      <c r="A107" t="s">
        <v>1461</v>
      </c>
      <c r="B107" t="s">
        <v>1462</v>
      </c>
      <c r="C107" t="s">
        <v>462</v>
      </c>
      <c r="D107" t="s">
        <v>1820</v>
      </c>
      <c r="E107" t="s">
        <v>1821</v>
      </c>
      <c r="I107" s="422">
        <v>46189</v>
      </c>
      <c r="J107" s="422">
        <v>46234</v>
      </c>
      <c r="L107">
        <v>0</v>
      </c>
      <c r="M107" t="s">
        <v>1822</v>
      </c>
      <c r="N107" t="s">
        <v>1823</v>
      </c>
      <c r="O107" t="str">
        <f>_xlfn.IFNA(VLOOKUP(Table1[[#This Row],[Lead Source]],'helper tab'!A:B,2,FALSE),"Exclude")</f>
        <v>Exclude</v>
      </c>
      <c r="P107" s="422">
        <f t="shared" si="11"/>
        <v>46198.326388888891</v>
      </c>
      <c r="Q107">
        <f t="shared" si="12"/>
        <v>1</v>
      </c>
      <c r="R107">
        <f t="shared" si="13"/>
        <v>0</v>
      </c>
      <c r="S107">
        <f>IF(
AND($Q107=1,$M107&lt;&gt;""),
IF(
COUNTIFS(
$M$3:$M107,$M107,
$O$3:$O107,$O107,
$Q$3:$Q107,1,
$P$3:$P107,"&gt;="&amp;EOMONTH($P107,-1)+1,
$P$3:$P107,"&lt;"&amp;EOMONTH($P107,0)+1
)=1,
1,
0),
0)</f>
        <v>1</v>
      </c>
      <c r="T107">
        <f>IF(AND($R107=1,$M107&lt;&gt;""),IF(COUNTIFS($M$3:$M107,$M107,$O$3:$O107,$O107,$R$3:$R107,1,$P$3:$P107,"&gt;="&amp;EOMONTH($P107,-1)+1,$P$3:$P107,"&lt;"&amp;EOMONTH($P107,0)+1)=1,1,0),0)</f>
        <v>0</v>
      </c>
      <c r="U107">
        <f t="shared" si="14"/>
        <v>0</v>
      </c>
      <c r="V107">
        <f>IF(AND($U107=1,$M107&lt;&gt;""),IF(COUNTIFS($M$3:$M107,$M107,$O$3:$O107,$O107,$U$3:$U107,1,$P$3:$P107,"&gt;="&amp;EOMONTH($P107,-1)+1,$P$3:$P107,"&lt;"&amp;EOMONTH($P107,0)+1)=1,1,0),0)</f>
        <v>0</v>
      </c>
      <c r="W107" s="444">
        <f ca="1">TODAY()-Table1[[#This Row],[Change Date]]</f>
        <v>59.673611111109494</v>
      </c>
      <c r="X107" s="422" t="str">
        <f t="shared" si="15"/>
        <v/>
      </c>
      <c r="Y107" s="476">
        <f ca="1">IF(Table1[[#This Row],[Next Stage Date]]&lt;&gt;"",Table1[[#This Row],[Next Stage Date]]-Table1[[#This Row],[Change Date]],TODAY()-Table1[[#This Row],[Change Date]])</f>
        <v>59.673611111109494</v>
      </c>
      <c r="Z107" s="476">
        <f t="shared" si="16"/>
        <v>1</v>
      </c>
      <c r="AA107" s="422" t="str">
        <f t="shared" si="17"/>
        <v/>
      </c>
      <c r="AB107" s="422">
        <f t="shared" si="18"/>
        <v>46198.326388888891</v>
      </c>
      <c r="AC107" s="476">
        <f t="shared" si="19"/>
        <v>9.3263888888905058</v>
      </c>
      <c r="AD107" s="476" t="str">
        <f t="shared" si="20"/>
        <v/>
      </c>
      <c r="AE107" s="476" t="str">
        <f t="shared" si="21"/>
        <v/>
      </c>
      <c r="AF107" s="476" t="b">
        <f>IFERROR(_xlfn.XLOOKUP(Table1[[#This Row],[Opportunity ID]],'Aging Detail'!$H$14:$H$20,'Aging Detail'!$F$14:$F$20),TRUE)</f>
        <v>1</v>
      </c>
    </row>
    <row r="108" spans="1:32">
      <c r="A108" t="s">
        <v>1461</v>
      </c>
      <c r="B108" t="s">
        <v>1462</v>
      </c>
      <c r="C108" t="s">
        <v>462</v>
      </c>
      <c r="D108" t="s">
        <v>1824</v>
      </c>
      <c r="E108" t="s">
        <v>1693</v>
      </c>
      <c r="I108" s="422">
        <v>45980</v>
      </c>
      <c r="J108" s="422">
        <v>46477</v>
      </c>
      <c r="K108">
        <v>345000</v>
      </c>
      <c r="L108">
        <v>345000</v>
      </c>
      <c r="M108" t="s">
        <v>1694</v>
      </c>
      <c r="N108" t="s">
        <v>1695</v>
      </c>
      <c r="O108" t="str">
        <f>_xlfn.IFNA(VLOOKUP(Table1[[#This Row],[Lead Source]],'helper tab'!A:B,2,FALSE),"Exclude")</f>
        <v>Exclude</v>
      </c>
      <c r="P108" s="422">
        <f t="shared" si="11"/>
        <v>46197.490277777775</v>
      </c>
      <c r="Q108">
        <f t="shared" si="12"/>
        <v>1</v>
      </c>
      <c r="R108">
        <f t="shared" si="13"/>
        <v>0</v>
      </c>
      <c r="S108">
        <f>IF(
AND($Q108=1,$M108&lt;&gt;""),
IF(
COUNTIFS(
$M$3:$M108,$M108,
$O$3:$O108,$O108,
$Q$3:$Q108,1,
$P$3:$P108,"&gt;="&amp;EOMONTH($P108,-1)+1,
$P$3:$P108,"&lt;"&amp;EOMONTH($P108,0)+1
)=1,
1,
0),
0)</f>
        <v>1</v>
      </c>
      <c r="T108">
        <f>IF(AND($R108=1,$M108&lt;&gt;""),IF(COUNTIFS($M$3:$M108,$M108,$O$3:$O108,$O108,$R$3:$R108,1,$P$3:$P108,"&gt;="&amp;EOMONTH($P108,-1)+1,$P$3:$P108,"&lt;"&amp;EOMONTH($P108,0)+1)=1,1,0),0)</f>
        <v>0</v>
      </c>
      <c r="U108">
        <f t="shared" si="14"/>
        <v>0</v>
      </c>
      <c r="V108">
        <f>IF(AND($U108=1,$M108&lt;&gt;""),IF(COUNTIFS($M$3:$M108,$M108,$O$3:$O108,$O108,$U$3:$U108,1,$P$3:$P108,"&gt;="&amp;EOMONTH($P108,-1)+1,$P$3:$P108,"&lt;"&amp;EOMONTH($P108,0)+1)=1,1,0),0)</f>
        <v>0</v>
      </c>
      <c r="W108" s="444">
        <f ca="1">TODAY()-Table1[[#This Row],[Change Date]]</f>
        <v>60.509722222224809</v>
      </c>
      <c r="X108" s="422">
        <f t="shared" si="15"/>
        <v>46211.304166666669</v>
      </c>
      <c r="Y108" s="476">
        <f ca="1">IF(Table1[[#This Row],[Next Stage Date]]&lt;&gt;"",Table1[[#This Row],[Next Stage Date]]-Table1[[#This Row],[Change Date]],TODAY()-Table1[[#This Row],[Change Date]])</f>
        <v>13.813888888893416</v>
      </c>
      <c r="Z108" s="476">
        <f t="shared" si="16"/>
        <v>0</v>
      </c>
      <c r="AA108" s="422" t="str">
        <f t="shared" si="17"/>
        <v/>
      </c>
      <c r="AB108" s="422">
        <f t="shared" si="18"/>
        <v>46197.490277777775</v>
      </c>
      <c r="AC108" s="476">
        <f t="shared" si="19"/>
        <v>217.49027777777519</v>
      </c>
      <c r="AD108" s="476" t="str">
        <f t="shared" si="20"/>
        <v/>
      </c>
      <c r="AE108" s="476" t="str">
        <f t="shared" si="21"/>
        <v/>
      </c>
      <c r="AF108" s="476" t="b">
        <f>IFERROR(_xlfn.XLOOKUP(Table1[[#This Row],[Opportunity ID]],'Aging Detail'!$H$14:$H$20,'Aging Detail'!$F$14:$F$20),TRUE)</f>
        <v>1</v>
      </c>
    </row>
    <row r="109" spans="1:32">
      <c r="A109" t="s">
        <v>1461</v>
      </c>
      <c r="B109" t="s">
        <v>338</v>
      </c>
      <c r="C109" t="s">
        <v>1469</v>
      </c>
      <c r="D109" t="s">
        <v>1825</v>
      </c>
      <c r="E109" t="s">
        <v>1826</v>
      </c>
      <c r="F109" t="s">
        <v>1465</v>
      </c>
      <c r="I109" s="422">
        <v>46132</v>
      </c>
      <c r="J109" s="422">
        <v>46132</v>
      </c>
      <c r="L109">
        <v>0</v>
      </c>
      <c r="M109" t="s">
        <v>1827</v>
      </c>
      <c r="N109" t="s">
        <v>1828</v>
      </c>
      <c r="O109" t="str">
        <f>_xlfn.IFNA(VLOOKUP(Table1[[#This Row],[Lead Source]],'helper tab'!A:B,2,FALSE),"Exclude")</f>
        <v>Exclude</v>
      </c>
      <c r="P109" s="422">
        <f t="shared" si="11"/>
        <v>46196.230555555558</v>
      </c>
      <c r="Q109">
        <f t="shared" si="12"/>
        <v>0</v>
      </c>
      <c r="R109">
        <f t="shared" si="13"/>
        <v>0</v>
      </c>
      <c r="S109">
        <f>IF(
AND($Q109=1,$M109&lt;&gt;""),
IF(
COUNTIFS(
$M$3:$M109,$M109,
$O$3:$O109,$O109,
$Q$3:$Q109,1,
$P$3:$P109,"&gt;="&amp;EOMONTH($P109,-1)+1,
$P$3:$P109,"&lt;"&amp;EOMONTH($P109,0)+1
)=1,
1,
0),
0)</f>
        <v>0</v>
      </c>
      <c r="T109">
        <f>IF(AND($R109=1,$M109&lt;&gt;""),IF(COUNTIFS($M$3:$M109,$M109,$O$3:$O109,$O109,$R$3:$R109,1,$P$3:$P109,"&gt;="&amp;EOMONTH($P109,-1)+1,$P$3:$P109,"&lt;"&amp;EOMONTH($P109,0)+1)=1,1,0),0)</f>
        <v>0</v>
      </c>
      <c r="U109">
        <f t="shared" si="14"/>
        <v>1</v>
      </c>
      <c r="V109">
        <f>IF(AND($U109=1,$M109&lt;&gt;""),IF(COUNTIFS($M$3:$M109,$M109,$O$3:$O109,$O109,$U$3:$U109,1,$P$3:$P109,"&gt;="&amp;EOMONTH($P109,-1)+1,$P$3:$P109,"&lt;"&amp;EOMONTH($P109,0)+1)=1,1,0),0)</f>
        <v>1</v>
      </c>
      <c r="W109" s="444">
        <f ca="1">TODAY()-Table1[[#This Row],[Change Date]]</f>
        <v>61.769444444442343</v>
      </c>
      <c r="X109" s="422" t="str">
        <f t="shared" si="15"/>
        <v/>
      </c>
      <c r="Y109" s="476">
        <f ca="1">IF(Table1[[#This Row],[Next Stage Date]]&lt;&gt;"",Table1[[#This Row],[Next Stage Date]]-Table1[[#This Row],[Change Date]],TODAY()-Table1[[#This Row],[Change Date]])</f>
        <v>61.769444444442343</v>
      </c>
      <c r="Z109" s="476">
        <f t="shared" si="16"/>
        <v>1</v>
      </c>
      <c r="AA109" s="422" t="str">
        <f t="shared" si="17"/>
        <v/>
      </c>
      <c r="AB109" s="422" t="str">
        <f t="shared" si="18"/>
        <v/>
      </c>
      <c r="AC109" s="476" t="str">
        <f t="shared" si="19"/>
        <v/>
      </c>
      <c r="AD109" s="476" t="str">
        <f t="shared" si="20"/>
        <v/>
      </c>
      <c r="AE109" s="476" t="str">
        <f t="shared" si="21"/>
        <v/>
      </c>
      <c r="AF109" s="476" t="b">
        <f>IFERROR(_xlfn.XLOOKUP(Table1[[#This Row],[Opportunity ID]],'Aging Detail'!$H$14:$H$20,'Aging Detail'!$F$14:$F$20),TRUE)</f>
        <v>1</v>
      </c>
    </row>
    <row r="110" spans="1:32">
      <c r="A110" t="s">
        <v>1461</v>
      </c>
      <c r="B110" t="s">
        <v>338</v>
      </c>
      <c r="C110" t="s">
        <v>1469</v>
      </c>
      <c r="D110" t="s">
        <v>1825</v>
      </c>
      <c r="E110" t="s">
        <v>1829</v>
      </c>
      <c r="I110" s="422">
        <v>46038</v>
      </c>
      <c r="J110" s="422">
        <v>73050</v>
      </c>
      <c r="L110">
        <v>0</v>
      </c>
      <c r="M110" t="s">
        <v>1830</v>
      </c>
      <c r="N110" t="s">
        <v>1831</v>
      </c>
      <c r="O110" t="str">
        <f>_xlfn.IFNA(VLOOKUP(Table1[[#This Row],[Lead Source]],'helper tab'!A:B,2,FALSE),"Exclude")</f>
        <v>Exclude</v>
      </c>
      <c r="P110" s="422">
        <f t="shared" si="11"/>
        <v>46196.230555555558</v>
      </c>
      <c r="Q110">
        <f t="shared" si="12"/>
        <v>0</v>
      </c>
      <c r="R110">
        <f t="shared" si="13"/>
        <v>0</v>
      </c>
      <c r="S110">
        <f>IF(
AND($Q110=1,$M110&lt;&gt;""),
IF(
COUNTIFS(
$M$3:$M110,$M110,
$O$3:$O110,$O110,
$Q$3:$Q110,1,
$P$3:$P110,"&gt;="&amp;EOMONTH($P110,-1)+1,
$P$3:$P110,"&lt;"&amp;EOMONTH($P110,0)+1
)=1,
1,
0),
0)</f>
        <v>0</v>
      </c>
      <c r="T110">
        <f>IF(AND($R110=1,$M110&lt;&gt;""),IF(COUNTIFS($M$3:$M110,$M110,$O$3:$O110,$O110,$R$3:$R110,1,$P$3:$P110,"&gt;="&amp;EOMONTH($P110,-1)+1,$P$3:$P110,"&lt;"&amp;EOMONTH($P110,0)+1)=1,1,0),0)</f>
        <v>0</v>
      </c>
      <c r="U110">
        <f t="shared" si="14"/>
        <v>1</v>
      </c>
      <c r="V110">
        <f>IF(AND($U110=1,$M110&lt;&gt;""),IF(COUNTIFS($M$3:$M110,$M110,$O$3:$O110,$O110,$U$3:$U110,1,$P$3:$P110,"&gt;="&amp;EOMONTH($P110,-1)+1,$P$3:$P110,"&lt;"&amp;EOMONTH($P110,0)+1)=1,1,0),0)</f>
        <v>1</v>
      </c>
      <c r="W110" s="444">
        <f ca="1">TODAY()-Table1[[#This Row],[Change Date]]</f>
        <v>61.769444444442343</v>
      </c>
      <c r="X110" s="422" t="str">
        <f t="shared" si="15"/>
        <v/>
      </c>
      <c r="Y110" s="476">
        <f ca="1">IF(Table1[[#This Row],[Next Stage Date]]&lt;&gt;"",Table1[[#This Row],[Next Stage Date]]-Table1[[#This Row],[Change Date]],TODAY()-Table1[[#This Row],[Change Date]])</f>
        <v>61.769444444442343</v>
      </c>
      <c r="Z110" s="476">
        <f t="shared" si="16"/>
        <v>1</v>
      </c>
      <c r="AA110" s="422" t="str">
        <f t="shared" si="17"/>
        <v/>
      </c>
      <c r="AB110" s="422" t="str">
        <f t="shared" si="18"/>
        <v/>
      </c>
      <c r="AC110" s="476" t="str">
        <f t="shared" si="19"/>
        <v/>
      </c>
      <c r="AD110" s="476" t="str">
        <f t="shared" si="20"/>
        <v/>
      </c>
      <c r="AE110" s="476" t="str">
        <f t="shared" si="21"/>
        <v/>
      </c>
      <c r="AF110" s="476" t="b">
        <f>IFERROR(_xlfn.XLOOKUP(Table1[[#This Row],[Opportunity ID]],'Aging Detail'!$H$14:$H$20,'Aging Detail'!$F$14:$F$20),TRUE)</f>
        <v>1</v>
      </c>
    </row>
    <row r="111" spans="1:32">
      <c r="A111" t="s">
        <v>1461</v>
      </c>
      <c r="B111" t="s">
        <v>338</v>
      </c>
      <c r="C111" t="s">
        <v>1469</v>
      </c>
      <c r="D111" t="s">
        <v>1832</v>
      </c>
      <c r="E111" t="s">
        <v>1833</v>
      </c>
      <c r="I111" s="422">
        <v>45735</v>
      </c>
      <c r="J111" s="422">
        <v>73050</v>
      </c>
      <c r="L111">
        <v>0</v>
      </c>
      <c r="M111" t="s">
        <v>1834</v>
      </c>
      <c r="N111" t="s">
        <v>1634</v>
      </c>
      <c r="O111" t="str">
        <f>_xlfn.IFNA(VLOOKUP(Table1[[#This Row],[Lead Source]],'helper tab'!A:B,2,FALSE),"Exclude")</f>
        <v>Exclude</v>
      </c>
      <c r="P111" s="422">
        <f t="shared" si="11"/>
        <v>46196.21875</v>
      </c>
      <c r="Q111">
        <f t="shared" si="12"/>
        <v>0</v>
      </c>
      <c r="R111">
        <f t="shared" si="13"/>
        <v>0</v>
      </c>
      <c r="S111">
        <f>IF(
AND($Q111=1,$M111&lt;&gt;""),
IF(
COUNTIFS(
$M$3:$M111,$M111,
$O$3:$O111,$O111,
$Q$3:$Q111,1,
$P$3:$P111,"&gt;="&amp;EOMONTH($P111,-1)+1,
$P$3:$P111,"&lt;"&amp;EOMONTH($P111,0)+1
)=1,
1,
0),
0)</f>
        <v>0</v>
      </c>
      <c r="T111">
        <f>IF(AND($R111=1,$M111&lt;&gt;""),IF(COUNTIFS($M$3:$M111,$M111,$O$3:$O111,$O111,$R$3:$R111,1,$P$3:$P111,"&gt;="&amp;EOMONTH($P111,-1)+1,$P$3:$P111,"&lt;"&amp;EOMONTH($P111,0)+1)=1,1,0),0)</f>
        <v>0</v>
      </c>
      <c r="U111">
        <f t="shared" si="14"/>
        <v>1</v>
      </c>
      <c r="V111">
        <f>IF(AND($U111=1,$M111&lt;&gt;""),IF(COUNTIFS($M$3:$M111,$M111,$O$3:$O111,$O111,$U$3:$U111,1,$P$3:$P111,"&gt;="&amp;EOMONTH($P111,-1)+1,$P$3:$P111,"&lt;"&amp;EOMONTH($P111,0)+1)=1,1,0),0)</f>
        <v>1</v>
      </c>
      <c r="W111" s="444">
        <f ca="1">TODAY()-Table1[[#This Row],[Change Date]]</f>
        <v>61.78125</v>
      </c>
      <c r="X111" s="422" t="str">
        <f t="shared" si="15"/>
        <v/>
      </c>
      <c r="Y111" s="476">
        <f ca="1">IF(Table1[[#This Row],[Next Stage Date]]&lt;&gt;"",Table1[[#This Row],[Next Stage Date]]-Table1[[#This Row],[Change Date]],TODAY()-Table1[[#This Row],[Change Date]])</f>
        <v>61.78125</v>
      </c>
      <c r="Z111" s="476">
        <f t="shared" si="16"/>
        <v>1</v>
      </c>
      <c r="AA111" s="422" t="str">
        <f t="shared" si="17"/>
        <v/>
      </c>
      <c r="AB111" s="422" t="str">
        <f t="shared" si="18"/>
        <v/>
      </c>
      <c r="AC111" s="476" t="str">
        <f t="shared" si="19"/>
        <v/>
      </c>
      <c r="AD111" s="476" t="str">
        <f t="shared" si="20"/>
        <v/>
      </c>
      <c r="AE111" s="476" t="str">
        <f t="shared" si="21"/>
        <v/>
      </c>
      <c r="AF111" s="476" t="b">
        <f>IFERROR(_xlfn.XLOOKUP(Table1[[#This Row],[Opportunity ID]],'Aging Detail'!$H$14:$H$20,'Aging Detail'!$F$14:$F$20),TRUE)</f>
        <v>1</v>
      </c>
    </row>
    <row r="112" spans="1:32">
      <c r="A112" t="s">
        <v>1461</v>
      </c>
      <c r="B112" t="s">
        <v>462</v>
      </c>
      <c r="C112" t="s">
        <v>1469</v>
      </c>
      <c r="D112" t="s">
        <v>1835</v>
      </c>
      <c r="E112" t="s">
        <v>1631</v>
      </c>
      <c r="F112" t="s">
        <v>1632</v>
      </c>
      <c r="I112" s="422">
        <v>45980</v>
      </c>
      <c r="J112" s="422">
        <v>46387</v>
      </c>
      <c r="K112">
        <v>0</v>
      </c>
      <c r="L112">
        <v>0</v>
      </c>
      <c r="M112" t="s">
        <v>1633</v>
      </c>
      <c r="N112" t="s">
        <v>1634</v>
      </c>
      <c r="O112" t="str">
        <f>_xlfn.IFNA(VLOOKUP(Table1[[#This Row],[Lead Source]],'helper tab'!A:B,2,FALSE),"Exclude")</f>
        <v>Exclude</v>
      </c>
      <c r="P112" s="422">
        <f t="shared" si="11"/>
        <v>46196.214583333334</v>
      </c>
      <c r="Q112">
        <f t="shared" si="12"/>
        <v>0</v>
      </c>
      <c r="R112">
        <f t="shared" si="13"/>
        <v>0</v>
      </c>
      <c r="S112">
        <f>IF(
AND($Q112=1,$M112&lt;&gt;""),
IF(
COUNTIFS(
$M$3:$M112,$M112,
$O$3:$O112,$O112,
$Q$3:$Q112,1,
$P$3:$P112,"&gt;="&amp;EOMONTH($P112,-1)+1,
$P$3:$P112,"&lt;"&amp;EOMONTH($P112,0)+1
)=1,
1,
0),
0)</f>
        <v>0</v>
      </c>
      <c r="T112">
        <f>IF(AND($R112=1,$M112&lt;&gt;""),IF(COUNTIFS($M$3:$M112,$M112,$O$3:$O112,$O112,$R$3:$R112,1,$P$3:$P112,"&gt;="&amp;EOMONTH($P112,-1)+1,$P$3:$P112,"&lt;"&amp;EOMONTH($P112,0)+1)=1,1,0),0)</f>
        <v>0</v>
      </c>
      <c r="U112">
        <f t="shared" si="14"/>
        <v>1</v>
      </c>
      <c r="V112">
        <f>IF(AND($U112=1,$M112&lt;&gt;""),IF(COUNTIFS($M$3:$M112,$M112,$O$3:$O112,$O112,$U$3:$U112,1,$P$3:$P112,"&gt;="&amp;EOMONTH($P112,-1)+1,$P$3:$P112,"&lt;"&amp;EOMONTH($P112,0)+1)=1,1,0),0)</f>
        <v>1</v>
      </c>
      <c r="W112" s="444">
        <f ca="1">TODAY()-Table1[[#This Row],[Change Date]]</f>
        <v>61.785416666665697</v>
      </c>
      <c r="X112" s="422">
        <f t="shared" si="15"/>
        <v>46224.402083333334</v>
      </c>
      <c r="Y112" s="476">
        <f ca="1">IF(Table1[[#This Row],[Next Stage Date]]&lt;&gt;"",Table1[[#This Row],[Next Stage Date]]-Table1[[#This Row],[Change Date]],TODAY()-Table1[[#This Row],[Change Date]])</f>
        <v>28.1875</v>
      </c>
      <c r="Z112" s="476">
        <f t="shared" si="16"/>
        <v>0</v>
      </c>
      <c r="AA112" s="422" t="str">
        <f t="shared" si="17"/>
        <v/>
      </c>
      <c r="AB112" s="422">
        <f t="shared" si="18"/>
        <v>46118.349305555559</v>
      </c>
      <c r="AC112" s="476">
        <f t="shared" si="19"/>
        <v>138.34930555555911</v>
      </c>
      <c r="AD112" s="476" t="str">
        <f t="shared" si="20"/>
        <v/>
      </c>
      <c r="AE112" s="476" t="str">
        <f t="shared" si="21"/>
        <v/>
      </c>
      <c r="AF112" s="476" t="b">
        <f>IFERROR(_xlfn.XLOOKUP(Table1[[#This Row],[Opportunity ID]],'Aging Detail'!$H$14:$H$20,'Aging Detail'!$F$14:$F$20),TRUE)</f>
        <v>1</v>
      </c>
    </row>
    <row r="113" spans="1:32">
      <c r="A113" t="s">
        <v>1461</v>
      </c>
      <c r="B113" t="s">
        <v>462</v>
      </c>
      <c r="C113" t="s">
        <v>1462</v>
      </c>
      <c r="D113" t="s">
        <v>1836</v>
      </c>
      <c r="E113" t="s">
        <v>1837</v>
      </c>
      <c r="F113" t="s">
        <v>1632</v>
      </c>
      <c r="I113" s="422">
        <v>45971</v>
      </c>
      <c r="J113" s="422">
        <v>46752</v>
      </c>
      <c r="K113">
        <v>1560000</v>
      </c>
      <c r="L113">
        <v>1560000</v>
      </c>
      <c r="M113" t="s">
        <v>1838</v>
      </c>
      <c r="N113" t="s">
        <v>1831</v>
      </c>
      <c r="O113" t="str">
        <f>_xlfn.IFNA(VLOOKUP(Table1[[#This Row],[Lead Source]],'helper tab'!A:B,2,FALSE),"Exclude")</f>
        <v>Exclude</v>
      </c>
      <c r="P113" s="422">
        <f t="shared" si="11"/>
        <v>46196.212500000001</v>
      </c>
      <c r="Q113">
        <f t="shared" si="12"/>
        <v>0</v>
      </c>
      <c r="R113">
        <f t="shared" si="13"/>
        <v>0</v>
      </c>
      <c r="S113">
        <f>IF(
AND($Q113=1,$M113&lt;&gt;""),
IF(
COUNTIFS(
$M$3:$M113,$M113,
$O$3:$O113,$O113,
$Q$3:$Q113,1,
$P$3:$P113,"&gt;="&amp;EOMONTH($P113,-1)+1,
$P$3:$P113,"&lt;"&amp;EOMONTH($P113,0)+1
)=1,
1,
0),
0)</f>
        <v>0</v>
      </c>
      <c r="T113">
        <f>IF(AND($R113=1,$M113&lt;&gt;""),IF(COUNTIFS($M$3:$M113,$M113,$O$3:$O113,$O113,$R$3:$R113,1,$P$3:$P113,"&gt;="&amp;EOMONTH($P113,-1)+1,$P$3:$P113,"&lt;"&amp;EOMONTH($P113,0)+1)=1,1,0),0)</f>
        <v>0</v>
      </c>
      <c r="U113">
        <f t="shared" si="14"/>
        <v>0</v>
      </c>
      <c r="V113">
        <f>IF(AND($U113=1,$M113&lt;&gt;""),IF(COUNTIFS($M$3:$M113,$M113,$O$3:$O113,$O113,$U$3:$U113,1,$P$3:$P113,"&gt;="&amp;EOMONTH($P113,-1)+1,$P$3:$P113,"&lt;"&amp;EOMONTH($P113,0)+1)=1,1,0),0)</f>
        <v>0</v>
      </c>
      <c r="W113" s="444">
        <f ca="1">TODAY()-Table1[[#This Row],[Change Date]]</f>
        <v>61.787499999998545</v>
      </c>
      <c r="X113" s="422" t="str">
        <f t="shared" si="15"/>
        <v/>
      </c>
      <c r="Y113" s="476">
        <f ca="1">IF(Table1[[#This Row],[Next Stage Date]]&lt;&gt;"",Table1[[#This Row],[Next Stage Date]]-Table1[[#This Row],[Change Date]],TODAY()-Table1[[#This Row],[Change Date]])</f>
        <v>61.787499999998545</v>
      </c>
      <c r="Z113" s="476">
        <f t="shared" si="16"/>
        <v>1</v>
      </c>
      <c r="AA113" s="422" t="str">
        <f t="shared" si="17"/>
        <v/>
      </c>
      <c r="AB113" s="422">
        <f t="shared" si="18"/>
        <v>46062.38958333333</v>
      </c>
      <c r="AC113" s="476">
        <f t="shared" si="19"/>
        <v>91.389583333329938</v>
      </c>
      <c r="AD113" s="476" t="str">
        <f t="shared" si="20"/>
        <v/>
      </c>
      <c r="AE113" s="476" t="str">
        <f t="shared" si="21"/>
        <v/>
      </c>
      <c r="AF113" s="476" t="b">
        <f>IFERROR(_xlfn.XLOOKUP(Table1[[#This Row],[Opportunity ID]],'Aging Detail'!$H$14:$H$20,'Aging Detail'!$F$14:$F$20),TRUE)</f>
        <v>1</v>
      </c>
    </row>
    <row r="114" spans="1:32">
      <c r="A114" t="s">
        <v>1461</v>
      </c>
      <c r="B114" t="s">
        <v>408</v>
      </c>
      <c r="C114" t="s">
        <v>1462</v>
      </c>
      <c r="D114" t="s">
        <v>1839</v>
      </c>
      <c r="E114" t="s">
        <v>1840</v>
      </c>
      <c r="F114" t="s">
        <v>404</v>
      </c>
      <c r="G114" t="s">
        <v>404</v>
      </c>
      <c r="H114" t="s">
        <v>1841</v>
      </c>
      <c r="I114" s="422">
        <v>46059</v>
      </c>
      <c r="J114" s="422">
        <v>46283</v>
      </c>
      <c r="K114">
        <v>1340000</v>
      </c>
      <c r="L114">
        <v>1200000</v>
      </c>
      <c r="M114" t="s">
        <v>1842</v>
      </c>
      <c r="N114" t="s">
        <v>1046</v>
      </c>
      <c r="O114" t="str">
        <f>_xlfn.IFNA(VLOOKUP(Table1[[#This Row],[Lead Source]],'helper tab'!A:B,2,FALSE),"Exclude")</f>
        <v>Digital</v>
      </c>
      <c r="P114" s="422">
        <f t="shared" si="11"/>
        <v>46195.532638888886</v>
      </c>
      <c r="Q114">
        <f t="shared" si="12"/>
        <v>0</v>
      </c>
      <c r="R114">
        <f t="shared" si="13"/>
        <v>0</v>
      </c>
      <c r="S114">
        <f>IF(
AND($Q114=1,$M114&lt;&gt;""),
IF(
COUNTIFS(
$M$3:$M114,$M114,
$O$3:$O114,$O114,
$Q$3:$Q114,1,
$P$3:$P114,"&gt;="&amp;EOMONTH($P114,-1)+1,
$P$3:$P114,"&lt;"&amp;EOMONTH($P114,0)+1
)=1,
1,
0),
0)</f>
        <v>0</v>
      </c>
      <c r="T114">
        <f>IF(AND($R114=1,$M114&lt;&gt;""),IF(COUNTIFS($M$3:$M114,$M114,$O$3:$O114,$O114,$R$3:$R114,1,$P$3:$P114,"&gt;="&amp;EOMONTH($P114,-1)+1,$P$3:$P114,"&lt;"&amp;EOMONTH($P114,0)+1)=1,1,0),0)</f>
        <v>0</v>
      </c>
      <c r="U114">
        <f t="shared" si="14"/>
        <v>0</v>
      </c>
      <c r="V114">
        <f>IF(AND($U114=1,$M114&lt;&gt;""),IF(COUNTIFS($M$3:$M114,$M114,$O$3:$O114,$O114,$U$3:$U114,1,$P$3:$P114,"&gt;="&amp;EOMONTH($P114,-1)+1,$P$3:$P114,"&lt;"&amp;EOMONTH($P114,0)+1)=1,1,0),0)</f>
        <v>0</v>
      </c>
      <c r="W114" s="444">
        <f ca="1">TODAY()-Table1[[#This Row],[Change Date]]</f>
        <v>62.46736111111386</v>
      </c>
      <c r="X114" s="422" t="str">
        <f t="shared" si="15"/>
        <v/>
      </c>
      <c r="Y114" s="476">
        <f ca="1">IF(Table1[[#This Row],[Next Stage Date]]&lt;&gt;"",Table1[[#This Row],[Next Stage Date]]-Table1[[#This Row],[Change Date]],TODAY()-Table1[[#This Row],[Change Date]])</f>
        <v>62.46736111111386</v>
      </c>
      <c r="Z114" s="476">
        <f t="shared" si="16"/>
        <v>1</v>
      </c>
      <c r="AA114" s="422" t="str">
        <f t="shared" si="17"/>
        <v/>
      </c>
      <c r="AB114" s="422" t="str">
        <f t="shared" si="18"/>
        <v/>
      </c>
      <c r="AC114" s="476" t="str">
        <f t="shared" si="19"/>
        <v/>
      </c>
      <c r="AD114" s="476" t="str">
        <f t="shared" si="20"/>
        <v/>
      </c>
      <c r="AE114" s="476" t="str">
        <f t="shared" si="21"/>
        <v/>
      </c>
      <c r="AF114" s="476" t="b">
        <f>IFERROR(_xlfn.XLOOKUP(Table1[[#This Row],[Opportunity ID]],'Aging Detail'!$H$14:$H$20,'Aging Detail'!$F$14:$F$20),TRUE)</f>
        <v>1</v>
      </c>
    </row>
    <row r="115" spans="1:32">
      <c r="A115" t="s">
        <v>1461</v>
      </c>
      <c r="B115" t="s">
        <v>338</v>
      </c>
      <c r="C115" t="s">
        <v>1469</v>
      </c>
      <c r="D115" t="s">
        <v>1843</v>
      </c>
      <c r="E115" t="s">
        <v>1844</v>
      </c>
      <c r="F115" t="s">
        <v>1465</v>
      </c>
      <c r="I115" s="422">
        <v>46125</v>
      </c>
      <c r="J115" s="422">
        <v>46344</v>
      </c>
      <c r="K115">
        <v>735020</v>
      </c>
      <c r="L115">
        <v>475020</v>
      </c>
      <c r="M115" t="s">
        <v>1845</v>
      </c>
      <c r="N115" t="s">
        <v>1846</v>
      </c>
      <c r="O115" t="str">
        <f>_xlfn.IFNA(VLOOKUP(Table1[[#This Row],[Lead Source]],'helper tab'!A:B,2,FALSE),"Exclude")</f>
        <v>Exclude</v>
      </c>
      <c r="P115" s="422">
        <f t="shared" si="11"/>
        <v>46193.326388888891</v>
      </c>
      <c r="Q115">
        <f t="shared" si="12"/>
        <v>0</v>
      </c>
      <c r="R115">
        <f t="shared" si="13"/>
        <v>0</v>
      </c>
      <c r="S115">
        <f>IF(
AND($Q115=1,$M115&lt;&gt;""),
IF(
COUNTIFS(
$M$3:$M115,$M115,
$O$3:$O115,$O115,
$Q$3:$Q115,1,
$P$3:$P115,"&gt;="&amp;EOMONTH($P115,-1)+1,
$P$3:$P115,"&lt;"&amp;EOMONTH($P115,0)+1
)=1,
1,
0),
0)</f>
        <v>0</v>
      </c>
      <c r="T115">
        <f>IF(AND($R115=1,$M115&lt;&gt;""),IF(COUNTIFS($M$3:$M115,$M115,$O$3:$O115,$O115,$R$3:$R115,1,$P$3:$P115,"&gt;="&amp;EOMONTH($P115,-1)+1,$P$3:$P115,"&lt;"&amp;EOMONTH($P115,0)+1)=1,1,0),0)</f>
        <v>0</v>
      </c>
      <c r="U115">
        <f t="shared" si="14"/>
        <v>1</v>
      </c>
      <c r="V115">
        <f>IF(AND($U115=1,$M115&lt;&gt;""),IF(COUNTIFS($M$3:$M115,$M115,$O$3:$O115,$O115,$U$3:$U115,1,$P$3:$P115,"&gt;="&amp;EOMONTH($P115,-1)+1,$P$3:$P115,"&lt;"&amp;EOMONTH($P115,0)+1)=1,1,0),0)</f>
        <v>1</v>
      </c>
      <c r="W115" s="444">
        <f ca="1">TODAY()-Table1[[#This Row],[Change Date]]</f>
        <v>64.673611111109494</v>
      </c>
      <c r="X115" s="422" t="str">
        <f t="shared" si="15"/>
        <v/>
      </c>
      <c r="Y115" s="476">
        <f ca="1">IF(Table1[[#This Row],[Next Stage Date]]&lt;&gt;"",Table1[[#This Row],[Next Stage Date]]-Table1[[#This Row],[Change Date]],TODAY()-Table1[[#This Row],[Change Date]])</f>
        <v>64.673611111109494</v>
      </c>
      <c r="Z115" s="476">
        <f t="shared" si="16"/>
        <v>1</v>
      </c>
      <c r="AA115" s="422" t="str">
        <f t="shared" si="17"/>
        <v/>
      </c>
      <c r="AB115" s="422" t="str">
        <f t="shared" si="18"/>
        <v/>
      </c>
      <c r="AC115" s="476" t="str">
        <f t="shared" si="19"/>
        <v/>
      </c>
      <c r="AD115" s="476" t="str">
        <f t="shared" si="20"/>
        <v/>
      </c>
      <c r="AE115" s="476" t="str">
        <f t="shared" si="21"/>
        <v/>
      </c>
      <c r="AF115" s="476" t="b">
        <f>IFERROR(_xlfn.XLOOKUP(Table1[[#This Row],[Opportunity ID]],'Aging Detail'!$H$14:$H$20,'Aging Detail'!$F$14:$F$20),TRUE)</f>
        <v>1</v>
      </c>
    </row>
    <row r="116" spans="1:32">
      <c r="A116" t="s">
        <v>1461</v>
      </c>
      <c r="B116" t="s">
        <v>1462</v>
      </c>
      <c r="C116" t="s">
        <v>1469</v>
      </c>
      <c r="D116" t="s">
        <v>1847</v>
      </c>
      <c r="E116" t="s">
        <v>1848</v>
      </c>
      <c r="F116" t="s">
        <v>148</v>
      </c>
      <c r="H116" t="s">
        <v>1698</v>
      </c>
      <c r="I116" s="422">
        <v>46168</v>
      </c>
      <c r="J116" s="422">
        <v>46192</v>
      </c>
      <c r="K116">
        <v>20000</v>
      </c>
      <c r="L116">
        <v>20000</v>
      </c>
      <c r="M116" t="s">
        <v>1849</v>
      </c>
      <c r="N116" t="s">
        <v>1850</v>
      </c>
      <c r="O116" t="str">
        <f>_xlfn.IFNA(VLOOKUP(Table1[[#This Row],[Lead Source]],'helper tab'!A:B,2,FALSE),"Exclude")</f>
        <v>Alliances</v>
      </c>
      <c r="P116" s="422">
        <f t="shared" si="11"/>
        <v>46192.238888888889</v>
      </c>
      <c r="Q116">
        <f t="shared" si="12"/>
        <v>0</v>
      </c>
      <c r="R116">
        <f t="shared" si="13"/>
        <v>0</v>
      </c>
      <c r="S116">
        <f>IF(
AND($Q116=1,$M116&lt;&gt;""),
IF(
COUNTIFS(
$M$3:$M116,$M116,
$O$3:$O116,$O116,
$Q$3:$Q116,1,
$P$3:$P116,"&gt;="&amp;EOMONTH($P116,-1)+1,
$P$3:$P116,"&lt;"&amp;EOMONTH($P116,0)+1
)=1,
1,
0),
0)</f>
        <v>0</v>
      </c>
      <c r="T116">
        <f>IF(AND($R116=1,$M116&lt;&gt;""),IF(COUNTIFS($M$3:$M116,$M116,$O$3:$O116,$O116,$R$3:$R116,1,$P$3:$P116,"&gt;="&amp;EOMONTH($P116,-1)+1,$P$3:$P116,"&lt;"&amp;EOMONTH($P116,0)+1)=1,1,0),0)</f>
        <v>0</v>
      </c>
      <c r="U116">
        <f t="shared" si="14"/>
        <v>1</v>
      </c>
      <c r="V116">
        <f>IF(AND($U116=1,$M116&lt;&gt;""),IF(COUNTIFS($M$3:$M116,$M116,$O$3:$O116,$O116,$U$3:$U116,1,$P$3:$P116,"&gt;="&amp;EOMONTH($P116,-1)+1,$P$3:$P116,"&lt;"&amp;EOMONTH($P116,0)+1)=1,1,0),0)</f>
        <v>1</v>
      </c>
      <c r="W116" s="444">
        <f ca="1">TODAY()-Table1[[#This Row],[Change Date]]</f>
        <v>65.761111111110949</v>
      </c>
      <c r="X116" s="422" t="str">
        <f t="shared" si="15"/>
        <v/>
      </c>
      <c r="Y116" s="476">
        <f ca="1">IF(Table1[[#This Row],[Next Stage Date]]&lt;&gt;"",Table1[[#This Row],[Next Stage Date]]-Table1[[#This Row],[Change Date]],TODAY()-Table1[[#This Row],[Change Date]])</f>
        <v>65.761111111110949</v>
      </c>
      <c r="Z116" s="476">
        <f t="shared" si="16"/>
        <v>1</v>
      </c>
      <c r="AA116" s="422" t="str">
        <f t="shared" si="17"/>
        <v/>
      </c>
      <c r="AB116" s="422" t="str">
        <f t="shared" si="18"/>
        <v/>
      </c>
      <c r="AC116" s="476" t="str">
        <f t="shared" si="19"/>
        <v/>
      </c>
      <c r="AD116" s="476" t="str">
        <f t="shared" si="20"/>
        <v/>
      </c>
      <c r="AE116" s="476" t="str">
        <f t="shared" si="21"/>
        <v/>
      </c>
      <c r="AF116" s="476" t="b">
        <f>IFERROR(_xlfn.XLOOKUP(Table1[[#This Row],[Opportunity ID]],'Aging Detail'!$H$14:$H$20,'Aging Detail'!$F$14:$F$20),TRUE)</f>
        <v>1</v>
      </c>
    </row>
    <row r="117" spans="1:32">
      <c r="A117" t="s">
        <v>1461</v>
      </c>
      <c r="B117" t="s">
        <v>1469</v>
      </c>
      <c r="C117" t="s">
        <v>1462</v>
      </c>
      <c r="D117" t="s">
        <v>1851</v>
      </c>
      <c r="E117" t="s">
        <v>1852</v>
      </c>
      <c r="F117" t="s">
        <v>148</v>
      </c>
      <c r="H117" t="s">
        <v>157</v>
      </c>
      <c r="I117" s="422">
        <v>46078</v>
      </c>
      <c r="J117" s="422">
        <v>46414</v>
      </c>
      <c r="K117">
        <v>59493</v>
      </c>
      <c r="L117">
        <v>59493</v>
      </c>
      <c r="M117" t="s">
        <v>1853</v>
      </c>
      <c r="N117" t="s">
        <v>1593</v>
      </c>
      <c r="O117" t="str">
        <f>_xlfn.IFNA(VLOOKUP(Table1[[#This Row],[Lead Source]],'helper tab'!A:B,2,FALSE),"Exclude")</f>
        <v>Alliances</v>
      </c>
      <c r="P117" s="422">
        <f t="shared" si="11"/>
        <v>46191.5</v>
      </c>
      <c r="Q117">
        <f t="shared" si="12"/>
        <v>0</v>
      </c>
      <c r="R117">
        <f t="shared" si="13"/>
        <v>0</v>
      </c>
      <c r="S117">
        <f>IF(
AND($Q117=1,$M117&lt;&gt;""),
IF(
COUNTIFS(
$M$3:$M117,$M117,
$O$3:$O117,$O117,
$Q$3:$Q117,1,
$P$3:$P117,"&gt;="&amp;EOMONTH($P117,-1)+1,
$P$3:$P117,"&lt;"&amp;EOMONTH($P117,0)+1
)=1,
1,
0),
0)</f>
        <v>0</v>
      </c>
      <c r="T117">
        <f>IF(AND($R117=1,$M117&lt;&gt;""),IF(COUNTIFS($M$3:$M117,$M117,$O$3:$O117,$O117,$R$3:$R117,1,$P$3:$P117,"&gt;="&amp;EOMONTH($P117,-1)+1,$P$3:$P117,"&lt;"&amp;EOMONTH($P117,0)+1)=1,1,0),0)</f>
        <v>0</v>
      </c>
      <c r="U117">
        <f t="shared" si="14"/>
        <v>0</v>
      </c>
      <c r="V117">
        <f>IF(AND($U117=1,$M117&lt;&gt;""),IF(COUNTIFS($M$3:$M117,$M117,$O$3:$O117,$O117,$U$3:$U117,1,$P$3:$P117,"&gt;="&amp;EOMONTH($P117,-1)+1,$P$3:$P117,"&lt;"&amp;EOMONTH($P117,0)+1)=1,1,0),0)</f>
        <v>0</v>
      </c>
      <c r="W117" s="444">
        <f ca="1">TODAY()-Table1[[#This Row],[Change Date]]</f>
        <v>66.5</v>
      </c>
      <c r="X117" s="422" t="str">
        <f t="shared" si="15"/>
        <v/>
      </c>
      <c r="Y117" s="476">
        <f ca="1">IF(Table1[[#This Row],[Next Stage Date]]&lt;&gt;"",Table1[[#This Row],[Next Stage Date]]-Table1[[#This Row],[Change Date]],TODAY()-Table1[[#This Row],[Change Date]])</f>
        <v>66.5</v>
      </c>
      <c r="Z117" s="476">
        <f t="shared" si="16"/>
        <v>1</v>
      </c>
      <c r="AA117" s="422" t="str">
        <f t="shared" si="17"/>
        <v/>
      </c>
      <c r="AB117" s="422" t="str">
        <f t="shared" si="18"/>
        <v/>
      </c>
      <c r="AC117" s="476" t="str">
        <f t="shared" si="19"/>
        <v/>
      </c>
      <c r="AD117" s="476" t="str">
        <f t="shared" si="20"/>
        <v/>
      </c>
      <c r="AE117" s="476" t="str">
        <f t="shared" si="21"/>
        <v/>
      </c>
      <c r="AF117" s="476" t="b">
        <f>IFERROR(_xlfn.XLOOKUP(Table1[[#This Row],[Opportunity ID]],'Aging Detail'!$H$14:$H$20,'Aging Detail'!$F$14:$F$20),TRUE)</f>
        <v>1</v>
      </c>
    </row>
    <row r="118" spans="1:32">
      <c r="A118" t="s">
        <v>1461</v>
      </c>
      <c r="B118" t="s">
        <v>408</v>
      </c>
      <c r="C118" t="s">
        <v>1469</v>
      </c>
      <c r="D118" t="s">
        <v>1854</v>
      </c>
      <c r="E118" t="s">
        <v>1855</v>
      </c>
      <c r="F118" t="s">
        <v>1468</v>
      </c>
      <c r="I118" s="422">
        <v>45821</v>
      </c>
      <c r="J118" s="422">
        <v>46191</v>
      </c>
      <c r="K118">
        <v>35000</v>
      </c>
      <c r="L118">
        <v>35000</v>
      </c>
      <c r="M118" t="s">
        <v>1856</v>
      </c>
      <c r="N118" t="s">
        <v>1857</v>
      </c>
      <c r="O118" t="str">
        <f>_xlfn.IFNA(VLOOKUP(Table1[[#This Row],[Lead Source]],'helper tab'!A:B,2,FALSE),"Exclude")</f>
        <v>Events</v>
      </c>
      <c r="P118" s="422">
        <f t="shared" si="11"/>
        <v>46191.14166666667</v>
      </c>
      <c r="Q118">
        <f t="shared" si="12"/>
        <v>0</v>
      </c>
      <c r="R118">
        <f t="shared" si="13"/>
        <v>0</v>
      </c>
      <c r="S118">
        <f>IF(
AND($Q118=1,$M118&lt;&gt;""),
IF(
COUNTIFS(
$M$3:$M118,$M118,
$O$3:$O118,$O118,
$Q$3:$Q118,1,
$P$3:$P118,"&gt;="&amp;EOMONTH($P118,-1)+1,
$P$3:$P118,"&lt;"&amp;EOMONTH($P118,0)+1
)=1,
1,
0),
0)</f>
        <v>0</v>
      </c>
      <c r="T118">
        <f>IF(AND($R118=1,$M118&lt;&gt;""),IF(COUNTIFS($M$3:$M118,$M118,$O$3:$O118,$O118,$R$3:$R118,1,$P$3:$P118,"&gt;="&amp;EOMONTH($P118,-1)+1,$P$3:$P118,"&lt;"&amp;EOMONTH($P118,0)+1)=1,1,0),0)</f>
        <v>0</v>
      </c>
      <c r="U118">
        <f t="shared" si="14"/>
        <v>1</v>
      </c>
      <c r="V118">
        <f>IF(AND($U118=1,$M118&lt;&gt;""),IF(COUNTIFS($M$3:$M118,$M118,$O$3:$O118,$O118,$U$3:$U118,1,$P$3:$P118,"&gt;="&amp;EOMONTH($P118,-1)+1,$P$3:$P118,"&lt;"&amp;EOMONTH($P118,0)+1)=1,1,0),0)</f>
        <v>1</v>
      </c>
      <c r="W118" s="444">
        <f ca="1">TODAY()-Table1[[#This Row],[Change Date]]</f>
        <v>66.858333333329938</v>
      </c>
      <c r="X118" s="422" t="str">
        <f t="shared" si="15"/>
        <v/>
      </c>
      <c r="Y118" s="476">
        <f ca="1">IF(Table1[[#This Row],[Next Stage Date]]&lt;&gt;"",Table1[[#This Row],[Next Stage Date]]-Table1[[#This Row],[Change Date]],TODAY()-Table1[[#This Row],[Change Date]])</f>
        <v>66.858333333329938</v>
      </c>
      <c r="Z118" s="476">
        <f t="shared" si="16"/>
        <v>1</v>
      </c>
      <c r="AA118" s="422" t="str">
        <f t="shared" si="17"/>
        <v/>
      </c>
      <c r="AB118" s="422" t="str">
        <f t="shared" si="18"/>
        <v/>
      </c>
      <c r="AC118" s="476" t="str">
        <f t="shared" si="19"/>
        <v/>
      </c>
      <c r="AD118" s="476" t="str">
        <f t="shared" si="20"/>
        <v/>
      </c>
      <c r="AE118" s="476" t="str">
        <f t="shared" si="21"/>
        <v/>
      </c>
      <c r="AF118" s="476" t="b">
        <f>IFERROR(_xlfn.XLOOKUP(Table1[[#This Row],[Opportunity ID]],'Aging Detail'!$H$14:$H$20,'Aging Detail'!$F$14:$F$20),TRUE)</f>
        <v>1</v>
      </c>
    </row>
    <row r="119" spans="1:32">
      <c r="A119" t="s">
        <v>1461</v>
      </c>
      <c r="B119" t="s">
        <v>462</v>
      </c>
      <c r="C119" t="s">
        <v>1462</v>
      </c>
      <c r="D119" t="s">
        <v>1858</v>
      </c>
      <c r="E119" t="s">
        <v>1859</v>
      </c>
      <c r="I119" s="422">
        <v>45698</v>
      </c>
      <c r="J119" s="422">
        <v>46472</v>
      </c>
      <c r="K119">
        <v>0</v>
      </c>
      <c r="L119">
        <v>0</v>
      </c>
      <c r="M119" t="s">
        <v>1860</v>
      </c>
      <c r="N119" t="s">
        <v>1625</v>
      </c>
      <c r="O119" t="str">
        <f>_xlfn.IFNA(VLOOKUP(Table1[[#This Row],[Lead Source]],'helper tab'!A:B,2,FALSE),"Exclude")</f>
        <v>Exclude</v>
      </c>
      <c r="P119" s="422">
        <f t="shared" si="11"/>
        <v>46190.479861111111</v>
      </c>
      <c r="Q119">
        <f t="shared" si="12"/>
        <v>0</v>
      </c>
      <c r="R119">
        <f t="shared" si="13"/>
        <v>0</v>
      </c>
      <c r="S119">
        <f>IF(
AND($Q119=1,$M119&lt;&gt;""),
IF(
COUNTIFS(
$M$3:$M119,$M119,
$O$3:$O119,$O119,
$Q$3:$Q119,1,
$P$3:$P119,"&gt;="&amp;EOMONTH($P119,-1)+1,
$P$3:$P119,"&lt;"&amp;EOMONTH($P119,0)+1
)=1,
1,
0),
0)</f>
        <v>0</v>
      </c>
      <c r="T119">
        <f>IF(AND($R119=1,$M119&lt;&gt;""),IF(COUNTIFS($M$3:$M119,$M119,$O$3:$O119,$O119,$R$3:$R119,1,$P$3:$P119,"&gt;="&amp;EOMONTH($P119,-1)+1,$P$3:$P119,"&lt;"&amp;EOMONTH($P119,0)+1)=1,1,0),0)</f>
        <v>0</v>
      </c>
      <c r="U119">
        <f t="shared" si="14"/>
        <v>0</v>
      </c>
      <c r="V119">
        <f>IF(AND($U119=1,$M119&lt;&gt;""),IF(COUNTIFS($M$3:$M119,$M119,$O$3:$O119,$O119,$U$3:$U119,1,$P$3:$P119,"&gt;="&amp;EOMONTH($P119,-1)+1,$P$3:$P119,"&lt;"&amp;EOMONTH($P119,0)+1)=1,1,0),0)</f>
        <v>0</v>
      </c>
      <c r="W119" s="444">
        <f ca="1">TODAY()-Table1[[#This Row],[Change Date]]</f>
        <v>67.520138888889051</v>
      </c>
      <c r="X119" s="422" t="str">
        <f t="shared" si="15"/>
        <v/>
      </c>
      <c r="Y119" s="476">
        <f ca="1">IF(Table1[[#This Row],[Next Stage Date]]&lt;&gt;"",Table1[[#This Row],[Next Stage Date]]-Table1[[#This Row],[Change Date]],TODAY()-Table1[[#This Row],[Change Date]])</f>
        <v>67.520138888889051</v>
      </c>
      <c r="Z119" s="476">
        <f t="shared" si="16"/>
        <v>1</v>
      </c>
      <c r="AA119" s="422" t="str">
        <f t="shared" si="17"/>
        <v/>
      </c>
      <c r="AB119" s="422">
        <f t="shared" si="18"/>
        <v>45782.246527777781</v>
      </c>
      <c r="AC119" s="476">
        <f t="shared" si="19"/>
        <v>84.246527777781012</v>
      </c>
      <c r="AD119" s="476" t="str">
        <f t="shared" si="20"/>
        <v/>
      </c>
      <c r="AE119" s="476" t="str">
        <f t="shared" si="21"/>
        <v/>
      </c>
      <c r="AF119" s="476" t="b">
        <f>IFERROR(_xlfn.XLOOKUP(Table1[[#This Row],[Opportunity ID]],'Aging Detail'!$H$14:$H$20,'Aging Detail'!$F$14:$F$20),TRUE)</f>
        <v>1</v>
      </c>
    </row>
    <row r="120" spans="1:32">
      <c r="A120" t="s">
        <v>1461</v>
      </c>
      <c r="B120" t="s">
        <v>526</v>
      </c>
      <c r="C120" t="s">
        <v>1469</v>
      </c>
      <c r="D120" t="s">
        <v>1861</v>
      </c>
      <c r="E120" t="s">
        <v>1862</v>
      </c>
      <c r="F120" t="s">
        <v>1464</v>
      </c>
      <c r="I120" s="422">
        <v>45694</v>
      </c>
      <c r="J120" s="422">
        <v>46185</v>
      </c>
      <c r="K120">
        <v>351578.2</v>
      </c>
      <c r="L120">
        <v>320760</v>
      </c>
      <c r="M120" t="s">
        <v>1863</v>
      </c>
      <c r="N120" t="s">
        <v>1864</v>
      </c>
      <c r="O120" t="str">
        <f>_xlfn.IFNA(VLOOKUP(Table1[[#This Row],[Lead Source]],'helper tab'!A:B,2,FALSE),"Exclude")</f>
        <v>Cold</v>
      </c>
      <c r="P120" s="422">
        <f t="shared" si="11"/>
        <v>46190.294444444444</v>
      </c>
      <c r="Q120">
        <f t="shared" si="12"/>
        <v>0</v>
      </c>
      <c r="R120">
        <f t="shared" si="13"/>
        <v>0</v>
      </c>
      <c r="S120">
        <f>IF(
AND($Q120=1,$M120&lt;&gt;""),
IF(
COUNTIFS(
$M$3:$M120,$M120,
$O$3:$O120,$O120,
$Q$3:$Q120,1,
$P$3:$P120,"&gt;="&amp;EOMONTH($P120,-1)+1,
$P$3:$P120,"&lt;"&amp;EOMONTH($P120,0)+1
)=1,
1,
0),
0)</f>
        <v>0</v>
      </c>
      <c r="T120">
        <f>IF(AND($R120=1,$M120&lt;&gt;""),IF(COUNTIFS($M$3:$M120,$M120,$O$3:$O120,$O120,$R$3:$R120,1,$P$3:$P120,"&gt;="&amp;EOMONTH($P120,-1)+1,$P$3:$P120,"&lt;"&amp;EOMONTH($P120,0)+1)=1,1,0),0)</f>
        <v>0</v>
      </c>
      <c r="U120">
        <f t="shared" si="14"/>
        <v>1</v>
      </c>
      <c r="V120">
        <f>IF(AND($U120=1,$M120&lt;&gt;""),IF(COUNTIFS($M$3:$M120,$M120,$O$3:$O120,$O120,$U$3:$U120,1,$P$3:$P120,"&gt;="&amp;EOMONTH($P120,-1)+1,$P$3:$P120,"&lt;"&amp;EOMONTH($P120,0)+1)=1,1,0),0)</f>
        <v>1</v>
      </c>
      <c r="W120" s="444">
        <f ca="1">TODAY()-Table1[[#This Row],[Change Date]]</f>
        <v>67.705555555556202</v>
      </c>
      <c r="X120" s="422" t="str">
        <f t="shared" si="15"/>
        <v/>
      </c>
      <c r="Y120" s="476">
        <f ca="1">IF(Table1[[#This Row],[Next Stage Date]]&lt;&gt;"",Table1[[#This Row],[Next Stage Date]]-Table1[[#This Row],[Change Date]],TODAY()-Table1[[#This Row],[Change Date]])</f>
        <v>67.705555555556202</v>
      </c>
      <c r="Z120" s="476">
        <f t="shared" si="16"/>
        <v>1</v>
      </c>
      <c r="AA120" s="422" t="str">
        <f t="shared" si="17"/>
        <v/>
      </c>
      <c r="AB120" s="422">
        <f t="shared" si="18"/>
        <v>45859.292361111111</v>
      </c>
      <c r="AC120" s="476">
        <f t="shared" si="19"/>
        <v>165.29236111111095</v>
      </c>
      <c r="AD120" s="476" t="str">
        <f t="shared" si="20"/>
        <v/>
      </c>
      <c r="AE120" s="476" t="str">
        <f t="shared" si="21"/>
        <v/>
      </c>
      <c r="AF120" s="476" t="b">
        <f>IFERROR(_xlfn.XLOOKUP(Table1[[#This Row],[Opportunity ID]],'Aging Detail'!$H$14:$H$20,'Aging Detail'!$F$14:$F$20),TRUE)</f>
        <v>1</v>
      </c>
    </row>
    <row r="121" spans="1:32">
      <c r="A121" t="s">
        <v>1461</v>
      </c>
      <c r="B121" t="s">
        <v>526</v>
      </c>
      <c r="C121" t="s">
        <v>563</v>
      </c>
      <c r="D121" t="s">
        <v>1865</v>
      </c>
      <c r="E121" t="s">
        <v>1866</v>
      </c>
      <c r="I121" s="422">
        <v>46181</v>
      </c>
      <c r="J121" s="422">
        <v>46189</v>
      </c>
      <c r="K121">
        <v>22000</v>
      </c>
      <c r="L121">
        <v>0</v>
      </c>
      <c r="M121" t="s">
        <v>1867</v>
      </c>
      <c r="N121" t="s">
        <v>1549</v>
      </c>
      <c r="O121" t="str">
        <f>_xlfn.IFNA(VLOOKUP(Table1[[#This Row],[Lead Source]],'helper tab'!A:B,2,FALSE),"Exclude")</f>
        <v>Exclude</v>
      </c>
      <c r="P121" s="422">
        <f t="shared" si="11"/>
        <v>46189.42083333333</v>
      </c>
      <c r="Q121">
        <f t="shared" si="12"/>
        <v>0</v>
      </c>
      <c r="R121">
        <f t="shared" si="13"/>
        <v>1</v>
      </c>
      <c r="S121">
        <f>IF(
AND($Q121=1,$M121&lt;&gt;""),
IF(
COUNTIFS(
$M$3:$M121,$M121,
$O$3:$O121,$O121,
$Q$3:$Q121,1,
$P$3:$P121,"&gt;="&amp;EOMONTH($P121,-1)+1,
$P$3:$P121,"&lt;"&amp;EOMONTH($P121,0)+1
)=1,
1,
0),
0)</f>
        <v>0</v>
      </c>
      <c r="T121">
        <f>IF(AND($R121=1,$M121&lt;&gt;""),IF(COUNTIFS($M$3:$M121,$M121,$O$3:$O121,$O121,$R$3:$R121,1,$P$3:$P121,"&gt;="&amp;EOMONTH($P121,-1)+1,$P$3:$P121,"&lt;"&amp;EOMONTH($P121,0)+1)=1,1,0),0)</f>
        <v>1</v>
      </c>
      <c r="U121">
        <f t="shared" si="14"/>
        <v>0</v>
      </c>
      <c r="V121">
        <f>IF(AND($U121=1,$M121&lt;&gt;""),IF(COUNTIFS($M$3:$M121,$M121,$O$3:$O121,$O121,$U$3:$U121,1,$P$3:$P121,"&gt;="&amp;EOMONTH($P121,-1)+1,$P$3:$P121,"&lt;"&amp;EOMONTH($P121,0)+1)=1,1,0),0)</f>
        <v>0</v>
      </c>
      <c r="W121" s="444">
        <f ca="1">TODAY()-Table1[[#This Row],[Change Date]]</f>
        <v>68.579166666670062</v>
      </c>
      <c r="X121" s="422" t="str">
        <f t="shared" si="15"/>
        <v/>
      </c>
      <c r="Y121" s="476">
        <f ca="1">IF(Table1[[#This Row],[Next Stage Date]]&lt;&gt;"",Table1[[#This Row],[Next Stage Date]]-Table1[[#This Row],[Change Date]],TODAY()-Table1[[#This Row],[Change Date]])</f>
        <v>68.579166666670062</v>
      </c>
      <c r="Z121" s="476">
        <f t="shared" si="16"/>
        <v>1</v>
      </c>
      <c r="AA121" s="422">
        <f t="shared" si="17"/>
        <v>46189.42083333333</v>
      </c>
      <c r="AB121" s="422">
        <f t="shared" si="18"/>
        <v>46188.600694444445</v>
      </c>
      <c r="AC121" s="476">
        <f t="shared" si="19"/>
        <v>7.6006944444452529</v>
      </c>
      <c r="AD121" s="476">
        <f t="shared" si="20"/>
        <v>0.820138888884685</v>
      </c>
      <c r="AE121" s="476">
        <f t="shared" si="21"/>
        <v>8.4208333333299379</v>
      </c>
      <c r="AF121" s="476" t="b">
        <f>IFERROR(_xlfn.XLOOKUP(Table1[[#This Row],[Opportunity ID]],'Aging Detail'!$H$14:$H$20,'Aging Detail'!$F$14:$F$20),TRUE)</f>
        <v>1</v>
      </c>
    </row>
    <row r="122" spans="1:32">
      <c r="A122" t="s">
        <v>1461</v>
      </c>
      <c r="B122" t="s">
        <v>526</v>
      </c>
      <c r="C122" t="s">
        <v>563</v>
      </c>
      <c r="D122" t="s">
        <v>1868</v>
      </c>
      <c r="E122" t="s">
        <v>1869</v>
      </c>
      <c r="I122" s="422">
        <v>46153</v>
      </c>
      <c r="J122" s="422">
        <v>46146</v>
      </c>
      <c r="K122">
        <v>0</v>
      </c>
      <c r="L122">
        <v>0</v>
      </c>
      <c r="M122" t="s">
        <v>1870</v>
      </c>
      <c r="N122" t="s">
        <v>1618</v>
      </c>
      <c r="O122" t="str">
        <f>_xlfn.IFNA(VLOOKUP(Table1[[#This Row],[Lead Source]],'helper tab'!A:B,2,FALSE),"Exclude")</f>
        <v>Exclude</v>
      </c>
      <c r="P122" s="422">
        <f t="shared" si="11"/>
        <v>46189.417361111111</v>
      </c>
      <c r="Q122">
        <f t="shared" si="12"/>
        <v>0</v>
      </c>
      <c r="R122">
        <f t="shared" si="13"/>
        <v>1</v>
      </c>
      <c r="S122">
        <f>IF(
AND($Q122=1,$M122&lt;&gt;""),
IF(
COUNTIFS(
$M$3:$M122,$M122,
$O$3:$O122,$O122,
$Q$3:$Q122,1,
$P$3:$P122,"&gt;="&amp;EOMONTH($P122,-1)+1,
$P$3:$P122,"&lt;"&amp;EOMONTH($P122,0)+1
)=1,
1,
0),
0)</f>
        <v>0</v>
      </c>
      <c r="T122">
        <f>IF(AND($R122=1,$M122&lt;&gt;""),IF(COUNTIFS($M$3:$M122,$M122,$O$3:$O122,$O122,$R$3:$R122,1,$P$3:$P122,"&gt;="&amp;EOMONTH($P122,-1)+1,$P$3:$P122,"&lt;"&amp;EOMONTH($P122,0)+1)=1,1,0),0)</f>
        <v>1</v>
      </c>
      <c r="U122">
        <f t="shared" si="14"/>
        <v>0</v>
      </c>
      <c r="V122">
        <f>IF(AND($U122=1,$M122&lt;&gt;""),IF(COUNTIFS($M$3:$M122,$M122,$O$3:$O122,$O122,$U$3:$U122,1,$P$3:$P122,"&gt;="&amp;EOMONTH($P122,-1)+1,$P$3:$P122,"&lt;"&amp;EOMONTH($P122,0)+1)=1,1,0),0)</f>
        <v>0</v>
      </c>
      <c r="W122" s="444">
        <f ca="1">TODAY()-Table1[[#This Row],[Change Date]]</f>
        <v>68.582638888889051</v>
      </c>
      <c r="X122" s="422" t="str">
        <f t="shared" si="15"/>
        <v/>
      </c>
      <c r="Y122" s="476">
        <f ca="1">IF(Table1[[#This Row],[Next Stage Date]]&lt;&gt;"",Table1[[#This Row],[Next Stage Date]]-Table1[[#This Row],[Change Date]],TODAY()-Table1[[#This Row],[Change Date]])</f>
        <v>68.582638888889051</v>
      </c>
      <c r="Z122" s="476">
        <f t="shared" si="16"/>
        <v>1</v>
      </c>
      <c r="AA122" s="422">
        <f t="shared" si="17"/>
        <v>46189.417361111111</v>
      </c>
      <c r="AB122" s="422">
        <f t="shared" si="18"/>
        <v>46154.567361111112</v>
      </c>
      <c r="AC122" s="476">
        <f t="shared" si="19"/>
        <v>1.5673611111124046</v>
      </c>
      <c r="AD122" s="476">
        <f t="shared" si="20"/>
        <v>34.849999999998545</v>
      </c>
      <c r="AE122" s="476">
        <f t="shared" si="21"/>
        <v>36.417361111110949</v>
      </c>
      <c r="AF122" s="476" t="b">
        <f>IFERROR(_xlfn.XLOOKUP(Table1[[#This Row],[Opportunity ID]],'Aging Detail'!$H$14:$H$20,'Aging Detail'!$F$14:$F$20),TRUE)</f>
        <v>1</v>
      </c>
    </row>
    <row r="123" spans="1:32">
      <c r="A123" t="s">
        <v>1461</v>
      </c>
      <c r="B123" t="s">
        <v>408</v>
      </c>
      <c r="C123" t="s">
        <v>1469</v>
      </c>
      <c r="D123" t="s">
        <v>1871</v>
      </c>
      <c r="E123" t="s">
        <v>1872</v>
      </c>
      <c r="F123" t="s">
        <v>148</v>
      </c>
      <c r="H123" t="s">
        <v>1873</v>
      </c>
      <c r="I123" s="422">
        <v>45078</v>
      </c>
      <c r="J123" s="422">
        <v>46477</v>
      </c>
      <c r="K123">
        <v>26400</v>
      </c>
      <c r="L123">
        <v>26400</v>
      </c>
      <c r="M123" t="s">
        <v>1874</v>
      </c>
      <c r="N123" t="s">
        <v>1875</v>
      </c>
      <c r="O123" t="str">
        <f>_xlfn.IFNA(VLOOKUP(Table1[[#This Row],[Lead Source]],'helper tab'!A:B,2,FALSE),"Exclude")</f>
        <v>Alliances</v>
      </c>
      <c r="P123" s="422">
        <f t="shared" si="11"/>
        <v>46189.377083333333</v>
      </c>
      <c r="Q123">
        <f t="shared" si="12"/>
        <v>0</v>
      </c>
      <c r="R123">
        <f t="shared" si="13"/>
        <v>0</v>
      </c>
      <c r="S123">
        <f>IF(
AND($Q123=1,$M123&lt;&gt;""),
IF(
COUNTIFS(
$M$3:$M123,$M123,
$O$3:$O123,$O123,
$Q$3:$Q123,1,
$P$3:$P123,"&gt;="&amp;EOMONTH($P123,-1)+1,
$P$3:$P123,"&lt;"&amp;EOMONTH($P123,0)+1
)=1,
1,
0),
0)</f>
        <v>0</v>
      </c>
      <c r="T123">
        <f>IF(AND($R123=1,$M123&lt;&gt;""),IF(COUNTIFS($M$3:$M123,$M123,$O$3:$O123,$O123,$R$3:$R123,1,$P$3:$P123,"&gt;="&amp;EOMONTH($P123,-1)+1,$P$3:$P123,"&lt;"&amp;EOMONTH($P123,0)+1)=1,1,0),0)</f>
        <v>0</v>
      </c>
      <c r="U123">
        <f t="shared" si="14"/>
        <v>1</v>
      </c>
      <c r="V123">
        <f>IF(AND($U123=1,$M123&lt;&gt;""),IF(COUNTIFS($M$3:$M123,$M123,$O$3:$O123,$O123,$U$3:$U123,1,$P$3:$P123,"&gt;="&amp;EOMONTH($P123,-1)+1,$P$3:$P123,"&lt;"&amp;EOMONTH($P123,0)+1)=1,1,0),0)</f>
        <v>1</v>
      </c>
      <c r="W123" s="444">
        <f ca="1">TODAY()-Table1[[#This Row],[Change Date]]</f>
        <v>68.622916666667152</v>
      </c>
      <c r="X123" s="422" t="str">
        <f t="shared" si="15"/>
        <v/>
      </c>
      <c r="Y123" s="476">
        <f ca="1">IF(Table1[[#This Row],[Next Stage Date]]&lt;&gt;"",Table1[[#This Row],[Next Stage Date]]-Table1[[#This Row],[Change Date]],TODAY()-Table1[[#This Row],[Change Date]])</f>
        <v>68.622916666667152</v>
      </c>
      <c r="Z123" s="476">
        <f t="shared" si="16"/>
        <v>1</v>
      </c>
      <c r="AA123" s="422" t="str">
        <f t="shared" si="17"/>
        <v/>
      </c>
      <c r="AB123" s="422" t="str">
        <f t="shared" si="18"/>
        <v/>
      </c>
      <c r="AC123" s="476" t="str">
        <f t="shared" si="19"/>
        <v/>
      </c>
      <c r="AD123" s="476" t="str">
        <f t="shared" si="20"/>
        <v/>
      </c>
      <c r="AE123" s="476" t="str">
        <f t="shared" si="21"/>
        <v/>
      </c>
      <c r="AF123" s="476" t="b">
        <f>IFERROR(_xlfn.XLOOKUP(Table1[[#This Row],[Opportunity ID]],'Aging Detail'!$H$14:$H$20,'Aging Detail'!$F$14:$F$20),TRUE)</f>
        <v>1</v>
      </c>
    </row>
    <row r="124" spans="1:32">
      <c r="A124" t="s">
        <v>1461</v>
      </c>
      <c r="B124" t="s">
        <v>1462</v>
      </c>
      <c r="C124" t="s">
        <v>1469</v>
      </c>
      <c r="D124" t="s">
        <v>1876</v>
      </c>
      <c r="E124" t="s">
        <v>1852</v>
      </c>
      <c r="F124" t="s">
        <v>148</v>
      </c>
      <c r="H124" t="s">
        <v>157</v>
      </c>
      <c r="I124" s="422">
        <v>46078</v>
      </c>
      <c r="J124" s="422">
        <v>46414</v>
      </c>
      <c r="K124">
        <v>59493</v>
      </c>
      <c r="L124">
        <v>59493</v>
      </c>
      <c r="M124" t="s">
        <v>1853</v>
      </c>
      <c r="N124" t="s">
        <v>1593</v>
      </c>
      <c r="O124" t="str">
        <f>_xlfn.IFNA(VLOOKUP(Table1[[#This Row],[Lead Source]],'helper tab'!A:B,2,FALSE),"Exclude")</f>
        <v>Alliances</v>
      </c>
      <c r="P124" s="422">
        <f t="shared" si="11"/>
        <v>46189.341666666667</v>
      </c>
      <c r="Q124">
        <f t="shared" si="12"/>
        <v>0</v>
      </c>
      <c r="R124">
        <f t="shared" si="13"/>
        <v>0</v>
      </c>
      <c r="S124">
        <f>IF(
AND($Q124=1,$M124&lt;&gt;""),
IF(
COUNTIFS(
$M$3:$M124,$M124,
$O$3:$O124,$O124,
$Q$3:$Q124,1,
$P$3:$P124,"&gt;="&amp;EOMONTH($P124,-1)+1,
$P$3:$P124,"&lt;"&amp;EOMONTH($P124,0)+1
)=1,
1,
0),
0)</f>
        <v>0</v>
      </c>
      <c r="T124">
        <f>IF(AND($R124=1,$M124&lt;&gt;""),IF(COUNTIFS($M$3:$M124,$M124,$O$3:$O124,$O124,$R$3:$R124,1,$P$3:$P124,"&gt;="&amp;EOMONTH($P124,-1)+1,$P$3:$P124,"&lt;"&amp;EOMONTH($P124,0)+1)=1,1,0),0)</f>
        <v>0</v>
      </c>
      <c r="U124">
        <f t="shared" si="14"/>
        <v>1</v>
      </c>
      <c r="V124">
        <f>IF(AND($U124=1,$M124&lt;&gt;""),IF(COUNTIFS($M$3:$M124,$M124,$O$3:$O124,$O124,$U$3:$U124,1,$P$3:$P124,"&gt;="&amp;EOMONTH($P124,-1)+1,$P$3:$P124,"&lt;"&amp;EOMONTH($P124,0)+1)=1,1,0),0)</f>
        <v>1</v>
      </c>
      <c r="W124" s="444">
        <f ca="1">TODAY()-Table1[[#This Row],[Change Date]]</f>
        <v>68.658333333332848</v>
      </c>
      <c r="X124" s="422">
        <f t="shared" si="15"/>
        <v>46191.5</v>
      </c>
      <c r="Y124" s="476">
        <f ca="1">IF(Table1[[#This Row],[Next Stage Date]]&lt;&gt;"",Table1[[#This Row],[Next Stage Date]]-Table1[[#This Row],[Change Date]],TODAY()-Table1[[#This Row],[Change Date]])</f>
        <v>2.1583333333328483</v>
      </c>
      <c r="Z124" s="476">
        <f t="shared" si="16"/>
        <v>0</v>
      </c>
      <c r="AA124" s="422" t="str">
        <f t="shared" si="17"/>
        <v/>
      </c>
      <c r="AB124" s="422" t="str">
        <f t="shared" si="18"/>
        <v/>
      </c>
      <c r="AC124" s="476" t="str">
        <f t="shared" si="19"/>
        <v/>
      </c>
      <c r="AD124" s="476" t="str">
        <f t="shared" si="20"/>
        <v/>
      </c>
      <c r="AE124" s="476" t="str">
        <f t="shared" si="21"/>
        <v/>
      </c>
      <c r="AF124" s="476" t="b">
        <f>IFERROR(_xlfn.XLOOKUP(Table1[[#This Row],[Opportunity ID]],'Aging Detail'!$H$14:$H$20,'Aging Detail'!$F$14:$F$20),TRUE)</f>
        <v>1</v>
      </c>
    </row>
    <row r="125" spans="1:32">
      <c r="A125" t="s">
        <v>1461</v>
      </c>
      <c r="B125" t="s">
        <v>338</v>
      </c>
      <c r="C125" t="s">
        <v>526</v>
      </c>
      <c r="D125" t="s">
        <v>1877</v>
      </c>
      <c r="E125" t="s">
        <v>1866</v>
      </c>
      <c r="I125" s="422">
        <v>46181</v>
      </c>
      <c r="J125" s="422">
        <v>46189</v>
      </c>
      <c r="K125">
        <v>22000</v>
      </c>
      <c r="L125">
        <v>0</v>
      </c>
      <c r="M125" t="s">
        <v>1867</v>
      </c>
      <c r="N125" t="s">
        <v>1549</v>
      </c>
      <c r="O125" t="str">
        <f>_xlfn.IFNA(VLOOKUP(Table1[[#This Row],[Lead Source]],'helper tab'!A:B,2,FALSE),"Exclude")</f>
        <v>Exclude</v>
      </c>
      <c r="P125" s="422">
        <f t="shared" si="11"/>
        <v>46188.600694444445</v>
      </c>
      <c r="Q125">
        <f t="shared" si="12"/>
        <v>1</v>
      </c>
      <c r="R125">
        <f t="shared" si="13"/>
        <v>0</v>
      </c>
      <c r="S125">
        <f>IF(
AND($Q125=1,$M125&lt;&gt;""),
IF(
COUNTIFS(
$M$3:$M125,$M125,
$O$3:$O125,$O125,
$Q$3:$Q125,1,
$P$3:$P125,"&gt;="&amp;EOMONTH($P125,-1)+1,
$P$3:$P125,"&lt;"&amp;EOMONTH($P125,0)+1
)=1,
1,
0),
0)</f>
        <v>1</v>
      </c>
      <c r="T125">
        <f>IF(AND($R125=1,$M125&lt;&gt;""),IF(COUNTIFS($M$3:$M125,$M125,$O$3:$O125,$O125,$R$3:$R125,1,$P$3:$P125,"&gt;="&amp;EOMONTH($P125,-1)+1,$P$3:$P125,"&lt;"&amp;EOMONTH($P125,0)+1)=1,1,0),0)</f>
        <v>0</v>
      </c>
      <c r="U125">
        <f t="shared" si="14"/>
        <v>0</v>
      </c>
      <c r="V125">
        <f>IF(AND($U125=1,$M125&lt;&gt;""),IF(COUNTIFS($M$3:$M125,$M125,$O$3:$O125,$O125,$U$3:$U125,1,$P$3:$P125,"&gt;="&amp;EOMONTH($P125,-1)+1,$P$3:$P125,"&lt;"&amp;EOMONTH($P125,0)+1)=1,1,0),0)</f>
        <v>0</v>
      </c>
      <c r="W125" s="444">
        <f ca="1">TODAY()-Table1[[#This Row],[Change Date]]</f>
        <v>69.399305555554747</v>
      </c>
      <c r="X125" s="422">
        <f t="shared" si="15"/>
        <v>46189.42083333333</v>
      </c>
      <c r="Y125" s="476">
        <f ca="1">IF(Table1[[#This Row],[Next Stage Date]]&lt;&gt;"",Table1[[#This Row],[Next Stage Date]]-Table1[[#This Row],[Change Date]],TODAY()-Table1[[#This Row],[Change Date]])</f>
        <v>0.820138888884685</v>
      </c>
      <c r="Z125" s="476">
        <f t="shared" si="16"/>
        <v>0</v>
      </c>
      <c r="AA125" s="422">
        <f t="shared" si="17"/>
        <v>46189.42083333333</v>
      </c>
      <c r="AB125" s="422">
        <f t="shared" si="18"/>
        <v>46188.600694444445</v>
      </c>
      <c r="AC125" s="476">
        <f t="shared" si="19"/>
        <v>7.6006944444452529</v>
      </c>
      <c r="AD125" s="476">
        <f t="shared" si="20"/>
        <v>0.820138888884685</v>
      </c>
      <c r="AE125" s="476">
        <f t="shared" si="21"/>
        <v>8.4208333333299379</v>
      </c>
      <c r="AF125" s="476" t="b">
        <f>IFERROR(_xlfn.XLOOKUP(Table1[[#This Row],[Opportunity ID]],'Aging Detail'!$H$14:$H$20,'Aging Detail'!$F$14:$F$20),TRUE)</f>
        <v>1</v>
      </c>
    </row>
    <row r="126" spans="1:32">
      <c r="A126" t="s">
        <v>1461</v>
      </c>
      <c r="B126" t="s">
        <v>462</v>
      </c>
      <c r="C126" t="s">
        <v>526</v>
      </c>
      <c r="D126" t="s">
        <v>1878</v>
      </c>
      <c r="E126" t="s">
        <v>1765</v>
      </c>
      <c r="F126" t="s">
        <v>1465</v>
      </c>
      <c r="H126" t="s">
        <v>157</v>
      </c>
      <c r="I126" s="422">
        <v>46185</v>
      </c>
      <c r="J126" s="422">
        <v>46204</v>
      </c>
      <c r="K126">
        <v>0</v>
      </c>
      <c r="L126">
        <v>0</v>
      </c>
      <c r="M126" t="s">
        <v>1766</v>
      </c>
      <c r="N126" t="s">
        <v>1767</v>
      </c>
      <c r="O126" t="str">
        <f>_xlfn.IFNA(VLOOKUP(Table1[[#This Row],[Lead Source]],'helper tab'!A:B,2,FALSE),"Exclude")</f>
        <v>Exclude</v>
      </c>
      <c r="P126" s="422">
        <f t="shared" si="11"/>
        <v>46185.474305555559</v>
      </c>
      <c r="Q126">
        <f t="shared" si="12"/>
        <v>1</v>
      </c>
      <c r="R126">
        <f t="shared" si="13"/>
        <v>0</v>
      </c>
      <c r="S126">
        <f>IF(
AND($Q126=1,$M126&lt;&gt;""),
IF(
COUNTIFS(
$M$3:$M126,$M126,
$O$3:$O126,$O126,
$Q$3:$Q126,1,
$P$3:$P126,"&gt;="&amp;EOMONTH($P126,-1)+1,
$P$3:$P126,"&lt;"&amp;EOMONTH($P126,0)+1
)=1,
1,
0),
0)</f>
        <v>1</v>
      </c>
      <c r="T126">
        <f>IF(AND($R126=1,$M126&lt;&gt;""),IF(COUNTIFS($M$3:$M126,$M126,$O$3:$O126,$O126,$R$3:$R126,1,$P$3:$P126,"&gt;="&amp;EOMONTH($P126,-1)+1,$P$3:$P126,"&lt;"&amp;EOMONTH($P126,0)+1)=1,1,0),0)</f>
        <v>0</v>
      </c>
      <c r="U126">
        <f t="shared" si="14"/>
        <v>0</v>
      </c>
      <c r="V126">
        <f>IF(AND($U126=1,$M126&lt;&gt;""),IF(COUNTIFS($M$3:$M126,$M126,$O$3:$O126,$O126,$U$3:$U126,1,$P$3:$P126,"&gt;="&amp;EOMONTH($P126,-1)+1,$P$3:$P126,"&lt;"&amp;EOMONTH($P126,0)+1)=1,1,0),0)</f>
        <v>0</v>
      </c>
      <c r="W126" s="444">
        <f ca="1">TODAY()-Table1[[#This Row],[Change Date]]</f>
        <v>72.525694444440887</v>
      </c>
      <c r="X126" s="422">
        <f t="shared" si="15"/>
        <v>46205.364583333336</v>
      </c>
      <c r="Y126" s="476">
        <f ca="1">IF(Table1[[#This Row],[Next Stage Date]]&lt;&gt;"",Table1[[#This Row],[Next Stage Date]]-Table1[[#This Row],[Change Date]],TODAY()-Table1[[#This Row],[Change Date]])</f>
        <v>19.890277777776646</v>
      </c>
      <c r="Z126" s="476">
        <f t="shared" si="16"/>
        <v>0</v>
      </c>
      <c r="AA126" s="422">
        <f t="shared" si="17"/>
        <v>46205.364583333336</v>
      </c>
      <c r="AB126" s="422">
        <f t="shared" si="18"/>
        <v>46185.473611111112</v>
      </c>
      <c r="AC126" s="476">
        <f t="shared" si="19"/>
        <v>0.47361111111240461</v>
      </c>
      <c r="AD126" s="476">
        <f t="shared" si="20"/>
        <v>19.890972222223354</v>
      </c>
      <c r="AE126" s="476">
        <f t="shared" si="21"/>
        <v>20.364583333335759</v>
      </c>
      <c r="AF126" s="476" t="b">
        <f>IFERROR(_xlfn.XLOOKUP(Table1[[#This Row],[Opportunity ID]],'Aging Detail'!$H$14:$H$20,'Aging Detail'!$F$14:$F$20),TRUE)</f>
        <v>1</v>
      </c>
    </row>
    <row r="127" spans="1:32">
      <c r="A127" t="s">
        <v>1461</v>
      </c>
      <c r="B127" t="s">
        <v>1462</v>
      </c>
      <c r="C127" t="s">
        <v>462</v>
      </c>
      <c r="D127" t="s">
        <v>1879</v>
      </c>
      <c r="E127" t="s">
        <v>1765</v>
      </c>
      <c r="F127" t="s">
        <v>1465</v>
      </c>
      <c r="H127" t="s">
        <v>157</v>
      </c>
      <c r="I127" s="422">
        <v>46185</v>
      </c>
      <c r="J127" s="422">
        <v>46204</v>
      </c>
      <c r="K127">
        <v>0</v>
      </c>
      <c r="L127">
        <v>0</v>
      </c>
      <c r="M127" t="s">
        <v>1766</v>
      </c>
      <c r="N127" t="s">
        <v>1767</v>
      </c>
      <c r="O127" t="str">
        <f>_xlfn.IFNA(VLOOKUP(Table1[[#This Row],[Lead Source]],'helper tab'!A:B,2,FALSE),"Exclude")</f>
        <v>Exclude</v>
      </c>
      <c r="P127" s="422">
        <f t="shared" si="11"/>
        <v>46185.473611111112</v>
      </c>
      <c r="Q127">
        <f t="shared" si="12"/>
        <v>1</v>
      </c>
      <c r="R127">
        <f t="shared" si="13"/>
        <v>0</v>
      </c>
      <c r="S127">
        <f>IF(
AND($Q127=1,$M127&lt;&gt;""),
IF(
COUNTIFS(
$M$3:$M127,$M127,
$O$3:$O127,$O127,
$Q$3:$Q127,1,
$P$3:$P127,"&gt;="&amp;EOMONTH($P127,-1)+1,
$P$3:$P127,"&lt;"&amp;EOMONTH($P127,0)+1
)=1,
1,
0),
0)</f>
        <v>0</v>
      </c>
      <c r="T127">
        <f>IF(AND($R127=1,$M127&lt;&gt;""),IF(COUNTIFS($M$3:$M127,$M127,$O$3:$O127,$O127,$R$3:$R127,1,$P$3:$P127,"&gt;="&amp;EOMONTH($P127,-1)+1,$P$3:$P127,"&lt;"&amp;EOMONTH($P127,0)+1)=1,1,0),0)</f>
        <v>0</v>
      </c>
      <c r="U127">
        <f t="shared" si="14"/>
        <v>0</v>
      </c>
      <c r="V127">
        <f>IF(AND($U127=1,$M127&lt;&gt;""),IF(COUNTIFS($M$3:$M127,$M127,$O$3:$O127,$O127,$U$3:$U127,1,$P$3:$P127,"&gt;="&amp;EOMONTH($P127,-1)+1,$P$3:$P127,"&lt;"&amp;EOMONTH($P127,0)+1)=1,1,0),0)</f>
        <v>0</v>
      </c>
      <c r="W127" s="444">
        <f ca="1">TODAY()-Table1[[#This Row],[Change Date]]</f>
        <v>72.526388888887595</v>
      </c>
      <c r="X127" s="422">
        <f t="shared" si="15"/>
        <v>46185.474305555559</v>
      </c>
      <c r="Y127" s="476">
        <f ca="1">IF(Table1[[#This Row],[Next Stage Date]]&lt;&gt;"",Table1[[#This Row],[Next Stage Date]]-Table1[[#This Row],[Change Date]],TODAY()-Table1[[#This Row],[Change Date]])</f>
        <v>6.944444467080757E-4</v>
      </c>
      <c r="Z127" s="476">
        <f t="shared" si="16"/>
        <v>0</v>
      </c>
      <c r="AA127" s="422">
        <f t="shared" si="17"/>
        <v>46205.364583333336</v>
      </c>
      <c r="AB127" s="422">
        <f t="shared" si="18"/>
        <v>46185.473611111112</v>
      </c>
      <c r="AC127" s="476">
        <f t="shared" si="19"/>
        <v>0.47361111111240461</v>
      </c>
      <c r="AD127" s="476">
        <f t="shared" si="20"/>
        <v>19.890972222223354</v>
      </c>
      <c r="AE127" s="476">
        <f t="shared" si="21"/>
        <v>20.364583333335759</v>
      </c>
      <c r="AF127" s="476" t="b">
        <f>IFERROR(_xlfn.XLOOKUP(Table1[[#This Row],[Opportunity ID]],'Aging Detail'!$H$14:$H$20,'Aging Detail'!$F$14:$F$20),TRUE)</f>
        <v>1</v>
      </c>
    </row>
    <row r="128" spans="1:32">
      <c r="A128" t="s">
        <v>1461</v>
      </c>
      <c r="B128" t="s">
        <v>408</v>
      </c>
      <c r="C128" t="s">
        <v>1462</v>
      </c>
      <c r="D128" t="s">
        <v>1880</v>
      </c>
      <c r="E128" t="s">
        <v>1765</v>
      </c>
      <c r="F128" t="s">
        <v>1465</v>
      </c>
      <c r="H128" t="s">
        <v>157</v>
      </c>
      <c r="I128" s="422">
        <v>46185</v>
      </c>
      <c r="J128" s="422">
        <v>46204</v>
      </c>
      <c r="K128">
        <v>0</v>
      </c>
      <c r="L128">
        <v>0</v>
      </c>
      <c r="M128" t="s">
        <v>1766</v>
      </c>
      <c r="N128" t="s">
        <v>1767</v>
      </c>
      <c r="O128" t="str">
        <f>_xlfn.IFNA(VLOOKUP(Table1[[#This Row],[Lead Source]],'helper tab'!A:B,2,FALSE),"Exclude")</f>
        <v>Exclude</v>
      </c>
      <c r="P128" s="422">
        <f t="shared" si="11"/>
        <v>46185.47152777778</v>
      </c>
      <c r="Q128">
        <f t="shared" si="12"/>
        <v>0</v>
      </c>
      <c r="R128">
        <f t="shared" si="13"/>
        <v>0</v>
      </c>
      <c r="S128">
        <f>IF(
AND($Q128=1,$M128&lt;&gt;""),
IF(
COUNTIFS(
$M$3:$M128,$M128,
$O$3:$O128,$O128,
$Q$3:$Q128,1,
$P$3:$P128,"&gt;="&amp;EOMONTH($P128,-1)+1,
$P$3:$P128,"&lt;"&amp;EOMONTH($P128,0)+1
)=1,
1,
0),
0)</f>
        <v>0</v>
      </c>
      <c r="T128">
        <f>IF(AND($R128=1,$M128&lt;&gt;""),IF(COUNTIFS($M$3:$M128,$M128,$O$3:$O128,$O128,$R$3:$R128,1,$P$3:$P128,"&gt;="&amp;EOMONTH($P128,-1)+1,$P$3:$P128,"&lt;"&amp;EOMONTH($P128,0)+1)=1,1,0),0)</f>
        <v>0</v>
      </c>
      <c r="U128">
        <f t="shared" si="14"/>
        <v>0</v>
      </c>
      <c r="V128">
        <f>IF(AND($U128=1,$M128&lt;&gt;""),IF(COUNTIFS($M$3:$M128,$M128,$O$3:$O128,$O128,$U$3:$U128,1,$P$3:$P128,"&gt;="&amp;EOMONTH($P128,-1)+1,$P$3:$P128,"&lt;"&amp;EOMONTH($P128,0)+1)=1,1,0),0)</f>
        <v>0</v>
      </c>
      <c r="W128" s="444">
        <f ca="1">TODAY()-Table1[[#This Row],[Change Date]]</f>
        <v>72.528472222220444</v>
      </c>
      <c r="X128" s="422">
        <f t="shared" si="15"/>
        <v>46185.473611111112</v>
      </c>
      <c r="Y128" s="476">
        <f ca="1">IF(Table1[[#This Row],[Next Stage Date]]&lt;&gt;"",Table1[[#This Row],[Next Stage Date]]-Table1[[#This Row],[Change Date]],TODAY()-Table1[[#This Row],[Change Date]])</f>
        <v>2.0833333328482695E-3</v>
      </c>
      <c r="Z128" s="476">
        <f t="shared" si="16"/>
        <v>0</v>
      </c>
      <c r="AA128" s="422">
        <f t="shared" si="17"/>
        <v>46205.364583333336</v>
      </c>
      <c r="AB128" s="422">
        <f t="shared" si="18"/>
        <v>46185.473611111112</v>
      </c>
      <c r="AC128" s="476">
        <f t="shared" si="19"/>
        <v>0.47361111111240461</v>
      </c>
      <c r="AD128" s="476">
        <f t="shared" si="20"/>
        <v>19.890972222223354</v>
      </c>
      <c r="AE128" s="476">
        <f t="shared" si="21"/>
        <v>20.364583333335759</v>
      </c>
      <c r="AF128" s="476" t="b">
        <f>IFERROR(_xlfn.XLOOKUP(Table1[[#This Row],[Opportunity ID]],'Aging Detail'!$H$14:$H$20,'Aging Detail'!$F$14:$F$20),TRUE)</f>
        <v>1</v>
      </c>
    </row>
    <row r="129" spans="1:32">
      <c r="A129" t="s">
        <v>1461</v>
      </c>
      <c r="B129" t="s">
        <v>408</v>
      </c>
      <c r="C129" t="s">
        <v>1469</v>
      </c>
      <c r="D129" t="s">
        <v>1881</v>
      </c>
      <c r="E129" t="s">
        <v>1882</v>
      </c>
      <c r="I129" s="422">
        <v>45744</v>
      </c>
      <c r="J129" s="422">
        <v>46184</v>
      </c>
      <c r="K129">
        <v>0</v>
      </c>
      <c r="L129">
        <v>0</v>
      </c>
      <c r="M129" t="s">
        <v>1883</v>
      </c>
      <c r="N129" t="s">
        <v>1600</v>
      </c>
      <c r="O129" t="str">
        <f>_xlfn.IFNA(VLOOKUP(Table1[[#This Row],[Lead Source]],'helper tab'!A:B,2,FALSE),"Exclude")</f>
        <v>Exclude</v>
      </c>
      <c r="P129" s="422">
        <f t="shared" si="11"/>
        <v>46184.54791666667</v>
      </c>
      <c r="Q129">
        <f t="shared" si="12"/>
        <v>0</v>
      </c>
      <c r="R129">
        <f t="shared" si="13"/>
        <v>0</v>
      </c>
      <c r="S129">
        <f>IF(
AND($Q129=1,$M129&lt;&gt;""),
IF(
COUNTIFS(
$M$3:$M129,$M129,
$O$3:$O129,$O129,
$Q$3:$Q129,1,
$P$3:$P129,"&gt;="&amp;EOMONTH($P129,-1)+1,
$P$3:$P129,"&lt;"&amp;EOMONTH($P129,0)+1
)=1,
1,
0),
0)</f>
        <v>0</v>
      </c>
      <c r="T129">
        <f>IF(AND($R129=1,$M129&lt;&gt;""),IF(COUNTIFS($M$3:$M129,$M129,$O$3:$O129,$O129,$R$3:$R129,1,$P$3:$P129,"&gt;="&amp;EOMONTH($P129,-1)+1,$P$3:$P129,"&lt;"&amp;EOMONTH($P129,0)+1)=1,1,0),0)</f>
        <v>0</v>
      </c>
      <c r="U129">
        <f t="shared" si="14"/>
        <v>1</v>
      </c>
      <c r="V129">
        <f>IF(AND($U129=1,$M129&lt;&gt;""),IF(COUNTIFS($M$3:$M129,$M129,$O$3:$O129,$O129,$U$3:$U129,1,$P$3:$P129,"&gt;="&amp;EOMONTH($P129,-1)+1,$P$3:$P129,"&lt;"&amp;EOMONTH($P129,0)+1)=1,1,0),0)</f>
        <v>1</v>
      </c>
      <c r="W129" s="444">
        <f ca="1">TODAY()-Table1[[#This Row],[Change Date]]</f>
        <v>73.452083333329938</v>
      </c>
      <c r="X129" s="422" t="str">
        <f t="shared" si="15"/>
        <v/>
      </c>
      <c r="Y129" s="476">
        <f ca="1">IF(Table1[[#This Row],[Next Stage Date]]&lt;&gt;"",Table1[[#This Row],[Next Stage Date]]-Table1[[#This Row],[Change Date]],TODAY()-Table1[[#This Row],[Change Date]])</f>
        <v>73.452083333329938</v>
      </c>
      <c r="Z129" s="476">
        <f t="shared" si="16"/>
        <v>1</v>
      </c>
      <c r="AA129" s="422" t="str">
        <f t="shared" si="17"/>
        <v/>
      </c>
      <c r="AB129" s="422" t="str">
        <f t="shared" si="18"/>
        <v/>
      </c>
      <c r="AC129" s="476" t="str">
        <f t="shared" si="19"/>
        <v/>
      </c>
      <c r="AD129" s="476" t="str">
        <f t="shared" si="20"/>
        <v/>
      </c>
      <c r="AE129" s="476" t="str">
        <f t="shared" si="21"/>
        <v/>
      </c>
      <c r="AF129" s="476" t="b">
        <f>IFERROR(_xlfn.XLOOKUP(Table1[[#This Row],[Opportunity ID]],'Aging Detail'!$H$14:$H$20,'Aging Detail'!$F$14:$F$20),TRUE)</f>
        <v>1</v>
      </c>
    </row>
    <row r="130" spans="1:32">
      <c r="A130" t="s">
        <v>1461</v>
      </c>
      <c r="B130" t="s">
        <v>408</v>
      </c>
      <c r="C130" t="s">
        <v>1469</v>
      </c>
      <c r="D130" t="s">
        <v>1884</v>
      </c>
      <c r="E130" t="s">
        <v>1885</v>
      </c>
      <c r="I130" s="422">
        <v>45744</v>
      </c>
      <c r="J130" s="422">
        <v>46184</v>
      </c>
      <c r="K130">
        <v>0</v>
      </c>
      <c r="L130">
        <v>0</v>
      </c>
      <c r="M130" t="s">
        <v>1886</v>
      </c>
      <c r="N130" t="s">
        <v>1887</v>
      </c>
      <c r="O130" t="str">
        <f>_xlfn.IFNA(VLOOKUP(Table1[[#This Row],[Lead Source]],'helper tab'!A:B,2,FALSE),"Exclude")</f>
        <v>Exclude</v>
      </c>
      <c r="P130" s="422">
        <f t="shared" si="11"/>
        <v>46184.533333333333</v>
      </c>
      <c r="Q130">
        <f t="shared" si="12"/>
        <v>0</v>
      </c>
      <c r="R130">
        <f t="shared" si="13"/>
        <v>0</v>
      </c>
      <c r="S130">
        <f>IF(
AND($Q130=1,$M130&lt;&gt;""),
IF(
COUNTIFS(
$M$3:$M130,$M130,
$O$3:$O130,$O130,
$Q$3:$Q130,1,
$P$3:$P130,"&gt;="&amp;EOMONTH($P130,-1)+1,
$P$3:$P130,"&lt;"&amp;EOMONTH($P130,0)+1
)=1,
1,
0),
0)</f>
        <v>0</v>
      </c>
      <c r="T130">
        <f>IF(AND($R130=1,$M130&lt;&gt;""),IF(COUNTIFS($M$3:$M130,$M130,$O$3:$O130,$O130,$R$3:$R130,1,$P$3:$P130,"&gt;="&amp;EOMONTH($P130,-1)+1,$P$3:$P130,"&lt;"&amp;EOMONTH($P130,0)+1)=1,1,0),0)</f>
        <v>0</v>
      </c>
      <c r="U130">
        <f t="shared" si="14"/>
        <v>1</v>
      </c>
      <c r="V130">
        <f>IF(AND($U130=1,$M130&lt;&gt;""),IF(COUNTIFS($M$3:$M130,$M130,$O$3:$O130,$O130,$U$3:$U130,1,$P$3:$P130,"&gt;="&amp;EOMONTH($P130,-1)+1,$P$3:$P130,"&lt;"&amp;EOMONTH($P130,0)+1)=1,1,0),0)</f>
        <v>1</v>
      </c>
      <c r="W130" s="444">
        <f ca="1">TODAY()-Table1[[#This Row],[Change Date]]</f>
        <v>73.466666666667152</v>
      </c>
      <c r="X130" s="422" t="str">
        <f t="shared" si="15"/>
        <v/>
      </c>
      <c r="Y130" s="476">
        <f ca="1">IF(Table1[[#This Row],[Next Stage Date]]&lt;&gt;"",Table1[[#This Row],[Next Stage Date]]-Table1[[#This Row],[Change Date]],TODAY()-Table1[[#This Row],[Change Date]])</f>
        <v>73.466666666667152</v>
      </c>
      <c r="Z130" s="476">
        <f t="shared" si="16"/>
        <v>1</v>
      </c>
      <c r="AA130" s="422" t="str">
        <f t="shared" si="17"/>
        <v/>
      </c>
      <c r="AB130" s="422" t="str">
        <f t="shared" si="18"/>
        <v/>
      </c>
      <c r="AC130" s="476" t="str">
        <f t="shared" si="19"/>
        <v/>
      </c>
      <c r="AD130" s="476" t="str">
        <f t="shared" si="20"/>
        <v/>
      </c>
      <c r="AE130" s="476" t="str">
        <f t="shared" si="21"/>
        <v/>
      </c>
      <c r="AF130" s="476" t="b">
        <f>IFERROR(_xlfn.XLOOKUP(Table1[[#This Row],[Opportunity ID]],'Aging Detail'!$H$14:$H$20,'Aging Detail'!$F$14:$F$20),TRUE)</f>
        <v>1</v>
      </c>
    </row>
    <row r="131" spans="1:32">
      <c r="A131" t="s">
        <v>1461</v>
      </c>
      <c r="B131" t="s">
        <v>1462</v>
      </c>
      <c r="C131" t="s">
        <v>1469</v>
      </c>
      <c r="D131" t="s">
        <v>1888</v>
      </c>
      <c r="E131" t="s">
        <v>1889</v>
      </c>
      <c r="F131" t="s">
        <v>29</v>
      </c>
      <c r="I131" s="422">
        <v>46092</v>
      </c>
      <c r="J131" s="422">
        <v>46295</v>
      </c>
      <c r="K131">
        <v>13500</v>
      </c>
      <c r="L131">
        <v>0</v>
      </c>
      <c r="M131" t="s">
        <v>1890</v>
      </c>
      <c r="N131" t="s">
        <v>1891</v>
      </c>
      <c r="O131" t="str">
        <f>_xlfn.IFNA(VLOOKUP(Table1[[#This Row],[Lead Source]],'helper tab'!A:B,2,FALSE),"Exclude")</f>
        <v>Events</v>
      </c>
      <c r="P131" s="422">
        <f t="shared" ref="P131:P194" si="22">--SUBSTITUTE(D131,",","")</f>
        <v>46184.347916666666</v>
      </c>
      <c r="Q131">
        <f t="shared" ref="Q131:Q194" si="23">IF(OR($C131="Propose",$C131="Procure"),1,0)</f>
        <v>0</v>
      </c>
      <c r="R131">
        <f t="shared" ref="R131:R194" si="24">IF($C131="Closed Won",1,0)</f>
        <v>0</v>
      </c>
      <c r="S131">
        <f>IF(
AND($Q131=1,$M131&lt;&gt;""),
IF(
COUNTIFS(
$M$3:$M131,$M131,
$O$3:$O131,$O131,
$Q$3:$Q131,1,
$P$3:$P131,"&gt;="&amp;EOMONTH($P131,-1)+1,
$P$3:$P131,"&lt;"&amp;EOMONTH($P131,0)+1
)=1,
1,
0),
0)</f>
        <v>0</v>
      </c>
      <c r="T131">
        <f>IF(AND($R131=1,$M131&lt;&gt;""),IF(COUNTIFS($M$3:$M131,$M131,$O$3:$O131,$O131,$R$3:$R131,1,$P$3:$P131,"&gt;="&amp;EOMONTH($P131,-1)+1,$P$3:$P131,"&lt;"&amp;EOMONTH($P131,0)+1)=1,1,0),0)</f>
        <v>0</v>
      </c>
      <c r="U131">
        <f t="shared" ref="U131:U194" si="25">IF($C131="Closed Lost",1,0)</f>
        <v>1</v>
      </c>
      <c r="V131">
        <f>IF(AND($U131=1,$M131&lt;&gt;""),IF(COUNTIFS($M$3:$M131,$M131,$O$3:$O131,$O131,$U$3:$U131,1,$P$3:$P131,"&gt;="&amp;EOMONTH($P131,-1)+1,$P$3:$P131,"&lt;"&amp;EOMONTH($P131,0)+1)=1,1,0),0)</f>
        <v>1</v>
      </c>
      <c r="W131" s="444">
        <f ca="1">TODAY()-Table1[[#This Row],[Change Date]]</f>
        <v>73.652083333334303</v>
      </c>
      <c r="X131" s="422" t="str">
        <f t="shared" ref="X131:X194" si="26">IFERROR(
IF(
COUNTIFS($M:$M,$M131,$P:$P,"&gt;"&amp;$P131)=0,
"",
_xlfn.MINIFS($P:$P,$M:$M,$M131,$P:$P,"&gt;"&amp;$P131)
),
""
)</f>
        <v/>
      </c>
      <c r="Y131" s="476">
        <f ca="1">IF(Table1[[#This Row],[Next Stage Date]]&lt;&gt;"",Table1[[#This Row],[Next Stage Date]]-Table1[[#This Row],[Change Date]],TODAY()-Table1[[#This Row],[Change Date]])</f>
        <v>73.652083333334303</v>
      </c>
      <c r="Z131" s="476">
        <f t="shared" ref="Z131:Z194" si="27">IF(P131=_xlfn.MAXIFS($P:$P,$M:$M,$M131),1,0)</f>
        <v>1</v>
      </c>
      <c r="AA131" s="422" t="str">
        <f t="shared" ref="AA131:AA194" si="28">IF(
COUNTIFS($M:$M,$M131,$C:$C,"Closed Won")=0,
"",
_xlfn.MINIFS($P:$P,$M:$M,$M131,$C:$C,"Closed Won")
)</f>
        <v/>
      </c>
      <c r="AB131" s="422" t="str">
        <f t="shared" ref="AB131:AB194" si="29">IF(
COUNTIFS($M:$M,$M131,$Q:$Q,1)=0,
"",
_xlfn.MINIFS($P:$P,$M:$M,$M131,$Q:$Q,1)
)</f>
        <v/>
      </c>
      <c r="AC131" s="476" t="str">
        <f t="shared" ref="AC131:AC194" si="30">IF(AB131&lt;&gt;"",AB131-I131,"")</f>
        <v/>
      </c>
      <c r="AD131" s="476" t="str">
        <f t="shared" ref="AD131:AD194" si="31">IF(AND(AB131&lt;&gt;"",AA131&lt;&gt;""),AA131-AB131,"")</f>
        <v/>
      </c>
      <c r="AE131" s="476" t="str">
        <f t="shared" ref="AE131:AE194" si="32">IF(AA131&lt;&gt;"",AA131-I131,"")</f>
        <v/>
      </c>
      <c r="AF131" s="476" t="b">
        <f>IFERROR(_xlfn.XLOOKUP(Table1[[#This Row],[Opportunity ID]],'Aging Detail'!$H$14:$H$20,'Aging Detail'!$F$14:$F$20),TRUE)</f>
        <v>1</v>
      </c>
    </row>
    <row r="132" spans="1:32">
      <c r="A132" t="s">
        <v>1461</v>
      </c>
      <c r="B132" t="s">
        <v>462</v>
      </c>
      <c r="C132" t="s">
        <v>563</v>
      </c>
      <c r="D132" t="s">
        <v>1892</v>
      </c>
      <c r="E132" t="s">
        <v>1893</v>
      </c>
      <c r="I132" s="422">
        <v>46132</v>
      </c>
      <c r="J132" s="422">
        <v>46183</v>
      </c>
      <c r="K132">
        <v>0</v>
      </c>
      <c r="L132">
        <v>0</v>
      </c>
      <c r="M132" t="s">
        <v>1894</v>
      </c>
      <c r="N132" t="s">
        <v>1604</v>
      </c>
      <c r="O132" t="str">
        <f>_xlfn.IFNA(VLOOKUP(Table1[[#This Row],[Lead Source]],'helper tab'!A:B,2,FALSE),"Exclude")</f>
        <v>Exclude</v>
      </c>
      <c r="P132" s="422">
        <f t="shared" si="22"/>
        <v>46184.345138888886</v>
      </c>
      <c r="Q132">
        <f t="shared" si="23"/>
        <v>0</v>
      </c>
      <c r="R132">
        <f t="shared" si="24"/>
        <v>1</v>
      </c>
      <c r="S132">
        <f>IF(
AND($Q132=1,$M132&lt;&gt;""),
IF(
COUNTIFS(
$M$3:$M132,$M132,
$O$3:$O132,$O132,
$Q$3:$Q132,1,
$P$3:$P132,"&gt;="&amp;EOMONTH($P132,-1)+1,
$P$3:$P132,"&lt;"&amp;EOMONTH($P132,0)+1
)=1,
1,
0),
0)</f>
        <v>0</v>
      </c>
      <c r="T132">
        <f>IF(AND($R132=1,$M132&lt;&gt;""),IF(COUNTIFS($M$3:$M132,$M132,$O$3:$O132,$O132,$R$3:$R132,1,$P$3:$P132,"&gt;="&amp;EOMONTH($P132,-1)+1,$P$3:$P132,"&lt;"&amp;EOMONTH($P132,0)+1)=1,1,0),0)</f>
        <v>1</v>
      </c>
      <c r="U132">
        <f t="shared" si="25"/>
        <v>0</v>
      </c>
      <c r="V132">
        <f>IF(AND($U132=1,$M132&lt;&gt;""),IF(COUNTIFS($M$3:$M132,$M132,$O$3:$O132,$O132,$U$3:$U132,1,$P$3:$P132,"&gt;="&amp;EOMONTH($P132,-1)+1,$P$3:$P132,"&lt;"&amp;EOMONTH($P132,0)+1)=1,1,0),0)</f>
        <v>0</v>
      </c>
      <c r="W132" s="444">
        <f ca="1">TODAY()-Table1[[#This Row],[Change Date]]</f>
        <v>73.65486111111386</v>
      </c>
      <c r="X132" s="422" t="str">
        <f t="shared" si="26"/>
        <v/>
      </c>
      <c r="Y132" s="476">
        <f ca="1">IF(Table1[[#This Row],[Next Stage Date]]&lt;&gt;"",Table1[[#This Row],[Next Stage Date]]-Table1[[#This Row],[Change Date]],TODAY()-Table1[[#This Row],[Change Date]])</f>
        <v>73.65486111111386</v>
      </c>
      <c r="Z132" s="476">
        <f t="shared" si="27"/>
        <v>1</v>
      </c>
      <c r="AA132" s="422">
        <f t="shared" si="28"/>
        <v>46184.345138888886</v>
      </c>
      <c r="AB132" s="422">
        <f t="shared" si="29"/>
        <v>46161.365277777775</v>
      </c>
      <c r="AC132" s="476">
        <f t="shared" si="30"/>
        <v>29.365277777775191</v>
      </c>
      <c r="AD132" s="476">
        <f t="shared" si="31"/>
        <v>22.979861111110949</v>
      </c>
      <c r="AE132" s="476">
        <f t="shared" si="32"/>
        <v>52.34513888888614</v>
      </c>
      <c r="AF132" s="476" t="b">
        <f>IFERROR(_xlfn.XLOOKUP(Table1[[#This Row],[Opportunity ID]],'Aging Detail'!$H$14:$H$20,'Aging Detail'!$F$14:$F$20),TRUE)</f>
        <v>1</v>
      </c>
    </row>
    <row r="133" spans="1:32">
      <c r="A133" t="s">
        <v>1461</v>
      </c>
      <c r="B133" t="s">
        <v>1462</v>
      </c>
      <c r="C133" t="s">
        <v>462</v>
      </c>
      <c r="D133" t="s">
        <v>1895</v>
      </c>
      <c r="E133" t="s">
        <v>1896</v>
      </c>
      <c r="I133" s="422">
        <v>46142</v>
      </c>
      <c r="J133" s="422">
        <v>46387</v>
      </c>
      <c r="K133">
        <v>10800</v>
      </c>
      <c r="L133">
        <v>0</v>
      </c>
      <c r="M133" t="s">
        <v>1897</v>
      </c>
      <c r="N133" t="s">
        <v>1898</v>
      </c>
      <c r="O133" t="str">
        <f>_xlfn.IFNA(VLOOKUP(Table1[[#This Row],[Lead Source]],'helper tab'!A:B,2,FALSE),"Exclude")</f>
        <v>Exclude</v>
      </c>
      <c r="P133" s="422">
        <f t="shared" si="22"/>
        <v>46183.814583333333</v>
      </c>
      <c r="Q133">
        <f t="shared" si="23"/>
        <v>1</v>
      </c>
      <c r="R133">
        <f t="shared" si="24"/>
        <v>0</v>
      </c>
      <c r="S133">
        <f>IF(
AND($Q133=1,$M133&lt;&gt;""),
IF(
COUNTIFS(
$M$3:$M133,$M133,
$O$3:$O133,$O133,
$Q$3:$Q133,1,
$P$3:$P133,"&gt;="&amp;EOMONTH($P133,-1)+1,
$P$3:$P133,"&lt;"&amp;EOMONTH($P133,0)+1
)=1,
1,
0),
0)</f>
        <v>1</v>
      </c>
      <c r="T133">
        <f>IF(AND($R133=1,$M133&lt;&gt;""),IF(COUNTIFS($M$3:$M133,$M133,$O$3:$O133,$O133,$R$3:$R133,1,$P$3:$P133,"&gt;="&amp;EOMONTH($P133,-1)+1,$P$3:$P133,"&lt;"&amp;EOMONTH($P133,0)+1)=1,1,0),0)</f>
        <v>0</v>
      </c>
      <c r="U133">
        <f t="shared" si="25"/>
        <v>0</v>
      </c>
      <c r="V133">
        <f>IF(AND($U133=1,$M133&lt;&gt;""),IF(COUNTIFS($M$3:$M133,$M133,$O$3:$O133,$O133,$U$3:$U133,1,$P$3:$P133,"&gt;="&amp;EOMONTH($P133,-1)+1,$P$3:$P133,"&lt;"&amp;EOMONTH($P133,0)+1)=1,1,0),0)</f>
        <v>0</v>
      </c>
      <c r="W133" s="444">
        <f ca="1">TODAY()-Table1[[#This Row],[Change Date]]</f>
        <v>74.185416666667152</v>
      </c>
      <c r="X133" s="422" t="str">
        <f t="shared" si="26"/>
        <v/>
      </c>
      <c r="Y133" s="476">
        <f ca="1">IF(Table1[[#This Row],[Next Stage Date]]&lt;&gt;"",Table1[[#This Row],[Next Stage Date]]-Table1[[#This Row],[Change Date]],TODAY()-Table1[[#This Row],[Change Date]])</f>
        <v>74.185416666667152</v>
      </c>
      <c r="Z133" s="476">
        <f t="shared" si="27"/>
        <v>1</v>
      </c>
      <c r="AA133" s="422" t="str">
        <f t="shared" si="28"/>
        <v/>
      </c>
      <c r="AB133" s="422">
        <f t="shared" si="29"/>
        <v>46183.814583333333</v>
      </c>
      <c r="AC133" s="476">
        <f t="shared" si="30"/>
        <v>41.814583333332848</v>
      </c>
      <c r="AD133" s="476" t="str">
        <f t="shared" si="31"/>
        <v/>
      </c>
      <c r="AE133" s="476" t="str">
        <f t="shared" si="32"/>
        <v/>
      </c>
      <c r="AF133" s="476" t="b">
        <f>IFERROR(_xlfn.XLOOKUP(Table1[[#This Row],[Opportunity ID]],'Aging Detail'!$H$14:$H$20,'Aging Detail'!$F$14:$F$20),TRUE)</f>
        <v>1</v>
      </c>
    </row>
    <row r="134" spans="1:32">
      <c r="A134" t="s">
        <v>1461</v>
      </c>
      <c r="B134" t="s">
        <v>338</v>
      </c>
      <c r="C134" t="s">
        <v>1462</v>
      </c>
      <c r="D134" t="s">
        <v>1895</v>
      </c>
      <c r="E134" t="s">
        <v>1896</v>
      </c>
      <c r="I134" s="422">
        <v>46142</v>
      </c>
      <c r="J134" s="422">
        <v>46387</v>
      </c>
      <c r="K134">
        <v>10800</v>
      </c>
      <c r="L134">
        <v>0</v>
      </c>
      <c r="M134" t="s">
        <v>1897</v>
      </c>
      <c r="N134" t="s">
        <v>1898</v>
      </c>
      <c r="O134" t="str">
        <f>_xlfn.IFNA(VLOOKUP(Table1[[#This Row],[Lead Source]],'helper tab'!A:B,2,FALSE),"Exclude")</f>
        <v>Exclude</v>
      </c>
      <c r="P134" s="422">
        <f t="shared" si="22"/>
        <v>46183.814583333333</v>
      </c>
      <c r="Q134">
        <f t="shared" si="23"/>
        <v>0</v>
      </c>
      <c r="R134">
        <f t="shared" si="24"/>
        <v>0</v>
      </c>
      <c r="S134">
        <f>IF(
AND($Q134=1,$M134&lt;&gt;""),
IF(
COUNTIFS(
$M$3:$M134,$M134,
$O$3:$O134,$O134,
$Q$3:$Q134,1,
$P$3:$P134,"&gt;="&amp;EOMONTH($P134,-1)+1,
$P$3:$P134,"&lt;"&amp;EOMONTH($P134,0)+1
)=1,
1,
0),
0)</f>
        <v>0</v>
      </c>
      <c r="T134">
        <f>IF(AND($R134=1,$M134&lt;&gt;""),IF(COUNTIFS($M$3:$M134,$M134,$O$3:$O134,$O134,$R$3:$R134,1,$P$3:$P134,"&gt;="&amp;EOMONTH($P134,-1)+1,$P$3:$P134,"&lt;"&amp;EOMONTH($P134,0)+1)=1,1,0),0)</f>
        <v>0</v>
      </c>
      <c r="U134">
        <f t="shared" si="25"/>
        <v>0</v>
      </c>
      <c r="V134">
        <f>IF(AND($U134=1,$M134&lt;&gt;""),IF(COUNTIFS($M$3:$M134,$M134,$O$3:$O134,$O134,$U$3:$U134,1,$P$3:$P134,"&gt;="&amp;EOMONTH($P134,-1)+1,$P$3:$P134,"&lt;"&amp;EOMONTH($P134,0)+1)=1,1,0),0)</f>
        <v>0</v>
      </c>
      <c r="W134" s="444">
        <f ca="1">TODAY()-Table1[[#This Row],[Change Date]]</f>
        <v>74.185416666667152</v>
      </c>
      <c r="X134" s="422" t="str">
        <f t="shared" si="26"/>
        <v/>
      </c>
      <c r="Y134" s="476">
        <f ca="1">IF(Table1[[#This Row],[Next Stage Date]]&lt;&gt;"",Table1[[#This Row],[Next Stage Date]]-Table1[[#This Row],[Change Date]],TODAY()-Table1[[#This Row],[Change Date]])</f>
        <v>74.185416666667152</v>
      </c>
      <c r="Z134" s="476">
        <f t="shared" si="27"/>
        <v>1</v>
      </c>
      <c r="AA134" s="422" t="str">
        <f t="shared" si="28"/>
        <v/>
      </c>
      <c r="AB134" s="422">
        <f t="shared" si="29"/>
        <v>46183.814583333333</v>
      </c>
      <c r="AC134" s="476">
        <f t="shared" si="30"/>
        <v>41.814583333332848</v>
      </c>
      <c r="AD134" s="476" t="str">
        <f t="shared" si="31"/>
        <v/>
      </c>
      <c r="AE134" s="476" t="str">
        <f t="shared" si="32"/>
        <v/>
      </c>
      <c r="AF134" s="476" t="b">
        <f>IFERROR(_xlfn.XLOOKUP(Table1[[#This Row],[Opportunity ID]],'Aging Detail'!$H$14:$H$20,'Aging Detail'!$F$14:$F$20),TRUE)</f>
        <v>1</v>
      </c>
    </row>
    <row r="135" spans="1:32">
      <c r="A135" t="s">
        <v>1461</v>
      </c>
      <c r="B135" t="s">
        <v>338</v>
      </c>
      <c r="C135" t="s">
        <v>1462</v>
      </c>
      <c r="D135" t="s">
        <v>1899</v>
      </c>
      <c r="E135" t="s">
        <v>1591</v>
      </c>
      <c r="I135" s="422">
        <v>46135</v>
      </c>
      <c r="J135" s="422">
        <v>46387</v>
      </c>
      <c r="K135">
        <v>74500</v>
      </c>
      <c r="L135">
        <v>10500</v>
      </c>
      <c r="M135" t="s">
        <v>1592</v>
      </c>
      <c r="N135" t="s">
        <v>1593</v>
      </c>
      <c r="O135" t="str">
        <f>_xlfn.IFNA(VLOOKUP(Table1[[#This Row],[Lead Source]],'helper tab'!A:B,2,FALSE),"Exclude")</f>
        <v>Exclude</v>
      </c>
      <c r="P135" s="422">
        <f t="shared" si="22"/>
        <v>46183.811111111114</v>
      </c>
      <c r="Q135">
        <f t="shared" si="23"/>
        <v>0</v>
      </c>
      <c r="R135">
        <f t="shared" si="24"/>
        <v>0</v>
      </c>
      <c r="S135">
        <f>IF(
AND($Q135=1,$M135&lt;&gt;""),
IF(
COUNTIFS(
$M$3:$M135,$M135,
$O$3:$O135,$O135,
$Q$3:$Q135,1,
$P$3:$P135,"&gt;="&amp;EOMONTH($P135,-1)+1,
$P$3:$P135,"&lt;"&amp;EOMONTH($P135,0)+1
)=1,
1,
0),
0)</f>
        <v>0</v>
      </c>
      <c r="T135">
        <f>IF(AND($R135=1,$M135&lt;&gt;""),IF(COUNTIFS($M$3:$M135,$M135,$O$3:$O135,$O135,$R$3:$R135,1,$P$3:$P135,"&gt;="&amp;EOMONTH($P135,-1)+1,$P$3:$P135,"&lt;"&amp;EOMONTH($P135,0)+1)=1,1,0),0)</f>
        <v>0</v>
      </c>
      <c r="U135">
        <f t="shared" si="25"/>
        <v>0</v>
      </c>
      <c r="V135">
        <f>IF(AND($U135=1,$M135&lt;&gt;""),IF(COUNTIFS($M$3:$M135,$M135,$O$3:$O135,$O135,$U$3:$U135,1,$P$3:$P135,"&gt;="&amp;EOMONTH($P135,-1)+1,$P$3:$P135,"&lt;"&amp;EOMONTH($P135,0)+1)=1,1,0),0)</f>
        <v>0</v>
      </c>
      <c r="W135" s="444">
        <f ca="1">TODAY()-Table1[[#This Row],[Change Date]]</f>
        <v>74.18888888888614</v>
      </c>
      <c r="X135" s="422">
        <f t="shared" si="26"/>
        <v>46226.696527777778</v>
      </c>
      <c r="Y135" s="476">
        <f ca="1">IF(Table1[[#This Row],[Next Stage Date]]&lt;&gt;"",Table1[[#This Row],[Next Stage Date]]-Table1[[#This Row],[Change Date]],TODAY()-Table1[[#This Row],[Change Date]])</f>
        <v>42.885416666664241</v>
      </c>
      <c r="Z135" s="476">
        <f t="shared" si="27"/>
        <v>0</v>
      </c>
      <c r="AA135" s="422" t="str">
        <f t="shared" si="28"/>
        <v/>
      </c>
      <c r="AB135" s="422">
        <f t="shared" si="29"/>
        <v>46226.696527777778</v>
      </c>
      <c r="AC135" s="476">
        <f t="shared" si="30"/>
        <v>91.696527777778101</v>
      </c>
      <c r="AD135" s="476" t="str">
        <f t="shared" si="31"/>
        <v/>
      </c>
      <c r="AE135" s="476" t="str">
        <f t="shared" si="32"/>
        <v/>
      </c>
      <c r="AF135" s="476" t="b">
        <f>IFERROR(_xlfn.XLOOKUP(Table1[[#This Row],[Opportunity ID]],'Aging Detail'!$H$14:$H$20,'Aging Detail'!$F$14:$F$20),TRUE)</f>
        <v>1</v>
      </c>
    </row>
    <row r="136" spans="1:32">
      <c r="A136" t="s">
        <v>1461</v>
      </c>
      <c r="B136" t="s">
        <v>1462</v>
      </c>
      <c r="C136" t="s">
        <v>462</v>
      </c>
      <c r="D136" t="s">
        <v>1900</v>
      </c>
      <c r="E136" t="s">
        <v>1901</v>
      </c>
      <c r="F136" t="s">
        <v>1464</v>
      </c>
      <c r="I136" s="422">
        <v>45966</v>
      </c>
      <c r="J136" s="422">
        <v>46348</v>
      </c>
      <c r="K136">
        <v>510000</v>
      </c>
      <c r="L136">
        <v>450000</v>
      </c>
      <c r="M136" t="s">
        <v>1902</v>
      </c>
      <c r="N136" t="s">
        <v>1903</v>
      </c>
      <c r="O136" t="str">
        <f>_xlfn.IFNA(VLOOKUP(Table1[[#This Row],[Lead Source]],'helper tab'!A:B,2,FALSE),"Exclude")</f>
        <v>Cold</v>
      </c>
      <c r="P136" s="422">
        <f t="shared" si="22"/>
        <v>46183.338888888888</v>
      </c>
      <c r="Q136">
        <f t="shared" si="23"/>
        <v>1</v>
      </c>
      <c r="R136">
        <f t="shared" si="24"/>
        <v>0</v>
      </c>
      <c r="S136">
        <f>IF(
AND($Q136=1,$M136&lt;&gt;""),
IF(
COUNTIFS(
$M$3:$M136,$M136,
$O$3:$O136,$O136,
$Q$3:$Q136,1,
$P$3:$P136,"&gt;="&amp;EOMONTH($P136,-1)+1,
$P$3:$P136,"&lt;"&amp;EOMONTH($P136,0)+1
)=1,
1,
0),
0)</f>
        <v>1</v>
      </c>
      <c r="T136">
        <f>IF(AND($R136=1,$M136&lt;&gt;""),IF(COUNTIFS($M$3:$M136,$M136,$O$3:$O136,$O136,$R$3:$R136,1,$P$3:$P136,"&gt;="&amp;EOMONTH($P136,-1)+1,$P$3:$P136,"&lt;"&amp;EOMONTH($P136,0)+1)=1,1,0),0)</f>
        <v>0</v>
      </c>
      <c r="U136">
        <f t="shared" si="25"/>
        <v>0</v>
      </c>
      <c r="V136">
        <f>IF(AND($U136=1,$M136&lt;&gt;""),IF(COUNTIFS($M$3:$M136,$M136,$O$3:$O136,$O136,$U$3:$U136,1,$P$3:$P136,"&gt;="&amp;EOMONTH($P136,-1)+1,$P$3:$P136,"&lt;"&amp;EOMONTH($P136,0)+1)=1,1,0),0)</f>
        <v>0</v>
      </c>
      <c r="W136" s="444">
        <f ca="1">TODAY()-Table1[[#This Row],[Change Date]]</f>
        <v>74.661111111112405</v>
      </c>
      <c r="X136" s="422" t="str">
        <f t="shared" si="26"/>
        <v/>
      </c>
      <c r="Y136" s="476">
        <f ca="1">IF(Table1[[#This Row],[Next Stage Date]]&lt;&gt;"",Table1[[#This Row],[Next Stage Date]]-Table1[[#This Row],[Change Date]],TODAY()-Table1[[#This Row],[Change Date]])</f>
        <v>74.661111111112405</v>
      </c>
      <c r="Z136" s="476">
        <f t="shared" si="27"/>
        <v>1</v>
      </c>
      <c r="AA136" s="422" t="str">
        <f t="shared" si="28"/>
        <v/>
      </c>
      <c r="AB136" s="422">
        <f t="shared" si="29"/>
        <v>46183.338888888888</v>
      </c>
      <c r="AC136" s="476">
        <f t="shared" si="30"/>
        <v>217.3388888888876</v>
      </c>
      <c r="AD136" s="476" t="str">
        <f t="shared" si="31"/>
        <v/>
      </c>
      <c r="AE136" s="476" t="str">
        <f t="shared" si="32"/>
        <v/>
      </c>
      <c r="AF136" s="476" t="b">
        <f>IFERROR(_xlfn.XLOOKUP(Table1[[#This Row],[Opportunity ID]],'Aging Detail'!$H$14:$H$20,'Aging Detail'!$F$14:$F$20),TRUE)</f>
        <v>1</v>
      </c>
    </row>
    <row r="137" spans="1:32">
      <c r="A137" t="s">
        <v>1461</v>
      </c>
      <c r="B137" t="s">
        <v>462</v>
      </c>
      <c r="C137" t="s">
        <v>526</v>
      </c>
      <c r="D137" t="s">
        <v>1904</v>
      </c>
      <c r="E137" t="s">
        <v>137</v>
      </c>
      <c r="F137" t="s">
        <v>1482</v>
      </c>
      <c r="H137" t="s">
        <v>157</v>
      </c>
      <c r="I137" s="422">
        <v>46105</v>
      </c>
      <c r="J137" s="422">
        <v>46203</v>
      </c>
      <c r="K137">
        <v>60000</v>
      </c>
      <c r="L137">
        <v>60000</v>
      </c>
      <c r="M137" t="s">
        <v>1769</v>
      </c>
      <c r="N137" t="s">
        <v>1770</v>
      </c>
      <c r="O137" t="str">
        <f>_xlfn.IFNA(VLOOKUP(Table1[[#This Row],[Lead Source]],'helper tab'!A:B,2,FALSE),"Exclude")</f>
        <v>Digital</v>
      </c>
      <c r="P137" s="422">
        <f t="shared" si="22"/>
        <v>46182.336805555555</v>
      </c>
      <c r="Q137">
        <f t="shared" si="23"/>
        <v>1</v>
      </c>
      <c r="R137">
        <f t="shared" si="24"/>
        <v>0</v>
      </c>
      <c r="S137">
        <f>IF(
AND($Q137=1,$M137&lt;&gt;""),
IF(
COUNTIFS(
$M$3:$M137,$M137,
$O$3:$O137,$O137,
$Q$3:$Q137,1,
$P$3:$P137,"&gt;="&amp;EOMONTH($P137,-1)+1,
$P$3:$P137,"&lt;"&amp;EOMONTH($P137,0)+1
)=1,
1,
0),
0)</f>
        <v>1</v>
      </c>
      <c r="T137">
        <f>IF(AND($R137=1,$M137&lt;&gt;""),IF(COUNTIFS($M$3:$M137,$M137,$O$3:$O137,$O137,$R$3:$R137,1,$P$3:$P137,"&gt;="&amp;EOMONTH($P137,-1)+1,$P$3:$P137,"&lt;"&amp;EOMONTH($P137,0)+1)=1,1,0),0)</f>
        <v>0</v>
      </c>
      <c r="U137">
        <f t="shared" si="25"/>
        <v>0</v>
      </c>
      <c r="V137">
        <f>IF(AND($U137=1,$M137&lt;&gt;""),IF(COUNTIFS($M$3:$M137,$M137,$O$3:$O137,$O137,$U$3:$U137,1,$P$3:$P137,"&gt;="&amp;EOMONTH($P137,-1)+1,$P$3:$P137,"&lt;"&amp;EOMONTH($P137,0)+1)=1,1,0),0)</f>
        <v>0</v>
      </c>
      <c r="W137" s="444">
        <f ca="1">TODAY()-Table1[[#This Row],[Change Date]]</f>
        <v>75.663194444445253</v>
      </c>
      <c r="X137" s="422">
        <f t="shared" si="26"/>
        <v>46204.482638888891</v>
      </c>
      <c r="Y137" s="476">
        <f ca="1">IF(Table1[[#This Row],[Next Stage Date]]&lt;&gt;"",Table1[[#This Row],[Next Stage Date]]-Table1[[#This Row],[Change Date]],TODAY()-Table1[[#This Row],[Change Date]])</f>
        <v>22.145833333335759</v>
      </c>
      <c r="Z137" s="476">
        <f t="shared" si="27"/>
        <v>0</v>
      </c>
      <c r="AA137" s="422">
        <f t="shared" si="28"/>
        <v>46204.482638888891</v>
      </c>
      <c r="AB137" s="422">
        <f t="shared" si="29"/>
        <v>46112.228472222225</v>
      </c>
      <c r="AC137" s="476">
        <f t="shared" si="30"/>
        <v>7.2284722222248092</v>
      </c>
      <c r="AD137" s="476">
        <f t="shared" si="31"/>
        <v>92.254166666665697</v>
      </c>
      <c r="AE137" s="476">
        <f t="shared" si="32"/>
        <v>99.482638888890506</v>
      </c>
      <c r="AF137" s="476" t="b">
        <f>IFERROR(_xlfn.XLOOKUP(Table1[[#This Row],[Opportunity ID]],'Aging Detail'!$H$14:$H$20,'Aging Detail'!$F$14:$F$20),TRUE)</f>
        <v>1</v>
      </c>
    </row>
    <row r="138" spans="1:32">
      <c r="A138" t="s">
        <v>1461</v>
      </c>
      <c r="B138" t="s">
        <v>1462</v>
      </c>
      <c r="C138" t="s">
        <v>462</v>
      </c>
      <c r="D138" t="s">
        <v>1905</v>
      </c>
      <c r="E138" t="s">
        <v>1906</v>
      </c>
      <c r="I138" s="422">
        <v>46161</v>
      </c>
      <c r="J138" s="422">
        <v>46387</v>
      </c>
      <c r="K138">
        <v>64000</v>
      </c>
      <c r="L138">
        <v>0</v>
      </c>
      <c r="M138" t="s">
        <v>1907</v>
      </c>
      <c r="N138" t="s">
        <v>1908</v>
      </c>
      <c r="O138" t="str">
        <f>_xlfn.IFNA(VLOOKUP(Table1[[#This Row],[Lead Source]],'helper tab'!A:B,2,FALSE),"Exclude")</f>
        <v>Exclude</v>
      </c>
      <c r="P138" s="422">
        <f t="shared" si="22"/>
        <v>46181.581250000003</v>
      </c>
      <c r="Q138">
        <f t="shared" si="23"/>
        <v>1</v>
      </c>
      <c r="R138">
        <f t="shared" si="24"/>
        <v>0</v>
      </c>
      <c r="S138">
        <f>IF(
AND($Q138=1,$M138&lt;&gt;""),
IF(
COUNTIFS(
$M$3:$M138,$M138,
$O$3:$O138,$O138,
$Q$3:$Q138,1,
$P$3:$P138,"&gt;="&amp;EOMONTH($P138,-1)+1,
$P$3:$P138,"&lt;"&amp;EOMONTH($P138,0)+1
)=1,
1,
0),
0)</f>
        <v>1</v>
      </c>
      <c r="T138">
        <f>IF(AND($R138=1,$M138&lt;&gt;""),IF(COUNTIFS($M$3:$M138,$M138,$O$3:$O138,$O138,$R$3:$R138,1,$P$3:$P138,"&gt;="&amp;EOMONTH($P138,-1)+1,$P$3:$P138,"&lt;"&amp;EOMONTH($P138,0)+1)=1,1,0),0)</f>
        <v>0</v>
      </c>
      <c r="U138">
        <f t="shared" si="25"/>
        <v>0</v>
      </c>
      <c r="V138">
        <f>IF(AND($U138=1,$M138&lt;&gt;""),IF(COUNTIFS($M$3:$M138,$M138,$O$3:$O138,$O138,$U$3:$U138,1,$P$3:$P138,"&gt;="&amp;EOMONTH($P138,-1)+1,$P$3:$P138,"&lt;"&amp;EOMONTH($P138,0)+1)=1,1,0),0)</f>
        <v>0</v>
      </c>
      <c r="W138" s="444">
        <f ca="1">TODAY()-Table1[[#This Row],[Change Date]]</f>
        <v>76.41874999999709</v>
      </c>
      <c r="X138" s="422" t="str">
        <f t="shared" si="26"/>
        <v/>
      </c>
      <c r="Y138" s="476">
        <f ca="1">IF(Table1[[#This Row],[Next Stage Date]]&lt;&gt;"",Table1[[#This Row],[Next Stage Date]]-Table1[[#This Row],[Change Date]],TODAY()-Table1[[#This Row],[Change Date]])</f>
        <v>76.41874999999709</v>
      </c>
      <c r="Z138" s="476">
        <f t="shared" si="27"/>
        <v>1</v>
      </c>
      <c r="AA138" s="422" t="str">
        <f t="shared" si="28"/>
        <v/>
      </c>
      <c r="AB138" s="422">
        <f t="shared" si="29"/>
        <v>46181.581250000003</v>
      </c>
      <c r="AC138" s="476">
        <f t="shared" si="30"/>
        <v>20.58125000000291</v>
      </c>
      <c r="AD138" s="476" t="str">
        <f t="shared" si="31"/>
        <v/>
      </c>
      <c r="AE138" s="476" t="str">
        <f t="shared" si="32"/>
        <v/>
      </c>
      <c r="AF138" s="476" t="b">
        <f>IFERROR(_xlfn.XLOOKUP(Table1[[#This Row],[Opportunity ID]],'Aging Detail'!$H$14:$H$20,'Aging Detail'!$F$14:$F$20),TRUE)</f>
        <v>1</v>
      </c>
    </row>
    <row r="139" spans="1:32">
      <c r="A139" t="s">
        <v>1461</v>
      </c>
      <c r="B139" t="s">
        <v>408</v>
      </c>
      <c r="C139" t="s">
        <v>1462</v>
      </c>
      <c r="D139" t="s">
        <v>1909</v>
      </c>
      <c r="E139" t="s">
        <v>1810</v>
      </c>
      <c r="I139" s="422">
        <v>46171</v>
      </c>
      <c r="J139" s="422">
        <v>46477</v>
      </c>
      <c r="K139">
        <v>598810</v>
      </c>
      <c r="L139">
        <v>75310</v>
      </c>
      <c r="M139" t="s">
        <v>1811</v>
      </c>
      <c r="N139" t="s">
        <v>1812</v>
      </c>
      <c r="O139" t="str">
        <f>_xlfn.IFNA(VLOOKUP(Table1[[#This Row],[Lead Source]],'helper tab'!A:B,2,FALSE),"Exclude")</f>
        <v>Exclude</v>
      </c>
      <c r="P139" s="422">
        <f t="shared" si="22"/>
        <v>46181.509722222225</v>
      </c>
      <c r="Q139">
        <f t="shared" si="23"/>
        <v>0</v>
      </c>
      <c r="R139">
        <f t="shared" si="24"/>
        <v>0</v>
      </c>
      <c r="S139">
        <f>IF(
AND($Q139=1,$M139&lt;&gt;""),
IF(
COUNTIFS(
$M$3:$M139,$M139,
$O$3:$O139,$O139,
$Q$3:$Q139,1,
$P$3:$P139,"&gt;="&amp;EOMONTH($P139,-1)+1,
$P$3:$P139,"&lt;"&amp;EOMONTH($P139,0)+1
)=1,
1,
0),
0)</f>
        <v>0</v>
      </c>
      <c r="T139">
        <f>IF(AND($R139=1,$M139&lt;&gt;""),IF(COUNTIFS($M$3:$M139,$M139,$O$3:$O139,$O139,$R$3:$R139,1,$P$3:$P139,"&gt;="&amp;EOMONTH($P139,-1)+1,$P$3:$P139,"&lt;"&amp;EOMONTH($P139,0)+1)=1,1,0),0)</f>
        <v>0</v>
      </c>
      <c r="U139">
        <f t="shared" si="25"/>
        <v>0</v>
      </c>
      <c r="V139">
        <f>IF(AND($U139=1,$M139&lt;&gt;""),IF(COUNTIFS($M$3:$M139,$M139,$O$3:$O139,$O139,$U$3:$U139,1,$P$3:$P139,"&gt;="&amp;EOMONTH($P139,-1)+1,$P$3:$P139,"&lt;"&amp;EOMONTH($P139,0)+1)=1,1,0),0)</f>
        <v>0</v>
      </c>
      <c r="W139" s="444">
        <f ca="1">TODAY()-Table1[[#This Row],[Change Date]]</f>
        <v>76.490277777775191</v>
      </c>
      <c r="X139" s="422">
        <f t="shared" si="26"/>
        <v>46198.556944444441</v>
      </c>
      <c r="Y139" s="476">
        <f ca="1">IF(Table1[[#This Row],[Next Stage Date]]&lt;&gt;"",Table1[[#This Row],[Next Stage Date]]-Table1[[#This Row],[Change Date]],TODAY()-Table1[[#This Row],[Change Date]])</f>
        <v>17.047222222216078</v>
      </c>
      <c r="Z139" s="476">
        <f t="shared" si="27"/>
        <v>0</v>
      </c>
      <c r="AA139" s="422" t="str">
        <f t="shared" si="28"/>
        <v/>
      </c>
      <c r="AB139" s="422">
        <f t="shared" si="29"/>
        <v>46198.556944444441</v>
      </c>
      <c r="AC139" s="476">
        <f t="shared" si="30"/>
        <v>27.556944444440887</v>
      </c>
      <c r="AD139" s="476" t="str">
        <f t="shared" si="31"/>
        <v/>
      </c>
      <c r="AE139" s="476" t="str">
        <f t="shared" si="32"/>
        <v/>
      </c>
      <c r="AF139" s="476" t="b">
        <f>IFERROR(_xlfn.XLOOKUP(Table1[[#This Row],[Opportunity ID]],'Aging Detail'!$H$14:$H$20,'Aging Detail'!$F$14:$F$20),TRUE)</f>
        <v>1</v>
      </c>
    </row>
    <row r="140" spans="1:32">
      <c r="A140" t="s">
        <v>1461</v>
      </c>
      <c r="B140" t="s">
        <v>408</v>
      </c>
      <c r="C140" t="s">
        <v>1462</v>
      </c>
      <c r="D140" t="s">
        <v>1910</v>
      </c>
      <c r="E140" t="s">
        <v>1911</v>
      </c>
      <c r="F140" t="s">
        <v>1465</v>
      </c>
      <c r="I140" s="422">
        <v>46132</v>
      </c>
      <c r="J140" s="422">
        <v>46325</v>
      </c>
      <c r="K140">
        <v>50000</v>
      </c>
      <c r="L140">
        <v>50000</v>
      </c>
      <c r="M140" t="s">
        <v>1912</v>
      </c>
      <c r="N140" t="s">
        <v>1722</v>
      </c>
      <c r="O140" t="str">
        <f>_xlfn.IFNA(VLOOKUP(Table1[[#This Row],[Lead Source]],'helper tab'!A:B,2,FALSE),"Exclude")</f>
        <v>Exclude</v>
      </c>
      <c r="P140" s="422">
        <f t="shared" si="22"/>
        <v>46181.043055555558</v>
      </c>
      <c r="Q140">
        <f t="shared" si="23"/>
        <v>0</v>
      </c>
      <c r="R140">
        <f t="shared" si="24"/>
        <v>0</v>
      </c>
      <c r="S140">
        <f>IF(
AND($Q140=1,$M140&lt;&gt;""),
IF(
COUNTIFS(
$M$3:$M140,$M140,
$O$3:$O140,$O140,
$Q$3:$Q140,1,
$P$3:$P140,"&gt;="&amp;EOMONTH($P140,-1)+1,
$P$3:$P140,"&lt;"&amp;EOMONTH($P140,0)+1
)=1,
1,
0),
0)</f>
        <v>0</v>
      </c>
      <c r="T140">
        <f>IF(AND($R140=1,$M140&lt;&gt;""),IF(COUNTIFS($M$3:$M140,$M140,$O$3:$O140,$O140,$R$3:$R140,1,$P$3:$P140,"&gt;="&amp;EOMONTH($P140,-1)+1,$P$3:$P140,"&lt;"&amp;EOMONTH($P140,0)+1)=1,1,0),0)</f>
        <v>0</v>
      </c>
      <c r="U140">
        <f t="shared" si="25"/>
        <v>0</v>
      </c>
      <c r="V140">
        <f>IF(AND($U140=1,$M140&lt;&gt;""),IF(COUNTIFS($M$3:$M140,$M140,$O$3:$O140,$O140,$U$3:$U140,1,$P$3:$P140,"&gt;="&amp;EOMONTH($P140,-1)+1,$P$3:$P140,"&lt;"&amp;EOMONTH($P140,0)+1)=1,1,0),0)</f>
        <v>0</v>
      </c>
      <c r="W140" s="444">
        <f ca="1">TODAY()-Table1[[#This Row],[Change Date]]</f>
        <v>76.956944444442343</v>
      </c>
      <c r="X140" s="422" t="str">
        <f t="shared" si="26"/>
        <v/>
      </c>
      <c r="Y140" s="476">
        <f ca="1">IF(Table1[[#This Row],[Next Stage Date]]&lt;&gt;"",Table1[[#This Row],[Next Stage Date]]-Table1[[#This Row],[Change Date]],TODAY()-Table1[[#This Row],[Change Date]])</f>
        <v>76.956944444442343</v>
      </c>
      <c r="Z140" s="476">
        <f t="shared" si="27"/>
        <v>1</v>
      </c>
      <c r="AA140" s="422" t="str">
        <f t="shared" si="28"/>
        <v/>
      </c>
      <c r="AB140" s="422" t="str">
        <f t="shared" si="29"/>
        <v/>
      </c>
      <c r="AC140" s="476" t="str">
        <f t="shared" si="30"/>
        <v/>
      </c>
      <c r="AD140" s="476" t="str">
        <f t="shared" si="31"/>
        <v/>
      </c>
      <c r="AE140" s="476" t="str">
        <f t="shared" si="32"/>
        <v/>
      </c>
      <c r="AF140" s="476" t="b">
        <f>IFERROR(_xlfn.XLOOKUP(Table1[[#This Row],[Opportunity ID]],'Aging Detail'!$H$14:$H$20,'Aging Detail'!$F$14:$F$20),TRUE)</f>
        <v>1</v>
      </c>
    </row>
    <row r="141" spans="1:32">
      <c r="A141" t="s">
        <v>1461</v>
      </c>
      <c r="B141" t="s">
        <v>1462</v>
      </c>
      <c r="C141" t="s">
        <v>462</v>
      </c>
      <c r="D141" t="s">
        <v>1913</v>
      </c>
      <c r="E141" t="s">
        <v>1914</v>
      </c>
      <c r="F141" t="s">
        <v>29</v>
      </c>
      <c r="G141" t="s">
        <v>29</v>
      </c>
      <c r="I141" s="422">
        <v>46113</v>
      </c>
      <c r="J141" s="422">
        <v>46360</v>
      </c>
      <c r="K141">
        <v>616040</v>
      </c>
      <c r="L141">
        <v>281040</v>
      </c>
      <c r="M141" t="s">
        <v>1915</v>
      </c>
      <c r="N141" t="s">
        <v>1914</v>
      </c>
      <c r="O141" t="str">
        <f>_xlfn.IFNA(VLOOKUP(Table1[[#This Row],[Lead Source]],'helper tab'!A:B,2,FALSE),"Exclude")</f>
        <v>Events</v>
      </c>
      <c r="P141" s="422">
        <f t="shared" si="22"/>
        <v>46177.520833333336</v>
      </c>
      <c r="Q141">
        <f t="shared" si="23"/>
        <v>1</v>
      </c>
      <c r="R141">
        <f t="shared" si="24"/>
        <v>0</v>
      </c>
      <c r="S141">
        <f>IF(
AND($Q141=1,$M141&lt;&gt;""),
IF(
COUNTIFS(
$M$3:$M141,$M141,
$O$3:$O141,$O141,
$Q$3:$Q141,1,
$P$3:$P141,"&gt;="&amp;EOMONTH($P141,-1)+1,
$P$3:$P141,"&lt;"&amp;EOMONTH($P141,0)+1
)=1,
1,
0),
0)</f>
        <v>1</v>
      </c>
      <c r="T141">
        <f>IF(AND($R141=1,$M141&lt;&gt;""),IF(COUNTIFS($M$3:$M141,$M141,$O$3:$O141,$O141,$R$3:$R141,1,$P$3:$P141,"&gt;="&amp;EOMONTH($P141,-1)+1,$P$3:$P141,"&lt;"&amp;EOMONTH($P141,0)+1)=1,1,0),0)</f>
        <v>0</v>
      </c>
      <c r="U141">
        <f t="shared" si="25"/>
        <v>0</v>
      </c>
      <c r="V141">
        <f>IF(AND($U141=1,$M141&lt;&gt;""),IF(COUNTIFS($M$3:$M141,$M141,$O$3:$O141,$O141,$U$3:$U141,1,$P$3:$P141,"&gt;="&amp;EOMONTH($P141,-1)+1,$P$3:$P141,"&lt;"&amp;EOMONTH($P141,0)+1)=1,1,0),0)</f>
        <v>0</v>
      </c>
      <c r="W141" s="444">
        <f ca="1">TODAY()-Table1[[#This Row],[Change Date]]</f>
        <v>80.479166666664241</v>
      </c>
      <c r="X141" s="422" t="str">
        <f t="shared" si="26"/>
        <v/>
      </c>
      <c r="Y141" s="476">
        <f ca="1">IF(Table1[[#This Row],[Next Stage Date]]&lt;&gt;"",Table1[[#This Row],[Next Stage Date]]-Table1[[#This Row],[Change Date]],TODAY()-Table1[[#This Row],[Change Date]])</f>
        <v>80.479166666664241</v>
      </c>
      <c r="Z141" s="476">
        <f t="shared" si="27"/>
        <v>1</v>
      </c>
      <c r="AA141" s="422" t="str">
        <f t="shared" si="28"/>
        <v/>
      </c>
      <c r="AB141" s="422">
        <f t="shared" si="29"/>
        <v>46177.520833333336</v>
      </c>
      <c r="AC141" s="476">
        <f t="shared" si="30"/>
        <v>64.520833333335759</v>
      </c>
      <c r="AD141" s="476" t="str">
        <f t="shared" si="31"/>
        <v/>
      </c>
      <c r="AE141" s="476" t="str">
        <f t="shared" si="32"/>
        <v/>
      </c>
      <c r="AF141" s="476" t="b">
        <f>IFERROR(_xlfn.XLOOKUP(Table1[[#This Row],[Opportunity ID]],'Aging Detail'!$H$14:$H$20,'Aging Detail'!$F$14:$F$20),TRUE)</f>
        <v>1</v>
      </c>
    </row>
    <row r="142" spans="1:32">
      <c r="A142" t="s">
        <v>1461</v>
      </c>
      <c r="B142" t="s">
        <v>408</v>
      </c>
      <c r="C142" t="s">
        <v>1462</v>
      </c>
      <c r="D142" t="s">
        <v>1916</v>
      </c>
      <c r="E142" t="s">
        <v>1906</v>
      </c>
      <c r="I142" s="422">
        <v>46161</v>
      </c>
      <c r="J142" s="422">
        <v>46387</v>
      </c>
      <c r="K142">
        <v>64000</v>
      </c>
      <c r="L142">
        <v>0</v>
      </c>
      <c r="M142" t="s">
        <v>1907</v>
      </c>
      <c r="N142" t="s">
        <v>1908</v>
      </c>
      <c r="O142" t="str">
        <f>_xlfn.IFNA(VLOOKUP(Table1[[#This Row],[Lead Source]],'helper tab'!A:B,2,FALSE),"Exclude")</f>
        <v>Exclude</v>
      </c>
      <c r="P142" s="422">
        <f t="shared" si="22"/>
        <v>46176.588194444441</v>
      </c>
      <c r="Q142">
        <f t="shared" si="23"/>
        <v>0</v>
      </c>
      <c r="R142">
        <f t="shared" si="24"/>
        <v>0</v>
      </c>
      <c r="S142">
        <f>IF(
AND($Q142=1,$M142&lt;&gt;""),
IF(
COUNTIFS(
$M$3:$M142,$M142,
$O$3:$O142,$O142,
$Q$3:$Q142,1,
$P$3:$P142,"&gt;="&amp;EOMONTH($P142,-1)+1,
$P$3:$P142,"&lt;"&amp;EOMONTH($P142,0)+1
)=1,
1,
0),
0)</f>
        <v>0</v>
      </c>
      <c r="T142">
        <f>IF(AND($R142=1,$M142&lt;&gt;""),IF(COUNTIFS($M$3:$M142,$M142,$O$3:$O142,$O142,$R$3:$R142,1,$P$3:$P142,"&gt;="&amp;EOMONTH($P142,-1)+1,$P$3:$P142,"&lt;"&amp;EOMONTH($P142,0)+1)=1,1,0),0)</f>
        <v>0</v>
      </c>
      <c r="U142">
        <f t="shared" si="25"/>
        <v>0</v>
      </c>
      <c r="V142">
        <f>IF(AND($U142=1,$M142&lt;&gt;""),IF(COUNTIFS($M$3:$M142,$M142,$O$3:$O142,$O142,$U$3:$U142,1,$P$3:$P142,"&gt;="&amp;EOMONTH($P142,-1)+1,$P$3:$P142,"&lt;"&amp;EOMONTH($P142,0)+1)=1,1,0),0)</f>
        <v>0</v>
      </c>
      <c r="W142" s="444">
        <f ca="1">TODAY()-Table1[[#This Row],[Change Date]]</f>
        <v>81.411805555559113</v>
      </c>
      <c r="X142" s="422">
        <f t="shared" si="26"/>
        <v>46181.581250000003</v>
      </c>
      <c r="Y142" s="476">
        <f ca="1">IF(Table1[[#This Row],[Next Stage Date]]&lt;&gt;"",Table1[[#This Row],[Next Stage Date]]-Table1[[#This Row],[Change Date]],TODAY()-Table1[[#This Row],[Change Date]])</f>
        <v>4.9930555555620231</v>
      </c>
      <c r="Z142" s="476">
        <f t="shared" si="27"/>
        <v>0</v>
      </c>
      <c r="AA142" s="422" t="str">
        <f t="shared" si="28"/>
        <v/>
      </c>
      <c r="AB142" s="422">
        <f t="shared" si="29"/>
        <v>46181.581250000003</v>
      </c>
      <c r="AC142" s="476">
        <f t="shared" si="30"/>
        <v>20.58125000000291</v>
      </c>
      <c r="AD142" s="476" t="str">
        <f t="shared" si="31"/>
        <v/>
      </c>
      <c r="AE142" s="476" t="str">
        <f t="shared" si="32"/>
        <v/>
      </c>
      <c r="AF142" s="476" t="b">
        <f>IFERROR(_xlfn.XLOOKUP(Table1[[#This Row],[Opportunity ID]],'Aging Detail'!$H$14:$H$20,'Aging Detail'!$F$14:$F$20),TRUE)</f>
        <v>1</v>
      </c>
    </row>
    <row r="143" spans="1:32">
      <c r="A143" t="s">
        <v>1461</v>
      </c>
      <c r="B143" t="s">
        <v>338</v>
      </c>
      <c r="C143" t="s">
        <v>1469</v>
      </c>
      <c r="D143" t="s">
        <v>1917</v>
      </c>
      <c r="E143" t="s">
        <v>1918</v>
      </c>
      <c r="I143" s="422">
        <v>46043</v>
      </c>
      <c r="J143" s="422">
        <v>46080</v>
      </c>
      <c r="L143">
        <v>0</v>
      </c>
      <c r="M143" t="s">
        <v>1919</v>
      </c>
      <c r="N143" t="s">
        <v>1604</v>
      </c>
      <c r="O143" t="str">
        <f>_xlfn.IFNA(VLOOKUP(Table1[[#This Row],[Lead Source]],'helper tab'!A:B,2,FALSE),"Exclude")</f>
        <v>Exclude</v>
      </c>
      <c r="P143" s="422">
        <f t="shared" si="22"/>
        <v>46176.439583333333</v>
      </c>
      <c r="Q143">
        <f t="shared" si="23"/>
        <v>0</v>
      </c>
      <c r="R143">
        <f t="shared" si="24"/>
        <v>0</v>
      </c>
      <c r="S143">
        <f>IF(
AND($Q143=1,$M143&lt;&gt;""),
IF(
COUNTIFS(
$M$3:$M143,$M143,
$O$3:$O143,$O143,
$Q$3:$Q143,1,
$P$3:$P143,"&gt;="&amp;EOMONTH($P143,-1)+1,
$P$3:$P143,"&lt;"&amp;EOMONTH($P143,0)+1
)=1,
1,
0),
0)</f>
        <v>0</v>
      </c>
      <c r="T143">
        <f>IF(AND($R143=1,$M143&lt;&gt;""),IF(COUNTIFS($M$3:$M143,$M143,$O$3:$O143,$O143,$R$3:$R143,1,$P$3:$P143,"&gt;="&amp;EOMONTH($P143,-1)+1,$P$3:$P143,"&lt;"&amp;EOMONTH($P143,0)+1)=1,1,0),0)</f>
        <v>0</v>
      </c>
      <c r="U143">
        <f t="shared" si="25"/>
        <v>1</v>
      </c>
      <c r="V143">
        <f>IF(AND($U143=1,$M143&lt;&gt;""),IF(COUNTIFS($M$3:$M143,$M143,$O$3:$O143,$O143,$U$3:$U143,1,$P$3:$P143,"&gt;="&amp;EOMONTH($P143,-1)+1,$P$3:$P143,"&lt;"&amp;EOMONTH($P143,0)+1)=1,1,0),0)</f>
        <v>1</v>
      </c>
      <c r="W143" s="444">
        <f ca="1">TODAY()-Table1[[#This Row],[Change Date]]</f>
        <v>81.560416666667152</v>
      </c>
      <c r="X143" s="422" t="str">
        <f t="shared" si="26"/>
        <v/>
      </c>
      <c r="Y143" s="476">
        <f ca="1">IF(Table1[[#This Row],[Next Stage Date]]&lt;&gt;"",Table1[[#This Row],[Next Stage Date]]-Table1[[#This Row],[Change Date]],TODAY()-Table1[[#This Row],[Change Date]])</f>
        <v>81.560416666667152</v>
      </c>
      <c r="Z143" s="476">
        <f t="shared" si="27"/>
        <v>1</v>
      </c>
      <c r="AA143" s="422" t="str">
        <f t="shared" si="28"/>
        <v/>
      </c>
      <c r="AB143" s="422" t="str">
        <f t="shared" si="29"/>
        <v/>
      </c>
      <c r="AC143" s="476" t="str">
        <f t="shared" si="30"/>
        <v/>
      </c>
      <c r="AD143" s="476" t="str">
        <f t="shared" si="31"/>
        <v/>
      </c>
      <c r="AE143" s="476" t="str">
        <f t="shared" si="32"/>
        <v/>
      </c>
      <c r="AF143" s="476" t="b">
        <f>IFERROR(_xlfn.XLOOKUP(Table1[[#This Row],[Opportunity ID]],'Aging Detail'!$H$14:$H$20,'Aging Detail'!$F$14:$F$20),TRUE)</f>
        <v>1</v>
      </c>
    </row>
    <row r="144" spans="1:32">
      <c r="A144" t="s">
        <v>1461</v>
      </c>
      <c r="B144" t="s">
        <v>1462</v>
      </c>
      <c r="C144" t="s">
        <v>462</v>
      </c>
      <c r="D144" t="s">
        <v>1920</v>
      </c>
      <c r="E144" t="s">
        <v>1662</v>
      </c>
      <c r="F144" t="s">
        <v>148</v>
      </c>
      <c r="H144" t="s">
        <v>154</v>
      </c>
      <c r="I144" s="422">
        <v>46171</v>
      </c>
      <c r="J144" s="422">
        <v>46265</v>
      </c>
      <c r="K144">
        <v>11400</v>
      </c>
      <c r="L144">
        <v>11400</v>
      </c>
      <c r="M144" t="s">
        <v>1663</v>
      </c>
      <c r="N144" t="s">
        <v>592</v>
      </c>
      <c r="O144" t="str">
        <f>_xlfn.IFNA(VLOOKUP(Table1[[#This Row],[Lead Source]],'helper tab'!A:B,2,FALSE),"Exclude")</f>
        <v>Alliances</v>
      </c>
      <c r="P144" s="422">
        <f t="shared" si="22"/>
        <v>46176.388888888891</v>
      </c>
      <c r="Q144">
        <f t="shared" si="23"/>
        <v>1</v>
      </c>
      <c r="R144">
        <f t="shared" si="24"/>
        <v>0</v>
      </c>
      <c r="S144">
        <f>IF(
AND($Q144=1,$M144&lt;&gt;""),
IF(
COUNTIFS(
$M$3:$M144,$M144,
$O$3:$O144,$O144,
$Q$3:$Q144,1,
$P$3:$P144,"&gt;="&amp;EOMONTH($P144,-1)+1,
$P$3:$P144,"&lt;"&amp;EOMONTH($P144,0)+1
)=1,
1,
0),
0)</f>
        <v>1</v>
      </c>
      <c r="T144">
        <f>IF(AND($R144=1,$M144&lt;&gt;""),IF(COUNTIFS($M$3:$M144,$M144,$O$3:$O144,$O144,$R$3:$R144,1,$P$3:$P144,"&gt;="&amp;EOMONTH($P144,-1)+1,$P$3:$P144,"&lt;"&amp;EOMONTH($P144,0)+1)=1,1,0),0)</f>
        <v>0</v>
      </c>
      <c r="U144">
        <f t="shared" si="25"/>
        <v>0</v>
      </c>
      <c r="V144">
        <f>IF(AND($U144=1,$M144&lt;&gt;""),IF(COUNTIFS($M$3:$M144,$M144,$O$3:$O144,$O144,$U$3:$U144,1,$P$3:$P144,"&gt;="&amp;EOMONTH($P144,-1)+1,$P$3:$P144,"&lt;"&amp;EOMONTH($P144,0)+1)=1,1,0),0)</f>
        <v>0</v>
      </c>
      <c r="W144" s="444">
        <f ca="1">TODAY()-Table1[[#This Row],[Change Date]]</f>
        <v>81.611111111109494</v>
      </c>
      <c r="X144" s="422">
        <f t="shared" si="26"/>
        <v>46212.525694444441</v>
      </c>
      <c r="Y144" s="476">
        <f ca="1">IF(Table1[[#This Row],[Next Stage Date]]&lt;&gt;"",Table1[[#This Row],[Next Stage Date]]-Table1[[#This Row],[Change Date]],TODAY()-Table1[[#This Row],[Change Date]])</f>
        <v>36.136805555550382</v>
      </c>
      <c r="Z144" s="476">
        <f t="shared" si="27"/>
        <v>0</v>
      </c>
      <c r="AA144" s="422" t="str">
        <f t="shared" si="28"/>
        <v/>
      </c>
      <c r="AB144" s="422">
        <f t="shared" si="29"/>
        <v>46176.388888888891</v>
      </c>
      <c r="AC144" s="476">
        <f t="shared" si="30"/>
        <v>5.3888888888905058</v>
      </c>
      <c r="AD144" s="476" t="str">
        <f t="shared" si="31"/>
        <v/>
      </c>
      <c r="AE144" s="476" t="str">
        <f t="shared" si="32"/>
        <v/>
      </c>
      <c r="AF144" s="476" t="b">
        <f>IFERROR(_xlfn.XLOOKUP(Table1[[#This Row],[Opportunity ID]],'Aging Detail'!$H$14:$H$20,'Aging Detail'!$F$14:$F$20),TRUE)</f>
        <v>1</v>
      </c>
    </row>
    <row r="145" spans="1:32">
      <c r="A145" t="s">
        <v>1461</v>
      </c>
      <c r="B145" t="s">
        <v>338</v>
      </c>
      <c r="C145" t="s">
        <v>462</v>
      </c>
      <c r="D145" t="s">
        <v>1921</v>
      </c>
      <c r="E145" t="s">
        <v>1659</v>
      </c>
      <c r="H145" t="s">
        <v>154</v>
      </c>
      <c r="I145" s="422">
        <v>46092</v>
      </c>
      <c r="J145" s="422">
        <v>46265</v>
      </c>
      <c r="K145">
        <v>24000</v>
      </c>
      <c r="L145">
        <v>24000</v>
      </c>
      <c r="M145" t="s">
        <v>1660</v>
      </c>
      <c r="N145" t="s">
        <v>592</v>
      </c>
      <c r="O145" t="str">
        <f>_xlfn.IFNA(VLOOKUP(Table1[[#This Row],[Lead Source]],'helper tab'!A:B,2,FALSE),"Exclude")</f>
        <v>Exclude</v>
      </c>
      <c r="P145" s="422">
        <f t="shared" si="22"/>
        <v>46176.384722222225</v>
      </c>
      <c r="Q145">
        <f t="shared" si="23"/>
        <v>1</v>
      </c>
      <c r="R145">
        <f t="shared" si="24"/>
        <v>0</v>
      </c>
      <c r="S145">
        <f>IF(
AND($Q145=1,$M145&lt;&gt;""),
IF(
COUNTIFS(
$M$3:$M145,$M145,
$O$3:$O145,$O145,
$Q$3:$Q145,1,
$P$3:$P145,"&gt;="&amp;EOMONTH($P145,-1)+1,
$P$3:$P145,"&lt;"&amp;EOMONTH($P145,0)+1
)=1,
1,
0),
0)</f>
        <v>1</v>
      </c>
      <c r="T145">
        <f>IF(AND($R145=1,$M145&lt;&gt;""),IF(COUNTIFS($M$3:$M145,$M145,$O$3:$O145,$O145,$R$3:$R145,1,$P$3:$P145,"&gt;="&amp;EOMONTH($P145,-1)+1,$P$3:$P145,"&lt;"&amp;EOMONTH($P145,0)+1)=1,1,0),0)</f>
        <v>0</v>
      </c>
      <c r="U145">
        <f t="shared" si="25"/>
        <v>0</v>
      </c>
      <c r="V145">
        <f>IF(AND($U145=1,$M145&lt;&gt;""),IF(COUNTIFS($M$3:$M145,$M145,$O$3:$O145,$O145,$U$3:$U145,1,$P$3:$P145,"&gt;="&amp;EOMONTH($P145,-1)+1,$P$3:$P145,"&lt;"&amp;EOMONTH($P145,0)+1)=1,1,0),0)</f>
        <v>0</v>
      </c>
      <c r="W145" s="444">
        <f ca="1">TODAY()-Table1[[#This Row],[Change Date]]</f>
        <v>81.615277777775191</v>
      </c>
      <c r="X145" s="422">
        <f t="shared" si="26"/>
        <v>46212.527083333334</v>
      </c>
      <c r="Y145" s="476">
        <f ca="1">IF(Table1[[#This Row],[Next Stage Date]]&lt;&gt;"",Table1[[#This Row],[Next Stage Date]]-Table1[[#This Row],[Change Date]],TODAY()-Table1[[#This Row],[Change Date]])</f>
        <v>36.142361111109494</v>
      </c>
      <c r="Z145" s="476">
        <f t="shared" si="27"/>
        <v>0</v>
      </c>
      <c r="AA145" s="422" t="str">
        <f t="shared" si="28"/>
        <v/>
      </c>
      <c r="AB145" s="422">
        <f t="shared" si="29"/>
        <v>46176.384722222225</v>
      </c>
      <c r="AC145" s="476">
        <f t="shared" si="30"/>
        <v>84.384722222224809</v>
      </c>
      <c r="AD145" s="476" t="str">
        <f t="shared" si="31"/>
        <v/>
      </c>
      <c r="AE145" s="476" t="str">
        <f t="shared" si="32"/>
        <v/>
      </c>
      <c r="AF145" s="476" t="b">
        <f>IFERROR(_xlfn.XLOOKUP(Table1[[#This Row],[Opportunity ID]],'Aging Detail'!$H$14:$H$20,'Aging Detail'!$F$14:$F$20),TRUE)</f>
        <v>1</v>
      </c>
    </row>
    <row r="146" spans="1:32">
      <c r="A146" t="s">
        <v>1461</v>
      </c>
      <c r="B146" t="s">
        <v>408</v>
      </c>
      <c r="C146" t="s">
        <v>526</v>
      </c>
      <c r="D146" t="s">
        <v>1922</v>
      </c>
      <c r="E146" t="s">
        <v>1795</v>
      </c>
      <c r="F146" t="s">
        <v>1484</v>
      </c>
      <c r="I146" s="422">
        <v>45345</v>
      </c>
      <c r="J146" s="422">
        <v>46202</v>
      </c>
      <c r="K146">
        <v>27300</v>
      </c>
      <c r="L146">
        <v>0</v>
      </c>
      <c r="M146" t="s">
        <v>1796</v>
      </c>
      <c r="N146" t="s">
        <v>999</v>
      </c>
      <c r="O146" t="str">
        <f>_xlfn.IFNA(VLOOKUP(Table1[[#This Row],[Lead Source]],'helper tab'!A:B,2,FALSE),"Exclude")</f>
        <v>Exclude</v>
      </c>
      <c r="P146" s="422">
        <f t="shared" si="22"/>
        <v>46175.522916666669</v>
      </c>
      <c r="Q146">
        <f t="shared" si="23"/>
        <v>1</v>
      </c>
      <c r="R146">
        <f t="shared" si="24"/>
        <v>0</v>
      </c>
      <c r="S146">
        <f>IF(
AND($Q146=1,$M146&lt;&gt;""),
IF(
COUNTIFS(
$M$3:$M146,$M146,
$O$3:$O146,$O146,
$Q$3:$Q146,1,
$P$3:$P146,"&gt;="&amp;EOMONTH($P146,-1)+1,
$P$3:$P146,"&lt;"&amp;EOMONTH($P146,0)+1
)=1,
1,
0),
0)</f>
        <v>1</v>
      </c>
      <c r="T146">
        <f>IF(AND($R146=1,$M146&lt;&gt;""),IF(COUNTIFS($M$3:$M146,$M146,$O$3:$O146,$O146,$R$3:$R146,1,$P$3:$P146,"&gt;="&amp;EOMONTH($P146,-1)+1,$P$3:$P146,"&lt;"&amp;EOMONTH($P146,0)+1)=1,1,0),0)</f>
        <v>0</v>
      </c>
      <c r="U146">
        <f t="shared" si="25"/>
        <v>0</v>
      </c>
      <c r="V146">
        <f>IF(AND($U146=1,$M146&lt;&gt;""),IF(COUNTIFS($M$3:$M146,$M146,$O$3:$O146,$O146,$U$3:$U146,1,$P$3:$P146,"&gt;="&amp;EOMONTH($P146,-1)+1,$P$3:$P146,"&lt;"&amp;EOMONTH($P146,0)+1)=1,1,0),0)</f>
        <v>0</v>
      </c>
      <c r="W146" s="444">
        <f ca="1">TODAY()-Table1[[#This Row],[Change Date]]</f>
        <v>82.477083333331393</v>
      </c>
      <c r="X146" s="422">
        <f t="shared" si="26"/>
        <v>46202.382638888892</v>
      </c>
      <c r="Y146" s="476">
        <f ca="1">IF(Table1[[#This Row],[Next Stage Date]]&lt;&gt;"",Table1[[#This Row],[Next Stage Date]]-Table1[[#This Row],[Change Date]],TODAY()-Table1[[#This Row],[Change Date]])</f>
        <v>26.859722222223354</v>
      </c>
      <c r="Z146" s="476">
        <f t="shared" si="27"/>
        <v>0</v>
      </c>
      <c r="AA146" s="422">
        <f t="shared" si="28"/>
        <v>46202.382638888892</v>
      </c>
      <c r="AB146" s="422">
        <f t="shared" si="29"/>
        <v>46175.522916666669</v>
      </c>
      <c r="AC146" s="476">
        <f t="shared" si="30"/>
        <v>830.52291666666861</v>
      </c>
      <c r="AD146" s="476">
        <f t="shared" si="31"/>
        <v>26.859722222223354</v>
      </c>
      <c r="AE146" s="476">
        <f t="shared" si="32"/>
        <v>857.38263888889196</v>
      </c>
      <c r="AF146" s="476" t="b">
        <f>IFERROR(_xlfn.XLOOKUP(Table1[[#This Row],[Opportunity ID]],'Aging Detail'!$H$14:$H$20,'Aging Detail'!$F$14:$F$20),TRUE)</f>
        <v>1</v>
      </c>
    </row>
    <row r="147" spans="1:32">
      <c r="A147" t="s">
        <v>1461</v>
      </c>
      <c r="B147" t="s">
        <v>1462</v>
      </c>
      <c r="C147" t="s">
        <v>1469</v>
      </c>
      <c r="D147" t="s">
        <v>1923</v>
      </c>
      <c r="E147" t="s">
        <v>1924</v>
      </c>
      <c r="F147" t="s">
        <v>148</v>
      </c>
      <c r="H147" t="s">
        <v>1698</v>
      </c>
      <c r="I147" s="422">
        <v>45215</v>
      </c>
      <c r="J147" s="422">
        <v>46174</v>
      </c>
      <c r="K147">
        <v>164220</v>
      </c>
      <c r="L147">
        <v>164220</v>
      </c>
      <c r="M147" t="s">
        <v>1925</v>
      </c>
      <c r="N147" t="s">
        <v>1926</v>
      </c>
      <c r="O147" t="str">
        <f>_xlfn.IFNA(VLOOKUP(Table1[[#This Row],[Lead Source]],'helper tab'!A:B,2,FALSE),"Exclude")</f>
        <v>Alliances</v>
      </c>
      <c r="P147" s="422">
        <f t="shared" si="22"/>
        <v>46174.581944444442</v>
      </c>
      <c r="Q147">
        <f t="shared" si="23"/>
        <v>0</v>
      </c>
      <c r="R147">
        <f t="shared" si="24"/>
        <v>0</v>
      </c>
      <c r="S147">
        <f>IF(
AND($Q147=1,$M147&lt;&gt;""),
IF(
COUNTIFS(
$M$3:$M147,$M147,
$O$3:$O147,$O147,
$Q$3:$Q147,1,
$P$3:$P147,"&gt;="&amp;EOMONTH($P147,-1)+1,
$P$3:$P147,"&lt;"&amp;EOMONTH($P147,0)+1
)=1,
1,
0),
0)</f>
        <v>0</v>
      </c>
      <c r="T147">
        <f>IF(AND($R147=1,$M147&lt;&gt;""),IF(COUNTIFS($M$3:$M147,$M147,$O$3:$O147,$O147,$R$3:$R147,1,$P$3:$P147,"&gt;="&amp;EOMONTH($P147,-1)+1,$P$3:$P147,"&lt;"&amp;EOMONTH($P147,0)+1)=1,1,0),0)</f>
        <v>0</v>
      </c>
      <c r="U147">
        <f t="shared" si="25"/>
        <v>1</v>
      </c>
      <c r="V147">
        <f>IF(AND($U147=1,$M147&lt;&gt;""),IF(COUNTIFS($M$3:$M147,$M147,$O$3:$O147,$O147,$U$3:$U147,1,$P$3:$P147,"&gt;="&amp;EOMONTH($P147,-1)+1,$P$3:$P147,"&lt;"&amp;EOMONTH($P147,0)+1)=1,1,0),0)</f>
        <v>1</v>
      </c>
      <c r="W147" s="444">
        <f ca="1">TODAY()-Table1[[#This Row],[Change Date]]</f>
        <v>83.418055555557657</v>
      </c>
      <c r="X147" s="422" t="str">
        <f t="shared" si="26"/>
        <v/>
      </c>
      <c r="Y147" s="476">
        <f ca="1">IF(Table1[[#This Row],[Next Stage Date]]&lt;&gt;"",Table1[[#This Row],[Next Stage Date]]-Table1[[#This Row],[Change Date]],TODAY()-Table1[[#This Row],[Change Date]])</f>
        <v>83.418055555557657</v>
      </c>
      <c r="Z147" s="476">
        <f t="shared" si="27"/>
        <v>1</v>
      </c>
      <c r="AA147" s="422" t="str">
        <f t="shared" si="28"/>
        <v/>
      </c>
      <c r="AB147" s="422" t="str">
        <f t="shared" si="29"/>
        <v/>
      </c>
      <c r="AC147" s="476" t="str">
        <f t="shared" si="30"/>
        <v/>
      </c>
      <c r="AD147" s="476" t="str">
        <f t="shared" si="31"/>
        <v/>
      </c>
      <c r="AE147" s="476" t="str">
        <f t="shared" si="32"/>
        <v/>
      </c>
      <c r="AF147" s="476" t="b">
        <f>IFERROR(_xlfn.XLOOKUP(Table1[[#This Row],[Opportunity ID]],'Aging Detail'!$H$14:$H$20,'Aging Detail'!$F$14:$F$20),TRUE)</f>
        <v>1</v>
      </c>
    </row>
    <row r="148" spans="1:32">
      <c r="A148" t="s">
        <v>1461</v>
      </c>
      <c r="B148" t="s">
        <v>408</v>
      </c>
      <c r="C148" t="s">
        <v>1462</v>
      </c>
      <c r="D148" t="s">
        <v>1927</v>
      </c>
      <c r="E148" t="s">
        <v>1928</v>
      </c>
      <c r="F148" t="s">
        <v>148</v>
      </c>
      <c r="H148" t="s">
        <v>1698</v>
      </c>
      <c r="I148" s="422">
        <v>46171</v>
      </c>
      <c r="J148" s="422">
        <v>46279</v>
      </c>
      <c r="K148">
        <v>106260</v>
      </c>
      <c r="L148">
        <v>106260</v>
      </c>
      <c r="M148" t="s">
        <v>1929</v>
      </c>
      <c r="N148" t="s">
        <v>1926</v>
      </c>
      <c r="O148" t="str">
        <f>_xlfn.IFNA(VLOOKUP(Table1[[#This Row],[Lead Source]],'helper tab'!A:B,2,FALSE),"Exclude")</f>
        <v>Alliances</v>
      </c>
      <c r="P148" s="422">
        <f t="shared" si="22"/>
        <v>46174.574305555558</v>
      </c>
      <c r="Q148">
        <f t="shared" si="23"/>
        <v>0</v>
      </c>
      <c r="R148">
        <f t="shared" si="24"/>
        <v>0</v>
      </c>
      <c r="S148">
        <f>IF(
AND($Q148=1,$M148&lt;&gt;""),
IF(
COUNTIFS(
$M$3:$M148,$M148,
$O$3:$O148,$O148,
$Q$3:$Q148,1,
$P$3:$P148,"&gt;="&amp;EOMONTH($P148,-1)+1,
$P$3:$P148,"&lt;"&amp;EOMONTH($P148,0)+1
)=1,
1,
0),
0)</f>
        <v>0</v>
      </c>
      <c r="T148">
        <f>IF(AND($R148=1,$M148&lt;&gt;""),IF(COUNTIFS($M$3:$M148,$M148,$O$3:$O148,$O148,$R$3:$R148,1,$P$3:$P148,"&gt;="&amp;EOMONTH($P148,-1)+1,$P$3:$P148,"&lt;"&amp;EOMONTH($P148,0)+1)=1,1,0),0)</f>
        <v>0</v>
      </c>
      <c r="U148">
        <f t="shared" si="25"/>
        <v>0</v>
      </c>
      <c r="V148">
        <f>IF(AND($U148=1,$M148&lt;&gt;""),IF(COUNTIFS($M$3:$M148,$M148,$O$3:$O148,$O148,$U$3:$U148,1,$P$3:$P148,"&gt;="&amp;EOMONTH($P148,-1)+1,$P$3:$P148,"&lt;"&amp;EOMONTH($P148,0)+1)=1,1,0),0)</f>
        <v>0</v>
      </c>
      <c r="W148" s="444">
        <f ca="1">TODAY()-Table1[[#This Row],[Change Date]]</f>
        <v>83.425694444442343</v>
      </c>
      <c r="X148" s="422" t="str">
        <f t="shared" si="26"/>
        <v/>
      </c>
      <c r="Y148" s="476">
        <f ca="1">IF(Table1[[#This Row],[Next Stage Date]]&lt;&gt;"",Table1[[#This Row],[Next Stage Date]]-Table1[[#This Row],[Change Date]],TODAY()-Table1[[#This Row],[Change Date]])</f>
        <v>83.425694444442343</v>
      </c>
      <c r="Z148" s="476">
        <f t="shared" si="27"/>
        <v>1</v>
      </c>
      <c r="AA148" s="422" t="str">
        <f t="shared" si="28"/>
        <v/>
      </c>
      <c r="AB148" s="422" t="str">
        <f t="shared" si="29"/>
        <v/>
      </c>
      <c r="AC148" s="476" t="str">
        <f t="shared" si="30"/>
        <v/>
      </c>
      <c r="AD148" s="476" t="str">
        <f t="shared" si="31"/>
        <v/>
      </c>
      <c r="AE148" s="476" t="str">
        <f t="shared" si="32"/>
        <v/>
      </c>
      <c r="AF148" s="476" t="b">
        <f>IFERROR(_xlfn.XLOOKUP(Table1[[#This Row],[Opportunity ID]],'Aging Detail'!$H$14:$H$20,'Aging Detail'!$F$14:$F$20),TRUE)</f>
        <v>1</v>
      </c>
    </row>
    <row r="149" spans="1:32">
      <c r="A149" t="s">
        <v>1461</v>
      </c>
      <c r="B149" t="s">
        <v>338</v>
      </c>
      <c r="C149" t="s">
        <v>1469</v>
      </c>
      <c r="D149" t="s">
        <v>1930</v>
      </c>
      <c r="E149" t="s">
        <v>1931</v>
      </c>
      <c r="F149" t="s">
        <v>1464</v>
      </c>
      <c r="G149" t="s">
        <v>1932</v>
      </c>
      <c r="I149" s="422">
        <v>45870</v>
      </c>
      <c r="J149" s="422">
        <v>46219</v>
      </c>
      <c r="K149">
        <v>332800</v>
      </c>
      <c r="L149">
        <v>172800</v>
      </c>
      <c r="M149" t="s">
        <v>1933</v>
      </c>
      <c r="N149" t="s">
        <v>1934</v>
      </c>
      <c r="O149" t="str">
        <f>_xlfn.IFNA(VLOOKUP(Table1[[#This Row],[Lead Source]],'helper tab'!A:B,2,FALSE),"Exclude")</f>
        <v>Cold</v>
      </c>
      <c r="P149" s="422">
        <f t="shared" si="22"/>
        <v>46171.456944444442</v>
      </c>
      <c r="Q149">
        <f t="shared" si="23"/>
        <v>0</v>
      </c>
      <c r="R149">
        <f t="shared" si="24"/>
        <v>0</v>
      </c>
      <c r="S149">
        <f>IF(
AND($Q149=1,$M149&lt;&gt;""),
IF(
COUNTIFS(
$M$3:$M149,$M149,
$O$3:$O149,$O149,
$Q$3:$Q149,1,
$P$3:$P149,"&gt;="&amp;EOMONTH($P149,-1)+1,
$P$3:$P149,"&lt;"&amp;EOMONTH($P149,0)+1
)=1,
1,
0),
0)</f>
        <v>0</v>
      </c>
      <c r="T149">
        <f>IF(AND($R149=1,$M149&lt;&gt;""),IF(COUNTIFS($M$3:$M149,$M149,$O$3:$O149,$O149,$R$3:$R149,1,$P$3:$P149,"&gt;="&amp;EOMONTH($P149,-1)+1,$P$3:$P149,"&lt;"&amp;EOMONTH($P149,0)+1)=1,1,0),0)</f>
        <v>0</v>
      </c>
      <c r="U149">
        <f t="shared" si="25"/>
        <v>1</v>
      </c>
      <c r="V149">
        <f>IF(AND($U149=1,$M149&lt;&gt;""),IF(COUNTIFS($M$3:$M149,$M149,$O$3:$O149,$O149,$U$3:$U149,1,$P$3:$P149,"&gt;="&amp;EOMONTH($P149,-1)+1,$P$3:$P149,"&lt;"&amp;EOMONTH($P149,0)+1)=1,1,0),0)</f>
        <v>1</v>
      </c>
      <c r="W149" s="444">
        <f ca="1">TODAY()-Table1[[#This Row],[Change Date]]</f>
        <v>86.543055555557657</v>
      </c>
      <c r="X149" s="422" t="str">
        <f t="shared" si="26"/>
        <v/>
      </c>
      <c r="Y149" s="476">
        <f ca="1">IF(Table1[[#This Row],[Next Stage Date]]&lt;&gt;"",Table1[[#This Row],[Next Stage Date]]-Table1[[#This Row],[Change Date]],TODAY()-Table1[[#This Row],[Change Date]])</f>
        <v>86.543055555557657</v>
      </c>
      <c r="Z149" s="476">
        <f t="shared" si="27"/>
        <v>1</v>
      </c>
      <c r="AA149" s="422" t="str">
        <f t="shared" si="28"/>
        <v/>
      </c>
      <c r="AB149" s="422" t="str">
        <f t="shared" si="29"/>
        <v/>
      </c>
      <c r="AC149" s="476" t="str">
        <f t="shared" si="30"/>
        <v/>
      </c>
      <c r="AD149" s="476" t="str">
        <f t="shared" si="31"/>
        <v/>
      </c>
      <c r="AE149" s="476" t="str">
        <f t="shared" si="32"/>
        <v/>
      </c>
      <c r="AF149" s="476" t="b">
        <f>IFERROR(_xlfn.XLOOKUP(Table1[[#This Row],[Opportunity ID]],'Aging Detail'!$H$14:$H$20,'Aging Detail'!$F$14:$F$20),TRUE)</f>
        <v>1</v>
      </c>
    </row>
    <row r="150" spans="1:32">
      <c r="A150" t="s">
        <v>1461</v>
      </c>
      <c r="B150" t="s">
        <v>408</v>
      </c>
      <c r="C150" t="s">
        <v>1462</v>
      </c>
      <c r="D150" t="s">
        <v>1935</v>
      </c>
      <c r="E150" t="s">
        <v>1936</v>
      </c>
      <c r="F150" t="s">
        <v>148</v>
      </c>
      <c r="G150" t="s">
        <v>148</v>
      </c>
      <c r="H150" t="s">
        <v>1698</v>
      </c>
      <c r="I150" s="422">
        <v>45855</v>
      </c>
      <c r="J150" s="422">
        <v>46325</v>
      </c>
      <c r="K150">
        <v>63389.599999999999</v>
      </c>
      <c r="L150">
        <v>34389.599999999999</v>
      </c>
      <c r="M150" t="s">
        <v>1937</v>
      </c>
      <c r="N150" t="s">
        <v>1850</v>
      </c>
      <c r="O150" t="str">
        <f>_xlfn.IFNA(VLOOKUP(Table1[[#This Row],[Lead Source]],'helper tab'!A:B,2,FALSE),"Exclude")</f>
        <v>Alliances</v>
      </c>
      <c r="P150" s="422">
        <f t="shared" si="22"/>
        <v>46170.373611111114</v>
      </c>
      <c r="Q150">
        <f t="shared" si="23"/>
        <v>0</v>
      </c>
      <c r="R150">
        <f t="shared" si="24"/>
        <v>0</v>
      </c>
      <c r="S150">
        <f>IF(
AND($Q150=1,$M150&lt;&gt;""),
IF(
COUNTIFS(
$M$3:$M150,$M150,
$O$3:$O150,$O150,
$Q$3:$Q150,1,
$P$3:$P150,"&gt;="&amp;EOMONTH($P150,-1)+1,
$P$3:$P150,"&lt;"&amp;EOMONTH($P150,0)+1
)=1,
1,
0),
0)</f>
        <v>0</v>
      </c>
      <c r="T150">
        <f>IF(AND($R150=1,$M150&lt;&gt;""),IF(COUNTIFS($M$3:$M150,$M150,$O$3:$O150,$O150,$R$3:$R150,1,$P$3:$P150,"&gt;="&amp;EOMONTH($P150,-1)+1,$P$3:$P150,"&lt;"&amp;EOMONTH($P150,0)+1)=1,1,0),0)</f>
        <v>0</v>
      </c>
      <c r="U150">
        <f t="shared" si="25"/>
        <v>0</v>
      </c>
      <c r="V150">
        <f>IF(AND($U150=1,$M150&lt;&gt;""),IF(COUNTIFS($M$3:$M150,$M150,$O$3:$O150,$O150,$U$3:$U150,1,$P$3:$P150,"&gt;="&amp;EOMONTH($P150,-1)+1,$P$3:$P150,"&lt;"&amp;EOMONTH($P150,0)+1)=1,1,0),0)</f>
        <v>0</v>
      </c>
      <c r="W150" s="444">
        <f ca="1">TODAY()-Table1[[#This Row],[Change Date]]</f>
        <v>87.62638888888614</v>
      </c>
      <c r="X150" s="422" t="str">
        <f t="shared" si="26"/>
        <v/>
      </c>
      <c r="Y150" s="476">
        <f ca="1">IF(Table1[[#This Row],[Next Stage Date]]&lt;&gt;"",Table1[[#This Row],[Next Stage Date]]-Table1[[#This Row],[Change Date]],TODAY()-Table1[[#This Row],[Change Date]])</f>
        <v>87.62638888888614</v>
      </c>
      <c r="Z150" s="476">
        <f t="shared" si="27"/>
        <v>1</v>
      </c>
      <c r="AA150" s="422" t="str">
        <f t="shared" si="28"/>
        <v/>
      </c>
      <c r="AB150" s="422" t="str">
        <f t="shared" si="29"/>
        <v/>
      </c>
      <c r="AC150" s="476" t="str">
        <f t="shared" si="30"/>
        <v/>
      </c>
      <c r="AD150" s="476" t="str">
        <f t="shared" si="31"/>
        <v/>
      </c>
      <c r="AE150" s="476" t="str">
        <f t="shared" si="32"/>
        <v/>
      </c>
      <c r="AF150" s="476" t="b">
        <f>IFERROR(_xlfn.XLOOKUP(Table1[[#This Row],[Opportunity ID]],'Aging Detail'!$H$14:$H$20,'Aging Detail'!$F$14:$F$20),TRUE)</f>
        <v>1</v>
      </c>
    </row>
    <row r="151" spans="1:32">
      <c r="A151" t="s">
        <v>1461</v>
      </c>
      <c r="B151" t="s">
        <v>408</v>
      </c>
      <c r="C151" t="s">
        <v>1462</v>
      </c>
      <c r="D151" t="s">
        <v>1938</v>
      </c>
      <c r="E151" t="s">
        <v>1848</v>
      </c>
      <c r="F151" t="s">
        <v>148</v>
      </c>
      <c r="H151" t="s">
        <v>1698</v>
      </c>
      <c r="I151" s="422">
        <v>46168</v>
      </c>
      <c r="J151" s="422">
        <v>46192</v>
      </c>
      <c r="K151">
        <v>20000</v>
      </c>
      <c r="L151">
        <v>20000</v>
      </c>
      <c r="M151" t="s">
        <v>1849</v>
      </c>
      <c r="N151" t="s">
        <v>1850</v>
      </c>
      <c r="O151" t="str">
        <f>_xlfn.IFNA(VLOOKUP(Table1[[#This Row],[Lead Source]],'helper tab'!A:B,2,FALSE),"Exclude")</f>
        <v>Alliances</v>
      </c>
      <c r="P151" s="422">
        <f t="shared" si="22"/>
        <v>46170.370833333334</v>
      </c>
      <c r="Q151">
        <f t="shared" si="23"/>
        <v>0</v>
      </c>
      <c r="R151">
        <f t="shared" si="24"/>
        <v>0</v>
      </c>
      <c r="S151">
        <f>IF(
AND($Q151=1,$M151&lt;&gt;""),
IF(
COUNTIFS(
$M$3:$M151,$M151,
$O$3:$O151,$O151,
$Q$3:$Q151,1,
$P$3:$P151,"&gt;="&amp;EOMONTH($P151,-1)+1,
$P$3:$P151,"&lt;"&amp;EOMONTH($P151,0)+1
)=1,
1,
0),
0)</f>
        <v>0</v>
      </c>
      <c r="T151">
        <f>IF(AND($R151=1,$M151&lt;&gt;""),IF(COUNTIFS($M$3:$M151,$M151,$O$3:$O151,$O151,$R$3:$R151,1,$P$3:$P151,"&gt;="&amp;EOMONTH($P151,-1)+1,$P$3:$P151,"&lt;"&amp;EOMONTH($P151,0)+1)=1,1,0),0)</f>
        <v>0</v>
      </c>
      <c r="U151">
        <f t="shared" si="25"/>
        <v>0</v>
      </c>
      <c r="V151">
        <f>IF(AND($U151=1,$M151&lt;&gt;""),IF(COUNTIFS($M$3:$M151,$M151,$O$3:$O151,$O151,$U$3:$U151,1,$P$3:$P151,"&gt;="&amp;EOMONTH($P151,-1)+1,$P$3:$P151,"&lt;"&amp;EOMONTH($P151,0)+1)=1,1,0),0)</f>
        <v>0</v>
      </c>
      <c r="W151" s="444">
        <f ca="1">TODAY()-Table1[[#This Row],[Change Date]]</f>
        <v>87.629166666665697</v>
      </c>
      <c r="X151" s="422">
        <f t="shared" si="26"/>
        <v>46192.238888888889</v>
      </c>
      <c r="Y151" s="476">
        <f ca="1">IF(Table1[[#This Row],[Next Stage Date]]&lt;&gt;"",Table1[[#This Row],[Next Stage Date]]-Table1[[#This Row],[Change Date]],TODAY()-Table1[[#This Row],[Change Date]])</f>
        <v>21.868055555554747</v>
      </c>
      <c r="Z151" s="476">
        <f t="shared" si="27"/>
        <v>0</v>
      </c>
      <c r="AA151" s="422" t="str">
        <f t="shared" si="28"/>
        <v/>
      </c>
      <c r="AB151" s="422" t="str">
        <f t="shared" si="29"/>
        <v/>
      </c>
      <c r="AC151" s="476" t="str">
        <f t="shared" si="30"/>
        <v/>
      </c>
      <c r="AD151" s="476" t="str">
        <f t="shared" si="31"/>
        <v/>
      </c>
      <c r="AE151" s="476" t="str">
        <f t="shared" si="32"/>
        <v/>
      </c>
      <c r="AF151" s="476" t="b">
        <f>IFERROR(_xlfn.XLOOKUP(Table1[[#This Row],[Opportunity ID]],'Aging Detail'!$H$14:$H$20,'Aging Detail'!$F$14:$F$20),TRUE)</f>
        <v>1</v>
      </c>
    </row>
    <row r="152" spans="1:32">
      <c r="A152" t="s">
        <v>1461</v>
      </c>
      <c r="B152" t="s">
        <v>526</v>
      </c>
      <c r="C152" t="s">
        <v>563</v>
      </c>
      <c r="D152" t="s">
        <v>1939</v>
      </c>
      <c r="E152" t="s">
        <v>1940</v>
      </c>
      <c r="I152" s="422">
        <v>46134</v>
      </c>
      <c r="J152" s="422">
        <v>46163</v>
      </c>
      <c r="K152">
        <v>36312.5</v>
      </c>
      <c r="L152">
        <v>31125</v>
      </c>
      <c r="M152" t="s">
        <v>1941</v>
      </c>
      <c r="N152" t="s">
        <v>1812</v>
      </c>
      <c r="O152" t="str">
        <f>_xlfn.IFNA(VLOOKUP(Table1[[#This Row],[Lead Source]],'helper tab'!A:B,2,FALSE),"Exclude")</f>
        <v>Exclude</v>
      </c>
      <c r="P152" s="422">
        <f t="shared" si="22"/>
        <v>46163.614583333336</v>
      </c>
      <c r="Q152">
        <f t="shared" si="23"/>
        <v>0</v>
      </c>
      <c r="R152">
        <f t="shared" si="24"/>
        <v>1</v>
      </c>
      <c r="S152">
        <f>IF(
AND($Q152=1,$M152&lt;&gt;""),
IF(
COUNTIFS(
$M$3:$M152,$M152,
$O$3:$O152,$O152,
$Q$3:$Q152,1,
$P$3:$P152,"&gt;="&amp;EOMONTH($P152,-1)+1,
$P$3:$P152,"&lt;"&amp;EOMONTH($P152,0)+1
)=1,
1,
0),
0)</f>
        <v>0</v>
      </c>
      <c r="T152">
        <f>IF(AND($R152=1,$M152&lt;&gt;""),IF(COUNTIFS($M$3:$M152,$M152,$O$3:$O152,$O152,$R$3:$R152,1,$P$3:$P152,"&gt;="&amp;EOMONTH($P152,-1)+1,$P$3:$P152,"&lt;"&amp;EOMONTH($P152,0)+1)=1,1,0),0)</f>
        <v>1</v>
      </c>
      <c r="U152">
        <f t="shared" si="25"/>
        <v>0</v>
      </c>
      <c r="V152">
        <f>IF(AND($U152=1,$M152&lt;&gt;""),IF(COUNTIFS($M$3:$M152,$M152,$O$3:$O152,$O152,$U$3:$U152,1,$P$3:$P152,"&gt;="&amp;EOMONTH($P152,-1)+1,$P$3:$P152,"&lt;"&amp;EOMONTH($P152,0)+1)=1,1,0),0)</f>
        <v>0</v>
      </c>
      <c r="W152" s="444">
        <f ca="1">TODAY()-Table1[[#This Row],[Change Date]]</f>
        <v>94.385416666664241</v>
      </c>
      <c r="X152" s="422" t="str">
        <f t="shared" si="26"/>
        <v/>
      </c>
      <c r="Y152" s="476">
        <f ca="1">IF(Table1[[#This Row],[Next Stage Date]]&lt;&gt;"",Table1[[#This Row],[Next Stage Date]]-Table1[[#This Row],[Change Date]],TODAY()-Table1[[#This Row],[Change Date]])</f>
        <v>94.385416666664241</v>
      </c>
      <c r="Z152" s="476">
        <f t="shared" si="27"/>
        <v>1</v>
      </c>
      <c r="AA152" s="422">
        <f t="shared" si="28"/>
        <v>46163.614583333336</v>
      </c>
      <c r="AB152" s="422">
        <f t="shared" si="29"/>
        <v>46135.537499999999</v>
      </c>
      <c r="AC152" s="476">
        <f t="shared" si="30"/>
        <v>1.5374999999985448</v>
      </c>
      <c r="AD152" s="476">
        <f t="shared" si="31"/>
        <v>28.077083333337214</v>
      </c>
      <c r="AE152" s="476">
        <f t="shared" si="32"/>
        <v>29.614583333335759</v>
      </c>
      <c r="AF152" s="476" t="b">
        <f>IFERROR(_xlfn.XLOOKUP(Table1[[#This Row],[Opportunity ID]],'Aging Detail'!$H$14:$H$20,'Aging Detail'!$F$14:$F$20),TRUE)</f>
        <v>1</v>
      </c>
    </row>
    <row r="153" spans="1:32">
      <c r="A153" t="s">
        <v>1461</v>
      </c>
      <c r="B153" t="s">
        <v>1462</v>
      </c>
      <c r="C153" t="s">
        <v>1469</v>
      </c>
      <c r="D153" t="s">
        <v>1942</v>
      </c>
      <c r="E153" t="s">
        <v>1943</v>
      </c>
      <c r="F153" t="s">
        <v>1465</v>
      </c>
      <c r="I153" s="422">
        <v>45981</v>
      </c>
      <c r="J153" s="422">
        <v>46381</v>
      </c>
      <c r="K153">
        <v>359200</v>
      </c>
      <c r="L153">
        <v>259200</v>
      </c>
      <c r="M153" t="s">
        <v>1944</v>
      </c>
      <c r="N153" t="s">
        <v>1945</v>
      </c>
      <c r="O153" t="str">
        <f>_xlfn.IFNA(VLOOKUP(Table1[[#This Row],[Lead Source]],'helper tab'!A:B,2,FALSE),"Exclude")</f>
        <v>Exclude</v>
      </c>
      <c r="P153" s="422">
        <f t="shared" si="22"/>
        <v>46163.581944444442</v>
      </c>
      <c r="Q153">
        <f t="shared" si="23"/>
        <v>0</v>
      </c>
      <c r="R153">
        <f t="shared" si="24"/>
        <v>0</v>
      </c>
      <c r="S153">
        <f>IF(
AND($Q153=1,$M153&lt;&gt;""),
IF(
COUNTIFS(
$M$3:$M153,$M153,
$O$3:$O153,$O153,
$Q$3:$Q153,1,
$P$3:$P153,"&gt;="&amp;EOMONTH($P153,-1)+1,
$P$3:$P153,"&lt;"&amp;EOMONTH($P153,0)+1
)=1,
1,
0),
0)</f>
        <v>0</v>
      </c>
      <c r="T153">
        <f>IF(AND($R153=1,$M153&lt;&gt;""),IF(COUNTIFS($M$3:$M153,$M153,$O$3:$O153,$O153,$R$3:$R153,1,$P$3:$P153,"&gt;="&amp;EOMONTH($P153,-1)+1,$P$3:$P153,"&lt;"&amp;EOMONTH($P153,0)+1)=1,1,0),0)</f>
        <v>0</v>
      </c>
      <c r="U153">
        <f t="shared" si="25"/>
        <v>1</v>
      </c>
      <c r="V153">
        <f>IF(AND($U153=1,$M153&lt;&gt;""),IF(COUNTIFS($M$3:$M153,$M153,$O$3:$O153,$O153,$U$3:$U153,1,$P$3:$P153,"&gt;="&amp;EOMONTH($P153,-1)+1,$P$3:$P153,"&lt;"&amp;EOMONTH($P153,0)+1)=1,1,0),0)</f>
        <v>1</v>
      </c>
      <c r="W153" s="444">
        <f ca="1">TODAY()-Table1[[#This Row],[Change Date]]</f>
        <v>94.418055555557657</v>
      </c>
      <c r="X153" s="422" t="str">
        <f t="shared" si="26"/>
        <v/>
      </c>
      <c r="Y153" s="476">
        <f ca="1">IF(Table1[[#This Row],[Next Stage Date]]&lt;&gt;"",Table1[[#This Row],[Next Stage Date]]-Table1[[#This Row],[Change Date]],TODAY()-Table1[[#This Row],[Change Date]])</f>
        <v>94.418055555557657</v>
      </c>
      <c r="Z153" s="476">
        <f t="shared" si="27"/>
        <v>1</v>
      </c>
      <c r="AA153" s="422" t="str">
        <f t="shared" si="28"/>
        <v/>
      </c>
      <c r="AB153" s="422" t="str">
        <f t="shared" si="29"/>
        <v/>
      </c>
      <c r="AC153" s="476" t="str">
        <f t="shared" si="30"/>
        <v/>
      </c>
      <c r="AD153" s="476" t="str">
        <f t="shared" si="31"/>
        <v/>
      </c>
      <c r="AE153" s="476" t="str">
        <f t="shared" si="32"/>
        <v/>
      </c>
      <c r="AF153" s="476" t="b">
        <f>IFERROR(_xlfn.XLOOKUP(Table1[[#This Row],[Opportunity ID]],'Aging Detail'!$H$14:$H$20,'Aging Detail'!$F$14:$F$20),TRUE)</f>
        <v>1</v>
      </c>
    </row>
    <row r="154" spans="1:32">
      <c r="A154" t="s">
        <v>1461</v>
      </c>
      <c r="B154" t="s">
        <v>462</v>
      </c>
      <c r="C154" t="s">
        <v>526</v>
      </c>
      <c r="D154" t="s">
        <v>1946</v>
      </c>
      <c r="E154" t="s">
        <v>1940</v>
      </c>
      <c r="I154" s="422">
        <v>46134</v>
      </c>
      <c r="J154" s="422">
        <v>46163</v>
      </c>
      <c r="K154">
        <v>36312.5</v>
      </c>
      <c r="L154">
        <v>31125</v>
      </c>
      <c r="M154" t="s">
        <v>1941</v>
      </c>
      <c r="N154" t="s">
        <v>1812</v>
      </c>
      <c r="O154" t="str">
        <f>_xlfn.IFNA(VLOOKUP(Table1[[#This Row],[Lead Source]],'helper tab'!A:B,2,FALSE),"Exclude")</f>
        <v>Exclude</v>
      </c>
      <c r="P154" s="422">
        <f t="shared" si="22"/>
        <v>46162.518750000003</v>
      </c>
      <c r="Q154">
        <f t="shared" si="23"/>
        <v>1</v>
      </c>
      <c r="R154">
        <f t="shared" si="24"/>
        <v>0</v>
      </c>
      <c r="S154">
        <f>IF(
AND($Q154=1,$M154&lt;&gt;""),
IF(
COUNTIFS(
$M$3:$M154,$M154,
$O$3:$O154,$O154,
$Q$3:$Q154,1,
$P$3:$P154,"&gt;="&amp;EOMONTH($P154,-1)+1,
$P$3:$P154,"&lt;"&amp;EOMONTH($P154,0)+1
)=1,
1,
0),
0)</f>
        <v>1</v>
      </c>
      <c r="T154">
        <f>IF(AND($R154=1,$M154&lt;&gt;""),IF(COUNTIFS($M$3:$M154,$M154,$O$3:$O154,$O154,$R$3:$R154,1,$P$3:$P154,"&gt;="&amp;EOMONTH($P154,-1)+1,$P$3:$P154,"&lt;"&amp;EOMONTH($P154,0)+1)=1,1,0),0)</f>
        <v>0</v>
      </c>
      <c r="U154">
        <f t="shared" si="25"/>
        <v>0</v>
      </c>
      <c r="V154">
        <f>IF(AND($U154=1,$M154&lt;&gt;""),IF(COUNTIFS($M$3:$M154,$M154,$O$3:$O154,$O154,$U$3:$U154,1,$P$3:$P154,"&gt;="&amp;EOMONTH($P154,-1)+1,$P$3:$P154,"&lt;"&amp;EOMONTH($P154,0)+1)=1,1,0),0)</f>
        <v>0</v>
      </c>
      <c r="W154" s="444">
        <f ca="1">TODAY()-Table1[[#This Row],[Change Date]]</f>
        <v>95.48124999999709</v>
      </c>
      <c r="X154" s="422">
        <f t="shared" si="26"/>
        <v>46163.614583333336</v>
      </c>
      <c r="Y154" s="476">
        <f ca="1">IF(Table1[[#This Row],[Next Stage Date]]&lt;&gt;"",Table1[[#This Row],[Next Stage Date]]-Table1[[#This Row],[Change Date]],TODAY()-Table1[[#This Row],[Change Date]])</f>
        <v>1.0958333333328483</v>
      </c>
      <c r="Z154" s="476">
        <f t="shared" si="27"/>
        <v>0</v>
      </c>
      <c r="AA154" s="422">
        <f t="shared" si="28"/>
        <v>46163.614583333336</v>
      </c>
      <c r="AB154" s="422">
        <f t="shared" si="29"/>
        <v>46135.537499999999</v>
      </c>
      <c r="AC154" s="476">
        <f t="shared" si="30"/>
        <v>1.5374999999985448</v>
      </c>
      <c r="AD154" s="476">
        <f t="shared" si="31"/>
        <v>28.077083333337214</v>
      </c>
      <c r="AE154" s="476">
        <f t="shared" si="32"/>
        <v>29.614583333335759</v>
      </c>
      <c r="AF154" s="476" t="b">
        <f>IFERROR(_xlfn.XLOOKUP(Table1[[#This Row],[Opportunity ID]],'Aging Detail'!$H$14:$H$20,'Aging Detail'!$F$14:$F$20),TRUE)</f>
        <v>1</v>
      </c>
    </row>
    <row r="155" spans="1:32">
      <c r="A155" t="s">
        <v>1461</v>
      </c>
      <c r="B155" t="s">
        <v>526</v>
      </c>
      <c r="C155" t="s">
        <v>563</v>
      </c>
      <c r="D155" t="s">
        <v>1947</v>
      </c>
      <c r="E155" t="s">
        <v>1948</v>
      </c>
      <c r="F155" t="s">
        <v>202</v>
      </c>
      <c r="I155" s="422">
        <v>45960</v>
      </c>
      <c r="J155" s="422">
        <v>46161</v>
      </c>
      <c r="K155">
        <v>318900</v>
      </c>
      <c r="L155">
        <v>0</v>
      </c>
      <c r="M155" t="s">
        <v>1949</v>
      </c>
      <c r="N155" t="s">
        <v>1831</v>
      </c>
      <c r="O155" t="str">
        <f>_xlfn.IFNA(VLOOKUP(Table1[[#This Row],[Lead Source]],'helper tab'!A:B,2,FALSE),"Exclude")</f>
        <v>Digital</v>
      </c>
      <c r="P155" s="422">
        <f t="shared" si="22"/>
        <v>46161.386805555558</v>
      </c>
      <c r="Q155">
        <f t="shared" si="23"/>
        <v>0</v>
      </c>
      <c r="R155">
        <f t="shared" si="24"/>
        <v>1</v>
      </c>
      <c r="S155">
        <f>IF(
AND($Q155=1,$M155&lt;&gt;""),
IF(
COUNTIFS(
$M$3:$M155,$M155,
$O$3:$O155,$O155,
$Q$3:$Q155,1,
$P$3:$P155,"&gt;="&amp;EOMONTH($P155,-1)+1,
$P$3:$P155,"&lt;"&amp;EOMONTH($P155,0)+1
)=1,
1,
0),
0)</f>
        <v>0</v>
      </c>
      <c r="T155">
        <f>IF(AND($R155=1,$M155&lt;&gt;""),IF(COUNTIFS($M$3:$M155,$M155,$O$3:$O155,$O155,$R$3:$R155,1,$P$3:$P155,"&gt;="&amp;EOMONTH($P155,-1)+1,$P$3:$P155,"&lt;"&amp;EOMONTH($P155,0)+1)=1,1,0),0)</f>
        <v>1</v>
      </c>
      <c r="U155">
        <f t="shared" si="25"/>
        <v>0</v>
      </c>
      <c r="V155">
        <f>IF(AND($U155=1,$M155&lt;&gt;""),IF(COUNTIFS($M$3:$M155,$M155,$O$3:$O155,$O155,$U$3:$U155,1,$P$3:$P155,"&gt;="&amp;EOMONTH($P155,-1)+1,$P$3:$P155,"&lt;"&amp;EOMONTH($P155,0)+1)=1,1,0),0)</f>
        <v>0</v>
      </c>
      <c r="W155" s="444">
        <f ca="1">TODAY()-Table1[[#This Row],[Change Date]]</f>
        <v>96.613194444442343</v>
      </c>
      <c r="X155" s="422" t="str">
        <f t="shared" si="26"/>
        <v/>
      </c>
      <c r="Y155" s="476">
        <f ca="1">IF(Table1[[#This Row],[Next Stage Date]]&lt;&gt;"",Table1[[#This Row],[Next Stage Date]]-Table1[[#This Row],[Change Date]],TODAY()-Table1[[#This Row],[Change Date]])</f>
        <v>96.613194444442343</v>
      </c>
      <c r="Z155" s="476">
        <f t="shared" si="27"/>
        <v>1</v>
      </c>
      <c r="AA155" s="422">
        <f t="shared" si="28"/>
        <v>46161.386805555558</v>
      </c>
      <c r="AB155" s="422">
        <f t="shared" si="29"/>
        <v>46125.432638888888</v>
      </c>
      <c r="AC155" s="476">
        <f t="shared" si="30"/>
        <v>165.4326388888876</v>
      </c>
      <c r="AD155" s="476">
        <f t="shared" si="31"/>
        <v>35.954166666670062</v>
      </c>
      <c r="AE155" s="476">
        <f t="shared" si="32"/>
        <v>201.38680555555766</v>
      </c>
      <c r="AF155" s="476" t="b">
        <f>IFERROR(_xlfn.XLOOKUP(Table1[[#This Row],[Opportunity ID]],'Aging Detail'!$H$14:$H$20,'Aging Detail'!$F$14:$F$20),TRUE)</f>
        <v>1</v>
      </c>
    </row>
    <row r="156" spans="1:32">
      <c r="A156" t="s">
        <v>1461</v>
      </c>
      <c r="B156" t="s">
        <v>408</v>
      </c>
      <c r="C156" t="s">
        <v>462</v>
      </c>
      <c r="D156" t="s">
        <v>1950</v>
      </c>
      <c r="E156" t="s">
        <v>1893</v>
      </c>
      <c r="I156" s="422">
        <v>46132</v>
      </c>
      <c r="J156" s="422">
        <v>46183</v>
      </c>
      <c r="K156">
        <v>0</v>
      </c>
      <c r="L156">
        <v>0</v>
      </c>
      <c r="M156" t="s">
        <v>1894</v>
      </c>
      <c r="N156" t="s">
        <v>1604</v>
      </c>
      <c r="O156" t="str">
        <f>_xlfn.IFNA(VLOOKUP(Table1[[#This Row],[Lead Source]],'helper tab'!A:B,2,FALSE),"Exclude")</f>
        <v>Exclude</v>
      </c>
      <c r="P156" s="422">
        <f t="shared" si="22"/>
        <v>46161.365277777775</v>
      </c>
      <c r="Q156">
        <f t="shared" si="23"/>
        <v>1</v>
      </c>
      <c r="R156">
        <f t="shared" si="24"/>
        <v>0</v>
      </c>
      <c r="S156">
        <f>IF(
AND($Q156=1,$M156&lt;&gt;""),
IF(
COUNTIFS(
$M$3:$M156,$M156,
$O$3:$O156,$O156,
$Q$3:$Q156,1,
$P$3:$P156,"&gt;="&amp;EOMONTH($P156,-1)+1,
$P$3:$P156,"&lt;"&amp;EOMONTH($P156,0)+1
)=1,
1,
0),
0)</f>
        <v>1</v>
      </c>
      <c r="T156">
        <f>IF(AND($R156=1,$M156&lt;&gt;""),IF(COUNTIFS($M$3:$M156,$M156,$O$3:$O156,$O156,$R$3:$R156,1,$P$3:$P156,"&gt;="&amp;EOMONTH($P156,-1)+1,$P$3:$P156,"&lt;"&amp;EOMONTH($P156,0)+1)=1,1,0),0)</f>
        <v>0</v>
      </c>
      <c r="U156">
        <f t="shared" si="25"/>
        <v>0</v>
      </c>
      <c r="V156">
        <f>IF(AND($U156=1,$M156&lt;&gt;""),IF(COUNTIFS($M$3:$M156,$M156,$O$3:$O156,$O156,$U$3:$U156,1,$P$3:$P156,"&gt;="&amp;EOMONTH($P156,-1)+1,$P$3:$P156,"&lt;"&amp;EOMONTH($P156,0)+1)=1,1,0),0)</f>
        <v>0</v>
      </c>
      <c r="W156" s="444">
        <f ca="1">TODAY()-Table1[[#This Row],[Change Date]]</f>
        <v>96.634722222224809</v>
      </c>
      <c r="X156" s="422">
        <f t="shared" si="26"/>
        <v>46184.345138888886</v>
      </c>
      <c r="Y156" s="476">
        <f ca="1">IF(Table1[[#This Row],[Next Stage Date]]&lt;&gt;"",Table1[[#This Row],[Next Stage Date]]-Table1[[#This Row],[Change Date]],TODAY()-Table1[[#This Row],[Change Date]])</f>
        <v>22.979861111110949</v>
      </c>
      <c r="Z156" s="476">
        <f t="shared" si="27"/>
        <v>0</v>
      </c>
      <c r="AA156" s="422">
        <f t="shared" si="28"/>
        <v>46184.345138888886</v>
      </c>
      <c r="AB156" s="422">
        <f t="shared" si="29"/>
        <v>46161.365277777775</v>
      </c>
      <c r="AC156" s="476">
        <f t="shared" si="30"/>
        <v>29.365277777775191</v>
      </c>
      <c r="AD156" s="476">
        <f t="shared" si="31"/>
        <v>22.979861111110949</v>
      </c>
      <c r="AE156" s="476">
        <f t="shared" si="32"/>
        <v>52.34513888888614</v>
      </c>
      <c r="AF156" s="476" t="b">
        <f>IFERROR(_xlfn.XLOOKUP(Table1[[#This Row],[Opportunity ID]],'Aging Detail'!$H$14:$H$20,'Aging Detail'!$F$14:$F$20),TRUE)</f>
        <v>1</v>
      </c>
    </row>
    <row r="157" spans="1:32">
      <c r="A157" t="s">
        <v>1461</v>
      </c>
      <c r="B157" t="s">
        <v>338</v>
      </c>
      <c r="C157" t="s">
        <v>462</v>
      </c>
      <c r="D157" t="s">
        <v>1951</v>
      </c>
      <c r="E157" t="s">
        <v>1952</v>
      </c>
      <c r="I157" s="422">
        <v>46142</v>
      </c>
      <c r="J157" s="422">
        <v>46203</v>
      </c>
      <c r="K157">
        <v>0</v>
      </c>
      <c r="L157">
        <v>0</v>
      </c>
      <c r="M157" t="s">
        <v>1953</v>
      </c>
      <c r="N157" t="s">
        <v>1684</v>
      </c>
      <c r="O157" t="str">
        <f>_xlfn.IFNA(VLOOKUP(Table1[[#This Row],[Lead Source]],'helper tab'!A:B,2,FALSE),"Exclude")</f>
        <v>Exclude</v>
      </c>
      <c r="P157" s="422">
        <f t="shared" si="22"/>
        <v>46161.344444444447</v>
      </c>
      <c r="Q157">
        <f t="shared" si="23"/>
        <v>1</v>
      </c>
      <c r="R157">
        <f t="shared" si="24"/>
        <v>0</v>
      </c>
      <c r="S157">
        <f>IF(
AND($Q157=1,$M157&lt;&gt;""),
IF(
COUNTIFS(
$M$3:$M157,$M157,
$O$3:$O157,$O157,
$Q$3:$Q157,1,
$P$3:$P157,"&gt;="&amp;EOMONTH($P157,-1)+1,
$P$3:$P157,"&lt;"&amp;EOMONTH($P157,0)+1
)=1,
1,
0),
0)</f>
        <v>1</v>
      </c>
      <c r="T157">
        <f>IF(AND($R157=1,$M157&lt;&gt;""),IF(COUNTIFS($M$3:$M157,$M157,$O$3:$O157,$O157,$R$3:$R157,1,$P$3:$P157,"&gt;="&amp;EOMONTH($P157,-1)+1,$P$3:$P157,"&lt;"&amp;EOMONTH($P157,0)+1)=1,1,0),0)</f>
        <v>0</v>
      </c>
      <c r="U157">
        <f t="shared" si="25"/>
        <v>0</v>
      </c>
      <c r="V157">
        <f>IF(AND($U157=1,$M157&lt;&gt;""),IF(COUNTIFS($M$3:$M157,$M157,$O$3:$O157,$O157,$U$3:$U157,1,$P$3:$P157,"&gt;="&amp;EOMONTH($P157,-1)+1,$P$3:$P157,"&lt;"&amp;EOMONTH($P157,0)+1)=1,1,0),0)</f>
        <v>0</v>
      </c>
      <c r="W157" s="444">
        <f ca="1">TODAY()-Table1[[#This Row],[Change Date]]</f>
        <v>96.655555555553292</v>
      </c>
      <c r="X157" s="422" t="str">
        <f t="shared" si="26"/>
        <v/>
      </c>
      <c r="Y157" s="476">
        <f ca="1">IF(Table1[[#This Row],[Next Stage Date]]&lt;&gt;"",Table1[[#This Row],[Next Stage Date]]-Table1[[#This Row],[Change Date]],TODAY()-Table1[[#This Row],[Change Date]])</f>
        <v>96.655555555553292</v>
      </c>
      <c r="Z157" s="476">
        <f t="shared" si="27"/>
        <v>1</v>
      </c>
      <c r="AA157" s="422" t="str">
        <f t="shared" si="28"/>
        <v/>
      </c>
      <c r="AB157" s="422">
        <f t="shared" si="29"/>
        <v>46161.344444444447</v>
      </c>
      <c r="AC157" s="476">
        <f t="shared" si="30"/>
        <v>19.344444444446708</v>
      </c>
      <c r="AD157" s="476" t="str">
        <f t="shared" si="31"/>
        <v/>
      </c>
      <c r="AE157" s="476" t="str">
        <f t="shared" si="32"/>
        <v/>
      </c>
      <c r="AF157" s="476" t="b">
        <f>IFERROR(_xlfn.XLOOKUP(Table1[[#This Row],[Opportunity ID]],'Aging Detail'!$H$14:$H$20,'Aging Detail'!$F$14:$F$20),TRUE)</f>
        <v>1</v>
      </c>
    </row>
    <row r="158" spans="1:32">
      <c r="A158" t="s">
        <v>1461</v>
      </c>
      <c r="B158" t="s">
        <v>462</v>
      </c>
      <c r="C158" t="s">
        <v>563</v>
      </c>
      <c r="D158" t="s">
        <v>1954</v>
      </c>
      <c r="E158" t="s">
        <v>1955</v>
      </c>
      <c r="F158" t="s">
        <v>1632</v>
      </c>
      <c r="I158" s="422">
        <v>45903</v>
      </c>
      <c r="J158" s="422">
        <v>46160</v>
      </c>
      <c r="K158">
        <v>563100</v>
      </c>
      <c r="L158">
        <v>0</v>
      </c>
      <c r="M158" t="s">
        <v>1956</v>
      </c>
      <c r="N158" t="s">
        <v>1634</v>
      </c>
      <c r="O158" t="str">
        <f>_xlfn.IFNA(VLOOKUP(Table1[[#This Row],[Lead Source]],'helper tab'!A:B,2,FALSE),"Exclude")</f>
        <v>Exclude</v>
      </c>
      <c r="P158" s="422">
        <f t="shared" si="22"/>
        <v>46160.381249999999</v>
      </c>
      <c r="Q158">
        <f t="shared" si="23"/>
        <v>0</v>
      </c>
      <c r="R158">
        <f t="shared" si="24"/>
        <v>1</v>
      </c>
      <c r="S158">
        <f>IF(
AND($Q158=1,$M158&lt;&gt;""),
IF(
COUNTIFS(
$M$3:$M158,$M158,
$O$3:$O158,$O158,
$Q$3:$Q158,1,
$P$3:$P158,"&gt;="&amp;EOMONTH($P158,-1)+1,
$P$3:$P158,"&lt;"&amp;EOMONTH($P158,0)+1
)=1,
1,
0),
0)</f>
        <v>0</v>
      </c>
      <c r="T158">
        <f>IF(AND($R158=1,$M158&lt;&gt;""),IF(COUNTIFS($M$3:$M158,$M158,$O$3:$O158,$O158,$R$3:$R158,1,$P$3:$P158,"&gt;="&amp;EOMONTH($P158,-1)+1,$P$3:$P158,"&lt;"&amp;EOMONTH($P158,0)+1)=1,1,0),0)</f>
        <v>1</v>
      </c>
      <c r="U158">
        <f t="shared" si="25"/>
        <v>0</v>
      </c>
      <c r="V158">
        <f>IF(AND($U158=1,$M158&lt;&gt;""),IF(COUNTIFS($M$3:$M158,$M158,$O$3:$O158,$O158,$U$3:$U158,1,$P$3:$P158,"&gt;="&amp;EOMONTH($P158,-1)+1,$P$3:$P158,"&lt;"&amp;EOMONTH($P158,0)+1)=1,1,0),0)</f>
        <v>0</v>
      </c>
      <c r="W158" s="444">
        <f ca="1">TODAY()-Table1[[#This Row],[Change Date]]</f>
        <v>97.618750000001455</v>
      </c>
      <c r="X158" s="422" t="str">
        <f t="shared" si="26"/>
        <v/>
      </c>
      <c r="Y158" s="476">
        <f ca="1">IF(Table1[[#This Row],[Next Stage Date]]&lt;&gt;"",Table1[[#This Row],[Next Stage Date]]-Table1[[#This Row],[Change Date]],TODAY()-Table1[[#This Row],[Change Date]])</f>
        <v>97.618750000001455</v>
      </c>
      <c r="Z158" s="476">
        <f t="shared" si="27"/>
        <v>1</v>
      </c>
      <c r="AA158" s="422">
        <f t="shared" si="28"/>
        <v>46160.381249999999</v>
      </c>
      <c r="AB158" s="422">
        <f t="shared" si="29"/>
        <v>45968.518055555556</v>
      </c>
      <c r="AC158" s="476">
        <f t="shared" si="30"/>
        <v>65.518055555556202</v>
      </c>
      <c r="AD158" s="476">
        <f t="shared" si="31"/>
        <v>191.86319444444234</v>
      </c>
      <c r="AE158" s="476">
        <f t="shared" si="32"/>
        <v>257.38124999999854</v>
      </c>
      <c r="AF158" s="476" t="b">
        <f>IFERROR(_xlfn.XLOOKUP(Table1[[#This Row],[Opportunity ID]],'Aging Detail'!$H$14:$H$20,'Aging Detail'!$F$14:$F$20),TRUE)</f>
        <v>1</v>
      </c>
    </row>
    <row r="159" spans="1:32">
      <c r="A159" t="s">
        <v>1461</v>
      </c>
      <c r="B159" t="s">
        <v>526</v>
      </c>
      <c r="C159" t="s">
        <v>563</v>
      </c>
      <c r="D159" t="s">
        <v>1954</v>
      </c>
      <c r="E159" t="s">
        <v>1957</v>
      </c>
      <c r="F159" t="s">
        <v>1632</v>
      </c>
      <c r="I159" s="422">
        <v>45903</v>
      </c>
      <c r="J159" s="422">
        <v>46160</v>
      </c>
      <c r="K159">
        <v>510300</v>
      </c>
      <c r="L159">
        <v>0</v>
      </c>
      <c r="M159" t="s">
        <v>1958</v>
      </c>
      <c r="N159" t="s">
        <v>1634</v>
      </c>
      <c r="O159" t="str">
        <f>_xlfn.IFNA(VLOOKUP(Table1[[#This Row],[Lead Source]],'helper tab'!A:B,2,FALSE),"Exclude")</f>
        <v>Exclude</v>
      </c>
      <c r="P159" s="422">
        <f t="shared" si="22"/>
        <v>46160.381249999999</v>
      </c>
      <c r="Q159">
        <f t="shared" si="23"/>
        <v>0</v>
      </c>
      <c r="R159">
        <f t="shared" si="24"/>
        <v>1</v>
      </c>
      <c r="S159">
        <f>IF(
AND($Q159=1,$M159&lt;&gt;""),
IF(
COUNTIFS(
$M$3:$M159,$M159,
$O$3:$O159,$O159,
$Q$3:$Q159,1,
$P$3:$P159,"&gt;="&amp;EOMONTH($P159,-1)+1,
$P$3:$P159,"&lt;"&amp;EOMONTH($P159,0)+1
)=1,
1,
0),
0)</f>
        <v>0</v>
      </c>
      <c r="T159">
        <f>IF(AND($R159=1,$M159&lt;&gt;""),IF(COUNTIFS($M$3:$M159,$M159,$O$3:$O159,$O159,$R$3:$R159,1,$P$3:$P159,"&gt;="&amp;EOMONTH($P159,-1)+1,$P$3:$P159,"&lt;"&amp;EOMONTH($P159,0)+1)=1,1,0),0)</f>
        <v>1</v>
      </c>
      <c r="U159">
        <f t="shared" si="25"/>
        <v>0</v>
      </c>
      <c r="V159">
        <f>IF(AND($U159=1,$M159&lt;&gt;""),IF(COUNTIFS($M$3:$M159,$M159,$O$3:$O159,$O159,$U$3:$U159,1,$P$3:$P159,"&gt;="&amp;EOMONTH($P159,-1)+1,$P$3:$P159,"&lt;"&amp;EOMONTH($P159,0)+1)=1,1,0),0)</f>
        <v>0</v>
      </c>
      <c r="W159" s="444">
        <f ca="1">TODAY()-Table1[[#This Row],[Change Date]]</f>
        <v>97.618750000001455</v>
      </c>
      <c r="X159" s="422" t="str">
        <f t="shared" si="26"/>
        <v/>
      </c>
      <c r="Y159" s="476">
        <f ca="1">IF(Table1[[#This Row],[Next Stage Date]]&lt;&gt;"",Table1[[#This Row],[Next Stage Date]]-Table1[[#This Row],[Change Date]],TODAY()-Table1[[#This Row],[Change Date]])</f>
        <v>97.618750000001455</v>
      </c>
      <c r="Z159" s="476">
        <f t="shared" si="27"/>
        <v>1</v>
      </c>
      <c r="AA159" s="422">
        <f t="shared" si="28"/>
        <v>46160.381249999999</v>
      </c>
      <c r="AB159" s="422">
        <f t="shared" si="29"/>
        <v>45968.518750000003</v>
      </c>
      <c r="AC159" s="476">
        <f t="shared" si="30"/>
        <v>65.51875000000291</v>
      </c>
      <c r="AD159" s="476">
        <f t="shared" si="31"/>
        <v>191.86249999999563</v>
      </c>
      <c r="AE159" s="476">
        <f t="shared" si="32"/>
        <v>257.38124999999854</v>
      </c>
      <c r="AF159" s="476" t="b">
        <f>IFERROR(_xlfn.XLOOKUP(Table1[[#This Row],[Opportunity ID]],'Aging Detail'!$H$14:$H$20,'Aging Detail'!$F$14:$F$20),TRUE)</f>
        <v>1</v>
      </c>
    </row>
    <row r="160" spans="1:32">
      <c r="A160" t="s">
        <v>1461</v>
      </c>
      <c r="B160" t="s">
        <v>462</v>
      </c>
      <c r="C160" t="s">
        <v>526</v>
      </c>
      <c r="D160" t="s">
        <v>1959</v>
      </c>
      <c r="E160" t="s">
        <v>1957</v>
      </c>
      <c r="F160" t="s">
        <v>1632</v>
      </c>
      <c r="I160" s="422">
        <v>45903</v>
      </c>
      <c r="J160" s="422">
        <v>46160</v>
      </c>
      <c r="K160">
        <v>510300</v>
      </c>
      <c r="L160">
        <v>0</v>
      </c>
      <c r="M160" t="s">
        <v>1958</v>
      </c>
      <c r="N160" t="s">
        <v>1634</v>
      </c>
      <c r="O160" t="str">
        <f>_xlfn.IFNA(VLOOKUP(Table1[[#This Row],[Lead Source]],'helper tab'!A:B,2,FALSE),"Exclude")</f>
        <v>Exclude</v>
      </c>
      <c r="P160" s="422">
        <f t="shared" si="22"/>
        <v>46160.271527777775</v>
      </c>
      <c r="Q160">
        <f t="shared" si="23"/>
        <v>1</v>
      </c>
      <c r="R160">
        <f t="shared" si="24"/>
        <v>0</v>
      </c>
      <c r="S160">
        <f>IF(
AND($Q160=1,$M160&lt;&gt;""),
IF(
COUNTIFS(
$M$3:$M160,$M160,
$O$3:$O160,$O160,
$Q$3:$Q160,1,
$P$3:$P160,"&gt;="&amp;EOMONTH($P160,-1)+1,
$P$3:$P160,"&lt;"&amp;EOMONTH($P160,0)+1
)=1,
1,
0),
0)</f>
        <v>1</v>
      </c>
      <c r="T160">
        <f>IF(AND($R160=1,$M160&lt;&gt;""),IF(COUNTIFS($M$3:$M160,$M160,$O$3:$O160,$O160,$R$3:$R160,1,$P$3:$P160,"&gt;="&amp;EOMONTH($P160,-1)+1,$P$3:$P160,"&lt;"&amp;EOMONTH($P160,0)+1)=1,1,0),0)</f>
        <v>0</v>
      </c>
      <c r="U160">
        <f t="shared" si="25"/>
        <v>0</v>
      </c>
      <c r="V160">
        <f>IF(AND($U160=1,$M160&lt;&gt;""),IF(COUNTIFS($M$3:$M160,$M160,$O$3:$O160,$O160,$U$3:$U160,1,$P$3:$P160,"&gt;="&amp;EOMONTH($P160,-1)+1,$P$3:$P160,"&lt;"&amp;EOMONTH($P160,0)+1)=1,1,0),0)</f>
        <v>0</v>
      </c>
      <c r="W160" s="444">
        <f ca="1">TODAY()-Table1[[#This Row],[Change Date]]</f>
        <v>97.728472222224809</v>
      </c>
      <c r="X160" s="422">
        <f t="shared" si="26"/>
        <v>46160.381249999999</v>
      </c>
      <c r="Y160" s="476">
        <f ca="1">IF(Table1[[#This Row],[Next Stage Date]]&lt;&gt;"",Table1[[#This Row],[Next Stage Date]]-Table1[[#This Row],[Change Date]],TODAY()-Table1[[#This Row],[Change Date]])</f>
        <v>0.10972222222335404</v>
      </c>
      <c r="Z160" s="476">
        <f t="shared" si="27"/>
        <v>0</v>
      </c>
      <c r="AA160" s="422">
        <f t="shared" si="28"/>
        <v>46160.381249999999</v>
      </c>
      <c r="AB160" s="422">
        <f t="shared" si="29"/>
        <v>45968.518750000003</v>
      </c>
      <c r="AC160" s="476">
        <f t="shared" si="30"/>
        <v>65.51875000000291</v>
      </c>
      <c r="AD160" s="476">
        <f t="shared" si="31"/>
        <v>191.86249999999563</v>
      </c>
      <c r="AE160" s="476">
        <f t="shared" si="32"/>
        <v>257.38124999999854</v>
      </c>
      <c r="AF160" s="476" t="b">
        <f>IFERROR(_xlfn.XLOOKUP(Table1[[#This Row],[Opportunity ID]],'Aging Detail'!$H$14:$H$20,'Aging Detail'!$F$14:$F$20),TRUE)</f>
        <v>1</v>
      </c>
    </row>
    <row r="161" spans="1:32">
      <c r="A161" t="s">
        <v>1461</v>
      </c>
      <c r="B161" t="s">
        <v>408</v>
      </c>
      <c r="C161" t="s">
        <v>563</v>
      </c>
      <c r="D161" t="s">
        <v>1960</v>
      </c>
      <c r="E161" t="s">
        <v>1961</v>
      </c>
      <c r="F161" t="s">
        <v>1632</v>
      </c>
      <c r="I161" s="422">
        <v>46119</v>
      </c>
      <c r="J161" s="422">
        <v>46156</v>
      </c>
      <c r="K161">
        <v>0</v>
      </c>
      <c r="L161">
        <v>0</v>
      </c>
      <c r="M161" t="s">
        <v>1962</v>
      </c>
      <c r="N161" t="s">
        <v>1634</v>
      </c>
      <c r="O161" t="str">
        <f>_xlfn.IFNA(VLOOKUP(Table1[[#This Row],[Lead Source]],'helper tab'!A:B,2,FALSE),"Exclude")</f>
        <v>Exclude</v>
      </c>
      <c r="P161" s="422">
        <f t="shared" si="22"/>
        <v>46157.53402777778</v>
      </c>
      <c r="Q161">
        <f t="shared" si="23"/>
        <v>0</v>
      </c>
      <c r="R161">
        <f t="shared" si="24"/>
        <v>1</v>
      </c>
      <c r="S161">
        <f>IF(
AND($Q161=1,$M161&lt;&gt;""),
IF(
COUNTIFS(
$M$3:$M161,$M161,
$O$3:$O161,$O161,
$Q$3:$Q161,1,
$P$3:$P161,"&gt;="&amp;EOMONTH($P161,-1)+1,
$P$3:$P161,"&lt;"&amp;EOMONTH($P161,0)+1
)=1,
1,
0),
0)</f>
        <v>0</v>
      </c>
      <c r="T161">
        <f>IF(AND($R161=1,$M161&lt;&gt;""),IF(COUNTIFS($M$3:$M161,$M161,$O$3:$O161,$O161,$R$3:$R161,1,$P$3:$P161,"&gt;="&amp;EOMONTH($P161,-1)+1,$P$3:$P161,"&lt;"&amp;EOMONTH($P161,0)+1)=1,1,0),0)</f>
        <v>1</v>
      </c>
      <c r="U161">
        <f t="shared" si="25"/>
        <v>0</v>
      </c>
      <c r="V161">
        <f>IF(AND($U161=1,$M161&lt;&gt;""),IF(COUNTIFS($M$3:$M161,$M161,$O$3:$O161,$O161,$U$3:$U161,1,$P$3:$P161,"&gt;="&amp;EOMONTH($P161,-1)+1,$P$3:$P161,"&lt;"&amp;EOMONTH($P161,0)+1)=1,1,0),0)</f>
        <v>0</v>
      </c>
      <c r="W161" s="444">
        <f ca="1">TODAY()-Table1[[#This Row],[Change Date]]</f>
        <v>100.46597222222044</v>
      </c>
      <c r="X161" s="422" t="str">
        <f t="shared" si="26"/>
        <v/>
      </c>
      <c r="Y161" s="476">
        <f ca="1">IF(Table1[[#This Row],[Next Stage Date]]&lt;&gt;"",Table1[[#This Row],[Next Stage Date]]-Table1[[#This Row],[Change Date]],TODAY()-Table1[[#This Row],[Change Date]])</f>
        <v>100.46597222222044</v>
      </c>
      <c r="Z161" s="476">
        <f t="shared" si="27"/>
        <v>1</v>
      </c>
      <c r="AA161" s="422">
        <f t="shared" si="28"/>
        <v>46157.53402777778</v>
      </c>
      <c r="AB161" s="422" t="str">
        <f t="shared" si="29"/>
        <v/>
      </c>
      <c r="AC161" s="476" t="str">
        <f t="shared" si="30"/>
        <v/>
      </c>
      <c r="AD161" s="476" t="str">
        <f t="shared" si="31"/>
        <v/>
      </c>
      <c r="AE161" s="476">
        <f t="shared" si="32"/>
        <v>38.534027777779556</v>
      </c>
      <c r="AF161" s="476" t="b">
        <f>IFERROR(_xlfn.XLOOKUP(Table1[[#This Row],[Opportunity ID]],'Aging Detail'!$H$14:$H$20,'Aging Detail'!$F$14:$F$20),TRUE)</f>
        <v>1</v>
      </c>
    </row>
    <row r="162" spans="1:32">
      <c r="A162" t="s">
        <v>1461</v>
      </c>
      <c r="B162" t="s">
        <v>408</v>
      </c>
      <c r="C162" t="s">
        <v>1462</v>
      </c>
      <c r="D162" t="s">
        <v>1963</v>
      </c>
      <c r="E162" t="s">
        <v>1914</v>
      </c>
      <c r="F162" t="s">
        <v>29</v>
      </c>
      <c r="G162" t="s">
        <v>29</v>
      </c>
      <c r="I162" s="422">
        <v>46113</v>
      </c>
      <c r="J162" s="422">
        <v>46360</v>
      </c>
      <c r="K162">
        <v>616040</v>
      </c>
      <c r="L162">
        <v>281040</v>
      </c>
      <c r="M162" t="s">
        <v>1915</v>
      </c>
      <c r="N162" t="s">
        <v>1914</v>
      </c>
      <c r="O162" t="str">
        <f>_xlfn.IFNA(VLOOKUP(Table1[[#This Row],[Lead Source]],'helper tab'!A:B,2,FALSE),"Exclude")</f>
        <v>Events</v>
      </c>
      <c r="P162" s="422">
        <f t="shared" si="22"/>
        <v>46156.463194444441</v>
      </c>
      <c r="Q162">
        <f t="shared" si="23"/>
        <v>0</v>
      </c>
      <c r="R162">
        <f t="shared" si="24"/>
        <v>0</v>
      </c>
      <c r="S162">
        <f>IF(
AND($Q162=1,$M162&lt;&gt;""),
IF(
COUNTIFS(
$M$3:$M162,$M162,
$O$3:$O162,$O162,
$Q$3:$Q162,1,
$P$3:$P162,"&gt;="&amp;EOMONTH($P162,-1)+1,
$P$3:$P162,"&lt;"&amp;EOMONTH($P162,0)+1
)=1,
1,
0),
0)</f>
        <v>0</v>
      </c>
      <c r="T162">
        <f>IF(AND($R162=1,$M162&lt;&gt;""),IF(COUNTIFS($M$3:$M162,$M162,$O$3:$O162,$O162,$R$3:$R162,1,$P$3:$P162,"&gt;="&amp;EOMONTH($P162,-1)+1,$P$3:$P162,"&lt;"&amp;EOMONTH($P162,0)+1)=1,1,0),0)</f>
        <v>0</v>
      </c>
      <c r="U162">
        <f t="shared" si="25"/>
        <v>0</v>
      </c>
      <c r="V162">
        <f>IF(AND($U162=1,$M162&lt;&gt;""),IF(COUNTIFS($M$3:$M162,$M162,$O$3:$O162,$O162,$U$3:$U162,1,$P$3:$P162,"&gt;="&amp;EOMONTH($P162,-1)+1,$P$3:$P162,"&lt;"&amp;EOMONTH($P162,0)+1)=1,1,0),0)</f>
        <v>0</v>
      </c>
      <c r="W162" s="444">
        <f ca="1">TODAY()-Table1[[#This Row],[Change Date]]</f>
        <v>101.53680555555911</v>
      </c>
      <c r="X162" s="422">
        <f t="shared" si="26"/>
        <v>46177.520833333336</v>
      </c>
      <c r="Y162" s="476">
        <f ca="1">IF(Table1[[#This Row],[Next Stage Date]]&lt;&gt;"",Table1[[#This Row],[Next Stage Date]]-Table1[[#This Row],[Change Date]],TODAY()-Table1[[#This Row],[Change Date]])</f>
        <v>21.057638888894871</v>
      </c>
      <c r="Z162" s="476">
        <f t="shared" si="27"/>
        <v>0</v>
      </c>
      <c r="AA162" s="422" t="str">
        <f t="shared" si="28"/>
        <v/>
      </c>
      <c r="AB162" s="422">
        <f t="shared" si="29"/>
        <v>46177.520833333336</v>
      </c>
      <c r="AC162" s="476">
        <f t="shared" si="30"/>
        <v>64.520833333335759</v>
      </c>
      <c r="AD162" s="476" t="str">
        <f t="shared" si="31"/>
        <v/>
      </c>
      <c r="AE162" s="476" t="str">
        <f t="shared" si="32"/>
        <v/>
      </c>
      <c r="AF162" s="476" t="b">
        <f>IFERROR(_xlfn.XLOOKUP(Table1[[#This Row],[Opportunity ID]],'Aging Detail'!$H$14:$H$20,'Aging Detail'!$F$14:$F$20),TRUE)</f>
        <v>1</v>
      </c>
    </row>
    <row r="163" spans="1:32">
      <c r="A163" t="s">
        <v>1461</v>
      </c>
      <c r="B163" t="s">
        <v>338</v>
      </c>
      <c r="C163" t="s">
        <v>1469</v>
      </c>
      <c r="D163" t="s">
        <v>1964</v>
      </c>
      <c r="E163" t="s">
        <v>1965</v>
      </c>
      <c r="I163" s="422">
        <v>45763</v>
      </c>
      <c r="J163" s="422">
        <v>46023</v>
      </c>
      <c r="K163">
        <v>10800</v>
      </c>
      <c r="L163">
        <v>0</v>
      </c>
      <c r="M163" t="s">
        <v>1966</v>
      </c>
      <c r="N163" t="s">
        <v>999</v>
      </c>
      <c r="O163" t="str">
        <f>_xlfn.IFNA(VLOOKUP(Table1[[#This Row],[Lead Source]],'helper tab'!A:B,2,FALSE),"Exclude")</f>
        <v>Exclude</v>
      </c>
      <c r="P163" s="422">
        <f t="shared" si="22"/>
        <v>46156.428472222222</v>
      </c>
      <c r="Q163">
        <f t="shared" si="23"/>
        <v>0</v>
      </c>
      <c r="R163">
        <f t="shared" si="24"/>
        <v>0</v>
      </c>
      <c r="S163">
        <f>IF(
AND($Q163=1,$M163&lt;&gt;""),
IF(
COUNTIFS(
$M$3:$M163,$M163,
$O$3:$O163,$O163,
$Q$3:$Q163,1,
$P$3:$P163,"&gt;="&amp;EOMONTH($P163,-1)+1,
$P$3:$P163,"&lt;"&amp;EOMONTH($P163,0)+1
)=1,
1,
0),
0)</f>
        <v>0</v>
      </c>
      <c r="T163">
        <f>IF(AND($R163=1,$M163&lt;&gt;""),IF(COUNTIFS($M$3:$M163,$M163,$O$3:$O163,$O163,$R$3:$R163,1,$P$3:$P163,"&gt;="&amp;EOMONTH($P163,-1)+1,$P$3:$P163,"&lt;"&amp;EOMONTH($P163,0)+1)=1,1,0),0)</f>
        <v>0</v>
      </c>
      <c r="U163">
        <f t="shared" si="25"/>
        <v>1</v>
      </c>
      <c r="V163">
        <f>IF(AND($U163=1,$M163&lt;&gt;""),IF(COUNTIFS($M$3:$M163,$M163,$O$3:$O163,$O163,$U$3:$U163,1,$P$3:$P163,"&gt;="&amp;EOMONTH($P163,-1)+1,$P$3:$P163,"&lt;"&amp;EOMONTH($P163,0)+1)=1,1,0),0)</f>
        <v>1</v>
      </c>
      <c r="W163" s="444">
        <f ca="1">TODAY()-Table1[[#This Row],[Change Date]]</f>
        <v>101.5715277777781</v>
      </c>
      <c r="X163" s="422" t="str">
        <f t="shared" si="26"/>
        <v/>
      </c>
      <c r="Y163" s="476">
        <f ca="1">IF(Table1[[#This Row],[Next Stage Date]]&lt;&gt;"",Table1[[#This Row],[Next Stage Date]]-Table1[[#This Row],[Change Date]],TODAY()-Table1[[#This Row],[Change Date]])</f>
        <v>101.5715277777781</v>
      </c>
      <c r="Z163" s="476">
        <f t="shared" si="27"/>
        <v>1</v>
      </c>
      <c r="AA163" s="422" t="str">
        <f t="shared" si="28"/>
        <v/>
      </c>
      <c r="AB163" s="422" t="str">
        <f t="shared" si="29"/>
        <v/>
      </c>
      <c r="AC163" s="476" t="str">
        <f t="shared" si="30"/>
        <v/>
      </c>
      <c r="AD163" s="476" t="str">
        <f t="shared" si="31"/>
        <v/>
      </c>
      <c r="AE163" s="476" t="str">
        <f t="shared" si="32"/>
        <v/>
      </c>
      <c r="AF163" s="476" t="b">
        <f>IFERROR(_xlfn.XLOOKUP(Table1[[#This Row],[Opportunity ID]],'Aging Detail'!$H$14:$H$20,'Aging Detail'!$F$14:$F$20),TRUE)</f>
        <v>1</v>
      </c>
    </row>
    <row r="164" spans="1:32">
      <c r="A164" t="s">
        <v>1461</v>
      </c>
      <c r="B164" t="s">
        <v>526</v>
      </c>
      <c r="C164" t="s">
        <v>563</v>
      </c>
      <c r="D164" t="s">
        <v>1967</v>
      </c>
      <c r="E164" t="s">
        <v>1968</v>
      </c>
      <c r="I164" s="422">
        <v>46133</v>
      </c>
      <c r="J164" s="422">
        <v>46154</v>
      </c>
      <c r="K164">
        <v>56123.67</v>
      </c>
      <c r="L164">
        <v>56123.67</v>
      </c>
      <c r="M164" t="s">
        <v>1969</v>
      </c>
      <c r="N164" t="s">
        <v>1887</v>
      </c>
      <c r="O164" t="str">
        <f>_xlfn.IFNA(VLOOKUP(Table1[[#This Row],[Lead Source]],'helper tab'!A:B,2,FALSE),"Exclude")</f>
        <v>Exclude</v>
      </c>
      <c r="P164" s="422">
        <f t="shared" si="22"/>
        <v>46155.42291666667</v>
      </c>
      <c r="Q164">
        <f t="shared" si="23"/>
        <v>0</v>
      </c>
      <c r="R164">
        <f t="shared" si="24"/>
        <v>1</v>
      </c>
      <c r="S164">
        <f>IF(
AND($Q164=1,$M164&lt;&gt;""),
IF(
COUNTIFS(
$M$3:$M164,$M164,
$O$3:$O164,$O164,
$Q$3:$Q164,1,
$P$3:$P164,"&gt;="&amp;EOMONTH($P164,-1)+1,
$P$3:$P164,"&lt;"&amp;EOMONTH($P164,0)+1
)=1,
1,
0),
0)</f>
        <v>0</v>
      </c>
      <c r="T164">
        <f>IF(AND($R164=1,$M164&lt;&gt;""),IF(COUNTIFS($M$3:$M164,$M164,$O$3:$O164,$O164,$R$3:$R164,1,$P$3:$P164,"&gt;="&amp;EOMONTH($P164,-1)+1,$P$3:$P164,"&lt;"&amp;EOMONTH($P164,0)+1)=1,1,0),0)</f>
        <v>1</v>
      </c>
      <c r="U164">
        <f t="shared" si="25"/>
        <v>0</v>
      </c>
      <c r="V164">
        <f>IF(AND($U164=1,$M164&lt;&gt;""),IF(COUNTIFS($M$3:$M164,$M164,$O$3:$O164,$O164,$U$3:$U164,1,$P$3:$P164,"&gt;="&amp;EOMONTH($P164,-1)+1,$P$3:$P164,"&lt;"&amp;EOMONTH($P164,0)+1)=1,1,0),0)</f>
        <v>0</v>
      </c>
      <c r="W164" s="444">
        <f ca="1">TODAY()-Table1[[#This Row],[Change Date]]</f>
        <v>102.57708333332994</v>
      </c>
      <c r="X164" s="422" t="str">
        <f t="shared" si="26"/>
        <v/>
      </c>
      <c r="Y164" s="476">
        <f ca="1">IF(Table1[[#This Row],[Next Stage Date]]&lt;&gt;"",Table1[[#This Row],[Next Stage Date]]-Table1[[#This Row],[Change Date]],TODAY()-Table1[[#This Row],[Change Date]])</f>
        <v>102.57708333332994</v>
      </c>
      <c r="Z164" s="476">
        <f t="shared" si="27"/>
        <v>1</v>
      </c>
      <c r="AA164" s="422">
        <f t="shared" si="28"/>
        <v>46155.42291666667</v>
      </c>
      <c r="AB164" s="422">
        <f t="shared" si="29"/>
        <v>46154.404861111114</v>
      </c>
      <c r="AC164" s="476">
        <f t="shared" si="30"/>
        <v>21.40486111111386</v>
      </c>
      <c r="AD164" s="476">
        <f t="shared" si="31"/>
        <v>1.0180555555562023</v>
      </c>
      <c r="AE164" s="476">
        <f t="shared" si="32"/>
        <v>22.422916666670062</v>
      </c>
      <c r="AF164" s="476" t="b">
        <f>IFERROR(_xlfn.XLOOKUP(Table1[[#This Row],[Opportunity ID]],'Aging Detail'!$H$14:$H$20,'Aging Detail'!$F$14:$F$20),TRUE)</f>
        <v>1</v>
      </c>
    </row>
    <row r="165" spans="1:32">
      <c r="A165" t="s">
        <v>1461</v>
      </c>
      <c r="B165" t="s">
        <v>462</v>
      </c>
      <c r="C165" t="s">
        <v>1469</v>
      </c>
      <c r="D165" t="s">
        <v>1970</v>
      </c>
      <c r="E165" t="s">
        <v>1971</v>
      </c>
      <c r="F165" t="s">
        <v>1465</v>
      </c>
      <c r="I165" s="422">
        <v>45513</v>
      </c>
      <c r="J165" s="422">
        <v>46155</v>
      </c>
      <c r="K165">
        <v>250000</v>
      </c>
      <c r="L165">
        <v>100000</v>
      </c>
      <c r="M165" t="s">
        <v>1972</v>
      </c>
      <c r="N165" t="s">
        <v>1973</v>
      </c>
      <c r="O165" t="str">
        <f>_xlfn.IFNA(VLOOKUP(Table1[[#This Row],[Lead Source]],'helper tab'!A:B,2,FALSE),"Exclude")</f>
        <v>Exclude</v>
      </c>
      <c r="P165" s="422">
        <f t="shared" si="22"/>
        <v>46155.415972222225</v>
      </c>
      <c r="Q165">
        <f t="shared" si="23"/>
        <v>0</v>
      </c>
      <c r="R165">
        <f t="shared" si="24"/>
        <v>0</v>
      </c>
      <c r="S165">
        <f>IF(
AND($Q165=1,$M165&lt;&gt;""),
IF(
COUNTIFS(
$M$3:$M165,$M165,
$O$3:$O165,$O165,
$Q$3:$Q165,1,
$P$3:$P165,"&gt;="&amp;EOMONTH($P165,-1)+1,
$P$3:$P165,"&lt;"&amp;EOMONTH($P165,0)+1
)=1,
1,
0),
0)</f>
        <v>0</v>
      </c>
      <c r="T165">
        <f>IF(AND($R165=1,$M165&lt;&gt;""),IF(COUNTIFS($M$3:$M165,$M165,$O$3:$O165,$O165,$R$3:$R165,1,$P$3:$P165,"&gt;="&amp;EOMONTH($P165,-1)+1,$P$3:$P165,"&lt;"&amp;EOMONTH($P165,0)+1)=1,1,0),0)</f>
        <v>0</v>
      </c>
      <c r="U165">
        <f t="shared" si="25"/>
        <v>1</v>
      </c>
      <c r="V165">
        <f>IF(AND($U165=1,$M165&lt;&gt;""),IF(COUNTIFS($M$3:$M165,$M165,$O$3:$O165,$O165,$U$3:$U165,1,$P$3:$P165,"&gt;="&amp;EOMONTH($P165,-1)+1,$P$3:$P165,"&lt;"&amp;EOMONTH($P165,0)+1)=1,1,0),0)</f>
        <v>1</v>
      </c>
      <c r="W165" s="444">
        <f ca="1">TODAY()-Table1[[#This Row],[Change Date]]</f>
        <v>102.58402777777519</v>
      </c>
      <c r="X165" s="422" t="str">
        <f t="shared" si="26"/>
        <v/>
      </c>
      <c r="Y165" s="476">
        <f ca="1">IF(Table1[[#This Row],[Next Stage Date]]&lt;&gt;"",Table1[[#This Row],[Next Stage Date]]-Table1[[#This Row],[Change Date]],TODAY()-Table1[[#This Row],[Change Date]])</f>
        <v>102.58402777777519</v>
      </c>
      <c r="Z165" s="476">
        <f t="shared" si="27"/>
        <v>1</v>
      </c>
      <c r="AA165" s="422" t="str">
        <f t="shared" si="28"/>
        <v/>
      </c>
      <c r="AB165" s="422" t="str">
        <f t="shared" si="29"/>
        <v/>
      </c>
      <c r="AC165" s="476" t="str">
        <f t="shared" si="30"/>
        <v/>
      </c>
      <c r="AD165" s="476" t="str">
        <f t="shared" si="31"/>
        <v/>
      </c>
      <c r="AE165" s="476" t="str">
        <f t="shared" si="32"/>
        <v/>
      </c>
      <c r="AF165" s="476" t="b">
        <f>IFERROR(_xlfn.XLOOKUP(Table1[[#This Row],[Opportunity ID]],'Aging Detail'!$H$14:$H$20,'Aging Detail'!$F$14:$F$20),TRUE)</f>
        <v>1</v>
      </c>
    </row>
    <row r="166" spans="1:32">
      <c r="A166" t="s">
        <v>1461</v>
      </c>
      <c r="B166" t="s">
        <v>462</v>
      </c>
      <c r="C166" t="s">
        <v>526</v>
      </c>
      <c r="D166" t="s">
        <v>1974</v>
      </c>
      <c r="E166" t="s">
        <v>1869</v>
      </c>
      <c r="I166" s="422">
        <v>46153</v>
      </c>
      <c r="J166" s="422">
        <v>46146</v>
      </c>
      <c r="K166">
        <v>0</v>
      </c>
      <c r="L166">
        <v>0</v>
      </c>
      <c r="M166" t="s">
        <v>1870</v>
      </c>
      <c r="N166" t="s">
        <v>1618</v>
      </c>
      <c r="O166" t="str">
        <f>_xlfn.IFNA(VLOOKUP(Table1[[#This Row],[Lead Source]],'helper tab'!A:B,2,FALSE),"Exclude")</f>
        <v>Exclude</v>
      </c>
      <c r="P166" s="422">
        <f t="shared" si="22"/>
        <v>46154.567361111112</v>
      </c>
      <c r="Q166">
        <f t="shared" si="23"/>
        <v>1</v>
      </c>
      <c r="R166">
        <f t="shared" si="24"/>
        <v>0</v>
      </c>
      <c r="S166">
        <f>IF(
AND($Q166=1,$M166&lt;&gt;""),
IF(
COUNTIFS(
$M$3:$M166,$M166,
$O$3:$O166,$O166,
$Q$3:$Q166,1,
$P$3:$P166,"&gt;="&amp;EOMONTH($P166,-1)+1,
$P$3:$P166,"&lt;"&amp;EOMONTH($P166,0)+1
)=1,
1,
0),
0)</f>
        <v>1</v>
      </c>
      <c r="T166">
        <f>IF(AND($R166=1,$M166&lt;&gt;""),IF(COUNTIFS($M$3:$M166,$M166,$O$3:$O166,$O166,$R$3:$R166,1,$P$3:$P166,"&gt;="&amp;EOMONTH($P166,-1)+1,$P$3:$P166,"&lt;"&amp;EOMONTH($P166,0)+1)=1,1,0),0)</f>
        <v>0</v>
      </c>
      <c r="U166">
        <f t="shared" si="25"/>
        <v>0</v>
      </c>
      <c r="V166">
        <f>IF(AND($U166=1,$M166&lt;&gt;""),IF(COUNTIFS($M$3:$M166,$M166,$O$3:$O166,$O166,$U$3:$U166,1,$P$3:$P166,"&gt;="&amp;EOMONTH($P166,-1)+1,$P$3:$P166,"&lt;"&amp;EOMONTH($P166,0)+1)=1,1,0),0)</f>
        <v>0</v>
      </c>
      <c r="W166" s="444">
        <f ca="1">TODAY()-Table1[[#This Row],[Change Date]]</f>
        <v>103.4326388888876</v>
      </c>
      <c r="X166" s="422">
        <f t="shared" si="26"/>
        <v>46189.417361111111</v>
      </c>
      <c r="Y166" s="476">
        <f ca="1">IF(Table1[[#This Row],[Next Stage Date]]&lt;&gt;"",Table1[[#This Row],[Next Stage Date]]-Table1[[#This Row],[Change Date]],TODAY()-Table1[[#This Row],[Change Date]])</f>
        <v>34.849999999998545</v>
      </c>
      <c r="Z166" s="476">
        <f t="shared" si="27"/>
        <v>0</v>
      </c>
      <c r="AA166" s="422">
        <f t="shared" si="28"/>
        <v>46189.417361111111</v>
      </c>
      <c r="AB166" s="422">
        <f t="shared" si="29"/>
        <v>46154.567361111112</v>
      </c>
      <c r="AC166" s="476">
        <f t="shared" si="30"/>
        <v>1.5673611111124046</v>
      </c>
      <c r="AD166" s="476">
        <f t="shared" si="31"/>
        <v>34.849999999998545</v>
      </c>
      <c r="AE166" s="476">
        <f t="shared" si="32"/>
        <v>36.417361111110949</v>
      </c>
      <c r="AF166" s="476" t="b">
        <f>IFERROR(_xlfn.XLOOKUP(Table1[[#This Row],[Opportunity ID]],'Aging Detail'!$H$14:$H$20,'Aging Detail'!$F$14:$F$20),TRUE)</f>
        <v>1</v>
      </c>
    </row>
    <row r="167" spans="1:32">
      <c r="A167" t="s">
        <v>1461</v>
      </c>
      <c r="B167" t="s">
        <v>408</v>
      </c>
      <c r="C167" t="s">
        <v>1462</v>
      </c>
      <c r="D167" t="s">
        <v>1975</v>
      </c>
      <c r="E167" t="s">
        <v>1534</v>
      </c>
      <c r="I167" s="422">
        <v>46127</v>
      </c>
      <c r="J167" s="422">
        <v>46387</v>
      </c>
      <c r="K167">
        <v>31680</v>
      </c>
      <c r="L167">
        <v>31680</v>
      </c>
      <c r="M167" t="s">
        <v>1535</v>
      </c>
      <c r="N167" t="s">
        <v>1536</v>
      </c>
      <c r="O167" t="str">
        <f>_xlfn.IFNA(VLOOKUP(Table1[[#This Row],[Lead Source]],'helper tab'!A:B,2,FALSE),"Exclude")</f>
        <v>Exclude</v>
      </c>
      <c r="P167" s="422">
        <f t="shared" si="22"/>
        <v>46154.496527777781</v>
      </c>
      <c r="Q167">
        <f t="shared" si="23"/>
        <v>0</v>
      </c>
      <c r="R167">
        <f t="shared" si="24"/>
        <v>0</v>
      </c>
      <c r="S167">
        <f>IF(
AND($Q167=1,$M167&lt;&gt;""),
IF(
COUNTIFS(
$M$3:$M167,$M167,
$O$3:$O167,$O167,
$Q$3:$Q167,1,
$P$3:$P167,"&gt;="&amp;EOMONTH($P167,-1)+1,
$P$3:$P167,"&lt;"&amp;EOMONTH($P167,0)+1
)=1,
1,
0),
0)</f>
        <v>0</v>
      </c>
      <c r="T167">
        <f>IF(AND($R167=1,$M167&lt;&gt;""),IF(COUNTIFS($M$3:$M167,$M167,$O$3:$O167,$O167,$R$3:$R167,1,$P$3:$P167,"&gt;="&amp;EOMONTH($P167,-1)+1,$P$3:$P167,"&lt;"&amp;EOMONTH($P167,0)+1)=1,1,0),0)</f>
        <v>0</v>
      </c>
      <c r="U167">
        <f t="shared" si="25"/>
        <v>0</v>
      </c>
      <c r="V167">
        <f>IF(AND($U167=1,$M167&lt;&gt;""),IF(COUNTIFS($M$3:$M167,$M167,$O$3:$O167,$O167,$U$3:$U167,1,$P$3:$P167,"&gt;="&amp;EOMONTH($P167,-1)+1,$P$3:$P167,"&lt;"&amp;EOMONTH($P167,0)+1)=1,1,0),0)</f>
        <v>0</v>
      </c>
      <c r="W167" s="444">
        <f ca="1">TODAY()-Table1[[#This Row],[Change Date]]</f>
        <v>103.50347222221899</v>
      </c>
      <c r="X167" s="422">
        <f t="shared" si="26"/>
        <v>46205.504166666666</v>
      </c>
      <c r="Y167" s="476">
        <f ca="1">IF(Table1[[#This Row],[Next Stage Date]]&lt;&gt;"",Table1[[#This Row],[Next Stage Date]]-Table1[[#This Row],[Change Date]],TODAY()-Table1[[#This Row],[Change Date]])</f>
        <v>51.007638888884685</v>
      </c>
      <c r="Z167" s="476">
        <f t="shared" si="27"/>
        <v>0</v>
      </c>
      <c r="AA167" s="422" t="str">
        <f t="shared" si="28"/>
        <v/>
      </c>
      <c r="AB167" s="422">
        <f t="shared" si="29"/>
        <v>46205.504166666666</v>
      </c>
      <c r="AC167" s="476">
        <f t="shared" si="30"/>
        <v>78.504166666665697</v>
      </c>
      <c r="AD167" s="476" t="str">
        <f t="shared" si="31"/>
        <v/>
      </c>
      <c r="AE167" s="476" t="str">
        <f t="shared" si="32"/>
        <v/>
      </c>
      <c r="AF167" s="476" t="b">
        <f>IFERROR(_xlfn.XLOOKUP(Table1[[#This Row],[Opportunity ID]],'Aging Detail'!$H$14:$H$20,'Aging Detail'!$F$14:$F$20),TRUE)</f>
        <v>1</v>
      </c>
    </row>
    <row r="168" spans="1:32">
      <c r="A168" t="s">
        <v>1461</v>
      </c>
      <c r="B168" t="s">
        <v>462</v>
      </c>
      <c r="C168" t="s">
        <v>526</v>
      </c>
      <c r="D168" t="s">
        <v>1976</v>
      </c>
      <c r="E168" t="s">
        <v>1968</v>
      </c>
      <c r="I168" s="422">
        <v>46133</v>
      </c>
      <c r="J168" s="422">
        <v>46154</v>
      </c>
      <c r="K168">
        <v>56123.67</v>
      </c>
      <c r="L168">
        <v>56123.67</v>
      </c>
      <c r="M168" t="s">
        <v>1969</v>
      </c>
      <c r="N168" t="s">
        <v>1887</v>
      </c>
      <c r="O168" t="str">
        <f>_xlfn.IFNA(VLOOKUP(Table1[[#This Row],[Lead Source]],'helper tab'!A:B,2,FALSE),"Exclude")</f>
        <v>Exclude</v>
      </c>
      <c r="P168" s="422">
        <f t="shared" si="22"/>
        <v>46154.404861111114</v>
      </c>
      <c r="Q168">
        <f t="shared" si="23"/>
        <v>1</v>
      </c>
      <c r="R168">
        <f t="shared" si="24"/>
        <v>0</v>
      </c>
      <c r="S168">
        <f>IF(
AND($Q168=1,$M168&lt;&gt;""),
IF(
COUNTIFS(
$M$3:$M168,$M168,
$O$3:$O168,$O168,
$Q$3:$Q168,1,
$P$3:$P168,"&gt;="&amp;EOMONTH($P168,-1)+1,
$P$3:$P168,"&lt;"&amp;EOMONTH($P168,0)+1
)=1,
1,
0),
0)</f>
        <v>1</v>
      </c>
      <c r="T168">
        <f>IF(AND($R168=1,$M168&lt;&gt;""),IF(COUNTIFS($M$3:$M168,$M168,$O$3:$O168,$O168,$R$3:$R168,1,$P$3:$P168,"&gt;="&amp;EOMONTH($P168,-1)+1,$P$3:$P168,"&lt;"&amp;EOMONTH($P168,0)+1)=1,1,0),0)</f>
        <v>0</v>
      </c>
      <c r="U168">
        <f t="shared" si="25"/>
        <v>0</v>
      </c>
      <c r="V168">
        <f>IF(AND($U168=1,$M168&lt;&gt;""),IF(COUNTIFS($M$3:$M168,$M168,$O$3:$O168,$O168,$U$3:$U168,1,$P$3:$P168,"&gt;="&amp;EOMONTH($P168,-1)+1,$P$3:$P168,"&lt;"&amp;EOMONTH($P168,0)+1)=1,1,0),0)</f>
        <v>0</v>
      </c>
      <c r="W168" s="444">
        <f ca="1">TODAY()-Table1[[#This Row],[Change Date]]</f>
        <v>103.59513888888614</v>
      </c>
      <c r="X168" s="422">
        <f t="shared" si="26"/>
        <v>46155.42291666667</v>
      </c>
      <c r="Y168" s="476">
        <f ca="1">IF(Table1[[#This Row],[Next Stage Date]]&lt;&gt;"",Table1[[#This Row],[Next Stage Date]]-Table1[[#This Row],[Change Date]],TODAY()-Table1[[#This Row],[Change Date]])</f>
        <v>1.0180555555562023</v>
      </c>
      <c r="Z168" s="476">
        <f t="shared" si="27"/>
        <v>0</v>
      </c>
      <c r="AA168" s="422">
        <f t="shared" si="28"/>
        <v>46155.42291666667</v>
      </c>
      <c r="AB168" s="422">
        <f t="shared" si="29"/>
        <v>46154.404861111114</v>
      </c>
      <c r="AC168" s="476">
        <f t="shared" si="30"/>
        <v>21.40486111111386</v>
      </c>
      <c r="AD168" s="476">
        <f t="shared" si="31"/>
        <v>1.0180555555562023</v>
      </c>
      <c r="AE168" s="476">
        <f t="shared" si="32"/>
        <v>22.422916666670062</v>
      </c>
      <c r="AF168" s="476" t="b">
        <f>IFERROR(_xlfn.XLOOKUP(Table1[[#This Row],[Opportunity ID]],'Aging Detail'!$H$14:$H$20,'Aging Detail'!$F$14:$F$20),TRUE)</f>
        <v>1</v>
      </c>
    </row>
    <row r="169" spans="1:32">
      <c r="A169" t="s">
        <v>1461</v>
      </c>
      <c r="B169" t="s">
        <v>526</v>
      </c>
      <c r="C169" t="s">
        <v>563</v>
      </c>
      <c r="D169" t="s">
        <v>1977</v>
      </c>
      <c r="E169" t="s">
        <v>1978</v>
      </c>
      <c r="F169" t="s">
        <v>1632</v>
      </c>
      <c r="I169" s="422">
        <v>45903</v>
      </c>
      <c r="J169" s="422">
        <v>46143</v>
      </c>
      <c r="K169">
        <v>360000</v>
      </c>
      <c r="L169">
        <v>360000</v>
      </c>
      <c r="M169" t="s">
        <v>1979</v>
      </c>
      <c r="N169" t="s">
        <v>1634</v>
      </c>
      <c r="O169" t="str">
        <f>_xlfn.IFNA(VLOOKUP(Table1[[#This Row],[Lead Source]],'helper tab'!A:B,2,FALSE),"Exclude")</f>
        <v>Exclude</v>
      </c>
      <c r="P169" s="422">
        <f t="shared" si="22"/>
        <v>46148.390972222223</v>
      </c>
      <c r="Q169">
        <f t="shared" si="23"/>
        <v>0</v>
      </c>
      <c r="R169">
        <f t="shared" si="24"/>
        <v>1</v>
      </c>
      <c r="S169">
        <f>IF(
AND($Q169=1,$M169&lt;&gt;""),
IF(
COUNTIFS(
$M$3:$M169,$M169,
$O$3:$O169,$O169,
$Q$3:$Q169,1,
$P$3:$P169,"&gt;="&amp;EOMONTH($P169,-1)+1,
$P$3:$P169,"&lt;"&amp;EOMONTH($P169,0)+1
)=1,
1,
0),
0)</f>
        <v>0</v>
      </c>
      <c r="T169">
        <f>IF(AND($R169=1,$M169&lt;&gt;""),IF(COUNTIFS($M$3:$M169,$M169,$O$3:$O169,$O169,$R$3:$R169,1,$P$3:$P169,"&gt;="&amp;EOMONTH($P169,-1)+1,$P$3:$P169,"&lt;"&amp;EOMONTH($P169,0)+1)=1,1,0),0)</f>
        <v>1</v>
      </c>
      <c r="U169">
        <f t="shared" si="25"/>
        <v>0</v>
      </c>
      <c r="V169">
        <f>IF(AND($U169=1,$M169&lt;&gt;""),IF(COUNTIFS($M$3:$M169,$M169,$O$3:$O169,$O169,$U$3:$U169,1,$P$3:$P169,"&gt;="&amp;EOMONTH($P169,-1)+1,$P$3:$P169,"&lt;"&amp;EOMONTH($P169,0)+1)=1,1,0),0)</f>
        <v>0</v>
      </c>
      <c r="W169" s="444">
        <f ca="1">TODAY()-Table1[[#This Row],[Change Date]]</f>
        <v>109.60902777777665</v>
      </c>
      <c r="X169" s="422" t="str">
        <f t="shared" si="26"/>
        <v/>
      </c>
      <c r="Y169" s="476">
        <f ca="1">IF(Table1[[#This Row],[Next Stage Date]]&lt;&gt;"",Table1[[#This Row],[Next Stage Date]]-Table1[[#This Row],[Change Date]],TODAY()-Table1[[#This Row],[Change Date]])</f>
        <v>109.60902777777665</v>
      </c>
      <c r="Z169" s="476">
        <f t="shared" si="27"/>
        <v>1</v>
      </c>
      <c r="AA169" s="422">
        <f t="shared" si="28"/>
        <v>46148.390972222223</v>
      </c>
      <c r="AB169" s="422">
        <f t="shared" si="29"/>
        <v>45950.290972222225</v>
      </c>
      <c r="AC169" s="476">
        <f t="shared" si="30"/>
        <v>47.290972222224809</v>
      </c>
      <c r="AD169" s="476">
        <f t="shared" si="31"/>
        <v>198.09999999999854</v>
      </c>
      <c r="AE169" s="476">
        <f t="shared" si="32"/>
        <v>245.39097222222335</v>
      </c>
      <c r="AF169" s="476" t="b">
        <f>IFERROR(_xlfn.XLOOKUP(Table1[[#This Row],[Opportunity ID]],'Aging Detail'!$H$14:$H$20,'Aging Detail'!$F$14:$F$20),TRUE)</f>
        <v>1</v>
      </c>
    </row>
    <row r="170" spans="1:32">
      <c r="A170" t="s">
        <v>1461</v>
      </c>
      <c r="B170" t="s">
        <v>1462</v>
      </c>
      <c r="C170" t="s">
        <v>1469</v>
      </c>
      <c r="D170" t="s">
        <v>1980</v>
      </c>
      <c r="E170" t="s">
        <v>1981</v>
      </c>
      <c r="I170" s="422">
        <v>45786</v>
      </c>
      <c r="J170" s="422">
        <v>46386</v>
      </c>
      <c r="K170">
        <v>50000</v>
      </c>
      <c r="L170">
        <v>50000</v>
      </c>
      <c r="M170" t="s">
        <v>1982</v>
      </c>
      <c r="N170" t="s">
        <v>1532</v>
      </c>
      <c r="O170" t="str">
        <f>_xlfn.IFNA(VLOOKUP(Table1[[#This Row],[Lead Source]],'helper tab'!A:B,2,FALSE),"Exclude")</f>
        <v>Exclude</v>
      </c>
      <c r="P170" s="422">
        <f t="shared" si="22"/>
        <v>46147.79583333333</v>
      </c>
      <c r="Q170">
        <f t="shared" si="23"/>
        <v>0</v>
      </c>
      <c r="R170">
        <f t="shared" si="24"/>
        <v>0</v>
      </c>
      <c r="S170">
        <f>IF(
AND($Q170=1,$M170&lt;&gt;""),
IF(
COUNTIFS(
$M$3:$M170,$M170,
$O$3:$O170,$O170,
$Q$3:$Q170,1,
$P$3:$P170,"&gt;="&amp;EOMONTH($P170,-1)+1,
$P$3:$P170,"&lt;"&amp;EOMONTH($P170,0)+1
)=1,
1,
0),
0)</f>
        <v>0</v>
      </c>
      <c r="T170">
        <f>IF(AND($R170=1,$M170&lt;&gt;""),IF(COUNTIFS($M$3:$M170,$M170,$O$3:$O170,$O170,$R$3:$R170,1,$P$3:$P170,"&gt;="&amp;EOMONTH($P170,-1)+1,$P$3:$P170,"&lt;"&amp;EOMONTH($P170,0)+1)=1,1,0),0)</f>
        <v>0</v>
      </c>
      <c r="U170">
        <f t="shared" si="25"/>
        <v>1</v>
      </c>
      <c r="V170">
        <f>IF(AND($U170=1,$M170&lt;&gt;""),IF(COUNTIFS($M$3:$M170,$M170,$O$3:$O170,$O170,$U$3:$U170,1,$P$3:$P170,"&gt;="&amp;EOMONTH($P170,-1)+1,$P$3:$P170,"&lt;"&amp;EOMONTH($P170,0)+1)=1,1,0),0)</f>
        <v>1</v>
      </c>
      <c r="W170" s="444">
        <f ca="1">TODAY()-Table1[[#This Row],[Change Date]]</f>
        <v>110.20416666667006</v>
      </c>
      <c r="X170" s="422" t="str">
        <f t="shared" si="26"/>
        <v/>
      </c>
      <c r="Y170" s="476">
        <f ca="1">IF(Table1[[#This Row],[Next Stage Date]]&lt;&gt;"",Table1[[#This Row],[Next Stage Date]]-Table1[[#This Row],[Change Date]],TODAY()-Table1[[#This Row],[Change Date]])</f>
        <v>110.20416666667006</v>
      </c>
      <c r="Z170" s="476">
        <f t="shared" si="27"/>
        <v>1</v>
      </c>
      <c r="AA170" s="422" t="str">
        <f t="shared" si="28"/>
        <v/>
      </c>
      <c r="AB170" s="422" t="str">
        <f t="shared" si="29"/>
        <v/>
      </c>
      <c r="AC170" s="476" t="str">
        <f t="shared" si="30"/>
        <v/>
      </c>
      <c r="AD170" s="476" t="str">
        <f t="shared" si="31"/>
        <v/>
      </c>
      <c r="AE170" s="476" t="str">
        <f t="shared" si="32"/>
        <v/>
      </c>
      <c r="AF170" s="476" t="b">
        <f>IFERROR(_xlfn.XLOOKUP(Table1[[#This Row],[Opportunity ID]],'Aging Detail'!$H$14:$H$20,'Aging Detail'!$F$14:$F$20),TRUE)</f>
        <v>1</v>
      </c>
    </row>
    <row r="171" spans="1:32">
      <c r="A171" t="s">
        <v>1461</v>
      </c>
      <c r="B171" t="s">
        <v>526</v>
      </c>
      <c r="C171" t="s">
        <v>563</v>
      </c>
      <c r="D171" t="s">
        <v>1983</v>
      </c>
      <c r="E171" t="s">
        <v>1984</v>
      </c>
      <c r="F171" t="s">
        <v>1486</v>
      </c>
      <c r="I171" s="422">
        <v>45877</v>
      </c>
      <c r="J171" s="422">
        <v>46142</v>
      </c>
      <c r="K171">
        <v>1218672</v>
      </c>
      <c r="L171">
        <v>1133172</v>
      </c>
      <c r="M171" t="s">
        <v>1985</v>
      </c>
      <c r="N171" t="s">
        <v>1684</v>
      </c>
      <c r="O171" t="str">
        <f>_xlfn.IFNA(VLOOKUP(Table1[[#This Row],[Lead Source]],'helper tab'!A:B,2,FALSE),"Exclude")</f>
        <v>Exclude</v>
      </c>
      <c r="P171" s="422">
        <f t="shared" si="22"/>
        <v>46146.613888888889</v>
      </c>
      <c r="Q171">
        <f t="shared" si="23"/>
        <v>0</v>
      </c>
      <c r="R171">
        <f t="shared" si="24"/>
        <v>1</v>
      </c>
      <c r="S171">
        <f>IF(
AND($Q171=1,$M171&lt;&gt;""),
IF(
COUNTIFS(
$M$3:$M171,$M171,
$O$3:$O171,$O171,
$Q$3:$Q171,1,
$P$3:$P171,"&gt;="&amp;EOMONTH($P171,-1)+1,
$P$3:$P171,"&lt;"&amp;EOMONTH($P171,0)+1
)=1,
1,
0),
0)</f>
        <v>0</v>
      </c>
      <c r="T171">
        <f>IF(AND($R171=1,$M171&lt;&gt;""),IF(COUNTIFS($M$3:$M171,$M171,$O$3:$O171,$O171,$R$3:$R171,1,$P$3:$P171,"&gt;="&amp;EOMONTH($P171,-1)+1,$P$3:$P171,"&lt;"&amp;EOMONTH($P171,0)+1)=1,1,0),0)</f>
        <v>1</v>
      </c>
      <c r="U171">
        <f t="shared" si="25"/>
        <v>0</v>
      </c>
      <c r="V171">
        <f>IF(AND($U171=1,$M171&lt;&gt;""),IF(COUNTIFS($M$3:$M171,$M171,$O$3:$O171,$O171,$U$3:$U171,1,$P$3:$P171,"&gt;="&amp;EOMONTH($P171,-1)+1,$P$3:$P171,"&lt;"&amp;EOMONTH($P171,0)+1)=1,1,0),0)</f>
        <v>0</v>
      </c>
      <c r="W171" s="444">
        <f ca="1">TODAY()-Table1[[#This Row],[Change Date]]</f>
        <v>111.38611111111095</v>
      </c>
      <c r="X171" s="422" t="str">
        <f t="shared" si="26"/>
        <v/>
      </c>
      <c r="Y171" s="476">
        <f ca="1">IF(Table1[[#This Row],[Next Stage Date]]&lt;&gt;"",Table1[[#This Row],[Next Stage Date]]-Table1[[#This Row],[Change Date]],TODAY()-Table1[[#This Row],[Change Date]])</f>
        <v>111.38611111111095</v>
      </c>
      <c r="Z171" s="476">
        <f t="shared" si="27"/>
        <v>1</v>
      </c>
      <c r="AA171" s="422">
        <f t="shared" si="28"/>
        <v>46146.613888888889</v>
      </c>
      <c r="AB171" s="422">
        <f t="shared" si="29"/>
        <v>46104.425694444442</v>
      </c>
      <c r="AC171" s="476">
        <f t="shared" si="30"/>
        <v>227.42569444444234</v>
      </c>
      <c r="AD171" s="476">
        <f t="shared" si="31"/>
        <v>42.188194444446708</v>
      </c>
      <c r="AE171" s="476">
        <f t="shared" si="32"/>
        <v>269.61388888888905</v>
      </c>
      <c r="AF171" s="476" t="b">
        <f>IFERROR(_xlfn.XLOOKUP(Table1[[#This Row],[Opportunity ID]],'Aging Detail'!$H$14:$H$20,'Aging Detail'!$F$14:$F$20),TRUE)</f>
        <v>1</v>
      </c>
    </row>
    <row r="172" spans="1:32">
      <c r="A172" t="s">
        <v>1461</v>
      </c>
      <c r="B172" t="s">
        <v>462</v>
      </c>
      <c r="C172" t="s">
        <v>563</v>
      </c>
      <c r="D172" t="s">
        <v>1986</v>
      </c>
      <c r="E172" t="s">
        <v>1987</v>
      </c>
      <c r="I172" s="422">
        <v>45932</v>
      </c>
      <c r="J172" s="422">
        <v>46142</v>
      </c>
      <c r="K172">
        <v>54000</v>
      </c>
      <c r="L172">
        <v>0</v>
      </c>
      <c r="M172" t="s">
        <v>1988</v>
      </c>
      <c r="N172" t="s">
        <v>1684</v>
      </c>
      <c r="O172" t="str">
        <f>_xlfn.IFNA(VLOOKUP(Table1[[#This Row],[Lead Source]],'helper tab'!A:B,2,FALSE),"Exclude")</f>
        <v>Exclude</v>
      </c>
      <c r="P172" s="422">
        <f t="shared" si="22"/>
        <v>46146.601388888892</v>
      </c>
      <c r="Q172">
        <f t="shared" si="23"/>
        <v>0</v>
      </c>
      <c r="R172">
        <f t="shared" si="24"/>
        <v>1</v>
      </c>
      <c r="S172">
        <f>IF(
AND($Q172=1,$M172&lt;&gt;""),
IF(
COUNTIFS(
$M$3:$M172,$M172,
$O$3:$O172,$O172,
$Q$3:$Q172,1,
$P$3:$P172,"&gt;="&amp;EOMONTH($P172,-1)+1,
$P$3:$P172,"&lt;"&amp;EOMONTH($P172,0)+1
)=1,
1,
0),
0)</f>
        <v>0</v>
      </c>
      <c r="T172">
        <f>IF(AND($R172=1,$M172&lt;&gt;""),IF(COUNTIFS($M$3:$M172,$M172,$O$3:$O172,$O172,$R$3:$R172,1,$P$3:$P172,"&gt;="&amp;EOMONTH($P172,-1)+1,$P$3:$P172,"&lt;"&amp;EOMONTH($P172,0)+1)=1,1,0),0)</f>
        <v>1</v>
      </c>
      <c r="U172">
        <f t="shared" si="25"/>
        <v>0</v>
      </c>
      <c r="V172">
        <f>IF(AND($U172=1,$M172&lt;&gt;""),IF(COUNTIFS($M$3:$M172,$M172,$O$3:$O172,$O172,$U$3:$U172,1,$P$3:$P172,"&gt;="&amp;EOMONTH($P172,-1)+1,$P$3:$P172,"&lt;"&amp;EOMONTH($P172,0)+1)=1,1,0),0)</f>
        <v>0</v>
      </c>
      <c r="W172" s="444">
        <f ca="1">TODAY()-Table1[[#This Row],[Change Date]]</f>
        <v>111.39861111110804</v>
      </c>
      <c r="X172" s="422" t="str">
        <f t="shared" si="26"/>
        <v/>
      </c>
      <c r="Y172" s="476">
        <f ca="1">IF(Table1[[#This Row],[Next Stage Date]]&lt;&gt;"",Table1[[#This Row],[Next Stage Date]]-Table1[[#This Row],[Change Date]],TODAY()-Table1[[#This Row],[Change Date]])</f>
        <v>111.39861111110804</v>
      </c>
      <c r="Z172" s="476">
        <f t="shared" si="27"/>
        <v>1</v>
      </c>
      <c r="AA172" s="422">
        <f t="shared" si="28"/>
        <v>46146.601388888892</v>
      </c>
      <c r="AB172" s="422">
        <f t="shared" si="29"/>
        <v>46031.402083333334</v>
      </c>
      <c r="AC172" s="476">
        <f t="shared" si="30"/>
        <v>99.402083333334303</v>
      </c>
      <c r="AD172" s="476">
        <f t="shared" si="31"/>
        <v>115.19930555555766</v>
      </c>
      <c r="AE172" s="476">
        <f t="shared" si="32"/>
        <v>214.60138888889196</v>
      </c>
      <c r="AF172" s="476" t="b">
        <f>IFERROR(_xlfn.XLOOKUP(Table1[[#This Row],[Opportunity ID]],'Aging Detail'!$H$14:$H$20,'Aging Detail'!$F$14:$F$20),TRUE)</f>
        <v>1</v>
      </c>
    </row>
    <row r="173" spans="1:32">
      <c r="A173" t="s">
        <v>1461</v>
      </c>
      <c r="B173" t="s">
        <v>526</v>
      </c>
      <c r="C173" t="s">
        <v>563</v>
      </c>
      <c r="D173" t="s">
        <v>1989</v>
      </c>
      <c r="E173" t="s">
        <v>1990</v>
      </c>
      <c r="F173" t="s">
        <v>1465</v>
      </c>
      <c r="I173" s="422">
        <v>45968</v>
      </c>
      <c r="J173" s="422">
        <v>46142</v>
      </c>
      <c r="K173">
        <v>0</v>
      </c>
      <c r="L173">
        <v>0</v>
      </c>
      <c r="M173" t="s">
        <v>1991</v>
      </c>
      <c r="N173" t="s">
        <v>1992</v>
      </c>
      <c r="O173" t="str">
        <f>_xlfn.IFNA(VLOOKUP(Table1[[#This Row],[Lead Source]],'helper tab'!A:B,2,FALSE),"Exclude")</f>
        <v>Exclude</v>
      </c>
      <c r="P173" s="422">
        <f t="shared" si="22"/>
        <v>46143.486805555556</v>
      </c>
      <c r="Q173">
        <f t="shared" si="23"/>
        <v>0</v>
      </c>
      <c r="R173">
        <f t="shared" si="24"/>
        <v>1</v>
      </c>
      <c r="S173">
        <f>IF(
AND($Q173=1,$M173&lt;&gt;""),
IF(
COUNTIFS(
$M$3:$M173,$M173,
$O$3:$O173,$O173,
$Q$3:$Q173,1,
$P$3:$P173,"&gt;="&amp;EOMONTH($P173,-1)+1,
$P$3:$P173,"&lt;"&amp;EOMONTH($P173,0)+1
)=1,
1,
0),
0)</f>
        <v>0</v>
      </c>
      <c r="T173">
        <f>IF(AND($R173=1,$M173&lt;&gt;""),IF(COUNTIFS($M$3:$M173,$M173,$O$3:$O173,$O173,$R$3:$R173,1,$P$3:$P173,"&gt;="&amp;EOMONTH($P173,-1)+1,$P$3:$P173,"&lt;"&amp;EOMONTH($P173,0)+1)=1,1,0),0)</f>
        <v>1</v>
      </c>
      <c r="U173">
        <f t="shared" si="25"/>
        <v>0</v>
      </c>
      <c r="V173">
        <f>IF(AND($U173=1,$M173&lt;&gt;""),IF(COUNTIFS($M$3:$M173,$M173,$O$3:$O173,$O173,$U$3:$U173,1,$P$3:$P173,"&gt;="&amp;EOMONTH($P173,-1)+1,$P$3:$P173,"&lt;"&amp;EOMONTH($P173,0)+1)=1,1,0),0)</f>
        <v>0</v>
      </c>
      <c r="W173" s="444">
        <f ca="1">TODAY()-Table1[[#This Row],[Change Date]]</f>
        <v>114.5131944444438</v>
      </c>
      <c r="X173" s="422" t="str">
        <f t="shared" si="26"/>
        <v/>
      </c>
      <c r="Y173" s="476">
        <f ca="1">IF(Table1[[#This Row],[Next Stage Date]]&lt;&gt;"",Table1[[#This Row],[Next Stage Date]]-Table1[[#This Row],[Change Date]],TODAY()-Table1[[#This Row],[Change Date]])</f>
        <v>114.5131944444438</v>
      </c>
      <c r="Z173" s="476">
        <f t="shared" si="27"/>
        <v>1</v>
      </c>
      <c r="AA173" s="422">
        <f t="shared" si="28"/>
        <v>46143.486805555556</v>
      </c>
      <c r="AB173" s="422">
        <f t="shared" si="29"/>
        <v>46142.849305555559</v>
      </c>
      <c r="AC173" s="476">
        <f t="shared" si="30"/>
        <v>174.84930555555911</v>
      </c>
      <c r="AD173" s="476">
        <f t="shared" si="31"/>
        <v>0.63749999999708962</v>
      </c>
      <c r="AE173" s="476">
        <f t="shared" si="32"/>
        <v>175.4868055555562</v>
      </c>
      <c r="AF173" s="476" t="b">
        <f>IFERROR(_xlfn.XLOOKUP(Table1[[#This Row],[Opportunity ID]],'Aging Detail'!$H$14:$H$20,'Aging Detail'!$F$14:$F$20),TRUE)</f>
        <v>1</v>
      </c>
    </row>
    <row r="174" spans="1:32">
      <c r="A174" t="s">
        <v>1461</v>
      </c>
      <c r="B174" t="s">
        <v>338</v>
      </c>
      <c r="C174" t="s">
        <v>462</v>
      </c>
      <c r="D174" t="s">
        <v>1993</v>
      </c>
      <c r="E174" t="s">
        <v>1869</v>
      </c>
      <c r="I174" s="422">
        <v>46143</v>
      </c>
      <c r="J174" s="422">
        <v>46387</v>
      </c>
      <c r="K174">
        <v>34336.800000000003</v>
      </c>
      <c r="L174">
        <v>34336.800000000003</v>
      </c>
      <c r="M174" t="s">
        <v>1994</v>
      </c>
      <c r="N174" t="s">
        <v>1618</v>
      </c>
      <c r="O174" t="str">
        <f>_xlfn.IFNA(VLOOKUP(Table1[[#This Row],[Lead Source]],'helper tab'!A:B,2,FALSE),"Exclude")</f>
        <v>Exclude</v>
      </c>
      <c r="P174" s="422">
        <f t="shared" si="22"/>
        <v>46143.336111111108</v>
      </c>
      <c r="Q174">
        <f t="shared" si="23"/>
        <v>1</v>
      </c>
      <c r="R174">
        <f t="shared" si="24"/>
        <v>0</v>
      </c>
      <c r="S174">
        <f>IF(
AND($Q174=1,$M174&lt;&gt;""),
IF(
COUNTIFS(
$M$3:$M174,$M174,
$O$3:$O174,$O174,
$Q$3:$Q174,1,
$P$3:$P174,"&gt;="&amp;EOMONTH($P174,-1)+1,
$P$3:$P174,"&lt;"&amp;EOMONTH($P174,0)+1
)=1,
1,
0),
0)</f>
        <v>1</v>
      </c>
      <c r="T174">
        <f>IF(AND($R174=1,$M174&lt;&gt;""),IF(COUNTIFS($M$3:$M174,$M174,$O$3:$O174,$O174,$R$3:$R174,1,$P$3:$P174,"&gt;="&amp;EOMONTH($P174,-1)+1,$P$3:$P174,"&lt;"&amp;EOMONTH($P174,0)+1)=1,1,0),0)</f>
        <v>0</v>
      </c>
      <c r="U174">
        <f t="shared" si="25"/>
        <v>0</v>
      </c>
      <c r="V174">
        <f>IF(AND($U174=1,$M174&lt;&gt;""),IF(COUNTIFS($M$3:$M174,$M174,$O$3:$O174,$O174,$U$3:$U174,1,$P$3:$P174,"&gt;="&amp;EOMONTH($P174,-1)+1,$P$3:$P174,"&lt;"&amp;EOMONTH($P174,0)+1)=1,1,0),0)</f>
        <v>0</v>
      </c>
      <c r="W174" s="444">
        <f ca="1">TODAY()-Table1[[#This Row],[Change Date]]</f>
        <v>114.66388888889196</v>
      </c>
      <c r="X174" s="422" t="str">
        <f t="shared" si="26"/>
        <v/>
      </c>
      <c r="Y174" s="476">
        <f ca="1">IF(Table1[[#This Row],[Next Stage Date]]&lt;&gt;"",Table1[[#This Row],[Next Stage Date]]-Table1[[#This Row],[Change Date]],TODAY()-Table1[[#This Row],[Change Date]])</f>
        <v>114.66388888889196</v>
      </c>
      <c r="Z174" s="476">
        <f t="shared" si="27"/>
        <v>1</v>
      </c>
      <c r="AA174" s="422" t="str">
        <f t="shared" si="28"/>
        <v/>
      </c>
      <c r="AB174" s="422">
        <f t="shared" si="29"/>
        <v>46143.336111111108</v>
      </c>
      <c r="AC174" s="476">
        <f t="shared" si="30"/>
        <v>0.33611111110803904</v>
      </c>
      <c r="AD174" s="476" t="str">
        <f t="shared" si="31"/>
        <v/>
      </c>
      <c r="AE174" s="476" t="str">
        <f t="shared" si="32"/>
        <v/>
      </c>
      <c r="AF174" s="476" t="b">
        <f>IFERROR(_xlfn.XLOOKUP(Table1[[#This Row],[Opportunity ID]],'Aging Detail'!$H$14:$H$20,'Aging Detail'!$F$14:$F$20),TRUE)</f>
        <v>1</v>
      </c>
    </row>
    <row r="175" spans="1:32">
      <c r="A175" t="s">
        <v>1461</v>
      </c>
      <c r="B175" t="s">
        <v>462</v>
      </c>
      <c r="C175" t="s">
        <v>526</v>
      </c>
      <c r="D175" t="s">
        <v>1995</v>
      </c>
      <c r="E175" t="s">
        <v>1990</v>
      </c>
      <c r="F175" t="s">
        <v>1465</v>
      </c>
      <c r="I175" s="422">
        <v>45968</v>
      </c>
      <c r="J175" s="422">
        <v>46142</v>
      </c>
      <c r="K175">
        <v>0</v>
      </c>
      <c r="L175">
        <v>0</v>
      </c>
      <c r="M175" t="s">
        <v>1991</v>
      </c>
      <c r="N175" t="s">
        <v>1992</v>
      </c>
      <c r="O175" t="str">
        <f>_xlfn.IFNA(VLOOKUP(Table1[[#This Row],[Lead Source]],'helper tab'!A:B,2,FALSE),"Exclude")</f>
        <v>Exclude</v>
      </c>
      <c r="P175" s="422">
        <f t="shared" si="22"/>
        <v>46142.85</v>
      </c>
      <c r="Q175">
        <f t="shared" si="23"/>
        <v>1</v>
      </c>
      <c r="R175">
        <f t="shared" si="24"/>
        <v>0</v>
      </c>
      <c r="S175">
        <f>IF(
AND($Q175=1,$M175&lt;&gt;""),
IF(
COUNTIFS(
$M$3:$M175,$M175,
$O$3:$O175,$O175,
$Q$3:$Q175,1,
$P$3:$P175,"&gt;="&amp;EOMONTH($P175,-1)+1,
$P$3:$P175,"&lt;"&amp;EOMONTH($P175,0)+1
)=1,
1,
0),
0)</f>
        <v>1</v>
      </c>
      <c r="T175">
        <f>IF(AND($R175=1,$M175&lt;&gt;""),IF(COUNTIFS($M$3:$M175,$M175,$O$3:$O175,$O175,$R$3:$R175,1,$P$3:$P175,"&gt;="&amp;EOMONTH($P175,-1)+1,$P$3:$P175,"&lt;"&amp;EOMONTH($P175,0)+1)=1,1,0),0)</f>
        <v>0</v>
      </c>
      <c r="U175">
        <f t="shared" si="25"/>
        <v>0</v>
      </c>
      <c r="V175">
        <f>IF(AND($U175=1,$M175&lt;&gt;""),IF(COUNTIFS($M$3:$M175,$M175,$O$3:$O175,$O175,$U$3:$U175,1,$P$3:$P175,"&gt;="&amp;EOMONTH($P175,-1)+1,$P$3:$P175,"&lt;"&amp;EOMONTH($P175,0)+1)=1,1,0),0)</f>
        <v>0</v>
      </c>
      <c r="W175" s="444">
        <f ca="1">TODAY()-Table1[[#This Row],[Change Date]]</f>
        <v>115.15000000000146</v>
      </c>
      <c r="X175" s="422">
        <f t="shared" si="26"/>
        <v>46143.486805555556</v>
      </c>
      <c r="Y175" s="476">
        <f ca="1">IF(Table1[[#This Row],[Next Stage Date]]&lt;&gt;"",Table1[[#This Row],[Next Stage Date]]-Table1[[#This Row],[Change Date]],TODAY()-Table1[[#This Row],[Change Date]])</f>
        <v>0.6368055555576575</v>
      </c>
      <c r="Z175" s="476">
        <f t="shared" si="27"/>
        <v>0</v>
      </c>
      <c r="AA175" s="422">
        <f t="shared" si="28"/>
        <v>46143.486805555556</v>
      </c>
      <c r="AB175" s="422">
        <f t="shared" si="29"/>
        <v>46142.849305555559</v>
      </c>
      <c r="AC175" s="476">
        <f t="shared" si="30"/>
        <v>174.84930555555911</v>
      </c>
      <c r="AD175" s="476">
        <f t="shared" si="31"/>
        <v>0.63749999999708962</v>
      </c>
      <c r="AE175" s="476">
        <f t="shared" si="32"/>
        <v>175.4868055555562</v>
      </c>
      <c r="AF175" s="476" t="b">
        <f>IFERROR(_xlfn.XLOOKUP(Table1[[#This Row],[Opportunity ID]],'Aging Detail'!$H$14:$H$20,'Aging Detail'!$F$14:$F$20),TRUE)</f>
        <v>1</v>
      </c>
    </row>
    <row r="176" spans="1:32">
      <c r="A176" t="s">
        <v>1461</v>
      </c>
      <c r="B176" t="s">
        <v>1462</v>
      </c>
      <c r="C176" t="s">
        <v>462</v>
      </c>
      <c r="D176" t="s">
        <v>1996</v>
      </c>
      <c r="E176" t="s">
        <v>1990</v>
      </c>
      <c r="F176" t="s">
        <v>1465</v>
      </c>
      <c r="I176" s="422">
        <v>45968</v>
      </c>
      <c r="J176" s="422">
        <v>46142</v>
      </c>
      <c r="K176">
        <v>0</v>
      </c>
      <c r="L176">
        <v>0</v>
      </c>
      <c r="M176" t="s">
        <v>1991</v>
      </c>
      <c r="N176" t="s">
        <v>1992</v>
      </c>
      <c r="O176" t="str">
        <f>_xlfn.IFNA(VLOOKUP(Table1[[#This Row],[Lead Source]],'helper tab'!A:B,2,FALSE),"Exclude")</f>
        <v>Exclude</v>
      </c>
      <c r="P176" s="422">
        <f t="shared" si="22"/>
        <v>46142.849305555559</v>
      </c>
      <c r="Q176">
        <f t="shared" si="23"/>
        <v>1</v>
      </c>
      <c r="R176">
        <f t="shared" si="24"/>
        <v>0</v>
      </c>
      <c r="S176">
        <f>IF(
AND($Q176=1,$M176&lt;&gt;""),
IF(
COUNTIFS(
$M$3:$M176,$M176,
$O$3:$O176,$O176,
$Q$3:$Q176,1,
$P$3:$P176,"&gt;="&amp;EOMONTH($P176,-1)+1,
$P$3:$P176,"&lt;"&amp;EOMONTH($P176,0)+1
)=1,
1,
0),
0)</f>
        <v>0</v>
      </c>
      <c r="T176">
        <f>IF(AND($R176=1,$M176&lt;&gt;""),IF(COUNTIFS($M$3:$M176,$M176,$O$3:$O176,$O176,$R$3:$R176,1,$P$3:$P176,"&gt;="&amp;EOMONTH($P176,-1)+1,$P$3:$P176,"&lt;"&amp;EOMONTH($P176,0)+1)=1,1,0),0)</f>
        <v>0</v>
      </c>
      <c r="U176">
        <f t="shared" si="25"/>
        <v>0</v>
      </c>
      <c r="V176">
        <f>IF(AND($U176=1,$M176&lt;&gt;""),IF(COUNTIFS($M$3:$M176,$M176,$O$3:$O176,$O176,$U$3:$U176,1,$P$3:$P176,"&gt;="&amp;EOMONTH($P176,-1)+1,$P$3:$P176,"&lt;"&amp;EOMONTH($P176,0)+1)=1,1,0),0)</f>
        <v>0</v>
      </c>
      <c r="W176" s="444">
        <f ca="1">TODAY()-Table1[[#This Row],[Change Date]]</f>
        <v>115.15069444444089</v>
      </c>
      <c r="X176" s="422">
        <f t="shared" si="26"/>
        <v>46142.85</v>
      </c>
      <c r="Y176" s="476">
        <f ca="1">IF(Table1[[#This Row],[Next Stage Date]]&lt;&gt;"",Table1[[#This Row],[Next Stage Date]]-Table1[[#This Row],[Change Date]],TODAY()-Table1[[#This Row],[Change Date]])</f>
        <v>6.9444443943211809E-4</v>
      </c>
      <c r="Z176" s="476">
        <f t="shared" si="27"/>
        <v>0</v>
      </c>
      <c r="AA176" s="422">
        <f t="shared" si="28"/>
        <v>46143.486805555556</v>
      </c>
      <c r="AB176" s="422">
        <f t="shared" si="29"/>
        <v>46142.849305555559</v>
      </c>
      <c r="AC176" s="476">
        <f t="shared" si="30"/>
        <v>174.84930555555911</v>
      </c>
      <c r="AD176" s="476">
        <f t="shared" si="31"/>
        <v>0.63749999999708962</v>
      </c>
      <c r="AE176" s="476">
        <f t="shared" si="32"/>
        <v>175.4868055555562</v>
      </c>
      <c r="AF176" s="476" t="b">
        <f>IFERROR(_xlfn.XLOOKUP(Table1[[#This Row],[Opportunity ID]],'Aging Detail'!$H$14:$H$20,'Aging Detail'!$F$14:$F$20),TRUE)</f>
        <v>1</v>
      </c>
    </row>
    <row r="177" spans="1:32">
      <c r="A177" t="s">
        <v>1461</v>
      </c>
      <c r="B177" t="s">
        <v>408</v>
      </c>
      <c r="C177" t="s">
        <v>1469</v>
      </c>
      <c r="D177" t="s">
        <v>1997</v>
      </c>
      <c r="E177" t="s">
        <v>1998</v>
      </c>
      <c r="F177" t="s">
        <v>1468</v>
      </c>
      <c r="I177" s="422">
        <v>45387</v>
      </c>
      <c r="J177" s="422">
        <v>46356</v>
      </c>
      <c r="K177">
        <v>538000</v>
      </c>
      <c r="L177">
        <v>198000</v>
      </c>
      <c r="M177" t="s">
        <v>1999</v>
      </c>
      <c r="N177" t="s">
        <v>2000</v>
      </c>
      <c r="O177" t="str">
        <f>_xlfn.IFNA(VLOOKUP(Table1[[#This Row],[Lead Source]],'helper tab'!A:B,2,FALSE),"Exclude")</f>
        <v>Events</v>
      </c>
      <c r="P177" s="422">
        <f t="shared" si="22"/>
        <v>46142.661805555559</v>
      </c>
      <c r="Q177">
        <f t="shared" si="23"/>
        <v>0</v>
      </c>
      <c r="R177">
        <f t="shared" si="24"/>
        <v>0</v>
      </c>
      <c r="S177">
        <f>IF(
AND($Q177=1,$M177&lt;&gt;""),
IF(
COUNTIFS(
$M$3:$M177,$M177,
$O$3:$O177,$O177,
$Q$3:$Q177,1,
$P$3:$P177,"&gt;="&amp;EOMONTH($P177,-1)+1,
$P$3:$P177,"&lt;"&amp;EOMONTH($P177,0)+1
)=1,
1,
0),
0)</f>
        <v>0</v>
      </c>
      <c r="T177">
        <f>IF(AND($R177=1,$M177&lt;&gt;""),IF(COUNTIFS($M$3:$M177,$M177,$O$3:$O177,$O177,$R$3:$R177,1,$P$3:$P177,"&gt;="&amp;EOMONTH($P177,-1)+1,$P$3:$P177,"&lt;"&amp;EOMONTH($P177,0)+1)=1,1,0),0)</f>
        <v>0</v>
      </c>
      <c r="U177">
        <f t="shared" si="25"/>
        <v>1</v>
      </c>
      <c r="V177">
        <f>IF(AND($U177=1,$M177&lt;&gt;""),IF(COUNTIFS($M$3:$M177,$M177,$O$3:$O177,$O177,$U$3:$U177,1,$P$3:$P177,"&gt;="&amp;EOMONTH($P177,-1)+1,$P$3:$P177,"&lt;"&amp;EOMONTH($P177,0)+1)=1,1,0),0)</f>
        <v>1</v>
      </c>
      <c r="W177" s="444">
        <f ca="1">TODAY()-Table1[[#This Row],[Change Date]]</f>
        <v>115.33819444444089</v>
      </c>
      <c r="X177" s="422" t="str">
        <f t="shared" si="26"/>
        <v/>
      </c>
      <c r="Y177" s="476">
        <f ca="1">IF(Table1[[#This Row],[Next Stage Date]]&lt;&gt;"",Table1[[#This Row],[Next Stage Date]]-Table1[[#This Row],[Change Date]],TODAY()-Table1[[#This Row],[Change Date]])</f>
        <v>115.33819444444089</v>
      </c>
      <c r="Z177" s="476">
        <f t="shared" si="27"/>
        <v>1</v>
      </c>
      <c r="AA177" s="422" t="str">
        <f t="shared" si="28"/>
        <v/>
      </c>
      <c r="AB177" s="422" t="str">
        <f t="shared" si="29"/>
        <v/>
      </c>
      <c r="AC177" s="476" t="str">
        <f t="shared" si="30"/>
        <v/>
      </c>
      <c r="AD177" s="476" t="str">
        <f t="shared" si="31"/>
        <v/>
      </c>
      <c r="AE177" s="476" t="str">
        <f t="shared" si="32"/>
        <v/>
      </c>
      <c r="AF177" s="476" t="b">
        <f>IFERROR(_xlfn.XLOOKUP(Table1[[#This Row],[Opportunity ID]],'Aging Detail'!$H$14:$H$20,'Aging Detail'!$F$14:$F$20),TRUE)</f>
        <v>1</v>
      </c>
    </row>
    <row r="178" spans="1:32">
      <c r="A178" t="s">
        <v>1461</v>
      </c>
      <c r="B178" t="s">
        <v>1462</v>
      </c>
      <c r="C178" t="s">
        <v>1469</v>
      </c>
      <c r="D178" t="s">
        <v>2001</v>
      </c>
      <c r="E178" t="s">
        <v>2002</v>
      </c>
      <c r="F178" t="s">
        <v>1463</v>
      </c>
      <c r="I178" s="422">
        <v>44935</v>
      </c>
      <c r="J178" s="422">
        <v>46311</v>
      </c>
      <c r="K178">
        <v>338000</v>
      </c>
      <c r="L178">
        <v>198000</v>
      </c>
      <c r="M178" t="s">
        <v>2003</v>
      </c>
      <c r="N178" t="s">
        <v>2004</v>
      </c>
      <c r="O178" t="str">
        <f>_xlfn.IFNA(VLOOKUP(Table1[[#This Row],[Lead Source]],'helper tab'!A:B,2,FALSE),"Exclude")</f>
        <v>Cold</v>
      </c>
      <c r="P178" s="422">
        <f t="shared" si="22"/>
        <v>46142.628472222219</v>
      </c>
      <c r="Q178">
        <f t="shared" si="23"/>
        <v>0</v>
      </c>
      <c r="R178">
        <f t="shared" si="24"/>
        <v>0</v>
      </c>
      <c r="S178">
        <f>IF(
AND($Q178=1,$M178&lt;&gt;""),
IF(
COUNTIFS(
$M$3:$M178,$M178,
$O$3:$O178,$O178,
$Q$3:$Q178,1,
$P$3:$P178,"&gt;="&amp;EOMONTH($P178,-1)+1,
$P$3:$P178,"&lt;"&amp;EOMONTH($P178,0)+1
)=1,
1,
0),
0)</f>
        <v>0</v>
      </c>
      <c r="T178">
        <f>IF(AND($R178=1,$M178&lt;&gt;""),IF(COUNTIFS($M$3:$M178,$M178,$O$3:$O178,$O178,$R$3:$R178,1,$P$3:$P178,"&gt;="&amp;EOMONTH($P178,-1)+1,$P$3:$P178,"&lt;"&amp;EOMONTH($P178,0)+1)=1,1,0),0)</f>
        <v>0</v>
      </c>
      <c r="U178">
        <f t="shared" si="25"/>
        <v>1</v>
      </c>
      <c r="V178">
        <f>IF(AND($U178=1,$M178&lt;&gt;""),IF(COUNTIFS($M$3:$M178,$M178,$O$3:$O178,$O178,$U$3:$U178,1,$P$3:$P178,"&gt;="&amp;EOMONTH($P178,-1)+1,$P$3:$P178,"&lt;"&amp;EOMONTH($P178,0)+1)=1,1,0),0)</f>
        <v>1</v>
      </c>
      <c r="W178" s="444">
        <f ca="1">TODAY()-Table1[[#This Row],[Change Date]]</f>
        <v>115.37152777778101</v>
      </c>
      <c r="X178" s="422" t="str">
        <f t="shared" si="26"/>
        <v/>
      </c>
      <c r="Y178" s="476">
        <f ca="1">IF(Table1[[#This Row],[Next Stage Date]]&lt;&gt;"",Table1[[#This Row],[Next Stage Date]]-Table1[[#This Row],[Change Date]],TODAY()-Table1[[#This Row],[Change Date]])</f>
        <v>115.37152777778101</v>
      </c>
      <c r="Z178" s="476">
        <f t="shared" si="27"/>
        <v>1</v>
      </c>
      <c r="AA178" s="422" t="str">
        <f t="shared" si="28"/>
        <v/>
      </c>
      <c r="AB178" s="422" t="str">
        <f t="shared" si="29"/>
        <v/>
      </c>
      <c r="AC178" s="476" t="str">
        <f t="shared" si="30"/>
        <v/>
      </c>
      <c r="AD178" s="476" t="str">
        <f t="shared" si="31"/>
        <v/>
      </c>
      <c r="AE178" s="476" t="str">
        <f t="shared" si="32"/>
        <v/>
      </c>
      <c r="AF178" s="476" t="b">
        <f>IFERROR(_xlfn.XLOOKUP(Table1[[#This Row],[Opportunity ID]],'Aging Detail'!$H$14:$H$20,'Aging Detail'!$F$14:$F$20),TRUE)</f>
        <v>1</v>
      </c>
    </row>
    <row r="179" spans="1:32">
      <c r="A179" t="s">
        <v>1461</v>
      </c>
      <c r="B179" t="s">
        <v>408</v>
      </c>
      <c r="C179" t="s">
        <v>1462</v>
      </c>
      <c r="D179" t="s">
        <v>2005</v>
      </c>
      <c r="E179" t="s">
        <v>1817</v>
      </c>
      <c r="F179" t="s">
        <v>148</v>
      </c>
      <c r="H179" t="s">
        <v>169</v>
      </c>
      <c r="I179" s="422">
        <v>46031</v>
      </c>
      <c r="J179" s="422">
        <v>46198</v>
      </c>
      <c r="K179">
        <v>24000</v>
      </c>
      <c r="L179">
        <v>24000</v>
      </c>
      <c r="M179" t="s">
        <v>1818</v>
      </c>
      <c r="N179" t="s">
        <v>1667</v>
      </c>
      <c r="O179" t="str">
        <f>_xlfn.IFNA(VLOOKUP(Table1[[#This Row],[Lead Source]],'helper tab'!A:B,2,FALSE),"Exclude")</f>
        <v>Alliances</v>
      </c>
      <c r="P179" s="422">
        <f t="shared" si="22"/>
        <v>46142.578472222223</v>
      </c>
      <c r="Q179">
        <f t="shared" si="23"/>
        <v>0</v>
      </c>
      <c r="R179">
        <f t="shared" si="24"/>
        <v>0</v>
      </c>
      <c r="S179">
        <f>IF(
AND($Q179=1,$M179&lt;&gt;""),
IF(
COUNTIFS(
$M$3:$M179,$M179,
$O$3:$O179,$O179,
$Q$3:$Q179,1,
$P$3:$P179,"&gt;="&amp;EOMONTH($P179,-1)+1,
$P$3:$P179,"&lt;"&amp;EOMONTH($P179,0)+1
)=1,
1,
0),
0)</f>
        <v>0</v>
      </c>
      <c r="T179">
        <f>IF(AND($R179=1,$M179&lt;&gt;""),IF(COUNTIFS($M$3:$M179,$M179,$O$3:$O179,$O179,$R$3:$R179,1,$P$3:$P179,"&gt;="&amp;EOMONTH($P179,-1)+1,$P$3:$P179,"&lt;"&amp;EOMONTH($P179,0)+1)=1,1,0),0)</f>
        <v>0</v>
      </c>
      <c r="U179">
        <f t="shared" si="25"/>
        <v>0</v>
      </c>
      <c r="V179">
        <f>IF(AND($U179=1,$M179&lt;&gt;""),IF(COUNTIFS($M$3:$M179,$M179,$O$3:$O179,$O179,$U$3:$U179,1,$P$3:$P179,"&gt;="&amp;EOMONTH($P179,-1)+1,$P$3:$P179,"&lt;"&amp;EOMONTH($P179,0)+1)=1,1,0),0)</f>
        <v>0</v>
      </c>
      <c r="W179" s="444">
        <f ca="1">TODAY()-Table1[[#This Row],[Change Date]]</f>
        <v>115.42152777777665</v>
      </c>
      <c r="X179" s="422">
        <f t="shared" si="26"/>
        <v>46198.368750000001</v>
      </c>
      <c r="Y179" s="476">
        <f ca="1">IF(Table1[[#This Row],[Next Stage Date]]&lt;&gt;"",Table1[[#This Row],[Next Stage Date]]-Table1[[#This Row],[Change Date]],TODAY()-Table1[[#This Row],[Change Date]])</f>
        <v>55.790277777778101</v>
      </c>
      <c r="Z179" s="476">
        <f t="shared" si="27"/>
        <v>0</v>
      </c>
      <c r="AA179" s="422">
        <f t="shared" si="28"/>
        <v>46198.369444444441</v>
      </c>
      <c r="AB179" s="422">
        <f t="shared" si="29"/>
        <v>46198.368750000001</v>
      </c>
      <c r="AC179" s="476">
        <f t="shared" si="30"/>
        <v>167.36875000000146</v>
      </c>
      <c r="AD179" s="476">
        <f t="shared" si="31"/>
        <v>6.9444443943211809E-4</v>
      </c>
      <c r="AE179" s="476">
        <f t="shared" si="32"/>
        <v>167.36944444444089</v>
      </c>
      <c r="AF179" s="476" t="b">
        <f>IFERROR(_xlfn.XLOOKUP(Table1[[#This Row],[Opportunity ID]],'Aging Detail'!$H$14:$H$20,'Aging Detail'!$F$14:$F$20),TRUE)</f>
        <v>1</v>
      </c>
    </row>
    <row r="180" spans="1:32">
      <c r="A180" t="s">
        <v>1461</v>
      </c>
      <c r="B180" t="s">
        <v>408</v>
      </c>
      <c r="C180" t="s">
        <v>1462</v>
      </c>
      <c r="D180" t="s">
        <v>2006</v>
      </c>
      <c r="E180" t="s">
        <v>2007</v>
      </c>
      <c r="F180" t="s">
        <v>148</v>
      </c>
      <c r="H180" t="s">
        <v>1841</v>
      </c>
      <c r="I180" s="422">
        <v>46078</v>
      </c>
      <c r="J180" s="422">
        <v>46451</v>
      </c>
      <c r="K180">
        <v>1010000</v>
      </c>
      <c r="L180">
        <v>840000</v>
      </c>
      <c r="M180" t="s">
        <v>2008</v>
      </c>
      <c r="N180" t="s">
        <v>2009</v>
      </c>
      <c r="O180" t="str">
        <f>_xlfn.IFNA(VLOOKUP(Table1[[#This Row],[Lead Source]],'helper tab'!A:B,2,FALSE),"Exclude")</f>
        <v>Alliances</v>
      </c>
      <c r="P180" s="422">
        <f t="shared" si="22"/>
        <v>46139.593055555553</v>
      </c>
      <c r="Q180">
        <f t="shared" si="23"/>
        <v>0</v>
      </c>
      <c r="R180">
        <f t="shared" si="24"/>
        <v>0</v>
      </c>
      <c r="S180">
        <f>IF(
AND($Q180=1,$M180&lt;&gt;""),
IF(
COUNTIFS(
$M$3:$M180,$M180,
$O$3:$O180,$O180,
$Q$3:$Q180,1,
$P$3:$P180,"&gt;="&amp;EOMONTH($P180,-1)+1,
$P$3:$P180,"&lt;"&amp;EOMONTH($P180,0)+1
)=1,
1,
0),
0)</f>
        <v>0</v>
      </c>
      <c r="T180">
        <f>IF(AND($R180=1,$M180&lt;&gt;""),IF(COUNTIFS($M$3:$M180,$M180,$O$3:$O180,$O180,$R$3:$R180,1,$P$3:$P180,"&gt;="&amp;EOMONTH($P180,-1)+1,$P$3:$P180,"&lt;"&amp;EOMONTH($P180,0)+1)=1,1,0),0)</f>
        <v>0</v>
      </c>
      <c r="U180">
        <f t="shared" si="25"/>
        <v>0</v>
      </c>
      <c r="V180">
        <f>IF(AND($U180=1,$M180&lt;&gt;""),IF(COUNTIFS($M$3:$M180,$M180,$O$3:$O180,$O180,$U$3:$U180,1,$P$3:$P180,"&gt;="&amp;EOMONTH($P180,-1)+1,$P$3:$P180,"&lt;"&amp;EOMONTH($P180,0)+1)=1,1,0),0)</f>
        <v>0</v>
      </c>
      <c r="W180" s="444">
        <f ca="1">TODAY()-Table1[[#This Row],[Change Date]]</f>
        <v>118.40694444444671</v>
      </c>
      <c r="X180" s="422" t="str">
        <f t="shared" si="26"/>
        <v/>
      </c>
      <c r="Y180" s="476">
        <f ca="1">IF(Table1[[#This Row],[Next Stage Date]]&lt;&gt;"",Table1[[#This Row],[Next Stage Date]]-Table1[[#This Row],[Change Date]],TODAY()-Table1[[#This Row],[Change Date]])</f>
        <v>118.40694444444671</v>
      </c>
      <c r="Z180" s="476">
        <f t="shared" si="27"/>
        <v>1</v>
      </c>
      <c r="AA180" s="422" t="str">
        <f t="shared" si="28"/>
        <v/>
      </c>
      <c r="AB180" s="422" t="str">
        <f t="shared" si="29"/>
        <v/>
      </c>
      <c r="AC180" s="476" t="str">
        <f t="shared" si="30"/>
        <v/>
      </c>
      <c r="AD180" s="476" t="str">
        <f t="shared" si="31"/>
        <v/>
      </c>
      <c r="AE180" s="476" t="str">
        <f t="shared" si="32"/>
        <v/>
      </c>
      <c r="AF180" s="476" t="b">
        <f>IFERROR(_xlfn.XLOOKUP(Table1[[#This Row],[Opportunity ID]],'Aging Detail'!$H$14:$H$20,'Aging Detail'!$F$14:$F$20),TRUE)</f>
        <v>1</v>
      </c>
    </row>
    <row r="181" spans="1:32">
      <c r="A181" t="s">
        <v>1461</v>
      </c>
      <c r="B181" t="s">
        <v>408</v>
      </c>
      <c r="C181" t="s">
        <v>462</v>
      </c>
      <c r="D181" t="s">
        <v>2010</v>
      </c>
      <c r="E181" t="s">
        <v>1940</v>
      </c>
      <c r="I181" s="422">
        <v>46134</v>
      </c>
      <c r="J181" s="422">
        <v>46163</v>
      </c>
      <c r="K181">
        <v>36312.5</v>
      </c>
      <c r="L181">
        <v>31125</v>
      </c>
      <c r="M181" t="s">
        <v>1941</v>
      </c>
      <c r="N181" t="s">
        <v>1812</v>
      </c>
      <c r="O181" t="str">
        <f>_xlfn.IFNA(VLOOKUP(Table1[[#This Row],[Lead Source]],'helper tab'!A:B,2,FALSE),"Exclude")</f>
        <v>Exclude</v>
      </c>
      <c r="P181" s="422">
        <f t="shared" si="22"/>
        <v>46135.537499999999</v>
      </c>
      <c r="Q181">
        <f t="shared" si="23"/>
        <v>1</v>
      </c>
      <c r="R181">
        <f t="shared" si="24"/>
        <v>0</v>
      </c>
      <c r="S181">
        <f>IF(
AND($Q181=1,$M181&lt;&gt;""),
IF(
COUNTIFS(
$M$3:$M181,$M181,
$O$3:$O181,$O181,
$Q$3:$Q181,1,
$P$3:$P181,"&gt;="&amp;EOMONTH($P181,-1)+1,
$P$3:$P181,"&lt;"&amp;EOMONTH($P181,0)+1
)=1,
1,
0),
0)</f>
        <v>1</v>
      </c>
      <c r="T181">
        <f>IF(AND($R181=1,$M181&lt;&gt;""),IF(COUNTIFS($M$3:$M181,$M181,$O$3:$O181,$O181,$R$3:$R181,1,$P$3:$P181,"&gt;="&amp;EOMONTH($P181,-1)+1,$P$3:$P181,"&lt;"&amp;EOMONTH($P181,0)+1)=1,1,0),0)</f>
        <v>0</v>
      </c>
      <c r="U181">
        <f t="shared" si="25"/>
        <v>0</v>
      </c>
      <c r="V181">
        <f>IF(AND($U181=1,$M181&lt;&gt;""),IF(COUNTIFS($M$3:$M181,$M181,$O$3:$O181,$O181,$U$3:$U181,1,$P$3:$P181,"&gt;="&amp;EOMONTH($P181,-1)+1,$P$3:$P181,"&lt;"&amp;EOMONTH($P181,0)+1)=1,1,0),0)</f>
        <v>0</v>
      </c>
      <c r="W181" s="444">
        <f ca="1">TODAY()-Table1[[#This Row],[Change Date]]</f>
        <v>122.46250000000146</v>
      </c>
      <c r="X181" s="422">
        <f t="shared" si="26"/>
        <v>46162.518750000003</v>
      </c>
      <c r="Y181" s="476">
        <f ca="1">IF(Table1[[#This Row],[Next Stage Date]]&lt;&gt;"",Table1[[#This Row],[Next Stage Date]]-Table1[[#This Row],[Change Date]],TODAY()-Table1[[#This Row],[Change Date]])</f>
        <v>26.981250000004366</v>
      </c>
      <c r="Z181" s="476">
        <f t="shared" si="27"/>
        <v>0</v>
      </c>
      <c r="AA181" s="422">
        <f t="shared" si="28"/>
        <v>46163.614583333336</v>
      </c>
      <c r="AB181" s="422">
        <f t="shared" si="29"/>
        <v>46135.537499999999</v>
      </c>
      <c r="AC181" s="476">
        <f t="shared" si="30"/>
        <v>1.5374999999985448</v>
      </c>
      <c r="AD181" s="476">
        <f t="shared" si="31"/>
        <v>28.077083333337214</v>
      </c>
      <c r="AE181" s="476">
        <f t="shared" si="32"/>
        <v>29.614583333335759</v>
      </c>
      <c r="AF181" s="476" t="b">
        <f>IFERROR(_xlfn.XLOOKUP(Table1[[#This Row],[Opportunity ID]],'Aging Detail'!$H$14:$H$20,'Aging Detail'!$F$14:$F$20),TRUE)</f>
        <v>1</v>
      </c>
    </row>
    <row r="182" spans="1:32">
      <c r="A182" t="s">
        <v>1461</v>
      </c>
      <c r="B182" t="s">
        <v>408</v>
      </c>
      <c r="C182" t="s">
        <v>1469</v>
      </c>
      <c r="D182" t="s">
        <v>2011</v>
      </c>
      <c r="E182" t="s">
        <v>2012</v>
      </c>
      <c r="F182" t="s">
        <v>1632</v>
      </c>
      <c r="I182" s="422">
        <v>46090</v>
      </c>
      <c r="J182" s="422">
        <v>46112</v>
      </c>
      <c r="L182">
        <v>0</v>
      </c>
      <c r="M182" t="s">
        <v>2013</v>
      </c>
      <c r="N182" t="s">
        <v>1634</v>
      </c>
      <c r="O182" t="str">
        <f>_xlfn.IFNA(VLOOKUP(Table1[[#This Row],[Lead Source]],'helper tab'!A:B,2,FALSE),"Exclude")</f>
        <v>Exclude</v>
      </c>
      <c r="P182" s="422">
        <f t="shared" si="22"/>
        <v>46133.579861111109</v>
      </c>
      <c r="Q182">
        <f t="shared" si="23"/>
        <v>0</v>
      </c>
      <c r="R182">
        <f t="shared" si="24"/>
        <v>0</v>
      </c>
      <c r="S182">
        <f>IF(
AND($Q182=1,$M182&lt;&gt;""),
IF(
COUNTIFS(
$M$3:$M182,$M182,
$O$3:$O182,$O182,
$Q$3:$Q182,1,
$P$3:$P182,"&gt;="&amp;EOMONTH($P182,-1)+1,
$P$3:$P182,"&lt;"&amp;EOMONTH($P182,0)+1
)=1,
1,
0),
0)</f>
        <v>0</v>
      </c>
      <c r="T182">
        <f>IF(AND($R182=1,$M182&lt;&gt;""),IF(COUNTIFS($M$3:$M182,$M182,$O$3:$O182,$O182,$R$3:$R182,1,$P$3:$P182,"&gt;="&amp;EOMONTH($P182,-1)+1,$P$3:$P182,"&lt;"&amp;EOMONTH($P182,0)+1)=1,1,0),0)</f>
        <v>0</v>
      </c>
      <c r="U182">
        <f t="shared" si="25"/>
        <v>1</v>
      </c>
      <c r="V182">
        <f>IF(AND($U182=1,$M182&lt;&gt;""),IF(COUNTIFS($M$3:$M182,$M182,$O$3:$O182,$O182,$U$3:$U182,1,$P$3:$P182,"&gt;="&amp;EOMONTH($P182,-1)+1,$P$3:$P182,"&lt;"&amp;EOMONTH($P182,0)+1)=1,1,0),0)</f>
        <v>1</v>
      </c>
      <c r="W182" s="444">
        <f ca="1">TODAY()-Table1[[#This Row],[Change Date]]</f>
        <v>124.42013888889051</v>
      </c>
      <c r="X182" s="422" t="str">
        <f t="shared" si="26"/>
        <v/>
      </c>
      <c r="Y182" s="476">
        <f ca="1">IF(Table1[[#This Row],[Next Stage Date]]&lt;&gt;"",Table1[[#This Row],[Next Stage Date]]-Table1[[#This Row],[Change Date]],TODAY()-Table1[[#This Row],[Change Date]])</f>
        <v>124.42013888889051</v>
      </c>
      <c r="Z182" s="476">
        <f t="shared" si="27"/>
        <v>1</v>
      </c>
      <c r="AA182" s="422" t="str">
        <f t="shared" si="28"/>
        <v/>
      </c>
      <c r="AB182" s="422" t="str">
        <f t="shared" si="29"/>
        <v/>
      </c>
      <c r="AC182" s="476" t="str">
        <f t="shared" si="30"/>
        <v/>
      </c>
      <c r="AD182" s="476" t="str">
        <f t="shared" si="31"/>
        <v/>
      </c>
      <c r="AE182" s="476" t="str">
        <f t="shared" si="32"/>
        <v/>
      </c>
      <c r="AF182" s="476" t="b">
        <f>IFERROR(_xlfn.XLOOKUP(Table1[[#This Row],[Opportunity ID]],'Aging Detail'!$H$14:$H$20,'Aging Detail'!$F$14:$F$20),TRUE)</f>
        <v>1</v>
      </c>
    </row>
    <row r="183" spans="1:32">
      <c r="A183" t="s">
        <v>1461</v>
      </c>
      <c r="B183" t="s">
        <v>408</v>
      </c>
      <c r="C183" t="s">
        <v>1462</v>
      </c>
      <c r="D183" t="s">
        <v>2014</v>
      </c>
      <c r="E183" t="s">
        <v>2015</v>
      </c>
      <c r="F183" t="s">
        <v>1463</v>
      </c>
      <c r="H183" t="s">
        <v>1841</v>
      </c>
      <c r="I183" s="422">
        <v>45888</v>
      </c>
      <c r="J183" s="422">
        <v>46965</v>
      </c>
      <c r="K183">
        <v>511400</v>
      </c>
      <c r="L183">
        <v>0</v>
      </c>
      <c r="M183" t="s">
        <v>2016</v>
      </c>
      <c r="N183" t="s">
        <v>2017</v>
      </c>
      <c r="O183" t="str">
        <f>_xlfn.IFNA(VLOOKUP(Table1[[#This Row],[Lead Source]],'helper tab'!A:B,2,FALSE),"Exclude")</f>
        <v>Cold</v>
      </c>
      <c r="P183" s="422">
        <f t="shared" si="22"/>
        <v>46132.429861111108</v>
      </c>
      <c r="Q183">
        <f t="shared" si="23"/>
        <v>0</v>
      </c>
      <c r="R183">
        <f t="shared" si="24"/>
        <v>0</v>
      </c>
      <c r="S183">
        <f>IF(
AND($Q183=1,$M183&lt;&gt;""),
IF(
COUNTIFS(
$M$3:$M183,$M183,
$O$3:$O183,$O183,
$Q$3:$Q183,1,
$P$3:$P183,"&gt;="&amp;EOMONTH($P183,-1)+1,
$P$3:$P183,"&lt;"&amp;EOMONTH($P183,0)+1
)=1,
1,
0),
0)</f>
        <v>0</v>
      </c>
      <c r="T183">
        <f>IF(AND($R183=1,$M183&lt;&gt;""),IF(COUNTIFS($M$3:$M183,$M183,$O$3:$O183,$O183,$R$3:$R183,1,$P$3:$P183,"&gt;="&amp;EOMONTH($P183,-1)+1,$P$3:$P183,"&lt;"&amp;EOMONTH($P183,0)+1)=1,1,0),0)</f>
        <v>0</v>
      </c>
      <c r="U183">
        <f t="shared" si="25"/>
        <v>0</v>
      </c>
      <c r="V183">
        <f>IF(AND($U183=1,$M183&lt;&gt;""),IF(COUNTIFS($M$3:$M183,$M183,$O$3:$O183,$O183,$U$3:$U183,1,$P$3:$P183,"&gt;="&amp;EOMONTH($P183,-1)+1,$P$3:$P183,"&lt;"&amp;EOMONTH($P183,0)+1)=1,1,0),0)</f>
        <v>0</v>
      </c>
      <c r="W183" s="444">
        <f ca="1">TODAY()-Table1[[#This Row],[Change Date]]</f>
        <v>125.57013888889196</v>
      </c>
      <c r="X183" s="422" t="str">
        <f t="shared" si="26"/>
        <v/>
      </c>
      <c r="Y183" s="476">
        <f ca="1">IF(Table1[[#This Row],[Next Stage Date]]&lt;&gt;"",Table1[[#This Row],[Next Stage Date]]-Table1[[#This Row],[Change Date]],TODAY()-Table1[[#This Row],[Change Date]])</f>
        <v>125.57013888889196</v>
      </c>
      <c r="Z183" s="476">
        <f t="shared" si="27"/>
        <v>1</v>
      </c>
      <c r="AA183" s="422" t="str">
        <f t="shared" si="28"/>
        <v/>
      </c>
      <c r="AB183" s="422" t="str">
        <f t="shared" si="29"/>
        <v/>
      </c>
      <c r="AC183" s="476" t="str">
        <f t="shared" si="30"/>
        <v/>
      </c>
      <c r="AD183" s="476" t="str">
        <f t="shared" si="31"/>
        <v/>
      </c>
      <c r="AE183" s="476" t="str">
        <f t="shared" si="32"/>
        <v/>
      </c>
      <c r="AF183" s="476" t="b">
        <f>IFERROR(_xlfn.XLOOKUP(Table1[[#This Row],[Opportunity ID]],'Aging Detail'!$H$14:$H$20,'Aging Detail'!$F$14:$F$20),TRUE)</f>
        <v>1</v>
      </c>
    </row>
    <row r="184" spans="1:32">
      <c r="A184" t="s">
        <v>1461</v>
      </c>
      <c r="B184" t="s">
        <v>408</v>
      </c>
      <c r="C184" t="s">
        <v>1462</v>
      </c>
      <c r="D184" t="s">
        <v>2018</v>
      </c>
      <c r="E184" t="s">
        <v>2019</v>
      </c>
      <c r="F184" t="s">
        <v>1465</v>
      </c>
      <c r="I184" s="422">
        <v>46132</v>
      </c>
      <c r="J184" s="422">
        <v>46262</v>
      </c>
      <c r="L184">
        <v>0</v>
      </c>
      <c r="M184" t="s">
        <v>2020</v>
      </c>
      <c r="N184" t="s">
        <v>2021</v>
      </c>
      <c r="O184" t="str">
        <f>_xlfn.IFNA(VLOOKUP(Table1[[#This Row],[Lead Source]],'helper tab'!A:B,2,FALSE),"Exclude")</f>
        <v>Exclude</v>
      </c>
      <c r="P184" s="422">
        <f t="shared" si="22"/>
        <v>46132.229166666664</v>
      </c>
      <c r="Q184">
        <f t="shared" si="23"/>
        <v>0</v>
      </c>
      <c r="R184">
        <f t="shared" si="24"/>
        <v>0</v>
      </c>
      <c r="S184">
        <f>IF(
AND($Q184=1,$M184&lt;&gt;""),
IF(
COUNTIFS(
$M$3:$M184,$M184,
$O$3:$O184,$O184,
$Q$3:$Q184,1,
$P$3:$P184,"&gt;="&amp;EOMONTH($P184,-1)+1,
$P$3:$P184,"&lt;"&amp;EOMONTH($P184,0)+1
)=1,
1,
0),
0)</f>
        <v>0</v>
      </c>
      <c r="T184">
        <f>IF(AND($R184=1,$M184&lt;&gt;""),IF(COUNTIFS($M$3:$M184,$M184,$O$3:$O184,$O184,$R$3:$R184,1,$P$3:$P184,"&gt;="&amp;EOMONTH($P184,-1)+1,$P$3:$P184,"&lt;"&amp;EOMONTH($P184,0)+1)=1,1,0),0)</f>
        <v>0</v>
      </c>
      <c r="U184">
        <f t="shared" si="25"/>
        <v>0</v>
      </c>
      <c r="V184">
        <f>IF(AND($U184=1,$M184&lt;&gt;""),IF(COUNTIFS($M$3:$M184,$M184,$O$3:$O184,$O184,$U$3:$U184,1,$P$3:$P184,"&gt;="&amp;EOMONTH($P184,-1)+1,$P$3:$P184,"&lt;"&amp;EOMONTH($P184,0)+1)=1,1,0),0)</f>
        <v>0</v>
      </c>
      <c r="W184" s="444">
        <f ca="1">TODAY()-Table1[[#This Row],[Change Date]]</f>
        <v>125.77083333333576</v>
      </c>
      <c r="X184" s="422" t="str">
        <f t="shared" si="26"/>
        <v/>
      </c>
      <c r="Y184" s="476">
        <f ca="1">IF(Table1[[#This Row],[Next Stage Date]]&lt;&gt;"",Table1[[#This Row],[Next Stage Date]]-Table1[[#This Row],[Change Date]],TODAY()-Table1[[#This Row],[Change Date]])</f>
        <v>125.77083333333576</v>
      </c>
      <c r="Z184" s="476">
        <f t="shared" si="27"/>
        <v>1</v>
      </c>
      <c r="AA184" s="422" t="str">
        <f t="shared" si="28"/>
        <v/>
      </c>
      <c r="AB184" s="422" t="str">
        <f t="shared" si="29"/>
        <v/>
      </c>
      <c r="AC184" s="476" t="str">
        <f t="shared" si="30"/>
        <v/>
      </c>
      <c r="AD184" s="476" t="str">
        <f t="shared" si="31"/>
        <v/>
      </c>
      <c r="AE184" s="476" t="str">
        <f t="shared" si="32"/>
        <v/>
      </c>
      <c r="AF184" s="476" t="b">
        <f>IFERROR(_xlfn.XLOOKUP(Table1[[#This Row],[Opportunity ID]],'Aging Detail'!$H$14:$H$20,'Aging Detail'!$F$14:$F$20),TRUE)</f>
        <v>1</v>
      </c>
    </row>
    <row r="185" spans="1:32">
      <c r="A185" t="s">
        <v>1461</v>
      </c>
      <c r="B185" t="s">
        <v>408</v>
      </c>
      <c r="C185" t="s">
        <v>1469</v>
      </c>
      <c r="D185" t="s">
        <v>2022</v>
      </c>
      <c r="E185" t="s">
        <v>2023</v>
      </c>
      <c r="F185" t="s">
        <v>1632</v>
      </c>
      <c r="I185" s="422">
        <v>46128</v>
      </c>
      <c r="J185" s="422">
        <v>46171</v>
      </c>
      <c r="L185">
        <v>0</v>
      </c>
      <c r="M185" t="s">
        <v>2024</v>
      </c>
      <c r="N185" t="s">
        <v>1634</v>
      </c>
      <c r="O185" t="str">
        <f>_xlfn.IFNA(VLOOKUP(Table1[[#This Row],[Lead Source]],'helper tab'!A:B,2,FALSE),"Exclude")</f>
        <v>Exclude</v>
      </c>
      <c r="P185" s="422">
        <f t="shared" si="22"/>
        <v>46129.347916666666</v>
      </c>
      <c r="Q185">
        <f t="shared" si="23"/>
        <v>0</v>
      </c>
      <c r="R185">
        <f t="shared" si="24"/>
        <v>0</v>
      </c>
      <c r="S185">
        <f>IF(
AND($Q185=1,$M185&lt;&gt;""),
IF(
COUNTIFS(
$M$3:$M185,$M185,
$O$3:$O185,$O185,
$Q$3:$Q185,1,
$P$3:$P185,"&gt;="&amp;EOMONTH($P185,-1)+1,
$P$3:$P185,"&lt;"&amp;EOMONTH($P185,0)+1
)=1,
1,
0),
0)</f>
        <v>0</v>
      </c>
      <c r="T185">
        <f>IF(AND($R185=1,$M185&lt;&gt;""),IF(COUNTIFS($M$3:$M185,$M185,$O$3:$O185,$O185,$R$3:$R185,1,$P$3:$P185,"&gt;="&amp;EOMONTH($P185,-1)+1,$P$3:$P185,"&lt;"&amp;EOMONTH($P185,0)+1)=1,1,0),0)</f>
        <v>0</v>
      </c>
      <c r="U185">
        <f t="shared" si="25"/>
        <v>1</v>
      </c>
      <c r="V185">
        <f>IF(AND($U185=1,$M185&lt;&gt;""),IF(COUNTIFS($M$3:$M185,$M185,$O$3:$O185,$O185,$U$3:$U185,1,$P$3:$P185,"&gt;="&amp;EOMONTH($P185,-1)+1,$P$3:$P185,"&lt;"&amp;EOMONTH($P185,0)+1)=1,1,0),0)</f>
        <v>1</v>
      </c>
      <c r="W185" s="444">
        <f ca="1">TODAY()-Table1[[#This Row],[Change Date]]</f>
        <v>128.6520833333343</v>
      </c>
      <c r="X185" s="422" t="str">
        <f t="shared" si="26"/>
        <v/>
      </c>
      <c r="Y185" s="476">
        <f ca="1">IF(Table1[[#This Row],[Next Stage Date]]&lt;&gt;"",Table1[[#This Row],[Next Stage Date]]-Table1[[#This Row],[Change Date]],TODAY()-Table1[[#This Row],[Change Date]])</f>
        <v>128.6520833333343</v>
      </c>
      <c r="Z185" s="476">
        <f t="shared" si="27"/>
        <v>1</v>
      </c>
      <c r="AA185" s="422" t="str">
        <f t="shared" si="28"/>
        <v/>
      </c>
      <c r="AB185" s="422" t="str">
        <f t="shared" si="29"/>
        <v/>
      </c>
      <c r="AC185" s="476" t="str">
        <f t="shared" si="30"/>
        <v/>
      </c>
      <c r="AD185" s="476" t="str">
        <f t="shared" si="31"/>
        <v/>
      </c>
      <c r="AE185" s="476" t="str">
        <f t="shared" si="32"/>
        <v/>
      </c>
      <c r="AF185" s="476" t="b">
        <f>IFERROR(_xlfn.XLOOKUP(Table1[[#This Row],[Opportunity ID]],'Aging Detail'!$H$14:$H$20,'Aging Detail'!$F$14:$F$20),TRUE)</f>
        <v>1</v>
      </c>
    </row>
    <row r="186" spans="1:32">
      <c r="A186" t="s">
        <v>1461</v>
      </c>
      <c r="B186" t="s">
        <v>462</v>
      </c>
      <c r="C186" t="s">
        <v>526</v>
      </c>
      <c r="D186" t="s">
        <v>2025</v>
      </c>
      <c r="E186" t="s">
        <v>652</v>
      </c>
      <c r="F186" t="s">
        <v>470</v>
      </c>
      <c r="I186" s="422">
        <v>45834</v>
      </c>
      <c r="J186" s="422">
        <v>46202</v>
      </c>
      <c r="K186">
        <v>342355</v>
      </c>
      <c r="L186">
        <v>90785</v>
      </c>
      <c r="M186" t="s">
        <v>1793</v>
      </c>
      <c r="N186" t="s">
        <v>647</v>
      </c>
      <c r="O186" t="str">
        <f>_xlfn.IFNA(VLOOKUP(Table1[[#This Row],[Lead Source]],'helper tab'!A:B,2,FALSE),"Exclude")</f>
        <v>Digital</v>
      </c>
      <c r="P186" s="422">
        <f t="shared" si="22"/>
        <v>46129.320833333331</v>
      </c>
      <c r="Q186">
        <f t="shared" si="23"/>
        <v>1</v>
      </c>
      <c r="R186">
        <f t="shared" si="24"/>
        <v>0</v>
      </c>
      <c r="S186">
        <f>IF(
AND($Q186=1,$M186&lt;&gt;""),
IF(
COUNTIFS(
$M$3:$M186,$M186,
$O$3:$O186,$O186,
$Q$3:$Q186,1,
$P$3:$P186,"&gt;="&amp;EOMONTH($P186,-1)+1,
$P$3:$P186,"&lt;"&amp;EOMONTH($P186,0)+1
)=1,
1,
0),
0)</f>
        <v>1</v>
      </c>
      <c r="T186">
        <f>IF(AND($R186=1,$M186&lt;&gt;""),IF(COUNTIFS($M$3:$M186,$M186,$O$3:$O186,$O186,$R$3:$R186,1,$P$3:$P186,"&gt;="&amp;EOMONTH($P186,-1)+1,$P$3:$P186,"&lt;"&amp;EOMONTH($P186,0)+1)=1,1,0),0)</f>
        <v>0</v>
      </c>
      <c r="U186">
        <f t="shared" si="25"/>
        <v>0</v>
      </c>
      <c r="V186">
        <f>IF(AND($U186=1,$M186&lt;&gt;""),IF(COUNTIFS($M$3:$M186,$M186,$O$3:$O186,$O186,$U$3:$U186,1,$P$3:$P186,"&gt;="&amp;EOMONTH($P186,-1)+1,$P$3:$P186,"&lt;"&amp;EOMONTH($P186,0)+1)=1,1,0),0)</f>
        <v>0</v>
      </c>
      <c r="W186" s="444">
        <f ca="1">TODAY()-Table1[[#This Row],[Change Date]]</f>
        <v>128.67916666666861</v>
      </c>
      <c r="X186" s="422">
        <f t="shared" si="26"/>
        <v>46203.63958333333</v>
      </c>
      <c r="Y186" s="476">
        <f ca="1">IF(Table1[[#This Row],[Next Stage Date]]&lt;&gt;"",Table1[[#This Row],[Next Stage Date]]-Table1[[#This Row],[Change Date]],TODAY()-Table1[[#This Row],[Change Date]])</f>
        <v>74.318749999998545</v>
      </c>
      <c r="Z186" s="476">
        <f t="shared" si="27"/>
        <v>0</v>
      </c>
      <c r="AA186" s="422">
        <f t="shared" si="28"/>
        <v>46203.63958333333</v>
      </c>
      <c r="AB186" s="422">
        <f t="shared" si="29"/>
        <v>46055.431944444441</v>
      </c>
      <c r="AC186" s="476">
        <f t="shared" si="30"/>
        <v>221.43194444444089</v>
      </c>
      <c r="AD186" s="476">
        <f t="shared" si="31"/>
        <v>148.20763888888905</v>
      </c>
      <c r="AE186" s="476">
        <f t="shared" si="32"/>
        <v>369.63958333332994</v>
      </c>
      <c r="AF186" s="476" t="b">
        <f>IFERROR(_xlfn.XLOOKUP(Table1[[#This Row],[Opportunity ID]],'Aging Detail'!$H$14:$H$20,'Aging Detail'!$F$14:$F$20),TRUE)</f>
        <v>1</v>
      </c>
    </row>
    <row r="187" spans="1:32">
      <c r="A187" t="s">
        <v>1461</v>
      </c>
      <c r="B187" t="s">
        <v>1462</v>
      </c>
      <c r="C187" t="s">
        <v>462</v>
      </c>
      <c r="D187" t="s">
        <v>2026</v>
      </c>
      <c r="E187" t="s">
        <v>2027</v>
      </c>
      <c r="F187" t="s">
        <v>148</v>
      </c>
      <c r="H187" t="s">
        <v>169</v>
      </c>
      <c r="I187" s="422">
        <v>46084</v>
      </c>
      <c r="J187" s="422">
        <v>46325</v>
      </c>
      <c r="K187">
        <v>0</v>
      </c>
      <c r="L187">
        <v>0</v>
      </c>
      <c r="M187" t="s">
        <v>2028</v>
      </c>
      <c r="N187" t="s">
        <v>2029</v>
      </c>
      <c r="O187" t="str">
        <f>_xlfn.IFNA(VLOOKUP(Table1[[#This Row],[Lead Source]],'helper tab'!A:B,2,FALSE),"Exclude")</f>
        <v>Alliances</v>
      </c>
      <c r="P187" s="422">
        <f t="shared" si="22"/>
        <v>46129.311805555553</v>
      </c>
      <c r="Q187">
        <f t="shared" si="23"/>
        <v>1</v>
      </c>
      <c r="R187">
        <f t="shared" si="24"/>
        <v>0</v>
      </c>
      <c r="S187">
        <f>IF(
AND($Q187=1,$M187&lt;&gt;""),
IF(
COUNTIFS(
$M$3:$M187,$M187,
$O$3:$O187,$O187,
$Q$3:$Q187,1,
$P$3:$P187,"&gt;="&amp;EOMONTH($P187,-1)+1,
$P$3:$P187,"&lt;"&amp;EOMONTH($P187,0)+1
)=1,
1,
0),
0)</f>
        <v>1</v>
      </c>
      <c r="T187">
        <f>IF(AND($R187=1,$M187&lt;&gt;""),IF(COUNTIFS($M$3:$M187,$M187,$O$3:$O187,$O187,$R$3:$R187,1,$P$3:$P187,"&gt;="&amp;EOMONTH($P187,-1)+1,$P$3:$P187,"&lt;"&amp;EOMONTH($P187,0)+1)=1,1,0),0)</f>
        <v>0</v>
      </c>
      <c r="U187">
        <f t="shared" si="25"/>
        <v>0</v>
      </c>
      <c r="V187">
        <f>IF(AND($U187=1,$M187&lt;&gt;""),IF(COUNTIFS($M$3:$M187,$M187,$O$3:$O187,$O187,$U$3:$U187,1,$P$3:$P187,"&gt;="&amp;EOMONTH($P187,-1)+1,$P$3:$P187,"&lt;"&amp;EOMONTH($P187,0)+1)=1,1,0),0)</f>
        <v>0</v>
      </c>
      <c r="W187" s="444">
        <f ca="1">TODAY()-Table1[[#This Row],[Change Date]]</f>
        <v>128.68819444444671</v>
      </c>
      <c r="X187" s="422" t="str">
        <f t="shared" si="26"/>
        <v/>
      </c>
      <c r="Y187" s="476">
        <f ca="1">IF(Table1[[#This Row],[Next Stage Date]]&lt;&gt;"",Table1[[#This Row],[Next Stage Date]]-Table1[[#This Row],[Change Date]],TODAY()-Table1[[#This Row],[Change Date]])</f>
        <v>128.68819444444671</v>
      </c>
      <c r="Z187" s="476">
        <f t="shared" si="27"/>
        <v>1</v>
      </c>
      <c r="AA187" s="422" t="str">
        <f t="shared" si="28"/>
        <v/>
      </c>
      <c r="AB187" s="422">
        <f t="shared" si="29"/>
        <v>46129.311805555553</v>
      </c>
      <c r="AC187" s="476">
        <f t="shared" si="30"/>
        <v>45.311805555553292</v>
      </c>
      <c r="AD187" s="476" t="str">
        <f t="shared" si="31"/>
        <v/>
      </c>
      <c r="AE187" s="476" t="str">
        <f t="shared" si="32"/>
        <v/>
      </c>
      <c r="AF187" s="476" t="b">
        <f>IFERROR(_xlfn.XLOOKUP(Table1[[#This Row],[Opportunity ID]],'Aging Detail'!$H$14:$H$20,'Aging Detail'!$F$14:$F$20),TRUE)</f>
        <v>1</v>
      </c>
    </row>
    <row r="188" spans="1:32">
      <c r="A188" t="s">
        <v>1461</v>
      </c>
      <c r="B188" t="s">
        <v>408</v>
      </c>
      <c r="C188" t="s">
        <v>1462</v>
      </c>
      <c r="D188" t="s">
        <v>2030</v>
      </c>
      <c r="E188" t="s">
        <v>2027</v>
      </c>
      <c r="F188" t="s">
        <v>148</v>
      </c>
      <c r="H188" t="s">
        <v>169</v>
      </c>
      <c r="I188" s="422">
        <v>46084</v>
      </c>
      <c r="J188" s="422">
        <v>46325</v>
      </c>
      <c r="K188">
        <v>0</v>
      </c>
      <c r="L188">
        <v>0</v>
      </c>
      <c r="M188" t="s">
        <v>2028</v>
      </c>
      <c r="N188" t="s">
        <v>2029</v>
      </c>
      <c r="O188" t="str">
        <f>_xlfn.IFNA(VLOOKUP(Table1[[#This Row],[Lead Source]],'helper tab'!A:B,2,FALSE),"Exclude")</f>
        <v>Alliances</v>
      </c>
      <c r="P188" s="422">
        <f t="shared" si="22"/>
        <v>46129.311111111114</v>
      </c>
      <c r="Q188">
        <f t="shared" si="23"/>
        <v>0</v>
      </c>
      <c r="R188">
        <f t="shared" si="24"/>
        <v>0</v>
      </c>
      <c r="S188">
        <f>IF(
AND($Q188=1,$M188&lt;&gt;""),
IF(
COUNTIFS(
$M$3:$M188,$M188,
$O$3:$O188,$O188,
$Q$3:$Q188,1,
$P$3:$P188,"&gt;="&amp;EOMONTH($P188,-1)+1,
$P$3:$P188,"&lt;"&amp;EOMONTH($P188,0)+1
)=1,
1,
0),
0)</f>
        <v>0</v>
      </c>
      <c r="T188">
        <f>IF(AND($R188=1,$M188&lt;&gt;""),IF(COUNTIFS($M$3:$M188,$M188,$O$3:$O188,$O188,$R$3:$R188,1,$P$3:$P188,"&gt;="&amp;EOMONTH($P188,-1)+1,$P$3:$P188,"&lt;"&amp;EOMONTH($P188,0)+1)=1,1,0),0)</f>
        <v>0</v>
      </c>
      <c r="U188">
        <f t="shared" si="25"/>
        <v>0</v>
      </c>
      <c r="V188">
        <f>IF(AND($U188=1,$M188&lt;&gt;""),IF(COUNTIFS($M$3:$M188,$M188,$O$3:$O188,$O188,$U$3:$U188,1,$P$3:$P188,"&gt;="&amp;EOMONTH($P188,-1)+1,$P$3:$P188,"&lt;"&amp;EOMONTH($P188,0)+1)=1,1,0),0)</f>
        <v>0</v>
      </c>
      <c r="W188" s="444">
        <f ca="1">TODAY()-Table1[[#This Row],[Change Date]]</f>
        <v>128.68888888888614</v>
      </c>
      <c r="X188" s="422">
        <f t="shared" si="26"/>
        <v>46129.311805555553</v>
      </c>
      <c r="Y188" s="476">
        <f ca="1">IF(Table1[[#This Row],[Next Stage Date]]&lt;&gt;"",Table1[[#This Row],[Next Stage Date]]-Table1[[#This Row],[Change Date]],TODAY()-Table1[[#This Row],[Change Date]])</f>
        <v>6.9444443943211809E-4</v>
      </c>
      <c r="Z188" s="476">
        <f t="shared" si="27"/>
        <v>0</v>
      </c>
      <c r="AA188" s="422" t="str">
        <f t="shared" si="28"/>
        <v/>
      </c>
      <c r="AB188" s="422">
        <f t="shared" si="29"/>
        <v>46129.311805555553</v>
      </c>
      <c r="AC188" s="476">
        <f t="shared" si="30"/>
        <v>45.311805555553292</v>
      </c>
      <c r="AD188" s="476" t="str">
        <f t="shared" si="31"/>
        <v/>
      </c>
      <c r="AE188" s="476" t="str">
        <f t="shared" si="32"/>
        <v/>
      </c>
      <c r="AF188" s="476" t="b">
        <f>IFERROR(_xlfn.XLOOKUP(Table1[[#This Row],[Opportunity ID]],'Aging Detail'!$H$14:$H$20,'Aging Detail'!$F$14:$F$20),TRUE)</f>
        <v>1</v>
      </c>
    </row>
    <row r="189" spans="1:32">
      <c r="A189" t="s">
        <v>1461</v>
      </c>
      <c r="B189" t="s">
        <v>1462</v>
      </c>
      <c r="C189" t="s">
        <v>462</v>
      </c>
      <c r="D189" t="s">
        <v>2031</v>
      </c>
      <c r="E189" t="s">
        <v>2032</v>
      </c>
      <c r="F189" t="s">
        <v>1465</v>
      </c>
      <c r="I189" s="422">
        <v>46120</v>
      </c>
      <c r="J189" s="422">
        <v>46290</v>
      </c>
      <c r="K189">
        <v>75000</v>
      </c>
      <c r="L189">
        <v>75000</v>
      </c>
      <c r="M189" t="s">
        <v>2033</v>
      </c>
      <c r="N189" t="s">
        <v>2034</v>
      </c>
      <c r="O189" t="str">
        <f>_xlfn.IFNA(VLOOKUP(Table1[[#This Row],[Lead Source]],'helper tab'!A:B,2,FALSE),"Exclude")</f>
        <v>Exclude</v>
      </c>
      <c r="P189" s="422">
        <f t="shared" si="22"/>
        <v>46127.335416666669</v>
      </c>
      <c r="Q189">
        <f t="shared" si="23"/>
        <v>1</v>
      </c>
      <c r="R189">
        <f t="shared" si="24"/>
        <v>0</v>
      </c>
      <c r="S189">
        <f>IF(
AND($Q189=1,$M189&lt;&gt;""),
IF(
COUNTIFS(
$M$3:$M189,$M189,
$O$3:$O189,$O189,
$Q$3:$Q189,1,
$P$3:$P189,"&gt;="&amp;EOMONTH($P189,-1)+1,
$P$3:$P189,"&lt;"&amp;EOMONTH($P189,0)+1
)=1,
1,
0),
0)</f>
        <v>1</v>
      </c>
      <c r="T189">
        <f>IF(AND($R189=1,$M189&lt;&gt;""),IF(COUNTIFS($M$3:$M189,$M189,$O$3:$O189,$O189,$R$3:$R189,1,$P$3:$P189,"&gt;="&amp;EOMONTH($P189,-1)+1,$P$3:$P189,"&lt;"&amp;EOMONTH($P189,0)+1)=1,1,0),0)</f>
        <v>0</v>
      </c>
      <c r="U189">
        <f t="shared" si="25"/>
        <v>0</v>
      </c>
      <c r="V189">
        <f>IF(AND($U189=1,$M189&lt;&gt;""),IF(COUNTIFS($M$3:$M189,$M189,$O$3:$O189,$O189,$U$3:$U189,1,$P$3:$P189,"&gt;="&amp;EOMONTH($P189,-1)+1,$P$3:$P189,"&lt;"&amp;EOMONTH($P189,0)+1)=1,1,0),0)</f>
        <v>0</v>
      </c>
      <c r="W189" s="444">
        <f ca="1">TODAY()-Table1[[#This Row],[Change Date]]</f>
        <v>130.66458333333139</v>
      </c>
      <c r="X189" s="422" t="str">
        <f t="shared" si="26"/>
        <v/>
      </c>
      <c r="Y189" s="476">
        <f ca="1">IF(Table1[[#This Row],[Next Stage Date]]&lt;&gt;"",Table1[[#This Row],[Next Stage Date]]-Table1[[#This Row],[Change Date]],TODAY()-Table1[[#This Row],[Change Date]])</f>
        <v>130.66458333333139</v>
      </c>
      <c r="Z189" s="476">
        <f t="shared" si="27"/>
        <v>1</v>
      </c>
      <c r="AA189" s="422" t="str">
        <f t="shared" si="28"/>
        <v/>
      </c>
      <c r="AB189" s="422">
        <f t="shared" si="29"/>
        <v>46127.335416666669</v>
      </c>
      <c r="AC189" s="476">
        <f t="shared" si="30"/>
        <v>7.3354166666686069</v>
      </c>
      <c r="AD189" s="476" t="str">
        <f t="shared" si="31"/>
        <v/>
      </c>
      <c r="AE189" s="476" t="str">
        <f t="shared" si="32"/>
        <v/>
      </c>
      <c r="AF189" s="476" t="b">
        <f>IFERROR(_xlfn.XLOOKUP(Table1[[#This Row],[Opportunity ID]],'Aging Detail'!$H$14:$H$20,'Aging Detail'!$F$14:$F$20),TRUE)</f>
        <v>1</v>
      </c>
    </row>
    <row r="190" spans="1:32">
      <c r="A190" t="s">
        <v>1461</v>
      </c>
      <c r="B190" t="s">
        <v>408</v>
      </c>
      <c r="C190" t="s">
        <v>1462</v>
      </c>
      <c r="D190" t="s">
        <v>2031</v>
      </c>
      <c r="E190" t="s">
        <v>2032</v>
      </c>
      <c r="F190" t="s">
        <v>1465</v>
      </c>
      <c r="I190" s="422">
        <v>46120</v>
      </c>
      <c r="J190" s="422">
        <v>46290</v>
      </c>
      <c r="K190">
        <v>75000</v>
      </c>
      <c r="L190">
        <v>75000</v>
      </c>
      <c r="M190" t="s">
        <v>2033</v>
      </c>
      <c r="N190" t="s">
        <v>2034</v>
      </c>
      <c r="O190" t="str">
        <f>_xlfn.IFNA(VLOOKUP(Table1[[#This Row],[Lead Source]],'helper tab'!A:B,2,FALSE),"Exclude")</f>
        <v>Exclude</v>
      </c>
      <c r="P190" s="422">
        <f t="shared" si="22"/>
        <v>46127.335416666669</v>
      </c>
      <c r="Q190">
        <f t="shared" si="23"/>
        <v>0</v>
      </c>
      <c r="R190">
        <f t="shared" si="24"/>
        <v>0</v>
      </c>
      <c r="S190">
        <f>IF(
AND($Q190=1,$M190&lt;&gt;""),
IF(
COUNTIFS(
$M$3:$M190,$M190,
$O$3:$O190,$O190,
$Q$3:$Q190,1,
$P$3:$P190,"&gt;="&amp;EOMONTH($P190,-1)+1,
$P$3:$P190,"&lt;"&amp;EOMONTH($P190,0)+1
)=1,
1,
0),
0)</f>
        <v>0</v>
      </c>
      <c r="T190">
        <f>IF(AND($R190=1,$M190&lt;&gt;""),IF(COUNTIFS($M$3:$M190,$M190,$O$3:$O190,$O190,$R$3:$R190,1,$P$3:$P190,"&gt;="&amp;EOMONTH($P190,-1)+1,$P$3:$P190,"&lt;"&amp;EOMONTH($P190,0)+1)=1,1,0),0)</f>
        <v>0</v>
      </c>
      <c r="U190">
        <f t="shared" si="25"/>
        <v>0</v>
      </c>
      <c r="V190">
        <f>IF(AND($U190=1,$M190&lt;&gt;""),IF(COUNTIFS($M$3:$M190,$M190,$O$3:$O190,$O190,$U$3:$U190,1,$P$3:$P190,"&gt;="&amp;EOMONTH($P190,-1)+1,$P$3:$P190,"&lt;"&amp;EOMONTH($P190,0)+1)=1,1,0),0)</f>
        <v>0</v>
      </c>
      <c r="W190" s="444">
        <f ca="1">TODAY()-Table1[[#This Row],[Change Date]]</f>
        <v>130.66458333333139</v>
      </c>
      <c r="X190" s="422" t="str">
        <f t="shared" si="26"/>
        <v/>
      </c>
      <c r="Y190" s="476">
        <f ca="1">IF(Table1[[#This Row],[Next Stage Date]]&lt;&gt;"",Table1[[#This Row],[Next Stage Date]]-Table1[[#This Row],[Change Date]],TODAY()-Table1[[#This Row],[Change Date]])</f>
        <v>130.66458333333139</v>
      </c>
      <c r="Z190" s="476">
        <f t="shared" si="27"/>
        <v>1</v>
      </c>
      <c r="AA190" s="422" t="str">
        <f t="shared" si="28"/>
        <v/>
      </c>
      <c r="AB190" s="422">
        <f t="shared" si="29"/>
        <v>46127.335416666669</v>
      </c>
      <c r="AC190" s="476">
        <f t="shared" si="30"/>
        <v>7.3354166666686069</v>
      </c>
      <c r="AD190" s="476" t="str">
        <f t="shared" si="31"/>
        <v/>
      </c>
      <c r="AE190" s="476" t="str">
        <f t="shared" si="32"/>
        <v/>
      </c>
      <c r="AF190" s="476" t="b">
        <f>IFERROR(_xlfn.XLOOKUP(Table1[[#This Row],[Opportunity ID]],'Aging Detail'!$H$14:$H$20,'Aging Detail'!$F$14:$F$20),TRUE)</f>
        <v>1</v>
      </c>
    </row>
    <row r="191" spans="1:32">
      <c r="A191" t="s">
        <v>1461</v>
      </c>
      <c r="B191" t="s">
        <v>408</v>
      </c>
      <c r="C191" t="s">
        <v>1469</v>
      </c>
      <c r="D191" t="s">
        <v>2035</v>
      </c>
      <c r="E191" t="s">
        <v>2036</v>
      </c>
      <c r="F191" t="s">
        <v>148</v>
      </c>
      <c r="G191" t="s">
        <v>148</v>
      </c>
      <c r="H191" t="s">
        <v>2037</v>
      </c>
      <c r="I191" s="422">
        <v>45889</v>
      </c>
      <c r="J191" s="422">
        <v>46126</v>
      </c>
      <c r="K191">
        <v>760000</v>
      </c>
      <c r="L191">
        <v>600000</v>
      </c>
      <c r="M191" t="s">
        <v>2038</v>
      </c>
      <c r="N191" t="s">
        <v>2039</v>
      </c>
      <c r="O191" t="str">
        <f>_xlfn.IFNA(VLOOKUP(Table1[[#This Row],[Lead Source]],'helper tab'!A:B,2,FALSE),"Exclude")</f>
        <v>Alliances</v>
      </c>
      <c r="P191" s="422">
        <f t="shared" si="22"/>
        <v>46126.393055555556</v>
      </c>
      <c r="Q191">
        <f t="shared" si="23"/>
        <v>0</v>
      </c>
      <c r="R191">
        <f t="shared" si="24"/>
        <v>0</v>
      </c>
      <c r="S191">
        <f>IF(
AND($Q191=1,$M191&lt;&gt;""),
IF(
COUNTIFS(
$M$3:$M191,$M191,
$O$3:$O191,$O191,
$Q$3:$Q191,1,
$P$3:$P191,"&gt;="&amp;EOMONTH($P191,-1)+1,
$P$3:$P191,"&lt;"&amp;EOMONTH($P191,0)+1
)=1,
1,
0),
0)</f>
        <v>0</v>
      </c>
      <c r="T191">
        <f>IF(AND($R191=1,$M191&lt;&gt;""),IF(COUNTIFS($M$3:$M191,$M191,$O$3:$O191,$O191,$R$3:$R191,1,$P$3:$P191,"&gt;="&amp;EOMONTH($P191,-1)+1,$P$3:$P191,"&lt;"&amp;EOMONTH($P191,0)+1)=1,1,0),0)</f>
        <v>0</v>
      </c>
      <c r="U191">
        <f t="shared" si="25"/>
        <v>1</v>
      </c>
      <c r="V191">
        <f>IF(AND($U191=1,$M191&lt;&gt;""),IF(COUNTIFS($M$3:$M191,$M191,$O$3:$O191,$O191,$U$3:$U191,1,$P$3:$P191,"&gt;="&amp;EOMONTH($P191,-1)+1,$P$3:$P191,"&lt;"&amp;EOMONTH($P191,0)+1)=1,1,0),0)</f>
        <v>1</v>
      </c>
      <c r="W191" s="444">
        <f ca="1">TODAY()-Table1[[#This Row],[Change Date]]</f>
        <v>131.6069444444438</v>
      </c>
      <c r="X191" s="422" t="str">
        <f t="shared" si="26"/>
        <v/>
      </c>
      <c r="Y191" s="476">
        <f ca="1">IF(Table1[[#This Row],[Next Stage Date]]&lt;&gt;"",Table1[[#This Row],[Next Stage Date]]-Table1[[#This Row],[Change Date]],TODAY()-Table1[[#This Row],[Change Date]])</f>
        <v>131.6069444444438</v>
      </c>
      <c r="Z191" s="476">
        <f t="shared" si="27"/>
        <v>1</v>
      </c>
      <c r="AA191" s="422" t="str">
        <f t="shared" si="28"/>
        <v/>
      </c>
      <c r="AB191" s="422" t="str">
        <f t="shared" si="29"/>
        <v/>
      </c>
      <c r="AC191" s="476" t="str">
        <f t="shared" si="30"/>
        <v/>
      </c>
      <c r="AD191" s="476" t="str">
        <f t="shared" si="31"/>
        <v/>
      </c>
      <c r="AE191" s="476" t="str">
        <f t="shared" si="32"/>
        <v/>
      </c>
      <c r="AF191" s="476" t="b">
        <f>IFERROR(_xlfn.XLOOKUP(Table1[[#This Row],[Opportunity ID]],'Aging Detail'!$H$14:$H$20,'Aging Detail'!$F$14:$F$20),TRUE)</f>
        <v>1</v>
      </c>
    </row>
    <row r="192" spans="1:32">
      <c r="A192" t="s">
        <v>1461</v>
      </c>
      <c r="B192" t="s">
        <v>338</v>
      </c>
      <c r="C192" t="s">
        <v>1469</v>
      </c>
      <c r="D192" t="s">
        <v>2040</v>
      </c>
      <c r="E192" t="s">
        <v>2041</v>
      </c>
      <c r="F192" t="s">
        <v>202</v>
      </c>
      <c r="I192" s="422">
        <v>45915</v>
      </c>
      <c r="J192" s="422">
        <v>46290</v>
      </c>
      <c r="K192">
        <v>99560</v>
      </c>
      <c r="L192">
        <v>34560</v>
      </c>
      <c r="M192" t="s">
        <v>2042</v>
      </c>
      <c r="N192" t="s">
        <v>746</v>
      </c>
      <c r="O192" t="str">
        <f>_xlfn.IFNA(VLOOKUP(Table1[[#This Row],[Lead Source]],'helper tab'!A:B,2,FALSE),"Exclude")</f>
        <v>Digital</v>
      </c>
      <c r="P192" s="422">
        <f t="shared" si="22"/>
        <v>46126.304861111108</v>
      </c>
      <c r="Q192">
        <f t="shared" si="23"/>
        <v>0</v>
      </c>
      <c r="R192">
        <f t="shared" si="24"/>
        <v>0</v>
      </c>
      <c r="S192">
        <f>IF(
AND($Q192=1,$M192&lt;&gt;""),
IF(
COUNTIFS(
$M$3:$M192,$M192,
$O$3:$O192,$O192,
$Q$3:$Q192,1,
$P$3:$P192,"&gt;="&amp;EOMONTH($P192,-1)+1,
$P$3:$P192,"&lt;"&amp;EOMONTH($P192,0)+1
)=1,
1,
0),
0)</f>
        <v>0</v>
      </c>
      <c r="T192">
        <f>IF(AND($R192=1,$M192&lt;&gt;""),IF(COUNTIFS($M$3:$M192,$M192,$O$3:$O192,$O192,$R$3:$R192,1,$P$3:$P192,"&gt;="&amp;EOMONTH($P192,-1)+1,$P$3:$P192,"&lt;"&amp;EOMONTH($P192,0)+1)=1,1,0),0)</f>
        <v>0</v>
      </c>
      <c r="U192">
        <f t="shared" si="25"/>
        <v>1</v>
      </c>
      <c r="V192">
        <f>IF(AND($U192=1,$M192&lt;&gt;""),IF(COUNTIFS($M$3:$M192,$M192,$O$3:$O192,$O192,$U$3:$U192,1,$P$3:$P192,"&gt;="&amp;EOMONTH($P192,-1)+1,$P$3:$P192,"&lt;"&amp;EOMONTH($P192,0)+1)=1,1,0),0)</f>
        <v>1</v>
      </c>
      <c r="W192" s="444">
        <f ca="1">TODAY()-Table1[[#This Row],[Change Date]]</f>
        <v>131.69513888889196</v>
      </c>
      <c r="X192" s="422" t="str">
        <f t="shared" si="26"/>
        <v/>
      </c>
      <c r="Y192" s="476">
        <f ca="1">IF(Table1[[#This Row],[Next Stage Date]]&lt;&gt;"",Table1[[#This Row],[Next Stage Date]]-Table1[[#This Row],[Change Date]],TODAY()-Table1[[#This Row],[Change Date]])</f>
        <v>131.69513888889196</v>
      </c>
      <c r="Z192" s="476">
        <f t="shared" si="27"/>
        <v>1</v>
      </c>
      <c r="AA192" s="422" t="str">
        <f t="shared" si="28"/>
        <v/>
      </c>
      <c r="AB192" s="422" t="str">
        <f t="shared" si="29"/>
        <v/>
      </c>
      <c r="AC192" s="476" t="str">
        <f t="shared" si="30"/>
        <v/>
      </c>
      <c r="AD192" s="476" t="str">
        <f t="shared" si="31"/>
        <v/>
      </c>
      <c r="AE192" s="476" t="str">
        <f t="shared" si="32"/>
        <v/>
      </c>
      <c r="AF192" s="476" t="b">
        <f>IFERROR(_xlfn.XLOOKUP(Table1[[#This Row],[Opportunity ID]],'Aging Detail'!$H$14:$H$20,'Aging Detail'!$F$14:$F$20),TRUE)</f>
        <v>1</v>
      </c>
    </row>
    <row r="193" spans="1:32">
      <c r="A193" t="s">
        <v>1461</v>
      </c>
      <c r="B193" t="s">
        <v>1469</v>
      </c>
      <c r="C193" t="s">
        <v>526</v>
      </c>
      <c r="D193" t="s">
        <v>2043</v>
      </c>
      <c r="E193" t="s">
        <v>1948</v>
      </c>
      <c r="F193" t="s">
        <v>202</v>
      </c>
      <c r="I193" s="422">
        <v>45960</v>
      </c>
      <c r="J193" s="422">
        <v>46161</v>
      </c>
      <c r="K193">
        <v>318900</v>
      </c>
      <c r="L193">
        <v>0</v>
      </c>
      <c r="M193" t="s">
        <v>1949</v>
      </c>
      <c r="N193" t="s">
        <v>1831</v>
      </c>
      <c r="O193" t="str">
        <f>_xlfn.IFNA(VLOOKUP(Table1[[#This Row],[Lead Source]],'helper tab'!A:B,2,FALSE),"Exclude")</f>
        <v>Digital</v>
      </c>
      <c r="P193" s="422">
        <f t="shared" si="22"/>
        <v>46125.432638888888</v>
      </c>
      <c r="Q193">
        <f t="shared" si="23"/>
        <v>1</v>
      </c>
      <c r="R193">
        <f t="shared" si="24"/>
        <v>0</v>
      </c>
      <c r="S193">
        <f>IF(
AND($Q193=1,$M193&lt;&gt;""),
IF(
COUNTIFS(
$M$3:$M193,$M193,
$O$3:$O193,$O193,
$Q$3:$Q193,1,
$P$3:$P193,"&gt;="&amp;EOMONTH($P193,-1)+1,
$P$3:$P193,"&lt;"&amp;EOMONTH($P193,0)+1
)=1,
1,
0),
0)</f>
        <v>1</v>
      </c>
      <c r="T193">
        <f>IF(AND($R193=1,$M193&lt;&gt;""),IF(COUNTIFS($M$3:$M193,$M193,$O$3:$O193,$O193,$R$3:$R193,1,$P$3:$P193,"&gt;="&amp;EOMONTH($P193,-1)+1,$P$3:$P193,"&lt;"&amp;EOMONTH($P193,0)+1)=1,1,0),0)</f>
        <v>0</v>
      </c>
      <c r="U193">
        <f t="shared" si="25"/>
        <v>0</v>
      </c>
      <c r="V193">
        <f>IF(AND($U193=1,$M193&lt;&gt;""),IF(COUNTIFS($M$3:$M193,$M193,$O$3:$O193,$O193,$U$3:$U193,1,$P$3:$P193,"&gt;="&amp;EOMONTH($P193,-1)+1,$P$3:$P193,"&lt;"&amp;EOMONTH($P193,0)+1)=1,1,0),0)</f>
        <v>0</v>
      </c>
      <c r="W193" s="444">
        <f ca="1">TODAY()-Table1[[#This Row],[Change Date]]</f>
        <v>132.5673611111124</v>
      </c>
      <c r="X193" s="422">
        <f t="shared" si="26"/>
        <v>46161.386805555558</v>
      </c>
      <c r="Y193" s="476">
        <f ca="1">IF(Table1[[#This Row],[Next Stage Date]]&lt;&gt;"",Table1[[#This Row],[Next Stage Date]]-Table1[[#This Row],[Change Date]],TODAY()-Table1[[#This Row],[Change Date]])</f>
        <v>35.954166666670062</v>
      </c>
      <c r="Z193" s="476">
        <f t="shared" si="27"/>
        <v>0</v>
      </c>
      <c r="AA193" s="422">
        <f t="shared" si="28"/>
        <v>46161.386805555558</v>
      </c>
      <c r="AB193" s="422">
        <f t="shared" si="29"/>
        <v>46125.432638888888</v>
      </c>
      <c r="AC193" s="476">
        <f t="shared" si="30"/>
        <v>165.4326388888876</v>
      </c>
      <c r="AD193" s="476">
        <f t="shared" si="31"/>
        <v>35.954166666670062</v>
      </c>
      <c r="AE193" s="476">
        <f t="shared" si="32"/>
        <v>201.38680555555766</v>
      </c>
      <c r="AF193" s="476" t="b">
        <f>IFERROR(_xlfn.XLOOKUP(Table1[[#This Row],[Opportunity ID]],'Aging Detail'!$H$14:$H$20,'Aging Detail'!$F$14:$F$20),TRUE)</f>
        <v>1</v>
      </c>
    </row>
    <row r="194" spans="1:32">
      <c r="A194" t="s">
        <v>1461</v>
      </c>
      <c r="B194" t="s">
        <v>1462</v>
      </c>
      <c r="C194" t="s">
        <v>462</v>
      </c>
      <c r="D194" t="s">
        <v>2044</v>
      </c>
      <c r="E194" t="s">
        <v>2045</v>
      </c>
      <c r="F194" t="s">
        <v>148</v>
      </c>
      <c r="G194" t="s">
        <v>148</v>
      </c>
      <c r="H194" t="s">
        <v>1698</v>
      </c>
      <c r="I194" s="422">
        <v>45855</v>
      </c>
      <c r="J194" s="422">
        <v>46295</v>
      </c>
      <c r="K194">
        <v>57980</v>
      </c>
      <c r="L194">
        <v>28980</v>
      </c>
      <c r="M194" t="s">
        <v>2046</v>
      </c>
      <c r="N194" t="s">
        <v>2047</v>
      </c>
      <c r="O194" t="str">
        <f>_xlfn.IFNA(VLOOKUP(Table1[[#This Row],[Lead Source]],'helper tab'!A:B,2,FALSE),"Exclude")</f>
        <v>Alliances</v>
      </c>
      <c r="P194" s="422">
        <f t="shared" si="22"/>
        <v>46122.19027777778</v>
      </c>
      <c r="Q194">
        <f t="shared" si="23"/>
        <v>1</v>
      </c>
      <c r="R194">
        <f t="shared" si="24"/>
        <v>0</v>
      </c>
      <c r="S194">
        <f>IF(
AND($Q194=1,$M194&lt;&gt;""),
IF(
COUNTIFS(
$M$3:$M194,$M194,
$O$3:$O194,$O194,
$Q$3:$Q194,1,
$P$3:$P194,"&gt;="&amp;EOMONTH($P194,-1)+1,
$P$3:$P194,"&lt;"&amp;EOMONTH($P194,0)+1
)=1,
1,
0),
0)</f>
        <v>1</v>
      </c>
      <c r="T194">
        <f>IF(AND($R194=1,$M194&lt;&gt;""),IF(COUNTIFS($M$3:$M194,$M194,$O$3:$O194,$O194,$R$3:$R194,1,$P$3:$P194,"&gt;="&amp;EOMONTH($P194,-1)+1,$P$3:$P194,"&lt;"&amp;EOMONTH($P194,0)+1)=1,1,0),0)</f>
        <v>0</v>
      </c>
      <c r="U194">
        <f t="shared" si="25"/>
        <v>0</v>
      </c>
      <c r="V194">
        <f>IF(AND($U194=1,$M194&lt;&gt;""),IF(COUNTIFS($M$3:$M194,$M194,$O$3:$O194,$O194,$U$3:$U194,1,$P$3:$P194,"&gt;="&amp;EOMONTH($P194,-1)+1,$P$3:$P194,"&lt;"&amp;EOMONTH($P194,0)+1)=1,1,0),0)</f>
        <v>0</v>
      </c>
      <c r="W194" s="444">
        <f ca="1">TODAY()-Table1[[#This Row],[Change Date]]</f>
        <v>135.80972222222044</v>
      </c>
      <c r="X194" s="422" t="str">
        <f t="shared" si="26"/>
        <v/>
      </c>
      <c r="Y194" s="476">
        <f ca="1">IF(Table1[[#This Row],[Next Stage Date]]&lt;&gt;"",Table1[[#This Row],[Next Stage Date]]-Table1[[#This Row],[Change Date]],TODAY()-Table1[[#This Row],[Change Date]])</f>
        <v>135.80972222222044</v>
      </c>
      <c r="Z194" s="476">
        <f t="shared" si="27"/>
        <v>1</v>
      </c>
      <c r="AA194" s="422" t="str">
        <f t="shared" si="28"/>
        <v/>
      </c>
      <c r="AB194" s="422">
        <f t="shared" si="29"/>
        <v>46122.19027777778</v>
      </c>
      <c r="AC194" s="476">
        <f t="shared" si="30"/>
        <v>267.19027777777956</v>
      </c>
      <c r="AD194" s="476" t="str">
        <f t="shared" si="31"/>
        <v/>
      </c>
      <c r="AE194" s="476" t="str">
        <f t="shared" si="32"/>
        <v/>
      </c>
      <c r="AF194" s="476" t="b">
        <f>IFERROR(_xlfn.XLOOKUP(Table1[[#This Row],[Opportunity ID]],'Aging Detail'!$H$14:$H$20,'Aging Detail'!$F$14:$F$20),TRUE)</f>
        <v>1</v>
      </c>
    </row>
    <row r="195" spans="1:32">
      <c r="A195" t="s">
        <v>1461</v>
      </c>
      <c r="B195" t="s">
        <v>408</v>
      </c>
      <c r="C195" t="s">
        <v>1469</v>
      </c>
      <c r="D195" t="s">
        <v>2048</v>
      </c>
      <c r="E195" t="s">
        <v>2049</v>
      </c>
      <c r="F195" t="s">
        <v>1471</v>
      </c>
      <c r="I195" s="422">
        <v>46120</v>
      </c>
      <c r="J195" s="422">
        <v>46142</v>
      </c>
      <c r="L195">
        <v>0</v>
      </c>
      <c r="M195" t="s">
        <v>2050</v>
      </c>
      <c r="N195" t="s">
        <v>1908</v>
      </c>
      <c r="O195" t="str">
        <f>_xlfn.IFNA(VLOOKUP(Table1[[#This Row],[Lead Source]],'helper tab'!A:B,2,FALSE),"Exclude")</f>
        <v>Digital</v>
      </c>
      <c r="P195" s="422">
        <f t="shared" ref="P195:P258" si="33">--SUBSTITUTE(D195,",","")</f>
        <v>46121.517361111109</v>
      </c>
      <c r="Q195">
        <f t="shared" ref="Q195:Q258" si="34">IF(OR($C195="Propose",$C195="Procure"),1,0)</f>
        <v>0</v>
      </c>
      <c r="R195">
        <f t="shared" ref="R195:R258" si="35">IF($C195="Closed Won",1,0)</f>
        <v>0</v>
      </c>
      <c r="S195">
        <f>IF(
AND($Q195=1,$M195&lt;&gt;""),
IF(
COUNTIFS(
$M$3:$M195,$M195,
$O$3:$O195,$O195,
$Q$3:$Q195,1,
$P$3:$P195,"&gt;="&amp;EOMONTH($P195,-1)+1,
$P$3:$P195,"&lt;"&amp;EOMONTH($P195,0)+1
)=1,
1,
0),
0)</f>
        <v>0</v>
      </c>
      <c r="T195">
        <f>IF(AND($R195=1,$M195&lt;&gt;""),IF(COUNTIFS($M$3:$M195,$M195,$O$3:$O195,$O195,$R$3:$R195,1,$P$3:$P195,"&gt;="&amp;EOMONTH($P195,-1)+1,$P$3:$P195,"&lt;"&amp;EOMONTH($P195,0)+1)=1,1,0),0)</f>
        <v>0</v>
      </c>
      <c r="U195">
        <f t="shared" ref="U195:U258" si="36">IF($C195="Closed Lost",1,0)</f>
        <v>1</v>
      </c>
      <c r="V195">
        <f>IF(AND($U195=1,$M195&lt;&gt;""),IF(COUNTIFS($M$3:$M195,$M195,$O$3:$O195,$O195,$U$3:$U195,1,$P$3:$P195,"&gt;="&amp;EOMONTH($P195,-1)+1,$P$3:$P195,"&lt;"&amp;EOMONTH($P195,0)+1)=1,1,0),0)</f>
        <v>1</v>
      </c>
      <c r="W195" s="444">
        <f ca="1">TODAY()-Table1[[#This Row],[Change Date]]</f>
        <v>136.48263888889051</v>
      </c>
      <c r="X195" s="422" t="str">
        <f t="shared" ref="X195:X258" si="37">IFERROR(
IF(
COUNTIFS($M:$M,$M195,$P:$P,"&gt;"&amp;$P195)=0,
"",
_xlfn.MINIFS($P:$P,$M:$M,$M195,$P:$P,"&gt;"&amp;$P195)
),
""
)</f>
        <v/>
      </c>
      <c r="Y195" s="476">
        <f ca="1">IF(Table1[[#This Row],[Next Stage Date]]&lt;&gt;"",Table1[[#This Row],[Next Stage Date]]-Table1[[#This Row],[Change Date]],TODAY()-Table1[[#This Row],[Change Date]])</f>
        <v>136.48263888889051</v>
      </c>
      <c r="Z195" s="476">
        <f t="shared" ref="Z195:Z258" si="38">IF(P195=_xlfn.MAXIFS($P:$P,$M:$M,$M195),1,0)</f>
        <v>1</v>
      </c>
      <c r="AA195" s="422" t="str">
        <f t="shared" ref="AA195:AA258" si="39">IF(
COUNTIFS($M:$M,$M195,$C:$C,"Closed Won")=0,
"",
_xlfn.MINIFS($P:$P,$M:$M,$M195,$C:$C,"Closed Won")
)</f>
        <v/>
      </c>
      <c r="AB195" s="422" t="str">
        <f t="shared" ref="AB195:AB258" si="40">IF(
COUNTIFS($M:$M,$M195,$Q:$Q,1)=0,
"",
_xlfn.MINIFS($P:$P,$M:$M,$M195,$Q:$Q,1)
)</f>
        <v/>
      </c>
      <c r="AC195" s="476" t="str">
        <f t="shared" ref="AC195:AC258" si="41">IF(AB195&lt;&gt;"",AB195-I195,"")</f>
        <v/>
      </c>
      <c r="AD195" s="476" t="str">
        <f t="shared" ref="AD195:AD258" si="42">IF(AND(AB195&lt;&gt;"",AA195&lt;&gt;""),AA195-AB195,"")</f>
        <v/>
      </c>
      <c r="AE195" s="476" t="str">
        <f t="shared" ref="AE195:AE258" si="43">IF(AA195&lt;&gt;"",AA195-I195,"")</f>
        <v/>
      </c>
      <c r="AF195" s="476" t="b">
        <f>IFERROR(_xlfn.XLOOKUP(Table1[[#This Row],[Opportunity ID]],'Aging Detail'!$H$14:$H$20,'Aging Detail'!$F$14:$F$20),TRUE)</f>
        <v>1</v>
      </c>
    </row>
    <row r="196" spans="1:32">
      <c r="A196" t="s">
        <v>1461</v>
      </c>
      <c r="B196" t="s">
        <v>408</v>
      </c>
      <c r="C196" t="s">
        <v>1469</v>
      </c>
      <c r="D196" t="s">
        <v>2051</v>
      </c>
      <c r="E196" t="s">
        <v>2052</v>
      </c>
      <c r="F196" t="s">
        <v>1468</v>
      </c>
      <c r="I196" s="422">
        <v>45846</v>
      </c>
      <c r="J196" s="422">
        <v>46121</v>
      </c>
      <c r="K196">
        <v>35000</v>
      </c>
      <c r="L196">
        <v>35000</v>
      </c>
      <c r="M196" t="s">
        <v>2053</v>
      </c>
      <c r="N196" t="s">
        <v>2054</v>
      </c>
      <c r="O196" t="str">
        <f>_xlfn.IFNA(VLOOKUP(Table1[[#This Row],[Lead Source]],'helper tab'!A:B,2,FALSE),"Exclude")</f>
        <v>Events</v>
      </c>
      <c r="P196" s="422">
        <f t="shared" si="33"/>
        <v>46121.19027777778</v>
      </c>
      <c r="Q196">
        <f t="shared" si="34"/>
        <v>0</v>
      </c>
      <c r="R196">
        <f t="shared" si="35"/>
        <v>0</v>
      </c>
      <c r="S196">
        <f>IF(
AND($Q196=1,$M196&lt;&gt;""),
IF(
COUNTIFS(
$M$3:$M196,$M196,
$O$3:$O196,$O196,
$Q$3:$Q196,1,
$P$3:$P196,"&gt;="&amp;EOMONTH($P196,-1)+1,
$P$3:$P196,"&lt;"&amp;EOMONTH($P196,0)+1
)=1,
1,
0),
0)</f>
        <v>0</v>
      </c>
      <c r="T196">
        <f>IF(AND($R196=1,$M196&lt;&gt;""),IF(COUNTIFS($M$3:$M196,$M196,$O$3:$O196,$O196,$R$3:$R196,1,$P$3:$P196,"&gt;="&amp;EOMONTH($P196,-1)+1,$P$3:$P196,"&lt;"&amp;EOMONTH($P196,0)+1)=1,1,0),0)</f>
        <v>0</v>
      </c>
      <c r="U196">
        <f t="shared" si="36"/>
        <v>1</v>
      </c>
      <c r="V196">
        <f>IF(AND($U196=1,$M196&lt;&gt;""),IF(COUNTIFS($M$3:$M196,$M196,$O$3:$O196,$O196,$U$3:$U196,1,$P$3:$P196,"&gt;="&amp;EOMONTH($P196,-1)+1,$P$3:$P196,"&lt;"&amp;EOMONTH($P196,0)+1)=1,1,0),0)</f>
        <v>1</v>
      </c>
      <c r="W196" s="444">
        <f ca="1">TODAY()-Table1[[#This Row],[Change Date]]</f>
        <v>136.80972222222044</v>
      </c>
      <c r="X196" s="422" t="str">
        <f t="shared" si="37"/>
        <v/>
      </c>
      <c r="Y196" s="476">
        <f ca="1">IF(Table1[[#This Row],[Next Stage Date]]&lt;&gt;"",Table1[[#This Row],[Next Stage Date]]-Table1[[#This Row],[Change Date]],TODAY()-Table1[[#This Row],[Change Date]])</f>
        <v>136.80972222222044</v>
      </c>
      <c r="Z196" s="476">
        <f t="shared" si="38"/>
        <v>1</v>
      </c>
      <c r="AA196" s="422" t="str">
        <f t="shared" si="39"/>
        <v/>
      </c>
      <c r="AB196" s="422" t="str">
        <f t="shared" si="40"/>
        <v/>
      </c>
      <c r="AC196" s="476" t="str">
        <f t="shared" si="41"/>
        <v/>
      </c>
      <c r="AD196" s="476" t="str">
        <f t="shared" si="42"/>
        <v/>
      </c>
      <c r="AE196" s="476" t="str">
        <f t="shared" si="43"/>
        <v/>
      </c>
      <c r="AF196" s="476" t="b">
        <f>IFERROR(_xlfn.XLOOKUP(Table1[[#This Row],[Opportunity ID]],'Aging Detail'!$H$14:$H$20,'Aging Detail'!$F$14:$F$20),TRUE)</f>
        <v>1</v>
      </c>
    </row>
    <row r="197" spans="1:32">
      <c r="A197" t="s">
        <v>1461</v>
      </c>
      <c r="B197" t="s">
        <v>1462</v>
      </c>
      <c r="C197" t="s">
        <v>462</v>
      </c>
      <c r="D197" t="s">
        <v>2055</v>
      </c>
      <c r="E197" t="s">
        <v>1602</v>
      </c>
      <c r="F197" t="s">
        <v>1465</v>
      </c>
      <c r="I197" s="422">
        <v>46080</v>
      </c>
      <c r="J197" s="422">
        <v>46225</v>
      </c>
      <c r="K197">
        <v>0</v>
      </c>
      <c r="L197">
        <v>0</v>
      </c>
      <c r="M197" t="s">
        <v>1603</v>
      </c>
      <c r="N197" t="s">
        <v>1604</v>
      </c>
      <c r="O197" t="str">
        <f>_xlfn.IFNA(VLOOKUP(Table1[[#This Row],[Lead Source]],'helper tab'!A:B,2,FALSE),"Exclude")</f>
        <v>Exclude</v>
      </c>
      <c r="P197" s="422">
        <f t="shared" si="33"/>
        <v>46120.576388888891</v>
      </c>
      <c r="Q197">
        <f t="shared" si="34"/>
        <v>1</v>
      </c>
      <c r="R197">
        <f t="shared" si="35"/>
        <v>0</v>
      </c>
      <c r="S197">
        <f>IF(
AND($Q197=1,$M197&lt;&gt;""),
IF(
COUNTIFS(
$M$3:$M197,$M197,
$O$3:$O197,$O197,
$Q$3:$Q197,1,
$P$3:$P197,"&gt;="&amp;EOMONTH($P197,-1)+1,
$P$3:$P197,"&lt;"&amp;EOMONTH($P197,0)+1
)=1,
1,
0),
0)</f>
        <v>1</v>
      </c>
      <c r="T197">
        <f>IF(AND($R197=1,$M197&lt;&gt;""),IF(COUNTIFS($M$3:$M197,$M197,$O$3:$O197,$O197,$R$3:$R197,1,$P$3:$P197,"&gt;="&amp;EOMONTH($P197,-1)+1,$P$3:$P197,"&lt;"&amp;EOMONTH($P197,0)+1)=1,1,0),0)</f>
        <v>0</v>
      </c>
      <c r="U197">
        <f t="shared" si="36"/>
        <v>0</v>
      </c>
      <c r="V197">
        <f>IF(AND($U197=1,$M197&lt;&gt;""),IF(COUNTIFS($M$3:$M197,$M197,$O$3:$O197,$O197,$U$3:$U197,1,$P$3:$P197,"&gt;="&amp;EOMONTH($P197,-1)+1,$P$3:$P197,"&lt;"&amp;EOMONTH($P197,0)+1)=1,1,0),0)</f>
        <v>0</v>
      </c>
      <c r="W197" s="444">
        <f ca="1">TODAY()-Table1[[#This Row],[Change Date]]</f>
        <v>137.42361111110949</v>
      </c>
      <c r="X197" s="422">
        <f t="shared" si="37"/>
        <v>46209.226388888892</v>
      </c>
      <c r="Y197" s="476">
        <f ca="1">IF(Table1[[#This Row],[Next Stage Date]]&lt;&gt;"",Table1[[#This Row],[Next Stage Date]]-Table1[[#This Row],[Change Date]],TODAY()-Table1[[#This Row],[Change Date]])</f>
        <v>88.650000000001455</v>
      </c>
      <c r="Z197" s="476">
        <f t="shared" si="38"/>
        <v>0</v>
      </c>
      <c r="AA197" s="422">
        <f t="shared" si="39"/>
        <v>46225.582638888889</v>
      </c>
      <c r="AB197" s="422">
        <f t="shared" si="40"/>
        <v>46120.576388888891</v>
      </c>
      <c r="AC197" s="476">
        <f t="shared" si="41"/>
        <v>40.576388888890506</v>
      </c>
      <c r="AD197" s="476">
        <f t="shared" si="42"/>
        <v>105.00624999999854</v>
      </c>
      <c r="AE197" s="476">
        <f t="shared" si="43"/>
        <v>145.58263888888905</v>
      </c>
      <c r="AF197" s="476" t="b">
        <f>IFERROR(_xlfn.XLOOKUP(Table1[[#This Row],[Opportunity ID]],'Aging Detail'!$H$14:$H$20,'Aging Detail'!$F$14:$F$20),TRUE)</f>
        <v>1</v>
      </c>
    </row>
    <row r="198" spans="1:32">
      <c r="A198" t="s">
        <v>1461</v>
      </c>
      <c r="B198" t="s">
        <v>408</v>
      </c>
      <c r="C198" t="s">
        <v>1462</v>
      </c>
      <c r="D198" t="s">
        <v>2056</v>
      </c>
      <c r="E198" t="s">
        <v>1602</v>
      </c>
      <c r="F198" t="s">
        <v>1465</v>
      </c>
      <c r="I198" s="422">
        <v>46080</v>
      </c>
      <c r="J198" s="422">
        <v>46225</v>
      </c>
      <c r="K198">
        <v>0</v>
      </c>
      <c r="L198">
        <v>0</v>
      </c>
      <c r="M198" t="s">
        <v>1603</v>
      </c>
      <c r="N198" t="s">
        <v>1604</v>
      </c>
      <c r="O198" t="str">
        <f>_xlfn.IFNA(VLOOKUP(Table1[[#This Row],[Lead Source]],'helper tab'!A:B,2,FALSE),"Exclude")</f>
        <v>Exclude</v>
      </c>
      <c r="P198" s="422">
        <f t="shared" si="33"/>
        <v>46120.575694444444</v>
      </c>
      <c r="Q198">
        <f t="shared" si="34"/>
        <v>0</v>
      </c>
      <c r="R198">
        <f t="shared" si="35"/>
        <v>0</v>
      </c>
      <c r="S198">
        <f>IF(
AND($Q198=1,$M198&lt;&gt;""),
IF(
COUNTIFS(
$M$3:$M198,$M198,
$O$3:$O198,$O198,
$Q$3:$Q198,1,
$P$3:$P198,"&gt;="&amp;EOMONTH($P198,-1)+1,
$P$3:$P198,"&lt;"&amp;EOMONTH($P198,0)+1
)=1,
1,
0),
0)</f>
        <v>0</v>
      </c>
      <c r="T198">
        <f>IF(AND($R198=1,$M198&lt;&gt;""),IF(COUNTIFS($M$3:$M198,$M198,$O$3:$O198,$O198,$R$3:$R198,1,$P$3:$P198,"&gt;="&amp;EOMONTH($P198,-1)+1,$P$3:$P198,"&lt;"&amp;EOMONTH($P198,0)+1)=1,1,0),0)</f>
        <v>0</v>
      </c>
      <c r="U198">
        <f t="shared" si="36"/>
        <v>0</v>
      </c>
      <c r="V198">
        <f>IF(AND($U198=1,$M198&lt;&gt;""),IF(COUNTIFS($M$3:$M198,$M198,$O$3:$O198,$O198,$U$3:$U198,1,$P$3:$P198,"&gt;="&amp;EOMONTH($P198,-1)+1,$P$3:$P198,"&lt;"&amp;EOMONTH($P198,0)+1)=1,1,0),0)</f>
        <v>0</v>
      </c>
      <c r="W198" s="444">
        <f ca="1">TODAY()-Table1[[#This Row],[Change Date]]</f>
        <v>137.4243055555562</v>
      </c>
      <c r="X198" s="422">
        <f t="shared" si="37"/>
        <v>46120.576388888891</v>
      </c>
      <c r="Y198" s="476">
        <f ca="1">IF(Table1[[#This Row],[Next Stage Date]]&lt;&gt;"",Table1[[#This Row],[Next Stage Date]]-Table1[[#This Row],[Change Date]],TODAY()-Table1[[#This Row],[Change Date]])</f>
        <v>6.944444467080757E-4</v>
      </c>
      <c r="Z198" s="476">
        <f t="shared" si="38"/>
        <v>0</v>
      </c>
      <c r="AA198" s="422">
        <f t="shared" si="39"/>
        <v>46225.582638888889</v>
      </c>
      <c r="AB198" s="422">
        <f t="shared" si="40"/>
        <v>46120.576388888891</v>
      </c>
      <c r="AC198" s="476">
        <f t="shared" si="41"/>
        <v>40.576388888890506</v>
      </c>
      <c r="AD198" s="476">
        <f t="shared" si="42"/>
        <v>105.00624999999854</v>
      </c>
      <c r="AE198" s="476">
        <f t="shared" si="43"/>
        <v>145.58263888888905</v>
      </c>
      <c r="AF198" s="476" t="b">
        <f>IFERROR(_xlfn.XLOOKUP(Table1[[#This Row],[Opportunity ID]],'Aging Detail'!$H$14:$H$20,'Aging Detail'!$F$14:$F$20),TRUE)</f>
        <v>1</v>
      </c>
    </row>
    <row r="199" spans="1:32">
      <c r="A199" t="s">
        <v>1461</v>
      </c>
      <c r="B199" t="s">
        <v>408</v>
      </c>
      <c r="C199" t="s">
        <v>1462</v>
      </c>
      <c r="D199" t="s">
        <v>2056</v>
      </c>
      <c r="E199" t="s">
        <v>2057</v>
      </c>
      <c r="F199" t="s">
        <v>1490</v>
      </c>
      <c r="I199" s="422">
        <v>45610</v>
      </c>
      <c r="J199" s="422">
        <v>46387</v>
      </c>
      <c r="K199">
        <v>292800</v>
      </c>
      <c r="L199">
        <v>214800</v>
      </c>
      <c r="M199" t="s">
        <v>2058</v>
      </c>
      <c r="N199" t="s">
        <v>1604</v>
      </c>
      <c r="O199" t="str">
        <f>_xlfn.IFNA(VLOOKUP(Table1[[#This Row],[Lead Source]],'helper tab'!A:B,2,FALSE),"Exclude")</f>
        <v>Cold</v>
      </c>
      <c r="P199" s="422">
        <f t="shared" si="33"/>
        <v>46120.575694444444</v>
      </c>
      <c r="Q199">
        <f t="shared" si="34"/>
        <v>0</v>
      </c>
      <c r="R199">
        <f t="shared" si="35"/>
        <v>0</v>
      </c>
      <c r="S199">
        <f>IF(
AND($Q199=1,$M199&lt;&gt;""),
IF(
COUNTIFS(
$M$3:$M199,$M199,
$O$3:$O199,$O199,
$Q$3:$Q199,1,
$P$3:$P199,"&gt;="&amp;EOMONTH($P199,-1)+1,
$P$3:$P199,"&lt;"&amp;EOMONTH($P199,0)+1
)=1,
1,
0),
0)</f>
        <v>0</v>
      </c>
      <c r="T199">
        <f>IF(AND($R199=1,$M199&lt;&gt;""),IF(COUNTIFS($M$3:$M199,$M199,$O$3:$O199,$O199,$R$3:$R199,1,$P$3:$P199,"&gt;="&amp;EOMONTH($P199,-1)+1,$P$3:$P199,"&lt;"&amp;EOMONTH($P199,0)+1)=1,1,0),0)</f>
        <v>0</v>
      </c>
      <c r="U199">
        <f t="shared" si="36"/>
        <v>0</v>
      </c>
      <c r="V199">
        <f>IF(AND($U199=1,$M199&lt;&gt;""),IF(COUNTIFS($M$3:$M199,$M199,$O$3:$O199,$O199,$U$3:$U199,1,$P$3:$P199,"&gt;="&amp;EOMONTH($P199,-1)+1,$P$3:$P199,"&lt;"&amp;EOMONTH($P199,0)+1)=1,1,0),0)</f>
        <v>0</v>
      </c>
      <c r="W199" s="444">
        <f ca="1">TODAY()-Table1[[#This Row],[Change Date]]</f>
        <v>137.4243055555562</v>
      </c>
      <c r="X199" s="422" t="str">
        <f t="shared" si="37"/>
        <v/>
      </c>
      <c r="Y199" s="476">
        <f ca="1">IF(Table1[[#This Row],[Next Stage Date]]&lt;&gt;"",Table1[[#This Row],[Next Stage Date]]-Table1[[#This Row],[Change Date]],TODAY()-Table1[[#This Row],[Change Date]])</f>
        <v>137.4243055555562</v>
      </c>
      <c r="Z199" s="476">
        <f t="shared" si="38"/>
        <v>1</v>
      </c>
      <c r="AA199" s="422" t="str">
        <f t="shared" si="39"/>
        <v/>
      </c>
      <c r="AB199" s="422" t="str">
        <f t="shared" si="40"/>
        <v/>
      </c>
      <c r="AC199" s="476" t="str">
        <f t="shared" si="41"/>
        <v/>
      </c>
      <c r="AD199" s="476" t="str">
        <f t="shared" si="42"/>
        <v/>
      </c>
      <c r="AE199" s="476" t="str">
        <f t="shared" si="43"/>
        <v/>
      </c>
      <c r="AF199" s="476" t="b">
        <f>IFERROR(_xlfn.XLOOKUP(Table1[[#This Row],[Opportunity ID]],'Aging Detail'!$H$14:$H$20,'Aging Detail'!$F$14:$F$20),TRUE)</f>
        <v>1</v>
      </c>
    </row>
    <row r="200" spans="1:32">
      <c r="A200" t="s">
        <v>1461</v>
      </c>
      <c r="B200" t="s">
        <v>408</v>
      </c>
      <c r="C200" t="s">
        <v>1469</v>
      </c>
      <c r="D200" t="s">
        <v>2059</v>
      </c>
      <c r="E200" t="s">
        <v>2060</v>
      </c>
      <c r="F200" t="s">
        <v>1484</v>
      </c>
      <c r="I200" s="422">
        <v>44887</v>
      </c>
      <c r="J200" s="422">
        <v>73050</v>
      </c>
      <c r="L200">
        <v>0</v>
      </c>
      <c r="M200" t="s">
        <v>2061</v>
      </c>
      <c r="N200" t="s">
        <v>1604</v>
      </c>
      <c r="O200" t="str">
        <f>_xlfn.IFNA(VLOOKUP(Table1[[#This Row],[Lead Source]],'helper tab'!A:B,2,FALSE),"Exclude")</f>
        <v>Exclude</v>
      </c>
      <c r="P200" s="422">
        <f t="shared" si="33"/>
        <v>46120.42083333333</v>
      </c>
      <c r="Q200">
        <f t="shared" si="34"/>
        <v>0</v>
      </c>
      <c r="R200">
        <f t="shared" si="35"/>
        <v>0</v>
      </c>
      <c r="S200">
        <f>IF(
AND($Q200=1,$M200&lt;&gt;""),
IF(
COUNTIFS(
$M$3:$M200,$M200,
$O$3:$O200,$O200,
$Q$3:$Q200,1,
$P$3:$P200,"&gt;="&amp;EOMONTH($P200,-1)+1,
$P$3:$P200,"&lt;"&amp;EOMONTH($P200,0)+1
)=1,
1,
0),
0)</f>
        <v>0</v>
      </c>
      <c r="T200">
        <f>IF(AND($R200=1,$M200&lt;&gt;""),IF(COUNTIFS($M$3:$M200,$M200,$O$3:$O200,$O200,$R$3:$R200,1,$P$3:$P200,"&gt;="&amp;EOMONTH($P200,-1)+1,$P$3:$P200,"&lt;"&amp;EOMONTH($P200,0)+1)=1,1,0),0)</f>
        <v>0</v>
      </c>
      <c r="U200">
        <f t="shared" si="36"/>
        <v>1</v>
      </c>
      <c r="V200">
        <f>IF(AND($U200=1,$M200&lt;&gt;""),IF(COUNTIFS($M$3:$M200,$M200,$O$3:$O200,$O200,$U$3:$U200,1,$P$3:$P200,"&gt;="&amp;EOMONTH($P200,-1)+1,$P$3:$P200,"&lt;"&amp;EOMONTH($P200,0)+1)=1,1,0),0)</f>
        <v>1</v>
      </c>
      <c r="W200" s="444">
        <f ca="1">TODAY()-Table1[[#This Row],[Change Date]]</f>
        <v>137.57916666667006</v>
      </c>
      <c r="X200" s="422" t="str">
        <f t="shared" si="37"/>
        <v/>
      </c>
      <c r="Y200" s="476">
        <f ca="1">IF(Table1[[#This Row],[Next Stage Date]]&lt;&gt;"",Table1[[#This Row],[Next Stage Date]]-Table1[[#This Row],[Change Date]],TODAY()-Table1[[#This Row],[Change Date]])</f>
        <v>137.57916666667006</v>
      </c>
      <c r="Z200" s="476">
        <f t="shared" si="38"/>
        <v>1</v>
      </c>
      <c r="AA200" s="422" t="str">
        <f t="shared" si="39"/>
        <v/>
      </c>
      <c r="AB200" s="422" t="str">
        <f t="shared" si="40"/>
        <v/>
      </c>
      <c r="AC200" s="476" t="str">
        <f t="shared" si="41"/>
        <v/>
      </c>
      <c r="AD200" s="476" t="str">
        <f t="shared" si="42"/>
        <v/>
      </c>
      <c r="AE200" s="476" t="str">
        <f t="shared" si="43"/>
        <v/>
      </c>
      <c r="AF200" s="476" t="b">
        <f>IFERROR(_xlfn.XLOOKUP(Table1[[#This Row],[Opportunity ID]],'Aging Detail'!$H$14:$H$20,'Aging Detail'!$F$14:$F$20),TRUE)</f>
        <v>1</v>
      </c>
    </row>
    <row r="201" spans="1:32">
      <c r="A201" t="s">
        <v>1461</v>
      </c>
      <c r="B201" t="s">
        <v>1462</v>
      </c>
      <c r="C201" t="s">
        <v>1469</v>
      </c>
      <c r="D201" t="s">
        <v>2062</v>
      </c>
      <c r="E201" t="s">
        <v>2063</v>
      </c>
      <c r="F201" t="s">
        <v>1486</v>
      </c>
      <c r="I201" s="422">
        <v>45188</v>
      </c>
      <c r="J201" s="422">
        <v>73050</v>
      </c>
      <c r="L201">
        <v>0</v>
      </c>
      <c r="M201" t="s">
        <v>2064</v>
      </c>
      <c r="N201" t="s">
        <v>2065</v>
      </c>
      <c r="O201" t="str">
        <f>_xlfn.IFNA(VLOOKUP(Table1[[#This Row],[Lead Source]],'helper tab'!A:B,2,FALSE),"Exclude")</f>
        <v>Exclude</v>
      </c>
      <c r="P201" s="422">
        <f t="shared" si="33"/>
        <v>46120.420138888891</v>
      </c>
      <c r="Q201">
        <f t="shared" si="34"/>
        <v>0</v>
      </c>
      <c r="R201">
        <f t="shared" si="35"/>
        <v>0</v>
      </c>
      <c r="S201">
        <f>IF(
AND($Q201=1,$M201&lt;&gt;""),
IF(
COUNTIFS(
$M$3:$M201,$M201,
$O$3:$O201,$O201,
$Q$3:$Q201,1,
$P$3:$P201,"&gt;="&amp;EOMONTH($P201,-1)+1,
$P$3:$P201,"&lt;"&amp;EOMONTH($P201,0)+1
)=1,
1,
0),
0)</f>
        <v>0</v>
      </c>
      <c r="T201">
        <f>IF(AND($R201=1,$M201&lt;&gt;""),IF(COUNTIFS($M$3:$M201,$M201,$O$3:$O201,$O201,$R$3:$R201,1,$P$3:$P201,"&gt;="&amp;EOMONTH($P201,-1)+1,$P$3:$P201,"&lt;"&amp;EOMONTH($P201,0)+1)=1,1,0),0)</f>
        <v>0</v>
      </c>
      <c r="U201">
        <f t="shared" si="36"/>
        <v>1</v>
      </c>
      <c r="V201">
        <f>IF(AND($U201=1,$M201&lt;&gt;""),IF(COUNTIFS($M$3:$M201,$M201,$O$3:$O201,$O201,$U$3:$U201,1,$P$3:$P201,"&gt;="&amp;EOMONTH($P201,-1)+1,$P$3:$P201,"&lt;"&amp;EOMONTH($P201,0)+1)=1,1,0),0)</f>
        <v>1</v>
      </c>
      <c r="W201" s="444">
        <f ca="1">TODAY()-Table1[[#This Row],[Change Date]]</f>
        <v>137.57986111110949</v>
      </c>
      <c r="X201" s="422" t="str">
        <f t="shared" si="37"/>
        <v/>
      </c>
      <c r="Y201" s="476">
        <f ca="1">IF(Table1[[#This Row],[Next Stage Date]]&lt;&gt;"",Table1[[#This Row],[Next Stage Date]]-Table1[[#This Row],[Change Date]],TODAY()-Table1[[#This Row],[Change Date]])</f>
        <v>137.57986111110949</v>
      </c>
      <c r="Z201" s="476">
        <f t="shared" si="38"/>
        <v>1</v>
      </c>
      <c r="AA201" s="422" t="str">
        <f t="shared" si="39"/>
        <v/>
      </c>
      <c r="AB201" s="422" t="str">
        <f t="shared" si="40"/>
        <v/>
      </c>
      <c r="AC201" s="476" t="str">
        <f t="shared" si="41"/>
        <v/>
      </c>
      <c r="AD201" s="476" t="str">
        <f t="shared" si="42"/>
        <v/>
      </c>
      <c r="AE201" s="476" t="str">
        <f t="shared" si="43"/>
        <v/>
      </c>
      <c r="AF201" s="476" t="b">
        <f>IFERROR(_xlfn.XLOOKUP(Table1[[#This Row],[Opportunity ID]],'Aging Detail'!$H$14:$H$20,'Aging Detail'!$F$14:$F$20),TRUE)</f>
        <v>1</v>
      </c>
    </row>
    <row r="202" spans="1:32">
      <c r="A202" t="s">
        <v>1461</v>
      </c>
      <c r="B202" t="s">
        <v>408</v>
      </c>
      <c r="C202" t="s">
        <v>1469</v>
      </c>
      <c r="D202" t="s">
        <v>2066</v>
      </c>
      <c r="E202" t="s">
        <v>2067</v>
      </c>
      <c r="I202" s="422">
        <v>45516</v>
      </c>
      <c r="J202" s="422">
        <v>46477</v>
      </c>
      <c r="K202">
        <v>0</v>
      </c>
      <c r="L202">
        <v>0</v>
      </c>
      <c r="M202" t="s">
        <v>2068</v>
      </c>
      <c r="N202" t="s">
        <v>1691</v>
      </c>
      <c r="O202" t="str">
        <f>_xlfn.IFNA(VLOOKUP(Table1[[#This Row],[Lead Source]],'helper tab'!A:B,2,FALSE),"Exclude")</f>
        <v>Exclude</v>
      </c>
      <c r="P202" s="422">
        <f t="shared" si="33"/>
        <v>46119.505555555559</v>
      </c>
      <c r="Q202">
        <f t="shared" si="34"/>
        <v>0</v>
      </c>
      <c r="R202">
        <f t="shared" si="35"/>
        <v>0</v>
      </c>
      <c r="S202">
        <f>IF(
AND($Q202=1,$M202&lt;&gt;""),
IF(
COUNTIFS(
$M$3:$M202,$M202,
$O$3:$O202,$O202,
$Q$3:$Q202,1,
$P$3:$P202,"&gt;="&amp;EOMONTH($P202,-1)+1,
$P$3:$P202,"&lt;"&amp;EOMONTH($P202,0)+1
)=1,
1,
0),
0)</f>
        <v>0</v>
      </c>
      <c r="T202">
        <f>IF(AND($R202=1,$M202&lt;&gt;""),IF(COUNTIFS($M$3:$M202,$M202,$O$3:$O202,$O202,$R$3:$R202,1,$P$3:$P202,"&gt;="&amp;EOMONTH($P202,-1)+1,$P$3:$P202,"&lt;"&amp;EOMONTH($P202,0)+1)=1,1,0),0)</f>
        <v>0</v>
      </c>
      <c r="U202">
        <f t="shared" si="36"/>
        <v>1</v>
      </c>
      <c r="V202">
        <f>IF(AND($U202=1,$M202&lt;&gt;""),IF(COUNTIFS($M$3:$M202,$M202,$O$3:$O202,$O202,$U$3:$U202,1,$P$3:$P202,"&gt;="&amp;EOMONTH($P202,-1)+1,$P$3:$P202,"&lt;"&amp;EOMONTH($P202,0)+1)=1,1,0),0)</f>
        <v>1</v>
      </c>
      <c r="W202" s="444">
        <f ca="1">TODAY()-Table1[[#This Row],[Change Date]]</f>
        <v>138.49444444444089</v>
      </c>
      <c r="X202" s="422" t="str">
        <f t="shared" si="37"/>
        <v/>
      </c>
      <c r="Y202" s="476">
        <f ca="1">IF(Table1[[#This Row],[Next Stage Date]]&lt;&gt;"",Table1[[#This Row],[Next Stage Date]]-Table1[[#This Row],[Change Date]],TODAY()-Table1[[#This Row],[Change Date]])</f>
        <v>138.49444444444089</v>
      </c>
      <c r="Z202" s="476">
        <f t="shared" si="38"/>
        <v>1</v>
      </c>
      <c r="AA202" s="422" t="str">
        <f t="shared" si="39"/>
        <v/>
      </c>
      <c r="AB202" s="422" t="str">
        <f t="shared" si="40"/>
        <v/>
      </c>
      <c r="AC202" s="476" t="str">
        <f t="shared" si="41"/>
        <v/>
      </c>
      <c r="AD202" s="476" t="str">
        <f t="shared" si="42"/>
        <v/>
      </c>
      <c r="AE202" s="476" t="str">
        <f t="shared" si="43"/>
        <v/>
      </c>
      <c r="AF202" s="476" t="b">
        <f>IFERROR(_xlfn.XLOOKUP(Table1[[#This Row],[Opportunity ID]],'Aging Detail'!$H$14:$H$20,'Aging Detail'!$F$14:$F$20),TRUE)</f>
        <v>1</v>
      </c>
    </row>
    <row r="203" spans="1:32">
      <c r="A203" t="s">
        <v>1461</v>
      </c>
      <c r="B203" t="s">
        <v>1462</v>
      </c>
      <c r="C203" t="s">
        <v>1469</v>
      </c>
      <c r="D203" t="s">
        <v>2069</v>
      </c>
      <c r="E203" t="s">
        <v>2070</v>
      </c>
      <c r="F203" t="s">
        <v>1632</v>
      </c>
      <c r="I203" s="422">
        <v>46091</v>
      </c>
      <c r="J203" s="422">
        <v>46112</v>
      </c>
      <c r="L203">
        <v>0</v>
      </c>
      <c r="M203" t="s">
        <v>2071</v>
      </c>
      <c r="N203" t="s">
        <v>1634</v>
      </c>
      <c r="O203" t="str">
        <f>_xlfn.IFNA(VLOOKUP(Table1[[#This Row],[Lead Source]],'helper tab'!A:B,2,FALSE),"Exclude")</f>
        <v>Exclude</v>
      </c>
      <c r="P203" s="422">
        <f t="shared" si="33"/>
        <v>46119.34097222222</v>
      </c>
      <c r="Q203">
        <f t="shared" si="34"/>
        <v>0</v>
      </c>
      <c r="R203">
        <f t="shared" si="35"/>
        <v>0</v>
      </c>
      <c r="S203">
        <f>IF(
AND($Q203=1,$M203&lt;&gt;""),
IF(
COUNTIFS(
$M$3:$M203,$M203,
$O$3:$O203,$O203,
$Q$3:$Q203,1,
$P$3:$P203,"&gt;="&amp;EOMONTH($P203,-1)+1,
$P$3:$P203,"&lt;"&amp;EOMONTH($P203,0)+1
)=1,
1,
0),
0)</f>
        <v>0</v>
      </c>
      <c r="T203">
        <f>IF(AND($R203=1,$M203&lt;&gt;""),IF(COUNTIFS($M$3:$M203,$M203,$O$3:$O203,$O203,$R$3:$R203,1,$P$3:$P203,"&gt;="&amp;EOMONTH($P203,-1)+1,$P$3:$P203,"&lt;"&amp;EOMONTH($P203,0)+1)=1,1,0),0)</f>
        <v>0</v>
      </c>
      <c r="U203">
        <f t="shared" si="36"/>
        <v>1</v>
      </c>
      <c r="V203">
        <f>IF(AND($U203=1,$M203&lt;&gt;""),IF(COUNTIFS($M$3:$M203,$M203,$O$3:$O203,$O203,$U$3:$U203,1,$P$3:$P203,"&gt;="&amp;EOMONTH($P203,-1)+1,$P$3:$P203,"&lt;"&amp;EOMONTH($P203,0)+1)=1,1,0),0)</f>
        <v>1</v>
      </c>
      <c r="W203" s="444">
        <f ca="1">TODAY()-Table1[[#This Row],[Change Date]]</f>
        <v>138.65902777777956</v>
      </c>
      <c r="X203" s="422" t="str">
        <f t="shared" si="37"/>
        <v/>
      </c>
      <c r="Y203" s="476">
        <f ca="1">IF(Table1[[#This Row],[Next Stage Date]]&lt;&gt;"",Table1[[#This Row],[Next Stage Date]]-Table1[[#This Row],[Change Date]],TODAY()-Table1[[#This Row],[Change Date]])</f>
        <v>138.65902777777956</v>
      </c>
      <c r="Z203" s="476">
        <f t="shared" si="38"/>
        <v>1</v>
      </c>
      <c r="AA203" s="422" t="str">
        <f t="shared" si="39"/>
        <v/>
      </c>
      <c r="AB203" s="422" t="str">
        <f t="shared" si="40"/>
        <v/>
      </c>
      <c r="AC203" s="476" t="str">
        <f t="shared" si="41"/>
        <v/>
      </c>
      <c r="AD203" s="476" t="str">
        <f t="shared" si="42"/>
        <v/>
      </c>
      <c r="AE203" s="476" t="str">
        <f t="shared" si="43"/>
        <v/>
      </c>
      <c r="AF203" s="476" t="b">
        <f>IFERROR(_xlfn.XLOOKUP(Table1[[#This Row],[Opportunity ID]],'Aging Detail'!$H$14:$H$20,'Aging Detail'!$F$14:$F$20),TRUE)</f>
        <v>1</v>
      </c>
    </row>
    <row r="204" spans="1:32">
      <c r="A204" t="s">
        <v>1461</v>
      </c>
      <c r="B204" t="s">
        <v>526</v>
      </c>
      <c r="C204" t="s">
        <v>1469</v>
      </c>
      <c r="D204" t="s">
        <v>2072</v>
      </c>
      <c r="E204" t="s">
        <v>2073</v>
      </c>
      <c r="I204" s="422">
        <v>45744</v>
      </c>
      <c r="J204" s="422">
        <v>46112</v>
      </c>
      <c r="K204">
        <v>154800</v>
      </c>
      <c r="L204">
        <v>154800</v>
      </c>
      <c r="M204" t="s">
        <v>2074</v>
      </c>
      <c r="N204" t="s">
        <v>1739</v>
      </c>
      <c r="O204" t="str">
        <f>_xlfn.IFNA(VLOOKUP(Table1[[#This Row],[Lead Source]],'helper tab'!A:B,2,FALSE),"Exclude")</f>
        <v>Exclude</v>
      </c>
      <c r="P204" s="422">
        <f t="shared" si="33"/>
        <v>46118.597222222219</v>
      </c>
      <c r="Q204">
        <f t="shared" si="34"/>
        <v>0</v>
      </c>
      <c r="R204">
        <f t="shared" si="35"/>
        <v>0</v>
      </c>
      <c r="S204">
        <f>IF(
AND($Q204=1,$M204&lt;&gt;""),
IF(
COUNTIFS(
$M$3:$M204,$M204,
$O$3:$O204,$O204,
$Q$3:$Q204,1,
$P$3:$P204,"&gt;="&amp;EOMONTH($P204,-1)+1,
$P$3:$P204,"&lt;"&amp;EOMONTH($P204,0)+1
)=1,
1,
0),
0)</f>
        <v>0</v>
      </c>
      <c r="T204">
        <f>IF(AND($R204=1,$M204&lt;&gt;""),IF(COUNTIFS($M$3:$M204,$M204,$O$3:$O204,$O204,$R$3:$R204,1,$P$3:$P204,"&gt;="&amp;EOMONTH($P204,-1)+1,$P$3:$P204,"&lt;"&amp;EOMONTH($P204,0)+1)=1,1,0),0)</f>
        <v>0</v>
      </c>
      <c r="U204">
        <f t="shared" si="36"/>
        <v>1</v>
      </c>
      <c r="V204">
        <f>IF(AND($U204=1,$M204&lt;&gt;""),IF(COUNTIFS($M$3:$M204,$M204,$O$3:$O204,$O204,$U$3:$U204,1,$P$3:$P204,"&gt;="&amp;EOMONTH($P204,-1)+1,$P$3:$P204,"&lt;"&amp;EOMONTH($P204,0)+1)=1,1,0),0)</f>
        <v>1</v>
      </c>
      <c r="W204" s="444">
        <f ca="1">TODAY()-Table1[[#This Row],[Change Date]]</f>
        <v>139.40277777778101</v>
      </c>
      <c r="X204" s="422" t="str">
        <f t="shared" si="37"/>
        <v/>
      </c>
      <c r="Y204" s="476">
        <f ca="1">IF(Table1[[#This Row],[Next Stage Date]]&lt;&gt;"",Table1[[#This Row],[Next Stage Date]]-Table1[[#This Row],[Change Date]],TODAY()-Table1[[#This Row],[Change Date]])</f>
        <v>139.40277777778101</v>
      </c>
      <c r="Z204" s="476">
        <f t="shared" si="38"/>
        <v>1</v>
      </c>
      <c r="AA204" s="422" t="str">
        <f t="shared" si="39"/>
        <v/>
      </c>
      <c r="AB204" s="422">
        <f t="shared" si="40"/>
        <v>46118.59652777778</v>
      </c>
      <c r="AC204" s="476">
        <f t="shared" si="41"/>
        <v>374.59652777777956</v>
      </c>
      <c r="AD204" s="476" t="str">
        <f t="shared" si="42"/>
        <v/>
      </c>
      <c r="AE204" s="476" t="str">
        <f t="shared" si="43"/>
        <v/>
      </c>
      <c r="AF204" s="476" t="b">
        <f>IFERROR(_xlfn.XLOOKUP(Table1[[#This Row],[Opportunity ID]],'Aging Detail'!$H$14:$H$20,'Aging Detail'!$F$14:$F$20),TRUE)</f>
        <v>1</v>
      </c>
    </row>
    <row r="205" spans="1:32">
      <c r="A205" t="s">
        <v>1461</v>
      </c>
      <c r="B205" t="s">
        <v>1469</v>
      </c>
      <c r="C205" t="s">
        <v>526</v>
      </c>
      <c r="D205" t="s">
        <v>2075</v>
      </c>
      <c r="E205" t="s">
        <v>2073</v>
      </c>
      <c r="I205" s="422">
        <v>45744</v>
      </c>
      <c r="J205" s="422">
        <v>46112</v>
      </c>
      <c r="K205">
        <v>154800</v>
      </c>
      <c r="L205">
        <v>154800</v>
      </c>
      <c r="M205" t="s">
        <v>2074</v>
      </c>
      <c r="N205" t="s">
        <v>1739</v>
      </c>
      <c r="O205" t="str">
        <f>_xlfn.IFNA(VLOOKUP(Table1[[#This Row],[Lead Source]],'helper tab'!A:B,2,FALSE),"Exclude")</f>
        <v>Exclude</v>
      </c>
      <c r="P205" s="422">
        <f t="shared" si="33"/>
        <v>46118.59652777778</v>
      </c>
      <c r="Q205">
        <f t="shared" si="34"/>
        <v>1</v>
      </c>
      <c r="R205">
        <f t="shared" si="35"/>
        <v>0</v>
      </c>
      <c r="S205">
        <f>IF(
AND($Q205=1,$M205&lt;&gt;""),
IF(
COUNTIFS(
$M$3:$M205,$M205,
$O$3:$O205,$O205,
$Q$3:$Q205,1,
$P$3:$P205,"&gt;="&amp;EOMONTH($P205,-1)+1,
$P$3:$P205,"&lt;"&amp;EOMONTH($P205,0)+1
)=1,
1,
0),
0)</f>
        <v>1</v>
      </c>
      <c r="T205">
        <f>IF(AND($R205=1,$M205&lt;&gt;""),IF(COUNTIFS($M$3:$M205,$M205,$O$3:$O205,$O205,$R$3:$R205,1,$P$3:$P205,"&gt;="&amp;EOMONTH($P205,-1)+1,$P$3:$P205,"&lt;"&amp;EOMONTH($P205,0)+1)=1,1,0),0)</f>
        <v>0</v>
      </c>
      <c r="U205">
        <f t="shared" si="36"/>
        <v>0</v>
      </c>
      <c r="V205">
        <f>IF(AND($U205=1,$M205&lt;&gt;""),IF(COUNTIFS($M$3:$M205,$M205,$O$3:$O205,$O205,$U$3:$U205,1,$P$3:$P205,"&gt;="&amp;EOMONTH($P205,-1)+1,$P$3:$P205,"&lt;"&amp;EOMONTH($P205,0)+1)=1,1,0),0)</f>
        <v>0</v>
      </c>
      <c r="W205" s="444">
        <f ca="1">TODAY()-Table1[[#This Row],[Change Date]]</f>
        <v>139.40347222222044</v>
      </c>
      <c r="X205" s="422">
        <f t="shared" si="37"/>
        <v>46118.597222222219</v>
      </c>
      <c r="Y205" s="476">
        <f ca="1">IF(Table1[[#This Row],[Next Stage Date]]&lt;&gt;"",Table1[[#This Row],[Next Stage Date]]-Table1[[#This Row],[Change Date]],TODAY()-Table1[[#This Row],[Change Date]])</f>
        <v>6.9444443943211809E-4</v>
      </c>
      <c r="Z205" s="476">
        <f t="shared" si="38"/>
        <v>0</v>
      </c>
      <c r="AA205" s="422" t="str">
        <f t="shared" si="39"/>
        <v/>
      </c>
      <c r="AB205" s="422">
        <f t="shared" si="40"/>
        <v>46118.59652777778</v>
      </c>
      <c r="AC205" s="476">
        <f t="shared" si="41"/>
        <v>374.59652777777956</v>
      </c>
      <c r="AD205" s="476" t="str">
        <f t="shared" si="42"/>
        <v/>
      </c>
      <c r="AE205" s="476" t="str">
        <f t="shared" si="43"/>
        <v/>
      </c>
      <c r="AF205" s="476" t="b">
        <f>IFERROR(_xlfn.XLOOKUP(Table1[[#This Row],[Opportunity ID]],'Aging Detail'!$H$14:$H$20,'Aging Detail'!$F$14:$F$20),TRUE)</f>
        <v>1</v>
      </c>
    </row>
    <row r="206" spans="1:32">
      <c r="A206" t="s">
        <v>1461</v>
      </c>
      <c r="B206" t="s">
        <v>526</v>
      </c>
      <c r="C206" t="s">
        <v>1469</v>
      </c>
      <c r="D206" t="s">
        <v>2076</v>
      </c>
      <c r="E206" t="s">
        <v>2077</v>
      </c>
      <c r="I206" s="422">
        <v>45926</v>
      </c>
      <c r="J206" s="422">
        <v>46295</v>
      </c>
      <c r="K206">
        <v>340080</v>
      </c>
      <c r="L206">
        <v>340080</v>
      </c>
      <c r="M206" t="s">
        <v>2078</v>
      </c>
      <c r="N206" t="s">
        <v>1642</v>
      </c>
      <c r="O206" t="str">
        <f>_xlfn.IFNA(VLOOKUP(Table1[[#This Row],[Lead Source]],'helper tab'!A:B,2,FALSE),"Exclude")</f>
        <v>Exclude</v>
      </c>
      <c r="P206" s="422">
        <f t="shared" si="33"/>
        <v>46118.55972222222</v>
      </c>
      <c r="Q206">
        <f t="shared" si="34"/>
        <v>0</v>
      </c>
      <c r="R206">
        <f t="shared" si="35"/>
        <v>0</v>
      </c>
      <c r="S206">
        <f>IF(
AND($Q206=1,$M206&lt;&gt;""),
IF(
COUNTIFS(
$M$3:$M206,$M206,
$O$3:$O206,$O206,
$Q$3:$Q206,1,
$P$3:$P206,"&gt;="&amp;EOMONTH($P206,-1)+1,
$P$3:$P206,"&lt;"&amp;EOMONTH($P206,0)+1
)=1,
1,
0),
0)</f>
        <v>0</v>
      </c>
      <c r="T206">
        <f>IF(AND($R206=1,$M206&lt;&gt;""),IF(COUNTIFS($M$3:$M206,$M206,$O$3:$O206,$O206,$R$3:$R206,1,$P$3:$P206,"&gt;="&amp;EOMONTH($P206,-1)+1,$P$3:$P206,"&lt;"&amp;EOMONTH($P206,0)+1)=1,1,0),0)</f>
        <v>0</v>
      </c>
      <c r="U206">
        <f t="shared" si="36"/>
        <v>1</v>
      </c>
      <c r="V206">
        <f>IF(AND($U206=1,$M206&lt;&gt;""),IF(COUNTIFS($M$3:$M206,$M206,$O$3:$O206,$O206,$U$3:$U206,1,$P$3:$P206,"&gt;="&amp;EOMONTH($P206,-1)+1,$P$3:$P206,"&lt;"&amp;EOMONTH($P206,0)+1)=1,1,0),0)</f>
        <v>1</v>
      </c>
      <c r="W206" s="444">
        <f ca="1">TODAY()-Table1[[#This Row],[Change Date]]</f>
        <v>139.44027777777956</v>
      </c>
      <c r="X206" s="422" t="str">
        <f t="shared" si="37"/>
        <v/>
      </c>
      <c r="Y206" s="476">
        <f ca="1">IF(Table1[[#This Row],[Next Stage Date]]&lt;&gt;"",Table1[[#This Row],[Next Stage Date]]-Table1[[#This Row],[Change Date]],TODAY()-Table1[[#This Row],[Change Date]])</f>
        <v>139.44027777777956</v>
      </c>
      <c r="Z206" s="476">
        <f t="shared" si="38"/>
        <v>1</v>
      </c>
      <c r="AA206" s="422" t="str">
        <f t="shared" si="39"/>
        <v/>
      </c>
      <c r="AB206" s="422">
        <f t="shared" si="40"/>
        <v>45953.590277777781</v>
      </c>
      <c r="AC206" s="476">
        <f t="shared" si="41"/>
        <v>27.590277777781012</v>
      </c>
      <c r="AD206" s="476" t="str">
        <f t="shared" si="42"/>
        <v/>
      </c>
      <c r="AE206" s="476" t="str">
        <f t="shared" si="43"/>
        <v/>
      </c>
      <c r="AF206" s="476" t="b">
        <f>IFERROR(_xlfn.XLOOKUP(Table1[[#This Row],[Opportunity ID]],'Aging Detail'!$H$14:$H$20,'Aging Detail'!$F$14:$F$20),TRUE)</f>
        <v>1</v>
      </c>
    </row>
    <row r="207" spans="1:32">
      <c r="A207" t="s">
        <v>1461</v>
      </c>
      <c r="B207" t="s">
        <v>1469</v>
      </c>
      <c r="C207" t="s">
        <v>526</v>
      </c>
      <c r="D207" t="s">
        <v>2079</v>
      </c>
      <c r="E207" t="s">
        <v>2077</v>
      </c>
      <c r="I207" s="422">
        <v>45926</v>
      </c>
      <c r="J207" s="422">
        <v>46295</v>
      </c>
      <c r="K207">
        <v>340080</v>
      </c>
      <c r="L207">
        <v>340080</v>
      </c>
      <c r="M207" t="s">
        <v>2078</v>
      </c>
      <c r="N207" t="s">
        <v>1642</v>
      </c>
      <c r="O207" t="str">
        <f>_xlfn.IFNA(VLOOKUP(Table1[[#This Row],[Lead Source]],'helper tab'!A:B,2,FALSE),"Exclude")</f>
        <v>Exclude</v>
      </c>
      <c r="P207" s="422">
        <f t="shared" si="33"/>
        <v>46118.554861111108</v>
      </c>
      <c r="Q207">
        <f t="shared" si="34"/>
        <v>1</v>
      </c>
      <c r="R207">
        <f t="shared" si="35"/>
        <v>0</v>
      </c>
      <c r="S207">
        <f>IF(
AND($Q207=1,$M207&lt;&gt;""),
IF(
COUNTIFS(
$M$3:$M207,$M207,
$O$3:$O207,$O207,
$Q$3:$Q207,1,
$P$3:$P207,"&gt;="&amp;EOMONTH($P207,-1)+1,
$P$3:$P207,"&lt;"&amp;EOMONTH($P207,0)+1
)=1,
1,
0),
0)</f>
        <v>1</v>
      </c>
      <c r="T207">
        <f>IF(AND($R207=1,$M207&lt;&gt;""),IF(COUNTIFS($M$3:$M207,$M207,$O$3:$O207,$O207,$R$3:$R207,1,$P$3:$P207,"&gt;="&amp;EOMONTH($P207,-1)+1,$P$3:$P207,"&lt;"&amp;EOMONTH($P207,0)+1)=1,1,0),0)</f>
        <v>0</v>
      </c>
      <c r="U207">
        <f t="shared" si="36"/>
        <v>0</v>
      </c>
      <c r="V207">
        <f>IF(AND($U207=1,$M207&lt;&gt;""),IF(COUNTIFS($M$3:$M207,$M207,$O$3:$O207,$O207,$U$3:$U207,1,$P$3:$P207,"&gt;="&amp;EOMONTH($P207,-1)+1,$P$3:$P207,"&lt;"&amp;EOMONTH($P207,0)+1)=1,1,0),0)</f>
        <v>0</v>
      </c>
      <c r="W207" s="444">
        <f ca="1">TODAY()-Table1[[#This Row],[Change Date]]</f>
        <v>139.44513888889196</v>
      </c>
      <c r="X207" s="422">
        <f t="shared" si="37"/>
        <v>46118.55972222222</v>
      </c>
      <c r="Y207" s="476">
        <f ca="1">IF(Table1[[#This Row],[Next Stage Date]]&lt;&gt;"",Table1[[#This Row],[Next Stage Date]]-Table1[[#This Row],[Change Date]],TODAY()-Table1[[#This Row],[Change Date]])</f>
        <v>4.8611111124046147E-3</v>
      </c>
      <c r="Z207" s="476">
        <f t="shared" si="38"/>
        <v>0</v>
      </c>
      <c r="AA207" s="422" t="str">
        <f t="shared" si="39"/>
        <v/>
      </c>
      <c r="AB207" s="422">
        <f t="shared" si="40"/>
        <v>45953.590277777781</v>
      </c>
      <c r="AC207" s="476">
        <f t="shared" si="41"/>
        <v>27.590277777781012</v>
      </c>
      <c r="AD207" s="476" t="str">
        <f t="shared" si="42"/>
        <v/>
      </c>
      <c r="AE207" s="476" t="str">
        <f t="shared" si="43"/>
        <v/>
      </c>
      <c r="AF207" s="476" t="b">
        <f>IFERROR(_xlfn.XLOOKUP(Table1[[#This Row],[Opportunity ID]],'Aging Detail'!$H$14:$H$20,'Aging Detail'!$F$14:$F$20),TRUE)</f>
        <v>1</v>
      </c>
    </row>
    <row r="208" spans="1:32">
      <c r="A208" t="s">
        <v>1461</v>
      </c>
      <c r="B208" t="s">
        <v>1462</v>
      </c>
      <c r="C208" t="s">
        <v>462</v>
      </c>
      <c r="D208" t="s">
        <v>2080</v>
      </c>
      <c r="E208" t="s">
        <v>1631</v>
      </c>
      <c r="F208" t="s">
        <v>1632</v>
      </c>
      <c r="I208" s="422">
        <v>45980</v>
      </c>
      <c r="J208" s="422">
        <v>46387</v>
      </c>
      <c r="K208">
        <v>0</v>
      </c>
      <c r="L208">
        <v>0</v>
      </c>
      <c r="M208" t="s">
        <v>1633</v>
      </c>
      <c r="N208" t="s">
        <v>1634</v>
      </c>
      <c r="O208" t="str">
        <f>_xlfn.IFNA(VLOOKUP(Table1[[#This Row],[Lead Source]],'helper tab'!A:B,2,FALSE),"Exclude")</f>
        <v>Exclude</v>
      </c>
      <c r="P208" s="422">
        <f t="shared" si="33"/>
        <v>46118.349305555559</v>
      </c>
      <c r="Q208">
        <f t="shared" si="34"/>
        <v>1</v>
      </c>
      <c r="R208">
        <f t="shared" si="35"/>
        <v>0</v>
      </c>
      <c r="S208">
        <f>IF(
AND($Q208=1,$M208&lt;&gt;""),
IF(
COUNTIFS(
$M$3:$M208,$M208,
$O$3:$O208,$O208,
$Q$3:$Q208,1,
$P$3:$P208,"&gt;="&amp;EOMONTH($P208,-1)+1,
$P$3:$P208,"&lt;"&amp;EOMONTH($P208,0)+1
)=1,
1,
0),
0)</f>
        <v>1</v>
      </c>
      <c r="T208">
        <f>IF(AND($R208=1,$M208&lt;&gt;""),IF(COUNTIFS($M$3:$M208,$M208,$O$3:$O208,$O208,$R$3:$R208,1,$P$3:$P208,"&gt;="&amp;EOMONTH($P208,-1)+1,$P$3:$P208,"&lt;"&amp;EOMONTH($P208,0)+1)=1,1,0),0)</f>
        <v>0</v>
      </c>
      <c r="U208">
        <f t="shared" si="36"/>
        <v>0</v>
      </c>
      <c r="V208">
        <f>IF(AND($U208=1,$M208&lt;&gt;""),IF(COUNTIFS($M$3:$M208,$M208,$O$3:$O208,$O208,$U$3:$U208,1,$P$3:$P208,"&gt;="&amp;EOMONTH($P208,-1)+1,$P$3:$P208,"&lt;"&amp;EOMONTH($P208,0)+1)=1,1,0),0)</f>
        <v>0</v>
      </c>
      <c r="W208" s="444">
        <f ca="1">TODAY()-Table1[[#This Row],[Change Date]]</f>
        <v>139.65069444444089</v>
      </c>
      <c r="X208" s="422">
        <f t="shared" si="37"/>
        <v>46196.214583333334</v>
      </c>
      <c r="Y208" s="476">
        <f ca="1">IF(Table1[[#This Row],[Next Stage Date]]&lt;&gt;"",Table1[[#This Row],[Next Stage Date]]-Table1[[#This Row],[Change Date]],TODAY()-Table1[[#This Row],[Change Date]])</f>
        <v>77.865277777775191</v>
      </c>
      <c r="Z208" s="476">
        <f t="shared" si="38"/>
        <v>0</v>
      </c>
      <c r="AA208" s="422" t="str">
        <f t="shared" si="39"/>
        <v/>
      </c>
      <c r="AB208" s="422">
        <f t="shared" si="40"/>
        <v>46118.349305555559</v>
      </c>
      <c r="AC208" s="476">
        <f t="shared" si="41"/>
        <v>138.34930555555911</v>
      </c>
      <c r="AD208" s="476" t="str">
        <f t="shared" si="42"/>
        <v/>
      </c>
      <c r="AE208" s="476" t="str">
        <f t="shared" si="43"/>
        <v/>
      </c>
      <c r="AF208" s="476" t="b">
        <f>IFERROR(_xlfn.XLOOKUP(Table1[[#This Row],[Opportunity ID]],'Aging Detail'!$H$14:$H$20,'Aging Detail'!$F$14:$F$20),TRUE)</f>
        <v>1</v>
      </c>
    </row>
    <row r="209" spans="1:32">
      <c r="A209" t="s">
        <v>1461</v>
      </c>
      <c r="B209" t="s">
        <v>408</v>
      </c>
      <c r="C209" t="s">
        <v>1462</v>
      </c>
      <c r="D209" t="s">
        <v>2081</v>
      </c>
      <c r="E209" t="s">
        <v>1852</v>
      </c>
      <c r="F209" t="s">
        <v>148</v>
      </c>
      <c r="H209" t="s">
        <v>157</v>
      </c>
      <c r="I209" s="422">
        <v>46078</v>
      </c>
      <c r="J209" s="422">
        <v>46414</v>
      </c>
      <c r="K209">
        <v>59493</v>
      </c>
      <c r="L209">
        <v>59493</v>
      </c>
      <c r="M209" t="s">
        <v>1853</v>
      </c>
      <c r="N209" t="s">
        <v>1593</v>
      </c>
      <c r="O209" t="str">
        <f>_xlfn.IFNA(VLOOKUP(Table1[[#This Row],[Lead Source]],'helper tab'!A:B,2,FALSE),"Exclude")</f>
        <v>Alliances</v>
      </c>
      <c r="P209" s="422">
        <f t="shared" si="33"/>
        <v>46118.342361111114</v>
      </c>
      <c r="Q209">
        <f t="shared" si="34"/>
        <v>0</v>
      </c>
      <c r="R209">
        <f t="shared" si="35"/>
        <v>0</v>
      </c>
      <c r="S209">
        <f>IF(
AND($Q209=1,$M209&lt;&gt;""),
IF(
COUNTIFS(
$M$3:$M209,$M209,
$O$3:$O209,$O209,
$Q$3:$Q209,1,
$P$3:$P209,"&gt;="&amp;EOMONTH($P209,-1)+1,
$P$3:$P209,"&lt;"&amp;EOMONTH($P209,0)+1
)=1,
1,
0),
0)</f>
        <v>0</v>
      </c>
      <c r="T209">
        <f>IF(AND($R209=1,$M209&lt;&gt;""),IF(COUNTIFS($M$3:$M209,$M209,$O$3:$O209,$O209,$R$3:$R209,1,$P$3:$P209,"&gt;="&amp;EOMONTH($P209,-1)+1,$P$3:$P209,"&lt;"&amp;EOMONTH($P209,0)+1)=1,1,0),0)</f>
        <v>0</v>
      </c>
      <c r="U209">
        <f t="shared" si="36"/>
        <v>0</v>
      </c>
      <c r="V209">
        <f>IF(AND($U209=1,$M209&lt;&gt;""),IF(COUNTIFS($M$3:$M209,$M209,$O$3:$O209,$O209,$U$3:$U209,1,$P$3:$P209,"&gt;="&amp;EOMONTH($P209,-1)+1,$P$3:$P209,"&lt;"&amp;EOMONTH($P209,0)+1)=1,1,0),0)</f>
        <v>0</v>
      </c>
      <c r="W209" s="444">
        <f ca="1">TODAY()-Table1[[#This Row],[Change Date]]</f>
        <v>139.65763888888614</v>
      </c>
      <c r="X209" s="422">
        <f t="shared" si="37"/>
        <v>46189.341666666667</v>
      </c>
      <c r="Y209" s="476">
        <f ca="1">IF(Table1[[#This Row],[Next Stage Date]]&lt;&gt;"",Table1[[#This Row],[Next Stage Date]]-Table1[[#This Row],[Change Date]],TODAY()-Table1[[#This Row],[Change Date]])</f>
        <v>70.999305555553292</v>
      </c>
      <c r="Z209" s="476">
        <f t="shared" si="38"/>
        <v>0</v>
      </c>
      <c r="AA209" s="422" t="str">
        <f t="shared" si="39"/>
        <v/>
      </c>
      <c r="AB209" s="422" t="str">
        <f t="shared" si="40"/>
        <v/>
      </c>
      <c r="AC209" s="476" t="str">
        <f t="shared" si="41"/>
        <v/>
      </c>
      <c r="AD209" s="476" t="str">
        <f t="shared" si="42"/>
        <v/>
      </c>
      <c r="AE209" s="476" t="str">
        <f t="shared" si="43"/>
        <v/>
      </c>
      <c r="AF209" s="476" t="b">
        <f>IFERROR(_xlfn.XLOOKUP(Table1[[#This Row],[Opportunity ID]],'Aging Detail'!$H$14:$H$20,'Aging Detail'!$F$14:$F$20),TRUE)</f>
        <v>1</v>
      </c>
    </row>
    <row r="210" spans="1:32">
      <c r="A210" t="s">
        <v>1461</v>
      </c>
      <c r="B210" t="s">
        <v>462</v>
      </c>
      <c r="C210" t="s">
        <v>563</v>
      </c>
      <c r="D210" t="s">
        <v>2082</v>
      </c>
      <c r="E210" t="s">
        <v>2083</v>
      </c>
      <c r="I210" s="422">
        <v>45744</v>
      </c>
      <c r="J210" s="422">
        <v>46114</v>
      </c>
      <c r="K210">
        <v>79150</v>
      </c>
      <c r="L210">
        <v>0</v>
      </c>
      <c r="M210" t="s">
        <v>2084</v>
      </c>
      <c r="N210" t="s">
        <v>1708</v>
      </c>
      <c r="O210" t="str">
        <f>_xlfn.IFNA(VLOOKUP(Table1[[#This Row],[Lead Source]],'helper tab'!A:B,2,FALSE),"Exclude")</f>
        <v>Exclude</v>
      </c>
      <c r="P210" s="422">
        <f t="shared" si="33"/>
        <v>46115.509722222225</v>
      </c>
      <c r="Q210">
        <f t="shared" si="34"/>
        <v>0</v>
      </c>
      <c r="R210">
        <f t="shared" si="35"/>
        <v>1</v>
      </c>
      <c r="S210">
        <f>IF(
AND($Q210=1,$M210&lt;&gt;""),
IF(
COUNTIFS(
$M$3:$M210,$M210,
$O$3:$O210,$O210,
$Q$3:$Q210,1,
$P$3:$P210,"&gt;="&amp;EOMONTH($P210,-1)+1,
$P$3:$P210,"&lt;"&amp;EOMONTH($P210,0)+1
)=1,
1,
0),
0)</f>
        <v>0</v>
      </c>
      <c r="T210">
        <f>IF(AND($R210=1,$M210&lt;&gt;""),IF(COUNTIFS($M$3:$M210,$M210,$O$3:$O210,$O210,$R$3:$R210,1,$P$3:$P210,"&gt;="&amp;EOMONTH($P210,-1)+1,$P$3:$P210,"&lt;"&amp;EOMONTH($P210,0)+1)=1,1,0),0)</f>
        <v>1</v>
      </c>
      <c r="U210">
        <f t="shared" si="36"/>
        <v>0</v>
      </c>
      <c r="V210">
        <f>IF(AND($U210=1,$M210&lt;&gt;""),IF(COUNTIFS($M$3:$M210,$M210,$O$3:$O210,$O210,$U$3:$U210,1,$P$3:$P210,"&gt;="&amp;EOMONTH($P210,-1)+1,$P$3:$P210,"&lt;"&amp;EOMONTH($P210,0)+1)=1,1,0),0)</f>
        <v>0</v>
      </c>
      <c r="W210" s="444">
        <f ca="1">TODAY()-Table1[[#This Row],[Change Date]]</f>
        <v>142.49027777777519</v>
      </c>
      <c r="X210" s="422" t="str">
        <f t="shared" si="37"/>
        <v/>
      </c>
      <c r="Y210" s="476">
        <f ca="1">IF(Table1[[#This Row],[Next Stage Date]]&lt;&gt;"",Table1[[#This Row],[Next Stage Date]]-Table1[[#This Row],[Change Date]],TODAY()-Table1[[#This Row],[Change Date]])</f>
        <v>142.49027777777519</v>
      </c>
      <c r="Z210" s="476">
        <f t="shared" si="38"/>
        <v>1</v>
      </c>
      <c r="AA210" s="422">
        <f t="shared" si="39"/>
        <v>46115.509722222225</v>
      </c>
      <c r="AB210" s="422" t="str">
        <f t="shared" si="40"/>
        <v/>
      </c>
      <c r="AC210" s="476" t="str">
        <f t="shared" si="41"/>
        <v/>
      </c>
      <c r="AD210" s="476" t="str">
        <f t="shared" si="42"/>
        <v/>
      </c>
      <c r="AE210" s="476">
        <f t="shared" si="43"/>
        <v>371.50972222222481</v>
      </c>
      <c r="AF210" s="476" t="b">
        <f>IFERROR(_xlfn.XLOOKUP(Table1[[#This Row],[Opportunity ID]],'Aging Detail'!$H$14:$H$20,'Aging Detail'!$F$14:$F$20),TRUE)</f>
        <v>1</v>
      </c>
    </row>
    <row r="211" spans="1:32">
      <c r="A211" t="s">
        <v>1461</v>
      </c>
      <c r="B211" t="s">
        <v>526</v>
      </c>
      <c r="C211" t="s">
        <v>563</v>
      </c>
      <c r="D211" t="s">
        <v>2082</v>
      </c>
      <c r="E211" t="s">
        <v>2085</v>
      </c>
      <c r="I211" s="422">
        <v>46087</v>
      </c>
      <c r="J211" s="422">
        <v>46115</v>
      </c>
      <c r="K211">
        <v>0</v>
      </c>
      <c r="L211">
        <v>0</v>
      </c>
      <c r="M211" t="s">
        <v>2086</v>
      </c>
      <c r="N211" t="s">
        <v>2087</v>
      </c>
      <c r="O211" t="str">
        <f>_xlfn.IFNA(VLOOKUP(Table1[[#This Row],[Lead Source]],'helper tab'!A:B,2,FALSE),"Exclude")</f>
        <v>Exclude</v>
      </c>
      <c r="P211" s="422">
        <f t="shared" si="33"/>
        <v>46115.509722222225</v>
      </c>
      <c r="Q211">
        <f t="shared" si="34"/>
        <v>0</v>
      </c>
      <c r="R211">
        <f t="shared" si="35"/>
        <v>1</v>
      </c>
      <c r="S211">
        <f>IF(
AND($Q211=1,$M211&lt;&gt;""),
IF(
COUNTIFS(
$M$3:$M211,$M211,
$O$3:$O211,$O211,
$Q$3:$Q211,1,
$P$3:$P211,"&gt;="&amp;EOMONTH($P211,-1)+1,
$P$3:$P211,"&lt;"&amp;EOMONTH($P211,0)+1
)=1,
1,
0),
0)</f>
        <v>0</v>
      </c>
      <c r="T211">
        <f>IF(AND($R211=1,$M211&lt;&gt;""),IF(COUNTIFS($M$3:$M211,$M211,$O$3:$O211,$O211,$R$3:$R211,1,$P$3:$P211,"&gt;="&amp;EOMONTH($P211,-1)+1,$P$3:$P211,"&lt;"&amp;EOMONTH($P211,0)+1)=1,1,0),0)</f>
        <v>1</v>
      </c>
      <c r="U211">
        <f t="shared" si="36"/>
        <v>0</v>
      </c>
      <c r="V211">
        <f>IF(AND($U211=1,$M211&lt;&gt;""),IF(COUNTIFS($M$3:$M211,$M211,$O$3:$O211,$O211,$U$3:$U211,1,$P$3:$P211,"&gt;="&amp;EOMONTH($P211,-1)+1,$P$3:$P211,"&lt;"&amp;EOMONTH($P211,0)+1)=1,1,0),0)</f>
        <v>0</v>
      </c>
      <c r="W211" s="444">
        <f ca="1">TODAY()-Table1[[#This Row],[Change Date]]</f>
        <v>142.49027777777519</v>
      </c>
      <c r="X211" s="422" t="str">
        <f t="shared" si="37"/>
        <v/>
      </c>
      <c r="Y211" s="476">
        <f ca="1">IF(Table1[[#This Row],[Next Stage Date]]&lt;&gt;"",Table1[[#This Row],[Next Stage Date]]-Table1[[#This Row],[Change Date]],TODAY()-Table1[[#This Row],[Change Date]])</f>
        <v>142.49027777777519</v>
      </c>
      <c r="Z211" s="476">
        <f t="shared" si="38"/>
        <v>1</v>
      </c>
      <c r="AA211" s="422">
        <f t="shared" si="39"/>
        <v>46115.509722222225</v>
      </c>
      <c r="AB211" s="422">
        <f t="shared" si="40"/>
        <v>46115.30972222222</v>
      </c>
      <c r="AC211" s="476">
        <f t="shared" si="41"/>
        <v>28.309722222220444</v>
      </c>
      <c r="AD211" s="476">
        <f t="shared" si="42"/>
        <v>0.20000000000436557</v>
      </c>
      <c r="AE211" s="476">
        <f t="shared" si="43"/>
        <v>28.509722222224809</v>
      </c>
      <c r="AF211" s="476" t="b">
        <f>IFERROR(_xlfn.XLOOKUP(Table1[[#This Row],[Opportunity ID]],'Aging Detail'!$H$14:$H$20,'Aging Detail'!$F$14:$F$20),TRUE)</f>
        <v>1</v>
      </c>
    </row>
    <row r="212" spans="1:32">
      <c r="A212" t="s">
        <v>1461</v>
      </c>
      <c r="B212" t="s">
        <v>338</v>
      </c>
      <c r="C212" t="s">
        <v>526</v>
      </c>
      <c r="D212" t="s">
        <v>2088</v>
      </c>
      <c r="E212" t="s">
        <v>2085</v>
      </c>
      <c r="I212" s="422">
        <v>46087</v>
      </c>
      <c r="J212" s="422">
        <v>46115</v>
      </c>
      <c r="K212">
        <v>0</v>
      </c>
      <c r="L212">
        <v>0</v>
      </c>
      <c r="M212" t="s">
        <v>2086</v>
      </c>
      <c r="N212" t="s">
        <v>2087</v>
      </c>
      <c r="O212" t="str">
        <f>_xlfn.IFNA(VLOOKUP(Table1[[#This Row],[Lead Source]],'helper tab'!A:B,2,FALSE),"Exclude")</f>
        <v>Exclude</v>
      </c>
      <c r="P212" s="422">
        <f t="shared" si="33"/>
        <v>46115.30972222222</v>
      </c>
      <c r="Q212">
        <f t="shared" si="34"/>
        <v>1</v>
      </c>
      <c r="R212">
        <f t="shared" si="35"/>
        <v>0</v>
      </c>
      <c r="S212">
        <f>IF(
AND($Q212=1,$M212&lt;&gt;""),
IF(
COUNTIFS(
$M$3:$M212,$M212,
$O$3:$O212,$O212,
$Q$3:$Q212,1,
$P$3:$P212,"&gt;="&amp;EOMONTH($P212,-1)+1,
$P$3:$P212,"&lt;"&amp;EOMONTH($P212,0)+1
)=1,
1,
0),
0)</f>
        <v>1</v>
      </c>
      <c r="T212">
        <f>IF(AND($R212=1,$M212&lt;&gt;""),IF(COUNTIFS($M$3:$M212,$M212,$O$3:$O212,$O212,$R$3:$R212,1,$P$3:$P212,"&gt;="&amp;EOMONTH($P212,-1)+1,$P$3:$P212,"&lt;"&amp;EOMONTH($P212,0)+1)=1,1,0),0)</f>
        <v>0</v>
      </c>
      <c r="U212">
        <f t="shared" si="36"/>
        <v>0</v>
      </c>
      <c r="V212">
        <f>IF(AND($U212=1,$M212&lt;&gt;""),IF(COUNTIFS($M$3:$M212,$M212,$O$3:$O212,$O212,$U$3:$U212,1,$P$3:$P212,"&gt;="&amp;EOMONTH($P212,-1)+1,$P$3:$P212,"&lt;"&amp;EOMONTH($P212,0)+1)=1,1,0),0)</f>
        <v>0</v>
      </c>
      <c r="W212" s="444">
        <f ca="1">TODAY()-Table1[[#This Row],[Change Date]]</f>
        <v>142.69027777777956</v>
      </c>
      <c r="X212" s="422">
        <f t="shared" si="37"/>
        <v>46115.509722222225</v>
      </c>
      <c r="Y212" s="476">
        <f ca="1">IF(Table1[[#This Row],[Next Stage Date]]&lt;&gt;"",Table1[[#This Row],[Next Stage Date]]-Table1[[#This Row],[Change Date]],TODAY()-Table1[[#This Row],[Change Date]])</f>
        <v>0.20000000000436557</v>
      </c>
      <c r="Z212" s="476">
        <f t="shared" si="38"/>
        <v>0</v>
      </c>
      <c r="AA212" s="422">
        <f t="shared" si="39"/>
        <v>46115.509722222225</v>
      </c>
      <c r="AB212" s="422">
        <f t="shared" si="40"/>
        <v>46115.30972222222</v>
      </c>
      <c r="AC212" s="476">
        <f t="shared" si="41"/>
        <v>28.309722222220444</v>
      </c>
      <c r="AD212" s="476">
        <f t="shared" si="42"/>
        <v>0.20000000000436557</v>
      </c>
      <c r="AE212" s="476">
        <f t="shared" si="43"/>
        <v>28.509722222224809</v>
      </c>
      <c r="AF212" s="476" t="b">
        <f>IFERROR(_xlfn.XLOOKUP(Table1[[#This Row],[Opportunity ID]],'Aging Detail'!$H$14:$H$20,'Aging Detail'!$F$14:$F$20),TRUE)</f>
        <v>1</v>
      </c>
    </row>
    <row r="213" spans="1:32">
      <c r="A213" t="s">
        <v>1461</v>
      </c>
      <c r="B213" t="s">
        <v>408</v>
      </c>
      <c r="C213" t="s">
        <v>1469</v>
      </c>
      <c r="D213" t="s">
        <v>2089</v>
      </c>
      <c r="E213" t="s">
        <v>1589</v>
      </c>
      <c r="F213" t="s">
        <v>1468</v>
      </c>
      <c r="G213" t="s">
        <v>202</v>
      </c>
      <c r="I213" s="422">
        <v>45972</v>
      </c>
      <c r="J213" s="422">
        <v>46136</v>
      </c>
      <c r="K213">
        <v>0</v>
      </c>
      <c r="L213">
        <v>0</v>
      </c>
      <c r="M213" t="s">
        <v>2090</v>
      </c>
      <c r="N213" t="s">
        <v>1589</v>
      </c>
      <c r="O213" t="str">
        <f>_xlfn.IFNA(VLOOKUP(Table1[[#This Row],[Lead Source]],'helper tab'!A:B,2,FALSE),"Exclude")</f>
        <v>Events</v>
      </c>
      <c r="P213" s="422">
        <f t="shared" si="33"/>
        <v>46114.441666666666</v>
      </c>
      <c r="Q213">
        <f t="shared" si="34"/>
        <v>0</v>
      </c>
      <c r="R213">
        <f t="shared" si="35"/>
        <v>0</v>
      </c>
      <c r="S213">
        <f>IF(
AND($Q213=1,$M213&lt;&gt;""),
IF(
COUNTIFS(
$M$3:$M213,$M213,
$O$3:$O213,$O213,
$Q$3:$Q213,1,
$P$3:$P213,"&gt;="&amp;EOMONTH($P213,-1)+1,
$P$3:$P213,"&lt;"&amp;EOMONTH($P213,0)+1
)=1,
1,
0),
0)</f>
        <v>0</v>
      </c>
      <c r="T213">
        <f>IF(AND($R213=1,$M213&lt;&gt;""),IF(COUNTIFS($M$3:$M213,$M213,$O$3:$O213,$O213,$R$3:$R213,1,$P$3:$P213,"&gt;="&amp;EOMONTH($P213,-1)+1,$P$3:$P213,"&lt;"&amp;EOMONTH($P213,0)+1)=1,1,0),0)</f>
        <v>0</v>
      </c>
      <c r="U213">
        <f t="shared" si="36"/>
        <v>1</v>
      </c>
      <c r="V213">
        <f>IF(AND($U213=1,$M213&lt;&gt;""),IF(COUNTIFS($M$3:$M213,$M213,$O$3:$O213,$O213,$U$3:$U213,1,$P$3:$P213,"&gt;="&amp;EOMONTH($P213,-1)+1,$P$3:$P213,"&lt;"&amp;EOMONTH($P213,0)+1)=1,1,0),0)</f>
        <v>1</v>
      </c>
      <c r="W213" s="444">
        <f ca="1">TODAY()-Table1[[#This Row],[Change Date]]</f>
        <v>143.5583333333343</v>
      </c>
      <c r="X213" s="422" t="str">
        <f t="shared" si="37"/>
        <v/>
      </c>
      <c r="Y213" s="476">
        <f ca="1">IF(Table1[[#This Row],[Next Stage Date]]&lt;&gt;"",Table1[[#This Row],[Next Stage Date]]-Table1[[#This Row],[Change Date]],TODAY()-Table1[[#This Row],[Change Date]])</f>
        <v>143.5583333333343</v>
      </c>
      <c r="Z213" s="476">
        <f t="shared" si="38"/>
        <v>1</v>
      </c>
      <c r="AA213" s="422" t="str">
        <f t="shared" si="39"/>
        <v/>
      </c>
      <c r="AB213" s="422" t="str">
        <f t="shared" si="40"/>
        <v/>
      </c>
      <c r="AC213" s="476" t="str">
        <f t="shared" si="41"/>
        <v/>
      </c>
      <c r="AD213" s="476" t="str">
        <f t="shared" si="42"/>
        <v/>
      </c>
      <c r="AE213" s="476" t="str">
        <f t="shared" si="43"/>
        <v/>
      </c>
      <c r="AF213" s="476" t="b">
        <f>IFERROR(_xlfn.XLOOKUP(Table1[[#This Row],[Opportunity ID]],'Aging Detail'!$H$14:$H$20,'Aging Detail'!$F$14:$F$20),TRUE)</f>
        <v>1</v>
      </c>
    </row>
    <row r="214" spans="1:32">
      <c r="A214" t="s">
        <v>1461</v>
      </c>
      <c r="B214" t="s">
        <v>338</v>
      </c>
      <c r="C214" t="s">
        <v>1469</v>
      </c>
      <c r="D214" t="s">
        <v>2091</v>
      </c>
      <c r="E214" t="s">
        <v>2092</v>
      </c>
      <c r="F214" t="s">
        <v>1484</v>
      </c>
      <c r="I214" s="422">
        <v>45145</v>
      </c>
      <c r="J214" s="422">
        <v>46114</v>
      </c>
      <c r="L214">
        <v>0</v>
      </c>
      <c r="M214" t="s">
        <v>2093</v>
      </c>
      <c r="N214" t="s">
        <v>1831</v>
      </c>
      <c r="O214" t="str">
        <f>_xlfn.IFNA(VLOOKUP(Table1[[#This Row],[Lead Source]],'helper tab'!A:B,2,FALSE),"Exclude")</f>
        <v>Exclude</v>
      </c>
      <c r="P214" s="422">
        <f t="shared" si="33"/>
        <v>46114.361111111109</v>
      </c>
      <c r="Q214">
        <f t="shared" si="34"/>
        <v>0</v>
      </c>
      <c r="R214">
        <f t="shared" si="35"/>
        <v>0</v>
      </c>
      <c r="S214">
        <f>IF(
AND($Q214=1,$M214&lt;&gt;""),
IF(
COUNTIFS(
$M$3:$M214,$M214,
$O$3:$O214,$O214,
$Q$3:$Q214,1,
$P$3:$P214,"&gt;="&amp;EOMONTH($P214,-1)+1,
$P$3:$P214,"&lt;"&amp;EOMONTH($P214,0)+1
)=1,
1,
0),
0)</f>
        <v>0</v>
      </c>
      <c r="T214">
        <f>IF(AND($R214=1,$M214&lt;&gt;""),IF(COUNTIFS($M$3:$M214,$M214,$O$3:$O214,$O214,$R$3:$R214,1,$P$3:$P214,"&gt;="&amp;EOMONTH($P214,-1)+1,$P$3:$P214,"&lt;"&amp;EOMONTH($P214,0)+1)=1,1,0),0)</f>
        <v>0</v>
      </c>
      <c r="U214">
        <f t="shared" si="36"/>
        <v>1</v>
      </c>
      <c r="V214">
        <f>IF(AND($U214=1,$M214&lt;&gt;""),IF(COUNTIFS($M$3:$M214,$M214,$O$3:$O214,$O214,$U$3:$U214,1,$P$3:$P214,"&gt;="&amp;EOMONTH($P214,-1)+1,$P$3:$P214,"&lt;"&amp;EOMONTH($P214,0)+1)=1,1,0),0)</f>
        <v>1</v>
      </c>
      <c r="W214" s="444">
        <f ca="1">TODAY()-Table1[[#This Row],[Change Date]]</f>
        <v>143.63888888889051</v>
      </c>
      <c r="X214" s="422" t="str">
        <f t="shared" si="37"/>
        <v/>
      </c>
      <c r="Y214" s="476">
        <f ca="1">IF(Table1[[#This Row],[Next Stage Date]]&lt;&gt;"",Table1[[#This Row],[Next Stage Date]]-Table1[[#This Row],[Change Date]],TODAY()-Table1[[#This Row],[Change Date]])</f>
        <v>143.63888888889051</v>
      </c>
      <c r="Z214" s="476">
        <f t="shared" si="38"/>
        <v>1</v>
      </c>
      <c r="AA214" s="422" t="str">
        <f t="shared" si="39"/>
        <v/>
      </c>
      <c r="AB214" s="422" t="str">
        <f t="shared" si="40"/>
        <v/>
      </c>
      <c r="AC214" s="476" t="str">
        <f t="shared" si="41"/>
        <v/>
      </c>
      <c r="AD214" s="476" t="str">
        <f t="shared" si="42"/>
        <v/>
      </c>
      <c r="AE214" s="476" t="str">
        <f t="shared" si="43"/>
        <v/>
      </c>
      <c r="AF214" s="476" t="b">
        <f>IFERROR(_xlfn.XLOOKUP(Table1[[#This Row],[Opportunity ID]],'Aging Detail'!$H$14:$H$20,'Aging Detail'!$F$14:$F$20),TRUE)</f>
        <v>1</v>
      </c>
    </row>
    <row r="215" spans="1:32">
      <c r="A215" t="s">
        <v>1461</v>
      </c>
      <c r="B215" t="s">
        <v>526</v>
      </c>
      <c r="C215" t="s">
        <v>1469</v>
      </c>
      <c r="D215" t="s">
        <v>2091</v>
      </c>
      <c r="E215" t="s">
        <v>2094</v>
      </c>
      <c r="I215" s="422">
        <v>45552</v>
      </c>
      <c r="J215" s="422">
        <v>46114</v>
      </c>
      <c r="K215">
        <v>30000</v>
      </c>
      <c r="L215">
        <v>0</v>
      </c>
      <c r="M215" t="s">
        <v>2095</v>
      </c>
      <c r="N215" t="s">
        <v>1541</v>
      </c>
      <c r="O215" t="str">
        <f>_xlfn.IFNA(VLOOKUP(Table1[[#This Row],[Lead Source]],'helper tab'!A:B,2,FALSE),"Exclude")</f>
        <v>Exclude</v>
      </c>
      <c r="P215" s="422">
        <f t="shared" si="33"/>
        <v>46114.361111111109</v>
      </c>
      <c r="Q215">
        <f t="shared" si="34"/>
        <v>0</v>
      </c>
      <c r="R215">
        <f t="shared" si="35"/>
        <v>0</v>
      </c>
      <c r="S215">
        <f>IF(
AND($Q215=1,$M215&lt;&gt;""),
IF(
COUNTIFS(
$M$3:$M215,$M215,
$O$3:$O215,$O215,
$Q$3:$Q215,1,
$P$3:$P215,"&gt;="&amp;EOMONTH($P215,-1)+1,
$P$3:$P215,"&lt;"&amp;EOMONTH($P215,0)+1
)=1,
1,
0),
0)</f>
        <v>0</v>
      </c>
      <c r="T215">
        <f>IF(AND($R215=1,$M215&lt;&gt;""),IF(COUNTIFS($M$3:$M215,$M215,$O$3:$O215,$O215,$R$3:$R215,1,$P$3:$P215,"&gt;="&amp;EOMONTH($P215,-1)+1,$P$3:$P215,"&lt;"&amp;EOMONTH($P215,0)+1)=1,1,0),0)</f>
        <v>0</v>
      </c>
      <c r="U215">
        <f t="shared" si="36"/>
        <v>1</v>
      </c>
      <c r="V215">
        <f>IF(AND($U215=1,$M215&lt;&gt;""),IF(COUNTIFS($M$3:$M215,$M215,$O$3:$O215,$O215,$U$3:$U215,1,$P$3:$P215,"&gt;="&amp;EOMONTH($P215,-1)+1,$P$3:$P215,"&lt;"&amp;EOMONTH($P215,0)+1)=1,1,0),0)</f>
        <v>1</v>
      </c>
      <c r="W215" s="444">
        <f ca="1">TODAY()-Table1[[#This Row],[Change Date]]</f>
        <v>143.63888888889051</v>
      </c>
      <c r="X215" s="422" t="str">
        <f t="shared" si="37"/>
        <v/>
      </c>
      <c r="Y215" s="476">
        <f ca="1">IF(Table1[[#This Row],[Next Stage Date]]&lt;&gt;"",Table1[[#This Row],[Next Stage Date]]-Table1[[#This Row],[Change Date]],TODAY()-Table1[[#This Row],[Change Date]])</f>
        <v>143.63888888889051</v>
      </c>
      <c r="Z215" s="476">
        <f t="shared" si="38"/>
        <v>1</v>
      </c>
      <c r="AA215" s="422" t="str">
        <f t="shared" si="39"/>
        <v/>
      </c>
      <c r="AB215" s="422" t="str">
        <f t="shared" si="40"/>
        <v/>
      </c>
      <c r="AC215" s="476" t="str">
        <f t="shared" si="41"/>
        <v/>
      </c>
      <c r="AD215" s="476" t="str">
        <f t="shared" si="42"/>
        <v/>
      </c>
      <c r="AE215" s="476" t="str">
        <f t="shared" si="43"/>
        <v/>
      </c>
      <c r="AF215" s="476" t="b">
        <f>IFERROR(_xlfn.XLOOKUP(Table1[[#This Row],[Opportunity ID]],'Aging Detail'!$H$14:$H$20,'Aging Detail'!$F$14:$F$20),TRUE)</f>
        <v>1</v>
      </c>
    </row>
    <row r="216" spans="1:32">
      <c r="A216" t="s">
        <v>1461</v>
      </c>
      <c r="B216" t="s">
        <v>526</v>
      </c>
      <c r="C216" t="s">
        <v>1469</v>
      </c>
      <c r="D216" t="s">
        <v>2096</v>
      </c>
      <c r="E216" t="s">
        <v>2097</v>
      </c>
      <c r="F216" t="s">
        <v>1484</v>
      </c>
      <c r="I216" s="422">
        <v>45405</v>
      </c>
      <c r="J216" s="422">
        <v>46114</v>
      </c>
      <c r="K216">
        <v>0</v>
      </c>
      <c r="L216">
        <v>0</v>
      </c>
      <c r="M216" t="s">
        <v>2098</v>
      </c>
      <c r="N216" t="s">
        <v>2099</v>
      </c>
      <c r="O216" t="str">
        <f>_xlfn.IFNA(VLOOKUP(Table1[[#This Row],[Lead Source]],'helper tab'!A:B,2,FALSE),"Exclude")</f>
        <v>Exclude</v>
      </c>
      <c r="P216" s="422">
        <f t="shared" si="33"/>
        <v>46114.36041666667</v>
      </c>
      <c r="Q216">
        <f t="shared" si="34"/>
        <v>0</v>
      </c>
      <c r="R216">
        <f t="shared" si="35"/>
        <v>0</v>
      </c>
      <c r="S216">
        <f>IF(
AND($Q216=1,$M216&lt;&gt;""),
IF(
COUNTIFS(
$M$3:$M216,$M216,
$O$3:$O216,$O216,
$Q$3:$Q216,1,
$P$3:$P216,"&gt;="&amp;EOMONTH($P216,-1)+1,
$P$3:$P216,"&lt;"&amp;EOMONTH($P216,0)+1
)=1,
1,
0),
0)</f>
        <v>0</v>
      </c>
      <c r="T216">
        <f>IF(AND($R216=1,$M216&lt;&gt;""),IF(COUNTIFS($M$3:$M216,$M216,$O$3:$O216,$O216,$R$3:$R216,1,$P$3:$P216,"&gt;="&amp;EOMONTH($P216,-1)+1,$P$3:$P216,"&lt;"&amp;EOMONTH($P216,0)+1)=1,1,0),0)</f>
        <v>0</v>
      </c>
      <c r="U216">
        <f t="shared" si="36"/>
        <v>1</v>
      </c>
      <c r="V216">
        <f>IF(AND($U216=1,$M216&lt;&gt;""),IF(COUNTIFS($M$3:$M216,$M216,$O$3:$O216,$O216,$U$3:$U216,1,$P$3:$P216,"&gt;="&amp;EOMONTH($P216,-1)+1,$P$3:$P216,"&lt;"&amp;EOMONTH($P216,0)+1)=1,1,0),0)</f>
        <v>1</v>
      </c>
      <c r="W216" s="444">
        <f ca="1">TODAY()-Table1[[#This Row],[Change Date]]</f>
        <v>143.63958333332994</v>
      </c>
      <c r="X216" s="422" t="str">
        <f t="shared" si="37"/>
        <v/>
      </c>
      <c r="Y216" s="476">
        <f ca="1">IF(Table1[[#This Row],[Next Stage Date]]&lt;&gt;"",Table1[[#This Row],[Next Stage Date]]-Table1[[#This Row],[Change Date]],TODAY()-Table1[[#This Row],[Change Date]])</f>
        <v>143.63958333332994</v>
      </c>
      <c r="Z216" s="476">
        <f t="shared" si="38"/>
        <v>1</v>
      </c>
      <c r="AA216" s="422" t="str">
        <f t="shared" si="39"/>
        <v/>
      </c>
      <c r="AB216" s="422" t="str">
        <f t="shared" si="40"/>
        <v/>
      </c>
      <c r="AC216" s="476" t="str">
        <f t="shared" si="41"/>
        <v/>
      </c>
      <c r="AD216" s="476" t="str">
        <f t="shared" si="42"/>
        <v/>
      </c>
      <c r="AE216" s="476" t="str">
        <f t="shared" si="43"/>
        <v/>
      </c>
      <c r="AF216" s="476" t="b">
        <f>IFERROR(_xlfn.XLOOKUP(Table1[[#This Row],[Opportunity ID]],'Aging Detail'!$H$14:$H$20,'Aging Detail'!$F$14:$F$20),TRUE)</f>
        <v>1</v>
      </c>
    </row>
    <row r="217" spans="1:32">
      <c r="A217" t="s">
        <v>1461</v>
      </c>
      <c r="B217" t="s">
        <v>338</v>
      </c>
      <c r="C217" t="s">
        <v>1469</v>
      </c>
      <c r="D217" t="s">
        <v>2100</v>
      </c>
      <c r="E217" t="s">
        <v>2101</v>
      </c>
      <c r="I217" s="422">
        <v>46106</v>
      </c>
      <c r="J217" s="422">
        <v>46113</v>
      </c>
      <c r="L217">
        <v>0</v>
      </c>
      <c r="M217" t="s">
        <v>2102</v>
      </c>
      <c r="N217" t="s">
        <v>1758</v>
      </c>
      <c r="O217" t="str">
        <f>_xlfn.IFNA(VLOOKUP(Table1[[#This Row],[Lead Source]],'helper tab'!A:B,2,FALSE),"Exclude")</f>
        <v>Exclude</v>
      </c>
      <c r="P217" s="422">
        <f t="shared" si="33"/>
        <v>46113.5625</v>
      </c>
      <c r="Q217">
        <f t="shared" si="34"/>
        <v>0</v>
      </c>
      <c r="R217">
        <f t="shared" si="35"/>
        <v>0</v>
      </c>
      <c r="S217">
        <f>IF(
AND($Q217=1,$M217&lt;&gt;""),
IF(
COUNTIFS(
$M$3:$M217,$M217,
$O$3:$O217,$O217,
$Q$3:$Q217,1,
$P$3:$P217,"&gt;="&amp;EOMONTH($P217,-1)+1,
$P$3:$P217,"&lt;"&amp;EOMONTH($P217,0)+1
)=1,
1,
0),
0)</f>
        <v>0</v>
      </c>
      <c r="T217">
        <f>IF(AND($R217=1,$M217&lt;&gt;""),IF(COUNTIFS($M$3:$M217,$M217,$O$3:$O217,$O217,$R$3:$R217,1,$P$3:$P217,"&gt;="&amp;EOMONTH($P217,-1)+1,$P$3:$P217,"&lt;"&amp;EOMONTH($P217,0)+1)=1,1,0),0)</f>
        <v>0</v>
      </c>
      <c r="U217">
        <f t="shared" si="36"/>
        <v>1</v>
      </c>
      <c r="V217">
        <f>IF(AND($U217=1,$M217&lt;&gt;""),IF(COUNTIFS($M$3:$M217,$M217,$O$3:$O217,$O217,$U$3:$U217,1,$P$3:$P217,"&gt;="&amp;EOMONTH($P217,-1)+1,$P$3:$P217,"&lt;"&amp;EOMONTH($P217,0)+1)=1,1,0),0)</f>
        <v>1</v>
      </c>
      <c r="W217" s="444">
        <f ca="1">TODAY()-Table1[[#This Row],[Change Date]]</f>
        <v>144.4375</v>
      </c>
      <c r="X217" s="422" t="str">
        <f t="shared" si="37"/>
        <v/>
      </c>
      <c r="Y217" s="476">
        <f ca="1">IF(Table1[[#This Row],[Next Stage Date]]&lt;&gt;"",Table1[[#This Row],[Next Stage Date]]-Table1[[#This Row],[Change Date]],TODAY()-Table1[[#This Row],[Change Date]])</f>
        <v>144.4375</v>
      </c>
      <c r="Z217" s="476">
        <f t="shared" si="38"/>
        <v>1</v>
      </c>
      <c r="AA217" s="422" t="str">
        <f t="shared" si="39"/>
        <v/>
      </c>
      <c r="AB217" s="422" t="str">
        <f t="shared" si="40"/>
        <v/>
      </c>
      <c r="AC217" s="476" t="str">
        <f t="shared" si="41"/>
        <v/>
      </c>
      <c r="AD217" s="476" t="str">
        <f t="shared" si="42"/>
        <v/>
      </c>
      <c r="AE217" s="476" t="str">
        <f t="shared" si="43"/>
        <v/>
      </c>
      <c r="AF217" s="476" t="b">
        <f>IFERROR(_xlfn.XLOOKUP(Table1[[#This Row],[Opportunity ID]],'Aging Detail'!$H$14:$H$20,'Aging Detail'!$F$14:$F$20),TRUE)</f>
        <v>1</v>
      </c>
    </row>
    <row r="218" spans="1:32">
      <c r="A218" t="s">
        <v>1461</v>
      </c>
      <c r="B218" t="s">
        <v>526</v>
      </c>
      <c r="C218" t="s">
        <v>563</v>
      </c>
      <c r="D218" t="s">
        <v>2103</v>
      </c>
      <c r="E218" t="s">
        <v>2104</v>
      </c>
      <c r="F218" t="s">
        <v>148</v>
      </c>
      <c r="H218" t="s">
        <v>2105</v>
      </c>
      <c r="I218" s="422">
        <v>45853</v>
      </c>
      <c r="J218" s="422">
        <v>46108</v>
      </c>
      <c r="K218">
        <v>166978.4</v>
      </c>
      <c r="L218">
        <v>100478.39999999999</v>
      </c>
      <c r="M218" t="s">
        <v>2106</v>
      </c>
      <c r="N218" t="s">
        <v>2107</v>
      </c>
      <c r="O218" t="str">
        <f>_xlfn.IFNA(VLOOKUP(Table1[[#This Row],[Lead Source]],'helper tab'!A:B,2,FALSE),"Exclude")</f>
        <v>Alliances</v>
      </c>
      <c r="P218" s="422">
        <f t="shared" si="33"/>
        <v>46112.43472222222</v>
      </c>
      <c r="Q218">
        <f t="shared" si="34"/>
        <v>0</v>
      </c>
      <c r="R218">
        <f t="shared" si="35"/>
        <v>1</v>
      </c>
      <c r="S218">
        <f>IF(
AND($Q218=1,$M218&lt;&gt;""),
IF(
COUNTIFS(
$M$3:$M218,$M218,
$O$3:$O218,$O218,
$Q$3:$Q218,1,
$P$3:$P218,"&gt;="&amp;EOMONTH($P218,-1)+1,
$P$3:$P218,"&lt;"&amp;EOMONTH($P218,0)+1
)=1,
1,
0),
0)</f>
        <v>0</v>
      </c>
      <c r="T218">
        <f>IF(AND($R218=1,$M218&lt;&gt;""),IF(COUNTIFS($M$3:$M218,$M218,$O$3:$O218,$O218,$R$3:$R218,1,$P$3:$P218,"&gt;="&amp;EOMONTH($P218,-1)+1,$P$3:$P218,"&lt;"&amp;EOMONTH($P218,0)+1)=1,1,0),0)</f>
        <v>1</v>
      </c>
      <c r="U218">
        <f t="shared" si="36"/>
        <v>0</v>
      </c>
      <c r="V218">
        <f>IF(AND($U218=1,$M218&lt;&gt;""),IF(COUNTIFS($M$3:$M218,$M218,$O$3:$O218,$O218,$U$3:$U218,1,$P$3:$P218,"&gt;="&amp;EOMONTH($P218,-1)+1,$P$3:$P218,"&lt;"&amp;EOMONTH($P218,0)+1)=1,1,0),0)</f>
        <v>0</v>
      </c>
      <c r="W218" s="444">
        <f ca="1">TODAY()-Table1[[#This Row],[Change Date]]</f>
        <v>145.56527777777956</v>
      </c>
      <c r="X218" s="422" t="str">
        <f t="shared" si="37"/>
        <v/>
      </c>
      <c r="Y218" s="476">
        <f ca="1">IF(Table1[[#This Row],[Next Stage Date]]&lt;&gt;"",Table1[[#This Row],[Next Stage Date]]-Table1[[#This Row],[Change Date]],TODAY()-Table1[[#This Row],[Change Date]])</f>
        <v>145.56527777777956</v>
      </c>
      <c r="Z218" s="476">
        <f t="shared" si="38"/>
        <v>1</v>
      </c>
      <c r="AA218" s="422">
        <f t="shared" si="39"/>
        <v>46112.43472222222</v>
      </c>
      <c r="AB218" s="422">
        <f t="shared" si="40"/>
        <v>46058.530555555553</v>
      </c>
      <c r="AC218" s="476">
        <f t="shared" si="41"/>
        <v>205.53055555555329</v>
      </c>
      <c r="AD218" s="476">
        <f t="shared" si="42"/>
        <v>53.904166666667152</v>
      </c>
      <c r="AE218" s="476">
        <f t="shared" si="43"/>
        <v>259.43472222222044</v>
      </c>
      <c r="AF218" s="476" t="b">
        <f>IFERROR(_xlfn.XLOOKUP(Table1[[#This Row],[Opportunity ID]],'Aging Detail'!$H$14:$H$20,'Aging Detail'!$F$14:$F$20),TRUE)</f>
        <v>1</v>
      </c>
    </row>
    <row r="219" spans="1:32">
      <c r="A219" t="s">
        <v>1461</v>
      </c>
      <c r="B219" t="s">
        <v>462</v>
      </c>
      <c r="C219" t="s">
        <v>526</v>
      </c>
      <c r="D219" t="s">
        <v>2108</v>
      </c>
      <c r="E219" t="s">
        <v>2104</v>
      </c>
      <c r="F219" t="s">
        <v>148</v>
      </c>
      <c r="H219" t="s">
        <v>2105</v>
      </c>
      <c r="I219" s="422">
        <v>45853</v>
      </c>
      <c r="J219" s="422">
        <v>46108</v>
      </c>
      <c r="K219">
        <v>166978.4</v>
      </c>
      <c r="L219">
        <v>100478.39999999999</v>
      </c>
      <c r="M219" t="s">
        <v>2106</v>
      </c>
      <c r="N219" t="s">
        <v>2107</v>
      </c>
      <c r="O219" t="str">
        <f>_xlfn.IFNA(VLOOKUP(Table1[[#This Row],[Lead Source]],'helper tab'!A:B,2,FALSE),"Exclude")</f>
        <v>Alliances</v>
      </c>
      <c r="P219" s="422">
        <f t="shared" si="33"/>
        <v>46112.295138888891</v>
      </c>
      <c r="Q219">
        <f t="shared" si="34"/>
        <v>1</v>
      </c>
      <c r="R219">
        <f t="shared" si="35"/>
        <v>0</v>
      </c>
      <c r="S219">
        <f>IF(
AND($Q219=1,$M219&lt;&gt;""),
IF(
COUNTIFS(
$M$3:$M219,$M219,
$O$3:$O219,$O219,
$Q$3:$Q219,1,
$P$3:$P219,"&gt;="&amp;EOMONTH($P219,-1)+1,
$P$3:$P219,"&lt;"&amp;EOMONTH($P219,0)+1
)=1,
1,
0),
0)</f>
        <v>1</v>
      </c>
      <c r="T219">
        <f>IF(AND($R219=1,$M219&lt;&gt;""),IF(COUNTIFS($M$3:$M219,$M219,$O$3:$O219,$O219,$R$3:$R219,1,$P$3:$P219,"&gt;="&amp;EOMONTH($P219,-1)+1,$P$3:$P219,"&lt;"&amp;EOMONTH($P219,0)+1)=1,1,0),0)</f>
        <v>0</v>
      </c>
      <c r="U219">
        <f t="shared" si="36"/>
        <v>0</v>
      </c>
      <c r="V219">
        <f>IF(AND($U219=1,$M219&lt;&gt;""),IF(COUNTIFS($M$3:$M219,$M219,$O$3:$O219,$O219,$U$3:$U219,1,$P$3:$P219,"&gt;="&amp;EOMONTH($P219,-1)+1,$P$3:$P219,"&lt;"&amp;EOMONTH($P219,0)+1)=1,1,0),0)</f>
        <v>0</v>
      </c>
      <c r="W219" s="444">
        <f ca="1">TODAY()-Table1[[#This Row],[Change Date]]</f>
        <v>145.70486111110949</v>
      </c>
      <c r="X219" s="422">
        <f t="shared" si="37"/>
        <v>46112.43472222222</v>
      </c>
      <c r="Y219" s="476">
        <f ca="1">IF(Table1[[#This Row],[Next Stage Date]]&lt;&gt;"",Table1[[#This Row],[Next Stage Date]]-Table1[[#This Row],[Change Date]],TODAY()-Table1[[#This Row],[Change Date]])</f>
        <v>0.13958333332993789</v>
      </c>
      <c r="Z219" s="476">
        <f t="shared" si="38"/>
        <v>0</v>
      </c>
      <c r="AA219" s="422">
        <f t="shared" si="39"/>
        <v>46112.43472222222</v>
      </c>
      <c r="AB219" s="422">
        <f t="shared" si="40"/>
        <v>46058.530555555553</v>
      </c>
      <c r="AC219" s="476">
        <f t="shared" si="41"/>
        <v>205.53055555555329</v>
      </c>
      <c r="AD219" s="476">
        <f t="shared" si="42"/>
        <v>53.904166666667152</v>
      </c>
      <c r="AE219" s="476">
        <f t="shared" si="43"/>
        <v>259.43472222222044</v>
      </c>
      <c r="AF219" s="476" t="b">
        <f>IFERROR(_xlfn.XLOOKUP(Table1[[#This Row],[Opportunity ID]],'Aging Detail'!$H$14:$H$20,'Aging Detail'!$F$14:$F$20),TRUE)</f>
        <v>1</v>
      </c>
    </row>
    <row r="220" spans="1:32">
      <c r="A220" t="s">
        <v>1461</v>
      </c>
      <c r="B220" t="s">
        <v>1462</v>
      </c>
      <c r="C220" t="s">
        <v>462</v>
      </c>
      <c r="D220" t="s">
        <v>2109</v>
      </c>
      <c r="E220" t="s">
        <v>137</v>
      </c>
      <c r="F220" t="s">
        <v>1482</v>
      </c>
      <c r="H220" t="s">
        <v>157</v>
      </c>
      <c r="I220" s="422">
        <v>46105</v>
      </c>
      <c r="J220" s="422">
        <v>46203</v>
      </c>
      <c r="K220">
        <v>60000</v>
      </c>
      <c r="L220">
        <v>60000</v>
      </c>
      <c r="M220" t="s">
        <v>1769</v>
      </c>
      <c r="N220" t="s">
        <v>1770</v>
      </c>
      <c r="O220" t="str">
        <f>_xlfn.IFNA(VLOOKUP(Table1[[#This Row],[Lead Source]],'helper tab'!A:B,2,FALSE),"Exclude")</f>
        <v>Digital</v>
      </c>
      <c r="P220" s="422">
        <f t="shared" si="33"/>
        <v>46112.228472222225</v>
      </c>
      <c r="Q220">
        <f t="shared" si="34"/>
        <v>1</v>
      </c>
      <c r="R220">
        <f t="shared" si="35"/>
        <v>0</v>
      </c>
      <c r="S220">
        <f>IF(
AND($Q220=1,$M220&lt;&gt;""),
IF(
COUNTIFS(
$M$3:$M220,$M220,
$O$3:$O220,$O220,
$Q$3:$Q220,1,
$P$3:$P220,"&gt;="&amp;EOMONTH($P220,-1)+1,
$P$3:$P220,"&lt;"&amp;EOMONTH($P220,0)+1
)=1,
1,
0),
0)</f>
        <v>1</v>
      </c>
      <c r="T220">
        <f>IF(AND($R220=1,$M220&lt;&gt;""),IF(COUNTIFS($M$3:$M220,$M220,$O$3:$O220,$O220,$R$3:$R220,1,$P$3:$P220,"&gt;="&amp;EOMONTH($P220,-1)+1,$P$3:$P220,"&lt;"&amp;EOMONTH($P220,0)+1)=1,1,0),0)</f>
        <v>0</v>
      </c>
      <c r="U220">
        <f t="shared" si="36"/>
        <v>0</v>
      </c>
      <c r="V220">
        <f>IF(AND($U220=1,$M220&lt;&gt;""),IF(COUNTIFS($M$3:$M220,$M220,$O$3:$O220,$O220,$U$3:$U220,1,$P$3:$P220,"&gt;="&amp;EOMONTH($P220,-1)+1,$P$3:$P220,"&lt;"&amp;EOMONTH($P220,0)+1)=1,1,0),0)</f>
        <v>0</v>
      </c>
      <c r="W220" s="444">
        <f ca="1">TODAY()-Table1[[#This Row],[Change Date]]</f>
        <v>145.77152777777519</v>
      </c>
      <c r="X220" s="422">
        <f t="shared" si="37"/>
        <v>46182.336805555555</v>
      </c>
      <c r="Y220" s="476">
        <f ca="1">IF(Table1[[#This Row],[Next Stage Date]]&lt;&gt;"",Table1[[#This Row],[Next Stage Date]]-Table1[[#This Row],[Change Date]],TODAY()-Table1[[#This Row],[Change Date]])</f>
        <v>70.108333333329938</v>
      </c>
      <c r="Z220" s="476">
        <f t="shared" si="38"/>
        <v>0</v>
      </c>
      <c r="AA220" s="422">
        <f t="shared" si="39"/>
        <v>46204.482638888891</v>
      </c>
      <c r="AB220" s="422">
        <f t="shared" si="40"/>
        <v>46112.228472222225</v>
      </c>
      <c r="AC220" s="476">
        <f t="shared" si="41"/>
        <v>7.2284722222248092</v>
      </c>
      <c r="AD220" s="476">
        <f t="shared" si="42"/>
        <v>92.254166666665697</v>
      </c>
      <c r="AE220" s="476">
        <f t="shared" si="43"/>
        <v>99.482638888890506</v>
      </c>
      <c r="AF220" s="476" t="b">
        <f>IFERROR(_xlfn.XLOOKUP(Table1[[#This Row],[Opportunity ID]],'Aging Detail'!$H$14:$H$20,'Aging Detail'!$F$14:$F$20),TRUE)</f>
        <v>1</v>
      </c>
    </row>
    <row r="221" spans="1:32">
      <c r="A221" t="s">
        <v>1461</v>
      </c>
      <c r="B221" t="s">
        <v>408</v>
      </c>
      <c r="C221" t="s">
        <v>1462</v>
      </c>
      <c r="D221" t="s">
        <v>2109</v>
      </c>
      <c r="E221" t="s">
        <v>137</v>
      </c>
      <c r="F221" t="s">
        <v>1482</v>
      </c>
      <c r="H221" t="s">
        <v>157</v>
      </c>
      <c r="I221" s="422">
        <v>46105</v>
      </c>
      <c r="J221" s="422">
        <v>46203</v>
      </c>
      <c r="K221">
        <v>60000</v>
      </c>
      <c r="L221">
        <v>60000</v>
      </c>
      <c r="M221" t="s">
        <v>1769</v>
      </c>
      <c r="N221" t="s">
        <v>1770</v>
      </c>
      <c r="O221" t="str">
        <f>_xlfn.IFNA(VLOOKUP(Table1[[#This Row],[Lead Source]],'helper tab'!A:B,2,FALSE),"Exclude")</f>
        <v>Digital</v>
      </c>
      <c r="P221" s="422">
        <f t="shared" si="33"/>
        <v>46112.228472222225</v>
      </c>
      <c r="Q221">
        <f t="shared" si="34"/>
        <v>0</v>
      </c>
      <c r="R221">
        <f t="shared" si="35"/>
        <v>0</v>
      </c>
      <c r="S221">
        <f>IF(
AND($Q221=1,$M221&lt;&gt;""),
IF(
COUNTIFS(
$M$3:$M221,$M221,
$O$3:$O221,$O221,
$Q$3:$Q221,1,
$P$3:$P221,"&gt;="&amp;EOMONTH($P221,-1)+1,
$P$3:$P221,"&lt;"&amp;EOMONTH($P221,0)+1
)=1,
1,
0),
0)</f>
        <v>0</v>
      </c>
      <c r="T221">
        <f>IF(AND($R221=1,$M221&lt;&gt;""),IF(COUNTIFS($M$3:$M221,$M221,$O$3:$O221,$O221,$R$3:$R221,1,$P$3:$P221,"&gt;="&amp;EOMONTH($P221,-1)+1,$P$3:$P221,"&lt;"&amp;EOMONTH($P221,0)+1)=1,1,0),0)</f>
        <v>0</v>
      </c>
      <c r="U221">
        <f t="shared" si="36"/>
        <v>0</v>
      </c>
      <c r="V221">
        <f>IF(AND($U221=1,$M221&lt;&gt;""),IF(COUNTIFS($M$3:$M221,$M221,$O$3:$O221,$O221,$U$3:$U221,1,$P$3:$P221,"&gt;="&amp;EOMONTH($P221,-1)+1,$P$3:$P221,"&lt;"&amp;EOMONTH($P221,0)+1)=1,1,0),0)</f>
        <v>0</v>
      </c>
      <c r="W221" s="444">
        <f ca="1">TODAY()-Table1[[#This Row],[Change Date]]</f>
        <v>145.77152777777519</v>
      </c>
      <c r="X221" s="422">
        <f t="shared" si="37"/>
        <v>46182.336805555555</v>
      </c>
      <c r="Y221" s="476">
        <f ca="1">IF(Table1[[#This Row],[Next Stage Date]]&lt;&gt;"",Table1[[#This Row],[Next Stage Date]]-Table1[[#This Row],[Change Date]],TODAY()-Table1[[#This Row],[Change Date]])</f>
        <v>70.108333333329938</v>
      </c>
      <c r="Z221" s="476">
        <f t="shared" si="38"/>
        <v>0</v>
      </c>
      <c r="AA221" s="422">
        <f t="shared" si="39"/>
        <v>46204.482638888891</v>
      </c>
      <c r="AB221" s="422">
        <f t="shared" si="40"/>
        <v>46112.228472222225</v>
      </c>
      <c r="AC221" s="476">
        <f t="shared" si="41"/>
        <v>7.2284722222248092</v>
      </c>
      <c r="AD221" s="476">
        <f t="shared" si="42"/>
        <v>92.254166666665697</v>
      </c>
      <c r="AE221" s="476">
        <f t="shared" si="43"/>
        <v>99.482638888890506</v>
      </c>
      <c r="AF221" s="476" t="b">
        <f>IFERROR(_xlfn.XLOOKUP(Table1[[#This Row],[Opportunity ID]],'Aging Detail'!$H$14:$H$20,'Aging Detail'!$F$14:$F$20),TRUE)</f>
        <v>1</v>
      </c>
    </row>
    <row r="222" spans="1:32">
      <c r="A222" t="s">
        <v>1461</v>
      </c>
      <c r="B222" t="s">
        <v>408</v>
      </c>
      <c r="C222" t="s">
        <v>1462</v>
      </c>
      <c r="D222" t="s">
        <v>2110</v>
      </c>
      <c r="E222" t="s">
        <v>1672</v>
      </c>
      <c r="F222" t="s">
        <v>1464</v>
      </c>
      <c r="I222" s="422">
        <v>45831</v>
      </c>
      <c r="J222" s="422">
        <v>46381</v>
      </c>
      <c r="K222">
        <v>757200</v>
      </c>
      <c r="L222">
        <v>607200</v>
      </c>
      <c r="M222" t="s">
        <v>1673</v>
      </c>
      <c r="N222" t="s">
        <v>1674</v>
      </c>
      <c r="O222" t="str">
        <f>_xlfn.IFNA(VLOOKUP(Table1[[#This Row],[Lead Source]],'helper tab'!A:B,2,FALSE),"Exclude")</f>
        <v>Cold</v>
      </c>
      <c r="P222" s="422">
        <f t="shared" si="33"/>
        <v>46111.644444444442</v>
      </c>
      <c r="Q222">
        <f t="shared" si="34"/>
        <v>0</v>
      </c>
      <c r="R222">
        <f t="shared" si="35"/>
        <v>0</v>
      </c>
      <c r="S222">
        <f>IF(
AND($Q222=1,$M222&lt;&gt;""),
IF(
COUNTIFS(
$M$3:$M222,$M222,
$O$3:$O222,$O222,
$Q$3:$Q222,1,
$P$3:$P222,"&gt;="&amp;EOMONTH($P222,-1)+1,
$P$3:$P222,"&lt;"&amp;EOMONTH($P222,0)+1
)=1,
1,
0),
0)</f>
        <v>0</v>
      </c>
      <c r="T222">
        <f>IF(AND($R222=1,$M222&lt;&gt;""),IF(COUNTIFS($M$3:$M222,$M222,$O$3:$O222,$O222,$R$3:$R222,1,$P$3:$P222,"&gt;="&amp;EOMONTH($P222,-1)+1,$P$3:$P222,"&lt;"&amp;EOMONTH($P222,0)+1)=1,1,0),0)</f>
        <v>0</v>
      </c>
      <c r="U222">
        <f t="shared" si="36"/>
        <v>0</v>
      </c>
      <c r="V222">
        <f>IF(AND($U222=1,$M222&lt;&gt;""),IF(COUNTIFS($M$3:$M222,$M222,$O$3:$O222,$O222,$U$3:$U222,1,$P$3:$P222,"&gt;="&amp;EOMONTH($P222,-1)+1,$P$3:$P222,"&lt;"&amp;EOMONTH($P222,0)+1)=1,1,0),0)</f>
        <v>0</v>
      </c>
      <c r="W222" s="444">
        <f ca="1">TODAY()-Table1[[#This Row],[Change Date]]</f>
        <v>146.35555555555766</v>
      </c>
      <c r="X222" s="422">
        <f t="shared" si="37"/>
        <v>46211.668055555558</v>
      </c>
      <c r="Y222" s="476">
        <f ca="1">IF(Table1[[#This Row],[Next Stage Date]]&lt;&gt;"",Table1[[#This Row],[Next Stage Date]]-Table1[[#This Row],[Change Date]],TODAY()-Table1[[#This Row],[Change Date]])</f>
        <v>100.02361111111531</v>
      </c>
      <c r="Z222" s="476">
        <f t="shared" si="38"/>
        <v>0</v>
      </c>
      <c r="AA222" s="422" t="str">
        <f t="shared" si="39"/>
        <v/>
      </c>
      <c r="AB222" s="422">
        <f t="shared" si="40"/>
        <v>46211.668055555558</v>
      </c>
      <c r="AC222" s="476">
        <f t="shared" si="41"/>
        <v>380.66805555555766</v>
      </c>
      <c r="AD222" s="476" t="str">
        <f t="shared" si="42"/>
        <v/>
      </c>
      <c r="AE222" s="476" t="str">
        <f t="shared" si="43"/>
        <v/>
      </c>
      <c r="AF222" s="476" t="b">
        <f>IFERROR(_xlfn.XLOOKUP(Table1[[#This Row],[Opportunity ID]],'Aging Detail'!$H$14:$H$20,'Aging Detail'!$F$14:$F$20),TRUE)</f>
        <v>1</v>
      </c>
    </row>
    <row r="223" spans="1:32">
      <c r="A223" t="s">
        <v>1461</v>
      </c>
      <c r="B223" t="s">
        <v>462</v>
      </c>
      <c r="C223" t="s">
        <v>1462</v>
      </c>
      <c r="D223" t="s">
        <v>2111</v>
      </c>
      <c r="E223" t="s">
        <v>2112</v>
      </c>
      <c r="F223" t="s">
        <v>1475</v>
      </c>
      <c r="I223" s="422">
        <v>45422</v>
      </c>
      <c r="J223" s="422">
        <v>46387</v>
      </c>
      <c r="K223">
        <v>50000</v>
      </c>
      <c r="L223">
        <v>50000</v>
      </c>
      <c r="M223" t="s">
        <v>2113</v>
      </c>
      <c r="N223" t="s">
        <v>2114</v>
      </c>
      <c r="O223" t="str">
        <f>_xlfn.IFNA(VLOOKUP(Table1[[#This Row],[Lead Source]],'helper tab'!A:B,2,FALSE),"Exclude")</f>
        <v>Exclude</v>
      </c>
      <c r="P223" s="422">
        <f t="shared" si="33"/>
        <v>46111.634027777778</v>
      </c>
      <c r="Q223">
        <f t="shared" si="34"/>
        <v>0</v>
      </c>
      <c r="R223">
        <f t="shared" si="35"/>
        <v>0</v>
      </c>
      <c r="S223">
        <f>IF(
AND($Q223=1,$M223&lt;&gt;""),
IF(
COUNTIFS(
$M$3:$M223,$M223,
$O$3:$O223,$O223,
$Q$3:$Q223,1,
$P$3:$P223,"&gt;="&amp;EOMONTH($P223,-1)+1,
$P$3:$P223,"&lt;"&amp;EOMONTH($P223,0)+1
)=1,
1,
0),
0)</f>
        <v>0</v>
      </c>
      <c r="T223">
        <f>IF(AND($R223=1,$M223&lt;&gt;""),IF(COUNTIFS($M$3:$M223,$M223,$O$3:$O223,$O223,$R$3:$R223,1,$P$3:$P223,"&gt;="&amp;EOMONTH($P223,-1)+1,$P$3:$P223,"&lt;"&amp;EOMONTH($P223,0)+1)=1,1,0),0)</f>
        <v>0</v>
      </c>
      <c r="U223">
        <f t="shared" si="36"/>
        <v>0</v>
      </c>
      <c r="V223">
        <f>IF(AND($U223=1,$M223&lt;&gt;""),IF(COUNTIFS($M$3:$M223,$M223,$O$3:$O223,$O223,$U$3:$U223,1,$P$3:$P223,"&gt;="&amp;EOMONTH($P223,-1)+1,$P$3:$P223,"&lt;"&amp;EOMONTH($P223,0)+1)=1,1,0),0)</f>
        <v>0</v>
      </c>
      <c r="W223" s="444">
        <f ca="1">TODAY()-Table1[[#This Row],[Change Date]]</f>
        <v>146.3659722222219</v>
      </c>
      <c r="X223" s="422" t="str">
        <f t="shared" si="37"/>
        <v/>
      </c>
      <c r="Y223" s="476">
        <f ca="1">IF(Table1[[#This Row],[Next Stage Date]]&lt;&gt;"",Table1[[#This Row],[Next Stage Date]]-Table1[[#This Row],[Change Date]],TODAY()-Table1[[#This Row],[Change Date]])</f>
        <v>146.3659722222219</v>
      </c>
      <c r="Z223" s="476">
        <f t="shared" si="38"/>
        <v>1</v>
      </c>
      <c r="AA223" s="422" t="str">
        <f t="shared" si="39"/>
        <v/>
      </c>
      <c r="AB223" s="422">
        <f t="shared" si="40"/>
        <v>45870.599305555559</v>
      </c>
      <c r="AC223" s="476">
        <f t="shared" si="41"/>
        <v>448.59930555555911</v>
      </c>
      <c r="AD223" s="476" t="str">
        <f t="shared" si="42"/>
        <v/>
      </c>
      <c r="AE223" s="476" t="str">
        <f t="shared" si="43"/>
        <v/>
      </c>
      <c r="AF223" s="476" t="b">
        <f>IFERROR(_xlfn.XLOOKUP(Table1[[#This Row],[Opportunity ID]],'Aging Detail'!$H$14:$H$20,'Aging Detail'!$F$14:$F$20),TRUE)</f>
        <v>1</v>
      </c>
    </row>
    <row r="224" spans="1:32">
      <c r="A224" t="s">
        <v>1461</v>
      </c>
      <c r="B224" t="s">
        <v>526</v>
      </c>
      <c r="C224" t="s">
        <v>563</v>
      </c>
      <c r="D224" t="s">
        <v>2115</v>
      </c>
      <c r="E224" t="s">
        <v>2116</v>
      </c>
      <c r="F224" t="s">
        <v>148</v>
      </c>
      <c r="I224" s="422">
        <v>46069</v>
      </c>
      <c r="J224" s="422">
        <v>46108</v>
      </c>
      <c r="K224">
        <v>9000</v>
      </c>
      <c r="L224">
        <v>9000</v>
      </c>
      <c r="M224" t="s">
        <v>2117</v>
      </c>
      <c r="N224" t="s">
        <v>1788</v>
      </c>
      <c r="O224" t="str">
        <f>_xlfn.IFNA(VLOOKUP(Table1[[#This Row],[Lead Source]],'helper tab'!A:B,2,FALSE),"Exclude")</f>
        <v>Alliances</v>
      </c>
      <c r="P224" s="422">
        <f t="shared" si="33"/>
        <v>46111.570833333331</v>
      </c>
      <c r="Q224">
        <f t="shared" si="34"/>
        <v>0</v>
      </c>
      <c r="R224">
        <f t="shared" si="35"/>
        <v>1</v>
      </c>
      <c r="S224">
        <f>IF(
AND($Q224=1,$M224&lt;&gt;""),
IF(
COUNTIFS(
$M$3:$M224,$M224,
$O$3:$O224,$O224,
$Q$3:$Q224,1,
$P$3:$P224,"&gt;="&amp;EOMONTH($P224,-1)+1,
$P$3:$P224,"&lt;"&amp;EOMONTH($P224,0)+1
)=1,
1,
0),
0)</f>
        <v>0</v>
      </c>
      <c r="T224">
        <f>IF(AND($R224=1,$M224&lt;&gt;""),IF(COUNTIFS($M$3:$M224,$M224,$O$3:$O224,$O224,$R$3:$R224,1,$P$3:$P224,"&gt;="&amp;EOMONTH($P224,-1)+1,$P$3:$P224,"&lt;"&amp;EOMONTH($P224,0)+1)=1,1,0),0)</f>
        <v>1</v>
      </c>
      <c r="U224">
        <f t="shared" si="36"/>
        <v>0</v>
      </c>
      <c r="V224">
        <f>IF(AND($U224=1,$M224&lt;&gt;""),IF(COUNTIFS($M$3:$M224,$M224,$O$3:$O224,$O224,$U$3:$U224,1,$P$3:$P224,"&gt;="&amp;EOMONTH($P224,-1)+1,$P$3:$P224,"&lt;"&amp;EOMONTH($P224,0)+1)=1,1,0),0)</f>
        <v>0</v>
      </c>
      <c r="W224" s="444">
        <f ca="1">TODAY()-Table1[[#This Row],[Change Date]]</f>
        <v>146.42916666666861</v>
      </c>
      <c r="X224" s="422" t="str">
        <f t="shared" si="37"/>
        <v/>
      </c>
      <c r="Y224" s="476">
        <f ca="1">IF(Table1[[#This Row],[Next Stage Date]]&lt;&gt;"",Table1[[#This Row],[Next Stage Date]]-Table1[[#This Row],[Change Date]],TODAY()-Table1[[#This Row],[Change Date]])</f>
        <v>146.42916666666861</v>
      </c>
      <c r="Z224" s="476">
        <f t="shared" si="38"/>
        <v>1</v>
      </c>
      <c r="AA224" s="422">
        <f t="shared" si="39"/>
        <v>46111.570833333331</v>
      </c>
      <c r="AB224" s="422">
        <f t="shared" si="40"/>
        <v>46111.504166666666</v>
      </c>
      <c r="AC224" s="476">
        <f t="shared" si="41"/>
        <v>42.504166666665697</v>
      </c>
      <c r="AD224" s="476">
        <f t="shared" si="42"/>
        <v>6.6666666665696539E-2</v>
      </c>
      <c r="AE224" s="476">
        <f t="shared" si="43"/>
        <v>42.570833333331393</v>
      </c>
      <c r="AF224" s="476" t="b">
        <f>IFERROR(_xlfn.XLOOKUP(Table1[[#This Row],[Opportunity ID]],'Aging Detail'!$H$14:$H$20,'Aging Detail'!$F$14:$F$20),TRUE)</f>
        <v>1</v>
      </c>
    </row>
    <row r="225" spans="1:32">
      <c r="A225" t="s">
        <v>1461</v>
      </c>
      <c r="B225" t="s">
        <v>462</v>
      </c>
      <c r="C225" t="s">
        <v>526</v>
      </c>
      <c r="D225" t="s">
        <v>2118</v>
      </c>
      <c r="E225" t="s">
        <v>2116</v>
      </c>
      <c r="F225" t="s">
        <v>148</v>
      </c>
      <c r="I225" s="422">
        <v>46069</v>
      </c>
      <c r="J225" s="422">
        <v>46108</v>
      </c>
      <c r="K225">
        <v>9000</v>
      </c>
      <c r="L225">
        <v>9000</v>
      </c>
      <c r="M225" t="s">
        <v>2117</v>
      </c>
      <c r="N225" t="s">
        <v>1788</v>
      </c>
      <c r="O225" t="str">
        <f>_xlfn.IFNA(VLOOKUP(Table1[[#This Row],[Lead Source]],'helper tab'!A:B,2,FALSE),"Exclude")</f>
        <v>Alliances</v>
      </c>
      <c r="P225" s="422">
        <f t="shared" si="33"/>
        <v>46111.504166666666</v>
      </c>
      <c r="Q225">
        <f t="shared" si="34"/>
        <v>1</v>
      </c>
      <c r="R225">
        <f t="shared" si="35"/>
        <v>0</v>
      </c>
      <c r="S225">
        <f>IF(
AND($Q225=1,$M225&lt;&gt;""),
IF(
COUNTIFS(
$M$3:$M225,$M225,
$O$3:$O225,$O225,
$Q$3:$Q225,1,
$P$3:$P225,"&gt;="&amp;EOMONTH($P225,-1)+1,
$P$3:$P225,"&lt;"&amp;EOMONTH($P225,0)+1
)=1,
1,
0),
0)</f>
        <v>1</v>
      </c>
      <c r="T225">
        <f>IF(AND($R225=1,$M225&lt;&gt;""),IF(COUNTIFS($M$3:$M225,$M225,$O$3:$O225,$O225,$R$3:$R225,1,$P$3:$P225,"&gt;="&amp;EOMONTH($P225,-1)+1,$P$3:$P225,"&lt;"&amp;EOMONTH($P225,0)+1)=1,1,0),0)</f>
        <v>0</v>
      </c>
      <c r="U225">
        <f t="shared" si="36"/>
        <v>0</v>
      </c>
      <c r="V225">
        <f>IF(AND($U225=1,$M225&lt;&gt;""),IF(COUNTIFS($M$3:$M225,$M225,$O$3:$O225,$O225,$U$3:$U225,1,$P$3:$P225,"&gt;="&amp;EOMONTH($P225,-1)+1,$P$3:$P225,"&lt;"&amp;EOMONTH($P225,0)+1)=1,1,0),0)</f>
        <v>0</v>
      </c>
      <c r="W225" s="444">
        <f ca="1">TODAY()-Table1[[#This Row],[Change Date]]</f>
        <v>146.4958333333343</v>
      </c>
      <c r="X225" s="422">
        <f t="shared" si="37"/>
        <v>46111.570833333331</v>
      </c>
      <c r="Y225" s="476">
        <f ca="1">IF(Table1[[#This Row],[Next Stage Date]]&lt;&gt;"",Table1[[#This Row],[Next Stage Date]]-Table1[[#This Row],[Change Date]],TODAY()-Table1[[#This Row],[Change Date]])</f>
        <v>6.6666666665696539E-2</v>
      </c>
      <c r="Z225" s="476">
        <f t="shared" si="38"/>
        <v>0</v>
      </c>
      <c r="AA225" s="422">
        <f t="shared" si="39"/>
        <v>46111.570833333331</v>
      </c>
      <c r="AB225" s="422">
        <f t="shared" si="40"/>
        <v>46111.504166666666</v>
      </c>
      <c r="AC225" s="476">
        <f t="shared" si="41"/>
        <v>42.504166666665697</v>
      </c>
      <c r="AD225" s="476">
        <f t="shared" si="42"/>
        <v>6.6666666665696539E-2</v>
      </c>
      <c r="AE225" s="476">
        <f t="shared" si="43"/>
        <v>42.570833333331393</v>
      </c>
      <c r="AF225" s="476" t="b">
        <f>IFERROR(_xlfn.XLOOKUP(Table1[[#This Row],[Opportunity ID]],'Aging Detail'!$H$14:$H$20,'Aging Detail'!$F$14:$F$20),TRUE)</f>
        <v>1</v>
      </c>
    </row>
    <row r="226" spans="1:32">
      <c r="A226" t="s">
        <v>1461</v>
      </c>
      <c r="B226" t="s">
        <v>1462</v>
      </c>
      <c r="C226" t="s">
        <v>462</v>
      </c>
      <c r="D226" t="s">
        <v>2118</v>
      </c>
      <c r="E226" t="s">
        <v>2116</v>
      </c>
      <c r="F226" t="s">
        <v>148</v>
      </c>
      <c r="I226" s="422">
        <v>46069</v>
      </c>
      <c r="J226" s="422">
        <v>46108</v>
      </c>
      <c r="K226">
        <v>9000</v>
      </c>
      <c r="L226">
        <v>9000</v>
      </c>
      <c r="M226" t="s">
        <v>2117</v>
      </c>
      <c r="N226" t="s">
        <v>1788</v>
      </c>
      <c r="O226" t="str">
        <f>_xlfn.IFNA(VLOOKUP(Table1[[#This Row],[Lead Source]],'helper tab'!A:B,2,FALSE),"Exclude")</f>
        <v>Alliances</v>
      </c>
      <c r="P226" s="422">
        <f t="shared" si="33"/>
        <v>46111.504166666666</v>
      </c>
      <c r="Q226">
        <f t="shared" si="34"/>
        <v>1</v>
      </c>
      <c r="R226">
        <f t="shared" si="35"/>
        <v>0</v>
      </c>
      <c r="S226">
        <f>IF(
AND($Q226=1,$M226&lt;&gt;""),
IF(
COUNTIFS(
$M$3:$M226,$M226,
$O$3:$O226,$O226,
$Q$3:$Q226,1,
$P$3:$P226,"&gt;="&amp;EOMONTH($P226,-1)+1,
$P$3:$P226,"&lt;"&amp;EOMONTH($P226,0)+1
)=1,
1,
0),
0)</f>
        <v>0</v>
      </c>
      <c r="T226">
        <f>IF(AND($R226=1,$M226&lt;&gt;""),IF(COUNTIFS($M$3:$M226,$M226,$O$3:$O226,$O226,$R$3:$R226,1,$P$3:$P226,"&gt;="&amp;EOMONTH($P226,-1)+1,$P$3:$P226,"&lt;"&amp;EOMONTH($P226,0)+1)=1,1,0),0)</f>
        <v>0</v>
      </c>
      <c r="U226">
        <f t="shared" si="36"/>
        <v>0</v>
      </c>
      <c r="V226">
        <f>IF(AND($U226=1,$M226&lt;&gt;""),IF(COUNTIFS($M$3:$M226,$M226,$O$3:$O226,$O226,$U$3:$U226,1,$P$3:$P226,"&gt;="&amp;EOMONTH($P226,-1)+1,$P$3:$P226,"&lt;"&amp;EOMONTH($P226,0)+1)=1,1,0),0)</f>
        <v>0</v>
      </c>
      <c r="W226" s="444">
        <f ca="1">TODAY()-Table1[[#This Row],[Change Date]]</f>
        <v>146.4958333333343</v>
      </c>
      <c r="X226" s="422">
        <f t="shared" si="37"/>
        <v>46111.570833333331</v>
      </c>
      <c r="Y226" s="476">
        <f ca="1">IF(Table1[[#This Row],[Next Stage Date]]&lt;&gt;"",Table1[[#This Row],[Next Stage Date]]-Table1[[#This Row],[Change Date]],TODAY()-Table1[[#This Row],[Change Date]])</f>
        <v>6.6666666665696539E-2</v>
      </c>
      <c r="Z226" s="476">
        <f t="shared" si="38"/>
        <v>0</v>
      </c>
      <c r="AA226" s="422">
        <f t="shared" si="39"/>
        <v>46111.570833333331</v>
      </c>
      <c r="AB226" s="422">
        <f t="shared" si="40"/>
        <v>46111.504166666666</v>
      </c>
      <c r="AC226" s="476">
        <f t="shared" si="41"/>
        <v>42.504166666665697</v>
      </c>
      <c r="AD226" s="476">
        <f t="shared" si="42"/>
        <v>6.6666666665696539E-2</v>
      </c>
      <c r="AE226" s="476">
        <f t="shared" si="43"/>
        <v>42.570833333331393</v>
      </c>
      <c r="AF226" s="476" t="b">
        <f>IFERROR(_xlfn.XLOOKUP(Table1[[#This Row],[Opportunity ID]],'Aging Detail'!$H$14:$H$20,'Aging Detail'!$F$14:$F$20),TRUE)</f>
        <v>1</v>
      </c>
    </row>
    <row r="227" spans="1:32">
      <c r="A227" t="s">
        <v>1461</v>
      </c>
      <c r="B227" t="s">
        <v>408</v>
      </c>
      <c r="C227" t="s">
        <v>1462</v>
      </c>
      <c r="D227" t="s">
        <v>2119</v>
      </c>
      <c r="E227" t="s">
        <v>2116</v>
      </c>
      <c r="F227" t="s">
        <v>148</v>
      </c>
      <c r="I227" s="422">
        <v>46069</v>
      </c>
      <c r="J227" s="422">
        <v>46108</v>
      </c>
      <c r="K227">
        <v>9000</v>
      </c>
      <c r="L227">
        <v>9000</v>
      </c>
      <c r="M227" t="s">
        <v>2117</v>
      </c>
      <c r="N227" t="s">
        <v>1788</v>
      </c>
      <c r="O227" t="str">
        <f>_xlfn.IFNA(VLOOKUP(Table1[[#This Row],[Lead Source]],'helper tab'!A:B,2,FALSE),"Exclude")</f>
        <v>Alliances</v>
      </c>
      <c r="P227" s="422">
        <f t="shared" si="33"/>
        <v>46111.503472222219</v>
      </c>
      <c r="Q227">
        <f t="shared" si="34"/>
        <v>0</v>
      </c>
      <c r="R227">
        <f t="shared" si="35"/>
        <v>0</v>
      </c>
      <c r="S227">
        <f>IF(
AND($Q227=1,$M227&lt;&gt;""),
IF(
COUNTIFS(
$M$3:$M227,$M227,
$O$3:$O227,$O227,
$Q$3:$Q227,1,
$P$3:$P227,"&gt;="&amp;EOMONTH($P227,-1)+1,
$P$3:$P227,"&lt;"&amp;EOMONTH($P227,0)+1
)=1,
1,
0),
0)</f>
        <v>0</v>
      </c>
      <c r="T227">
        <f>IF(AND($R227=1,$M227&lt;&gt;""),IF(COUNTIFS($M$3:$M227,$M227,$O$3:$O227,$O227,$R$3:$R227,1,$P$3:$P227,"&gt;="&amp;EOMONTH($P227,-1)+1,$P$3:$P227,"&lt;"&amp;EOMONTH($P227,0)+1)=1,1,0),0)</f>
        <v>0</v>
      </c>
      <c r="U227">
        <f t="shared" si="36"/>
        <v>0</v>
      </c>
      <c r="V227">
        <f>IF(AND($U227=1,$M227&lt;&gt;""),IF(COUNTIFS($M$3:$M227,$M227,$O$3:$O227,$O227,$U$3:$U227,1,$P$3:$P227,"&gt;="&amp;EOMONTH($P227,-1)+1,$P$3:$P227,"&lt;"&amp;EOMONTH($P227,0)+1)=1,1,0),0)</f>
        <v>0</v>
      </c>
      <c r="W227" s="444">
        <f ca="1">TODAY()-Table1[[#This Row],[Change Date]]</f>
        <v>146.49652777778101</v>
      </c>
      <c r="X227" s="422">
        <f t="shared" si="37"/>
        <v>46111.504166666666</v>
      </c>
      <c r="Y227" s="476">
        <f ca="1">IF(Table1[[#This Row],[Next Stage Date]]&lt;&gt;"",Table1[[#This Row],[Next Stage Date]]-Table1[[#This Row],[Change Date]],TODAY()-Table1[[#This Row],[Change Date]])</f>
        <v>6.944444467080757E-4</v>
      </c>
      <c r="Z227" s="476">
        <f t="shared" si="38"/>
        <v>0</v>
      </c>
      <c r="AA227" s="422">
        <f t="shared" si="39"/>
        <v>46111.570833333331</v>
      </c>
      <c r="AB227" s="422">
        <f t="shared" si="40"/>
        <v>46111.504166666666</v>
      </c>
      <c r="AC227" s="476">
        <f t="shared" si="41"/>
        <v>42.504166666665697</v>
      </c>
      <c r="AD227" s="476">
        <f t="shared" si="42"/>
        <v>6.6666666665696539E-2</v>
      </c>
      <c r="AE227" s="476">
        <f t="shared" si="43"/>
        <v>42.570833333331393</v>
      </c>
      <c r="AF227" s="476" t="b">
        <f>IFERROR(_xlfn.XLOOKUP(Table1[[#This Row],[Opportunity ID]],'Aging Detail'!$H$14:$H$20,'Aging Detail'!$F$14:$F$20),TRUE)</f>
        <v>1</v>
      </c>
    </row>
    <row r="228" spans="1:32">
      <c r="A228" t="s">
        <v>1461</v>
      </c>
      <c r="B228" t="s">
        <v>1462</v>
      </c>
      <c r="C228" t="s">
        <v>462</v>
      </c>
      <c r="D228" t="s">
        <v>2120</v>
      </c>
      <c r="E228" t="s">
        <v>1589</v>
      </c>
      <c r="F228" t="s">
        <v>1468</v>
      </c>
      <c r="I228" s="422">
        <v>45973</v>
      </c>
      <c r="J228" s="422">
        <v>46262</v>
      </c>
      <c r="K228">
        <v>241015.6</v>
      </c>
      <c r="L228">
        <v>201015.6</v>
      </c>
      <c r="M228" t="s">
        <v>2121</v>
      </c>
      <c r="N228" t="s">
        <v>1589</v>
      </c>
      <c r="O228" t="str">
        <f>_xlfn.IFNA(VLOOKUP(Table1[[#This Row],[Lead Source]],'helper tab'!A:B,2,FALSE),"Exclude")</f>
        <v>Events</v>
      </c>
      <c r="P228" s="422">
        <f t="shared" si="33"/>
        <v>46111.47152777778</v>
      </c>
      <c r="Q228">
        <f t="shared" si="34"/>
        <v>1</v>
      </c>
      <c r="R228">
        <f t="shared" si="35"/>
        <v>0</v>
      </c>
      <c r="S228">
        <f>IF(
AND($Q228=1,$M228&lt;&gt;""),
IF(
COUNTIFS(
$M$3:$M228,$M228,
$O$3:$O228,$O228,
$Q$3:$Q228,1,
$P$3:$P228,"&gt;="&amp;EOMONTH($P228,-1)+1,
$P$3:$P228,"&lt;"&amp;EOMONTH($P228,0)+1
)=1,
1,
0),
0)</f>
        <v>1</v>
      </c>
      <c r="T228">
        <f>IF(AND($R228=1,$M228&lt;&gt;""),IF(COUNTIFS($M$3:$M228,$M228,$O$3:$O228,$O228,$R$3:$R228,1,$P$3:$P228,"&gt;="&amp;EOMONTH($P228,-1)+1,$P$3:$P228,"&lt;"&amp;EOMONTH($P228,0)+1)=1,1,0),0)</f>
        <v>0</v>
      </c>
      <c r="U228">
        <f t="shared" si="36"/>
        <v>0</v>
      </c>
      <c r="V228">
        <f>IF(AND($U228=1,$M228&lt;&gt;""),IF(COUNTIFS($M$3:$M228,$M228,$O$3:$O228,$O228,$U$3:$U228,1,$P$3:$P228,"&gt;="&amp;EOMONTH($P228,-1)+1,$P$3:$P228,"&lt;"&amp;EOMONTH($P228,0)+1)=1,1,0),0)</f>
        <v>0</v>
      </c>
      <c r="W228" s="444">
        <f ca="1">TODAY()-Table1[[#This Row],[Change Date]]</f>
        <v>146.52847222222044</v>
      </c>
      <c r="X228" s="422" t="str">
        <f t="shared" si="37"/>
        <v/>
      </c>
      <c r="Y228" s="476">
        <f ca="1">IF(Table1[[#This Row],[Next Stage Date]]&lt;&gt;"",Table1[[#This Row],[Next Stage Date]]-Table1[[#This Row],[Change Date]],TODAY()-Table1[[#This Row],[Change Date]])</f>
        <v>146.52847222222044</v>
      </c>
      <c r="Z228" s="476">
        <f t="shared" si="38"/>
        <v>1</v>
      </c>
      <c r="AA228" s="422" t="str">
        <f t="shared" si="39"/>
        <v/>
      </c>
      <c r="AB228" s="422">
        <f t="shared" si="40"/>
        <v>46111.47152777778</v>
      </c>
      <c r="AC228" s="476">
        <f t="shared" si="41"/>
        <v>138.47152777777956</v>
      </c>
      <c r="AD228" s="476" t="str">
        <f t="shared" si="42"/>
        <v/>
      </c>
      <c r="AE228" s="476" t="str">
        <f t="shared" si="43"/>
        <v/>
      </c>
      <c r="AF228" s="476" t="b">
        <f>IFERROR(_xlfn.XLOOKUP(Table1[[#This Row],[Opportunity ID]],'Aging Detail'!$H$14:$H$20,'Aging Detail'!$F$14:$F$20),TRUE)</f>
        <v>1</v>
      </c>
    </row>
    <row r="229" spans="1:32">
      <c r="A229" t="s">
        <v>1461</v>
      </c>
      <c r="B229" t="s">
        <v>408</v>
      </c>
      <c r="C229" t="s">
        <v>1469</v>
      </c>
      <c r="D229" t="s">
        <v>2122</v>
      </c>
      <c r="E229" t="s">
        <v>2123</v>
      </c>
      <c r="F229" t="s">
        <v>1481</v>
      </c>
      <c r="I229" s="422">
        <v>45404</v>
      </c>
      <c r="J229" s="422">
        <v>46344</v>
      </c>
      <c r="K229">
        <v>847440</v>
      </c>
      <c r="L229">
        <v>847440</v>
      </c>
      <c r="M229" t="s">
        <v>2124</v>
      </c>
      <c r="N229" t="s">
        <v>143</v>
      </c>
      <c r="O229" t="str">
        <f>_xlfn.IFNA(VLOOKUP(Table1[[#This Row],[Lead Source]],'helper tab'!A:B,2,FALSE),"Exclude")</f>
        <v>Cold</v>
      </c>
      <c r="P229" s="422">
        <f t="shared" si="33"/>
        <v>46109.647916666669</v>
      </c>
      <c r="Q229">
        <f t="shared" si="34"/>
        <v>0</v>
      </c>
      <c r="R229">
        <f t="shared" si="35"/>
        <v>0</v>
      </c>
      <c r="S229">
        <f>IF(
AND($Q229=1,$M229&lt;&gt;""),
IF(
COUNTIFS(
$M$3:$M229,$M229,
$O$3:$O229,$O229,
$Q$3:$Q229,1,
$P$3:$P229,"&gt;="&amp;EOMONTH($P229,-1)+1,
$P$3:$P229,"&lt;"&amp;EOMONTH($P229,0)+1
)=1,
1,
0),
0)</f>
        <v>0</v>
      </c>
      <c r="T229">
        <f>IF(AND($R229=1,$M229&lt;&gt;""),IF(COUNTIFS($M$3:$M229,$M229,$O$3:$O229,$O229,$R$3:$R229,1,$P$3:$P229,"&gt;="&amp;EOMONTH($P229,-1)+1,$P$3:$P229,"&lt;"&amp;EOMONTH($P229,0)+1)=1,1,0),0)</f>
        <v>0</v>
      </c>
      <c r="U229">
        <f t="shared" si="36"/>
        <v>1</v>
      </c>
      <c r="V229">
        <f>IF(AND($U229=1,$M229&lt;&gt;""),IF(COUNTIFS($M$3:$M229,$M229,$O$3:$O229,$O229,$U$3:$U229,1,$P$3:$P229,"&gt;="&amp;EOMONTH($P229,-1)+1,$P$3:$P229,"&lt;"&amp;EOMONTH($P229,0)+1)=1,1,0),0)</f>
        <v>1</v>
      </c>
      <c r="W229" s="444">
        <f ca="1">TODAY()-Table1[[#This Row],[Change Date]]</f>
        <v>148.35208333333139</v>
      </c>
      <c r="X229" s="422" t="str">
        <f t="shared" si="37"/>
        <v/>
      </c>
      <c r="Y229" s="476">
        <f ca="1">IF(Table1[[#This Row],[Next Stage Date]]&lt;&gt;"",Table1[[#This Row],[Next Stage Date]]-Table1[[#This Row],[Change Date]],TODAY()-Table1[[#This Row],[Change Date]])</f>
        <v>148.35208333333139</v>
      </c>
      <c r="Z229" s="476">
        <f t="shared" si="38"/>
        <v>1</v>
      </c>
      <c r="AA229" s="422" t="str">
        <f t="shared" si="39"/>
        <v/>
      </c>
      <c r="AB229" s="422" t="str">
        <f t="shared" si="40"/>
        <v/>
      </c>
      <c r="AC229" s="476" t="str">
        <f t="shared" si="41"/>
        <v/>
      </c>
      <c r="AD229" s="476" t="str">
        <f t="shared" si="42"/>
        <v/>
      </c>
      <c r="AE229" s="476" t="str">
        <f t="shared" si="43"/>
        <v/>
      </c>
      <c r="AF229" s="476" t="b">
        <f>IFERROR(_xlfn.XLOOKUP(Table1[[#This Row],[Opportunity ID]],'Aging Detail'!$H$14:$H$20,'Aging Detail'!$F$14:$F$20),TRUE)</f>
        <v>1</v>
      </c>
    </row>
    <row r="230" spans="1:32">
      <c r="A230" t="s">
        <v>1461</v>
      </c>
      <c r="B230" t="s">
        <v>462</v>
      </c>
      <c r="C230" t="s">
        <v>563</v>
      </c>
      <c r="D230" t="s">
        <v>2125</v>
      </c>
      <c r="E230" t="s">
        <v>2126</v>
      </c>
      <c r="F230" t="s">
        <v>1490</v>
      </c>
      <c r="I230" s="422">
        <v>46084</v>
      </c>
      <c r="J230" s="422">
        <v>46108</v>
      </c>
      <c r="K230">
        <v>23009.25</v>
      </c>
      <c r="L230">
        <v>7897.5</v>
      </c>
      <c r="M230" t="s">
        <v>2127</v>
      </c>
      <c r="N230" t="s">
        <v>1536</v>
      </c>
      <c r="O230" t="str">
        <f>_xlfn.IFNA(VLOOKUP(Table1[[#This Row],[Lead Source]],'helper tab'!A:B,2,FALSE),"Exclude")</f>
        <v>Cold</v>
      </c>
      <c r="P230" s="422">
        <f t="shared" si="33"/>
        <v>46108.561111111114</v>
      </c>
      <c r="Q230">
        <f t="shared" si="34"/>
        <v>0</v>
      </c>
      <c r="R230">
        <f t="shared" si="35"/>
        <v>1</v>
      </c>
      <c r="S230">
        <f>IF(
AND($Q230=1,$M230&lt;&gt;""),
IF(
COUNTIFS(
$M$3:$M230,$M230,
$O$3:$O230,$O230,
$Q$3:$Q230,1,
$P$3:$P230,"&gt;="&amp;EOMONTH($P230,-1)+1,
$P$3:$P230,"&lt;"&amp;EOMONTH($P230,0)+1
)=1,
1,
0),
0)</f>
        <v>0</v>
      </c>
      <c r="T230">
        <f>IF(AND($R230=1,$M230&lt;&gt;""),IF(COUNTIFS($M$3:$M230,$M230,$O$3:$O230,$O230,$R$3:$R230,1,$P$3:$P230,"&gt;="&amp;EOMONTH($P230,-1)+1,$P$3:$P230,"&lt;"&amp;EOMONTH($P230,0)+1)=1,1,0),0)</f>
        <v>1</v>
      </c>
      <c r="U230">
        <f t="shared" si="36"/>
        <v>0</v>
      </c>
      <c r="V230">
        <f>IF(AND($U230=1,$M230&lt;&gt;""),IF(COUNTIFS($M$3:$M230,$M230,$O$3:$O230,$O230,$U$3:$U230,1,$P$3:$P230,"&gt;="&amp;EOMONTH($P230,-1)+1,$P$3:$P230,"&lt;"&amp;EOMONTH($P230,0)+1)=1,1,0),0)</f>
        <v>0</v>
      </c>
      <c r="W230" s="444">
        <f ca="1">TODAY()-Table1[[#This Row],[Change Date]]</f>
        <v>149.43888888888614</v>
      </c>
      <c r="X230" s="422" t="str">
        <f t="shared" si="37"/>
        <v/>
      </c>
      <c r="Y230" s="476">
        <f ca="1">IF(Table1[[#This Row],[Next Stage Date]]&lt;&gt;"",Table1[[#This Row],[Next Stage Date]]-Table1[[#This Row],[Change Date]],TODAY()-Table1[[#This Row],[Change Date]])</f>
        <v>149.43888888888614</v>
      </c>
      <c r="Z230" s="476">
        <f t="shared" si="38"/>
        <v>1</v>
      </c>
      <c r="AA230" s="422">
        <f t="shared" si="39"/>
        <v>46108.561111111114</v>
      </c>
      <c r="AB230" s="422" t="str">
        <f t="shared" si="40"/>
        <v/>
      </c>
      <c r="AC230" s="476" t="str">
        <f t="shared" si="41"/>
        <v/>
      </c>
      <c r="AD230" s="476" t="str">
        <f t="shared" si="42"/>
        <v/>
      </c>
      <c r="AE230" s="476">
        <f t="shared" si="43"/>
        <v>24.56111111111386</v>
      </c>
      <c r="AF230" s="476" t="b">
        <f>IFERROR(_xlfn.XLOOKUP(Table1[[#This Row],[Opportunity ID]],'Aging Detail'!$H$14:$H$20,'Aging Detail'!$F$14:$F$20),TRUE)</f>
        <v>1</v>
      </c>
    </row>
    <row r="231" spans="1:32">
      <c r="A231" t="s">
        <v>1461</v>
      </c>
      <c r="B231" t="s">
        <v>462</v>
      </c>
      <c r="C231" t="s">
        <v>1469</v>
      </c>
      <c r="D231" t="s">
        <v>2128</v>
      </c>
      <c r="E231" t="s">
        <v>2129</v>
      </c>
      <c r="F231" t="s">
        <v>1481</v>
      </c>
      <c r="I231" s="422">
        <v>45363</v>
      </c>
      <c r="J231" s="422">
        <v>46220</v>
      </c>
      <c r="K231">
        <v>1252920</v>
      </c>
      <c r="L231">
        <v>997920</v>
      </c>
      <c r="M231" t="s">
        <v>2130</v>
      </c>
      <c r="N231" t="s">
        <v>143</v>
      </c>
      <c r="O231" t="str">
        <f>_xlfn.IFNA(VLOOKUP(Table1[[#This Row],[Lead Source]],'helper tab'!A:B,2,FALSE),"Exclude")</f>
        <v>Cold</v>
      </c>
      <c r="P231" s="422">
        <f t="shared" si="33"/>
        <v>46108.497916666667</v>
      </c>
      <c r="Q231">
        <f t="shared" si="34"/>
        <v>0</v>
      </c>
      <c r="R231">
        <f t="shared" si="35"/>
        <v>0</v>
      </c>
      <c r="S231">
        <f>IF(
AND($Q231=1,$M231&lt;&gt;""),
IF(
COUNTIFS(
$M$3:$M231,$M231,
$O$3:$O231,$O231,
$Q$3:$Q231,1,
$P$3:$P231,"&gt;="&amp;EOMONTH($P231,-1)+1,
$P$3:$P231,"&lt;"&amp;EOMONTH($P231,0)+1
)=1,
1,
0),
0)</f>
        <v>0</v>
      </c>
      <c r="T231">
        <f>IF(AND($R231=1,$M231&lt;&gt;""),IF(COUNTIFS($M$3:$M231,$M231,$O$3:$O231,$O231,$R$3:$R231,1,$P$3:$P231,"&gt;="&amp;EOMONTH($P231,-1)+1,$P$3:$P231,"&lt;"&amp;EOMONTH($P231,0)+1)=1,1,0),0)</f>
        <v>0</v>
      </c>
      <c r="U231">
        <f t="shared" si="36"/>
        <v>1</v>
      </c>
      <c r="V231">
        <f>IF(AND($U231=1,$M231&lt;&gt;""),IF(COUNTIFS($M$3:$M231,$M231,$O$3:$O231,$O231,$U$3:$U231,1,$P$3:$P231,"&gt;="&amp;EOMONTH($P231,-1)+1,$P$3:$P231,"&lt;"&amp;EOMONTH($P231,0)+1)=1,1,0),0)</f>
        <v>1</v>
      </c>
      <c r="W231" s="444">
        <f ca="1">TODAY()-Table1[[#This Row],[Change Date]]</f>
        <v>149.50208333333285</v>
      </c>
      <c r="X231" s="422" t="str">
        <f t="shared" si="37"/>
        <v/>
      </c>
      <c r="Y231" s="476">
        <f ca="1">IF(Table1[[#This Row],[Next Stage Date]]&lt;&gt;"",Table1[[#This Row],[Next Stage Date]]-Table1[[#This Row],[Change Date]],TODAY()-Table1[[#This Row],[Change Date]])</f>
        <v>149.50208333333285</v>
      </c>
      <c r="Z231" s="476">
        <f t="shared" si="38"/>
        <v>1</v>
      </c>
      <c r="AA231" s="422" t="str">
        <f t="shared" si="39"/>
        <v/>
      </c>
      <c r="AB231" s="422">
        <f t="shared" si="40"/>
        <v>45798.319444444445</v>
      </c>
      <c r="AC231" s="476">
        <f t="shared" si="41"/>
        <v>435.31944444444525</v>
      </c>
      <c r="AD231" s="476" t="str">
        <f t="shared" si="42"/>
        <v/>
      </c>
      <c r="AE231" s="476" t="str">
        <f t="shared" si="43"/>
        <v/>
      </c>
      <c r="AF231" s="476" t="b">
        <f>IFERROR(_xlfn.XLOOKUP(Table1[[#This Row],[Opportunity ID]],'Aging Detail'!$H$14:$H$20,'Aging Detail'!$F$14:$F$20),TRUE)</f>
        <v>1</v>
      </c>
    </row>
    <row r="232" spans="1:32">
      <c r="A232" t="s">
        <v>1461</v>
      </c>
      <c r="B232" t="s">
        <v>526</v>
      </c>
      <c r="C232" t="s">
        <v>1469</v>
      </c>
      <c r="D232" t="s">
        <v>2131</v>
      </c>
      <c r="E232" t="s">
        <v>2132</v>
      </c>
      <c r="F232" t="s">
        <v>1465</v>
      </c>
      <c r="I232" s="422">
        <v>45922</v>
      </c>
      <c r="J232" s="422">
        <v>46108</v>
      </c>
      <c r="K232">
        <v>0</v>
      </c>
      <c r="L232">
        <v>0</v>
      </c>
      <c r="M232" t="s">
        <v>2133</v>
      </c>
      <c r="N232" t="s">
        <v>143</v>
      </c>
      <c r="O232" t="str">
        <f>_xlfn.IFNA(VLOOKUP(Table1[[#This Row],[Lead Source]],'helper tab'!A:B,2,FALSE),"Exclude")</f>
        <v>Exclude</v>
      </c>
      <c r="P232" s="422">
        <f t="shared" si="33"/>
        <v>46108.496527777781</v>
      </c>
      <c r="Q232">
        <f t="shared" si="34"/>
        <v>0</v>
      </c>
      <c r="R232">
        <f t="shared" si="35"/>
        <v>0</v>
      </c>
      <c r="S232">
        <f>IF(
AND($Q232=1,$M232&lt;&gt;""),
IF(
COUNTIFS(
$M$3:$M232,$M232,
$O$3:$O232,$O232,
$Q$3:$Q232,1,
$P$3:$P232,"&gt;="&amp;EOMONTH($P232,-1)+1,
$P$3:$P232,"&lt;"&amp;EOMONTH($P232,0)+1
)=1,
1,
0),
0)</f>
        <v>0</v>
      </c>
      <c r="T232">
        <f>IF(AND($R232=1,$M232&lt;&gt;""),IF(COUNTIFS($M$3:$M232,$M232,$O$3:$O232,$O232,$R$3:$R232,1,$P$3:$P232,"&gt;="&amp;EOMONTH($P232,-1)+1,$P$3:$P232,"&lt;"&amp;EOMONTH($P232,0)+1)=1,1,0),0)</f>
        <v>0</v>
      </c>
      <c r="U232">
        <f t="shared" si="36"/>
        <v>1</v>
      </c>
      <c r="V232">
        <f>IF(AND($U232=1,$M232&lt;&gt;""),IF(COUNTIFS($M$3:$M232,$M232,$O$3:$O232,$O232,$U$3:$U232,1,$P$3:$P232,"&gt;="&amp;EOMONTH($P232,-1)+1,$P$3:$P232,"&lt;"&amp;EOMONTH($P232,0)+1)=1,1,0),0)</f>
        <v>1</v>
      </c>
      <c r="W232" s="444">
        <f ca="1">TODAY()-Table1[[#This Row],[Change Date]]</f>
        <v>149.50347222221899</v>
      </c>
      <c r="X232" s="422" t="str">
        <f t="shared" si="37"/>
        <v/>
      </c>
      <c r="Y232" s="476">
        <f ca="1">IF(Table1[[#This Row],[Next Stage Date]]&lt;&gt;"",Table1[[#This Row],[Next Stage Date]]-Table1[[#This Row],[Change Date]],TODAY()-Table1[[#This Row],[Change Date]])</f>
        <v>149.50347222221899</v>
      </c>
      <c r="Z232" s="476">
        <f t="shared" si="38"/>
        <v>1</v>
      </c>
      <c r="AA232" s="422" t="str">
        <f t="shared" si="39"/>
        <v/>
      </c>
      <c r="AB232" s="422">
        <f t="shared" si="40"/>
        <v>45933.311805555553</v>
      </c>
      <c r="AC232" s="476">
        <f t="shared" si="41"/>
        <v>11.311805555553292</v>
      </c>
      <c r="AD232" s="476" t="str">
        <f t="shared" si="42"/>
        <v/>
      </c>
      <c r="AE232" s="476" t="str">
        <f t="shared" si="43"/>
        <v/>
      </c>
      <c r="AF232" s="476" t="b">
        <f>IFERROR(_xlfn.XLOOKUP(Table1[[#This Row],[Opportunity ID]],'Aging Detail'!$H$14:$H$20,'Aging Detail'!$F$14:$F$20),TRUE)</f>
        <v>1</v>
      </c>
    </row>
    <row r="233" spans="1:32">
      <c r="A233" t="s">
        <v>1461</v>
      </c>
      <c r="B233" t="s">
        <v>462</v>
      </c>
      <c r="C233" t="s">
        <v>526</v>
      </c>
      <c r="D233" t="s">
        <v>2134</v>
      </c>
      <c r="E233" t="s">
        <v>1984</v>
      </c>
      <c r="F233" t="s">
        <v>1486</v>
      </c>
      <c r="I233" s="422">
        <v>45877</v>
      </c>
      <c r="J233" s="422">
        <v>46142</v>
      </c>
      <c r="K233">
        <v>1218672</v>
      </c>
      <c r="L233">
        <v>1133172</v>
      </c>
      <c r="M233" t="s">
        <v>1985</v>
      </c>
      <c r="N233" t="s">
        <v>1684</v>
      </c>
      <c r="O233" t="str">
        <f>_xlfn.IFNA(VLOOKUP(Table1[[#This Row],[Lead Source]],'helper tab'!A:B,2,FALSE),"Exclude")</f>
        <v>Exclude</v>
      </c>
      <c r="P233" s="422">
        <f t="shared" si="33"/>
        <v>46104.425694444442</v>
      </c>
      <c r="Q233">
        <f t="shared" si="34"/>
        <v>1</v>
      </c>
      <c r="R233">
        <f t="shared" si="35"/>
        <v>0</v>
      </c>
      <c r="S233">
        <f>IF(
AND($Q233=1,$M233&lt;&gt;""),
IF(
COUNTIFS(
$M$3:$M233,$M233,
$O$3:$O233,$O233,
$Q$3:$Q233,1,
$P$3:$P233,"&gt;="&amp;EOMONTH($P233,-1)+1,
$P$3:$P233,"&lt;"&amp;EOMONTH($P233,0)+1
)=1,
1,
0),
0)</f>
        <v>1</v>
      </c>
      <c r="T233">
        <f>IF(AND($R233=1,$M233&lt;&gt;""),IF(COUNTIFS($M$3:$M233,$M233,$O$3:$O233,$O233,$R$3:$R233,1,$P$3:$P233,"&gt;="&amp;EOMONTH($P233,-1)+1,$P$3:$P233,"&lt;"&amp;EOMONTH($P233,0)+1)=1,1,0),0)</f>
        <v>0</v>
      </c>
      <c r="U233">
        <f t="shared" si="36"/>
        <v>0</v>
      </c>
      <c r="V233">
        <f>IF(AND($U233=1,$M233&lt;&gt;""),IF(COUNTIFS($M$3:$M233,$M233,$O$3:$O233,$O233,$U$3:$U233,1,$P$3:$P233,"&gt;="&amp;EOMONTH($P233,-1)+1,$P$3:$P233,"&lt;"&amp;EOMONTH($P233,0)+1)=1,1,0),0)</f>
        <v>0</v>
      </c>
      <c r="W233" s="444">
        <f ca="1">TODAY()-Table1[[#This Row],[Change Date]]</f>
        <v>153.57430555555766</v>
      </c>
      <c r="X233" s="422">
        <f t="shared" si="37"/>
        <v>46146.613888888889</v>
      </c>
      <c r="Y233" s="476">
        <f ca="1">IF(Table1[[#This Row],[Next Stage Date]]&lt;&gt;"",Table1[[#This Row],[Next Stage Date]]-Table1[[#This Row],[Change Date]],TODAY()-Table1[[#This Row],[Change Date]])</f>
        <v>42.188194444446708</v>
      </c>
      <c r="Z233" s="476">
        <f t="shared" si="38"/>
        <v>0</v>
      </c>
      <c r="AA233" s="422">
        <f t="shared" si="39"/>
        <v>46146.613888888889</v>
      </c>
      <c r="AB233" s="422">
        <f t="shared" si="40"/>
        <v>46104.425694444442</v>
      </c>
      <c r="AC233" s="476">
        <f t="shared" si="41"/>
        <v>227.42569444444234</v>
      </c>
      <c r="AD233" s="476">
        <f t="shared" si="42"/>
        <v>42.188194444446708</v>
      </c>
      <c r="AE233" s="476">
        <f t="shared" si="43"/>
        <v>269.61388888888905</v>
      </c>
      <c r="AF233" s="476" t="b">
        <f>IFERROR(_xlfn.XLOOKUP(Table1[[#This Row],[Opportunity ID]],'Aging Detail'!$H$14:$H$20,'Aging Detail'!$F$14:$F$20),TRUE)</f>
        <v>1</v>
      </c>
    </row>
    <row r="234" spans="1:32">
      <c r="A234" t="s">
        <v>1461</v>
      </c>
      <c r="B234" t="s">
        <v>408</v>
      </c>
      <c r="C234" t="s">
        <v>1462</v>
      </c>
      <c r="D234" t="s">
        <v>2135</v>
      </c>
      <c r="E234" t="s">
        <v>1901</v>
      </c>
      <c r="F234" t="s">
        <v>1464</v>
      </c>
      <c r="I234" s="422">
        <v>45966</v>
      </c>
      <c r="J234" s="422">
        <v>46348</v>
      </c>
      <c r="K234">
        <v>510000</v>
      </c>
      <c r="L234">
        <v>450000</v>
      </c>
      <c r="M234" t="s">
        <v>1902</v>
      </c>
      <c r="N234" t="s">
        <v>1903</v>
      </c>
      <c r="O234" t="str">
        <f>_xlfn.IFNA(VLOOKUP(Table1[[#This Row],[Lead Source]],'helper tab'!A:B,2,FALSE),"Exclude")</f>
        <v>Cold</v>
      </c>
      <c r="P234" s="422">
        <f t="shared" si="33"/>
        <v>46104.260416666664</v>
      </c>
      <c r="Q234">
        <f t="shared" si="34"/>
        <v>0</v>
      </c>
      <c r="R234">
        <f t="shared" si="35"/>
        <v>0</v>
      </c>
      <c r="S234">
        <f>IF(
AND($Q234=1,$M234&lt;&gt;""),
IF(
COUNTIFS(
$M$3:$M234,$M234,
$O$3:$O234,$O234,
$Q$3:$Q234,1,
$P$3:$P234,"&gt;="&amp;EOMONTH($P234,-1)+1,
$P$3:$P234,"&lt;"&amp;EOMONTH($P234,0)+1
)=1,
1,
0),
0)</f>
        <v>0</v>
      </c>
      <c r="T234">
        <f>IF(AND($R234=1,$M234&lt;&gt;""),IF(COUNTIFS($M$3:$M234,$M234,$O$3:$O234,$O234,$R$3:$R234,1,$P$3:$P234,"&gt;="&amp;EOMONTH($P234,-1)+1,$P$3:$P234,"&lt;"&amp;EOMONTH($P234,0)+1)=1,1,0),0)</f>
        <v>0</v>
      </c>
      <c r="U234">
        <f t="shared" si="36"/>
        <v>0</v>
      </c>
      <c r="V234">
        <f>IF(AND($U234=1,$M234&lt;&gt;""),IF(COUNTIFS($M$3:$M234,$M234,$O$3:$O234,$O234,$U$3:$U234,1,$P$3:$P234,"&gt;="&amp;EOMONTH($P234,-1)+1,$P$3:$P234,"&lt;"&amp;EOMONTH($P234,0)+1)=1,1,0),0)</f>
        <v>0</v>
      </c>
      <c r="W234" s="444">
        <f ca="1">TODAY()-Table1[[#This Row],[Change Date]]</f>
        <v>153.73958333333576</v>
      </c>
      <c r="X234" s="422">
        <f t="shared" si="37"/>
        <v>46183.338888888888</v>
      </c>
      <c r="Y234" s="476">
        <f ca="1">IF(Table1[[#This Row],[Next Stage Date]]&lt;&gt;"",Table1[[#This Row],[Next Stage Date]]-Table1[[#This Row],[Change Date]],TODAY()-Table1[[#This Row],[Change Date]])</f>
        <v>79.078472222223354</v>
      </c>
      <c r="Z234" s="476">
        <f t="shared" si="38"/>
        <v>0</v>
      </c>
      <c r="AA234" s="422" t="str">
        <f t="shared" si="39"/>
        <v/>
      </c>
      <c r="AB234" s="422">
        <f t="shared" si="40"/>
        <v>46183.338888888888</v>
      </c>
      <c r="AC234" s="476">
        <f t="shared" si="41"/>
        <v>217.3388888888876</v>
      </c>
      <c r="AD234" s="476" t="str">
        <f t="shared" si="42"/>
        <v/>
      </c>
      <c r="AE234" s="476" t="str">
        <f t="shared" si="43"/>
        <v/>
      </c>
      <c r="AF234" s="476" t="b">
        <f>IFERROR(_xlfn.XLOOKUP(Table1[[#This Row],[Opportunity ID]],'Aging Detail'!$H$14:$H$20,'Aging Detail'!$F$14:$F$20),TRUE)</f>
        <v>1</v>
      </c>
    </row>
    <row r="235" spans="1:32">
      <c r="A235" t="s">
        <v>1461</v>
      </c>
      <c r="B235" t="s">
        <v>1462</v>
      </c>
      <c r="C235" t="s">
        <v>1469</v>
      </c>
      <c r="D235" t="s">
        <v>2136</v>
      </c>
      <c r="E235" t="s">
        <v>2137</v>
      </c>
      <c r="F235" t="s">
        <v>29</v>
      </c>
      <c r="I235" s="422">
        <v>46008</v>
      </c>
      <c r="J235" s="422">
        <v>46203</v>
      </c>
      <c r="K235">
        <v>52522</v>
      </c>
      <c r="L235">
        <v>52522</v>
      </c>
      <c r="M235" t="s">
        <v>2138</v>
      </c>
      <c r="N235" t="s">
        <v>1908</v>
      </c>
      <c r="O235" t="str">
        <f>_xlfn.IFNA(VLOOKUP(Table1[[#This Row],[Lead Source]],'helper tab'!A:B,2,FALSE),"Exclude")</f>
        <v>Events</v>
      </c>
      <c r="P235" s="422">
        <f t="shared" si="33"/>
        <v>46104.256249999999</v>
      </c>
      <c r="Q235">
        <f t="shared" si="34"/>
        <v>0</v>
      </c>
      <c r="R235">
        <f t="shared" si="35"/>
        <v>0</v>
      </c>
      <c r="S235">
        <f>IF(
AND($Q235=1,$M235&lt;&gt;""),
IF(
COUNTIFS(
$M$3:$M235,$M235,
$O$3:$O235,$O235,
$Q$3:$Q235,1,
$P$3:$P235,"&gt;="&amp;EOMONTH($P235,-1)+1,
$P$3:$P235,"&lt;"&amp;EOMONTH($P235,0)+1
)=1,
1,
0),
0)</f>
        <v>0</v>
      </c>
      <c r="T235">
        <f>IF(AND($R235=1,$M235&lt;&gt;""),IF(COUNTIFS($M$3:$M235,$M235,$O$3:$O235,$O235,$R$3:$R235,1,$P$3:$P235,"&gt;="&amp;EOMONTH($P235,-1)+1,$P$3:$P235,"&lt;"&amp;EOMONTH($P235,0)+1)=1,1,0),0)</f>
        <v>0</v>
      </c>
      <c r="U235">
        <f t="shared" si="36"/>
        <v>1</v>
      </c>
      <c r="V235">
        <f>IF(AND($U235=1,$M235&lt;&gt;""),IF(COUNTIFS($M$3:$M235,$M235,$O$3:$O235,$O235,$U$3:$U235,1,$P$3:$P235,"&gt;="&amp;EOMONTH($P235,-1)+1,$P$3:$P235,"&lt;"&amp;EOMONTH($P235,0)+1)=1,1,0),0)</f>
        <v>1</v>
      </c>
      <c r="W235" s="444">
        <f ca="1">TODAY()-Table1[[#This Row],[Change Date]]</f>
        <v>153.74375000000146</v>
      </c>
      <c r="X235" s="422" t="str">
        <f t="shared" si="37"/>
        <v/>
      </c>
      <c r="Y235" s="476">
        <f ca="1">IF(Table1[[#This Row],[Next Stage Date]]&lt;&gt;"",Table1[[#This Row],[Next Stage Date]]-Table1[[#This Row],[Change Date]],TODAY()-Table1[[#This Row],[Change Date]])</f>
        <v>153.74375000000146</v>
      </c>
      <c r="Z235" s="476">
        <f t="shared" si="38"/>
        <v>1</v>
      </c>
      <c r="AA235" s="422" t="str">
        <f t="shared" si="39"/>
        <v/>
      </c>
      <c r="AB235" s="422" t="str">
        <f t="shared" si="40"/>
        <v/>
      </c>
      <c r="AC235" s="476" t="str">
        <f t="shared" si="41"/>
        <v/>
      </c>
      <c r="AD235" s="476" t="str">
        <f t="shared" si="42"/>
        <v/>
      </c>
      <c r="AE235" s="476" t="str">
        <f t="shared" si="43"/>
        <v/>
      </c>
      <c r="AF235" s="476" t="b">
        <f>IFERROR(_xlfn.XLOOKUP(Table1[[#This Row],[Opportunity ID]],'Aging Detail'!$H$14:$H$20,'Aging Detail'!$F$14:$F$20),TRUE)</f>
        <v>1</v>
      </c>
    </row>
    <row r="236" spans="1:32">
      <c r="A236" t="s">
        <v>1461</v>
      </c>
      <c r="B236" t="s">
        <v>462</v>
      </c>
      <c r="C236" t="s">
        <v>526</v>
      </c>
      <c r="D236" t="s">
        <v>2139</v>
      </c>
      <c r="E236" t="s">
        <v>1978</v>
      </c>
      <c r="F236" t="s">
        <v>1632</v>
      </c>
      <c r="I236" s="422">
        <v>45903</v>
      </c>
      <c r="J236" s="422">
        <v>46143</v>
      </c>
      <c r="K236">
        <v>360000</v>
      </c>
      <c r="L236">
        <v>360000</v>
      </c>
      <c r="M236" t="s">
        <v>1979</v>
      </c>
      <c r="N236" t="s">
        <v>1634</v>
      </c>
      <c r="O236" t="str">
        <f>_xlfn.IFNA(VLOOKUP(Table1[[#This Row],[Lead Source]],'helper tab'!A:B,2,FALSE),"Exclude")</f>
        <v>Exclude</v>
      </c>
      <c r="P236" s="422">
        <f t="shared" si="33"/>
        <v>46104.250694444447</v>
      </c>
      <c r="Q236">
        <f t="shared" si="34"/>
        <v>1</v>
      </c>
      <c r="R236">
        <f t="shared" si="35"/>
        <v>0</v>
      </c>
      <c r="S236">
        <f>IF(
AND($Q236=1,$M236&lt;&gt;""),
IF(
COUNTIFS(
$M$3:$M236,$M236,
$O$3:$O236,$O236,
$Q$3:$Q236,1,
$P$3:$P236,"&gt;="&amp;EOMONTH($P236,-1)+1,
$P$3:$P236,"&lt;"&amp;EOMONTH($P236,0)+1
)=1,
1,
0),
0)</f>
        <v>1</v>
      </c>
      <c r="T236">
        <f>IF(AND($R236=1,$M236&lt;&gt;""),IF(COUNTIFS($M$3:$M236,$M236,$O$3:$O236,$O236,$R$3:$R236,1,$P$3:$P236,"&gt;="&amp;EOMONTH($P236,-1)+1,$P$3:$P236,"&lt;"&amp;EOMONTH($P236,0)+1)=1,1,0),0)</f>
        <v>0</v>
      </c>
      <c r="U236">
        <f t="shared" si="36"/>
        <v>0</v>
      </c>
      <c r="V236">
        <f>IF(AND($U236=1,$M236&lt;&gt;""),IF(COUNTIFS($M$3:$M236,$M236,$O$3:$O236,$O236,$U$3:$U236,1,$P$3:$P236,"&gt;="&amp;EOMONTH($P236,-1)+1,$P$3:$P236,"&lt;"&amp;EOMONTH($P236,0)+1)=1,1,0),0)</f>
        <v>0</v>
      </c>
      <c r="W236" s="444">
        <f ca="1">TODAY()-Table1[[#This Row],[Change Date]]</f>
        <v>153.74930555555329</v>
      </c>
      <c r="X236" s="422">
        <f t="shared" si="37"/>
        <v>46148.390972222223</v>
      </c>
      <c r="Y236" s="476">
        <f ca="1">IF(Table1[[#This Row],[Next Stage Date]]&lt;&gt;"",Table1[[#This Row],[Next Stage Date]]-Table1[[#This Row],[Change Date]],TODAY()-Table1[[#This Row],[Change Date]])</f>
        <v>44.140277777776646</v>
      </c>
      <c r="Z236" s="476">
        <f t="shared" si="38"/>
        <v>0</v>
      </c>
      <c r="AA236" s="422">
        <f t="shared" si="39"/>
        <v>46148.390972222223</v>
      </c>
      <c r="AB236" s="422">
        <f t="shared" si="40"/>
        <v>45950.290972222225</v>
      </c>
      <c r="AC236" s="476">
        <f t="shared" si="41"/>
        <v>47.290972222224809</v>
      </c>
      <c r="AD236" s="476">
        <f t="shared" si="42"/>
        <v>198.09999999999854</v>
      </c>
      <c r="AE236" s="476">
        <f t="shared" si="43"/>
        <v>245.39097222222335</v>
      </c>
      <c r="AF236" s="476" t="b">
        <f>IFERROR(_xlfn.XLOOKUP(Table1[[#This Row],[Opportunity ID]],'Aging Detail'!$H$14:$H$20,'Aging Detail'!$F$14:$F$20),TRUE)</f>
        <v>1</v>
      </c>
    </row>
    <row r="237" spans="1:32">
      <c r="A237" t="s">
        <v>1461</v>
      </c>
      <c r="B237" t="s">
        <v>1462</v>
      </c>
      <c r="C237" t="s">
        <v>462</v>
      </c>
      <c r="D237" t="s">
        <v>2140</v>
      </c>
      <c r="E237" t="s">
        <v>1746</v>
      </c>
      <c r="I237" s="422">
        <v>45573</v>
      </c>
      <c r="J237" s="422">
        <v>46295</v>
      </c>
      <c r="K237">
        <v>0</v>
      </c>
      <c r="L237">
        <v>0</v>
      </c>
      <c r="M237" t="s">
        <v>1747</v>
      </c>
      <c r="N237" t="s">
        <v>1748</v>
      </c>
      <c r="O237" t="str">
        <f>_xlfn.IFNA(VLOOKUP(Table1[[#This Row],[Lead Source]],'helper tab'!A:B,2,FALSE),"Exclude")</f>
        <v>Exclude</v>
      </c>
      <c r="P237" s="422">
        <f t="shared" si="33"/>
        <v>46104.248611111114</v>
      </c>
      <c r="Q237">
        <f t="shared" si="34"/>
        <v>1</v>
      </c>
      <c r="R237">
        <f t="shared" si="35"/>
        <v>0</v>
      </c>
      <c r="S237">
        <f>IF(
AND($Q237=1,$M237&lt;&gt;""),
IF(
COUNTIFS(
$M$3:$M237,$M237,
$O$3:$O237,$O237,
$Q$3:$Q237,1,
$P$3:$P237,"&gt;="&amp;EOMONTH($P237,-1)+1,
$P$3:$P237,"&lt;"&amp;EOMONTH($P237,0)+1
)=1,
1,
0),
0)</f>
        <v>1</v>
      </c>
      <c r="T237">
        <f>IF(AND($R237=1,$M237&lt;&gt;""),IF(COUNTIFS($M$3:$M237,$M237,$O$3:$O237,$O237,$R$3:$R237,1,$P$3:$P237,"&gt;="&amp;EOMONTH($P237,-1)+1,$P$3:$P237,"&lt;"&amp;EOMONTH($P237,0)+1)=1,1,0),0)</f>
        <v>0</v>
      </c>
      <c r="U237">
        <f t="shared" si="36"/>
        <v>0</v>
      </c>
      <c r="V237">
        <f>IF(AND($U237=1,$M237&lt;&gt;""),IF(COUNTIFS($M$3:$M237,$M237,$O$3:$O237,$O237,$U$3:$U237,1,$P$3:$P237,"&gt;="&amp;EOMONTH($P237,-1)+1,$P$3:$P237,"&lt;"&amp;EOMONTH($P237,0)+1)=1,1,0),0)</f>
        <v>0</v>
      </c>
      <c r="W237" s="444">
        <f ca="1">TODAY()-Table1[[#This Row],[Change Date]]</f>
        <v>153.75138888888614</v>
      </c>
      <c r="X237" s="422">
        <f t="shared" si="37"/>
        <v>46209.334027777775</v>
      </c>
      <c r="Y237" s="476">
        <f ca="1">IF(Table1[[#This Row],[Next Stage Date]]&lt;&gt;"",Table1[[#This Row],[Next Stage Date]]-Table1[[#This Row],[Change Date]],TODAY()-Table1[[#This Row],[Change Date]])</f>
        <v>105.08541666666133</v>
      </c>
      <c r="Z237" s="476">
        <f t="shared" si="38"/>
        <v>0</v>
      </c>
      <c r="AA237" s="422" t="str">
        <f t="shared" si="39"/>
        <v/>
      </c>
      <c r="AB237" s="422">
        <f t="shared" si="40"/>
        <v>46104.248611111114</v>
      </c>
      <c r="AC237" s="476">
        <f t="shared" si="41"/>
        <v>531.24861111111386</v>
      </c>
      <c r="AD237" s="476" t="str">
        <f t="shared" si="42"/>
        <v/>
      </c>
      <c r="AE237" s="476" t="str">
        <f t="shared" si="43"/>
        <v/>
      </c>
      <c r="AF237" s="476" t="b">
        <f>IFERROR(_xlfn.XLOOKUP(Table1[[#This Row],[Opportunity ID]],'Aging Detail'!$H$14:$H$20,'Aging Detail'!$F$14:$F$20),TRUE)</f>
        <v>1</v>
      </c>
    </row>
    <row r="238" spans="1:32">
      <c r="A238" t="s">
        <v>1461</v>
      </c>
      <c r="B238" t="s">
        <v>526</v>
      </c>
      <c r="C238" t="s">
        <v>563</v>
      </c>
      <c r="D238" t="s">
        <v>2141</v>
      </c>
      <c r="E238" t="s">
        <v>2142</v>
      </c>
      <c r="F238" t="s">
        <v>148</v>
      </c>
      <c r="H238" t="s">
        <v>169</v>
      </c>
      <c r="I238" s="422">
        <v>46031</v>
      </c>
      <c r="J238" s="422">
        <v>46101</v>
      </c>
      <c r="K238">
        <v>144000</v>
      </c>
      <c r="L238">
        <v>144000</v>
      </c>
      <c r="M238" t="s">
        <v>2143</v>
      </c>
      <c r="N238" t="s">
        <v>1667</v>
      </c>
      <c r="O238" t="str">
        <f>_xlfn.IFNA(VLOOKUP(Table1[[#This Row],[Lead Source]],'helper tab'!A:B,2,FALSE),"Exclude")</f>
        <v>Alliances</v>
      </c>
      <c r="P238" s="422">
        <f t="shared" si="33"/>
        <v>46101.550694444442</v>
      </c>
      <c r="Q238">
        <f t="shared" si="34"/>
        <v>0</v>
      </c>
      <c r="R238">
        <f t="shared" si="35"/>
        <v>1</v>
      </c>
      <c r="S238">
        <f>IF(
AND($Q238=1,$M238&lt;&gt;""),
IF(
COUNTIFS(
$M$3:$M238,$M238,
$O$3:$O238,$O238,
$Q$3:$Q238,1,
$P$3:$P238,"&gt;="&amp;EOMONTH($P238,-1)+1,
$P$3:$P238,"&lt;"&amp;EOMONTH($P238,0)+1
)=1,
1,
0),
0)</f>
        <v>0</v>
      </c>
      <c r="T238">
        <f>IF(AND($R238=1,$M238&lt;&gt;""),IF(COUNTIFS($M$3:$M238,$M238,$O$3:$O238,$O238,$R$3:$R238,1,$P$3:$P238,"&gt;="&amp;EOMONTH($P238,-1)+1,$P$3:$P238,"&lt;"&amp;EOMONTH($P238,0)+1)=1,1,0),0)</f>
        <v>1</v>
      </c>
      <c r="U238">
        <f t="shared" si="36"/>
        <v>0</v>
      </c>
      <c r="V238">
        <f>IF(AND($U238=1,$M238&lt;&gt;""),IF(COUNTIFS($M$3:$M238,$M238,$O$3:$O238,$O238,$U$3:$U238,1,$P$3:$P238,"&gt;="&amp;EOMONTH($P238,-1)+1,$P$3:$P238,"&lt;"&amp;EOMONTH($P238,0)+1)=1,1,0),0)</f>
        <v>0</v>
      </c>
      <c r="W238" s="444">
        <f ca="1">TODAY()-Table1[[#This Row],[Change Date]]</f>
        <v>156.44930555555766</v>
      </c>
      <c r="X238" s="422" t="str">
        <f t="shared" si="37"/>
        <v/>
      </c>
      <c r="Y238" s="476">
        <f ca="1">IF(Table1[[#This Row],[Next Stage Date]]&lt;&gt;"",Table1[[#This Row],[Next Stage Date]]-Table1[[#This Row],[Change Date]],TODAY()-Table1[[#This Row],[Change Date]])</f>
        <v>156.44930555555766</v>
      </c>
      <c r="Z238" s="476">
        <f t="shared" si="38"/>
        <v>1</v>
      </c>
      <c r="AA238" s="422">
        <f t="shared" si="39"/>
        <v>46101.550694444442</v>
      </c>
      <c r="AB238" s="422">
        <f t="shared" si="40"/>
        <v>46083.37777777778</v>
      </c>
      <c r="AC238" s="476">
        <f t="shared" si="41"/>
        <v>52.377777777779556</v>
      </c>
      <c r="AD238" s="476">
        <f t="shared" si="42"/>
        <v>18.172916666662786</v>
      </c>
      <c r="AE238" s="476">
        <f t="shared" si="43"/>
        <v>70.550694444442343</v>
      </c>
      <c r="AF238" s="476" t="b">
        <f>IFERROR(_xlfn.XLOOKUP(Table1[[#This Row],[Opportunity ID]],'Aging Detail'!$H$14:$H$20,'Aging Detail'!$F$14:$F$20),TRUE)</f>
        <v>1</v>
      </c>
    </row>
    <row r="239" spans="1:32">
      <c r="A239" t="s">
        <v>1461</v>
      </c>
      <c r="B239" t="s">
        <v>462</v>
      </c>
      <c r="C239" t="s">
        <v>1462</v>
      </c>
      <c r="D239" t="s">
        <v>2144</v>
      </c>
      <c r="E239" t="s">
        <v>2002</v>
      </c>
      <c r="F239" t="s">
        <v>1463</v>
      </c>
      <c r="I239" s="422">
        <v>44935</v>
      </c>
      <c r="J239" s="422">
        <v>46311</v>
      </c>
      <c r="K239">
        <v>338000</v>
      </c>
      <c r="L239">
        <v>198000</v>
      </c>
      <c r="M239" t="s">
        <v>2003</v>
      </c>
      <c r="N239" t="s">
        <v>2004</v>
      </c>
      <c r="O239" t="str">
        <f>_xlfn.IFNA(VLOOKUP(Table1[[#This Row],[Lead Source]],'helper tab'!A:B,2,FALSE),"Exclude")</f>
        <v>Cold</v>
      </c>
      <c r="P239" s="422">
        <f t="shared" si="33"/>
        <v>46101.313194444447</v>
      </c>
      <c r="Q239">
        <f t="shared" si="34"/>
        <v>0</v>
      </c>
      <c r="R239">
        <f t="shared" si="35"/>
        <v>0</v>
      </c>
      <c r="S239">
        <f>IF(
AND($Q239=1,$M239&lt;&gt;""),
IF(
COUNTIFS(
$M$3:$M239,$M239,
$O$3:$O239,$O239,
$Q$3:$Q239,1,
$P$3:$P239,"&gt;="&amp;EOMONTH($P239,-1)+1,
$P$3:$P239,"&lt;"&amp;EOMONTH($P239,0)+1
)=1,
1,
0),
0)</f>
        <v>0</v>
      </c>
      <c r="T239">
        <f>IF(AND($R239=1,$M239&lt;&gt;""),IF(COUNTIFS($M$3:$M239,$M239,$O$3:$O239,$O239,$R$3:$R239,1,$P$3:$P239,"&gt;="&amp;EOMONTH($P239,-1)+1,$P$3:$P239,"&lt;"&amp;EOMONTH($P239,0)+1)=1,1,0),0)</f>
        <v>0</v>
      </c>
      <c r="U239">
        <f t="shared" si="36"/>
        <v>0</v>
      </c>
      <c r="V239">
        <f>IF(AND($U239=1,$M239&lt;&gt;""),IF(COUNTIFS($M$3:$M239,$M239,$O$3:$O239,$O239,$U$3:$U239,1,$P$3:$P239,"&gt;="&amp;EOMONTH($P239,-1)+1,$P$3:$P239,"&lt;"&amp;EOMONTH($P239,0)+1)=1,1,0),0)</f>
        <v>0</v>
      </c>
      <c r="W239" s="444">
        <f ca="1">TODAY()-Table1[[#This Row],[Change Date]]</f>
        <v>156.68680555555329</v>
      </c>
      <c r="X239" s="422">
        <f t="shared" si="37"/>
        <v>46142.628472222219</v>
      </c>
      <c r="Y239" s="476">
        <f ca="1">IF(Table1[[#This Row],[Next Stage Date]]&lt;&gt;"",Table1[[#This Row],[Next Stage Date]]-Table1[[#This Row],[Change Date]],TODAY()-Table1[[#This Row],[Change Date]])</f>
        <v>41.31527777777228</v>
      </c>
      <c r="Z239" s="476">
        <f t="shared" si="38"/>
        <v>0</v>
      </c>
      <c r="AA239" s="422" t="str">
        <f t="shared" si="39"/>
        <v/>
      </c>
      <c r="AB239" s="422" t="str">
        <f t="shared" si="40"/>
        <v/>
      </c>
      <c r="AC239" s="476" t="str">
        <f t="shared" si="41"/>
        <v/>
      </c>
      <c r="AD239" s="476" t="str">
        <f t="shared" si="42"/>
        <v/>
      </c>
      <c r="AE239" s="476" t="str">
        <f t="shared" si="43"/>
        <v/>
      </c>
      <c r="AF239" s="476" t="b">
        <f>IFERROR(_xlfn.XLOOKUP(Table1[[#This Row],[Opportunity ID]],'Aging Detail'!$H$14:$H$20,'Aging Detail'!$F$14:$F$20),TRUE)</f>
        <v>1</v>
      </c>
    </row>
    <row r="240" spans="1:32">
      <c r="A240" t="s">
        <v>1461</v>
      </c>
      <c r="B240" t="s">
        <v>408</v>
      </c>
      <c r="C240" t="s">
        <v>563</v>
      </c>
      <c r="D240" t="s">
        <v>2145</v>
      </c>
      <c r="E240" t="s">
        <v>2146</v>
      </c>
      <c r="I240" s="422">
        <v>45910</v>
      </c>
      <c r="J240" s="422">
        <v>46100</v>
      </c>
      <c r="K240">
        <v>24300</v>
      </c>
      <c r="L240">
        <v>0</v>
      </c>
      <c r="M240" t="s">
        <v>2147</v>
      </c>
      <c r="N240" t="s">
        <v>2148</v>
      </c>
      <c r="O240" t="str">
        <f>_xlfn.IFNA(VLOOKUP(Table1[[#This Row],[Lead Source]],'helper tab'!A:B,2,FALSE),"Exclude")</f>
        <v>Exclude</v>
      </c>
      <c r="P240" s="422">
        <f t="shared" si="33"/>
        <v>46100.615277777775</v>
      </c>
      <c r="Q240">
        <f t="shared" si="34"/>
        <v>0</v>
      </c>
      <c r="R240">
        <f t="shared" si="35"/>
        <v>1</v>
      </c>
      <c r="S240">
        <f>IF(
AND($Q240=1,$M240&lt;&gt;""),
IF(
COUNTIFS(
$M$3:$M240,$M240,
$O$3:$O240,$O240,
$Q$3:$Q240,1,
$P$3:$P240,"&gt;="&amp;EOMONTH($P240,-1)+1,
$P$3:$P240,"&lt;"&amp;EOMONTH($P240,0)+1
)=1,
1,
0),
0)</f>
        <v>0</v>
      </c>
      <c r="T240">
        <f>IF(AND($R240=1,$M240&lt;&gt;""),IF(COUNTIFS($M$3:$M240,$M240,$O$3:$O240,$O240,$R$3:$R240,1,$P$3:$P240,"&gt;="&amp;EOMONTH($P240,-1)+1,$P$3:$P240,"&lt;"&amp;EOMONTH($P240,0)+1)=1,1,0),0)</f>
        <v>1</v>
      </c>
      <c r="U240">
        <f t="shared" si="36"/>
        <v>0</v>
      </c>
      <c r="V240">
        <f>IF(AND($U240=1,$M240&lt;&gt;""),IF(COUNTIFS($M$3:$M240,$M240,$O$3:$O240,$O240,$U$3:$U240,1,$P$3:$P240,"&gt;="&amp;EOMONTH($P240,-1)+1,$P$3:$P240,"&lt;"&amp;EOMONTH($P240,0)+1)=1,1,0),0)</f>
        <v>0</v>
      </c>
      <c r="W240" s="444">
        <f ca="1">TODAY()-Table1[[#This Row],[Change Date]]</f>
        <v>157.38472222222481</v>
      </c>
      <c r="X240" s="422" t="str">
        <f t="shared" si="37"/>
        <v/>
      </c>
      <c r="Y240" s="476">
        <f ca="1">IF(Table1[[#This Row],[Next Stage Date]]&lt;&gt;"",Table1[[#This Row],[Next Stage Date]]-Table1[[#This Row],[Change Date]],TODAY()-Table1[[#This Row],[Change Date]])</f>
        <v>157.38472222222481</v>
      </c>
      <c r="Z240" s="476">
        <f t="shared" si="38"/>
        <v>1</v>
      </c>
      <c r="AA240" s="422">
        <f t="shared" si="39"/>
        <v>46100.615277777775</v>
      </c>
      <c r="AB240" s="422" t="str">
        <f t="shared" si="40"/>
        <v/>
      </c>
      <c r="AC240" s="476" t="str">
        <f t="shared" si="41"/>
        <v/>
      </c>
      <c r="AD240" s="476" t="str">
        <f t="shared" si="42"/>
        <v/>
      </c>
      <c r="AE240" s="476">
        <f t="shared" si="43"/>
        <v>190.61527777777519</v>
      </c>
      <c r="AF240" s="476" t="b">
        <f>IFERROR(_xlfn.XLOOKUP(Table1[[#This Row],[Opportunity ID]],'Aging Detail'!$H$14:$H$20,'Aging Detail'!$F$14:$F$20),TRUE)</f>
        <v>1</v>
      </c>
    </row>
    <row r="241" spans="1:32">
      <c r="A241" t="s">
        <v>1461</v>
      </c>
      <c r="B241" t="s">
        <v>338</v>
      </c>
      <c r="C241" t="s">
        <v>563</v>
      </c>
      <c r="D241" t="s">
        <v>2149</v>
      </c>
      <c r="E241" t="s">
        <v>2150</v>
      </c>
      <c r="F241" t="s">
        <v>1465</v>
      </c>
      <c r="I241" s="422">
        <v>45959</v>
      </c>
      <c r="J241" s="422">
        <v>46099</v>
      </c>
      <c r="K241">
        <v>0</v>
      </c>
      <c r="L241">
        <v>0</v>
      </c>
      <c r="M241" t="s">
        <v>2151</v>
      </c>
      <c r="N241" t="s">
        <v>1608</v>
      </c>
      <c r="O241" t="str">
        <f>_xlfn.IFNA(VLOOKUP(Table1[[#This Row],[Lead Source]],'helper tab'!A:B,2,FALSE),"Exclude")</f>
        <v>Exclude</v>
      </c>
      <c r="P241" s="422">
        <f t="shared" si="33"/>
        <v>46100.614583333336</v>
      </c>
      <c r="Q241">
        <f t="shared" si="34"/>
        <v>0</v>
      </c>
      <c r="R241">
        <f t="shared" si="35"/>
        <v>1</v>
      </c>
      <c r="S241">
        <f>IF(
AND($Q241=1,$M241&lt;&gt;""),
IF(
COUNTIFS(
$M$3:$M241,$M241,
$O$3:$O241,$O241,
$Q$3:$Q241,1,
$P$3:$P241,"&gt;="&amp;EOMONTH($P241,-1)+1,
$P$3:$P241,"&lt;"&amp;EOMONTH($P241,0)+1
)=1,
1,
0),
0)</f>
        <v>0</v>
      </c>
      <c r="T241">
        <f>IF(AND($R241=1,$M241&lt;&gt;""),IF(COUNTIFS($M$3:$M241,$M241,$O$3:$O241,$O241,$R$3:$R241,1,$P$3:$P241,"&gt;="&amp;EOMONTH($P241,-1)+1,$P$3:$P241,"&lt;"&amp;EOMONTH($P241,0)+1)=1,1,0),0)</f>
        <v>1</v>
      </c>
      <c r="U241">
        <f t="shared" si="36"/>
        <v>0</v>
      </c>
      <c r="V241">
        <f>IF(AND($U241=1,$M241&lt;&gt;""),IF(COUNTIFS($M$3:$M241,$M241,$O$3:$O241,$O241,$U$3:$U241,1,$P$3:$P241,"&gt;="&amp;EOMONTH($P241,-1)+1,$P$3:$P241,"&lt;"&amp;EOMONTH($P241,0)+1)=1,1,0),0)</f>
        <v>0</v>
      </c>
      <c r="W241" s="444">
        <f ca="1">TODAY()-Table1[[#This Row],[Change Date]]</f>
        <v>157.38541666666424</v>
      </c>
      <c r="X241" s="422" t="str">
        <f t="shared" si="37"/>
        <v/>
      </c>
      <c r="Y241" s="476">
        <f ca="1">IF(Table1[[#This Row],[Next Stage Date]]&lt;&gt;"",Table1[[#This Row],[Next Stage Date]]-Table1[[#This Row],[Change Date]],TODAY()-Table1[[#This Row],[Change Date]])</f>
        <v>157.38541666666424</v>
      </c>
      <c r="Z241" s="476">
        <f t="shared" si="38"/>
        <v>1</v>
      </c>
      <c r="AA241" s="422">
        <f t="shared" si="39"/>
        <v>46100.614583333336</v>
      </c>
      <c r="AB241" s="422" t="str">
        <f t="shared" si="40"/>
        <v/>
      </c>
      <c r="AC241" s="476" t="str">
        <f t="shared" si="41"/>
        <v/>
      </c>
      <c r="AD241" s="476" t="str">
        <f t="shared" si="42"/>
        <v/>
      </c>
      <c r="AE241" s="476">
        <f t="shared" si="43"/>
        <v>141.61458333333576</v>
      </c>
      <c r="AF241" s="476" t="b">
        <f>IFERROR(_xlfn.XLOOKUP(Table1[[#This Row],[Opportunity ID]],'Aging Detail'!$H$14:$H$20,'Aging Detail'!$F$14:$F$20),TRUE)</f>
        <v>1</v>
      </c>
    </row>
    <row r="242" spans="1:32">
      <c r="A242" t="s">
        <v>1461</v>
      </c>
      <c r="B242" t="s">
        <v>526</v>
      </c>
      <c r="C242" t="s">
        <v>563</v>
      </c>
      <c r="D242" t="s">
        <v>2152</v>
      </c>
      <c r="E242" t="s">
        <v>2153</v>
      </c>
      <c r="I242" s="422">
        <v>45748</v>
      </c>
      <c r="J242" s="422">
        <v>46090</v>
      </c>
      <c r="K242">
        <v>459900</v>
      </c>
      <c r="L242">
        <v>432900</v>
      </c>
      <c r="M242" t="s">
        <v>2154</v>
      </c>
      <c r="N242" t="s">
        <v>2148</v>
      </c>
      <c r="O242" t="str">
        <f>_xlfn.IFNA(VLOOKUP(Table1[[#This Row],[Lead Source]],'helper tab'!A:B,2,FALSE),"Exclude")</f>
        <v>Exclude</v>
      </c>
      <c r="P242" s="422">
        <f t="shared" si="33"/>
        <v>46099.438194444447</v>
      </c>
      <c r="Q242">
        <f t="shared" si="34"/>
        <v>0</v>
      </c>
      <c r="R242">
        <f t="shared" si="35"/>
        <v>1</v>
      </c>
      <c r="S242">
        <f>IF(
AND($Q242=1,$M242&lt;&gt;""),
IF(
COUNTIFS(
$M$3:$M242,$M242,
$O$3:$O242,$O242,
$Q$3:$Q242,1,
$P$3:$P242,"&gt;="&amp;EOMONTH($P242,-1)+1,
$P$3:$P242,"&lt;"&amp;EOMONTH($P242,0)+1
)=1,
1,
0),
0)</f>
        <v>0</v>
      </c>
      <c r="T242">
        <f>IF(AND($R242=1,$M242&lt;&gt;""),IF(COUNTIFS($M$3:$M242,$M242,$O$3:$O242,$O242,$R$3:$R242,1,$P$3:$P242,"&gt;="&amp;EOMONTH($P242,-1)+1,$P$3:$P242,"&lt;"&amp;EOMONTH($P242,0)+1)=1,1,0),0)</f>
        <v>1</v>
      </c>
      <c r="U242">
        <f t="shared" si="36"/>
        <v>0</v>
      </c>
      <c r="V242">
        <f>IF(AND($U242=1,$M242&lt;&gt;""),IF(COUNTIFS($M$3:$M242,$M242,$O$3:$O242,$O242,$U$3:$U242,1,$P$3:$P242,"&gt;="&amp;EOMONTH($P242,-1)+1,$P$3:$P242,"&lt;"&amp;EOMONTH($P242,0)+1)=1,1,0),0)</f>
        <v>0</v>
      </c>
      <c r="W242" s="444">
        <f ca="1">TODAY()-Table1[[#This Row],[Change Date]]</f>
        <v>158.56180555555329</v>
      </c>
      <c r="X242" s="422" t="str">
        <f t="shared" si="37"/>
        <v/>
      </c>
      <c r="Y242" s="476">
        <f ca="1">IF(Table1[[#This Row],[Next Stage Date]]&lt;&gt;"",Table1[[#This Row],[Next Stage Date]]-Table1[[#This Row],[Change Date]],TODAY()-Table1[[#This Row],[Change Date]])</f>
        <v>158.56180555555329</v>
      </c>
      <c r="Z242" s="476">
        <f t="shared" si="38"/>
        <v>1</v>
      </c>
      <c r="AA242" s="422">
        <f t="shared" si="39"/>
        <v>46099.438194444447</v>
      </c>
      <c r="AB242" s="422">
        <f t="shared" si="40"/>
        <v>45999.379861111112</v>
      </c>
      <c r="AC242" s="476">
        <f t="shared" si="41"/>
        <v>251.3798611111124</v>
      </c>
      <c r="AD242" s="476">
        <f t="shared" si="42"/>
        <v>100.0583333333343</v>
      </c>
      <c r="AE242" s="476">
        <f t="shared" si="43"/>
        <v>351.43819444444671</v>
      </c>
      <c r="AF242" s="476" t="b">
        <f>IFERROR(_xlfn.XLOOKUP(Table1[[#This Row],[Opportunity ID]],'Aging Detail'!$H$14:$H$20,'Aging Detail'!$F$14:$F$20),TRUE)</f>
        <v>1</v>
      </c>
    </row>
    <row r="243" spans="1:32">
      <c r="A243" t="s">
        <v>1461</v>
      </c>
      <c r="B243" t="s">
        <v>408</v>
      </c>
      <c r="C243" t="s">
        <v>1462</v>
      </c>
      <c r="D243" t="s">
        <v>2155</v>
      </c>
      <c r="E243" t="s">
        <v>2156</v>
      </c>
      <c r="F243" t="s">
        <v>1465</v>
      </c>
      <c r="I243" s="422">
        <v>46098</v>
      </c>
      <c r="J243" s="422">
        <v>46654</v>
      </c>
      <c r="K243">
        <v>267800</v>
      </c>
      <c r="L243">
        <v>172800</v>
      </c>
      <c r="M243" t="s">
        <v>2157</v>
      </c>
      <c r="N243" t="s">
        <v>2158</v>
      </c>
      <c r="O243" t="str">
        <f>_xlfn.IFNA(VLOOKUP(Table1[[#This Row],[Lead Source]],'helper tab'!A:B,2,FALSE),"Exclude")</f>
        <v>Exclude</v>
      </c>
      <c r="P243" s="422">
        <f t="shared" si="33"/>
        <v>46098.252083333333</v>
      </c>
      <c r="Q243">
        <f t="shared" si="34"/>
        <v>0</v>
      </c>
      <c r="R243">
        <f t="shared" si="35"/>
        <v>0</v>
      </c>
      <c r="S243">
        <f>IF(
AND($Q243=1,$M243&lt;&gt;""),
IF(
COUNTIFS(
$M$3:$M243,$M243,
$O$3:$O243,$O243,
$Q$3:$Q243,1,
$P$3:$P243,"&gt;="&amp;EOMONTH($P243,-1)+1,
$P$3:$P243,"&lt;"&amp;EOMONTH($P243,0)+1
)=1,
1,
0),
0)</f>
        <v>0</v>
      </c>
      <c r="T243">
        <f>IF(AND($R243=1,$M243&lt;&gt;""),IF(COUNTIFS($M$3:$M243,$M243,$O$3:$O243,$O243,$R$3:$R243,1,$P$3:$P243,"&gt;="&amp;EOMONTH($P243,-1)+1,$P$3:$P243,"&lt;"&amp;EOMONTH($P243,0)+1)=1,1,0),0)</f>
        <v>0</v>
      </c>
      <c r="U243">
        <f t="shared" si="36"/>
        <v>0</v>
      </c>
      <c r="V243">
        <f>IF(AND($U243=1,$M243&lt;&gt;""),IF(COUNTIFS($M$3:$M243,$M243,$O$3:$O243,$O243,$U$3:$U243,1,$P$3:$P243,"&gt;="&amp;EOMONTH($P243,-1)+1,$P$3:$P243,"&lt;"&amp;EOMONTH($P243,0)+1)=1,1,0),0)</f>
        <v>0</v>
      </c>
      <c r="W243" s="444">
        <f ca="1">TODAY()-Table1[[#This Row],[Change Date]]</f>
        <v>159.74791666666715</v>
      </c>
      <c r="X243" s="422" t="str">
        <f t="shared" si="37"/>
        <v/>
      </c>
      <c r="Y243" s="476">
        <f ca="1">IF(Table1[[#This Row],[Next Stage Date]]&lt;&gt;"",Table1[[#This Row],[Next Stage Date]]-Table1[[#This Row],[Change Date]],TODAY()-Table1[[#This Row],[Change Date]])</f>
        <v>159.74791666666715</v>
      </c>
      <c r="Z243" s="476">
        <f t="shared" si="38"/>
        <v>1</v>
      </c>
      <c r="AA243" s="422" t="str">
        <f t="shared" si="39"/>
        <v/>
      </c>
      <c r="AB243" s="422" t="str">
        <f t="shared" si="40"/>
        <v/>
      </c>
      <c r="AC243" s="476" t="str">
        <f t="shared" si="41"/>
        <v/>
      </c>
      <c r="AD243" s="476" t="str">
        <f t="shared" si="42"/>
        <v/>
      </c>
      <c r="AE243" s="476" t="str">
        <f t="shared" si="43"/>
        <v/>
      </c>
      <c r="AF243" s="476" t="b">
        <f>IFERROR(_xlfn.XLOOKUP(Table1[[#This Row],[Opportunity ID]],'Aging Detail'!$H$14:$H$20,'Aging Detail'!$F$14:$F$20),TRUE)</f>
        <v>1</v>
      </c>
    </row>
    <row r="244" spans="1:32">
      <c r="A244" t="s">
        <v>1461</v>
      </c>
      <c r="B244" t="s">
        <v>338</v>
      </c>
      <c r="C244" t="s">
        <v>1469</v>
      </c>
      <c r="D244" t="s">
        <v>2159</v>
      </c>
      <c r="E244" t="s">
        <v>2160</v>
      </c>
      <c r="F244" t="s">
        <v>1481</v>
      </c>
      <c r="I244" s="422">
        <v>45694</v>
      </c>
      <c r="J244" s="422">
        <v>46340</v>
      </c>
      <c r="K244">
        <v>422400</v>
      </c>
      <c r="L244">
        <v>422400</v>
      </c>
      <c r="M244" t="s">
        <v>2161</v>
      </c>
      <c r="N244" t="s">
        <v>143</v>
      </c>
      <c r="O244" t="str">
        <f>_xlfn.IFNA(VLOOKUP(Table1[[#This Row],[Lead Source]],'helper tab'!A:B,2,FALSE),"Exclude")</f>
        <v>Cold</v>
      </c>
      <c r="P244" s="422">
        <f t="shared" si="33"/>
        <v>46094.415277777778</v>
      </c>
      <c r="Q244">
        <f t="shared" si="34"/>
        <v>0</v>
      </c>
      <c r="R244">
        <f t="shared" si="35"/>
        <v>0</v>
      </c>
      <c r="S244">
        <f>IF(
AND($Q244=1,$M244&lt;&gt;""),
IF(
COUNTIFS(
$M$3:$M244,$M244,
$O$3:$O244,$O244,
$Q$3:$Q244,1,
$P$3:$P244,"&gt;="&amp;EOMONTH($P244,-1)+1,
$P$3:$P244,"&lt;"&amp;EOMONTH($P244,0)+1
)=1,
1,
0),
0)</f>
        <v>0</v>
      </c>
      <c r="T244">
        <f>IF(AND($R244=1,$M244&lt;&gt;""),IF(COUNTIFS($M$3:$M244,$M244,$O$3:$O244,$O244,$R$3:$R244,1,$P$3:$P244,"&gt;="&amp;EOMONTH($P244,-1)+1,$P$3:$P244,"&lt;"&amp;EOMONTH($P244,0)+1)=1,1,0),0)</f>
        <v>0</v>
      </c>
      <c r="U244">
        <f t="shared" si="36"/>
        <v>1</v>
      </c>
      <c r="V244">
        <f>IF(AND($U244=1,$M244&lt;&gt;""),IF(COUNTIFS($M$3:$M244,$M244,$O$3:$O244,$O244,$U$3:$U244,1,$P$3:$P244,"&gt;="&amp;EOMONTH($P244,-1)+1,$P$3:$P244,"&lt;"&amp;EOMONTH($P244,0)+1)=1,1,0),0)</f>
        <v>1</v>
      </c>
      <c r="W244" s="444">
        <f ca="1">TODAY()-Table1[[#This Row],[Change Date]]</f>
        <v>163.5847222222219</v>
      </c>
      <c r="X244" s="422" t="str">
        <f t="shared" si="37"/>
        <v/>
      </c>
      <c r="Y244" s="476">
        <f ca="1">IF(Table1[[#This Row],[Next Stage Date]]&lt;&gt;"",Table1[[#This Row],[Next Stage Date]]-Table1[[#This Row],[Change Date]],TODAY()-Table1[[#This Row],[Change Date]])</f>
        <v>163.5847222222219</v>
      </c>
      <c r="Z244" s="476">
        <f t="shared" si="38"/>
        <v>1</v>
      </c>
      <c r="AA244" s="422" t="str">
        <f t="shared" si="39"/>
        <v/>
      </c>
      <c r="AB244" s="422" t="str">
        <f t="shared" si="40"/>
        <v/>
      </c>
      <c r="AC244" s="476" t="str">
        <f t="shared" si="41"/>
        <v/>
      </c>
      <c r="AD244" s="476" t="str">
        <f t="shared" si="42"/>
        <v/>
      </c>
      <c r="AE244" s="476" t="str">
        <f t="shared" si="43"/>
        <v/>
      </c>
      <c r="AF244" s="476" t="b">
        <f>IFERROR(_xlfn.XLOOKUP(Table1[[#This Row],[Opportunity ID]],'Aging Detail'!$H$14:$H$20,'Aging Detail'!$F$14:$F$20),TRUE)</f>
        <v>1</v>
      </c>
    </row>
    <row r="245" spans="1:32">
      <c r="A245" t="s">
        <v>1461</v>
      </c>
      <c r="B245" t="s">
        <v>408</v>
      </c>
      <c r="C245" t="s">
        <v>1469</v>
      </c>
      <c r="D245" t="s">
        <v>2162</v>
      </c>
      <c r="E245" t="s">
        <v>2163</v>
      </c>
      <c r="F245" t="s">
        <v>148</v>
      </c>
      <c r="H245" t="s">
        <v>1873</v>
      </c>
      <c r="I245" s="422">
        <v>45566</v>
      </c>
      <c r="J245" s="422">
        <v>46094</v>
      </c>
      <c r="K245">
        <v>86400</v>
      </c>
      <c r="L245">
        <v>86400</v>
      </c>
      <c r="M245" t="s">
        <v>2164</v>
      </c>
      <c r="N245" t="s">
        <v>2165</v>
      </c>
      <c r="O245" t="str">
        <f>_xlfn.IFNA(VLOOKUP(Table1[[#This Row],[Lead Source]],'helper tab'!A:B,2,FALSE),"Exclude")</f>
        <v>Alliances</v>
      </c>
      <c r="P245" s="422">
        <f t="shared" si="33"/>
        <v>46094.338888888888</v>
      </c>
      <c r="Q245">
        <f t="shared" si="34"/>
        <v>0</v>
      </c>
      <c r="R245">
        <f t="shared" si="35"/>
        <v>0</v>
      </c>
      <c r="S245">
        <f>IF(
AND($Q245=1,$M245&lt;&gt;""),
IF(
COUNTIFS(
$M$3:$M245,$M245,
$O$3:$O245,$O245,
$Q$3:$Q245,1,
$P$3:$P245,"&gt;="&amp;EOMONTH($P245,-1)+1,
$P$3:$P245,"&lt;"&amp;EOMONTH($P245,0)+1
)=1,
1,
0),
0)</f>
        <v>0</v>
      </c>
      <c r="T245">
        <f>IF(AND($R245=1,$M245&lt;&gt;""),IF(COUNTIFS($M$3:$M245,$M245,$O$3:$O245,$O245,$R$3:$R245,1,$P$3:$P245,"&gt;="&amp;EOMONTH($P245,-1)+1,$P$3:$P245,"&lt;"&amp;EOMONTH($P245,0)+1)=1,1,0),0)</f>
        <v>0</v>
      </c>
      <c r="U245">
        <f t="shared" si="36"/>
        <v>1</v>
      </c>
      <c r="V245">
        <f>IF(AND($U245=1,$M245&lt;&gt;""),IF(COUNTIFS($M$3:$M245,$M245,$O$3:$O245,$O245,$U$3:$U245,1,$P$3:$P245,"&gt;="&amp;EOMONTH($P245,-1)+1,$P$3:$P245,"&lt;"&amp;EOMONTH($P245,0)+1)=1,1,0),0)</f>
        <v>1</v>
      </c>
      <c r="W245" s="444">
        <f ca="1">TODAY()-Table1[[#This Row],[Change Date]]</f>
        <v>163.6611111111124</v>
      </c>
      <c r="X245" s="422" t="str">
        <f t="shared" si="37"/>
        <v/>
      </c>
      <c r="Y245" s="476">
        <f ca="1">IF(Table1[[#This Row],[Next Stage Date]]&lt;&gt;"",Table1[[#This Row],[Next Stage Date]]-Table1[[#This Row],[Change Date]],TODAY()-Table1[[#This Row],[Change Date]])</f>
        <v>163.6611111111124</v>
      </c>
      <c r="Z245" s="476">
        <f t="shared" si="38"/>
        <v>1</v>
      </c>
      <c r="AA245" s="422" t="str">
        <f t="shared" si="39"/>
        <v/>
      </c>
      <c r="AB245" s="422" t="str">
        <f t="shared" si="40"/>
        <v/>
      </c>
      <c r="AC245" s="476" t="str">
        <f t="shared" si="41"/>
        <v/>
      </c>
      <c r="AD245" s="476" t="str">
        <f t="shared" si="42"/>
        <v/>
      </c>
      <c r="AE245" s="476" t="str">
        <f t="shared" si="43"/>
        <v/>
      </c>
      <c r="AF245" s="476" t="b">
        <f>IFERROR(_xlfn.XLOOKUP(Table1[[#This Row],[Opportunity ID]],'Aging Detail'!$H$14:$H$20,'Aging Detail'!$F$14:$F$20),TRUE)</f>
        <v>1</v>
      </c>
    </row>
    <row r="246" spans="1:32">
      <c r="A246" t="s">
        <v>1461</v>
      </c>
      <c r="B246" t="s">
        <v>408</v>
      </c>
      <c r="C246" t="s">
        <v>1469</v>
      </c>
      <c r="D246" t="s">
        <v>2166</v>
      </c>
      <c r="E246" t="s">
        <v>2167</v>
      </c>
      <c r="F246" t="s">
        <v>148</v>
      </c>
      <c r="H246" t="s">
        <v>1873</v>
      </c>
      <c r="I246" s="422">
        <v>45566</v>
      </c>
      <c r="J246" s="422">
        <v>46094</v>
      </c>
      <c r="K246">
        <v>50000</v>
      </c>
      <c r="L246">
        <v>50000</v>
      </c>
      <c r="M246" t="s">
        <v>2168</v>
      </c>
      <c r="N246" t="s">
        <v>2165</v>
      </c>
      <c r="O246" t="str">
        <f>_xlfn.IFNA(VLOOKUP(Table1[[#This Row],[Lead Source]],'helper tab'!A:B,2,FALSE),"Exclude")</f>
        <v>Alliances</v>
      </c>
      <c r="P246" s="422">
        <f t="shared" si="33"/>
        <v>46094.338194444441</v>
      </c>
      <c r="Q246">
        <f t="shared" si="34"/>
        <v>0</v>
      </c>
      <c r="R246">
        <f t="shared" si="35"/>
        <v>0</v>
      </c>
      <c r="S246">
        <f>IF(
AND($Q246=1,$M246&lt;&gt;""),
IF(
COUNTIFS(
$M$3:$M246,$M246,
$O$3:$O246,$O246,
$Q$3:$Q246,1,
$P$3:$P246,"&gt;="&amp;EOMONTH($P246,-1)+1,
$P$3:$P246,"&lt;"&amp;EOMONTH($P246,0)+1
)=1,
1,
0),
0)</f>
        <v>0</v>
      </c>
      <c r="T246">
        <f>IF(AND($R246=1,$M246&lt;&gt;""),IF(COUNTIFS($M$3:$M246,$M246,$O$3:$O246,$O246,$R$3:$R246,1,$P$3:$P246,"&gt;="&amp;EOMONTH($P246,-1)+1,$P$3:$P246,"&lt;"&amp;EOMONTH($P246,0)+1)=1,1,0),0)</f>
        <v>0</v>
      </c>
      <c r="U246">
        <f t="shared" si="36"/>
        <v>1</v>
      </c>
      <c r="V246">
        <f>IF(AND($U246=1,$M246&lt;&gt;""),IF(COUNTIFS($M$3:$M246,$M246,$O$3:$O246,$O246,$U$3:$U246,1,$P$3:$P246,"&gt;="&amp;EOMONTH($P246,-1)+1,$P$3:$P246,"&lt;"&amp;EOMONTH($P246,0)+1)=1,1,0),0)</f>
        <v>1</v>
      </c>
      <c r="W246" s="444">
        <f ca="1">TODAY()-Table1[[#This Row],[Change Date]]</f>
        <v>163.66180555555911</v>
      </c>
      <c r="X246" s="422" t="str">
        <f t="shared" si="37"/>
        <v/>
      </c>
      <c r="Y246" s="476">
        <f ca="1">IF(Table1[[#This Row],[Next Stage Date]]&lt;&gt;"",Table1[[#This Row],[Next Stage Date]]-Table1[[#This Row],[Change Date]],TODAY()-Table1[[#This Row],[Change Date]])</f>
        <v>163.66180555555911</v>
      </c>
      <c r="Z246" s="476">
        <f t="shared" si="38"/>
        <v>1</v>
      </c>
      <c r="AA246" s="422" t="str">
        <f t="shared" si="39"/>
        <v/>
      </c>
      <c r="AB246" s="422" t="str">
        <f t="shared" si="40"/>
        <v/>
      </c>
      <c r="AC246" s="476" t="str">
        <f t="shared" si="41"/>
        <v/>
      </c>
      <c r="AD246" s="476" t="str">
        <f t="shared" si="42"/>
        <v/>
      </c>
      <c r="AE246" s="476" t="str">
        <f t="shared" si="43"/>
        <v/>
      </c>
      <c r="AF246" s="476" t="b">
        <f>IFERROR(_xlfn.XLOOKUP(Table1[[#This Row],[Opportunity ID]],'Aging Detail'!$H$14:$H$20,'Aging Detail'!$F$14:$F$20),TRUE)</f>
        <v>1</v>
      </c>
    </row>
    <row r="247" spans="1:32">
      <c r="A247" t="s">
        <v>1461</v>
      </c>
      <c r="B247" t="s">
        <v>462</v>
      </c>
      <c r="C247" t="s">
        <v>526</v>
      </c>
      <c r="D247" t="s">
        <v>2169</v>
      </c>
      <c r="E247" t="s">
        <v>2170</v>
      </c>
      <c r="F247" t="s">
        <v>1473</v>
      </c>
      <c r="H247" t="s">
        <v>157</v>
      </c>
      <c r="I247" s="422">
        <v>45448</v>
      </c>
      <c r="J247" s="422">
        <v>46265</v>
      </c>
      <c r="K247">
        <v>261228.2</v>
      </c>
      <c r="L247">
        <v>238567.2</v>
      </c>
      <c r="M247" t="s">
        <v>2171</v>
      </c>
      <c r="N247" t="s">
        <v>1767</v>
      </c>
      <c r="O247" t="str">
        <f>_xlfn.IFNA(VLOOKUP(Table1[[#This Row],[Lead Source]],'helper tab'!A:B,2,FALSE),"Exclude")</f>
        <v>Events</v>
      </c>
      <c r="P247" s="422">
        <f t="shared" si="33"/>
        <v>46094.320138888892</v>
      </c>
      <c r="Q247">
        <f t="shared" si="34"/>
        <v>1</v>
      </c>
      <c r="R247">
        <f t="shared" si="35"/>
        <v>0</v>
      </c>
      <c r="S247">
        <f>IF(
AND($Q247=1,$M247&lt;&gt;""),
IF(
COUNTIFS(
$M$3:$M247,$M247,
$O$3:$O247,$O247,
$Q$3:$Q247,1,
$P$3:$P247,"&gt;="&amp;EOMONTH($P247,-1)+1,
$P$3:$P247,"&lt;"&amp;EOMONTH($P247,0)+1
)=1,
1,
0),
0)</f>
        <v>1</v>
      </c>
      <c r="T247">
        <f>IF(AND($R247=1,$M247&lt;&gt;""),IF(COUNTIFS($M$3:$M247,$M247,$O$3:$O247,$O247,$R$3:$R247,1,$P$3:$P247,"&gt;="&amp;EOMONTH($P247,-1)+1,$P$3:$P247,"&lt;"&amp;EOMONTH($P247,0)+1)=1,1,0),0)</f>
        <v>0</v>
      </c>
      <c r="U247">
        <f t="shared" si="36"/>
        <v>0</v>
      </c>
      <c r="V247">
        <f>IF(AND($U247=1,$M247&lt;&gt;""),IF(COUNTIFS($M$3:$M247,$M247,$O$3:$O247,$O247,$U$3:$U247,1,$P$3:$P247,"&gt;="&amp;EOMONTH($P247,-1)+1,$P$3:$P247,"&lt;"&amp;EOMONTH($P247,0)+1)=1,1,0),0)</f>
        <v>0</v>
      </c>
      <c r="W247" s="444">
        <f ca="1">TODAY()-Table1[[#This Row],[Change Date]]</f>
        <v>163.67986111110804</v>
      </c>
      <c r="X247" s="422" t="str">
        <f t="shared" si="37"/>
        <v/>
      </c>
      <c r="Y247" s="476">
        <f ca="1">IF(Table1[[#This Row],[Next Stage Date]]&lt;&gt;"",Table1[[#This Row],[Next Stage Date]]-Table1[[#This Row],[Change Date]],TODAY()-Table1[[#This Row],[Change Date]])</f>
        <v>163.67986111110804</v>
      </c>
      <c r="Z247" s="476">
        <f t="shared" si="38"/>
        <v>1</v>
      </c>
      <c r="AA247" s="422" t="str">
        <f t="shared" si="39"/>
        <v/>
      </c>
      <c r="AB247" s="422">
        <f t="shared" si="40"/>
        <v>46091.411805555559</v>
      </c>
      <c r="AC247" s="476">
        <f t="shared" si="41"/>
        <v>643.41180555555911</v>
      </c>
      <c r="AD247" s="476" t="str">
        <f t="shared" si="42"/>
        <v/>
      </c>
      <c r="AE247" s="476" t="str">
        <f t="shared" si="43"/>
        <v/>
      </c>
      <c r="AF247" s="476" t="b">
        <f>IFERROR(_xlfn.XLOOKUP(Table1[[#This Row],[Opportunity ID]],'Aging Detail'!$H$14:$H$20,'Aging Detail'!$F$14:$F$20),TRUE)</f>
        <v>1</v>
      </c>
    </row>
    <row r="248" spans="1:32">
      <c r="A248" t="s">
        <v>1461</v>
      </c>
      <c r="B248" t="s">
        <v>1462</v>
      </c>
      <c r="C248" t="s">
        <v>1469</v>
      </c>
      <c r="D248" t="s">
        <v>2172</v>
      </c>
      <c r="E248" t="s">
        <v>2173</v>
      </c>
      <c r="F248" t="s">
        <v>148</v>
      </c>
      <c r="H248" t="s">
        <v>2174</v>
      </c>
      <c r="I248" s="422">
        <v>45110</v>
      </c>
      <c r="J248" s="422">
        <v>46199</v>
      </c>
      <c r="K248">
        <v>273000</v>
      </c>
      <c r="L248">
        <v>228000</v>
      </c>
      <c r="M248" t="s">
        <v>2175</v>
      </c>
      <c r="N248" t="s">
        <v>2176</v>
      </c>
      <c r="O248" t="str">
        <f>_xlfn.IFNA(VLOOKUP(Table1[[#This Row],[Lead Source]],'helper tab'!A:B,2,FALSE),"Exclude")</f>
        <v>Alliances</v>
      </c>
      <c r="P248" s="422">
        <f t="shared" si="33"/>
        <v>46094.161111111112</v>
      </c>
      <c r="Q248">
        <f t="shared" si="34"/>
        <v>0</v>
      </c>
      <c r="R248">
        <f t="shared" si="35"/>
        <v>0</v>
      </c>
      <c r="S248">
        <f>IF(
AND($Q248=1,$M248&lt;&gt;""),
IF(
COUNTIFS(
$M$3:$M248,$M248,
$O$3:$O248,$O248,
$Q$3:$Q248,1,
$P$3:$P248,"&gt;="&amp;EOMONTH($P248,-1)+1,
$P$3:$P248,"&lt;"&amp;EOMONTH($P248,0)+1
)=1,
1,
0),
0)</f>
        <v>0</v>
      </c>
      <c r="T248">
        <f>IF(AND($R248=1,$M248&lt;&gt;""),IF(COUNTIFS($M$3:$M248,$M248,$O$3:$O248,$O248,$R$3:$R248,1,$P$3:$P248,"&gt;="&amp;EOMONTH($P248,-1)+1,$P$3:$P248,"&lt;"&amp;EOMONTH($P248,0)+1)=1,1,0),0)</f>
        <v>0</v>
      </c>
      <c r="U248">
        <f t="shared" si="36"/>
        <v>1</v>
      </c>
      <c r="V248">
        <f>IF(AND($U248=1,$M248&lt;&gt;""),IF(COUNTIFS($M$3:$M248,$M248,$O$3:$O248,$O248,$U$3:$U248,1,$P$3:$P248,"&gt;="&amp;EOMONTH($P248,-1)+1,$P$3:$P248,"&lt;"&amp;EOMONTH($P248,0)+1)=1,1,0),0)</f>
        <v>1</v>
      </c>
      <c r="W248" s="444">
        <f ca="1">TODAY()-Table1[[#This Row],[Change Date]]</f>
        <v>163.8388888888876</v>
      </c>
      <c r="X248" s="422" t="str">
        <f t="shared" si="37"/>
        <v/>
      </c>
      <c r="Y248" s="476">
        <f ca="1">IF(Table1[[#This Row],[Next Stage Date]]&lt;&gt;"",Table1[[#This Row],[Next Stage Date]]-Table1[[#This Row],[Change Date]],TODAY()-Table1[[#This Row],[Change Date]])</f>
        <v>163.8388888888876</v>
      </c>
      <c r="Z248" s="476">
        <f t="shared" si="38"/>
        <v>1</v>
      </c>
      <c r="AA248" s="422" t="str">
        <f t="shared" si="39"/>
        <v/>
      </c>
      <c r="AB248" s="422" t="str">
        <f t="shared" si="40"/>
        <v/>
      </c>
      <c r="AC248" s="476" t="str">
        <f t="shared" si="41"/>
        <v/>
      </c>
      <c r="AD248" s="476" t="str">
        <f t="shared" si="42"/>
        <v/>
      </c>
      <c r="AE248" s="476" t="str">
        <f t="shared" si="43"/>
        <v/>
      </c>
      <c r="AF248" s="476" t="b">
        <f>IFERROR(_xlfn.XLOOKUP(Table1[[#This Row],[Opportunity ID]],'Aging Detail'!$H$14:$H$20,'Aging Detail'!$F$14:$F$20),TRUE)</f>
        <v>1</v>
      </c>
    </row>
    <row r="249" spans="1:32">
      <c r="A249" t="s">
        <v>1461</v>
      </c>
      <c r="B249" t="s">
        <v>338</v>
      </c>
      <c r="C249" t="s">
        <v>1469</v>
      </c>
      <c r="D249" t="s">
        <v>2177</v>
      </c>
      <c r="E249" t="s">
        <v>2178</v>
      </c>
      <c r="F249" t="s">
        <v>148</v>
      </c>
      <c r="H249" t="s">
        <v>169</v>
      </c>
      <c r="I249" s="422">
        <v>46001</v>
      </c>
      <c r="J249" s="422">
        <v>46203</v>
      </c>
      <c r="K249">
        <v>335192</v>
      </c>
      <c r="L249">
        <v>150192</v>
      </c>
      <c r="M249" t="s">
        <v>2179</v>
      </c>
      <c r="N249" t="s">
        <v>1864</v>
      </c>
      <c r="O249" t="str">
        <f>_xlfn.IFNA(VLOOKUP(Table1[[#This Row],[Lead Source]],'helper tab'!A:B,2,FALSE),"Exclude")</f>
        <v>Alliances</v>
      </c>
      <c r="P249" s="422">
        <f t="shared" si="33"/>
        <v>46093.372916666667</v>
      </c>
      <c r="Q249">
        <f t="shared" si="34"/>
        <v>0</v>
      </c>
      <c r="R249">
        <f t="shared" si="35"/>
        <v>0</v>
      </c>
      <c r="S249">
        <f>IF(
AND($Q249=1,$M249&lt;&gt;""),
IF(
COUNTIFS(
$M$3:$M249,$M249,
$O$3:$O249,$O249,
$Q$3:$Q249,1,
$P$3:$P249,"&gt;="&amp;EOMONTH($P249,-1)+1,
$P$3:$P249,"&lt;"&amp;EOMONTH($P249,0)+1
)=1,
1,
0),
0)</f>
        <v>0</v>
      </c>
      <c r="T249">
        <f>IF(AND($R249=1,$M249&lt;&gt;""),IF(COUNTIFS($M$3:$M249,$M249,$O$3:$O249,$O249,$R$3:$R249,1,$P$3:$P249,"&gt;="&amp;EOMONTH($P249,-1)+1,$P$3:$P249,"&lt;"&amp;EOMONTH($P249,0)+1)=1,1,0),0)</f>
        <v>0</v>
      </c>
      <c r="U249">
        <f t="shared" si="36"/>
        <v>1</v>
      </c>
      <c r="V249">
        <f>IF(AND($U249=1,$M249&lt;&gt;""),IF(COUNTIFS($M$3:$M249,$M249,$O$3:$O249,$O249,$U$3:$U249,1,$P$3:$P249,"&gt;="&amp;EOMONTH($P249,-1)+1,$P$3:$P249,"&lt;"&amp;EOMONTH($P249,0)+1)=1,1,0),0)</f>
        <v>1</v>
      </c>
      <c r="W249" s="444">
        <f ca="1">TODAY()-Table1[[#This Row],[Change Date]]</f>
        <v>164.62708333333285</v>
      </c>
      <c r="X249" s="422" t="str">
        <f t="shared" si="37"/>
        <v/>
      </c>
      <c r="Y249" s="476">
        <f ca="1">IF(Table1[[#This Row],[Next Stage Date]]&lt;&gt;"",Table1[[#This Row],[Next Stage Date]]-Table1[[#This Row],[Change Date]],TODAY()-Table1[[#This Row],[Change Date]])</f>
        <v>164.62708333333285</v>
      </c>
      <c r="Z249" s="476">
        <f t="shared" si="38"/>
        <v>1</v>
      </c>
      <c r="AA249" s="422" t="str">
        <f t="shared" si="39"/>
        <v/>
      </c>
      <c r="AB249" s="422" t="str">
        <f t="shared" si="40"/>
        <v/>
      </c>
      <c r="AC249" s="476" t="str">
        <f t="shared" si="41"/>
        <v/>
      </c>
      <c r="AD249" s="476" t="str">
        <f t="shared" si="42"/>
        <v/>
      </c>
      <c r="AE249" s="476" t="str">
        <f t="shared" si="43"/>
        <v/>
      </c>
      <c r="AF249" s="476" t="b">
        <f>IFERROR(_xlfn.XLOOKUP(Table1[[#This Row],[Opportunity ID]],'Aging Detail'!$H$14:$H$20,'Aging Detail'!$F$14:$F$20),TRUE)</f>
        <v>1</v>
      </c>
    </row>
    <row r="250" spans="1:32">
      <c r="A250" t="s">
        <v>1461</v>
      </c>
      <c r="B250" t="s">
        <v>338</v>
      </c>
      <c r="C250" t="s">
        <v>1469</v>
      </c>
      <c r="D250" t="s">
        <v>2180</v>
      </c>
      <c r="E250" t="s">
        <v>2181</v>
      </c>
      <c r="H250" t="s">
        <v>169</v>
      </c>
      <c r="I250" s="422">
        <v>46000</v>
      </c>
      <c r="J250" s="422">
        <v>46203</v>
      </c>
      <c r="K250">
        <v>200115.20000000001</v>
      </c>
      <c r="L250">
        <v>90115.199999999997</v>
      </c>
      <c r="M250" t="s">
        <v>2182</v>
      </c>
      <c r="N250" t="s">
        <v>1864</v>
      </c>
      <c r="O250" t="str">
        <f>_xlfn.IFNA(VLOOKUP(Table1[[#This Row],[Lead Source]],'helper tab'!A:B,2,FALSE),"Exclude")</f>
        <v>Exclude</v>
      </c>
      <c r="P250" s="422">
        <f t="shared" si="33"/>
        <v>46093.37222222222</v>
      </c>
      <c r="Q250">
        <f t="shared" si="34"/>
        <v>0</v>
      </c>
      <c r="R250">
        <f t="shared" si="35"/>
        <v>0</v>
      </c>
      <c r="S250">
        <f>IF(
AND($Q250=1,$M250&lt;&gt;""),
IF(
COUNTIFS(
$M$3:$M250,$M250,
$O$3:$O250,$O250,
$Q$3:$Q250,1,
$P$3:$P250,"&gt;="&amp;EOMONTH($P250,-1)+1,
$P$3:$P250,"&lt;"&amp;EOMONTH($P250,0)+1
)=1,
1,
0),
0)</f>
        <v>0</v>
      </c>
      <c r="T250">
        <f>IF(AND($R250=1,$M250&lt;&gt;""),IF(COUNTIFS($M$3:$M250,$M250,$O$3:$O250,$O250,$R$3:$R250,1,$P$3:$P250,"&gt;="&amp;EOMONTH($P250,-1)+1,$P$3:$P250,"&lt;"&amp;EOMONTH($P250,0)+1)=1,1,0),0)</f>
        <v>0</v>
      </c>
      <c r="U250">
        <f t="shared" si="36"/>
        <v>1</v>
      </c>
      <c r="V250">
        <f>IF(AND($U250=1,$M250&lt;&gt;""),IF(COUNTIFS($M$3:$M250,$M250,$O$3:$O250,$O250,$U$3:$U250,1,$P$3:$P250,"&gt;="&amp;EOMONTH($P250,-1)+1,$P$3:$P250,"&lt;"&amp;EOMONTH($P250,0)+1)=1,1,0),0)</f>
        <v>1</v>
      </c>
      <c r="W250" s="444">
        <f ca="1">TODAY()-Table1[[#This Row],[Change Date]]</f>
        <v>164.62777777777956</v>
      </c>
      <c r="X250" s="422" t="str">
        <f t="shared" si="37"/>
        <v/>
      </c>
      <c r="Y250" s="476">
        <f ca="1">IF(Table1[[#This Row],[Next Stage Date]]&lt;&gt;"",Table1[[#This Row],[Next Stage Date]]-Table1[[#This Row],[Change Date]],TODAY()-Table1[[#This Row],[Change Date]])</f>
        <v>164.62777777777956</v>
      </c>
      <c r="Z250" s="476">
        <f t="shared" si="38"/>
        <v>1</v>
      </c>
      <c r="AA250" s="422" t="str">
        <f t="shared" si="39"/>
        <v/>
      </c>
      <c r="AB250" s="422" t="str">
        <f t="shared" si="40"/>
        <v/>
      </c>
      <c r="AC250" s="476" t="str">
        <f t="shared" si="41"/>
        <v/>
      </c>
      <c r="AD250" s="476" t="str">
        <f t="shared" si="42"/>
        <v/>
      </c>
      <c r="AE250" s="476" t="str">
        <f t="shared" si="43"/>
        <v/>
      </c>
      <c r="AF250" s="476" t="b">
        <f>IFERROR(_xlfn.XLOOKUP(Table1[[#This Row],[Opportunity ID]],'Aging Detail'!$H$14:$H$20,'Aging Detail'!$F$14:$F$20),TRUE)</f>
        <v>1</v>
      </c>
    </row>
    <row r="251" spans="1:32">
      <c r="A251" t="s">
        <v>1461</v>
      </c>
      <c r="B251" t="s">
        <v>1462</v>
      </c>
      <c r="C251" t="s">
        <v>1469</v>
      </c>
      <c r="D251" t="s">
        <v>2183</v>
      </c>
      <c r="E251" t="s">
        <v>2184</v>
      </c>
      <c r="F251" t="s">
        <v>1632</v>
      </c>
      <c r="I251" s="422">
        <v>46063</v>
      </c>
      <c r="J251" s="422">
        <v>46112</v>
      </c>
      <c r="L251">
        <v>0</v>
      </c>
      <c r="M251" t="s">
        <v>2185</v>
      </c>
      <c r="N251" t="s">
        <v>1634</v>
      </c>
      <c r="O251" t="str">
        <f>_xlfn.IFNA(VLOOKUP(Table1[[#This Row],[Lead Source]],'helper tab'!A:B,2,FALSE),"Exclude")</f>
        <v>Exclude</v>
      </c>
      <c r="P251" s="422">
        <f t="shared" si="33"/>
        <v>46091.425694444442</v>
      </c>
      <c r="Q251">
        <f t="shared" si="34"/>
        <v>0</v>
      </c>
      <c r="R251">
        <f t="shared" si="35"/>
        <v>0</v>
      </c>
      <c r="S251">
        <f>IF(
AND($Q251=1,$M251&lt;&gt;""),
IF(
COUNTIFS(
$M$3:$M251,$M251,
$O$3:$O251,$O251,
$Q$3:$Q251,1,
$P$3:$P251,"&gt;="&amp;EOMONTH($P251,-1)+1,
$P$3:$P251,"&lt;"&amp;EOMONTH($P251,0)+1
)=1,
1,
0),
0)</f>
        <v>0</v>
      </c>
      <c r="T251">
        <f>IF(AND($R251=1,$M251&lt;&gt;""),IF(COUNTIFS($M$3:$M251,$M251,$O$3:$O251,$O251,$R$3:$R251,1,$P$3:$P251,"&gt;="&amp;EOMONTH($P251,-1)+1,$P$3:$P251,"&lt;"&amp;EOMONTH($P251,0)+1)=1,1,0),0)</f>
        <v>0</v>
      </c>
      <c r="U251">
        <f t="shared" si="36"/>
        <v>1</v>
      </c>
      <c r="V251">
        <f>IF(AND($U251=1,$M251&lt;&gt;""),IF(COUNTIFS($M$3:$M251,$M251,$O$3:$O251,$O251,$U$3:$U251,1,$P$3:$P251,"&gt;="&amp;EOMONTH($P251,-1)+1,$P$3:$P251,"&lt;"&amp;EOMONTH($P251,0)+1)=1,1,0),0)</f>
        <v>1</v>
      </c>
      <c r="W251" s="444">
        <f ca="1">TODAY()-Table1[[#This Row],[Change Date]]</f>
        <v>166.57430555555766</v>
      </c>
      <c r="X251" s="422" t="str">
        <f t="shared" si="37"/>
        <v/>
      </c>
      <c r="Y251" s="476">
        <f ca="1">IF(Table1[[#This Row],[Next Stage Date]]&lt;&gt;"",Table1[[#This Row],[Next Stage Date]]-Table1[[#This Row],[Change Date]],TODAY()-Table1[[#This Row],[Change Date]])</f>
        <v>166.57430555555766</v>
      </c>
      <c r="Z251" s="476">
        <f t="shared" si="38"/>
        <v>1</v>
      </c>
      <c r="AA251" s="422" t="str">
        <f t="shared" si="39"/>
        <v/>
      </c>
      <c r="AB251" s="422" t="str">
        <f t="shared" si="40"/>
        <v/>
      </c>
      <c r="AC251" s="476" t="str">
        <f t="shared" si="41"/>
        <v/>
      </c>
      <c r="AD251" s="476" t="str">
        <f t="shared" si="42"/>
        <v/>
      </c>
      <c r="AE251" s="476" t="str">
        <f t="shared" si="43"/>
        <v/>
      </c>
      <c r="AF251" s="476" t="b">
        <f>IFERROR(_xlfn.XLOOKUP(Table1[[#This Row],[Opportunity ID]],'Aging Detail'!$H$14:$H$20,'Aging Detail'!$F$14:$F$20),TRUE)</f>
        <v>1</v>
      </c>
    </row>
    <row r="252" spans="1:32">
      <c r="A252" t="s">
        <v>1461</v>
      </c>
      <c r="B252" t="s">
        <v>1462</v>
      </c>
      <c r="C252" t="s">
        <v>462</v>
      </c>
      <c r="D252" t="s">
        <v>2186</v>
      </c>
      <c r="E252" t="s">
        <v>2170</v>
      </c>
      <c r="F252" t="s">
        <v>1473</v>
      </c>
      <c r="H252" t="s">
        <v>157</v>
      </c>
      <c r="I252" s="422">
        <v>45448</v>
      </c>
      <c r="J252" s="422">
        <v>46265</v>
      </c>
      <c r="K252">
        <v>261228.2</v>
      </c>
      <c r="L252">
        <v>238567.2</v>
      </c>
      <c r="M252" t="s">
        <v>2171</v>
      </c>
      <c r="N252" t="s">
        <v>1767</v>
      </c>
      <c r="O252" t="str">
        <f>_xlfn.IFNA(VLOOKUP(Table1[[#This Row],[Lead Source]],'helper tab'!A:B,2,FALSE),"Exclude")</f>
        <v>Events</v>
      </c>
      <c r="P252" s="422">
        <f t="shared" si="33"/>
        <v>46091.411805555559</v>
      </c>
      <c r="Q252">
        <f t="shared" si="34"/>
        <v>1</v>
      </c>
      <c r="R252">
        <f t="shared" si="35"/>
        <v>0</v>
      </c>
      <c r="S252">
        <f>IF(
AND($Q252=1,$M252&lt;&gt;""),
IF(
COUNTIFS(
$M$3:$M252,$M252,
$O$3:$O252,$O252,
$Q$3:$Q252,1,
$P$3:$P252,"&gt;="&amp;EOMONTH($P252,-1)+1,
$P$3:$P252,"&lt;"&amp;EOMONTH($P252,0)+1
)=1,
1,
0),
0)</f>
        <v>0</v>
      </c>
      <c r="T252">
        <f>IF(AND($R252=1,$M252&lt;&gt;""),IF(COUNTIFS($M$3:$M252,$M252,$O$3:$O252,$O252,$R$3:$R252,1,$P$3:$P252,"&gt;="&amp;EOMONTH($P252,-1)+1,$P$3:$P252,"&lt;"&amp;EOMONTH($P252,0)+1)=1,1,0),0)</f>
        <v>0</v>
      </c>
      <c r="U252">
        <f t="shared" si="36"/>
        <v>0</v>
      </c>
      <c r="V252">
        <f>IF(AND($U252=1,$M252&lt;&gt;""),IF(COUNTIFS($M$3:$M252,$M252,$O$3:$O252,$O252,$U$3:$U252,1,$P$3:$P252,"&gt;="&amp;EOMONTH($P252,-1)+1,$P$3:$P252,"&lt;"&amp;EOMONTH($P252,0)+1)=1,1,0),0)</f>
        <v>0</v>
      </c>
      <c r="W252" s="444">
        <f ca="1">TODAY()-Table1[[#This Row],[Change Date]]</f>
        <v>166.58819444444089</v>
      </c>
      <c r="X252" s="422">
        <f t="shared" si="37"/>
        <v>46094.320138888892</v>
      </c>
      <c r="Y252" s="476">
        <f ca="1">IF(Table1[[#This Row],[Next Stage Date]]&lt;&gt;"",Table1[[#This Row],[Next Stage Date]]-Table1[[#This Row],[Change Date]],TODAY()-Table1[[#This Row],[Change Date]])</f>
        <v>2.9083333333328483</v>
      </c>
      <c r="Z252" s="476">
        <f t="shared" si="38"/>
        <v>0</v>
      </c>
      <c r="AA252" s="422" t="str">
        <f t="shared" si="39"/>
        <v/>
      </c>
      <c r="AB252" s="422">
        <f t="shared" si="40"/>
        <v>46091.411805555559</v>
      </c>
      <c r="AC252" s="476">
        <f t="shared" si="41"/>
        <v>643.41180555555911</v>
      </c>
      <c r="AD252" s="476" t="str">
        <f t="shared" si="42"/>
        <v/>
      </c>
      <c r="AE252" s="476" t="str">
        <f t="shared" si="43"/>
        <v/>
      </c>
      <c r="AF252" s="476" t="b">
        <f>IFERROR(_xlfn.XLOOKUP(Table1[[#This Row],[Opportunity ID]],'Aging Detail'!$H$14:$H$20,'Aging Detail'!$F$14:$F$20),TRUE)</f>
        <v>1</v>
      </c>
    </row>
    <row r="253" spans="1:32">
      <c r="A253" t="s">
        <v>1461</v>
      </c>
      <c r="B253" t="s">
        <v>408</v>
      </c>
      <c r="C253" t="s">
        <v>1469</v>
      </c>
      <c r="D253" t="s">
        <v>2187</v>
      </c>
      <c r="E253" t="s">
        <v>2188</v>
      </c>
      <c r="F253" t="s">
        <v>1468</v>
      </c>
      <c r="I253" s="422">
        <v>45869</v>
      </c>
      <c r="J253" s="422">
        <v>46091</v>
      </c>
      <c r="K253">
        <v>35000</v>
      </c>
      <c r="L253">
        <v>35000</v>
      </c>
      <c r="M253" t="s">
        <v>2189</v>
      </c>
      <c r="N253" t="s">
        <v>2190</v>
      </c>
      <c r="O253" t="str">
        <f>_xlfn.IFNA(VLOOKUP(Table1[[#This Row],[Lead Source]],'helper tab'!A:B,2,FALSE),"Exclude")</f>
        <v>Events</v>
      </c>
      <c r="P253" s="422">
        <f t="shared" si="33"/>
        <v>46091.393055555556</v>
      </c>
      <c r="Q253">
        <f t="shared" si="34"/>
        <v>0</v>
      </c>
      <c r="R253">
        <f t="shared" si="35"/>
        <v>0</v>
      </c>
      <c r="S253">
        <f>IF(
AND($Q253=1,$M253&lt;&gt;""),
IF(
COUNTIFS(
$M$3:$M253,$M253,
$O$3:$O253,$O253,
$Q$3:$Q253,1,
$P$3:$P253,"&gt;="&amp;EOMONTH($P253,-1)+1,
$P$3:$P253,"&lt;"&amp;EOMONTH($P253,0)+1
)=1,
1,
0),
0)</f>
        <v>0</v>
      </c>
      <c r="T253">
        <f>IF(AND($R253=1,$M253&lt;&gt;""),IF(COUNTIFS($M$3:$M253,$M253,$O$3:$O253,$O253,$R$3:$R253,1,$P$3:$P253,"&gt;="&amp;EOMONTH($P253,-1)+1,$P$3:$P253,"&lt;"&amp;EOMONTH($P253,0)+1)=1,1,0),0)</f>
        <v>0</v>
      </c>
      <c r="U253">
        <f t="shared" si="36"/>
        <v>1</v>
      </c>
      <c r="V253">
        <f>IF(AND($U253=1,$M253&lt;&gt;""),IF(COUNTIFS($M$3:$M253,$M253,$O$3:$O253,$O253,$U$3:$U253,1,$P$3:$P253,"&gt;="&amp;EOMONTH($P253,-1)+1,$P$3:$P253,"&lt;"&amp;EOMONTH($P253,0)+1)=1,1,0),0)</f>
        <v>1</v>
      </c>
      <c r="W253" s="444">
        <f ca="1">TODAY()-Table1[[#This Row],[Change Date]]</f>
        <v>166.6069444444438</v>
      </c>
      <c r="X253" s="422" t="str">
        <f t="shared" si="37"/>
        <v/>
      </c>
      <c r="Y253" s="476">
        <f ca="1">IF(Table1[[#This Row],[Next Stage Date]]&lt;&gt;"",Table1[[#This Row],[Next Stage Date]]-Table1[[#This Row],[Change Date]],TODAY()-Table1[[#This Row],[Change Date]])</f>
        <v>166.6069444444438</v>
      </c>
      <c r="Z253" s="476">
        <f t="shared" si="38"/>
        <v>1</v>
      </c>
      <c r="AA253" s="422" t="str">
        <f t="shared" si="39"/>
        <v/>
      </c>
      <c r="AB253" s="422" t="str">
        <f t="shared" si="40"/>
        <v/>
      </c>
      <c r="AC253" s="476" t="str">
        <f t="shared" si="41"/>
        <v/>
      </c>
      <c r="AD253" s="476" t="str">
        <f t="shared" si="42"/>
        <v/>
      </c>
      <c r="AE253" s="476" t="str">
        <f t="shared" si="43"/>
        <v/>
      </c>
      <c r="AF253" s="476" t="b">
        <f>IFERROR(_xlfn.XLOOKUP(Table1[[#This Row],[Opportunity ID]],'Aging Detail'!$H$14:$H$20,'Aging Detail'!$F$14:$F$20),TRUE)</f>
        <v>1</v>
      </c>
    </row>
    <row r="254" spans="1:32">
      <c r="A254" t="s">
        <v>1461</v>
      </c>
      <c r="B254" t="s">
        <v>408</v>
      </c>
      <c r="C254" t="s">
        <v>1469</v>
      </c>
      <c r="D254" t="s">
        <v>2191</v>
      </c>
      <c r="E254" t="s">
        <v>2192</v>
      </c>
      <c r="F254" t="s">
        <v>1486</v>
      </c>
      <c r="H254" t="s">
        <v>2174</v>
      </c>
      <c r="I254" s="422">
        <v>45048</v>
      </c>
      <c r="J254" s="422">
        <v>46091</v>
      </c>
      <c r="K254">
        <v>233600</v>
      </c>
      <c r="L254">
        <v>93600</v>
      </c>
      <c r="M254" t="s">
        <v>2193</v>
      </c>
      <c r="N254" t="s">
        <v>2194</v>
      </c>
      <c r="O254" t="str">
        <f>_xlfn.IFNA(VLOOKUP(Table1[[#This Row],[Lead Source]],'helper tab'!A:B,2,FALSE),"Exclude")</f>
        <v>Exclude</v>
      </c>
      <c r="P254" s="422">
        <f t="shared" si="33"/>
        <v>46091.372916666667</v>
      </c>
      <c r="Q254">
        <f t="shared" si="34"/>
        <v>0</v>
      </c>
      <c r="R254">
        <f t="shared" si="35"/>
        <v>0</v>
      </c>
      <c r="S254">
        <f>IF(
AND($Q254=1,$M254&lt;&gt;""),
IF(
COUNTIFS(
$M$3:$M254,$M254,
$O$3:$O254,$O254,
$Q$3:$Q254,1,
$P$3:$P254,"&gt;="&amp;EOMONTH($P254,-1)+1,
$P$3:$P254,"&lt;"&amp;EOMONTH($P254,0)+1
)=1,
1,
0),
0)</f>
        <v>0</v>
      </c>
      <c r="T254">
        <f>IF(AND($R254=1,$M254&lt;&gt;""),IF(COUNTIFS($M$3:$M254,$M254,$O$3:$O254,$O254,$R$3:$R254,1,$P$3:$P254,"&gt;="&amp;EOMONTH($P254,-1)+1,$P$3:$P254,"&lt;"&amp;EOMONTH($P254,0)+1)=1,1,0),0)</f>
        <v>0</v>
      </c>
      <c r="U254">
        <f t="shared" si="36"/>
        <v>1</v>
      </c>
      <c r="V254">
        <f>IF(AND($U254=1,$M254&lt;&gt;""),IF(COUNTIFS($M$3:$M254,$M254,$O$3:$O254,$O254,$U$3:$U254,1,$P$3:$P254,"&gt;="&amp;EOMONTH($P254,-1)+1,$P$3:$P254,"&lt;"&amp;EOMONTH($P254,0)+1)=1,1,0),0)</f>
        <v>1</v>
      </c>
      <c r="W254" s="444">
        <f ca="1">TODAY()-Table1[[#This Row],[Change Date]]</f>
        <v>166.62708333333285</v>
      </c>
      <c r="X254" s="422" t="str">
        <f t="shared" si="37"/>
        <v/>
      </c>
      <c r="Y254" s="476">
        <f ca="1">IF(Table1[[#This Row],[Next Stage Date]]&lt;&gt;"",Table1[[#This Row],[Next Stage Date]]-Table1[[#This Row],[Change Date]],TODAY()-Table1[[#This Row],[Change Date]])</f>
        <v>166.62708333333285</v>
      </c>
      <c r="Z254" s="476">
        <f t="shared" si="38"/>
        <v>1</v>
      </c>
      <c r="AA254" s="422" t="str">
        <f t="shared" si="39"/>
        <v/>
      </c>
      <c r="AB254" s="422" t="str">
        <f t="shared" si="40"/>
        <v/>
      </c>
      <c r="AC254" s="476" t="str">
        <f t="shared" si="41"/>
        <v/>
      </c>
      <c r="AD254" s="476" t="str">
        <f t="shared" si="42"/>
        <v/>
      </c>
      <c r="AE254" s="476" t="str">
        <f t="shared" si="43"/>
        <v/>
      </c>
      <c r="AF254" s="476" t="b">
        <f>IFERROR(_xlfn.XLOOKUP(Table1[[#This Row],[Opportunity ID]],'Aging Detail'!$H$14:$H$20,'Aging Detail'!$F$14:$F$20),TRUE)</f>
        <v>1</v>
      </c>
    </row>
    <row r="255" spans="1:32">
      <c r="A255" t="s">
        <v>1461</v>
      </c>
      <c r="B255" t="s">
        <v>338</v>
      </c>
      <c r="C255" t="s">
        <v>1469</v>
      </c>
      <c r="D255" t="s">
        <v>2195</v>
      </c>
      <c r="E255" t="s">
        <v>2196</v>
      </c>
      <c r="I255" s="422">
        <v>46034</v>
      </c>
      <c r="J255" s="422">
        <v>73050</v>
      </c>
      <c r="K255">
        <v>2700</v>
      </c>
      <c r="L255">
        <v>0</v>
      </c>
      <c r="M255" t="s">
        <v>2197</v>
      </c>
      <c r="N255" t="s">
        <v>2198</v>
      </c>
      <c r="O255" t="str">
        <f>_xlfn.IFNA(VLOOKUP(Table1[[#This Row],[Lead Source]],'helper tab'!A:B,2,FALSE),"Exclude")</f>
        <v>Exclude</v>
      </c>
      <c r="P255" s="422">
        <f t="shared" si="33"/>
        <v>46090.479166666664</v>
      </c>
      <c r="Q255">
        <f t="shared" si="34"/>
        <v>0</v>
      </c>
      <c r="R255">
        <f t="shared" si="35"/>
        <v>0</v>
      </c>
      <c r="S255">
        <f>IF(
AND($Q255=1,$M255&lt;&gt;""),
IF(
COUNTIFS(
$M$3:$M255,$M255,
$O$3:$O255,$O255,
$Q$3:$Q255,1,
$P$3:$P255,"&gt;="&amp;EOMONTH($P255,-1)+1,
$P$3:$P255,"&lt;"&amp;EOMONTH($P255,0)+1
)=1,
1,
0),
0)</f>
        <v>0</v>
      </c>
      <c r="T255">
        <f>IF(AND($R255=1,$M255&lt;&gt;""),IF(COUNTIFS($M$3:$M255,$M255,$O$3:$O255,$O255,$R$3:$R255,1,$P$3:$P255,"&gt;="&amp;EOMONTH($P255,-1)+1,$P$3:$P255,"&lt;"&amp;EOMONTH($P255,0)+1)=1,1,0),0)</f>
        <v>0</v>
      </c>
      <c r="U255">
        <f t="shared" si="36"/>
        <v>1</v>
      </c>
      <c r="V255">
        <f>IF(AND($U255=1,$M255&lt;&gt;""),IF(COUNTIFS($M$3:$M255,$M255,$O$3:$O255,$O255,$U$3:$U255,1,$P$3:$P255,"&gt;="&amp;EOMONTH($P255,-1)+1,$P$3:$P255,"&lt;"&amp;EOMONTH($P255,0)+1)=1,1,0),0)</f>
        <v>1</v>
      </c>
      <c r="W255" s="444">
        <f ca="1">TODAY()-Table1[[#This Row],[Change Date]]</f>
        <v>167.52083333333576</v>
      </c>
      <c r="X255" s="422" t="str">
        <f t="shared" si="37"/>
        <v/>
      </c>
      <c r="Y255" s="476">
        <f ca="1">IF(Table1[[#This Row],[Next Stage Date]]&lt;&gt;"",Table1[[#This Row],[Next Stage Date]]-Table1[[#This Row],[Change Date]],TODAY()-Table1[[#This Row],[Change Date]])</f>
        <v>167.52083333333576</v>
      </c>
      <c r="Z255" s="476">
        <f t="shared" si="38"/>
        <v>1</v>
      </c>
      <c r="AA255" s="422" t="str">
        <f t="shared" si="39"/>
        <v/>
      </c>
      <c r="AB255" s="422" t="str">
        <f t="shared" si="40"/>
        <v/>
      </c>
      <c r="AC255" s="476" t="str">
        <f t="shared" si="41"/>
        <v/>
      </c>
      <c r="AD255" s="476" t="str">
        <f t="shared" si="42"/>
        <v/>
      </c>
      <c r="AE255" s="476" t="str">
        <f t="shared" si="43"/>
        <v/>
      </c>
      <c r="AF255" s="476" t="b">
        <f>IFERROR(_xlfn.XLOOKUP(Table1[[#This Row],[Opportunity ID]],'Aging Detail'!$H$14:$H$20,'Aging Detail'!$F$14:$F$20),TRUE)</f>
        <v>1</v>
      </c>
    </row>
    <row r="256" spans="1:32">
      <c r="A256" t="s">
        <v>1461</v>
      </c>
      <c r="B256" t="s">
        <v>1462</v>
      </c>
      <c r="C256" t="s">
        <v>462</v>
      </c>
      <c r="D256" t="s">
        <v>2199</v>
      </c>
      <c r="E256" t="s">
        <v>2104</v>
      </c>
      <c r="F256" t="s">
        <v>148</v>
      </c>
      <c r="H256" t="s">
        <v>2105</v>
      </c>
      <c r="I256" s="422">
        <v>45853</v>
      </c>
      <c r="J256" s="422">
        <v>46108</v>
      </c>
      <c r="K256">
        <v>166978.4</v>
      </c>
      <c r="L256">
        <v>100478.39999999999</v>
      </c>
      <c r="M256" t="s">
        <v>2106</v>
      </c>
      <c r="N256" t="s">
        <v>2107</v>
      </c>
      <c r="O256" t="str">
        <f>_xlfn.IFNA(VLOOKUP(Table1[[#This Row],[Lead Source]],'helper tab'!A:B,2,FALSE),"Exclude")</f>
        <v>Alliances</v>
      </c>
      <c r="P256" s="422">
        <f t="shared" si="33"/>
        <v>46087.324305555558</v>
      </c>
      <c r="Q256">
        <f t="shared" si="34"/>
        <v>1</v>
      </c>
      <c r="R256">
        <f t="shared" si="35"/>
        <v>0</v>
      </c>
      <c r="S256">
        <f>IF(
AND($Q256=1,$M256&lt;&gt;""),
IF(
COUNTIFS(
$M$3:$M256,$M256,
$O$3:$O256,$O256,
$Q$3:$Q256,1,
$P$3:$P256,"&gt;="&amp;EOMONTH($P256,-1)+1,
$P$3:$P256,"&lt;"&amp;EOMONTH($P256,0)+1
)=1,
1,
0),
0)</f>
        <v>0</v>
      </c>
      <c r="T256">
        <f>IF(AND($R256=1,$M256&lt;&gt;""),IF(COUNTIFS($M$3:$M256,$M256,$O$3:$O256,$O256,$R$3:$R256,1,$P$3:$P256,"&gt;="&amp;EOMONTH($P256,-1)+1,$P$3:$P256,"&lt;"&amp;EOMONTH($P256,0)+1)=1,1,0),0)</f>
        <v>0</v>
      </c>
      <c r="U256">
        <f t="shared" si="36"/>
        <v>0</v>
      </c>
      <c r="V256">
        <f>IF(AND($U256=1,$M256&lt;&gt;""),IF(COUNTIFS($M$3:$M256,$M256,$O$3:$O256,$O256,$U$3:$U256,1,$P$3:$P256,"&gt;="&amp;EOMONTH($P256,-1)+1,$P$3:$P256,"&lt;"&amp;EOMONTH($P256,0)+1)=1,1,0),0)</f>
        <v>0</v>
      </c>
      <c r="W256" s="444">
        <f ca="1">TODAY()-Table1[[#This Row],[Change Date]]</f>
        <v>170.67569444444234</v>
      </c>
      <c r="X256" s="422">
        <f t="shared" si="37"/>
        <v>46112.295138888891</v>
      </c>
      <c r="Y256" s="476">
        <f ca="1">IF(Table1[[#This Row],[Next Stage Date]]&lt;&gt;"",Table1[[#This Row],[Next Stage Date]]-Table1[[#This Row],[Change Date]],TODAY()-Table1[[#This Row],[Change Date]])</f>
        <v>24.970833333332848</v>
      </c>
      <c r="Z256" s="476">
        <f t="shared" si="38"/>
        <v>0</v>
      </c>
      <c r="AA256" s="422">
        <f t="shared" si="39"/>
        <v>46112.43472222222</v>
      </c>
      <c r="AB256" s="422">
        <f t="shared" si="40"/>
        <v>46058.530555555553</v>
      </c>
      <c r="AC256" s="476">
        <f t="shared" si="41"/>
        <v>205.53055555555329</v>
      </c>
      <c r="AD256" s="476">
        <f t="shared" si="42"/>
        <v>53.904166666667152</v>
      </c>
      <c r="AE256" s="476">
        <f t="shared" si="43"/>
        <v>259.43472222222044</v>
      </c>
      <c r="AF256" s="476" t="b">
        <f>IFERROR(_xlfn.XLOOKUP(Table1[[#This Row],[Opportunity ID]],'Aging Detail'!$H$14:$H$20,'Aging Detail'!$F$14:$F$20),TRUE)</f>
        <v>1</v>
      </c>
    </row>
    <row r="257" spans="1:32">
      <c r="A257" t="s">
        <v>1461</v>
      </c>
      <c r="B257" t="s">
        <v>408</v>
      </c>
      <c r="C257" t="s">
        <v>1462</v>
      </c>
      <c r="D257" t="s">
        <v>2199</v>
      </c>
      <c r="E257" t="s">
        <v>2104</v>
      </c>
      <c r="F257" t="s">
        <v>148</v>
      </c>
      <c r="H257" t="s">
        <v>2105</v>
      </c>
      <c r="I257" s="422">
        <v>45853</v>
      </c>
      <c r="J257" s="422">
        <v>46108</v>
      </c>
      <c r="K257">
        <v>166978.4</v>
      </c>
      <c r="L257">
        <v>100478.39999999999</v>
      </c>
      <c r="M257" t="s">
        <v>2106</v>
      </c>
      <c r="N257" t="s">
        <v>2107</v>
      </c>
      <c r="O257" t="str">
        <f>_xlfn.IFNA(VLOOKUP(Table1[[#This Row],[Lead Source]],'helper tab'!A:B,2,FALSE),"Exclude")</f>
        <v>Alliances</v>
      </c>
      <c r="P257" s="422">
        <f t="shared" si="33"/>
        <v>46087.324305555558</v>
      </c>
      <c r="Q257">
        <f t="shared" si="34"/>
        <v>0</v>
      </c>
      <c r="R257">
        <f t="shared" si="35"/>
        <v>0</v>
      </c>
      <c r="S257">
        <f>IF(
AND($Q257=1,$M257&lt;&gt;""),
IF(
COUNTIFS(
$M$3:$M257,$M257,
$O$3:$O257,$O257,
$Q$3:$Q257,1,
$P$3:$P257,"&gt;="&amp;EOMONTH($P257,-1)+1,
$P$3:$P257,"&lt;"&amp;EOMONTH($P257,0)+1
)=1,
1,
0),
0)</f>
        <v>0</v>
      </c>
      <c r="T257">
        <f>IF(AND($R257=1,$M257&lt;&gt;""),IF(COUNTIFS($M$3:$M257,$M257,$O$3:$O257,$O257,$R$3:$R257,1,$P$3:$P257,"&gt;="&amp;EOMONTH($P257,-1)+1,$P$3:$P257,"&lt;"&amp;EOMONTH($P257,0)+1)=1,1,0),0)</f>
        <v>0</v>
      </c>
      <c r="U257">
        <f t="shared" si="36"/>
        <v>0</v>
      </c>
      <c r="V257">
        <f>IF(AND($U257=1,$M257&lt;&gt;""),IF(COUNTIFS($M$3:$M257,$M257,$O$3:$O257,$O257,$U$3:$U257,1,$P$3:$P257,"&gt;="&amp;EOMONTH($P257,-1)+1,$P$3:$P257,"&lt;"&amp;EOMONTH($P257,0)+1)=1,1,0),0)</f>
        <v>0</v>
      </c>
      <c r="W257" s="444">
        <f ca="1">TODAY()-Table1[[#This Row],[Change Date]]</f>
        <v>170.67569444444234</v>
      </c>
      <c r="X257" s="422">
        <f t="shared" si="37"/>
        <v>46112.295138888891</v>
      </c>
      <c r="Y257" s="476">
        <f ca="1">IF(Table1[[#This Row],[Next Stage Date]]&lt;&gt;"",Table1[[#This Row],[Next Stage Date]]-Table1[[#This Row],[Change Date]],TODAY()-Table1[[#This Row],[Change Date]])</f>
        <v>24.970833333332848</v>
      </c>
      <c r="Z257" s="476">
        <f t="shared" si="38"/>
        <v>0</v>
      </c>
      <c r="AA257" s="422">
        <f t="shared" si="39"/>
        <v>46112.43472222222</v>
      </c>
      <c r="AB257" s="422">
        <f t="shared" si="40"/>
        <v>46058.530555555553</v>
      </c>
      <c r="AC257" s="476">
        <f t="shared" si="41"/>
        <v>205.53055555555329</v>
      </c>
      <c r="AD257" s="476">
        <f t="shared" si="42"/>
        <v>53.904166666667152</v>
      </c>
      <c r="AE257" s="476">
        <f t="shared" si="43"/>
        <v>259.43472222222044</v>
      </c>
      <c r="AF257" s="476" t="b">
        <f>IFERROR(_xlfn.XLOOKUP(Table1[[#This Row],[Opportunity ID]],'Aging Detail'!$H$14:$H$20,'Aging Detail'!$F$14:$F$20),TRUE)</f>
        <v>1</v>
      </c>
    </row>
    <row r="258" spans="1:32">
      <c r="A258" t="s">
        <v>1461</v>
      </c>
      <c r="B258" t="s">
        <v>338</v>
      </c>
      <c r="C258" t="s">
        <v>1469</v>
      </c>
      <c r="D258" t="s">
        <v>2200</v>
      </c>
      <c r="E258" t="s">
        <v>2201</v>
      </c>
      <c r="F258" t="s">
        <v>1468</v>
      </c>
      <c r="I258" s="422">
        <v>45838</v>
      </c>
      <c r="J258" s="422">
        <v>46386</v>
      </c>
      <c r="K258">
        <v>114000</v>
      </c>
      <c r="L258">
        <v>114000</v>
      </c>
      <c r="M258" t="s">
        <v>2202</v>
      </c>
      <c r="N258" t="s">
        <v>2203</v>
      </c>
      <c r="O258" t="str">
        <f>_xlfn.IFNA(VLOOKUP(Table1[[#This Row],[Lead Source]],'helper tab'!A:B,2,FALSE),"Exclude")</f>
        <v>Events</v>
      </c>
      <c r="P258" s="422">
        <f t="shared" si="33"/>
        <v>46083.383333333331</v>
      </c>
      <c r="Q258">
        <f t="shared" si="34"/>
        <v>0</v>
      </c>
      <c r="R258">
        <f t="shared" si="35"/>
        <v>0</v>
      </c>
      <c r="S258">
        <f>IF(
AND($Q258=1,$M258&lt;&gt;""),
IF(
COUNTIFS(
$M$3:$M258,$M258,
$O$3:$O258,$O258,
$Q$3:$Q258,1,
$P$3:$P258,"&gt;="&amp;EOMONTH($P258,-1)+1,
$P$3:$P258,"&lt;"&amp;EOMONTH($P258,0)+1
)=1,
1,
0),
0)</f>
        <v>0</v>
      </c>
      <c r="T258">
        <f>IF(AND($R258=1,$M258&lt;&gt;""),IF(COUNTIFS($M$3:$M258,$M258,$O$3:$O258,$O258,$R$3:$R258,1,$P$3:$P258,"&gt;="&amp;EOMONTH($P258,-1)+1,$P$3:$P258,"&lt;"&amp;EOMONTH($P258,0)+1)=1,1,0),0)</f>
        <v>0</v>
      </c>
      <c r="U258">
        <f t="shared" si="36"/>
        <v>1</v>
      </c>
      <c r="V258">
        <f>IF(AND($U258=1,$M258&lt;&gt;""),IF(COUNTIFS($M$3:$M258,$M258,$O$3:$O258,$O258,$U$3:$U258,1,$P$3:$P258,"&gt;="&amp;EOMONTH($P258,-1)+1,$P$3:$P258,"&lt;"&amp;EOMONTH($P258,0)+1)=1,1,0),0)</f>
        <v>1</v>
      </c>
      <c r="W258" s="444">
        <f ca="1">TODAY()-Table1[[#This Row],[Change Date]]</f>
        <v>174.61666666666861</v>
      </c>
      <c r="X258" s="422" t="str">
        <f t="shared" si="37"/>
        <v/>
      </c>
      <c r="Y258" s="476">
        <f ca="1">IF(Table1[[#This Row],[Next Stage Date]]&lt;&gt;"",Table1[[#This Row],[Next Stage Date]]-Table1[[#This Row],[Change Date]],TODAY()-Table1[[#This Row],[Change Date]])</f>
        <v>174.61666666666861</v>
      </c>
      <c r="Z258" s="476">
        <f t="shared" si="38"/>
        <v>1</v>
      </c>
      <c r="AA258" s="422" t="str">
        <f t="shared" si="39"/>
        <v/>
      </c>
      <c r="AB258" s="422" t="str">
        <f t="shared" si="40"/>
        <v/>
      </c>
      <c r="AC258" s="476" t="str">
        <f t="shared" si="41"/>
        <v/>
      </c>
      <c r="AD258" s="476" t="str">
        <f t="shared" si="42"/>
        <v/>
      </c>
      <c r="AE258" s="476" t="str">
        <f t="shared" si="43"/>
        <v/>
      </c>
      <c r="AF258" s="476" t="b">
        <f>IFERROR(_xlfn.XLOOKUP(Table1[[#This Row],[Opportunity ID]],'Aging Detail'!$H$14:$H$20,'Aging Detail'!$F$14:$F$20),TRUE)</f>
        <v>1</v>
      </c>
    </row>
    <row r="259" spans="1:32">
      <c r="A259" t="s">
        <v>1461</v>
      </c>
      <c r="B259" t="s">
        <v>462</v>
      </c>
      <c r="C259" t="s">
        <v>526</v>
      </c>
      <c r="D259" t="s">
        <v>2204</v>
      </c>
      <c r="E259" t="s">
        <v>2142</v>
      </c>
      <c r="F259" t="s">
        <v>148</v>
      </c>
      <c r="H259" t="s">
        <v>169</v>
      </c>
      <c r="I259" s="422">
        <v>46031</v>
      </c>
      <c r="J259" s="422">
        <v>46101</v>
      </c>
      <c r="K259">
        <v>144000</v>
      </c>
      <c r="L259">
        <v>144000</v>
      </c>
      <c r="M259" t="s">
        <v>2143</v>
      </c>
      <c r="N259" t="s">
        <v>1667</v>
      </c>
      <c r="O259" t="str">
        <f>_xlfn.IFNA(VLOOKUP(Table1[[#This Row],[Lead Source]],'helper tab'!A:B,2,FALSE),"Exclude")</f>
        <v>Alliances</v>
      </c>
      <c r="P259" s="422">
        <f t="shared" ref="P259:P322" si="44">--SUBSTITUTE(D259,",","")</f>
        <v>46083.37777777778</v>
      </c>
      <c r="Q259">
        <f t="shared" ref="Q259:Q322" si="45">IF(OR($C259="Propose",$C259="Procure"),1,0)</f>
        <v>1</v>
      </c>
      <c r="R259">
        <f t="shared" ref="R259:R322" si="46">IF($C259="Closed Won",1,0)</f>
        <v>0</v>
      </c>
      <c r="S259">
        <f>IF(
AND($Q259=1,$M259&lt;&gt;""),
IF(
COUNTIFS(
$M$3:$M259,$M259,
$O$3:$O259,$O259,
$Q$3:$Q259,1,
$P$3:$P259,"&gt;="&amp;EOMONTH($P259,-1)+1,
$P$3:$P259,"&lt;"&amp;EOMONTH($P259,0)+1
)=1,
1,
0),
0)</f>
        <v>1</v>
      </c>
      <c r="T259">
        <f>IF(AND($R259=1,$M259&lt;&gt;""),IF(COUNTIFS($M$3:$M259,$M259,$O$3:$O259,$O259,$R$3:$R259,1,$P$3:$P259,"&gt;="&amp;EOMONTH($P259,-1)+1,$P$3:$P259,"&lt;"&amp;EOMONTH($P259,0)+1)=1,1,0),0)</f>
        <v>0</v>
      </c>
      <c r="U259">
        <f t="shared" ref="U259:U322" si="47">IF($C259="Closed Lost",1,0)</f>
        <v>0</v>
      </c>
      <c r="V259">
        <f>IF(AND($U259=1,$M259&lt;&gt;""),IF(COUNTIFS($M$3:$M259,$M259,$O$3:$O259,$O259,$U$3:$U259,1,$P$3:$P259,"&gt;="&amp;EOMONTH($P259,-1)+1,$P$3:$P259,"&lt;"&amp;EOMONTH($P259,0)+1)=1,1,0),0)</f>
        <v>0</v>
      </c>
      <c r="W259" s="444">
        <f ca="1">TODAY()-Table1[[#This Row],[Change Date]]</f>
        <v>174.62222222222044</v>
      </c>
      <c r="X259" s="422">
        <f t="shared" ref="X259:X322" si="48">IFERROR(
IF(
COUNTIFS($M:$M,$M259,$P:$P,"&gt;"&amp;$P259)=0,
"",
_xlfn.MINIFS($P:$P,$M:$M,$M259,$P:$P,"&gt;"&amp;$P259)
),
""
)</f>
        <v>46101.550694444442</v>
      </c>
      <c r="Y259" s="476">
        <f ca="1">IF(Table1[[#This Row],[Next Stage Date]]&lt;&gt;"",Table1[[#This Row],[Next Stage Date]]-Table1[[#This Row],[Change Date]],TODAY()-Table1[[#This Row],[Change Date]])</f>
        <v>18.172916666662786</v>
      </c>
      <c r="Z259" s="476">
        <f t="shared" ref="Z259:Z322" si="49">IF(P259=_xlfn.MAXIFS($P:$P,$M:$M,$M259),1,0)</f>
        <v>0</v>
      </c>
      <c r="AA259" s="422">
        <f t="shared" ref="AA259:AA322" si="50">IF(
COUNTIFS($M:$M,$M259,$C:$C,"Closed Won")=0,
"",
_xlfn.MINIFS($P:$P,$M:$M,$M259,$C:$C,"Closed Won")
)</f>
        <v>46101.550694444442</v>
      </c>
      <c r="AB259" s="422">
        <f t="shared" ref="AB259:AB322" si="51">IF(
COUNTIFS($M:$M,$M259,$Q:$Q,1)=0,
"",
_xlfn.MINIFS($P:$P,$M:$M,$M259,$Q:$Q,1)
)</f>
        <v>46083.37777777778</v>
      </c>
      <c r="AC259" s="476">
        <f t="shared" ref="AC259:AC322" si="52">IF(AB259&lt;&gt;"",AB259-I259,"")</f>
        <v>52.377777777779556</v>
      </c>
      <c r="AD259" s="476">
        <f t="shared" ref="AD259:AD322" si="53">IF(AND(AB259&lt;&gt;"",AA259&lt;&gt;""),AA259-AB259,"")</f>
        <v>18.172916666662786</v>
      </c>
      <c r="AE259" s="476">
        <f t="shared" ref="AE259:AE322" si="54">IF(AA259&lt;&gt;"",AA259-I259,"")</f>
        <v>70.550694444442343</v>
      </c>
      <c r="AF259" s="476" t="b">
        <f>IFERROR(_xlfn.XLOOKUP(Table1[[#This Row],[Opportunity ID]],'Aging Detail'!$H$14:$H$20,'Aging Detail'!$F$14:$F$20),TRUE)</f>
        <v>1</v>
      </c>
    </row>
    <row r="260" spans="1:32">
      <c r="A260" t="s">
        <v>1461</v>
      </c>
      <c r="B260" t="s">
        <v>1462</v>
      </c>
      <c r="C260" t="s">
        <v>462</v>
      </c>
      <c r="D260" t="s">
        <v>2204</v>
      </c>
      <c r="E260" t="s">
        <v>2142</v>
      </c>
      <c r="F260" t="s">
        <v>148</v>
      </c>
      <c r="H260" t="s">
        <v>169</v>
      </c>
      <c r="I260" s="422">
        <v>46031</v>
      </c>
      <c r="J260" s="422">
        <v>46101</v>
      </c>
      <c r="K260">
        <v>144000</v>
      </c>
      <c r="L260">
        <v>144000</v>
      </c>
      <c r="M260" t="s">
        <v>2143</v>
      </c>
      <c r="N260" t="s">
        <v>1667</v>
      </c>
      <c r="O260" t="str">
        <f>_xlfn.IFNA(VLOOKUP(Table1[[#This Row],[Lead Source]],'helper tab'!A:B,2,FALSE),"Exclude")</f>
        <v>Alliances</v>
      </c>
      <c r="P260" s="422">
        <f t="shared" si="44"/>
        <v>46083.37777777778</v>
      </c>
      <c r="Q260">
        <f t="shared" si="45"/>
        <v>1</v>
      </c>
      <c r="R260">
        <f t="shared" si="46"/>
        <v>0</v>
      </c>
      <c r="S260">
        <f>IF(
AND($Q260=1,$M260&lt;&gt;""),
IF(
COUNTIFS(
$M$3:$M260,$M260,
$O$3:$O260,$O260,
$Q$3:$Q260,1,
$P$3:$P260,"&gt;="&amp;EOMONTH($P260,-1)+1,
$P$3:$P260,"&lt;"&amp;EOMONTH($P260,0)+1
)=1,
1,
0),
0)</f>
        <v>0</v>
      </c>
      <c r="T260">
        <f>IF(AND($R260=1,$M260&lt;&gt;""),IF(COUNTIFS($M$3:$M260,$M260,$O$3:$O260,$O260,$R$3:$R260,1,$P$3:$P260,"&gt;="&amp;EOMONTH($P260,-1)+1,$P$3:$P260,"&lt;"&amp;EOMONTH($P260,0)+1)=1,1,0),0)</f>
        <v>0</v>
      </c>
      <c r="U260">
        <f t="shared" si="47"/>
        <v>0</v>
      </c>
      <c r="V260">
        <f>IF(AND($U260=1,$M260&lt;&gt;""),IF(COUNTIFS($M$3:$M260,$M260,$O$3:$O260,$O260,$U$3:$U260,1,$P$3:$P260,"&gt;="&amp;EOMONTH($P260,-1)+1,$P$3:$P260,"&lt;"&amp;EOMONTH($P260,0)+1)=1,1,0),0)</f>
        <v>0</v>
      </c>
      <c r="W260" s="444">
        <f ca="1">TODAY()-Table1[[#This Row],[Change Date]]</f>
        <v>174.62222222222044</v>
      </c>
      <c r="X260" s="422">
        <f t="shared" si="48"/>
        <v>46101.550694444442</v>
      </c>
      <c r="Y260" s="476">
        <f ca="1">IF(Table1[[#This Row],[Next Stage Date]]&lt;&gt;"",Table1[[#This Row],[Next Stage Date]]-Table1[[#This Row],[Change Date]],TODAY()-Table1[[#This Row],[Change Date]])</f>
        <v>18.172916666662786</v>
      </c>
      <c r="Z260" s="476">
        <f t="shared" si="49"/>
        <v>0</v>
      </c>
      <c r="AA260" s="422">
        <f t="shared" si="50"/>
        <v>46101.550694444442</v>
      </c>
      <c r="AB260" s="422">
        <f t="shared" si="51"/>
        <v>46083.37777777778</v>
      </c>
      <c r="AC260" s="476">
        <f t="shared" si="52"/>
        <v>52.377777777779556</v>
      </c>
      <c r="AD260" s="476">
        <f t="shared" si="53"/>
        <v>18.172916666662786</v>
      </c>
      <c r="AE260" s="476">
        <f t="shared" si="54"/>
        <v>70.550694444442343</v>
      </c>
      <c r="AF260" s="476" t="b">
        <f>IFERROR(_xlfn.XLOOKUP(Table1[[#This Row],[Opportunity ID]],'Aging Detail'!$H$14:$H$20,'Aging Detail'!$F$14:$F$20),TRUE)</f>
        <v>1</v>
      </c>
    </row>
    <row r="261" spans="1:32">
      <c r="A261" t="s">
        <v>1461</v>
      </c>
      <c r="B261" t="s">
        <v>408</v>
      </c>
      <c r="C261" t="s">
        <v>1462</v>
      </c>
      <c r="D261" t="s">
        <v>2205</v>
      </c>
      <c r="E261" t="s">
        <v>2142</v>
      </c>
      <c r="F261" t="s">
        <v>148</v>
      </c>
      <c r="H261" t="s">
        <v>169</v>
      </c>
      <c r="I261" s="422">
        <v>46031</v>
      </c>
      <c r="J261" s="422">
        <v>46101</v>
      </c>
      <c r="K261">
        <v>144000</v>
      </c>
      <c r="L261">
        <v>144000</v>
      </c>
      <c r="M261" t="s">
        <v>2143</v>
      </c>
      <c r="N261" t="s">
        <v>1667</v>
      </c>
      <c r="O261" t="str">
        <f>_xlfn.IFNA(VLOOKUP(Table1[[#This Row],[Lead Source]],'helper tab'!A:B,2,FALSE),"Exclude")</f>
        <v>Alliances</v>
      </c>
      <c r="P261" s="422">
        <f t="shared" si="44"/>
        <v>46083.377083333333</v>
      </c>
      <c r="Q261">
        <f t="shared" si="45"/>
        <v>0</v>
      </c>
      <c r="R261">
        <f t="shared" si="46"/>
        <v>0</v>
      </c>
      <c r="S261">
        <f>IF(
AND($Q261=1,$M261&lt;&gt;""),
IF(
COUNTIFS(
$M$3:$M261,$M261,
$O$3:$O261,$O261,
$Q$3:$Q261,1,
$P$3:$P261,"&gt;="&amp;EOMONTH($P261,-1)+1,
$P$3:$P261,"&lt;"&amp;EOMONTH($P261,0)+1
)=1,
1,
0),
0)</f>
        <v>0</v>
      </c>
      <c r="T261">
        <f>IF(AND($R261=1,$M261&lt;&gt;""),IF(COUNTIFS($M$3:$M261,$M261,$O$3:$O261,$O261,$R$3:$R261,1,$P$3:$P261,"&gt;="&amp;EOMONTH($P261,-1)+1,$P$3:$P261,"&lt;"&amp;EOMONTH($P261,0)+1)=1,1,0),0)</f>
        <v>0</v>
      </c>
      <c r="U261">
        <f t="shared" si="47"/>
        <v>0</v>
      </c>
      <c r="V261">
        <f>IF(AND($U261=1,$M261&lt;&gt;""),IF(COUNTIFS($M$3:$M261,$M261,$O$3:$O261,$O261,$U$3:$U261,1,$P$3:$P261,"&gt;="&amp;EOMONTH($P261,-1)+1,$P$3:$P261,"&lt;"&amp;EOMONTH($P261,0)+1)=1,1,0),0)</f>
        <v>0</v>
      </c>
      <c r="W261" s="444">
        <f ca="1">TODAY()-Table1[[#This Row],[Change Date]]</f>
        <v>174.62291666666715</v>
      </c>
      <c r="X261" s="422">
        <f t="shared" si="48"/>
        <v>46083.37777777778</v>
      </c>
      <c r="Y261" s="476">
        <f ca="1">IF(Table1[[#This Row],[Next Stage Date]]&lt;&gt;"",Table1[[#This Row],[Next Stage Date]]-Table1[[#This Row],[Change Date]],TODAY()-Table1[[#This Row],[Change Date]])</f>
        <v>6.944444467080757E-4</v>
      </c>
      <c r="Z261" s="476">
        <f t="shared" si="49"/>
        <v>0</v>
      </c>
      <c r="AA261" s="422">
        <f t="shared" si="50"/>
        <v>46101.550694444442</v>
      </c>
      <c r="AB261" s="422">
        <f t="shared" si="51"/>
        <v>46083.37777777778</v>
      </c>
      <c r="AC261" s="476">
        <f t="shared" si="52"/>
        <v>52.377777777779556</v>
      </c>
      <c r="AD261" s="476">
        <f t="shared" si="53"/>
        <v>18.172916666662786</v>
      </c>
      <c r="AE261" s="476">
        <f t="shared" si="54"/>
        <v>70.550694444442343</v>
      </c>
      <c r="AF261" s="476" t="b">
        <f>IFERROR(_xlfn.XLOOKUP(Table1[[#This Row],[Opportunity ID]],'Aging Detail'!$H$14:$H$20,'Aging Detail'!$F$14:$F$20),TRUE)</f>
        <v>1</v>
      </c>
    </row>
    <row r="262" spans="1:32">
      <c r="A262" t="s">
        <v>1461</v>
      </c>
      <c r="B262" t="s">
        <v>408</v>
      </c>
      <c r="C262" t="s">
        <v>1469</v>
      </c>
      <c r="D262" t="s">
        <v>2206</v>
      </c>
      <c r="E262" t="s">
        <v>2207</v>
      </c>
      <c r="F262" t="s">
        <v>1478</v>
      </c>
      <c r="I262" s="422">
        <v>45835</v>
      </c>
      <c r="J262" s="422">
        <v>46199</v>
      </c>
      <c r="K262">
        <v>50000</v>
      </c>
      <c r="L262">
        <v>50000</v>
      </c>
      <c r="M262" t="s">
        <v>2208</v>
      </c>
      <c r="N262" t="s">
        <v>2203</v>
      </c>
      <c r="O262" t="str">
        <f>_xlfn.IFNA(VLOOKUP(Table1[[#This Row],[Lead Source]],'helper tab'!A:B,2,FALSE),"Exclude")</f>
        <v>Digital</v>
      </c>
      <c r="P262" s="422">
        <f t="shared" si="44"/>
        <v>46083.368750000001</v>
      </c>
      <c r="Q262">
        <f t="shared" si="45"/>
        <v>0</v>
      </c>
      <c r="R262">
        <f t="shared" si="46"/>
        <v>0</v>
      </c>
      <c r="S262">
        <f>IF(
AND($Q262=1,$M262&lt;&gt;""),
IF(
COUNTIFS(
$M$3:$M262,$M262,
$O$3:$O262,$O262,
$Q$3:$Q262,1,
$P$3:$P262,"&gt;="&amp;EOMONTH($P262,-1)+1,
$P$3:$P262,"&lt;"&amp;EOMONTH($P262,0)+1
)=1,
1,
0),
0)</f>
        <v>0</v>
      </c>
      <c r="T262">
        <f>IF(AND($R262=1,$M262&lt;&gt;""),IF(COUNTIFS($M$3:$M262,$M262,$O$3:$O262,$O262,$R$3:$R262,1,$P$3:$P262,"&gt;="&amp;EOMONTH($P262,-1)+1,$P$3:$P262,"&lt;"&amp;EOMONTH($P262,0)+1)=1,1,0),0)</f>
        <v>0</v>
      </c>
      <c r="U262">
        <f t="shared" si="47"/>
        <v>1</v>
      </c>
      <c r="V262">
        <f>IF(AND($U262=1,$M262&lt;&gt;""),IF(COUNTIFS($M$3:$M262,$M262,$O$3:$O262,$O262,$U$3:$U262,1,$P$3:$P262,"&gt;="&amp;EOMONTH($P262,-1)+1,$P$3:$P262,"&lt;"&amp;EOMONTH($P262,0)+1)=1,1,0),0)</f>
        <v>1</v>
      </c>
      <c r="W262" s="444">
        <f ca="1">TODAY()-Table1[[#This Row],[Change Date]]</f>
        <v>174.63124999999854</v>
      </c>
      <c r="X262" s="422" t="str">
        <f t="shared" si="48"/>
        <v/>
      </c>
      <c r="Y262" s="476">
        <f ca="1">IF(Table1[[#This Row],[Next Stage Date]]&lt;&gt;"",Table1[[#This Row],[Next Stage Date]]-Table1[[#This Row],[Change Date]],TODAY()-Table1[[#This Row],[Change Date]])</f>
        <v>174.63124999999854</v>
      </c>
      <c r="Z262" s="476">
        <f t="shared" si="49"/>
        <v>1</v>
      </c>
      <c r="AA262" s="422" t="str">
        <f t="shared" si="50"/>
        <v/>
      </c>
      <c r="AB262" s="422" t="str">
        <f t="shared" si="51"/>
        <v/>
      </c>
      <c r="AC262" s="476" t="str">
        <f t="shared" si="52"/>
        <v/>
      </c>
      <c r="AD262" s="476" t="str">
        <f t="shared" si="53"/>
        <v/>
      </c>
      <c r="AE262" s="476" t="str">
        <f t="shared" si="54"/>
        <v/>
      </c>
      <c r="AF262" s="476" t="b">
        <f>IFERROR(_xlfn.XLOOKUP(Table1[[#This Row],[Opportunity ID]],'Aging Detail'!$H$14:$H$20,'Aging Detail'!$F$14:$F$20),TRUE)</f>
        <v>1</v>
      </c>
    </row>
    <row r="263" spans="1:32">
      <c r="A263" t="s">
        <v>1461</v>
      </c>
      <c r="B263" t="s">
        <v>408</v>
      </c>
      <c r="C263" t="s">
        <v>1462</v>
      </c>
      <c r="D263" t="s">
        <v>2209</v>
      </c>
      <c r="E263" t="s">
        <v>1990</v>
      </c>
      <c r="F263" t="s">
        <v>1465</v>
      </c>
      <c r="I263" s="422">
        <v>45968</v>
      </c>
      <c r="J263" s="422">
        <v>46142</v>
      </c>
      <c r="K263">
        <v>0</v>
      </c>
      <c r="L263">
        <v>0</v>
      </c>
      <c r="M263" t="s">
        <v>1991</v>
      </c>
      <c r="N263" t="s">
        <v>1992</v>
      </c>
      <c r="O263" t="str">
        <f>_xlfn.IFNA(VLOOKUP(Table1[[#This Row],[Lead Source]],'helper tab'!A:B,2,FALSE),"Exclude")</f>
        <v>Exclude</v>
      </c>
      <c r="P263" s="422">
        <f t="shared" si="44"/>
        <v>46080.672222222223</v>
      </c>
      <c r="Q263">
        <f t="shared" si="45"/>
        <v>0</v>
      </c>
      <c r="R263">
        <f t="shared" si="46"/>
        <v>0</v>
      </c>
      <c r="S263">
        <f>IF(
AND($Q263=1,$M263&lt;&gt;""),
IF(
COUNTIFS(
$M$3:$M263,$M263,
$O$3:$O263,$O263,
$Q$3:$Q263,1,
$P$3:$P263,"&gt;="&amp;EOMONTH($P263,-1)+1,
$P$3:$P263,"&lt;"&amp;EOMONTH($P263,0)+1
)=1,
1,
0),
0)</f>
        <v>0</v>
      </c>
      <c r="T263">
        <f>IF(AND($R263=1,$M263&lt;&gt;""),IF(COUNTIFS($M$3:$M263,$M263,$O$3:$O263,$O263,$R$3:$R263,1,$P$3:$P263,"&gt;="&amp;EOMONTH($P263,-1)+1,$P$3:$P263,"&lt;"&amp;EOMONTH($P263,0)+1)=1,1,0),0)</f>
        <v>0</v>
      </c>
      <c r="U263">
        <f t="shared" si="47"/>
        <v>0</v>
      </c>
      <c r="V263">
        <f>IF(AND($U263=1,$M263&lt;&gt;""),IF(COUNTIFS($M$3:$M263,$M263,$O$3:$O263,$O263,$U$3:$U263,1,$P$3:$P263,"&gt;="&amp;EOMONTH($P263,-1)+1,$P$3:$P263,"&lt;"&amp;EOMONTH($P263,0)+1)=1,1,0),0)</f>
        <v>0</v>
      </c>
      <c r="W263" s="444">
        <f ca="1">TODAY()-Table1[[#This Row],[Change Date]]</f>
        <v>177.32777777777665</v>
      </c>
      <c r="X263" s="422">
        <f t="shared" si="48"/>
        <v>46142.849305555559</v>
      </c>
      <c r="Y263" s="476">
        <f ca="1">IF(Table1[[#This Row],[Next Stage Date]]&lt;&gt;"",Table1[[#This Row],[Next Stage Date]]-Table1[[#This Row],[Change Date]],TODAY()-Table1[[#This Row],[Change Date]])</f>
        <v>62.177083333335759</v>
      </c>
      <c r="Z263" s="476">
        <f t="shared" si="49"/>
        <v>0</v>
      </c>
      <c r="AA263" s="422">
        <f t="shared" si="50"/>
        <v>46143.486805555556</v>
      </c>
      <c r="AB263" s="422">
        <f t="shared" si="51"/>
        <v>46142.849305555559</v>
      </c>
      <c r="AC263" s="476">
        <f t="shared" si="52"/>
        <v>174.84930555555911</v>
      </c>
      <c r="AD263" s="476">
        <f t="shared" si="53"/>
        <v>0.63749999999708962</v>
      </c>
      <c r="AE263" s="476">
        <f t="shared" si="54"/>
        <v>175.4868055555562</v>
      </c>
      <c r="AF263" s="476" t="b">
        <f>IFERROR(_xlfn.XLOOKUP(Table1[[#This Row],[Opportunity ID]],'Aging Detail'!$H$14:$H$20,'Aging Detail'!$F$14:$F$20),TRUE)</f>
        <v>1</v>
      </c>
    </row>
    <row r="264" spans="1:32">
      <c r="A264" t="s">
        <v>1461</v>
      </c>
      <c r="B264" t="s">
        <v>462</v>
      </c>
      <c r="C264" t="s">
        <v>526</v>
      </c>
      <c r="D264" t="s">
        <v>2210</v>
      </c>
      <c r="E264" t="s">
        <v>2132</v>
      </c>
      <c r="F264" t="s">
        <v>1465</v>
      </c>
      <c r="I264" s="422">
        <v>45922</v>
      </c>
      <c r="J264" s="422">
        <v>46108</v>
      </c>
      <c r="K264">
        <v>0</v>
      </c>
      <c r="L264">
        <v>0</v>
      </c>
      <c r="M264" t="s">
        <v>2133</v>
      </c>
      <c r="N264" t="s">
        <v>143</v>
      </c>
      <c r="O264" t="str">
        <f>_xlfn.IFNA(VLOOKUP(Table1[[#This Row],[Lead Source]],'helper tab'!A:B,2,FALSE),"Exclude")</f>
        <v>Exclude</v>
      </c>
      <c r="P264" s="422">
        <f t="shared" si="44"/>
        <v>46080.67083333333</v>
      </c>
      <c r="Q264">
        <f t="shared" si="45"/>
        <v>1</v>
      </c>
      <c r="R264">
        <f t="shared" si="46"/>
        <v>0</v>
      </c>
      <c r="S264">
        <f>IF(
AND($Q264=1,$M264&lt;&gt;""),
IF(
COUNTIFS(
$M$3:$M264,$M264,
$O$3:$O264,$O264,
$Q$3:$Q264,1,
$P$3:$P264,"&gt;="&amp;EOMONTH($P264,-1)+1,
$P$3:$P264,"&lt;"&amp;EOMONTH($P264,0)+1
)=1,
1,
0),
0)</f>
        <v>1</v>
      </c>
      <c r="T264">
        <f>IF(AND($R264=1,$M264&lt;&gt;""),IF(COUNTIFS($M$3:$M264,$M264,$O$3:$O264,$O264,$R$3:$R264,1,$P$3:$P264,"&gt;="&amp;EOMONTH($P264,-1)+1,$P$3:$P264,"&lt;"&amp;EOMONTH($P264,0)+1)=1,1,0),0)</f>
        <v>0</v>
      </c>
      <c r="U264">
        <f t="shared" si="47"/>
        <v>0</v>
      </c>
      <c r="V264">
        <f>IF(AND($U264=1,$M264&lt;&gt;""),IF(COUNTIFS($M$3:$M264,$M264,$O$3:$O264,$O264,$U$3:$U264,1,$P$3:$P264,"&gt;="&amp;EOMONTH($P264,-1)+1,$P$3:$P264,"&lt;"&amp;EOMONTH($P264,0)+1)=1,1,0),0)</f>
        <v>0</v>
      </c>
      <c r="W264" s="444">
        <f ca="1">TODAY()-Table1[[#This Row],[Change Date]]</f>
        <v>177.32916666667006</v>
      </c>
      <c r="X264" s="422">
        <f t="shared" si="48"/>
        <v>46108.496527777781</v>
      </c>
      <c r="Y264" s="476">
        <f ca="1">IF(Table1[[#This Row],[Next Stage Date]]&lt;&gt;"",Table1[[#This Row],[Next Stage Date]]-Table1[[#This Row],[Change Date]],TODAY()-Table1[[#This Row],[Change Date]])</f>
        <v>27.825694444451074</v>
      </c>
      <c r="Z264" s="476">
        <f t="shared" si="49"/>
        <v>0</v>
      </c>
      <c r="AA264" s="422" t="str">
        <f t="shared" si="50"/>
        <v/>
      </c>
      <c r="AB264" s="422">
        <f t="shared" si="51"/>
        <v>45933.311805555553</v>
      </c>
      <c r="AC264" s="476">
        <f t="shared" si="52"/>
        <v>11.311805555553292</v>
      </c>
      <c r="AD264" s="476" t="str">
        <f t="shared" si="53"/>
        <v/>
      </c>
      <c r="AE264" s="476" t="str">
        <f t="shared" si="54"/>
        <v/>
      </c>
      <c r="AF264" s="476" t="b">
        <f>IFERROR(_xlfn.XLOOKUP(Table1[[#This Row],[Opportunity ID]],'Aging Detail'!$H$14:$H$20,'Aging Detail'!$F$14:$F$20),TRUE)</f>
        <v>1</v>
      </c>
    </row>
    <row r="265" spans="1:32">
      <c r="A265" t="s">
        <v>1461</v>
      </c>
      <c r="B265" t="s">
        <v>408</v>
      </c>
      <c r="C265" t="s">
        <v>1469</v>
      </c>
      <c r="D265" t="s">
        <v>2211</v>
      </c>
      <c r="E265" t="s">
        <v>2212</v>
      </c>
      <c r="F265" t="s">
        <v>148</v>
      </c>
      <c r="H265" t="s">
        <v>2037</v>
      </c>
      <c r="I265" s="422">
        <v>45548</v>
      </c>
      <c r="J265" s="422">
        <v>46346</v>
      </c>
      <c r="K265">
        <v>1052000</v>
      </c>
      <c r="L265">
        <v>792000</v>
      </c>
      <c r="M265" t="s">
        <v>2213</v>
      </c>
      <c r="N265" t="s">
        <v>2214</v>
      </c>
      <c r="O265" t="str">
        <f>_xlfn.IFNA(VLOOKUP(Table1[[#This Row],[Lead Source]],'helper tab'!A:B,2,FALSE),"Exclude")</f>
        <v>Alliances</v>
      </c>
      <c r="P265" s="422">
        <f t="shared" si="44"/>
        <v>46080.520138888889</v>
      </c>
      <c r="Q265">
        <f t="shared" si="45"/>
        <v>0</v>
      </c>
      <c r="R265">
        <f t="shared" si="46"/>
        <v>0</v>
      </c>
      <c r="S265">
        <f>IF(
AND($Q265=1,$M265&lt;&gt;""),
IF(
COUNTIFS(
$M$3:$M265,$M265,
$O$3:$O265,$O265,
$Q$3:$Q265,1,
$P$3:$P265,"&gt;="&amp;EOMONTH($P265,-1)+1,
$P$3:$P265,"&lt;"&amp;EOMONTH($P265,0)+1
)=1,
1,
0),
0)</f>
        <v>0</v>
      </c>
      <c r="T265">
        <f>IF(AND($R265=1,$M265&lt;&gt;""),IF(COUNTIFS($M$3:$M265,$M265,$O$3:$O265,$O265,$R$3:$R265,1,$P$3:$P265,"&gt;="&amp;EOMONTH($P265,-1)+1,$P$3:$P265,"&lt;"&amp;EOMONTH($P265,0)+1)=1,1,0),0)</f>
        <v>0</v>
      </c>
      <c r="U265">
        <f t="shared" si="47"/>
        <v>1</v>
      </c>
      <c r="V265">
        <f>IF(AND($U265=1,$M265&lt;&gt;""),IF(COUNTIFS($M$3:$M265,$M265,$O$3:$O265,$O265,$U$3:$U265,1,$P$3:$P265,"&gt;="&amp;EOMONTH($P265,-1)+1,$P$3:$P265,"&lt;"&amp;EOMONTH($P265,0)+1)=1,1,0),0)</f>
        <v>1</v>
      </c>
      <c r="W265" s="444">
        <f ca="1">TODAY()-Table1[[#This Row],[Change Date]]</f>
        <v>177.47986111111095</v>
      </c>
      <c r="X265" s="422" t="str">
        <f t="shared" si="48"/>
        <v/>
      </c>
      <c r="Y265" s="476">
        <f ca="1">IF(Table1[[#This Row],[Next Stage Date]]&lt;&gt;"",Table1[[#This Row],[Next Stage Date]]-Table1[[#This Row],[Change Date]],TODAY()-Table1[[#This Row],[Change Date]])</f>
        <v>177.47986111111095</v>
      </c>
      <c r="Z265" s="476">
        <f t="shared" si="49"/>
        <v>1</v>
      </c>
      <c r="AA265" s="422" t="str">
        <f t="shared" si="50"/>
        <v/>
      </c>
      <c r="AB265" s="422" t="str">
        <f t="shared" si="51"/>
        <v/>
      </c>
      <c r="AC265" s="476" t="str">
        <f t="shared" si="52"/>
        <v/>
      </c>
      <c r="AD265" s="476" t="str">
        <f t="shared" si="53"/>
        <v/>
      </c>
      <c r="AE265" s="476" t="str">
        <f t="shared" si="54"/>
        <v/>
      </c>
      <c r="AF265" s="476" t="b">
        <f>IFERROR(_xlfn.XLOOKUP(Table1[[#This Row],[Opportunity ID]],'Aging Detail'!$H$14:$H$20,'Aging Detail'!$F$14:$F$20),TRUE)</f>
        <v>1</v>
      </c>
    </row>
    <row r="266" spans="1:32">
      <c r="A266" t="s">
        <v>1461</v>
      </c>
      <c r="B266" t="s">
        <v>408</v>
      </c>
      <c r="C266" t="s">
        <v>1462</v>
      </c>
      <c r="D266" t="s">
        <v>2215</v>
      </c>
      <c r="E266" t="s">
        <v>2216</v>
      </c>
      <c r="F266" t="s">
        <v>148</v>
      </c>
      <c r="H266" t="s">
        <v>1698</v>
      </c>
      <c r="I266" s="422">
        <v>46080</v>
      </c>
      <c r="J266" s="422">
        <v>46477</v>
      </c>
      <c r="K266">
        <v>28980</v>
      </c>
      <c r="L266">
        <v>28980</v>
      </c>
      <c r="M266" t="s">
        <v>2217</v>
      </c>
      <c r="N266" t="s">
        <v>2047</v>
      </c>
      <c r="O266" t="str">
        <f>_xlfn.IFNA(VLOOKUP(Table1[[#This Row],[Lead Source]],'helper tab'!A:B,2,FALSE),"Exclude")</f>
        <v>Alliances</v>
      </c>
      <c r="P266" s="422">
        <f t="shared" si="44"/>
        <v>46080.301388888889</v>
      </c>
      <c r="Q266">
        <f t="shared" si="45"/>
        <v>0</v>
      </c>
      <c r="R266">
        <f t="shared" si="46"/>
        <v>0</v>
      </c>
      <c r="S266">
        <f>IF(
AND($Q266=1,$M266&lt;&gt;""),
IF(
COUNTIFS(
$M$3:$M266,$M266,
$O$3:$O266,$O266,
$Q$3:$Q266,1,
$P$3:$P266,"&gt;="&amp;EOMONTH($P266,-1)+1,
$P$3:$P266,"&lt;"&amp;EOMONTH($P266,0)+1
)=1,
1,
0),
0)</f>
        <v>0</v>
      </c>
      <c r="T266">
        <f>IF(AND($R266=1,$M266&lt;&gt;""),IF(COUNTIFS($M$3:$M266,$M266,$O$3:$O266,$O266,$R$3:$R266,1,$P$3:$P266,"&gt;="&amp;EOMONTH($P266,-1)+1,$P$3:$P266,"&lt;"&amp;EOMONTH($P266,0)+1)=1,1,0),0)</f>
        <v>0</v>
      </c>
      <c r="U266">
        <f t="shared" si="47"/>
        <v>0</v>
      </c>
      <c r="V266">
        <f>IF(AND($U266=1,$M266&lt;&gt;""),IF(COUNTIFS($M$3:$M266,$M266,$O$3:$O266,$O266,$U$3:$U266,1,$P$3:$P266,"&gt;="&amp;EOMONTH($P266,-1)+1,$P$3:$P266,"&lt;"&amp;EOMONTH($P266,0)+1)=1,1,0),0)</f>
        <v>0</v>
      </c>
      <c r="W266" s="444">
        <f ca="1">TODAY()-Table1[[#This Row],[Change Date]]</f>
        <v>177.69861111111095</v>
      </c>
      <c r="X266" s="422" t="str">
        <f t="shared" si="48"/>
        <v/>
      </c>
      <c r="Y266" s="476">
        <f ca="1">IF(Table1[[#This Row],[Next Stage Date]]&lt;&gt;"",Table1[[#This Row],[Next Stage Date]]-Table1[[#This Row],[Change Date]],TODAY()-Table1[[#This Row],[Change Date]])</f>
        <v>177.69861111111095</v>
      </c>
      <c r="Z266" s="476">
        <f t="shared" si="49"/>
        <v>1</v>
      </c>
      <c r="AA266" s="422" t="str">
        <f t="shared" si="50"/>
        <v/>
      </c>
      <c r="AB266" s="422" t="str">
        <f t="shared" si="51"/>
        <v/>
      </c>
      <c r="AC266" s="476" t="str">
        <f t="shared" si="52"/>
        <v/>
      </c>
      <c r="AD266" s="476" t="str">
        <f t="shared" si="53"/>
        <v/>
      </c>
      <c r="AE266" s="476" t="str">
        <f t="shared" si="54"/>
        <v/>
      </c>
      <c r="AF266" s="476" t="b">
        <f>IFERROR(_xlfn.XLOOKUP(Table1[[#This Row],[Opportunity ID]],'Aging Detail'!$H$14:$H$20,'Aging Detail'!$F$14:$F$20),TRUE)</f>
        <v>1</v>
      </c>
    </row>
    <row r="267" spans="1:32">
      <c r="A267" t="s">
        <v>1461</v>
      </c>
      <c r="B267" t="s">
        <v>408</v>
      </c>
      <c r="C267" t="s">
        <v>1462</v>
      </c>
      <c r="D267" t="s">
        <v>2218</v>
      </c>
      <c r="E267" t="s">
        <v>2045</v>
      </c>
      <c r="F267" t="s">
        <v>148</v>
      </c>
      <c r="G267" t="s">
        <v>148</v>
      </c>
      <c r="H267" t="s">
        <v>1698</v>
      </c>
      <c r="I267" s="422">
        <v>45855</v>
      </c>
      <c r="J267" s="422">
        <v>46295</v>
      </c>
      <c r="K267">
        <v>57980</v>
      </c>
      <c r="L267">
        <v>28980</v>
      </c>
      <c r="M267" t="s">
        <v>2046</v>
      </c>
      <c r="N267" t="s">
        <v>2047</v>
      </c>
      <c r="O267" t="str">
        <f>_xlfn.IFNA(VLOOKUP(Table1[[#This Row],[Lead Source]],'helper tab'!A:B,2,FALSE),"Exclude")</f>
        <v>Alliances</v>
      </c>
      <c r="P267" s="422">
        <f t="shared" si="44"/>
        <v>46080.297222222223</v>
      </c>
      <c r="Q267">
        <f t="shared" si="45"/>
        <v>0</v>
      </c>
      <c r="R267">
        <f t="shared" si="46"/>
        <v>0</v>
      </c>
      <c r="S267">
        <f>IF(
AND($Q267=1,$M267&lt;&gt;""),
IF(
COUNTIFS(
$M$3:$M267,$M267,
$O$3:$O267,$O267,
$Q$3:$Q267,1,
$P$3:$P267,"&gt;="&amp;EOMONTH($P267,-1)+1,
$P$3:$P267,"&lt;"&amp;EOMONTH($P267,0)+1
)=1,
1,
0),
0)</f>
        <v>0</v>
      </c>
      <c r="T267">
        <f>IF(AND($R267=1,$M267&lt;&gt;""),IF(COUNTIFS($M$3:$M267,$M267,$O$3:$O267,$O267,$R$3:$R267,1,$P$3:$P267,"&gt;="&amp;EOMONTH($P267,-1)+1,$P$3:$P267,"&lt;"&amp;EOMONTH($P267,0)+1)=1,1,0),0)</f>
        <v>0</v>
      </c>
      <c r="U267">
        <f t="shared" si="47"/>
        <v>0</v>
      </c>
      <c r="V267">
        <f>IF(AND($U267=1,$M267&lt;&gt;""),IF(COUNTIFS($M$3:$M267,$M267,$O$3:$O267,$O267,$U$3:$U267,1,$P$3:$P267,"&gt;="&amp;EOMONTH($P267,-1)+1,$P$3:$P267,"&lt;"&amp;EOMONTH($P267,0)+1)=1,1,0),0)</f>
        <v>0</v>
      </c>
      <c r="W267" s="444">
        <f ca="1">TODAY()-Table1[[#This Row],[Change Date]]</f>
        <v>177.70277777777665</v>
      </c>
      <c r="X267" s="422">
        <f t="shared" si="48"/>
        <v>46122.19027777778</v>
      </c>
      <c r="Y267" s="476">
        <f ca="1">IF(Table1[[#This Row],[Next Stage Date]]&lt;&gt;"",Table1[[#This Row],[Next Stage Date]]-Table1[[#This Row],[Change Date]],TODAY()-Table1[[#This Row],[Change Date]])</f>
        <v>41.893055555556202</v>
      </c>
      <c r="Z267" s="476">
        <f t="shared" si="49"/>
        <v>0</v>
      </c>
      <c r="AA267" s="422" t="str">
        <f t="shared" si="50"/>
        <v/>
      </c>
      <c r="AB267" s="422">
        <f t="shared" si="51"/>
        <v>46122.19027777778</v>
      </c>
      <c r="AC267" s="476">
        <f t="shared" si="52"/>
        <v>267.19027777777956</v>
      </c>
      <c r="AD267" s="476" t="str">
        <f t="shared" si="53"/>
        <v/>
      </c>
      <c r="AE267" s="476" t="str">
        <f t="shared" si="54"/>
        <v/>
      </c>
      <c r="AF267" s="476" t="b">
        <f>IFERROR(_xlfn.XLOOKUP(Table1[[#This Row],[Opportunity ID]],'Aging Detail'!$H$14:$H$20,'Aging Detail'!$F$14:$F$20),TRUE)</f>
        <v>1</v>
      </c>
    </row>
    <row r="268" spans="1:32">
      <c r="A268" t="s">
        <v>1461</v>
      </c>
      <c r="B268" t="s">
        <v>1462</v>
      </c>
      <c r="C268" t="s">
        <v>563</v>
      </c>
      <c r="D268" t="s">
        <v>2219</v>
      </c>
      <c r="E268" t="s">
        <v>2220</v>
      </c>
      <c r="F268" t="s">
        <v>1471</v>
      </c>
      <c r="I268" s="422">
        <v>46044</v>
      </c>
      <c r="J268" s="422">
        <v>46078</v>
      </c>
      <c r="K268">
        <v>33950</v>
      </c>
      <c r="L268">
        <v>0</v>
      </c>
      <c r="M268" t="s">
        <v>2221</v>
      </c>
      <c r="N268" t="s">
        <v>1823</v>
      </c>
      <c r="O268" t="str">
        <f>_xlfn.IFNA(VLOOKUP(Table1[[#This Row],[Lead Source]],'helper tab'!A:B,2,FALSE),"Exclude")</f>
        <v>Digital</v>
      </c>
      <c r="P268" s="422">
        <f t="shared" si="44"/>
        <v>46078.42291666667</v>
      </c>
      <c r="Q268">
        <f t="shared" si="45"/>
        <v>0</v>
      </c>
      <c r="R268">
        <f t="shared" si="46"/>
        <v>1</v>
      </c>
      <c r="S268">
        <f>IF(
AND($Q268=1,$M268&lt;&gt;""),
IF(
COUNTIFS(
$M$3:$M268,$M268,
$O$3:$O268,$O268,
$Q$3:$Q268,1,
$P$3:$P268,"&gt;="&amp;EOMONTH($P268,-1)+1,
$P$3:$P268,"&lt;"&amp;EOMONTH($P268,0)+1
)=1,
1,
0),
0)</f>
        <v>0</v>
      </c>
      <c r="T268">
        <f>IF(AND($R268=1,$M268&lt;&gt;""),IF(COUNTIFS($M$3:$M268,$M268,$O$3:$O268,$O268,$R$3:$R268,1,$P$3:$P268,"&gt;="&amp;EOMONTH($P268,-1)+1,$P$3:$P268,"&lt;"&amp;EOMONTH($P268,0)+1)=1,1,0),0)</f>
        <v>1</v>
      </c>
      <c r="U268">
        <f t="shared" si="47"/>
        <v>0</v>
      </c>
      <c r="V268">
        <f>IF(AND($U268=1,$M268&lt;&gt;""),IF(COUNTIFS($M$3:$M268,$M268,$O$3:$O268,$O268,$U$3:$U268,1,$P$3:$P268,"&gt;="&amp;EOMONTH($P268,-1)+1,$P$3:$P268,"&lt;"&amp;EOMONTH($P268,0)+1)=1,1,0),0)</f>
        <v>0</v>
      </c>
      <c r="W268" s="444">
        <f ca="1">TODAY()-Table1[[#This Row],[Change Date]]</f>
        <v>179.57708333332994</v>
      </c>
      <c r="X268" s="422" t="str">
        <f t="shared" si="48"/>
        <v/>
      </c>
      <c r="Y268" s="476">
        <f ca="1">IF(Table1[[#This Row],[Next Stage Date]]&lt;&gt;"",Table1[[#This Row],[Next Stage Date]]-Table1[[#This Row],[Change Date]],TODAY()-Table1[[#This Row],[Change Date]])</f>
        <v>179.57708333332994</v>
      </c>
      <c r="Z268" s="476">
        <f t="shared" si="49"/>
        <v>1</v>
      </c>
      <c r="AA268" s="422">
        <f t="shared" si="50"/>
        <v>46078.42291666667</v>
      </c>
      <c r="AB268" s="422" t="str">
        <f t="shared" si="51"/>
        <v/>
      </c>
      <c r="AC268" s="476" t="str">
        <f t="shared" si="52"/>
        <v/>
      </c>
      <c r="AD268" s="476" t="str">
        <f t="shared" si="53"/>
        <v/>
      </c>
      <c r="AE268" s="476">
        <f t="shared" si="54"/>
        <v>34.422916666670062</v>
      </c>
      <c r="AF268" s="476" t="b">
        <f>IFERROR(_xlfn.XLOOKUP(Table1[[#This Row],[Opportunity ID]],'Aging Detail'!$H$14:$H$20,'Aging Detail'!$F$14:$F$20),TRUE)</f>
        <v>1</v>
      </c>
    </row>
    <row r="269" spans="1:32">
      <c r="A269" t="s">
        <v>1461</v>
      </c>
      <c r="B269" t="s">
        <v>462</v>
      </c>
      <c r="C269" t="s">
        <v>1469</v>
      </c>
      <c r="D269" t="s">
        <v>2222</v>
      </c>
      <c r="E269" t="s">
        <v>2077</v>
      </c>
      <c r="I269" s="422">
        <v>45926</v>
      </c>
      <c r="J269" s="422">
        <v>46295</v>
      </c>
      <c r="K269">
        <v>340080</v>
      </c>
      <c r="L269">
        <v>340080</v>
      </c>
      <c r="M269" t="s">
        <v>2078</v>
      </c>
      <c r="N269" t="s">
        <v>1642</v>
      </c>
      <c r="O269" t="str">
        <f>_xlfn.IFNA(VLOOKUP(Table1[[#This Row],[Lead Source]],'helper tab'!A:B,2,FALSE),"Exclude")</f>
        <v>Exclude</v>
      </c>
      <c r="P269" s="422">
        <f t="shared" si="44"/>
        <v>46077.480555555558</v>
      </c>
      <c r="Q269">
        <f t="shared" si="45"/>
        <v>0</v>
      </c>
      <c r="R269">
        <f t="shared" si="46"/>
        <v>0</v>
      </c>
      <c r="S269">
        <f>IF(
AND($Q269=1,$M269&lt;&gt;""),
IF(
COUNTIFS(
$M$3:$M269,$M269,
$O$3:$O269,$O269,
$Q$3:$Q269,1,
$P$3:$P269,"&gt;="&amp;EOMONTH($P269,-1)+1,
$P$3:$P269,"&lt;"&amp;EOMONTH($P269,0)+1
)=1,
1,
0),
0)</f>
        <v>0</v>
      </c>
      <c r="T269">
        <f>IF(AND($R269=1,$M269&lt;&gt;""),IF(COUNTIFS($M$3:$M269,$M269,$O$3:$O269,$O269,$R$3:$R269,1,$P$3:$P269,"&gt;="&amp;EOMONTH($P269,-1)+1,$P$3:$P269,"&lt;"&amp;EOMONTH($P269,0)+1)=1,1,0),0)</f>
        <v>0</v>
      </c>
      <c r="U269">
        <f t="shared" si="47"/>
        <v>1</v>
      </c>
      <c r="V269">
        <f>IF(AND($U269=1,$M269&lt;&gt;""),IF(COUNTIFS($M$3:$M269,$M269,$O$3:$O269,$O269,$U$3:$U269,1,$P$3:$P269,"&gt;="&amp;EOMONTH($P269,-1)+1,$P$3:$P269,"&lt;"&amp;EOMONTH($P269,0)+1)=1,1,0),0)</f>
        <v>1</v>
      </c>
      <c r="W269" s="444">
        <f ca="1">TODAY()-Table1[[#This Row],[Change Date]]</f>
        <v>180.51944444444234</v>
      </c>
      <c r="X269" s="422">
        <f t="shared" si="48"/>
        <v>46118.554861111108</v>
      </c>
      <c r="Y269" s="476">
        <f ca="1">IF(Table1[[#This Row],[Next Stage Date]]&lt;&gt;"",Table1[[#This Row],[Next Stage Date]]-Table1[[#This Row],[Change Date]],TODAY()-Table1[[#This Row],[Change Date]])</f>
        <v>41.074305555550382</v>
      </c>
      <c r="Z269" s="476">
        <f t="shared" si="49"/>
        <v>0</v>
      </c>
      <c r="AA269" s="422" t="str">
        <f t="shared" si="50"/>
        <v/>
      </c>
      <c r="AB269" s="422">
        <f t="shared" si="51"/>
        <v>45953.590277777781</v>
      </c>
      <c r="AC269" s="476">
        <f t="shared" si="52"/>
        <v>27.590277777781012</v>
      </c>
      <c r="AD269" s="476" t="str">
        <f t="shared" si="53"/>
        <v/>
      </c>
      <c r="AE269" s="476" t="str">
        <f t="shared" si="54"/>
        <v/>
      </c>
      <c r="AF269" s="476" t="b">
        <f>IFERROR(_xlfn.XLOOKUP(Table1[[#This Row],[Opportunity ID]],'Aging Detail'!$H$14:$H$20,'Aging Detail'!$F$14:$F$20),TRUE)</f>
        <v>1</v>
      </c>
    </row>
    <row r="270" spans="1:32">
      <c r="A270" t="s">
        <v>1461</v>
      </c>
      <c r="B270" t="s">
        <v>338</v>
      </c>
      <c r="C270" t="s">
        <v>563</v>
      </c>
      <c r="D270" t="s">
        <v>2223</v>
      </c>
      <c r="E270" t="s">
        <v>2224</v>
      </c>
      <c r="I270" s="422">
        <v>46042</v>
      </c>
      <c r="J270" s="422">
        <v>46072</v>
      </c>
      <c r="K270">
        <v>5400</v>
      </c>
      <c r="L270">
        <v>0</v>
      </c>
      <c r="M270" t="s">
        <v>2225</v>
      </c>
      <c r="N270" t="s">
        <v>1891</v>
      </c>
      <c r="O270" t="str">
        <f>_xlfn.IFNA(VLOOKUP(Table1[[#This Row],[Lead Source]],'helper tab'!A:B,2,FALSE),"Exclude")</f>
        <v>Exclude</v>
      </c>
      <c r="P270" s="422">
        <f t="shared" si="44"/>
        <v>46073.333333333336</v>
      </c>
      <c r="Q270">
        <f t="shared" si="45"/>
        <v>0</v>
      </c>
      <c r="R270">
        <f t="shared" si="46"/>
        <v>1</v>
      </c>
      <c r="S270">
        <f>IF(
AND($Q270=1,$M270&lt;&gt;""),
IF(
COUNTIFS(
$M$3:$M270,$M270,
$O$3:$O270,$O270,
$Q$3:$Q270,1,
$P$3:$P270,"&gt;="&amp;EOMONTH($P270,-1)+1,
$P$3:$P270,"&lt;"&amp;EOMONTH($P270,0)+1
)=1,
1,
0),
0)</f>
        <v>0</v>
      </c>
      <c r="T270">
        <f>IF(AND($R270=1,$M270&lt;&gt;""),IF(COUNTIFS($M$3:$M270,$M270,$O$3:$O270,$O270,$R$3:$R270,1,$P$3:$P270,"&gt;="&amp;EOMONTH($P270,-1)+1,$P$3:$P270,"&lt;"&amp;EOMONTH($P270,0)+1)=1,1,0),0)</f>
        <v>1</v>
      </c>
      <c r="U270">
        <f t="shared" si="47"/>
        <v>0</v>
      </c>
      <c r="V270">
        <f>IF(AND($U270=1,$M270&lt;&gt;""),IF(COUNTIFS($M$3:$M270,$M270,$O$3:$O270,$O270,$U$3:$U270,1,$P$3:$P270,"&gt;="&amp;EOMONTH($P270,-1)+1,$P$3:$P270,"&lt;"&amp;EOMONTH($P270,0)+1)=1,1,0),0)</f>
        <v>0</v>
      </c>
      <c r="W270" s="444">
        <f ca="1">TODAY()-Table1[[#This Row],[Change Date]]</f>
        <v>184.66666666666424</v>
      </c>
      <c r="X270" s="422" t="str">
        <f t="shared" si="48"/>
        <v/>
      </c>
      <c r="Y270" s="476">
        <f ca="1">IF(Table1[[#This Row],[Next Stage Date]]&lt;&gt;"",Table1[[#This Row],[Next Stage Date]]-Table1[[#This Row],[Change Date]],TODAY()-Table1[[#This Row],[Change Date]])</f>
        <v>184.66666666666424</v>
      </c>
      <c r="Z270" s="476">
        <f t="shared" si="49"/>
        <v>1</v>
      </c>
      <c r="AA270" s="422">
        <f t="shared" si="50"/>
        <v>46073.333333333336</v>
      </c>
      <c r="AB270" s="422" t="str">
        <f t="shared" si="51"/>
        <v/>
      </c>
      <c r="AC270" s="476" t="str">
        <f t="shared" si="52"/>
        <v/>
      </c>
      <c r="AD270" s="476" t="str">
        <f t="shared" si="53"/>
        <v/>
      </c>
      <c r="AE270" s="476">
        <f t="shared" si="54"/>
        <v>31.333333333335759</v>
      </c>
      <c r="AF270" s="476" t="b">
        <f>IFERROR(_xlfn.XLOOKUP(Table1[[#This Row],[Opportunity ID]],'Aging Detail'!$H$14:$H$20,'Aging Detail'!$F$14:$F$20),TRUE)</f>
        <v>1</v>
      </c>
    </row>
    <row r="271" spans="1:32">
      <c r="A271" t="s">
        <v>1461</v>
      </c>
      <c r="B271" t="s">
        <v>526</v>
      </c>
      <c r="C271" t="s">
        <v>563</v>
      </c>
      <c r="D271" t="s">
        <v>2226</v>
      </c>
      <c r="E271" t="s">
        <v>2227</v>
      </c>
      <c r="F271" t="s">
        <v>148</v>
      </c>
      <c r="H271" t="s">
        <v>154</v>
      </c>
      <c r="I271" s="422">
        <v>45926</v>
      </c>
      <c r="J271" s="422">
        <v>46065</v>
      </c>
      <c r="K271">
        <v>7125</v>
      </c>
      <c r="L271">
        <v>7125</v>
      </c>
      <c r="M271" t="s">
        <v>2228</v>
      </c>
      <c r="N271" t="s">
        <v>592</v>
      </c>
      <c r="O271" t="str">
        <f>_xlfn.IFNA(VLOOKUP(Table1[[#This Row],[Lead Source]],'helper tab'!A:B,2,FALSE),"Exclude")</f>
        <v>Alliances</v>
      </c>
      <c r="P271" s="422">
        <f t="shared" si="44"/>
        <v>46065.473611111112</v>
      </c>
      <c r="Q271">
        <f t="shared" si="45"/>
        <v>0</v>
      </c>
      <c r="R271">
        <f t="shared" si="46"/>
        <v>1</v>
      </c>
      <c r="S271">
        <f>IF(
AND($Q271=1,$M271&lt;&gt;""),
IF(
COUNTIFS(
$M$3:$M271,$M271,
$O$3:$O271,$O271,
$Q$3:$Q271,1,
$P$3:$P271,"&gt;="&amp;EOMONTH($P271,-1)+1,
$P$3:$P271,"&lt;"&amp;EOMONTH($P271,0)+1
)=1,
1,
0),
0)</f>
        <v>0</v>
      </c>
      <c r="T271">
        <f>IF(AND($R271=1,$M271&lt;&gt;""),IF(COUNTIFS($M$3:$M271,$M271,$O$3:$O271,$O271,$R$3:$R271,1,$P$3:$P271,"&gt;="&amp;EOMONTH($P271,-1)+1,$P$3:$P271,"&lt;"&amp;EOMONTH($P271,0)+1)=1,1,0),0)</f>
        <v>1</v>
      </c>
      <c r="U271">
        <f t="shared" si="47"/>
        <v>0</v>
      </c>
      <c r="V271">
        <f>IF(AND($U271=1,$M271&lt;&gt;""),IF(COUNTIFS($M$3:$M271,$M271,$O$3:$O271,$O271,$U$3:$U271,1,$P$3:$P271,"&gt;="&amp;EOMONTH($P271,-1)+1,$P$3:$P271,"&lt;"&amp;EOMONTH($P271,0)+1)=1,1,0),0)</f>
        <v>0</v>
      </c>
      <c r="W271" s="444">
        <f ca="1">TODAY()-Table1[[#This Row],[Change Date]]</f>
        <v>192.5263888888876</v>
      </c>
      <c r="X271" s="422" t="str">
        <f t="shared" si="48"/>
        <v/>
      </c>
      <c r="Y271" s="476">
        <f ca="1">IF(Table1[[#This Row],[Next Stage Date]]&lt;&gt;"",Table1[[#This Row],[Next Stage Date]]-Table1[[#This Row],[Change Date]],TODAY()-Table1[[#This Row],[Change Date]])</f>
        <v>192.5263888888876</v>
      </c>
      <c r="Z271" s="476">
        <f t="shared" si="49"/>
        <v>1</v>
      </c>
      <c r="AA271" s="422">
        <f t="shared" si="50"/>
        <v>46065.473611111112</v>
      </c>
      <c r="AB271" s="422">
        <f t="shared" si="51"/>
        <v>46038.545138888891</v>
      </c>
      <c r="AC271" s="476">
        <f t="shared" si="52"/>
        <v>112.54513888889051</v>
      </c>
      <c r="AD271" s="476">
        <f t="shared" si="53"/>
        <v>26.928472222221899</v>
      </c>
      <c r="AE271" s="476">
        <f t="shared" si="54"/>
        <v>139.4736111111124</v>
      </c>
      <c r="AF271" s="476" t="b">
        <f>IFERROR(_xlfn.XLOOKUP(Table1[[#This Row],[Opportunity ID]],'Aging Detail'!$H$14:$H$20,'Aging Detail'!$F$14:$F$20),TRUE)</f>
        <v>1</v>
      </c>
    </row>
    <row r="272" spans="1:32">
      <c r="A272" t="s">
        <v>1461</v>
      </c>
      <c r="B272" t="s">
        <v>408</v>
      </c>
      <c r="C272" t="s">
        <v>1462</v>
      </c>
      <c r="D272" t="s">
        <v>2229</v>
      </c>
      <c r="E272" t="s">
        <v>1589</v>
      </c>
      <c r="F272" t="s">
        <v>1468</v>
      </c>
      <c r="I272" s="422">
        <v>45973</v>
      </c>
      <c r="J272" s="422">
        <v>46262</v>
      </c>
      <c r="K272">
        <v>241015.6</v>
      </c>
      <c r="L272">
        <v>201015.6</v>
      </c>
      <c r="M272" t="s">
        <v>2121</v>
      </c>
      <c r="N272" t="s">
        <v>1589</v>
      </c>
      <c r="O272" t="str">
        <f>_xlfn.IFNA(VLOOKUP(Table1[[#This Row],[Lead Source]],'helper tab'!A:B,2,FALSE),"Exclude")</f>
        <v>Events</v>
      </c>
      <c r="P272" s="422">
        <f t="shared" si="44"/>
        <v>46063.573611111111</v>
      </c>
      <c r="Q272">
        <f t="shared" si="45"/>
        <v>0</v>
      </c>
      <c r="R272">
        <f t="shared" si="46"/>
        <v>0</v>
      </c>
      <c r="S272">
        <f>IF(
AND($Q272=1,$M272&lt;&gt;""),
IF(
COUNTIFS(
$M$3:$M272,$M272,
$O$3:$O272,$O272,
$Q$3:$Q272,1,
$P$3:$P272,"&gt;="&amp;EOMONTH($P272,-1)+1,
$P$3:$P272,"&lt;"&amp;EOMONTH($P272,0)+1
)=1,
1,
0),
0)</f>
        <v>0</v>
      </c>
      <c r="T272">
        <f>IF(AND($R272=1,$M272&lt;&gt;""),IF(COUNTIFS($M$3:$M272,$M272,$O$3:$O272,$O272,$R$3:$R272,1,$P$3:$P272,"&gt;="&amp;EOMONTH($P272,-1)+1,$P$3:$P272,"&lt;"&amp;EOMONTH($P272,0)+1)=1,1,0),0)</f>
        <v>0</v>
      </c>
      <c r="U272">
        <f t="shared" si="47"/>
        <v>0</v>
      </c>
      <c r="V272">
        <f>IF(AND($U272=1,$M272&lt;&gt;""),IF(COUNTIFS($M$3:$M272,$M272,$O$3:$O272,$O272,$U$3:$U272,1,$P$3:$P272,"&gt;="&amp;EOMONTH($P272,-1)+1,$P$3:$P272,"&lt;"&amp;EOMONTH($P272,0)+1)=1,1,0),0)</f>
        <v>0</v>
      </c>
      <c r="W272" s="444">
        <f ca="1">TODAY()-Table1[[#This Row],[Change Date]]</f>
        <v>194.42638888888905</v>
      </c>
      <c r="X272" s="422">
        <f t="shared" si="48"/>
        <v>46111.47152777778</v>
      </c>
      <c r="Y272" s="476">
        <f ca="1">IF(Table1[[#This Row],[Next Stage Date]]&lt;&gt;"",Table1[[#This Row],[Next Stage Date]]-Table1[[#This Row],[Change Date]],TODAY()-Table1[[#This Row],[Change Date]])</f>
        <v>47.897916666668607</v>
      </c>
      <c r="Z272" s="476">
        <f t="shared" si="49"/>
        <v>0</v>
      </c>
      <c r="AA272" s="422" t="str">
        <f t="shared" si="50"/>
        <v/>
      </c>
      <c r="AB272" s="422">
        <f t="shared" si="51"/>
        <v>46111.47152777778</v>
      </c>
      <c r="AC272" s="476">
        <f t="shared" si="52"/>
        <v>138.47152777777956</v>
      </c>
      <c r="AD272" s="476" t="str">
        <f t="shared" si="53"/>
        <v/>
      </c>
      <c r="AE272" s="476" t="str">
        <f t="shared" si="54"/>
        <v/>
      </c>
      <c r="AF272" s="476" t="b">
        <f>IFERROR(_xlfn.XLOOKUP(Table1[[#This Row],[Opportunity ID]],'Aging Detail'!$H$14:$H$20,'Aging Detail'!$F$14:$F$20),TRUE)</f>
        <v>1</v>
      </c>
    </row>
    <row r="273" spans="1:32">
      <c r="A273" t="s">
        <v>1461</v>
      </c>
      <c r="B273" t="s">
        <v>1462</v>
      </c>
      <c r="C273" t="s">
        <v>462</v>
      </c>
      <c r="D273" t="s">
        <v>2230</v>
      </c>
      <c r="E273" t="s">
        <v>652</v>
      </c>
      <c r="F273" t="s">
        <v>470</v>
      </c>
      <c r="I273" s="422">
        <v>45834</v>
      </c>
      <c r="J273" s="422">
        <v>46202</v>
      </c>
      <c r="K273">
        <v>342355</v>
      </c>
      <c r="L273">
        <v>90785</v>
      </c>
      <c r="M273" t="s">
        <v>1793</v>
      </c>
      <c r="N273" t="s">
        <v>647</v>
      </c>
      <c r="O273" t="str">
        <f>_xlfn.IFNA(VLOOKUP(Table1[[#This Row],[Lead Source]],'helper tab'!A:B,2,FALSE),"Exclude")</f>
        <v>Digital</v>
      </c>
      <c r="P273" s="422">
        <f t="shared" si="44"/>
        <v>46063.511805555558</v>
      </c>
      <c r="Q273">
        <f t="shared" si="45"/>
        <v>1</v>
      </c>
      <c r="R273">
        <f t="shared" si="46"/>
        <v>0</v>
      </c>
      <c r="S273">
        <f>IF(
AND($Q273=1,$M273&lt;&gt;""),
IF(
COUNTIFS(
$M$3:$M273,$M273,
$O$3:$O273,$O273,
$Q$3:$Q273,1,
$P$3:$P273,"&gt;="&amp;EOMONTH($P273,-1)+1,
$P$3:$P273,"&lt;"&amp;EOMONTH($P273,0)+1
)=1,
1,
0),
0)</f>
        <v>1</v>
      </c>
      <c r="T273">
        <f>IF(AND($R273=1,$M273&lt;&gt;""),IF(COUNTIFS($M$3:$M273,$M273,$O$3:$O273,$O273,$R$3:$R273,1,$P$3:$P273,"&gt;="&amp;EOMONTH($P273,-1)+1,$P$3:$P273,"&lt;"&amp;EOMONTH($P273,0)+1)=1,1,0),0)</f>
        <v>0</v>
      </c>
      <c r="U273">
        <f t="shared" si="47"/>
        <v>0</v>
      </c>
      <c r="V273">
        <f>IF(AND($U273=1,$M273&lt;&gt;""),IF(COUNTIFS($M$3:$M273,$M273,$O$3:$O273,$O273,$U$3:$U273,1,$P$3:$P273,"&gt;="&amp;EOMONTH($P273,-1)+1,$P$3:$P273,"&lt;"&amp;EOMONTH($P273,0)+1)=1,1,0),0)</f>
        <v>0</v>
      </c>
      <c r="W273" s="444">
        <f ca="1">TODAY()-Table1[[#This Row],[Change Date]]</f>
        <v>194.48819444444234</v>
      </c>
      <c r="X273" s="422">
        <f t="shared" si="48"/>
        <v>46129.320833333331</v>
      </c>
      <c r="Y273" s="476">
        <f ca="1">IF(Table1[[#This Row],[Next Stage Date]]&lt;&gt;"",Table1[[#This Row],[Next Stage Date]]-Table1[[#This Row],[Change Date]],TODAY()-Table1[[#This Row],[Change Date]])</f>
        <v>65.809027777773736</v>
      </c>
      <c r="Z273" s="476">
        <f t="shared" si="49"/>
        <v>0</v>
      </c>
      <c r="AA273" s="422">
        <f t="shared" si="50"/>
        <v>46203.63958333333</v>
      </c>
      <c r="AB273" s="422">
        <f t="shared" si="51"/>
        <v>46055.431944444441</v>
      </c>
      <c r="AC273" s="476">
        <f t="shared" si="52"/>
        <v>221.43194444444089</v>
      </c>
      <c r="AD273" s="476">
        <f t="shared" si="53"/>
        <v>148.20763888888905</v>
      </c>
      <c r="AE273" s="476">
        <f t="shared" si="54"/>
        <v>369.63958333332994</v>
      </c>
      <c r="AF273" s="476" t="b">
        <f>IFERROR(_xlfn.XLOOKUP(Table1[[#This Row],[Opportunity ID]],'Aging Detail'!$H$14:$H$20,'Aging Detail'!$F$14:$F$20),TRUE)</f>
        <v>1</v>
      </c>
    </row>
    <row r="274" spans="1:32">
      <c r="A274" t="s">
        <v>1461</v>
      </c>
      <c r="B274" t="s">
        <v>462</v>
      </c>
      <c r="C274" t="s">
        <v>526</v>
      </c>
      <c r="D274" t="s">
        <v>2231</v>
      </c>
      <c r="E274" t="s">
        <v>2232</v>
      </c>
      <c r="F274" t="s">
        <v>1475</v>
      </c>
      <c r="I274" s="422">
        <v>45961</v>
      </c>
      <c r="J274" s="422">
        <v>46289</v>
      </c>
      <c r="K274">
        <v>63000</v>
      </c>
      <c r="L274">
        <v>63000</v>
      </c>
      <c r="M274" t="s">
        <v>2233</v>
      </c>
      <c r="N274" t="s">
        <v>1788</v>
      </c>
      <c r="O274" t="str">
        <f>_xlfn.IFNA(VLOOKUP(Table1[[#This Row],[Lead Source]],'helper tab'!A:B,2,FALSE),"Exclude")</f>
        <v>Exclude</v>
      </c>
      <c r="P274" s="422">
        <f t="shared" si="44"/>
        <v>46063.506944444445</v>
      </c>
      <c r="Q274">
        <f t="shared" si="45"/>
        <v>1</v>
      </c>
      <c r="R274">
        <f t="shared" si="46"/>
        <v>0</v>
      </c>
      <c r="S274">
        <f>IF(
AND($Q274=1,$M274&lt;&gt;""),
IF(
COUNTIFS(
$M$3:$M274,$M274,
$O$3:$O274,$O274,
$Q$3:$Q274,1,
$P$3:$P274,"&gt;="&amp;EOMONTH($P274,-1)+1,
$P$3:$P274,"&lt;"&amp;EOMONTH($P274,0)+1
)=1,
1,
0),
0)</f>
        <v>1</v>
      </c>
      <c r="T274">
        <f>IF(AND($R274=1,$M274&lt;&gt;""),IF(COUNTIFS($M$3:$M274,$M274,$O$3:$O274,$O274,$R$3:$R274,1,$P$3:$P274,"&gt;="&amp;EOMONTH($P274,-1)+1,$P$3:$P274,"&lt;"&amp;EOMONTH($P274,0)+1)=1,1,0),0)</f>
        <v>0</v>
      </c>
      <c r="U274">
        <f t="shared" si="47"/>
        <v>0</v>
      </c>
      <c r="V274">
        <f>IF(AND($U274=1,$M274&lt;&gt;""),IF(COUNTIFS($M$3:$M274,$M274,$O$3:$O274,$O274,$U$3:$U274,1,$P$3:$P274,"&gt;="&amp;EOMONTH($P274,-1)+1,$P$3:$P274,"&lt;"&amp;EOMONTH($P274,0)+1)=1,1,0),0)</f>
        <v>0</v>
      </c>
      <c r="W274" s="444">
        <f ca="1">TODAY()-Table1[[#This Row],[Change Date]]</f>
        <v>194.49305555555475</v>
      </c>
      <c r="X274" s="422" t="str">
        <f t="shared" si="48"/>
        <v/>
      </c>
      <c r="Y274" s="476">
        <f ca="1">IF(Table1[[#This Row],[Next Stage Date]]&lt;&gt;"",Table1[[#This Row],[Next Stage Date]]-Table1[[#This Row],[Change Date]],TODAY()-Table1[[#This Row],[Change Date]])</f>
        <v>194.49305555555475</v>
      </c>
      <c r="Z274" s="476">
        <f t="shared" si="49"/>
        <v>1</v>
      </c>
      <c r="AA274" s="422" t="str">
        <f t="shared" si="50"/>
        <v/>
      </c>
      <c r="AB274" s="422">
        <f t="shared" si="51"/>
        <v>46029.411805555559</v>
      </c>
      <c r="AC274" s="476">
        <f t="shared" si="52"/>
        <v>68.411805555559113</v>
      </c>
      <c r="AD274" s="476" t="str">
        <f t="shared" si="53"/>
        <v/>
      </c>
      <c r="AE274" s="476" t="str">
        <f t="shared" si="54"/>
        <v/>
      </c>
      <c r="AF274" s="476" t="b">
        <f>IFERROR(_xlfn.XLOOKUP(Table1[[#This Row],[Opportunity ID]],'Aging Detail'!$H$14:$H$20,'Aging Detail'!$F$14:$F$20),TRUE)</f>
        <v>1</v>
      </c>
    </row>
    <row r="275" spans="1:32">
      <c r="A275" t="s">
        <v>1461</v>
      </c>
      <c r="B275" t="s">
        <v>338</v>
      </c>
      <c r="C275" t="s">
        <v>563</v>
      </c>
      <c r="D275" t="s">
        <v>2234</v>
      </c>
      <c r="E275" t="s">
        <v>2235</v>
      </c>
      <c r="I275" s="422">
        <v>46010</v>
      </c>
      <c r="J275" s="422">
        <v>46062</v>
      </c>
      <c r="K275">
        <v>0</v>
      </c>
      <c r="L275">
        <v>0</v>
      </c>
      <c r="M275" t="s">
        <v>2236</v>
      </c>
      <c r="N275" t="s">
        <v>1831</v>
      </c>
      <c r="O275" t="str">
        <f>_xlfn.IFNA(VLOOKUP(Table1[[#This Row],[Lead Source]],'helper tab'!A:B,2,FALSE),"Exclude")</f>
        <v>Exclude</v>
      </c>
      <c r="P275" s="422">
        <f t="shared" si="44"/>
        <v>46062.411111111112</v>
      </c>
      <c r="Q275">
        <f t="shared" si="45"/>
        <v>0</v>
      </c>
      <c r="R275">
        <f t="shared" si="46"/>
        <v>1</v>
      </c>
      <c r="S275">
        <f>IF(
AND($Q275=1,$M275&lt;&gt;""),
IF(
COUNTIFS(
$M$3:$M275,$M275,
$O$3:$O275,$O275,
$Q$3:$Q275,1,
$P$3:$P275,"&gt;="&amp;EOMONTH($P275,-1)+1,
$P$3:$P275,"&lt;"&amp;EOMONTH($P275,0)+1
)=1,
1,
0),
0)</f>
        <v>0</v>
      </c>
      <c r="T275">
        <f>IF(AND($R275=1,$M275&lt;&gt;""),IF(COUNTIFS($M$3:$M275,$M275,$O$3:$O275,$O275,$R$3:$R275,1,$P$3:$P275,"&gt;="&amp;EOMONTH($P275,-1)+1,$P$3:$P275,"&lt;"&amp;EOMONTH($P275,0)+1)=1,1,0),0)</f>
        <v>1</v>
      </c>
      <c r="U275">
        <f t="shared" si="47"/>
        <v>0</v>
      </c>
      <c r="V275">
        <f>IF(AND($U275=1,$M275&lt;&gt;""),IF(COUNTIFS($M$3:$M275,$M275,$O$3:$O275,$O275,$U$3:$U275,1,$P$3:$P275,"&gt;="&amp;EOMONTH($P275,-1)+1,$P$3:$P275,"&lt;"&amp;EOMONTH($P275,0)+1)=1,1,0),0)</f>
        <v>0</v>
      </c>
      <c r="W275" s="444">
        <f ca="1">TODAY()-Table1[[#This Row],[Change Date]]</f>
        <v>195.5888888888876</v>
      </c>
      <c r="X275" s="422" t="str">
        <f t="shared" si="48"/>
        <v/>
      </c>
      <c r="Y275" s="476">
        <f ca="1">IF(Table1[[#This Row],[Next Stage Date]]&lt;&gt;"",Table1[[#This Row],[Next Stage Date]]-Table1[[#This Row],[Change Date]],TODAY()-Table1[[#This Row],[Change Date]])</f>
        <v>195.5888888888876</v>
      </c>
      <c r="Z275" s="476">
        <f t="shared" si="49"/>
        <v>1</v>
      </c>
      <c r="AA275" s="422">
        <f t="shared" si="50"/>
        <v>46062.411111111112</v>
      </c>
      <c r="AB275" s="422" t="str">
        <f t="shared" si="51"/>
        <v/>
      </c>
      <c r="AC275" s="476" t="str">
        <f t="shared" si="52"/>
        <v/>
      </c>
      <c r="AD275" s="476" t="str">
        <f t="shared" si="53"/>
        <v/>
      </c>
      <c r="AE275" s="476">
        <f t="shared" si="54"/>
        <v>52.411111111112405</v>
      </c>
      <c r="AF275" s="476" t="b">
        <f>IFERROR(_xlfn.XLOOKUP(Table1[[#This Row],[Opportunity ID]],'Aging Detail'!$H$14:$H$20,'Aging Detail'!$F$14:$F$20),TRUE)</f>
        <v>1</v>
      </c>
    </row>
    <row r="276" spans="1:32">
      <c r="A276" t="s">
        <v>1461</v>
      </c>
      <c r="B276" t="s">
        <v>338</v>
      </c>
      <c r="C276" t="s">
        <v>563</v>
      </c>
      <c r="D276" t="s">
        <v>2234</v>
      </c>
      <c r="E276" t="s">
        <v>2237</v>
      </c>
      <c r="I276" s="422">
        <v>46007</v>
      </c>
      <c r="J276" s="422">
        <v>46062</v>
      </c>
      <c r="K276">
        <v>0</v>
      </c>
      <c r="L276">
        <v>0</v>
      </c>
      <c r="M276" t="s">
        <v>2238</v>
      </c>
      <c r="N276" t="s">
        <v>2239</v>
      </c>
      <c r="O276" t="str">
        <f>_xlfn.IFNA(VLOOKUP(Table1[[#This Row],[Lead Source]],'helper tab'!A:B,2,FALSE),"Exclude")</f>
        <v>Exclude</v>
      </c>
      <c r="P276" s="422">
        <f t="shared" si="44"/>
        <v>46062.411111111112</v>
      </c>
      <c r="Q276">
        <f t="shared" si="45"/>
        <v>0</v>
      </c>
      <c r="R276">
        <f t="shared" si="46"/>
        <v>1</v>
      </c>
      <c r="S276">
        <f>IF(
AND($Q276=1,$M276&lt;&gt;""),
IF(
COUNTIFS(
$M$3:$M276,$M276,
$O$3:$O276,$O276,
$Q$3:$Q276,1,
$P$3:$P276,"&gt;="&amp;EOMONTH($P276,-1)+1,
$P$3:$P276,"&lt;"&amp;EOMONTH($P276,0)+1
)=1,
1,
0),
0)</f>
        <v>0</v>
      </c>
      <c r="T276">
        <f>IF(AND($R276=1,$M276&lt;&gt;""),IF(COUNTIFS($M$3:$M276,$M276,$O$3:$O276,$O276,$R$3:$R276,1,$P$3:$P276,"&gt;="&amp;EOMONTH($P276,-1)+1,$P$3:$P276,"&lt;"&amp;EOMONTH($P276,0)+1)=1,1,0),0)</f>
        <v>1</v>
      </c>
      <c r="U276">
        <f t="shared" si="47"/>
        <v>0</v>
      </c>
      <c r="V276">
        <f>IF(AND($U276=1,$M276&lt;&gt;""),IF(COUNTIFS($M$3:$M276,$M276,$O$3:$O276,$O276,$U$3:$U276,1,$P$3:$P276,"&gt;="&amp;EOMONTH($P276,-1)+1,$P$3:$P276,"&lt;"&amp;EOMONTH($P276,0)+1)=1,1,0),0)</f>
        <v>0</v>
      </c>
      <c r="W276" s="444">
        <f ca="1">TODAY()-Table1[[#This Row],[Change Date]]</f>
        <v>195.5888888888876</v>
      </c>
      <c r="X276" s="422" t="str">
        <f t="shared" si="48"/>
        <v/>
      </c>
      <c r="Y276" s="476">
        <f ca="1">IF(Table1[[#This Row],[Next Stage Date]]&lt;&gt;"",Table1[[#This Row],[Next Stage Date]]-Table1[[#This Row],[Change Date]],TODAY()-Table1[[#This Row],[Change Date]])</f>
        <v>195.5888888888876</v>
      </c>
      <c r="Z276" s="476">
        <f t="shared" si="49"/>
        <v>1</v>
      </c>
      <c r="AA276" s="422">
        <f t="shared" si="50"/>
        <v>46062.411111111112</v>
      </c>
      <c r="AB276" s="422" t="str">
        <f t="shared" si="51"/>
        <v/>
      </c>
      <c r="AC276" s="476" t="str">
        <f t="shared" si="52"/>
        <v/>
      </c>
      <c r="AD276" s="476" t="str">
        <f t="shared" si="53"/>
        <v/>
      </c>
      <c r="AE276" s="476">
        <f t="shared" si="54"/>
        <v>55.411111111112405</v>
      </c>
      <c r="AF276" s="476" t="b">
        <f>IFERROR(_xlfn.XLOOKUP(Table1[[#This Row],[Opportunity ID]],'Aging Detail'!$H$14:$H$20,'Aging Detail'!$F$14:$F$20),TRUE)</f>
        <v>1</v>
      </c>
    </row>
    <row r="277" spans="1:32">
      <c r="A277" t="s">
        <v>1461</v>
      </c>
      <c r="B277" t="s">
        <v>1462</v>
      </c>
      <c r="C277" t="s">
        <v>462</v>
      </c>
      <c r="D277" t="s">
        <v>2240</v>
      </c>
      <c r="E277" t="s">
        <v>1837</v>
      </c>
      <c r="F277" t="s">
        <v>1632</v>
      </c>
      <c r="I277" s="422">
        <v>45971</v>
      </c>
      <c r="J277" s="422">
        <v>46752</v>
      </c>
      <c r="K277">
        <v>1560000</v>
      </c>
      <c r="L277">
        <v>1560000</v>
      </c>
      <c r="M277" t="s">
        <v>1838</v>
      </c>
      <c r="N277" t="s">
        <v>1831</v>
      </c>
      <c r="O277" t="str">
        <f>_xlfn.IFNA(VLOOKUP(Table1[[#This Row],[Lead Source]],'helper tab'!A:B,2,FALSE),"Exclude")</f>
        <v>Exclude</v>
      </c>
      <c r="P277" s="422">
        <f t="shared" si="44"/>
        <v>46062.38958333333</v>
      </c>
      <c r="Q277">
        <f t="shared" si="45"/>
        <v>1</v>
      </c>
      <c r="R277">
        <f t="shared" si="46"/>
        <v>0</v>
      </c>
      <c r="S277">
        <f>IF(
AND($Q277=1,$M277&lt;&gt;""),
IF(
COUNTIFS(
$M$3:$M277,$M277,
$O$3:$O277,$O277,
$Q$3:$Q277,1,
$P$3:$P277,"&gt;="&amp;EOMONTH($P277,-1)+1,
$P$3:$P277,"&lt;"&amp;EOMONTH($P277,0)+1
)=1,
1,
0),
0)</f>
        <v>1</v>
      </c>
      <c r="T277">
        <f>IF(AND($R277=1,$M277&lt;&gt;""),IF(COUNTIFS($M$3:$M277,$M277,$O$3:$O277,$O277,$R$3:$R277,1,$P$3:$P277,"&gt;="&amp;EOMONTH($P277,-1)+1,$P$3:$P277,"&lt;"&amp;EOMONTH($P277,0)+1)=1,1,0),0)</f>
        <v>0</v>
      </c>
      <c r="U277">
        <f t="shared" si="47"/>
        <v>0</v>
      </c>
      <c r="V277">
        <f>IF(AND($U277=1,$M277&lt;&gt;""),IF(COUNTIFS($M$3:$M277,$M277,$O$3:$O277,$O277,$U$3:$U277,1,$P$3:$P277,"&gt;="&amp;EOMONTH($P277,-1)+1,$P$3:$P277,"&lt;"&amp;EOMONTH($P277,0)+1)=1,1,0),0)</f>
        <v>0</v>
      </c>
      <c r="W277" s="444">
        <f ca="1">TODAY()-Table1[[#This Row],[Change Date]]</f>
        <v>195.61041666667006</v>
      </c>
      <c r="X277" s="422">
        <f t="shared" si="48"/>
        <v>46196.212500000001</v>
      </c>
      <c r="Y277" s="476">
        <f ca="1">IF(Table1[[#This Row],[Next Stage Date]]&lt;&gt;"",Table1[[#This Row],[Next Stage Date]]-Table1[[#This Row],[Change Date]],TODAY()-Table1[[#This Row],[Change Date]])</f>
        <v>133.82291666667152</v>
      </c>
      <c r="Z277" s="476">
        <f t="shared" si="49"/>
        <v>0</v>
      </c>
      <c r="AA277" s="422" t="str">
        <f t="shared" si="50"/>
        <v/>
      </c>
      <c r="AB277" s="422">
        <f t="shared" si="51"/>
        <v>46062.38958333333</v>
      </c>
      <c r="AC277" s="476">
        <f t="shared" si="52"/>
        <v>91.389583333329938</v>
      </c>
      <c r="AD277" s="476" t="str">
        <f t="shared" si="53"/>
        <v/>
      </c>
      <c r="AE277" s="476" t="str">
        <f t="shared" si="54"/>
        <v/>
      </c>
      <c r="AF277" s="476" t="b">
        <f>IFERROR(_xlfn.XLOOKUP(Table1[[#This Row],[Opportunity ID]],'Aging Detail'!$H$14:$H$20,'Aging Detail'!$F$14:$F$20),TRUE)</f>
        <v>1</v>
      </c>
    </row>
    <row r="278" spans="1:32">
      <c r="A278" t="s">
        <v>1461</v>
      </c>
      <c r="B278" t="s">
        <v>462</v>
      </c>
      <c r="C278" t="s">
        <v>1462</v>
      </c>
      <c r="D278" t="s">
        <v>2241</v>
      </c>
      <c r="E278" t="s">
        <v>2242</v>
      </c>
      <c r="F278" t="s">
        <v>1477</v>
      </c>
      <c r="G278" t="s">
        <v>1477</v>
      </c>
      <c r="I278" s="422">
        <v>45915</v>
      </c>
      <c r="J278" s="422">
        <v>46259</v>
      </c>
      <c r="K278">
        <v>0</v>
      </c>
      <c r="L278">
        <v>0</v>
      </c>
      <c r="M278" t="s">
        <v>2243</v>
      </c>
      <c r="N278" t="s">
        <v>1717</v>
      </c>
      <c r="O278" t="str">
        <f>_xlfn.IFNA(VLOOKUP(Table1[[#This Row],[Lead Source]],'helper tab'!A:B,2,FALSE),"Exclude")</f>
        <v>Cold</v>
      </c>
      <c r="P278" s="422">
        <f t="shared" si="44"/>
        <v>46059.52847222222</v>
      </c>
      <c r="Q278">
        <f t="shared" si="45"/>
        <v>0</v>
      </c>
      <c r="R278">
        <f t="shared" si="46"/>
        <v>0</v>
      </c>
      <c r="S278">
        <f>IF(
AND($Q278=1,$M278&lt;&gt;""),
IF(
COUNTIFS(
$M$3:$M278,$M278,
$O$3:$O278,$O278,
$Q$3:$Q278,1,
$P$3:$P278,"&gt;="&amp;EOMONTH($P278,-1)+1,
$P$3:$P278,"&lt;"&amp;EOMONTH($P278,0)+1
)=1,
1,
0),
0)</f>
        <v>0</v>
      </c>
      <c r="T278">
        <f>IF(AND($R278=1,$M278&lt;&gt;""),IF(COUNTIFS($M$3:$M278,$M278,$O$3:$O278,$O278,$R$3:$R278,1,$P$3:$P278,"&gt;="&amp;EOMONTH($P278,-1)+1,$P$3:$P278,"&lt;"&amp;EOMONTH($P278,0)+1)=1,1,0),0)</f>
        <v>0</v>
      </c>
      <c r="U278">
        <f t="shared" si="47"/>
        <v>0</v>
      </c>
      <c r="V278">
        <f>IF(AND($U278=1,$M278&lt;&gt;""),IF(COUNTIFS($M$3:$M278,$M278,$O$3:$O278,$O278,$U$3:$U278,1,$P$3:$P278,"&gt;="&amp;EOMONTH($P278,-1)+1,$P$3:$P278,"&lt;"&amp;EOMONTH($P278,0)+1)=1,1,0),0)</f>
        <v>0</v>
      </c>
      <c r="W278" s="444">
        <f ca="1">TODAY()-Table1[[#This Row],[Change Date]]</f>
        <v>198.47152777777956</v>
      </c>
      <c r="X278" s="422" t="str">
        <f t="shared" si="48"/>
        <v/>
      </c>
      <c r="Y278" s="476">
        <f ca="1">IF(Table1[[#This Row],[Next Stage Date]]&lt;&gt;"",Table1[[#This Row],[Next Stage Date]]-Table1[[#This Row],[Change Date]],TODAY()-Table1[[#This Row],[Change Date]])</f>
        <v>198.47152777777956</v>
      </c>
      <c r="Z278" s="476">
        <f t="shared" si="49"/>
        <v>1</v>
      </c>
      <c r="AA278" s="422" t="str">
        <f t="shared" si="50"/>
        <v/>
      </c>
      <c r="AB278" s="422">
        <f t="shared" si="51"/>
        <v>46059.397916666669</v>
      </c>
      <c r="AC278" s="476">
        <f t="shared" si="52"/>
        <v>144.39791666666861</v>
      </c>
      <c r="AD278" s="476" t="str">
        <f t="shared" si="53"/>
        <v/>
      </c>
      <c r="AE278" s="476" t="str">
        <f t="shared" si="54"/>
        <v/>
      </c>
      <c r="AF278" s="476" t="b">
        <f>IFERROR(_xlfn.XLOOKUP(Table1[[#This Row],[Opportunity ID]],'Aging Detail'!$H$14:$H$20,'Aging Detail'!$F$14:$F$20),TRUE)</f>
        <v>1</v>
      </c>
    </row>
    <row r="279" spans="1:32">
      <c r="A279" t="s">
        <v>1461</v>
      </c>
      <c r="B279" t="s">
        <v>462</v>
      </c>
      <c r="C279" t="s">
        <v>526</v>
      </c>
      <c r="D279" t="s">
        <v>2244</v>
      </c>
      <c r="E279" t="s">
        <v>2153</v>
      </c>
      <c r="I279" s="422">
        <v>45748</v>
      </c>
      <c r="J279" s="422">
        <v>46090</v>
      </c>
      <c r="K279">
        <v>459900</v>
      </c>
      <c r="L279">
        <v>432900</v>
      </c>
      <c r="M279" t="s">
        <v>2154</v>
      </c>
      <c r="N279" t="s">
        <v>2148</v>
      </c>
      <c r="O279" t="str">
        <f>_xlfn.IFNA(VLOOKUP(Table1[[#This Row],[Lead Source]],'helper tab'!A:B,2,FALSE),"Exclude")</f>
        <v>Exclude</v>
      </c>
      <c r="P279" s="422">
        <f t="shared" si="44"/>
        <v>46059.504861111112</v>
      </c>
      <c r="Q279">
        <f t="shared" si="45"/>
        <v>1</v>
      </c>
      <c r="R279">
        <f t="shared" si="46"/>
        <v>0</v>
      </c>
      <c r="S279">
        <f>IF(
AND($Q279=1,$M279&lt;&gt;""),
IF(
COUNTIFS(
$M$3:$M279,$M279,
$O$3:$O279,$O279,
$Q$3:$Q279,1,
$P$3:$P279,"&gt;="&amp;EOMONTH($P279,-1)+1,
$P$3:$P279,"&lt;"&amp;EOMONTH($P279,0)+1
)=1,
1,
0),
0)</f>
        <v>1</v>
      </c>
      <c r="T279">
        <f>IF(AND($R279=1,$M279&lt;&gt;""),IF(COUNTIFS($M$3:$M279,$M279,$O$3:$O279,$O279,$R$3:$R279,1,$P$3:$P279,"&gt;="&amp;EOMONTH($P279,-1)+1,$P$3:$P279,"&lt;"&amp;EOMONTH($P279,0)+1)=1,1,0),0)</f>
        <v>0</v>
      </c>
      <c r="U279">
        <f t="shared" si="47"/>
        <v>0</v>
      </c>
      <c r="V279">
        <f>IF(AND($U279=1,$M279&lt;&gt;""),IF(COUNTIFS($M$3:$M279,$M279,$O$3:$O279,$O279,$U$3:$U279,1,$P$3:$P279,"&gt;="&amp;EOMONTH($P279,-1)+1,$P$3:$P279,"&lt;"&amp;EOMONTH($P279,0)+1)=1,1,0),0)</f>
        <v>0</v>
      </c>
      <c r="W279" s="444">
        <f ca="1">TODAY()-Table1[[#This Row],[Change Date]]</f>
        <v>198.4951388888876</v>
      </c>
      <c r="X279" s="422">
        <f t="shared" si="48"/>
        <v>46099.438194444447</v>
      </c>
      <c r="Y279" s="476">
        <f ca="1">IF(Table1[[#This Row],[Next Stage Date]]&lt;&gt;"",Table1[[#This Row],[Next Stage Date]]-Table1[[#This Row],[Change Date]],TODAY()-Table1[[#This Row],[Change Date]])</f>
        <v>39.933333333334303</v>
      </c>
      <c r="Z279" s="476">
        <f t="shared" si="49"/>
        <v>0</v>
      </c>
      <c r="AA279" s="422">
        <f t="shared" si="50"/>
        <v>46099.438194444447</v>
      </c>
      <c r="AB279" s="422">
        <f t="shared" si="51"/>
        <v>45999.379861111112</v>
      </c>
      <c r="AC279" s="476">
        <f t="shared" si="52"/>
        <v>251.3798611111124</v>
      </c>
      <c r="AD279" s="476">
        <f t="shared" si="53"/>
        <v>100.0583333333343</v>
      </c>
      <c r="AE279" s="476">
        <f t="shared" si="54"/>
        <v>351.43819444444671</v>
      </c>
      <c r="AF279" s="476" t="b">
        <f>IFERROR(_xlfn.XLOOKUP(Table1[[#This Row],[Opportunity ID]],'Aging Detail'!$H$14:$H$20,'Aging Detail'!$F$14:$F$20),TRUE)</f>
        <v>1</v>
      </c>
    </row>
    <row r="280" spans="1:32">
      <c r="A280" t="s">
        <v>1461</v>
      </c>
      <c r="B280" t="s">
        <v>408</v>
      </c>
      <c r="C280" t="s">
        <v>1469</v>
      </c>
      <c r="D280" t="s">
        <v>2245</v>
      </c>
      <c r="E280" t="s">
        <v>2246</v>
      </c>
      <c r="F280" t="s">
        <v>1486</v>
      </c>
      <c r="I280" s="422">
        <v>45594</v>
      </c>
      <c r="J280" s="422">
        <v>46691</v>
      </c>
      <c r="K280">
        <v>68508</v>
      </c>
      <c r="L280">
        <v>0</v>
      </c>
      <c r="M280" t="s">
        <v>2247</v>
      </c>
      <c r="N280" t="s">
        <v>1524</v>
      </c>
      <c r="O280" t="str">
        <f>_xlfn.IFNA(VLOOKUP(Table1[[#This Row],[Lead Source]],'helper tab'!A:B,2,FALSE),"Exclude")</f>
        <v>Exclude</v>
      </c>
      <c r="P280" s="422">
        <f t="shared" si="44"/>
        <v>46059.474305555559</v>
      </c>
      <c r="Q280">
        <f t="shared" si="45"/>
        <v>0</v>
      </c>
      <c r="R280">
        <f t="shared" si="46"/>
        <v>0</v>
      </c>
      <c r="S280">
        <f>IF(
AND($Q280=1,$M280&lt;&gt;""),
IF(
COUNTIFS(
$M$3:$M280,$M280,
$O$3:$O280,$O280,
$Q$3:$Q280,1,
$P$3:$P280,"&gt;="&amp;EOMONTH($P280,-1)+1,
$P$3:$P280,"&lt;"&amp;EOMONTH($P280,0)+1
)=1,
1,
0),
0)</f>
        <v>0</v>
      </c>
      <c r="T280">
        <f>IF(AND($R280=1,$M280&lt;&gt;""),IF(COUNTIFS($M$3:$M280,$M280,$O$3:$O280,$O280,$R$3:$R280,1,$P$3:$P280,"&gt;="&amp;EOMONTH($P280,-1)+1,$P$3:$P280,"&lt;"&amp;EOMONTH($P280,0)+1)=1,1,0),0)</f>
        <v>0</v>
      </c>
      <c r="U280">
        <f t="shared" si="47"/>
        <v>1</v>
      </c>
      <c r="V280">
        <f>IF(AND($U280=1,$M280&lt;&gt;""),IF(COUNTIFS($M$3:$M280,$M280,$O$3:$O280,$O280,$U$3:$U280,1,$P$3:$P280,"&gt;="&amp;EOMONTH($P280,-1)+1,$P$3:$P280,"&lt;"&amp;EOMONTH($P280,0)+1)=1,1,0),0)</f>
        <v>1</v>
      </c>
      <c r="W280" s="444">
        <f ca="1">TODAY()-Table1[[#This Row],[Change Date]]</f>
        <v>198.52569444444089</v>
      </c>
      <c r="X280" s="422" t="str">
        <f t="shared" si="48"/>
        <v/>
      </c>
      <c r="Y280" s="476">
        <f ca="1">IF(Table1[[#This Row],[Next Stage Date]]&lt;&gt;"",Table1[[#This Row],[Next Stage Date]]-Table1[[#This Row],[Change Date]],TODAY()-Table1[[#This Row],[Change Date]])</f>
        <v>198.52569444444089</v>
      </c>
      <c r="Z280" s="476">
        <f t="shared" si="49"/>
        <v>1</v>
      </c>
      <c r="AA280" s="422" t="str">
        <f t="shared" si="50"/>
        <v/>
      </c>
      <c r="AB280" s="422" t="str">
        <f t="shared" si="51"/>
        <v/>
      </c>
      <c r="AC280" s="476" t="str">
        <f t="shared" si="52"/>
        <v/>
      </c>
      <c r="AD280" s="476" t="str">
        <f t="shared" si="53"/>
        <v/>
      </c>
      <c r="AE280" s="476" t="str">
        <f t="shared" si="54"/>
        <v/>
      </c>
      <c r="AF280" s="476" t="b">
        <f>IFERROR(_xlfn.XLOOKUP(Table1[[#This Row],[Opportunity ID]],'Aging Detail'!$H$14:$H$20,'Aging Detail'!$F$14:$F$20),TRUE)</f>
        <v>1</v>
      </c>
    </row>
    <row r="281" spans="1:32">
      <c r="A281" t="s">
        <v>1461</v>
      </c>
      <c r="B281" t="s">
        <v>1462</v>
      </c>
      <c r="C281" t="s">
        <v>462</v>
      </c>
      <c r="D281" t="s">
        <v>2248</v>
      </c>
      <c r="E281" t="s">
        <v>2242</v>
      </c>
      <c r="F281" t="s">
        <v>1477</v>
      </c>
      <c r="G281" t="s">
        <v>1477</v>
      </c>
      <c r="I281" s="422">
        <v>45915</v>
      </c>
      <c r="J281" s="422">
        <v>46259</v>
      </c>
      <c r="K281">
        <v>0</v>
      </c>
      <c r="L281">
        <v>0</v>
      </c>
      <c r="M281" t="s">
        <v>2243</v>
      </c>
      <c r="N281" t="s">
        <v>1717</v>
      </c>
      <c r="O281" t="str">
        <f>_xlfn.IFNA(VLOOKUP(Table1[[#This Row],[Lead Source]],'helper tab'!A:B,2,FALSE),"Exclude")</f>
        <v>Cold</v>
      </c>
      <c r="P281" s="422">
        <f t="shared" si="44"/>
        <v>46059.397916666669</v>
      </c>
      <c r="Q281">
        <f t="shared" si="45"/>
        <v>1</v>
      </c>
      <c r="R281">
        <f t="shared" si="46"/>
        <v>0</v>
      </c>
      <c r="S281">
        <f>IF(
AND($Q281=1,$M281&lt;&gt;""),
IF(
COUNTIFS(
$M$3:$M281,$M281,
$O$3:$O281,$O281,
$Q$3:$Q281,1,
$P$3:$P281,"&gt;="&amp;EOMONTH($P281,-1)+1,
$P$3:$P281,"&lt;"&amp;EOMONTH($P281,0)+1
)=1,
1,
0),
0)</f>
        <v>1</v>
      </c>
      <c r="T281">
        <f>IF(AND($R281=1,$M281&lt;&gt;""),IF(COUNTIFS($M$3:$M281,$M281,$O$3:$O281,$O281,$R$3:$R281,1,$P$3:$P281,"&gt;="&amp;EOMONTH($P281,-1)+1,$P$3:$P281,"&lt;"&amp;EOMONTH($P281,0)+1)=1,1,0),0)</f>
        <v>0</v>
      </c>
      <c r="U281">
        <f t="shared" si="47"/>
        <v>0</v>
      </c>
      <c r="V281">
        <f>IF(AND($U281=1,$M281&lt;&gt;""),IF(COUNTIFS($M$3:$M281,$M281,$O$3:$O281,$O281,$U$3:$U281,1,$P$3:$P281,"&gt;="&amp;EOMONTH($P281,-1)+1,$P$3:$P281,"&lt;"&amp;EOMONTH($P281,0)+1)=1,1,0),0)</f>
        <v>0</v>
      </c>
      <c r="W281" s="444">
        <f ca="1">TODAY()-Table1[[#This Row],[Change Date]]</f>
        <v>198.60208333333139</v>
      </c>
      <c r="X281" s="422">
        <f t="shared" si="48"/>
        <v>46059.52847222222</v>
      </c>
      <c r="Y281" s="476">
        <f ca="1">IF(Table1[[#This Row],[Next Stage Date]]&lt;&gt;"",Table1[[#This Row],[Next Stage Date]]-Table1[[#This Row],[Change Date]],TODAY()-Table1[[#This Row],[Change Date]])</f>
        <v>0.13055555555183673</v>
      </c>
      <c r="Z281" s="476">
        <f t="shared" si="49"/>
        <v>0</v>
      </c>
      <c r="AA281" s="422" t="str">
        <f t="shared" si="50"/>
        <v/>
      </c>
      <c r="AB281" s="422">
        <f t="shared" si="51"/>
        <v>46059.397916666669</v>
      </c>
      <c r="AC281" s="476">
        <f t="shared" si="52"/>
        <v>144.39791666666861</v>
      </c>
      <c r="AD281" s="476" t="str">
        <f t="shared" si="53"/>
        <v/>
      </c>
      <c r="AE281" s="476" t="str">
        <f t="shared" si="54"/>
        <v/>
      </c>
      <c r="AF281" s="476" t="b">
        <f>IFERROR(_xlfn.XLOOKUP(Table1[[#This Row],[Opportunity ID]],'Aging Detail'!$H$14:$H$20,'Aging Detail'!$F$14:$F$20),TRUE)</f>
        <v>1</v>
      </c>
    </row>
    <row r="282" spans="1:32">
      <c r="A282" t="s">
        <v>1461</v>
      </c>
      <c r="B282" t="s">
        <v>462</v>
      </c>
      <c r="C282" t="s">
        <v>1469</v>
      </c>
      <c r="D282" t="s">
        <v>2249</v>
      </c>
      <c r="E282" t="s">
        <v>2250</v>
      </c>
      <c r="H282" t="s">
        <v>154</v>
      </c>
      <c r="I282" s="422">
        <v>45678</v>
      </c>
      <c r="J282" s="422">
        <v>46387</v>
      </c>
      <c r="K282">
        <v>0</v>
      </c>
      <c r="L282">
        <v>0</v>
      </c>
      <c r="M282" t="s">
        <v>2251</v>
      </c>
      <c r="N282" t="s">
        <v>1614</v>
      </c>
      <c r="O282" t="str">
        <f>_xlfn.IFNA(VLOOKUP(Table1[[#This Row],[Lead Source]],'helper tab'!A:B,2,FALSE),"Exclude")</f>
        <v>Exclude</v>
      </c>
      <c r="P282" s="422">
        <f t="shared" si="44"/>
        <v>46059.365972222222</v>
      </c>
      <c r="Q282">
        <f t="shared" si="45"/>
        <v>0</v>
      </c>
      <c r="R282">
        <f t="shared" si="46"/>
        <v>0</v>
      </c>
      <c r="S282">
        <f>IF(
AND($Q282=1,$M282&lt;&gt;""),
IF(
COUNTIFS(
$M$3:$M282,$M282,
$O$3:$O282,$O282,
$Q$3:$Q282,1,
$P$3:$P282,"&gt;="&amp;EOMONTH($P282,-1)+1,
$P$3:$P282,"&lt;"&amp;EOMONTH($P282,0)+1
)=1,
1,
0),
0)</f>
        <v>0</v>
      </c>
      <c r="T282">
        <f>IF(AND($R282=1,$M282&lt;&gt;""),IF(COUNTIFS($M$3:$M282,$M282,$O$3:$O282,$O282,$R$3:$R282,1,$P$3:$P282,"&gt;="&amp;EOMONTH($P282,-1)+1,$P$3:$P282,"&lt;"&amp;EOMONTH($P282,0)+1)=1,1,0),0)</f>
        <v>0</v>
      </c>
      <c r="U282">
        <f t="shared" si="47"/>
        <v>1</v>
      </c>
      <c r="V282">
        <f>IF(AND($U282=1,$M282&lt;&gt;""),IF(COUNTIFS($M$3:$M282,$M282,$O$3:$O282,$O282,$U$3:$U282,1,$P$3:$P282,"&gt;="&amp;EOMONTH($P282,-1)+1,$P$3:$P282,"&lt;"&amp;EOMONTH($P282,0)+1)=1,1,0),0)</f>
        <v>1</v>
      </c>
      <c r="W282" s="444">
        <f ca="1">TODAY()-Table1[[#This Row],[Change Date]]</f>
        <v>198.6340277777781</v>
      </c>
      <c r="X282" s="422" t="str">
        <f t="shared" si="48"/>
        <v/>
      </c>
      <c r="Y282" s="476">
        <f ca="1">IF(Table1[[#This Row],[Next Stage Date]]&lt;&gt;"",Table1[[#This Row],[Next Stage Date]]-Table1[[#This Row],[Change Date]],TODAY()-Table1[[#This Row],[Change Date]])</f>
        <v>198.6340277777781</v>
      </c>
      <c r="Z282" s="476">
        <f t="shared" si="49"/>
        <v>1</v>
      </c>
      <c r="AA282" s="422" t="str">
        <f t="shared" si="50"/>
        <v/>
      </c>
      <c r="AB282" s="422">
        <f t="shared" si="51"/>
        <v>45782.24722222222</v>
      </c>
      <c r="AC282" s="476">
        <f t="shared" si="52"/>
        <v>104.24722222222044</v>
      </c>
      <c r="AD282" s="476" t="str">
        <f t="shared" si="53"/>
        <v/>
      </c>
      <c r="AE282" s="476" t="str">
        <f t="shared" si="54"/>
        <v/>
      </c>
      <c r="AF282" s="476" t="b">
        <f>IFERROR(_xlfn.XLOOKUP(Table1[[#This Row],[Opportunity ID]],'Aging Detail'!$H$14:$H$20,'Aging Detail'!$F$14:$F$20),TRUE)</f>
        <v>1</v>
      </c>
    </row>
    <row r="283" spans="1:32">
      <c r="A283" t="s">
        <v>1461</v>
      </c>
      <c r="B283" t="s">
        <v>1462</v>
      </c>
      <c r="C283" t="s">
        <v>462</v>
      </c>
      <c r="D283" t="s">
        <v>2252</v>
      </c>
      <c r="E283" t="s">
        <v>2104</v>
      </c>
      <c r="F283" t="s">
        <v>148</v>
      </c>
      <c r="H283" t="s">
        <v>2105</v>
      </c>
      <c r="I283" s="422">
        <v>45853</v>
      </c>
      <c r="J283" s="422">
        <v>46108</v>
      </c>
      <c r="K283">
        <v>166978.4</v>
      </c>
      <c r="L283">
        <v>100478.39999999999</v>
      </c>
      <c r="M283" t="s">
        <v>2106</v>
      </c>
      <c r="N283" t="s">
        <v>2107</v>
      </c>
      <c r="O283" t="str">
        <f>_xlfn.IFNA(VLOOKUP(Table1[[#This Row],[Lead Source]],'helper tab'!A:B,2,FALSE),"Exclude")</f>
        <v>Alliances</v>
      </c>
      <c r="P283" s="422">
        <f t="shared" si="44"/>
        <v>46058.530555555553</v>
      </c>
      <c r="Q283">
        <f t="shared" si="45"/>
        <v>1</v>
      </c>
      <c r="R283">
        <f t="shared" si="46"/>
        <v>0</v>
      </c>
      <c r="S283">
        <f>IF(
AND($Q283=1,$M283&lt;&gt;""),
IF(
COUNTIFS(
$M$3:$M283,$M283,
$O$3:$O283,$O283,
$Q$3:$Q283,1,
$P$3:$P283,"&gt;="&amp;EOMONTH($P283,-1)+1,
$P$3:$P283,"&lt;"&amp;EOMONTH($P283,0)+1
)=1,
1,
0),
0)</f>
        <v>1</v>
      </c>
      <c r="T283">
        <f>IF(AND($R283=1,$M283&lt;&gt;""),IF(COUNTIFS($M$3:$M283,$M283,$O$3:$O283,$O283,$R$3:$R283,1,$P$3:$P283,"&gt;="&amp;EOMONTH($P283,-1)+1,$P$3:$P283,"&lt;"&amp;EOMONTH($P283,0)+1)=1,1,0),0)</f>
        <v>0</v>
      </c>
      <c r="U283">
        <f t="shared" si="47"/>
        <v>0</v>
      </c>
      <c r="V283">
        <f>IF(AND($U283=1,$M283&lt;&gt;""),IF(COUNTIFS($M$3:$M283,$M283,$O$3:$O283,$O283,$U$3:$U283,1,$P$3:$P283,"&gt;="&amp;EOMONTH($P283,-1)+1,$P$3:$P283,"&lt;"&amp;EOMONTH($P283,0)+1)=1,1,0),0)</f>
        <v>0</v>
      </c>
      <c r="W283" s="444">
        <f ca="1">TODAY()-Table1[[#This Row],[Change Date]]</f>
        <v>199.46944444444671</v>
      </c>
      <c r="X283" s="422">
        <f t="shared" si="48"/>
        <v>46087.324305555558</v>
      </c>
      <c r="Y283" s="476">
        <f ca="1">IF(Table1[[#This Row],[Next Stage Date]]&lt;&gt;"",Table1[[#This Row],[Next Stage Date]]-Table1[[#This Row],[Change Date]],TODAY()-Table1[[#This Row],[Change Date]])</f>
        <v>28.793750000004366</v>
      </c>
      <c r="Z283" s="476">
        <f t="shared" si="49"/>
        <v>0</v>
      </c>
      <c r="AA283" s="422">
        <f t="shared" si="50"/>
        <v>46112.43472222222</v>
      </c>
      <c r="AB283" s="422">
        <f t="shared" si="51"/>
        <v>46058.530555555553</v>
      </c>
      <c r="AC283" s="476">
        <f t="shared" si="52"/>
        <v>205.53055555555329</v>
      </c>
      <c r="AD283" s="476">
        <f t="shared" si="53"/>
        <v>53.904166666667152</v>
      </c>
      <c r="AE283" s="476">
        <f t="shared" si="54"/>
        <v>259.43472222222044</v>
      </c>
      <c r="AF283" s="476" t="b">
        <f>IFERROR(_xlfn.XLOOKUP(Table1[[#This Row],[Opportunity ID]],'Aging Detail'!$H$14:$H$20,'Aging Detail'!$F$14:$F$20),TRUE)</f>
        <v>1</v>
      </c>
    </row>
    <row r="284" spans="1:32">
      <c r="A284" t="s">
        <v>1461</v>
      </c>
      <c r="B284" t="s">
        <v>408</v>
      </c>
      <c r="C284" t="s">
        <v>1469</v>
      </c>
      <c r="D284" t="s">
        <v>2253</v>
      </c>
      <c r="E284" t="s">
        <v>2254</v>
      </c>
      <c r="F284" t="s">
        <v>2255</v>
      </c>
      <c r="I284" s="422">
        <v>45707</v>
      </c>
      <c r="J284" s="422">
        <v>46164</v>
      </c>
      <c r="K284">
        <v>648000</v>
      </c>
      <c r="L284">
        <v>570000</v>
      </c>
      <c r="M284" t="s">
        <v>2256</v>
      </c>
      <c r="N284" t="s">
        <v>2257</v>
      </c>
      <c r="O284" t="str">
        <f>_xlfn.IFNA(VLOOKUP(Table1[[#This Row],[Lead Source]],'helper tab'!A:B,2,FALSE),"Exclude")</f>
        <v>Exclude</v>
      </c>
      <c r="P284" s="422">
        <f t="shared" si="44"/>
        <v>46058.524305555555</v>
      </c>
      <c r="Q284">
        <f t="shared" si="45"/>
        <v>0</v>
      </c>
      <c r="R284">
        <f t="shared" si="46"/>
        <v>0</v>
      </c>
      <c r="S284">
        <f>IF(
AND($Q284=1,$M284&lt;&gt;""),
IF(
COUNTIFS(
$M$3:$M284,$M284,
$O$3:$O284,$O284,
$Q$3:$Q284,1,
$P$3:$P284,"&gt;="&amp;EOMONTH($P284,-1)+1,
$P$3:$P284,"&lt;"&amp;EOMONTH($P284,0)+1
)=1,
1,
0),
0)</f>
        <v>0</v>
      </c>
      <c r="T284">
        <f>IF(AND($R284=1,$M284&lt;&gt;""),IF(COUNTIFS($M$3:$M284,$M284,$O$3:$O284,$O284,$R$3:$R284,1,$P$3:$P284,"&gt;="&amp;EOMONTH($P284,-1)+1,$P$3:$P284,"&lt;"&amp;EOMONTH($P284,0)+1)=1,1,0),0)</f>
        <v>0</v>
      </c>
      <c r="U284">
        <f t="shared" si="47"/>
        <v>1</v>
      </c>
      <c r="V284">
        <f>IF(AND($U284=1,$M284&lt;&gt;""),IF(COUNTIFS($M$3:$M284,$M284,$O$3:$O284,$O284,$U$3:$U284,1,$P$3:$P284,"&gt;="&amp;EOMONTH($P284,-1)+1,$P$3:$P284,"&lt;"&amp;EOMONTH($P284,0)+1)=1,1,0),0)</f>
        <v>1</v>
      </c>
      <c r="W284" s="444">
        <f ca="1">TODAY()-Table1[[#This Row],[Change Date]]</f>
        <v>199.47569444444525</v>
      </c>
      <c r="X284" s="422" t="str">
        <f t="shared" si="48"/>
        <v/>
      </c>
      <c r="Y284" s="476">
        <f ca="1">IF(Table1[[#This Row],[Next Stage Date]]&lt;&gt;"",Table1[[#This Row],[Next Stage Date]]-Table1[[#This Row],[Change Date]],TODAY()-Table1[[#This Row],[Change Date]])</f>
        <v>199.47569444444525</v>
      </c>
      <c r="Z284" s="476">
        <f t="shared" si="49"/>
        <v>1</v>
      </c>
      <c r="AA284" s="422" t="str">
        <f t="shared" si="50"/>
        <v/>
      </c>
      <c r="AB284" s="422" t="str">
        <f t="shared" si="51"/>
        <v/>
      </c>
      <c r="AC284" s="476" t="str">
        <f t="shared" si="52"/>
        <v/>
      </c>
      <c r="AD284" s="476" t="str">
        <f t="shared" si="53"/>
        <v/>
      </c>
      <c r="AE284" s="476" t="str">
        <f t="shared" si="54"/>
        <v/>
      </c>
      <c r="AF284" s="476" t="b">
        <f>IFERROR(_xlfn.XLOOKUP(Table1[[#This Row],[Opportunity ID]],'Aging Detail'!$H$14:$H$20,'Aging Detail'!$F$14:$F$20),TRUE)</f>
        <v>1</v>
      </c>
    </row>
    <row r="285" spans="1:32">
      <c r="A285" t="s">
        <v>1461</v>
      </c>
      <c r="B285" t="s">
        <v>462</v>
      </c>
      <c r="C285" t="s">
        <v>1462</v>
      </c>
      <c r="D285" t="s">
        <v>2258</v>
      </c>
      <c r="E285" t="s">
        <v>652</v>
      </c>
      <c r="F285" t="s">
        <v>470</v>
      </c>
      <c r="I285" s="422">
        <v>45834</v>
      </c>
      <c r="J285" s="422">
        <v>46202</v>
      </c>
      <c r="K285">
        <v>342355</v>
      </c>
      <c r="L285">
        <v>90785</v>
      </c>
      <c r="M285" t="s">
        <v>1793</v>
      </c>
      <c r="N285" t="s">
        <v>647</v>
      </c>
      <c r="O285" t="str">
        <f>_xlfn.IFNA(VLOOKUP(Table1[[#This Row],[Lead Source]],'helper tab'!A:B,2,FALSE),"Exclude")</f>
        <v>Digital</v>
      </c>
      <c r="P285" s="422">
        <f t="shared" si="44"/>
        <v>46058.269444444442</v>
      </c>
      <c r="Q285">
        <f t="shared" si="45"/>
        <v>0</v>
      </c>
      <c r="R285">
        <f t="shared" si="46"/>
        <v>0</v>
      </c>
      <c r="S285">
        <f>IF(
AND($Q285=1,$M285&lt;&gt;""),
IF(
COUNTIFS(
$M$3:$M285,$M285,
$O$3:$O285,$O285,
$Q$3:$Q285,1,
$P$3:$P285,"&gt;="&amp;EOMONTH($P285,-1)+1,
$P$3:$P285,"&lt;"&amp;EOMONTH($P285,0)+1
)=1,
1,
0),
0)</f>
        <v>0</v>
      </c>
      <c r="T285">
        <f>IF(AND($R285=1,$M285&lt;&gt;""),IF(COUNTIFS($M$3:$M285,$M285,$O$3:$O285,$O285,$R$3:$R285,1,$P$3:$P285,"&gt;="&amp;EOMONTH($P285,-1)+1,$P$3:$P285,"&lt;"&amp;EOMONTH($P285,0)+1)=1,1,0),0)</f>
        <v>0</v>
      </c>
      <c r="U285">
        <f t="shared" si="47"/>
        <v>0</v>
      </c>
      <c r="V285">
        <f>IF(AND($U285=1,$M285&lt;&gt;""),IF(COUNTIFS($M$3:$M285,$M285,$O$3:$O285,$O285,$U$3:$U285,1,$P$3:$P285,"&gt;="&amp;EOMONTH($P285,-1)+1,$P$3:$P285,"&lt;"&amp;EOMONTH($P285,0)+1)=1,1,0),0)</f>
        <v>0</v>
      </c>
      <c r="W285" s="444">
        <f ca="1">TODAY()-Table1[[#This Row],[Change Date]]</f>
        <v>199.73055555555766</v>
      </c>
      <c r="X285" s="422">
        <f t="shared" si="48"/>
        <v>46063.511805555558</v>
      </c>
      <c r="Y285" s="476">
        <f ca="1">IF(Table1[[#This Row],[Next Stage Date]]&lt;&gt;"",Table1[[#This Row],[Next Stage Date]]-Table1[[#This Row],[Change Date]],TODAY()-Table1[[#This Row],[Change Date]])</f>
        <v>5.242361111115315</v>
      </c>
      <c r="Z285" s="476">
        <f t="shared" si="49"/>
        <v>0</v>
      </c>
      <c r="AA285" s="422">
        <f t="shared" si="50"/>
        <v>46203.63958333333</v>
      </c>
      <c r="AB285" s="422">
        <f t="shared" si="51"/>
        <v>46055.431944444441</v>
      </c>
      <c r="AC285" s="476">
        <f t="shared" si="52"/>
        <v>221.43194444444089</v>
      </c>
      <c r="AD285" s="476">
        <f t="shared" si="53"/>
        <v>148.20763888888905</v>
      </c>
      <c r="AE285" s="476">
        <f t="shared" si="54"/>
        <v>369.63958333332994</v>
      </c>
      <c r="AF285" s="476" t="b">
        <f>IFERROR(_xlfn.XLOOKUP(Table1[[#This Row],[Opportunity ID]],'Aging Detail'!$H$14:$H$20,'Aging Detail'!$F$14:$F$20),TRUE)</f>
        <v>1</v>
      </c>
    </row>
    <row r="286" spans="1:32">
      <c r="A286" t="s">
        <v>1461</v>
      </c>
      <c r="B286" t="s">
        <v>338</v>
      </c>
      <c r="C286" t="s">
        <v>1469</v>
      </c>
      <c r="D286" t="s">
        <v>2259</v>
      </c>
      <c r="E286" t="s">
        <v>2260</v>
      </c>
      <c r="F286" t="s">
        <v>1464</v>
      </c>
      <c r="I286" s="422">
        <v>45631</v>
      </c>
      <c r="J286" s="422">
        <v>46094</v>
      </c>
      <c r="K286">
        <v>300200</v>
      </c>
      <c r="L286">
        <v>115200</v>
      </c>
      <c r="M286" t="s">
        <v>2261</v>
      </c>
      <c r="N286" t="s">
        <v>2262</v>
      </c>
      <c r="O286" t="str">
        <f>_xlfn.IFNA(VLOOKUP(Table1[[#This Row],[Lead Source]],'helper tab'!A:B,2,FALSE),"Exclude")</f>
        <v>Cold</v>
      </c>
      <c r="P286" s="422">
        <f t="shared" si="44"/>
        <v>46057.34375</v>
      </c>
      <c r="Q286">
        <f t="shared" si="45"/>
        <v>0</v>
      </c>
      <c r="R286">
        <f t="shared" si="46"/>
        <v>0</v>
      </c>
      <c r="S286">
        <f>IF(
AND($Q286=1,$M286&lt;&gt;""),
IF(
COUNTIFS(
$M$3:$M286,$M286,
$O$3:$O286,$O286,
$Q$3:$Q286,1,
$P$3:$P286,"&gt;="&amp;EOMONTH($P286,-1)+1,
$P$3:$P286,"&lt;"&amp;EOMONTH($P286,0)+1
)=1,
1,
0),
0)</f>
        <v>0</v>
      </c>
      <c r="T286">
        <f>IF(AND($R286=1,$M286&lt;&gt;""),IF(COUNTIFS($M$3:$M286,$M286,$O$3:$O286,$O286,$R$3:$R286,1,$P$3:$P286,"&gt;="&amp;EOMONTH($P286,-1)+1,$P$3:$P286,"&lt;"&amp;EOMONTH($P286,0)+1)=1,1,0),0)</f>
        <v>0</v>
      </c>
      <c r="U286">
        <f t="shared" si="47"/>
        <v>1</v>
      </c>
      <c r="V286">
        <f>IF(AND($U286=1,$M286&lt;&gt;""),IF(COUNTIFS($M$3:$M286,$M286,$O$3:$O286,$O286,$U$3:$U286,1,$P$3:$P286,"&gt;="&amp;EOMONTH($P286,-1)+1,$P$3:$P286,"&lt;"&amp;EOMONTH($P286,0)+1)=1,1,0),0)</f>
        <v>1</v>
      </c>
      <c r="W286" s="444">
        <f ca="1">TODAY()-Table1[[#This Row],[Change Date]]</f>
        <v>200.65625</v>
      </c>
      <c r="X286" s="422" t="str">
        <f t="shared" si="48"/>
        <v/>
      </c>
      <c r="Y286" s="476">
        <f ca="1">IF(Table1[[#This Row],[Next Stage Date]]&lt;&gt;"",Table1[[#This Row],[Next Stage Date]]-Table1[[#This Row],[Change Date]],TODAY()-Table1[[#This Row],[Change Date]])</f>
        <v>200.65625</v>
      </c>
      <c r="Z286" s="476">
        <f t="shared" si="49"/>
        <v>1</v>
      </c>
      <c r="AA286" s="422" t="str">
        <f t="shared" si="50"/>
        <v/>
      </c>
      <c r="AB286" s="422" t="str">
        <f t="shared" si="51"/>
        <v/>
      </c>
      <c r="AC286" s="476" t="str">
        <f t="shared" si="52"/>
        <v/>
      </c>
      <c r="AD286" s="476" t="str">
        <f t="shared" si="53"/>
        <v/>
      </c>
      <c r="AE286" s="476" t="str">
        <f t="shared" si="54"/>
        <v/>
      </c>
      <c r="AF286" s="476" t="b">
        <f>IFERROR(_xlfn.XLOOKUP(Table1[[#This Row],[Opportunity ID]],'Aging Detail'!$H$14:$H$20,'Aging Detail'!$F$14:$F$20),TRUE)</f>
        <v>1</v>
      </c>
    </row>
    <row r="287" spans="1:32">
      <c r="A287" t="s">
        <v>1461</v>
      </c>
      <c r="B287" t="s">
        <v>338</v>
      </c>
      <c r="C287" t="s">
        <v>1469</v>
      </c>
      <c r="D287" t="s">
        <v>2263</v>
      </c>
      <c r="E287" t="s">
        <v>2264</v>
      </c>
      <c r="F287" t="s">
        <v>148</v>
      </c>
      <c r="H287" t="s">
        <v>2265</v>
      </c>
      <c r="I287" s="422">
        <v>45596</v>
      </c>
      <c r="J287" s="422">
        <v>46057</v>
      </c>
      <c r="K287">
        <v>181600</v>
      </c>
      <c r="L287">
        <v>81600</v>
      </c>
      <c r="M287" t="s">
        <v>2266</v>
      </c>
      <c r="N287" t="s">
        <v>2267</v>
      </c>
      <c r="O287" t="str">
        <f>_xlfn.IFNA(VLOOKUP(Table1[[#This Row],[Lead Source]],'helper tab'!A:B,2,FALSE),"Exclude")</f>
        <v>Alliances</v>
      </c>
      <c r="P287" s="422">
        <f t="shared" si="44"/>
        <v>46057.202777777777</v>
      </c>
      <c r="Q287">
        <f t="shared" si="45"/>
        <v>0</v>
      </c>
      <c r="R287">
        <f t="shared" si="46"/>
        <v>0</v>
      </c>
      <c r="S287">
        <f>IF(
AND($Q287=1,$M287&lt;&gt;""),
IF(
COUNTIFS(
$M$3:$M287,$M287,
$O$3:$O287,$O287,
$Q$3:$Q287,1,
$P$3:$P287,"&gt;="&amp;EOMONTH($P287,-1)+1,
$P$3:$P287,"&lt;"&amp;EOMONTH($P287,0)+1
)=1,
1,
0),
0)</f>
        <v>0</v>
      </c>
      <c r="T287">
        <f>IF(AND($R287=1,$M287&lt;&gt;""),IF(COUNTIFS($M$3:$M287,$M287,$O$3:$O287,$O287,$R$3:$R287,1,$P$3:$P287,"&gt;="&amp;EOMONTH($P287,-1)+1,$P$3:$P287,"&lt;"&amp;EOMONTH($P287,0)+1)=1,1,0),0)</f>
        <v>0</v>
      </c>
      <c r="U287">
        <f t="shared" si="47"/>
        <v>1</v>
      </c>
      <c r="V287">
        <f>IF(AND($U287=1,$M287&lt;&gt;""),IF(COUNTIFS($M$3:$M287,$M287,$O$3:$O287,$O287,$U$3:$U287,1,$P$3:$P287,"&gt;="&amp;EOMONTH($P287,-1)+1,$P$3:$P287,"&lt;"&amp;EOMONTH($P287,0)+1)=1,1,0),0)</f>
        <v>1</v>
      </c>
      <c r="W287" s="444">
        <f ca="1">TODAY()-Table1[[#This Row],[Change Date]]</f>
        <v>200.79722222222335</v>
      </c>
      <c r="X287" s="422" t="str">
        <f t="shared" si="48"/>
        <v/>
      </c>
      <c r="Y287" s="476">
        <f ca="1">IF(Table1[[#This Row],[Next Stage Date]]&lt;&gt;"",Table1[[#This Row],[Next Stage Date]]-Table1[[#This Row],[Change Date]],TODAY()-Table1[[#This Row],[Change Date]])</f>
        <v>200.79722222222335</v>
      </c>
      <c r="Z287" s="476">
        <f t="shared" si="49"/>
        <v>1</v>
      </c>
      <c r="AA287" s="422" t="str">
        <f t="shared" si="50"/>
        <v/>
      </c>
      <c r="AB287" s="422" t="str">
        <f t="shared" si="51"/>
        <v/>
      </c>
      <c r="AC287" s="476" t="str">
        <f t="shared" si="52"/>
        <v/>
      </c>
      <c r="AD287" s="476" t="str">
        <f t="shared" si="53"/>
        <v/>
      </c>
      <c r="AE287" s="476" t="str">
        <f t="shared" si="54"/>
        <v/>
      </c>
      <c r="AF287" s="476" t="b">
        <f>IFERROR(_xlfn.XLOOKUP(Table1[[#This Row],[Opportunity ID]],'Aging Detail'!$H$14:$H$20,'Aging Detail'!$F$14:$F$20),TRUE)</f>
        <v>1</v>
      </c>
    </row>
    <row r="288" spans="1:32">
      <c r="A288" t="s">
        <v>1461</v>
      </c>
      <c r="B288" t="s">
        <v>408</v>
      </c>
      <c r="C288" t="s">
        <v>1469</v>
      </c>
      <c r="D288" t="s">
        <v>2268</v>
      </c>
      <c r="E288" t="s">
        <v>2269</v>
      </c>
      <c r="F288" t="s">
        <v>1473</v>
      </c>
      <c r="I288" s="422">
        <v>45468</v>
      </c>
      <c r="J288" s="422">
        <v>46056</v>
      </c>
      <c r="K288">
        <v>538000</v>
      </c>
      <c r="L288">
        <v>198000</v>
      </c>
      <c r="M288" t="s">
        <v>2270</v>
      </c>
      <c r="N288" t="s">
        <v>2271</v>
      </c>
      <c r="O288" t="str">
        <f>_xlfn.IFNA(VLOOKUP(Table1[[#This Row],[Lead Source]],'helper tab'!A:B,2,FALSE),"Exclude")</f>
        <v>Events</v>
      </c>
      <c r="P288" s="422">
        <f t="shared" si="44"/>
        <v>46056.09652777778</v>
      </c>
      <c r="Q288">
        <f t="shared" si="45"/>
        <v>0</v>
      </c>
      <c r="R288">
        <f t="shared" si="46"/>
        <v>0</v>
      </c>
      <c r="S288">
        <f>IF(
AND($Q288=1,$M288&lt;&gt;""),
IF(
COUNTIFS(
$M$3:$M288,$M288,
$O$3:$O288,$O288,
$Q$3:$Q288,1,
$P$3:$P288,"&gt;="&amp;EOMONTH($P288,-1)+1,
$P$3:$P288,"&lt;"&amp;EOMONTH($P288,0)+1
)=1,
1,
0),
0)</f>
        <v>0</v>
      </c>
      <c r="T288">
        <f>IF(AND($R288=1,$M288&lt;&gt;""),IF(COUNTIFS($M$3:$M288,$M288,$O$3:$O288,$O288,$R$3:$R288,1,$P$3:$P288,"&gt;="&amp;EOMONTH($P288,-1)+1,$P$3:$P288,"&lt;"&amp;EOMONTH($P288,0)+1)=1,1,0),0)</f>
        <v>0</v>
      </c>
      <c r="U288">
        <f t="shared" si="47"/>
        <v>1</v>
      </c>
      <c r="V288">
        <f>IF(AND($U288=1,$M288&lt;&gt;""),IF(COUNTIFS($M$3:$M288,$M288,$O$3:$O288,$O288,$U$3:$U288,1,$P$3:$P288,"&gt;="&amp;EOMONTH($P288,-1)+1,$P$3:$P288,"&lt;"&amp;EOMONTH($P288,0)+1)=1,1,0),0)</f>
        <v>1</v>
      </c>
      <c r="W288" s="444">
        <f ca="1">TODAY()-Table1[[#This Row],[Change Date]]</f>
        <v>201.90347222222044</v>
      </c>
      <c r="X288" s="422" t="str">
        <f t="shared" si="48"/>
        <v/>
      </c>
      <c r="Y288" s="476">
        <f ca="1">IF(Table1[[#This Row],[Next Stage Date]]&lt;&gt;"",Table1[[#This Row],[Next Stage Date]]-Table1[[#This Row],[Change Date]],TODAY()-Table1[[#This Row],[Change Date]])</f>
        <v>201.90347222222044</v>
      </c>
      <c r="Z288" s="476">
        <f t="shared" si="49"/>
        <v>1</v>
      </c>
      <c r="AA288" s="422" t="str">
        <f t="shared" si="50"/>
        <v/>
      </c>
      <c r="AB288" s="422" t="str">
        <f t="shared" si="51"/>
        <v/>
      </c>
      <c r="AC288" s="476" t="str">
        <f t="shared" si="52"/>
        <v/>
      </c>
      <c r="AD288" s="476" t="str">
        <f t="shared" si="53"/>
        <v/>
      </c>
      <c r="AE288" s="476" t="str">
        <f t="shared" si="54"/>
        <v/>
      </c>
      <c r="AF288" s="476" t="b">
        <f>IFERROR(_xlfn.XLOOKUP(Table1[[#This Row],[Opportunity ID]],'Aging Detail'!$H$14:$H$20,'Aging Detail'!$F$14:$F$20),TRUE)</f>
        <v>1</v>
      </c>
    </row>
    <row r="289" spans="1:32">
      <c r="A289" t="s">
        <v>1461</v>
      </c>
      <c r="B289" t="s">
        <v>408</v>
      </c>
      <c r="C289" t="s">
        <v>1469</v>
      </c>
      <c r="D289" t="s">
        <v>2272</v>
      </c>
      <c r="E289" t="s">
        <v>2273</v>
      </c>
      <c r="F289" t="s">
        <v>1483</v>
      </c>
      <c r="I289" s="422">
        <v>45363</v>
      </c>
      <c r="J289" s="422">
        <v>46056</v>
      </c>
      <c r="K289">
        <v>248000</v>
      </c>
      <c r="L289">
        <v>108000</v>
      </c>
      <c r="M289" t="s">
        <v>2274</v>
      </c>
      <c r="N289" t="s">
        <v>2273</v>
      </c>
      <c r="O289" t="str">
        <f>_xlfn.IFNA(VLOOKUP(Table1[[#This Row],[Lead Source]],'helper tab'!A:B,2,FALSE),"Exclude")</f>
        <v>Cold</v>
      </c>
      <c r="P289" s="422">
        <f t="shared" si="44"/>
        <v>46056.094444444447</v>
      </c>
      <c r="Q289">
        <f t="shared" si="45"/>
        <v>0</v>
      </c>
      <c r="R289">
        <f t="shared" si="46"/>
        <v>0</v>
      </c>
      <c r="S289">
        <f>IF(
AND($Q289=1,$M289&lt;&gt;""),
IF(
COUNTIFS(
$M$3:$M289,$M289,
$O$3:$O289,$O289,
$Q$3:$Q289,1,
$P$3:$P289,"&gt;="&amp;EOMONTH($P289,-1)+1,
$P$3:$P289,"&lt;"&amp;EOMONTH($P289,0)+1
)=1,
1,
0),
0)</f>
        <v>0</v>
      </c>
      <c r="T289">
        <f>IF(AND($R289=1,$M289&lt;&gt;""),IF(COUNTIFS($M$3:$M289,$M289,$O$3:$O289,$O289,$R$3:$R289,1,$P$3:$P289,"&gt;="&amp;EOMONTH($P289,-1)+1,$P$3:$P289,"&lt;"&amp;EOMONTH($P289,0)+1)=1,1,0),0)</f>
        <v>0</v>
      </c>
      <c r="U289">
        <f t="shared" si="47"/>
        <v>1</v>
      </c>
      <c r="V289">
        <f>IF(AND($U289=1,$M289&lt;&gt;""),IF(COUNTIFS($M$3:$M289,$M289,$O$3:$O289,$O289,$U$3:$U289,1,$P$3:$P289,"&gt;="&amp;EOMONTH($P289,-1)+1,$P$3:$P289,"&lt;"&amp;EOMONTH($P289,0)+1)=1,1,0),0)</f>
        <v>1</v>
      </c>
      <c r="W289" s="444">
        <f ca="1">TODAY()-Table1[[#This Row],[Change Date]]</f>
        <v>201.90555555555329</v>
      </c>
      <c r="X289" s="422" t="str">
        <f t="shared" si="48"/>
        <v/>
      </c>
      <c r="Y289" s="476">
        <f ca="1">IF(Table1[[#This Row],[Next Stage Date]]&lt;&gt;"",Table1[[#This Row],[Next Stage Date]]-Table1[[#This Row],[Change Date]],TODAY()-Table1[[#This Row],[Change Date]])</f>
        <v>201.90555555555329</v>
      </c>
      <c r="Z289" s="476">
        <f t="shared" si="49"/>
        <v>1</v>
      </c>
      <c r="AA289" s="422" t="str">
        <f t="shared" si="50"/>
        <v/>
      </c>
      <c r="AB289" s="422" t="str">
        <f t="shared" si="51"/>
        <v/>
      </c>
      <c r="AC289" s="476" t="str">
        <f t="shared" si="52"/>
        <v/>
      </c>
      <c r="AD289" s="476" t="str">
        <f t="shared" si="53"/>
        <v/>
      </c>
      <c r="AE289" s="476" t="str">
        <f t="shared" si="54"/>
        <v/>
      </c>
      <c r="AF289" s="476" t="b">
        <f>IFERROR(_xlfn.XLOOKUP(Table1[[#This Row],[Opportunity ID]],'Aging Detail'!$H$14:$H$20,'Aging Detail'!$F$14:$F$20),TRUE)</f>
        <v>1</v>
      </c>
    </row>
    <row r="290" spans="1:32">
      <c r="A290" t="s">
        <v>1461</v>
      </c>
      <c r="B290" t="s">
        <v>462</v>
      </c>
      <c r="C290" t="s">
        <v>526</v>
      </c>
      <c r="D290" t="s">
        <v>2275</v>
      </c>
      <c r="E290" t="s">
        <v>2276</v>
      </c>
      <c r="F290" t="s">
        <v>1465</v>
      </c>
      <c r="I290" s="422">
        <v>45565</v>
      </c>
      <c r="J290" s="422">
        <v>46325</v>
      </c>
      <c r="K290">
        <v>25000</v>
      </c>
      <c r="L290">
        <v>25000</v>
      </c>
      <c r="M290" t="s">
        <v>2277</v>
      </c>
      <c r="N290" t="s">
        <v>1568</v>
      </c>
      <c r="O290" t="str">
        <f>_xlfn.IFNA(VLOOKUP(Table1[[#This Row],[Lead Source]],'helper tab'!A:B,2,FALSE),"Exclude")</f>
        <v>Exclude</v>
      </c>
      <c r="P290" s="422">
        <f t="shared" si="44"/>
        <v>46055.555555555555</v>
      </c>
      <c r="Q290">
        <f t="shared" si="45"/>
        <v>1</v>
      </c>
      <c r="R290">
        <f t="shared" si="46"/>
        <v>0</v>
      </c>
      <c r="S290">
        <f>IF(
AND($Q290=1,$M290&lt;&gt;""),
IF(
COUNTIFS(
$M$3:$M290,$M290,
$O$3:$O290,$O290,
$Q$3:$Q290,1,
$P$3:$P290,"&gt;="&amp;EOMONTH($P290,-1)+1,
$P$3:$P290,"&lt;"&amp;EOMONTH($P290,0)+1
)=1,
1,
0),
0)</f>
        <v>1</v>
      </c>
      <c r="T290">
        <f>IF(AND($R290=1,$M290&lt;&gt;""),IF(COUNTIFS($M$3:$M290,$M290,$O$3:$O290,$O290,$R$3:$R290,1,$P$3:$P290,"&gt;="&amp;EOMONTH($P290,-1)+1,$P$3:$P290,"&lt;"&amp;EOMONTH($P290,0)+1)=1,1,0),0)</f>
        <v>0</v>
      </c>
      <c r="U290">
        <f t="shared" si="47"/>
        <v>0</v>
      </c>
      <c r="V290">
        <f>IF(AND($U290=1,$M290&lt;&gt;""),IF(COUNTIFS($M$3:$M290,$M290,$O$3:$O290,$O290,$U$3:$U290,1,$P$3:$P290,"&gt;="&amp;EOMONTH($P290,-1)+1,$P$3:$P290,"&lt;"&amp;EOMONTH($P290,0)+1)=1,1,0),0)</f>
        <v>0</v>
      </c>
      <c r="W290" s="444">
        <f ca="1">TODAY()-Table1[[#This Row],[Change Date]]</f>
        <v>202.44444444444525</v>
      </c>
      <c r="X290" s="422" t="str">
        <f t="shared" si="48"/>
        <v/>
      </c>
      <c r="Y290" s="476">
        <f ca="1">IF(Table1[[#This Row],[Next Stage Date]]&lt;&gt;"",Table1[[#This Row],[Next Stage Date]]-Table1[[#This Row],[Change Date]],TODAY()-Table1[[#This Row],[Change Date]])</f>
        <v>202.44444444444525</v>
      </c>
      <c r="Z290" s="476">
        <f t="shared" si="49"/>
        <v>1</v>
      </c>
      <c r="AA290" s="422" t="str">
        <f t="shared" si="50"/>
        <v/>
      </c>
      <c r="AB290" s="422">
        <f t="shared" si="51"/>
        <v>45695.324305555558</v>
      </c>
      <c r="AC290" s="476">
        <f t="shared" si="52"/>
        <v>130.32430555555766</v>
      </c>
      <c r="AD290" s="476" t="str">
        <f t="shared" si="53"/>
        <v/>
      </c>
      <c r="AE290" s="476" t="str">
        <f t="shared" si="54"/>
        <v/>
      </c>
      <c r="AF290" s="476" t="b">
        <f>IFERROR(_xlfn.XLOOKUP(Table1[[#This Row],[Opportunity ID]],'Aging Detail'!$H$14:$H$20,'Aging Detail'!$F$14:$F$20),TRUE)</f>
        <v>1</v>
      </c>
    </row>
    <row r="291" spans="1:32">
      <c r="A291" t="s">
        <v>1461</v>
      </c>
      <c r="B291" t="s">
        <v>1462</v>
      </c>
      <c r="C291" t="s">
        <v>462</v>
      </c>
      <c r="D291" t="s">
        <v>2278</v>
      </c>
      <c r="E291" t="s">
        <v>652</v>
      </c>
      <c r="F291" t="s">
        <v>470</v>
      </c>
      <c r="I291" s="422">
        <v>45834</v>
      </c>
      <c r="J291" s="422">
        <v>46202</v>
      </c>
      <c r="K291">
        <v>342355</v>
      </c>
      <c r="L291">
        <v>90785</v>
      </c>
      <c r="M291" t="s">
        <v>1793</v>
      </c>
      <c r="N291" t="s">
        <v>647</v>
      </c>
      <c r="O291" t="str">
        <f>_xlfn.IFNA(VLOOKUP(Table1[[#This Row],[Lead Source]],'helper tab'!A:B,2,FALSE),"Exclude")</f>
        <v>Digital</v>
      </c>
      <c r="P291" s="422">
        <f t="shared" si="44"/>
        <v>46055.431944444441</v>
      </c>
      <c r="Q291">
        <f t="shared" si="45"/>
        <v>1</v>
      </c>
      <c r="R291">
        <f t="shared" si="46"/>
        <v>0</v>
      </c>
      <c r="S291">
        <f>IF(
AND($Q291=1,$M291&lt;&gt;""),
IF(
COUNTIFS(
$M$3:$M291,$M291,
$O$3:$O291,$O291,
$Q$3:$Q291,1,
$P$3:$P291,"&gt;="&amp;EOMONTH($P291,-1)+1,
$P$3:$P291,"&lt;"&amp;EOMONTH($P291,0)+1
)=1,
1,
0),
0)</f>
        <v>0</v>
      </c>
      <c r="T291">
        <f>IF(AND($R291=1,$M291&lt;&gt;""),IF(COUNTIFS($M$3:$M291,$M291,$O$3:$O291,$O291,$R$3:$R291,1,$P$3:$P291,"&gt;="&amp;EOMONTH($P291,-1)+1,$P$3:$P291,"&lt;"&amp;EOMONTH($P291,0)+1)=1,1,0),0)</f>
        <v>0</v>
      </c>
      <c r="U291">
        <f t="shared" si="47"/>
        <v>0</v>
      </c>
      <c r="V291">
        <f>IF(AND($U291=1,$M291&lt;&gt;""),IF(COUNTIFS($M$3:$M291,$M291,$O$3:$O291,$O291,$U$3:$U291,1,$P$3:$P291,"&gt;="&amp;EOMONTH($P291,-1)+1,$P$3:$P291,"&lt;"&amp;EOMONTH($P291,0)+1)=1,1,0),0)</f>
        <v>0</v>
      </c>
      <c r="W291" s="444">
        <f ca="1">TODAY()-Table1[[#This Row],[Change Date]]</f>
        <v>202.56805555555911</v>
      </c>
      <c r="X291" s="422">
        <f t="shared" si="48"/>
        <v>46058.269444444442</v>
      </c>
      <c r="Y291" s="476">
        <f ca="1">IF(Table1[[#This Row],[Next Stage Date]]&lt;&gt;"",Table1[[#This Row],[Next Stage Date]]-Table1[[#This Row],[Change Date]],TODAY()-Table1[[#This Row],[Change Date]])</f>
        <v>2.8375000000014552</v>
      </c>
      <c r="Z291" s="476">
        <f t="shared" si="49"/>
        <v>0</v>
      </c>
      <c r="AA291" s="422">
        <f t="shared" si="50"/>
        <v>46203.63958333333</v>
      </c>
      <c r="AB291" s="422">
        <f t="shared" si="51"/>
        <v>46055.431944444441</v>
      </c>
      <c r="AC291" s="476">
        <f t="shared" si="52"/>
        <v>221.43194444444089</v>
      </c>
      <c r="AD291" s="476">
        <f t="shared" si="53"/>
        <v>148.20763888888905</v>
      </c>
      <c r="AE291" s="476">
        <f t="shared" si="54"/>
        <v>369.63958333332994</v>
      </c>
      <c r="AF291" s="476" t="b">
        <f>IFERROR(_xlfn.XLOOKUP(Table1[[#This Row],[Opportunity ID]],'Aging Detail'!$H$14:$H$20,'Aging Detail'!$F$14:$F$20),TRUE)</f>
        <v>1</v>
      </c>
    </row>
    <row r="292" spans="1:32">
      <c r="A292" t="s">
        <v>1461</v>
      </c>
      <c r="B292" t="s">
        <v>408</v>
      </c>
      <c r="C292" t="s">
        <v>1462</v>
      </c>
      <c r="D292" t="s">
        <v>2279</v>
      </c>
      <c r="E292" t="s">
        <v>2242</v>
      </c>
      <c r="F292" t="s">
        <v>1477</v>
      </c>
      <c r="G292" t="s">
        <v>1477</v>
      </c>
      <c r="I292" s="422">
        <v>45915</v>
      </c>
      <c r="J292" s="422">
        <v>46259</v>
      </c>
      <c r="K292">
        <v>0</v>
      </c>
      <c r="L292">
        <v>0</v>
      </c>
      <c r="M292" t="s">
        <v>2243</v>
      </c>
      <c r="N292" t="s">
        <v>1717</v>
      </c>
      <c r="O292" t="str">
        <f>_xlfn.IFNA(VLOOKUP(Table1[[#This Row],[Lead Source]],'helper tab'!A:B,2,FALSE),"Exclude")</f>
        <v>Cold</v>
      </c>
      <c r="P292" s="422">
        <f t="shared" si="44"/>
        <v>46055.109722222223</v>
      </c>
      <c r="Q292">
        <f t="shared" si="45"/>
        <v>0</v>
      </c>
      <c r="R292">
        <f t="shared" si="46"/>
        <v>0</v>
      </c>
      <c r="S292">
        <f>IF(
AND($Q292=1,$M292&lt;&gt;""),
IF(
COUNTIFS(
$M$3:$M292,$M292,
$O$3:$O292,$O292,
$Q$3:$Q292,1,
$P$3:$P292,"&gt;="&amp;EOMONTH($P292,-1)+1,
$P$3:$P292,"&lt;"&amp;EOMONTH($P292,0)+1
)=1,
1,
0),
0)</f>
        <v>0</v>
      </c>
      <c r="T292">
        <f>IF(AND($R292=1,$M292&lt;&gt;""),IF(COUNTIFS($M$3:$M292,$M292,$O$3:$O292,$O292,$R$3:$R292,1,$P$3:$P292,"&gt;="&amp;EOMONTH($P292,-1)+1,$P$3:$P292,"&lt;"&amp;EOMONTH($P292,0)+1)=1,1,0),0)</f>
        <v>0</v>
      </c>
      <c r="U292">
        <f t="shared" si="47"/>
        <v>0</v>
      </c>
      <c r="V292">
        <f>IF(AND($U292=1,$M292&lt;&gt;""),IF(COUNTIFS($M$3:$M292,$M292,$O$3:$O292,$O292,$U$3:$U292,1,$P$3:$P292,"&gt;="&amp;EOMONTH($P292,-1)+1,$P$3:$P292,"&lt;"&amp;EOMONTH($P292,0)+1)=1,1,0),0)</f>
        <v>0</v>
      </c>
      <c r="W292" s="444">
        <f ca="1">TODAY()-Table1[[#This Row],[Change Date]]</f>
        <v>202.89027777777665</v>
      </c>
      <c r="X292" s="422">
        <f t="shared" si="48"/>
        <v>46059.397916666669</v>
      </c>
      <c r="Y292" s="476">
        <f ca="1">IF(Table1[[#This Row],[Next Stage Date]]&lt;&gt;"",Table1[[#This Row],[Next Stage Date]]-Table1[[#This Row],[Change Date]],TODAY()-Table1[[#This Row],[Change Date]])</f>
        <v>4.2881944444452529</v>
      </c>
      <c r="Z292" s="476">
        <f t="shared" si="49"/>
        <v>0</v>
      </c>
      <c r="AA292" s="422" t="str">
        <f t="shared" si="50"/>
        <v/>
      </c>
      <c r="AB292" s="422">
        <f t="shared" si="51"/>
        <v>46059.397916666669</v>
      </c>
      <c r="AC292" s="476">
        <f t="shared" si="52"/>
        <v>144.39791666666861</v>
      </c>
      <c r="AD292" s="476" t="str">
        <f t="shared" si="53"/>
        <v/>
      </c>
      <c r="AE292" s="476" t="str">
        <f t="shared" si="54"/>
        <v/>
      </c>
      <c r="AF292" s="476" t="b">
        <f>IFERROR(_xlfn.XLOOKUP(Table1[[#This Row],[Opportunity ID]],'Aging Detail'!$H$14:$H$20,'Aging Detail'!$F$14:$F$20),TRUE)</f>
        <v>1</v>
      </c>
    </row>
    <row r="293" spans="1:32">
      <c r="A293" t="s">
        <v>1461</v>
      </c>
      <c r="B293" t="s">
        <v>462</v>
      </c>
      <c r="C293" t="s">
        <v>526</v>
      </c>
      <c r="D293" t="s">
        <v>2280</v>
      </c>
      <c r="E293" t="s">
        <v>2281</v>
      </c>
      <c r="F293" t="s">
        <v>1465</v>
      </c>
      <c r="I293" s="422">
        <v>45937</v>
      </c>
      <c r="J293" s="422">
        <v>46234</v>
      </c>
      <c r="K293">
        <v>247500</v>
      </c>
      <c r="L293">
        <v>247500</v>
      </c>
      <c r="M293" t="s">
        <v>2282</v>
      </c>
      <c r="N293" t="s">
        <v>1568</v>
      </c>
      <c r="O293" t="str">
        <f>_xlfn.IFNA(VLOOKUP(Table1[[#This Row],[Lead Source]],'helper tab'!A:B,2,FALSE),"Exclude")</f>
        <v>Exclude</v>
      </c>
      <c r="P293" s="422">
        <f t="shared" si="44"/>
        <v>46052.534722222219</v>
      </c>
      <c r="Q293">
        <f t="shared" si="45"/>
        <v>1</v>
      </c>
      <c r="R293">
        <f t="shared" si="46"/>
        <v>0</v>
      </c>
      <c r="S293">
        <f>IF(
AND($Q293=1,$M293&lt;&gt;""),
IF(
COUNTIFS(
$M$3:$M293,$M293,
$O$3:$O293,$O293,
$Q$3:$Q293,1,
$P$3:$P293,"&gt;="&amp;EOMONTH($P293,-1)+1,
$P$3:$P293,"&lt;"&amp;EOMONTH($P293,0)+1
)=1,
1,
0),
0)</f>
        <v>1</v>
      </c>
      <c r="T293">
        <f>IF(AND($R293=1,$M293&lt;&gt;""),IF(COUNTIFS($M$3:$M293,$M293,$O$3:$O293,$O293,$R$3:$R293,1,$P$3:$P293,"&gt;="&amp;EOMONTH($P293,-1)+1,$P$3:$P293,"&lt;"&amp;EOMONTH($P293,0)+1)=1,1,0),0)</f>
        <v>0</v>
      </c>
      <c r="U293">
        <f t="shared" si="47"/>
        <v>0</v>
      </c>
      <c r="V293">
        <f>IF(AND($U293=1,$M293&lt;&gt;""),IF(COUNTIFS($M$3:$M293,$M293,$O$3:$O293,$O293,$U$3:$U293,1,$P$3:$P293,"&gt;="&amp;EOMONTH($P293,-1)+1,$P$3:$P293,"&lt;"&amp;EOMONTH($P293,0)+1)=1,1,0),0)</f>
        <v>0</v>
      </c>
      <c r="W293" s="444">
        <f ca="1">TODAY()-Table1[[#This Row],[Change Date]]</f>
        <v>205.46527777778101</v>
      </c>
      <c r="X293" s="422" t="str">
        <f t="shared" si="48"/>
        <v/>
      </c>
      <c r="Y293" s="476">
        <f ca="1">IF(Table1[[#This Row],[Next Stage Date]]&lt;&gt;"",Table1[[#This Row],[Next Stage Date]]-Table1[[#This Row],[Change Date]],TODAY()-Table1[[#This Row],[Change Date]])</f>
        <v>205.46527777778101</v>
      </c>
      <c r="Z293" s="476">
        <f t="shared" si="49"/>
        <v>1</v>
      </c>
      <c r="AA293" s="422" t="str">
        <f t="shared" si="50"/>
        <v/>
      </c>
      <c r="AB293" s="422">
        <f t="shared" si="51"/>
        <v>45937.28125</v>
      </c>
      <c r="AC293" s="476">
        <f t="shared" si="52"/>
        <v>0.28125</v>
      </c>
      <c r="AD293" s="476" t="str">
        <f t="shared" si="53"/>
        <v/>
      </c>
      <c r="AE293" s="476" t="str">
        <f t="shared" si="54"/>
        <v/>
      </c>
      <c r="AF293" s="476" t="b">
        <f>IFERROR(_xlfn.XLOOKUP(Table1[[#This Row],[Opportunity ID]],'Aging Detail'!$H$14:$H$20,'Aging Detail'!$F$14:$F$20),TRUE)</f>
        <v>1</v>
      </c>
    </row>
    <row r="294" spans="1:32">
      <c r="A294" t="s">
        <v>1461</v>
      </c>
      <c r="B294" t="s">
        <v>408</v>
      </c>
      <c r="C294" t="s">
        <v>1462</v>
      </c>
      <c r="D294" t="s">
        <v>2280</v>
      </c>
      <c r="E294" t="s">
        <v>2283</v>
      </c>
      <c r="F294" t="s">
        <v>1468</v>
      </c>
      <c r="I294" s="422">
        <v>45610</v>
      </c>
      <c r="J294" s="422">
        <v>46377</v>
      </c>
      <c r="K294">
        <v>864000</v>
      </c>
      <c r="L294">
        <v>864000</v>
      </c>
      <c r="M294" t="s">
        <v>2284</v>
      </c>
      <c r="N294" t="s">
        <v>1568</v>
      </c>
      <c r="O294" t="str">
        <f>_xlfn.IFNA(VLOOKUP(Table1[[#This Row],[Lead Source]],'helper tab'!A:B,2,FALSE),"Exclude")</f>
        <v>Events</v>
      </c>
      <c r="P294" s="422">
        <f t="shared" si="44"/>
        <v>46052.534722222219</v>
      </c>
      <c r="Q294">
        <f t="shared" si="45"/>
        <v>0</v>
      </c>
      <c r="R294">
        <f t="shared" si="46"/>
        <v>0</v>
      </c>
      <c r="S294">
        <f>IF(
AND($Q294=1,$M294&lt;&gt;""),
IF(
COUNTIFS(
$M$3:$M294,$M294,
$O$3:$O294,$O294,
$Q$3:$Q294,1,
$P$3:$P294,"&gt;="&amp;EOMONTH($P294,-1)+1,
$P$3:$P294,"&lt;"&amp;EOMONTH($P294,0)+1
)=1,
1,
0),
0)</f>
        <v>0</v>
      </c>
      <c r="T294">
        <f>IF(AND($R294=1,$M294&lt;&gt;""),IF(COUNTIFS($M$3:$M294,$M294,$O$3:$O294,$O294,$R$3:$R294,1,$P$3:$P294,"&gt;="&amp;EOMONTH($P294,-1)+1,$P$3:$P294,"&lt;"&amp;EOMONTH($P294,0)+1)=1,1,0),0)</f>
        <v>0</v>
      </c>
      <c r="U294">
        <f t="shared" si="47"/>
        <v>0</v>
      </c>
      <c r="V294">
        <f>IF(AND($U294=1,$M294&lt;&gt;""),IF(COUNTIFS($M$3:$M294,$M294,$O$3:$O294,$O294,$U$3:$U294,1,$P$3:$P294,"&gt;="&amp;EOMONTH($P294,-1)+1,$P$3:$P294,"&lt;"&amp;EOMONTH($P294,0)+1)=1,1,0),0)</f>
        <v>0</v>
      </c>
      <c r="W294" s="444">
        <f ca="1">TODAY()-Table1[[#This Row],[Change Date]]</f>
        <v>205.46527777778101</v>
      </c>
      <c r="X294" s="422" t="str">
        <f t="shared" si="48"/>
        <v/>
      </c>
      <c r="Y294" s="476">
        <f ca="1">IF(Table1[[#This Row],[Next Stage Date]]&lt;&gt;"",Table1[[#This Row],[Next Stage Date]]-Table1[[#This Row],[Change Date]],TODAY()-Table1[[#This Row],[Change Date]])</f>
        <v>205.46527777778101</v>
      </c>
      <c r="Z294" s="476">
        <f t="shared" si="49"/>
        <v>1</v>
      </c>
      <c r="AA294" s="422" t="str">
        <f t="shared" si="50"/>
        <v/>
      </c>
      <c r="AB294" s="422" t="str">
        <f t="shared" si="51"/>
        <v/>
      </c>
      <c r="AC294" s="476" t="str">
        <f t="shared" si="52"/>
        <v/>
      </c>
      <c r="AD294" s="476" t="str">
        <f t="shared" si="53"/>
        <v/>
      </c>
      <c r="AE294" s="476" t="str">
        <f t="shared" si="54"/>
        <v/>
      </c>
      <c r="AF294" s="476" t="b">
        <f>IFERROR(_xlfn.XLOOKUP(Table1[[#This Row],[Opportunity ID]],'Aging Detail'!$H$14:$H$20,'Aging Detail'!$F$14:$F$20),TRUE)</f>
        <v>1</v>
      </c>
    </row>
    <row r="295" spans="1:32">
      <c r="A295" t="s">
        <v>1461</v>
      </c>
      <c r="B295" t="s">
        <v>408</v>
      </c>
      <c r="C295" t="s">
        <v>1469</v>
      </c>
      <c r="D295" t="s">
        <v>2285</v>
      </c>
      <c r="E295" t="s">
        <v>2286</v>
      </c>
      <c r="F295" t="s">
        <v>148</v>
      </c>
      <c r="H295" t="s">
        <v>2287</v>
      </c>
      <c r="I295" s="422">
        <v>45130</v>
      </c>
      <c r="J295" s="422">
        <v>46052</v>
      </c>
      <c r="K295">
        <v>179000</v>
      </c>
      <c r="L295">
        <v>39000</v>
      </c>
      <c r="M295" t="s">
        <v>2288</v>
      </c>
      <c r="N295" t="s">
        <v>2289</v>
      </c>
      <c r="O295" t="str">
        <f>_xlfn.IFNA(VLOOKUP(Table1[[#This Row],[Lead Source]],'helper tab'!A:B,2,FALSE),"Exclude")</f>
        <v>Alliances</v>
      </c>
      <c r="P295" s="422">
        <f t="shared" si="44"/>
        <v>46052.322222222225</v>
      </c>
      <c r="Q295">
        <f t="shared" si="45"/>
        <v>0</v>
      </c>
      <c r="R295">
        <f t="shared" si="46"/>
        <v>0</v>
      </c>
      <c r="S295">
        <f>IF(
AND($Q295=1,$M295&lt;&gt;""),
IF(
COUNTIFS(
$M$3:$M295,$M295,
$O$3:$O295,$O295,
$Q$3:$Q295,1,
$P$3:$P295,"&gt;="&amp;EOMONTH($P295,-1)+1,
$P$3:$P295,"&lt;"&amp;EOMONTH($P295,0)+1
)=1,
1,
0),
0)</f>
        <v>0</v>
      </c>
      <c r="T295">
        <f>IF(AND($R295=1,$M295&lt;&gt;""),IF(COUNTIFS($M$3:$M295,$M295,$O$3:$O295,$O295,$R$3:$R295,1,$P$3:$P295,"&gt;="&amp;EOMONTH($P295,-1)+1,$P$3:$P295,"&lt;"&amp;EOMONTH($P295,0)+1)=1,1,0),0)</f>
        <v>0</v>
      </c>
      <c r="U295">
        <f t="shared" si="47"/>
        <v>1</v>
      </c>
      <c r="V295">
        <f>IF(AND($U295=1,$M295&lt;&gt;""),IF(COUNTIFS($M$3:$M295,$M295,$O$3:$O295,$O295,$U$3:$U295,1,$P$3:$P295,"&gt;="&amp;EOMONTH($P295,-1)+1,$P$3:$P295,"&lt;"&amp;EOMONTH($P295,0)+1)=1,1,0),0)</f>
        <v>1</v>
      </c>
      <c r="W295" s="444">
        <f ca="1">TODAY()-Table1[[#This Row],[Change Date]]</f>
        <v>205.67777777777519</v>
      </c>
      <c r="X295" s="422" t="str">
        <f t="shared" si="48"/>
        <v/>
      </c>
      <c r="Y295" s="476">
        <f ca="1">IF(Table1[[#This Row],[Next Stage Date]]&lt;&gt;"",Table1[[#This Row],[Next Stage Date]]-Table1[[#This Row],[Change Date]],TODAY()-Table1[[#This Row],[Change Date]])</f>
        <v>205.67777777777519</v>
      </c>
      <c r="Z295" s="476">
        <f t="shared" si="49"/>
        <v>1</v>
      </c>
      <c r="AA295" s="422" t="str">
        <f t="shared" si="50"/>
        <v/>
      </c>
      <c r="AB295" s="422" t="str">
        <f t="shared" si="51"/>
        <v/>
      </c>
      <c r="AC295" s="476" t="str">
        <f t="shared" si="52"/>
        <v/>
      </c>
      <c r="AD295" s="476" t="str">
        <f t="shared" si="53"/>
        <v/>
      </c>
      <c r="AE295" s="476" t="str">
        <f t="shared" si="54"/>
        <v/>
      </c>
      <c r="AF295" s="476" t="b">
        <f>IFERROR(_xlfn.XLOOKUP(Table1[[#This Row],[Opportunity ID]],'Aging Detail'!$H$14:$H$20,'Aging Detail'!$F$14:$F$20),TRUE)</f>
        <v>1</v>
      </c>
    </row>
    <row r="296" spans="1:32">
      <c r="A296" t="s">
        <v>1461</v>
      </c>
      <c r="B296" t="s">
        <v>408</v>
      </c>
      <c r="C296" t="s">
        <v>1462</v>
      </c>
      <c r="D296" t="s">
        <v>2290</v>
      </c>
      <c r="E296" t="s">
        <v>1943</v>
      </c>
      <c r="F296" t="s">
        <v>1465</v>
      </c>
      <c r="I296" s="422">
        <v>45981</v>
      </c>
      <c r="J296" s="422">
        <v>46381</v>
      </c>
      <c r="K296">
        <v>359200</v>
      </c>
      <c r="L296">
        <v>259200</v>
      </c>
      <c r="M296" t="s">
        <v>1944</v>
      </c>
      <c r="N296" t="s">
        <v>1945</v>
      </c>
      <c r="O296" t="str">
        <f>_xlfn.IFNA(VLOOKUP(Table1[[#This Row],[Lead Source]],'helper tab'!A:B,2,FALSE),"Exclude")</f>
        <v>Exclude</v>
      </c>
      <c r="P296" s="422">
        <f t="shared" si="44"/>
        <v>46048.305555555555</v>
      </c>
      <c r="Q296">
        <f t="shared" si="45"/>
        <v>0</v>
      </c>
      <c r="R296">
        <f t="shared" si="46"/>
        <v>0</v>
      </c>
      <c r="S296">
        <f>IF(
AND($Q296=1,$M296&lt;&gt;""),
IF(
COUNTIFS(
$M$3:$M296,$M296,
$O$3:$O296,$O296,
$Q$3:$Q296,1,
$P$3:$P296,"&gt;="&amp;EOMONTH($P296,-1)+1,
$P$3:$P296,"&lt;"&amp;EOMONTH($P296,0)+1
)=1,
1,
0),
0)</f>
        <v>0</v>
      </c>
      <c r="T296">
        <f>IF(AND($R296=1,$M296&lt;&gt;""),IF(COUNTIFS($M$3:$M296,$M296,$O$3:$O296,$O296,$R$3:$R296,1,$P$3:$P296,"&gt;="&amp;EOMONTH($P296,-1)+1,$P$3:$P296,"&lt;"&amp;EOMONTH($P296,0)+1)=1,1,0),0)</f>
        <v>0</v>
      </c>
      <c r="U296">
        <f t="shared" si="47"/>
        <v>0</v>
      </c>
      <c r="V296">
        <f>IF(AND($U296=1,$M296&lt;&gt;""),IF(COUNTIFS($M$3:$M296,$M296,$O$3:$O296,$O296,$U$3:$U296,1,$P$3:$P296,"&gt;="&amp;EOMONTH($P296,-1)+1,$P$3:$P296,"&lt;"&amp;EOMONTH($P296,0)+1)=1,1,0),0)</f>
        <v>0</v>
      </c>
      <c r="W296" s="444">
        <f ca="1">TODAY()-Table1[[#This Row],[Change Date]]</f>
        <v>209.69444444444525</v>
      </c>
      <c r="X296" s="422">
        <f t="shared" si="48"/>
        <v>46163.581944444442</v>
      </c>
      <c r="Y296" s="476">
        <f ca="1">IF(Table1[[#This Row],[Next Stage Date]]&lt;&gt;"",Table1[[#This Row],[Next Stage Date]]-Table1[[#This Row],[Change Date]],TODAY()-Table1[[#This Row],[Change Date]])</f>
        <v>115.2763888888876</v>
      </c>
      <c r="Z296" s="476">
        <f t="shared" si="49"/>
        <v>0</v>
      </c>
      <c r="AA296" s="422" t="str">
        <f t="shared" si="50"/>
        <v/>
      </c>
      <c r="AB296" s="422" t="str">
        <f t="shared" si="51"/>
        <v/>
      </c>
      <c r="AC296" s="476" t="str">
        <f t="shared" si="52"/>
        <v/>
      </c>
      <c r="AD296" s="476" t="str">
        <f t="shared" si="53"/>
        <v/>
      </c>
      <c r="AE296" s="476" t="str">
        <f t="shared" si="54"/>
        <v/>
      </c>
      <c r="AF296" s="476" t="b">
        <f>IFERROR(_xlfn.XLOOKUP(Table1[[#This Row],[Opportunity ID]],'Aging Detail'!$H$14:$H$20,'Aging Detail'!$F$14:$F$20),TRUE)</f>
        <v>1</v>
      </c>
    </row>
    <row r="297" spans="1:32">
      <c r="A297" t="s">
        <v>1461</v>
      </c>
      <c r="B297" t="s">
        <v>1462</v>
      </c>
      <c r="C297" t="s">
        <v>563</v>
      </c>
      <c r="D297" t="s">
        <v>2291</v>
      </c>
      <c r="E297" t="s">
        <v>2292</v>
      </c>
      <c r="F297" t="s">
        <v>1465</v>
      </c>
      <c r="I297" s="422">
        <v>45937</v>
      </c>
      <c r="J297" s="422">
        <v>46045</v>
      </c>
      <c r="K297">
        <v>64000</v>
      </c>
      <c r="L297">
        <v>0</v>
      </c>
      <c r="M297" t="s">
        <v>2293</v>
      </c>
      <c r="N297" t="s">
        <v>1524</v>
      </c>
      <c r="O297" t="str">
        <f>_xlfn.IFNA(VLOOKUP(Table1[[#This Row],[Lead Source]],'helper tab'!A:B,2,FALSE),"Exclude")</f>
        <v>Exclude</v>
      </c>
      <c r="P297" s="422">
        <f t="shared" si="44"/>
        <v>46045.51666666667</v>
      </c>
      <c r="Q297">
        <f t="shared" si="45"/>
        <v>0</v>
      </c>
      <c r="R297">
        <f t="shared" si="46"/>
        <v>1</v>
      </c>
      <c r="S297">
        <f>IF(
AND($Q297=1,$M297&lt;&gt;""),
IF(
COUNTIFS(
$M$3:$M297,$M297,
$O$3:$O297,$O297,
$Q$3:$Q297,1,
$P$3:$P297,"&gt;="&amp;EOMONTH($P297,-1)+1,
$P$3:$P297,"&lt;"&amp;EOMONTH($P297,0)+1
)=1,
1,
0),
0)</f>
        <v>0</v>
      </c>
      <c r="T297">
        <f>IF(AND($R297=1,$M297&lt;&gt;""),IF(COUNTIFS($M$3:$M297,$M297,$O$3:$O297,$O297,$R$3:$R297,1,$P$3:$P297,"&gt;="&amp;EOMONTH($P297,-1)+1,$P$3:$P297,"&lt;"&amp;EOMONTH($P297,0)+1)=1,1,0),0)</f>
        <v>1</v>
      </c>
      <c r="U297">
        <f t="shared" si="47"/>
        <v>0</v>
      </c>
      <c r="V297">
        <f>IF(AND($U297=1,$M297&lt;&gt;""),IF(COUNTIFS($M$3:$M297,$M297,$O$3:$O297,$O297,$U$3:$U297,1,$P$3:$P297,"&gt;="&amp;EOMONTH($P297,-1)+1,$P$3:$P297,"&lt;"&amp;EOMONTH($P297,0)+1)=1,1,0),0)</f>
        <v>0</v>
      </c>
      <c r="W297" s="444">
        <f ca="1">TODAY()-Table1[[#This Row],[Change Date]]</f>
        <v>212.48333333332994</v>
      </c>
      <c r="X297" s="422" t="str">
        <f t="shared" si="48"/>
        <v/>
      </c>
      <c r="Y297" s="476">
        <f ca="1">IF(Table1[[#This Row],[Next Stage Date]]&lt;&gt;"",Table1[[#This Row],[Next Stage Date]]-Table1[[#This Row],[Change Date]],TODAY()-Table1[[#This Row],[Change Date]])</f>
        <v>212.48333333332994</v>
      </c>
      <c r="Z297" s="476">
        <f t="shared" si="49"/>
        <v>1</v>
      </c>
      <c r="AA297" s="422">
        <f t="shared" si="50"/>
        <v>46045.51666666667</v>
      </c>
      <c r="AB297" s="422" t="str">
        <f t="shared" si="51"/>
        <v/>
      </c>
      <c r="AC297" s="476" t="str">
        <f t="shared" si="52"/>
        <v/>
      </c>
      <c r="AD297" s="476" t="str">
        <f t="shared" si="53"/>
        <v/>
      </c>
      <c r="AE297" s="476">
        <f t="shared" si="54"/>
        <v>108.51666666667006</v>
      </c>
      <c r="AF297" s="476" t="b">
        <f>IFERROR(_xlfn.XLOOKUP(Table1[[#This Row],[Opportunity ID]],'Aging Detail'!$H$14:$H$20,'Aging Detail'!$F$14:$F$20),TRUE)</f>
        <v>1</v>
      </c>
    </row>
    <row r="298" spans="1:32">
      <c r="A298" t="s">
        <v>1461</v>
      </c>
      <c r="B298" t="s">
        <v>526</v>
      </c>
      <c r="C298" t="s">
        <v>1469</v>
      </c>
      <c r="D298" t="s">
        <v>2294</v>
      </c>
      <c r="E298" t="s">
        <v>2295</v>
      </c>
      <c r="I298" s="422">
        <v>46044</v>
      </c>
      <c r="J298" s="422">
        <v>46044</v>
      </c>
      <c r="K298">
        <v>0</v>
      </c>
      <c r="L298">
        <v>0</v>
      </c>
      <c r="M298" t="s">
        <v>2296</v>
      </c>
      <c r="N298" t="s">
        <v>2297</v>
      </c>
      <c r="O298" t="str">
        <f>_xlfn.IFNA(VLOOKUP(Table1[[#This Row],[Lead Source]],'helper tab'!A:B,2,FALSE),"Exclude")</f>
        <v>Exclude</v>
      </c>
      <c r="P298" s="422">
        <f t="shared" si="44"/>
        <v>46044.618750000001</v>
      </c>
      <c r="Q298">
        <f t="shared" si="45"/>
        <v>0</v>
      </c>
      <c r="R298">
        <f t="shared" si="46"/>
        <v>0</v>
      </c>
      <c r="S298">
        <f>IF(
AND($Q298=1,$M298&lt;&gt;""),
IF(
COUNTIFS(
$M$3:$M298,$M298,
$O$3:$O298,$O298,
$Q$3:$Q298,1,
$P$3:$P298,"&gt;="&amp;EOMONTH($P298,-1)+1,
$P$3:$P298,"&lt;"&amp;EOMONTH($P298,0)+1
)=1,
1,
0),
0)</f>
        <v>0</v>
      </c>
      <c r="T298">
        <f>IF(AND($R298=1,$M298&lt;&gt;""),IF(COUNTIFS($M$3:$M298,$M298,$O$3:$O298,$O298,$R$3:$R298,1,$P$3:$P298,"&gt;="&amp;EOMONTH($P298,-1)+1,$P$3:$P298,"&lt;"&amp;EOMONTH($P298,0)+1)=1,1,0),0)</f>
        <v>0</v>
      </c>
      <c r="U298">
        <f t="shared" si="47"/>
        <v>1</v>
      </c>
      <c r="V298">
        <f>IF(AND($U298=1,$M298&lt;&gt;""),IF(COUNTIFS($M$3:$M298,$M298,$O$3:$O298,$O298,$U$3:$U298,1,$P$3:$P298,"&gt;="&amp;EOMONTH($P298,-1)+1,$P$3:$P298,"&lt;"&amp;EOMONTH($P298,0)+1)=1,1,0),0)</f>
        <v>1</v>
      </c>
      <c r="W298" s="444">
        <f ca="1">TODAY()-Table1[[#This Row],[Change Date]]</f>
        <v>213.38124999999854</v>
      </c>
      <c r="X298" s="422" t="str">
        <f t="shared" si="48"/>
        <v/>
      </c>
      <c r="Y298" s="476">
        <f ca="1">IF(Table1[[#This Row],[Next Stage Date]]&lt;&gt;"",Table1[[#This Row],[Next Stage Date]]-Table1[[#This Row],[Change Date]],TODAY()-Table1[[#This Row],[Change Date]])</f>
        <v>213.38124999999854</v>
      </c>
      <c r="Z298" s="476">
        <f t="shared" si="49"/>
        <v>1</v>
      </c>
      <c r="AA298" s="422" t="str">
        <f t="shared" si="50"/>
        <v/>
      </c>
      <c r="AB298" s="422" t="str">
        <f t="shared" si="51"/>
        <v/>
      </c>
      <c r="AC298" s="476" t="str">
        <f t="shared" si="52"/>
        <v/>
      </c>
      <c r="AD298" s="476" t="str">
        <f t="shared" si="53"/>
        <v/>
      </c>
      <c r="AE298" s="476" t="str">
        <f t="shared" si="54"/>
        <v/>
      </c>
      <c r="AF298" s="476" t="b">
        <f>IFERROR(_xlfn.XLOOKUP(Table1[[#This Row],[Opportunity ID]],'Aging Detail'!$H$14:$H$20,'Aging Detail'!$F$14:$F$20),TRUE)</f>
        <v>1</v>
      </c>
    </row>
    <row r="299" spans="1:32">
      <c r="A299" t="s">
        <v>1461</v>
      </c>
      <c r="B299" t="s">
        <v>526</v>
      </c>
      <c r="C299" t="s">
        <v>563</v>
      </c>
      <c r="D299" t="s">
        <v>2298</v>
      </c>
      <c r="E299" t="s">
        <v>2299</v>
      </c>
      <c r="I299" s="422">
        <v>45700</v>
      </c>
      <c r="J299" s="422">
        <v>46042</v>
      </c>
      <c r="K299">
        <v>363528</v>
      </c>
      <c r="L299">
        <v>363528</v>
      </c>
      <c r="M299" t="s">
        <v>2300</v>
      </c>
      <c r="N299" t="s">
        <v>2301</v>
      </c>
      <c r="O299" t="str">
        <f>_xlfn.IFNA(VLOOKUP(Table1[[#This Row],[Lead Source]],'helper tab'!A:B,2,FALSE),"Exclude")</f>
        <v>Exclude</v>
      </c>
      <c r="P299" s="422">
        <f t="shared" si="44"/>
        <v>46044.573611111111</v>
      </c>
      <c r="Q299">
        <f t="shared" si="45"/>
        <v>0</v>
      </c>
      <c r="R299">
        <f t="shared" si="46"/>
        <v>1</v>
      </c>
      <c r="S299">
        <f>IF(
AND($Q299=1,$M299&lt;&gt;""),
IF(
COUNTIFS(
$M$3:$M299,$M299,
$O$3:$O299,$O299,
$Q$3:$Q299,1,
$P$3:$P299,"&gt;="&amp;EOMONTH($P299,-1)+1,
$P$3:$P299,"&lt;"&amp;EOMONTH($P299,0)+1
)=1,
1,
0),
0)</f>
        <v>0</v>
      </c>
      <c r="T299">
        <f>IF(AND($R299=1,$M299&lt;&gt;""),IF(COUNTIFS($M$3:$M299,$M299,$O$3:$O299,$O299,$R$3:$R299,1,$P$3:$P299,"&gt;="&amp;EOMONTH($P299,-1)+1,$P$3:$P299,"&lt;"&amp;EOMONTH($P299,0)+1)=1,1,0),0)</f>
        <v>1</v>
      </c>
      <c r="U299">
        <f t="shared" si="47"/>
        <v>0</v>
      </c>
      <c r="V299">
        <f>IF(AND($U299=1,$M299&lt;&gt;""),IF(COUNTIFS($M$3:$M299,$M299,$O$3:$O299,$O299,$U$3:$U299,1,$P$3:$P299,"&gt;="&amp;EOMONTH($P299,-1)+1,$P$3:$P299,"&lt;"&amp;EOMONTH($P299,0)+1)=1,1,0),0)</f>
        <v>0</v>
      </c>
      <c r="W299" s="444">
        <f ca="1">TODAY()-Table1[[#This Row],[Change Date]]</f>
        <v>213.42638888888905</v>
      </c>
      <c r="X299" s="422" t="str">
        <f t="shared" si="48"/>
        <v/>
      </c>
      <c r="Y299" s="476">
        <f ca="1">IF(Table1[[#This Row],[Next Stage Date]]&lt;&gt;"",Table1[[#This Row],[Next Stage Date]]-Table1[[#This Row],[Change Date]],TODAY()-Table1[[#This Row],[Change Date]])</f>
        <v>213.42638888888905</v>
      </c>
      <c r="Z299" s="476">
        <f t="shared" si="49"/>
        <v>1</v>
      </c>
      <c r="AA299" s="422">
        <f t="shared" si="50"/>
        <v>46044.573611111111</v>
      </c>
      <c r="AB299" s="422">
        <f t="shared" si="51"/>
        <v>45931.404166666667</v>
      </c>
      <c r="AC299" s="476">
        <f t="shared" si="52"/>
        <v>231.40416666666715</v>
      </c>
      <c r="AD299" s="476">
        <f t="shared" si="53"/>
        <v>113.1694444444438</v>
      </c>
      <c r="AE299" s="476">
        <f t="shared" si="54"/>
        <v>344.57361111111095</v>
      </c>
      <c r="AF299" s="476" t="b">
        <f>IFERROR(_xlfn.XLOOKUP(Table1[[#This Row],[Opportunity ID]],'Aging Detail'!$H$14:$H$20,'Aging Detail'!$F$14:$F$20),TRUE)</f>
        <v>1</v>
      </c>
    </row>
    <row r="300" spans="1:32">
      <c r="A300" t="s">
        <v>1461</v>
      </c>
      <c r="B300" t="s">
        <v>338</v>
      </c>
      <c r="C300" t="s">
        <v>1469</v>
      </c>
      <c r="D300" t="s">
        <v>2302</v>
      </c>
      <c r="E300" t="s">
        <v>2303</v>
      </c>
      <c r="I300" s="422">
        <v>45370</v>
      </c>
      <c r="J300" s="422">
        <v>46660</v>
      </c>
      <c r="L300">
        <v>0</v>
      </c>
      <c r="M300" t="s">
        <v>2304</v>
      </c>
      <c r="N300" t="s">
        <v>2305</v>
      </c>
      <c r="O300" t="str">
        <f>_xlfn.IFNA(VLOOKUP(Table1[[#This Row],[Lead Source]],'helper tab'!A:B,2,FALSE),"Exclude")</f>
        <v>Exclude</v>
      </c>
      <c r="P300" s="422">
        <f t="shared" si="44"/>
        <v>46043.256249999999</v>
      </c>
      <c r="Q300">
        <f t="shared" si="45"/>
        <v>0</v>
      </c>
      <c r="R300">
        <f t="shared" si="46"/>
        <v>0</v>
      </c>
      <c r="S300">
        <f>IF(
AND($Q300=1,$M300&lt;&gt;""),
IF(
COUNTIFS(
$M$3:$M300,$M300,
$O$3:$O300,$O300,
$Q$3:$Q300,1,
$P$3:$P300,"&gt;="&amp;EOMONTH($P300,-1)+1,
$P$3:$P300,"&lt;"&amp;EOMONTH($P300,0)+1
)=1,
1,
0),
0)</f>
        <v>0</v>
      </c>
      <c r="T300">
        <f>IF(AND($R300=1,$M300&lt;&gt;""),IF(COUNTIFS($M$3:$M300,$M300,$O$3:$O300,$O300,$R$3:$R300,1,$P$3:$P300,"&gt;="&amp;EOMONTH($P300,-1)+1,$P$3:$P300,"&lt;"&amp;EOMONTH($P300,0)+1)=1,1,0),0)</f>
        <v>0</v>
      </c>
      <c r="U300">
        <f t="shared" si="47"/>
        <v>1</v>
      </c>
      <c r="V300">
        <f>IF(AND($U300=1,$M300&lt;&gt;""),IF(COUNTIFS($M$3:$M300,$M300,$O$3:$O300,$O300,$U$3:$U300,1,$P$3:$P300,"&gt;="&amp;EOMONTH($P300,-1)+1,$P$3:$P300,"&lt;"&amp;EOMONTH($P300,0)+1)=1,1,0),0)</f>
        <v>1</v>
      </c>
      <c r="W300" s="444">
        <f ca="1">TODAY()-Table1[[#This Row],[Change Date]]</f>
        <v>214.74375000000146</v>
      </c>
      <c r="X300" s="422" t="str">
        <f t="shared" si="48"/>
        <v/>
      </c>
      <c r="Y300" s="476">
        <f ca="1">IF(Table1[[#This Row],[Next Stage Date]]&lt;&gt;"",Table1[[#This Row],[Next Stage Date]]-Table1[[#This Row],[Change Date]],TODAY()-Table1[[#This Row],[Change Date]])</f>
        <v>214.74375000000146</v>
      </c>
      <c r="Z300" s="476">
        <f t="shared" si="49"/>
        <v>1</v>
      </c>
      <c r="AA300" s="422" t="str">
        <f t="shared" si="50"/>
        <v/>
      </c>
      <c r="AB300" s="422" t="str">
        <f t="shared" si="51"/>
        <v/>
      </c>
      <c r="AC300" s="476" t="str">
        <f t="shared" si="52"/>
        <v/>
      </c>
      <c r="AD300" s="476" t="str">
        <f t="shared" si="53"/>
        <v/>
      </c>
      <c r="AE300" s="476" t="str">
        <f t="shared" si="54"/>
        <v/>
      </c>
      <c r="AF300" s="476" t="b">
        <f>IFERROR(_xlfn.XLOOKUP(Table1[[#This Row],[Opportunity ID]],'Aging Detail'!$H$14:$H$20,'Aging Detail'!$F$14:$F$20),TRUE)</f>
        <v>1</v>
      </c>
    </row>
    <row r="301" spans="1:32">
      <c r="A301" t="s">
        <v>1461</v>
      </c>
      <c r="B301" t="s">
        <v>462</v>
      </c>
      <c r="C301" t="s">
        <v>1469</v>
      </c>
      <c r="D301" t="s">
        <v>2306</v>
      </c>
      <c r="E301" t="s">
        <v>2307</v>
      </c>
      <c r="I301" s="422">
        <v>45925</v>
      </c>
      <c r="J301" s="422">
        <v>46022</v>
      </c>
      <c r="K301">
        <v>22000</v>
      </c>
      <c r="L301">
        <v>0</v>
      </c>
      <c r="M301" t="s">
        <v>2308</v>
      </c>
      <c r="N301" t="s">
        <v>1748</v>
      </c>
      <c r="O301" t="str">
        <f>_xlfn.IFNA(VLOOKUP(Table1[[#This Row],[Lead Source]],'helper tab'!A:B,2,FALSE),"Exclude")</f>
        <v>Exclude</v>
      </c>
      <c r="P301" s="422">
        <f t="shared" si="44"/>
        <v>46042.479861111111</v>
      </c>
      <c r="Q301">
        <f t="shared" si="45"/>
        <v>0</v>
      </c>
      <c r="R301">
        <f t="shared" si="46"/>
        <v>0</v>
      </c>
      <c r="S301">
        <f>IF(
AND($Q301=1,$M301&lt;&gt;""),
IF(
COUNTIFS(
$M$3:$M301,$M301,
$O$3:$O301,$O301,
$Q$3:$Q301,1,
$P$3:$P301,"&gt;="&amp;EOMONTH($P301,-1)+1,
$P$3:$P301,"&lt;"&amp;EOMONTH($P301,0)+1
)=1,
1,
0),
0)</f>
        <v>0</v>
      </c>
      <c r="T301">
        <f>IF(AND($R301=1,$M301&lt;&gt;""),IF(COUNTIFS($M$3:$M301,$M301,$O$3:$O301,$O301,$R$3:$R301,1,$P$3:$P301,"&gt;="&amp;EOMONTH($P301,-1)+1,$P$3:$P301,"&lt;"&amp;EOMONTH($P301,0)+1)=1,1,0),0)</f>
        <v>0</v>
      </c>
      <c r="U301">
        <f t="shared" si="47"/>
        <v>1</v>
      </c>
      <c r="V301">
        <f>IF(AND($U301=1,$M301&lt;&gt;""),IF(COUNTIFS($M$3:$M301,$M301,$O$3:$O301,$O301,$U$3:$U301,1,$P$3:$P301,"&gt;="&amp;EOMONTH($P301,-1)+1,$P$3:$P301,"&lt;"&amp;EOMONTH($P301,0)+1)=1,1,0),0)</f>
        <v>1</v>
      </c>
      <c r="W301" s="444">
        <f ca="1">TODAY()-Table1[[#This Row],[Change Date]]</f>
        <v>215.52013888888905</v>
      </c>
      <c r="X301" s="422" t="str">
        <f t="shared" si="48"/>
        <v/>
      </c>
      <c r="Y301" s="476">
        <f ca="1">IF(Table1[[#This Row],[Next Stage Date]]&lt;&gt;"",Table1[[#This Row],[Next Stage Date]]-Table1[[#This Row],[Change Date]],TODAY()-Table1[[#This Row],[Change Date]])</f>
        <v>215.52013888888905</v>
      </c>
      <c r="Z301" s="476">
        <f t="shared" si="49"/>
        <v>1</v>
      </c>
      <c r="AA301" s="422" t="str">
        <f t="shared" si="50"/>
        <v/>
      </c>
      <c r="AB301" s="422">
        <f t="shared" si="51"/>
        <v>45936.582638888889</v>
      </c>
      <c r="AC301" s="476">
        <f t="shared" si="52"/>
        <v>11.582638888889051</v>
      </c>
      <c r="AD301" s="476" t="str">
        <f t="shared" si="53"/>
        <v/>
      </c>
      <c r="AE301" s="476" t="str">
        <f t="shared" si="54"/>
        <v/>
      </c>
      <c r="AF301" s="476" t="b">
        <f>IFERROR(_xlfn.XLOOKUP(Table1[[#This Row],[Opportunity ID]],'Aging Detail'!$H$14:$H$20,'Aging Detail'!$F$14:$F$20),TRUE)</f>
        <v>1</v>
      </c>
    </row>
    <row r="302" spans="1:32">
      <c r="A302" t="s">
        <v>1461</v>
      </c>
      <c r="B302" t="s">
        <v>338</v>
      </c>
      <c r="C302" t="s">
        <v>1469</v>
      </c>
      <c r="D302" t="s">
        <v>2309</v>
      </c>
      <c r="E302" t="s">
        <v>2310</v>
      </c>
      <c r="F302" t="s">
        <v>1465</v>
      </c>
      <c r="I302" s="422">
        <v>45946</v>
      </c>
      <c r="J302" s="422">
        <v>46234</v>
      </c>
      <c r="K302">
        <v>450000</v>
      </c>
      <c r="L302">
        <v>450000</v>
      </c>
      <c r="M302" t="s">
        <v>2311</v>
      </c>
      <c r="N302" t="s">
        <v>1748</v>
      </c>
      <c r="O302" t="str">
        <f>_xlfn.IFNA(VLOOKUP(Table1[[#This Row],[Lead Source]],'helper tab'!A:B,2,FALSE),"Exclude")</f>
        <v>Exclude</v>
      </c>
      <c r="P302" s="422">
        <f t="shared" si="44"/>
        <v>46042.291666666664</v>
      </c>
      <c r="Q302">
        <f t="shared" si="45"/>
        <v>0</v>
      </c>
      <c r="R302">
        <f t="shared" si="46"/>
        <v>0</v>
      </c>
      <c r="S302">
        <f>IF(
AND($Q302=1,$M302&lt;&gt;""),
IF(
COUNTIFS(
$M$3:$M302,$M302,
$O$3:$O302,$O302,
$Q$3:$Q302,1,
$P$3:$P302,"&gt;="&amp;EOMONTH($P302,-1)+1,
$P$3:$P302,"&lt;"&amp;EOMONTH($P302,0)+1
)=1,
1,
0),
0)</f>
        <v>0</v>
      </c>
      <c r="T302">
        <f>IF(AND($R302=1,$M302&lt;&gt;""),IF(COUNTIFS($M$3:$M302,$M302,$O$3:$O302,$O302,$R$3:$R302,1,$P$3:$P302,"&gt;="&amp;EOMONTH($P302,-1)+1,$P$3:$P302,"&lt;"&amp;EOMONTH($P302,0)+1)=1,1,0),0)</f>
        <v>0</v>
      </c>
      <c r="U302">
        <f t="shared" si="47"/>
        <v>1</v>
      </c>
      <c r="V302">
        <f>IF(AND($U302=1,$M302&lt;&gt;""),IF(COUNTIFS($M$3:$M302,$M302,$O$3:$O302,$O302,$U$3:$U302,1,$P$3:$P302,"&gt;="&amp;EOMONTH($P302,-1)+1,$P$3:$P302,"&lt;"&amp;EOMONTH($P302,0)+1)=1,1,0),0)</f>
        <v>1</v>
      </c>
      <c r="W302" s="444">
        <f ca="1">TODAY()-Table1[[#This Row],[Change Date]]</f>
        <v>215.70833333333576</v>
      </c>
      <c r="X302" s="422" t="str">
        <f t="shared" si="48"/>
        <v/>
      </c>
      <c r="Y302" s="476">
        <f ca="1">IF(Table1[[#This Row],[Next Stage Date]]&lt;&gt;"",Table1[[#This Row],[Next Stage Date]]-Table1[[#This Row],[Change Date]],TODAY()-Table1[[#This Row],[Change Date]])</f>
        <v>215.70833333333576</v>
      </c>
      <c r="Z302" s="476">
        <f t="shared" si="49"/>
        <v>1</v>
      </c>
      <c r="AA302" s="422" t="str">
        <f t="shared" si="50"/>
        <v/>
      </c>
      <c r="AB302" s="422" t="str">
        <f t="shared" si="51"/>
        <v/>
      </c>
      <c r="AC302" s="476" t="str">
        <f t="shared" si="52"/>
        <v/>
      </c>
      <c r="AD302" s="476" t="str">
        <f t="shared" si="53"/>
        <v/>
      </c>
      <c r="AE302" s="476" t="str">
        <f t="shared" si="54"/>
        <v/>
      </c>
      <c r="AF302" s="476" t="b">
        <f>IFERROR(_xlfn.XLOOKUP(Table1[[#This Row],[Opportunity ID]],'Aging Detail'!$H$14:$H$20,'Aging Detail'!$F$14:$F$20),TRUE)</f>
        <v>1</v>
      </c>
    </row>
    <row r="303" spans="1:32">
      <c r="A303" t="s">
        <v>1461</v>
      </c>
      <c r="B303" t="s">
        <v>408</v>
      </c>
      <c r="C303" t="s">
        <v>1469</v>
      </c>
      <c r="D303" t="s">
        <v>2312</v>
      </c>
      <c r="E303" t="s">
        <v>2313</v>
      </c>
      <c r="F303" t="s">
        <v>1484</v>
      </c>
      <c r="I303" s="422">
        <v>45400</v>
      </c>
      <c r="J303" s="422">
        <v>46234</v>
      </c>
      <c r="K303">
        <v>0</v>
      </c>
      <c r="L303">
        <v>0</v>
      </c>
      <c r="M303" t="s">
        <v>2314</v>
      </c>
      <c r="N303" t="s">
        <v>1812</v>
      </c>
      <c r="O303" t="str">
        <f>_xlfn.IFNA(VLOOKUP(Table1[[#This Row],[Lead Source]],'helper tab'!A:B,2,FALSE),"Exclude")</f>
        <v>Exclude</v>
      </c>
      <c r="P303" s="422">
        <f t="shared" si="44"/>
        <v>46042.290972222225</v>
      </c>
      <c r="Q303">
        <f t="shared" si="45"/>
        <v>0</v>
      </c>
      <c r="R303">
        <f t="shared" si="46"/>
        <v>0</v>
      </c>
      <c r="S303">
        <f>IF(
AND($Q303=1,$M303&lt;&gt;""),
IF(
COUNTIFS(
$M$3:$M303,$M303,
$O$3:$O303,$O303,
$Q$3:$Q303,1,
$P$3:$P303,"&gt;="&amp;EOMONTH($P303,-1)+1,
$P$3:$P303,"&lt;"&amp;EOMONTH($P303,0)+1
)=1,
1,
0),
0)</f>
        <v>0</v>
      </c>
      <c r="T303">
        <f>IF(AND($R303=1,$M303&lt;&gt;""),IF(COUNTIFS($M$3:$M303,$M303,$O$3:$O303,$O303,$R$3:$R303,1,$P$3:$P303,"&gt;="&amp;EOMONTH($P303,-1)+1,$P$3:$P303,"&lt;"&amp;EOMONTH($P303,0)+1)=1,1,0),0)</f>
        <v>0</v>
      </c>
      <c r="U303">
        <f t="shared" si="47"/>
        <v>1</v>
      </c>
      <c r="V303">
        <f>IF(AND($U303=1,$M303&lt;&gt;""),IF(COUNTIFS($M$3:$M303,$M303,$O$3:$O303,$O303,$U$3:$U303,1,$P$3:$P303,"&gt;="&amp;EOMONTH($P303,-1)+1,$P$3:$P303,"&lt;"&amp;EOMONTH($P303,0)+1)=1,1,0),0)</f>
        <v>1</v>
      </c>
      <c r="W303" s="444">
        <f ca="1">TODAY()-Table1[[#This Row],[Change Date]]</f>
        <v>215.70902777777519</v>
      </c>
      <c r="X303" s="422" t="str">
        <f t="shared" si="48"/>
        <v/>
      </c>
      <c r="Y303" s="476">
        <f ca="1">IF(Table1[[#This Row],[Next Stage Date]]&lt;&gt;"",Table1[[#This Row],[Next Stage Date]]-Table1[[#This Row],[Change Date]],TODAY()-Table1[[#This Row],[Change Date]])</f>
        <v>215.70902777777519</v>
      </c>
      <c r="Z303" s="476">
        <f t="shared" si="49"/>
        <v>1</v>
      </c>
      <c r="AA303" s="422" t="str">
        <f t="shared" si="50"/>
        <v/>
      </c>
      <c r="AB303" s="422" t="str">
        <f t="shared" si="51"/>
        <v/>
      </c>
      <c r="AC303" s="476" t="str">
        <f t="shared" si="52"/>
        <v/>
      </c>
      <c r="AD303" s="476" t="str">
        <f t="shared" si="53"/>
        <v/>
      </c>
      <c r="AE303" s="476" t="str">
        <f t="shared" si="54"/>
        <v/>
      </c>
      <c r="AF303" s="476" t="b">
        <f>IFERROR(_xlfn.XLOOKUP(Table1[[#This Row],[Opportunity ID]],'Aging Detail'!$H$14:$H$20,'Aging Detail'!$F$14:$F$20),TRUE)</f>
        <v>1</v>
      </c>
    </row>
    <row r="304" spans="1:32">
      <c r="A304" t="s">
        <v>1461</v>
      </c>
      <c r="B304" t="s">
        <v>338</v>
      </c>
      <c r="C304" t="s">
        <v>1469</v>
      </c>
      <c r="D304" t="s">
        <v>2315</v>
      </c>
      <c r="E304" t="s">
        <v>2316</v>
      </c>
      <c r="I304" s="422">
        <v>45660</v>
      </c>
      <c r="J304" s="422">
        <v>46203</v>
      </c>
      <c r="K304">
        <v>0</v>
      </c>
      <c r="L304">
        <v>0</v>
      </c>
      <c r="M304" t="s">
        <v>2317</v>
      </c>
      <c r="N304" t="s">
        <v>1541</v>
      </c>
      <c r="O304" t="str">
        <f>_xlfn.IFNA(VLOOKUP(Table1[[#This Row],[Lead Source]],'helper tab'!A:B,2,FALSE),"Exclude")</f>
        <v>Exclude</v>
      </c>
      <c r="P304" s="422">
        <f t="shared" si="44"/>
        <v>46042.288194444445</v>
      </c>
      <c r="Q304">
        <f t="shared" si="45"/>
        <v>0</v>
      </c>
      <c r="R304">
        <f t="shared" si="46"/>
        <v>0</v>
      </c>
      <c r="S304">
        <f>IF(
AND($Q304=1,$M304&lt;&gt;""),
IF(
COUNTIFS(
$M$3:$M304,$M304,
$O$3:$O304,$O304,
$Q$3:$Q304,1,
$P$3:$P304,"&gt;="&amp;EOMONTH($P304,-1)+1,
$P$3:$P304,"&lt;"&amp;EOMONTH($P304,0)+1
)=1,
1,
0),
0)</f>
        <v>0</v>
      </c>
      <c r="T304">
        <f>IF(AND($R304=1,$M304&lt;&gt;""),IF(COUNTIFS($M$3:$M304,$M304,$O$3:$O304,$O304,$R$3:$R304,1,$P$3:$P304,"&gt;="&amp;EOMONTH($P304,-1)+1,$P$3:$P304,"&lt;"&amp;EOMONTH($P304,0)+1)=1,1,0),0)</f>
        <v>0</v>
      </c>
      <c r="U304">
        <f t="shared" si="47"/>
        <v>1</v>
      </c>
      <c r="V304">
        <f>IF(AND($U304=1,$M304&lt;&gt;""),IF(COUNTIFS($M$3:$M304,$M304,$O$3:$O304,$O304,$U$3:$U304,1,$P$3:$P304,"&gt;="&amp;EOMONTH($P304,-1)+1,$P$3:$P304,"&lt;"&amp;EOMONTH($P304,0)+1)=1,1,0),0)</f>
        <v>1</v>
      </c>
      <c r="W304" s="444">
        <f ca="1">TODAY()-Table1[[#This Row],[Change Date]]</f>
        <v>215.71180555555475</v>
      </c>
      <c r="X304" s="422" t="str">
        <f t="shared" si="48"/>
        <v/>
      </c>
      <c r="Y304" s="476">
        <f ca="1">IF(Table1[[#This Row],[Next Stage Date]]&lt;&gt;"",Table1[[#This Row],[Next Stage Date]]-Table1[[#This Row],[Change Date]],TODAY()-Table1[[#This Row],[Change Date]])</f>
        <v>215.71180555555475</v>
      </c>
      <c r="Z304" s="476">
        <f t="shared" si="49"/>
        <v>1</v>
      </c>
      <c r="AA304" s="422" t="str">
        <f t="shared" si="50"/>
        <v/>
      </c>
      <c r="AB304" s="422" t="str">
        <f t="shared" si="51"/>
        <v/>
      </c>
      <c r="AC304" s="476" t="str">
        <f t="shared" si="52"/>
        <v/>
      </c>
      <c r="AD304" s="476" t="str">
        <f t="shared" si="53"/>
        <v/>
      </c>
      <c r="AE304" s="476" t="str">
        <f t="shared" si="54"/>
        <v/>
      </c>
      <c r="AF304" s="476" t="b">
        <f>IFERROR(_xlfn.XLOOKUP(Table1[[#This Row],[Opportunity ID]],'Aging Detail'!$H$14:$H$20,'Aging Detail'!$F$14:$F$20),TRUE)</f>
        <v>1</v>
      </c>
    </row>
    <row r="305" spans="1:32">
      <c r="A305" t="s">
        <v>1461</v>
      </c>
      <c r="B305" t="s">
        <v>408</v>
      </c>
      <c r="C305" t="s">
        <v>1469</v>
      </c>
      <c r="D305" t="s">
        <v>2315</v>
      </c>
      <c r="E305" t="s">
        <v>2318</v>
      </c>
      <c r="F305" t="s">
        <v>1484</v>
      </c>
      <c r="I305" s="422">
        <v>45341</v>
      </c>
      <c r="J305" s="422">
        <v>46203</v>
      </c>
      <c r="K305">
        <v>0</v>
      </c>
      <c r="L305">
        <v>0</v>
      </c>
      <c r="M305" t="s">
        <v>2319</v>
      </c>
      <c r="N305" t="s">
        <v>1634</v>
      </c>
      <c r="O305" t="str">
        <f>_xlfn.IFNA(VLOOKUP(Table1[[#This Row],[Lead Source]],'helper tab'!A:B,2,FALSE),"Exclude")</f>
        <v>Exclude</v>
      </c>
      <c r="P305" s="422">
        <f t="shared" si="44"/>
        <v>46042.288194444445</v>
      </c>
      <c r="Q305">
        <f t="shared" si="45"/>
        <v>0</v>
      </c>
      <c r="R305">
        <f t="shared" si="46"/>
        <v>0</v>
      </c>
      <c r="S305">
        <f>IF(
AND($Q305=1,$M305&lt;&gt;""),
IF(
COUNTIFS(
$M$3:$M305,$M305,
$O$3:$O305,$O305,
$Q$3:$Q305,1,
$P$3:$P305,"&gt;="&amp;EOMONTH($P305,-1)+1,
$P$3:$P305,"&lt;"&amp;EOMONTH($P305,0)+1
)=1,
1,
0),
0)</f>
        <v>0</v>
      </c>
      <c r="T305">
        <f>IF(AND($R305=1,$M305&lt;&gt;""),IF(COUNTIFS($M$3:$M305,$M305,$O$3:$O305,$O305,$R$3:$R305,1,$P$3:$P305,"&gt;="&amp;EOMONTH($P305,-1)+1,$P$3:$P305,"&lt;"&amp;EOMONTH($P305,0)+1)=1,1,0),0)</f>
        <v>0</v>
      </c>
      <c r="U305">
        <f t="shared" si="47"/>
        <v>1</v>
      </c>
      <c r="V305">
        <f>IF(AND($U305=1,$M305&lt;&gt;""),IF(COUNTIFS($M$3:$M305,$M305,$O$3:$O305,$O305,$U$3:$U305,1,$P$3:$P305,"&gt;="&amp;EOMONTH($P305,-1)+1,$P$3:$P305,"&lt;"&amp;EOMONTH($P305,0)+1)=1,1,0),0)</f>
        <v>1</v>
      </c>
      <c r="W305" s="444">
        <f ca="1">TODAY()-Table1[[#This Row],[Change Date]]</f>
        <v>215.71180555555475</v>
      </c>
      <c r="X305" s="422" t="str">
        <f t="shared" si="48"/>
        <v/>
      </c>
      <c r="Y305" s="476">
        <f ca="1">IF(Table1[[#This Row],[Next Stage Date]]&lt;&gt;"",Table1[[#This Row],[Next Stage Date]]-Table1[[#This Row],[Change Date]],TODAY()-Table1[[#This Row],[Change Date]])</f>
        <v>215.71180555555475</v>
      </c>
      <c r="Z305" s="476">
        <f t="shared" si="49"/>
        <v>1</v>
      </c>
      <c r="AA305" s="422" t="str">
        <f t="shared" si="50"/>
        <v/>
      </c>
      <c r="AB305" s="422" t="str">
        <f t="shared" si="51"/>
        <v/>
      </c>
      <c r="AC305" s="476" t="str">
        <f t="shared" si="52"/>
        <v/>
      </c>
      <c r="AD305" s="476" t="str">
        <f t="shared" si="53"/>
        <v/>
      </c>
      <c r="AE305" s="476" t="str">
        <f t="shared" si="54"/>
        <v/>
      </c>
      <c r="AF305" s="476" t="b">
        <f>IFERROR(_xlfn.XLOOKUP(Table1[[#This Row],[Opportunity ID]],'Aging Detail'!$H$14:$H$20,'Aging Detail'!$F$14:$F$20),TRUE)</f>
        <v>1</v>
      </c>
    </row>
    <row r="306" spans="1:32">
      <c r="A306" t="s">
        <v>1461</v>
      </c>
      <c r="B306" t="s">
        <v>408</v>
      </c>
      <c r="C306" t="s">
        <v>1469</v>
      </c>
      <c r="D306" t="s">
        <v>2320</v>
      </c>
      <c r="E306" t="s">
        <v>2321</v>
      </c>
      <c r="I306" s="422">
        <v>45839</v>
      </c>
      <c r="J306" s="422">
        <v>46142</v>
      </c>
      <c r="L306">
        <v>0</v>
      </c>
      <c r="M306" t="s">
        <v>2322</v>
      </c>
      <c r="N306" t="s">
        <v>1634</v>
      </c>
      <c r="O306" t="str">
        <f>_xlfn.IFNA(VLOOKUP(Table1[[#This Row],[Lead Source]],'helper tab'!A:B,2,FALSE),"Exclude")</f>
        <v>Exclude</v>
      </c>
      <c r="P306" s="422">
        <f t="shared" si="44"/>
        <v>46042.286111111112</v>
      </c>
      <c r="Q306">
        <f t="shared" si="45"/>
        <v>0</v>
      </c>
      <c r="R306">
        <f t="shared" si="46"/>
        <v>0</v>
      </c>
      <c r="S306">
        <f>IF(
AND($Q306=1,$M306&lt;&gt;""),
IF(
COUNTIFS(
$M$3:$M306,$M306,
$O$3:$O306,$O306,
$Q$3:$Q306,1,
$P$3:$P306,"&gt;="&amp;EOMONTH($P306,-1)+1,
$P$3:$P306,"&lt;"&amp;EOMONTH($P306,0)+1
)=1,
1,
0),
0)</f>
        <v>0</v>
      </c>
      <c r="T306">
        <f>IF(AND($R306=1,$M306&lt;&gt;""),IF(COUNTIFS($M$3:$M306,$M306,$O$3:$O306,$O306,$R$3:$R306,1,$P$3:$P306,"&gt;="&amp;EOMONTH($P306,-1)+1,$P$3:$P306,"&lt;"&amp;EOMONTH($P306,0)+1)=1,1,0),0)</f>
        <v>0</v>
      </c>
      <c r="U306">
        <f t="shared" si="47"/>
        <v>1</v>
      </c>
      <c r="V306">
        <f>IF(AND($U306=1,$M306&lt;&gt;""),IF(COUNTIFS($M$3:$M306,$M306,$O$3:$O306,$O306,$U$3:$U306,1,$P$3:$P306,"&gt;="&amp;EOMONTH($P306,-1)+1,$P$3:$P306,"&lt;"&amp;EOMONTH($P306,0)+1)=1,1,0),0)</f>
        <v>1</v>
      </c>
      <c r="W306" s="444">
        <f ca="1">TODAY()-Table1[[#This Row],[Change Date]]</f>
        <v>215.7138888888876</v>
      </c>
      <c r="X306" s="422" t="str">
        <f t="shared" si="48"/>
        <v/>
      </c>
      <c r="Y306" s="476">
        <f ca="1">IF(Table1[[#This Row],[Next Stage Date]]&lt;&gt;"",Table1[[#This Row],[Next Stage Date]]-Table1[[#This Row],[Change Date]],TODAY()-Table1[[#This Row],[Change Date]])</f>
        <v>215.7138888888876</v>
      </c>
      <c r="Z306" s="476">
        <f t="shared" si="49"/>
        <v>1</v>
      </c>
      <c r="AA306" s="422" t="str">
        <f t="shared" si="50"/>
        <v/>
      </c>
      <c r="AB306" s="422" t="str">
        <f t="shared" si="51"/>
        <v/>
      </c>
      <c r="AC306" s="476" t="str">
        <f t="shared" si="52"/>
        <v/>
      </c>
      <c r="AD306" s="476" t="str">
        <f t="shared" si="53"/>
        <v/>
      </c>
      <c r="AE306" s="476" t="str">
        <f t="shared" si="54"/>
        <v/>
      </c>
      <c r="AF306" s="476" t="b">
        <f>IFERROR(_xlfn.XLOOKUP(Table1[[#This Row],[Opportunity ID]],'Aging Detail'!$H$14:$H$20,'Aging Detail'!$F$14:$F$20),TRUE)</f>
        <v>1</v>
      </c>
    </row>
    <row r="307" spans="1:32">
      <c r="A307" t="s">
        <v>1461</v>
      </c>
      <c r="B307" t="s">
        <v>338</v>
      </c>
      <c r="C307" t="s">
        <v>1469</v>
      </c>
      <c r="D307" t="s">
        <v>2323</v>
      </c>
      <c r="E307" t="s">
        <v>2324</v>
      </c>
      <c r="I307" s="422">
        <v>45930</v>
      </c>
      <c r="J307" s="422">
        <v>46022</v>
      </c>
      <c r="L307">
        <v>0</v>
      </c>
      <c r="M307" t="s">
        <v>2325</v>
      </c>
      <c r="N307" t="s">
        <v>2326</v>
      </c>
      <c r="O307" t="str">
        <f>_xlfn.IFNA(VLOOKUP(Table1[[#This Row],[Lead Source]],'helper tab'!A:B,2,FALSE),"Exclude")</f>
        <v>Exclude</v>
      </c>
      <c r="P307" s="422">
        <f t="shared" si="44"/>
        <v>46038.561805555553</v>
      </c>
      <c r="Q307">
        <f t="shared" si="45"/>
        <v>0</v>
      </c>
      <c r="R307">
        <f t="shared" si="46"/>
        <v>0</v>
      </c>
      <c r="S307">
        <f>IF(
AND($Q307=1,$M307&lt;&gt;""),
IF(
COUNTIFS(
$M$3:$M307,$M307,
$O$3:$O307,$O307,
$Q$3:$Q307,1,
$P$3:$P307,"&gt;="&amp;EOMONTH($P307,-1)+1,
$P$3:$P307,"&lt;"&amp;EOMONTH($P307,0)+1
)=1,
1,
0),
0)</f>
        <v>0</v>
      </c>
      <c r="T307">
        <f>IF(AND($R307=1,$M307&lt;&gt;""),IF(COUNTIFS($M$3:$M307,$M307,$O$3:$O307,$O307,$R$3:$R307,1,$P$3:$P307,"&gt;="&amp;EOMONTH($P307,-1)+1,$P$3:$P307,"&lt;"&amp;EOMONTH($P307,0)+1)=1,1,0),0)</f>
        <v>0</v>
      </c>
      <c r="U307">
        <f t="shared" si="47"/>
        <v>1</v>
      </c>
      <c r="V307">
        <f>IF(AND($U307=1,$M307&lt;&gt;""),IF(COUNTIFS($M$3:$M307,$M307,$O$3:$O307,$O307,$U$3:$U307,1,$P$3:$P307,"&gt;="&amp;EOMONTH($P307,-1)+1,$P$3:$P307,"&lt;"&amp;EOMONTH($P307,0)+1)=1,1,0),0)</f>
        <v>1</v>
      </c>
      <c r="W307" s="444">
        <f ca="1">TODAY()-Table1[[#This Row],[Change Date]]</f>
        <v>219.43819444444671</v>
      </c>
      <c r="X307" s="422" t="str">
        <f t="shared" si="48"/>
        <v/>
      </c>
      <c r="Y307" s="476">
        <f ca="1">IF(Table1[[#This Row],[Next Stage Date]]&lt;&gt;"",Table1[[#This Row],[Next Stage Date]]-Table1[[#This Row],[Change Date]],TODAY()-Table1[[#This Row],[Change Date]])</f>
        <v>219.43819444444671</v>
      </c>
      <c r="Z307" s="476">
        <f t="shared" si="49"/>
        <v>1</v>
      </c>
      <c r="AA307" s="422" t="str">
        <f t="shared" si="50"/>
        <v/>
      </c>
      <c r="AB307" s="422" t="str">
        <f t="shared" si="51"/>
        <v/>
      </c>
      <c r="AC307" s="476" t="str">
        <f t="shared" si="52"/>
        <v/>
      </c>
      <c r="AD307" s="476" t="str">
        <f t="shared" si="53"/>
        <v/>
      </c>
      <c r="AE307" s="476" t="str">
        <f t="shared" si="54"/>
        <v/>
      </c>
      <c r="AF307" s="476" t="b">
        <f>IFERROR(_xlfn.XLOOKUP(Table1[[#This Row],[Opportunity ID]],'Aging Detail'!$H$14:$H$20,'Aging Detail'!$F$14:$F$20),TRUE)</f>
        <v>1</v>
      </c>
    </row>
    <row r="308" spans="1:32">
      <c r="A308" t="s">
        <v>1461</v>
      </c>
      <c r="B308" t="s">
        <v>1462</v>
      </c>
      <c r="C308" t="s">
        <v>526</v>
      </c>
      <c r="D308" t="s">
        <v>2327</v>
      </c>
      <c r="E308" t="s">
        <v>2227</v>
      </c>
      <c r="F308" t="s">
        <v>148</v>
      </c>
      <c r="H308" t="s">
        <v>154</v>
      </c>
      <c r="I308" s="422">
        <v>45926</v>
      </c>
      <c r="J308" s="422">
        <v>46065</v>
      </c>
      <c r="K308">
        <v>7125</v>
      </c>
      <c r="L308">
        <v>7125</v>
      </c>
      <c r="M308" t="s">
        <v>2228</v>
      </c>
      <c r="N308" t="s">
        <v>592</v>
      </c>
      <c r="O308" t="str">
        <f>_xlfn.IFNA(VLOOKUP(Table1[[#This Row],[Lead Source]],'helper tab'!A:B,2,FALSE),"Exclude")</f>
        <v>Alliances</v>
      </c>
      <c r="P308" s="422">
        <f t="shared" si="44"/>
        <v>46038.545138888891</v>
      </c>
      <c r="Q308">
        <f t="shared" si="45"/>
        <v>1</v>
      </c>
      <c r="R308">
        <f t="shared" si="46"/>
        <v>0</v>
      </c>
      <c r="S308">
        <f>IF(
AND($Q308=1,$M308&lt;&gt;""),
IF(
COUNTIFS(
$M$3:$M308,$M308,
$O$3:$O308,$O308,
$Q$3:$Q308,1,
$P$3:$P308,"&gt;="&amp;EOMONTH($P308,-1)+1,
$P$3:$P308,"&lt;"&amp;EOMONTH($P308,0)+1
)=1,
1,
0),
0)</f>
        <v>1</v>
      </c>
      <c r="T308">
        <f>IF(AND($R308=1,$M308&lt;&gt;""),IF(COUNTIFS($M$3:$M308,$M308,$O$3:$O308,$O308,$R$3:$R308,1,$P$3:$P308,"&gt;="&amp;EOMONTH($P308,-1)+1,$P$3:$P308,"&lt;"&amp;EOMONTH($P308,0)+1)=1,1,0),0)</f>
        <v>0</v>
      </c>
      <c r="U308">
        <f t="shared" si="47"/>
        <v>0</v>
      </c>
      <c r="V308">
        <f>IF(AND($U308=1,$M308&lt;&gt;""),IF(COUNTIFS($M$3:$M308,$M308,$O$3:$O308,$O308,$U$3:$U308,1,$P$3:$P308,"&gt;="&amp;EOMONTH($P308,-1)+1,$P$3:$P308,"&lt;"&amp;EOMONTH($P308,0)+1)=1,1,0),0)</f>
        <v>0</v>
      </c>
      <c r="W308" s="444">
        <f ca="1">TODAY()-Table1[[#This Row],[Change Date]]</f>
        <v>219.45486111110949</v>
      </c>
      <c r="X308" s="422">
        <f t="shared" si="48"/>
        <v>46065.473611111112</v>
      </c>
      <c r="Y308" s="476">
        <f ca="1">IF(Table1[[#This Row],[Next Stage Date]]&lt;&gt;"",Table1[[#This Row],[Next Stage Date]]-Table1[[#This Row],[Change Date]],TODAY()-Table1[[#This Row],[Change Date]])</f>
        <v>26.928472222221899</v>
      </c>
      <c r="Z308" s="476">
        <f t="shared" si="49"/>
        <v>0</v>
      </c>
      <c r="AA308" s="422">
        <f t="shared" si="50"/>
        <v>46065.473611111112</v>
      </c>
      <c r="AB308" s="422">
        <f t="shared" si="51"/>
        <v>46038.545138888891</v>
      </c>
      <c r="AC308" s="476">
        <f t="shared" si="52"/>
        <v>112.54513888889051</v>
      </c>
      <c r="AD308" s="476">
        <f t="shared" si="53"/>
        <v>26.928472222221899</v>
      </c>
      <c r="AE308" s="476">
        <f t="shared" si="54"/>
        <v>139.4736111111124</v>
      </c>
      <c r="AF308" s="476" t="b">
        <f>IFERROR(_xlfn.XLOOKUP(Table1[[#This Row],[Opportunity ID]],'Aging Detail'!$H$14:$H$20,'Aging Detail'!$F$14:$F$20),TRUE)</f>
        <v>1</v>
      </c>
    </row>
    <row r="309" spans="1:32">
      <c r="A309" t="s">
        <v>1461</v>
      </c>
      <c r="B309" t="s">
        <v>338</v>
      </c>
      <c r="C309" t="s">
        <v>462</v>
      </c>
      <c r="D309" t="s">
        <v>2328</v>
      </c>
      <c r="E309" t="s">
        <v>2329</v>
      </c>
      <c r="I309" s="422">
        <v>46036</v>
      </c>
      <c r="J309" s="422">
        <v>46052</v>
      </c>
      <c r="L309">
        <v>0</v>
      </c>
      <c r="M309" t="s">
        <v>2330</v>
      </c>
      <c r="N309" t="s">
        <v>1823</v>
      </c>
      <c r="O309" t="str">
        <f>_xlfn.IFNA(VLOOKUP(Table1[[#This Row],[Lead Source]],'helper tab'!A:B,2,FALSE),"Exclude")</f>
        <v>Exclude</v>
      </c>
      <c r="P309" s="422">
        <f t="shared" si="44"/>
        <v>46038.294444444444</v>
      </c>
      <c r="Q309">
        <f t="shared" si="45"/>
        <v>1</v>
      </c>
      <c r="R309">
        <f t="shared" si="46"/>
        <v>0</v>
      </c>
      <c r="S309">
        <f>IF(
AND($Q309=1,$M309&lt;&gt;""),
IF(
COUNTIFS(
$M$3:$M309,$M309,
$O$3:$O309,$O309,
$Q$3:$Q309,1,
$P$3:$P309,"&gt;="&amp;EOMONTH($P309,-1)+1,
$P$3:$P309,"&lt;"&amp;EOMONTH($P309,0)+1
)=1,
1,
0),
0)</f>
        <v>1</v>
      </c>
      <c r="T309">
        <f>IF(AND($R309=1,$M309&lt;&gt;""),IF(COUNTIFS($M$3:$M309,$M309,$O$3:$O309,$O309,$R$3:$R309,1,$P$3:$P309,"&gt;="&amp;EOMONTH($P309,-1)+1,$P$3:$P309,"&lt;"&amp;EOMONTH($P309,0)+1)=1,1,0),0)</f>
        <v>0</v>
      </c>
      <c r="U309">
        <f t="shared" si="47"/>
        <v>0</v>
      </c>
      <c r="V309">
        <f>IF(AND($U309=1,$M309&lt;&gt;""),IF(COUNTIFS($M$3:$M309,$M309,$O$3:$O309,$O309,$U$3:$U309,1,$P$3:$P309,"&gt;="&amp;EOMONTH($P309,-1)+1,$P$3:$P309,"&lt;"&amp;EOMONTH($P309,0)+1)=1,1,0),0)</f>
        <v>0</v>
      </c>
      <c r="W309" s="444">
        <f ca="1">TODAY()-Table1[[#This Row],[Change Date]]</f>
        <v>219.7055555555562</v>
      </c>
      <c r="X309" s="422" t="str">
        <f t="shared" si="48"/>
        <v/>
      </c>
      <c r="Y309" s="476">
        <f ca="1">IF(Table1[[#This Row],[Next Stage Date]]&lt;&gt;"",Table1[[#This Row],[Next Stage Date]]-Table1[[#This Row],[Change Date]],TODAY()-Table1[[#This Row],[Change Date]])</f>
        <v>219.7055555555562</v>
      </c>
      <c r="Z309" s="476">
        <f t="shared" si="49"/>
        <v>1</v>
      </c>
      <c r="AA309" s="422" t="str">
        <f t="shared" si="50"/>
        <v/>
      </c>
      <c r="AB309" s="422">
        <f t="shared" si="51"/>
        <v>46038.294444444444</v>
      </c>
      <c r="AC309" s="476">
        <f t="shared" si="52"/>
        <v>2.2944444444437977</v>
      </c>
      <c r="AD309" s="476" t="str">
        <f t="shared" si="53"/>
        <v/>
      </c>
      <c r="AE309" s="476" t="str">
        <f t="shared" si="54"/>
        <v/>
      </c>
      <c r="AF309" s="476" t="b">
        <f>IFERROR(_xlfn.XLOOKUP(Table1[[#This Row],[Opportunity ID]],'Aging Detail'!$H$14:$H$20,'Aging Detail'!$F$14:$F$20),TRUE)</f>
        <v>1</v>
      </c>
    </row>
    <row r="310" spans="1:32">
      <c r="A310" t="s">
        <v>1461</v>
      </c>
      <c r="B310" t="s">
        <v>408</v>
      </c>
      <c r="C310" t="s">
        <v>1469</v>
      </c>
      <c r="D310" t="s">
        <v>2331</v>
      </c>
      <c r="E310" t="s">
        <v>2332</v>
      </c>
      <c r="F310" t="s">
        <v>148</v>
      </c>
      <c r="H310" t="s">
        <v>157</v>
      </c>
      <c r="I310" s="422">
        <v>45464</v>
      </c>
      <c r="J310" s="422">
        <v>46203</v>
      </c>
      <c r="K310">
        <v>179600</v>
      </c>
      <c r="L310">
        <v>129600</v>
      </c>
      <c r="M310" t="s">
        <v>2333</v>
      </c>
      <c r="N310" t="s">
        <v>2334</v>
      </c>
      <c r="O310" t="str">
        <f>_xlfn.IFNA(VLOOKUP(Table1[[#This Row],[Lead Source]],'helper tab'!A:B,2,FALSE),"Exclude")</f>
        <v>Alliances</v>
      </c>
      <c r="P310" s="422">
        <f t="shared" si="44"/>
        <v>46038.210416666669</v>
      </c>
      <c r="Q310">
        <f t="shared" si="45"/>
        <v>0</v>
      </c>
      <c r="R310">
        <f t="shared" si="46"/>
        <v>0</v>
      </c>
      <c r="S310">
        <f>IF(
AND($Q310=1,$M310&lt;&gt;""),
IF(
COUNTIFS(
$M$3:$M310,$M310,
$O$3:$O310,$O310,
$Q$3:$Q310,1,
$P$3:$P310,"&gt;="&amp;EOMONTH($P310,-1)+1,
$P$3:$P310,"&lt;"&amp;EOMONTH($P310,0)+1
)=1,
1,
0),
0)</f>
        <v>0</v>
      </c>
      <c r="T310">
        <f>IF(AND($R310=1,$M310&lt;&gt;""),IF(COUNTIFS($M$3:$M310,$M310,$O$3:$O310,$O310,$R$3:$R310,1,$P$3:$P310,"&gt;="&amp;EOMONTH($P310,-1)+1,$P$3:$P310,"&lt;"&amp;EOMONTH($P310,0)+1)=1,1,0),0)</f>
        <v>0</v>
      </c>
      <c r="U310">
        <f t="shared" si="47"/>
        <v>1</v>
      </c>
      <c r="V310">
        <f>IF(AND($U310=1,$M310&lt;&gt;""),IF(COUNTIFS($M$3:$M310,$M310,$O$3:$O310,$O310,$U$3:$U310,1,$P$3:$P310,"&gt;="&amp;EOMONTH($P310,-1)+1,$P$3:$P310,"&lt;"&amp;EOMONTH($P310,0)+1)=1,1,0),0)</f>
        <v>1</v>
      </c>
      <c r="W310" s="444">
        <f ca="1">TODAY()-Table1[[#This Row],[Change Date]]</f>
        <v>219.78958333333139</v>
      </c>
      <c r="X310" s="422" t="str">
        <f t="shared" si="48"/>
        <v/>
      </c>
      <c r="Y310" s="476">
        <f ca="1">IF(Table1[[#This Row],[Next Stage Date]]&lt;&gt;"",Table1[[#This Row],[Next Stage Date]]-Table1[[#This Row],[Change Date]],TODAY()-Table1[[#This Row],[Change Date]])</f>
        <v>219.78958333333139</v>
      </c>
      <c r="Z310" s="476">
        <f t="shared" si="49"/>
        <v>1</v>
      </c>
      <c r="AA310" s="422" t="str">
        <f t="shared" si="50"/>
        <v/>
      </c>
      <c r="AB310" s="422">
        <f t="shared" si="51"/>
        <v>45691.176388888889</v>
      </c>
      <c r="AC310" s="476">
        <f t="shared" si="52"/>
        <v>227.17638888888905</v>
      </c>
      <c r="AD310" s="476" t="str">
        <f t="shared" si="53"/>
        <v/>
      </c>
      <c r="AE310" s="476" t="str">
        <f t="shared" si="54"/>
        <v/>
      </c>
      <c r="AF310" s="476" t="b">
        <f>IFERROR(_xlfn.XLOOKUP(Table1[[#This Row],[Opportunity ID]],'Aging Detail'!$H$14:$H$20,'Aging Detail'!$F$14:$F$20),TRUE)</f>
        <v>1</v>
      </c>
    </row>
    <row r="311" spans="1:32">
      <c r="A311" t="s">
        <v>1461</v>
      </c>
      <c r="B311" t="s">
        <v>408</v>
      </c>
      <c r="C311" t="s">
        <v>1469</v>
      </c>
      <c r="D311" t="s">
        <v>2335</v>
      </c>
      <c r="E311" t="s">
        <v>2336</v>
      </c>
      <c r="F311" t="s">
        <v>1468</v>
      </c>
      <c r="I311" s="422">
        <v>45867</v>
      </c>
      <c r="J311" s="422">
        <v>46203</v>
      </c>
      <c r="K311">
        <v>35000</v>
      </c>
      <c r="L311">
        <v>35000</v>
      </c>
      <c r="M311" t="s">
        <v>2337</v>
      </c>
      <c r="N311" t="s">
        <v>2338</v>
      </c>
      <c r="O311" t="str">
        <f>_xlfn.IFNA(VLOOKUP(Table1[[#This Row],[Lead Source]],'helper tab'!A:B,2,FALSE),"Exclude")</f>
        <v>Events</v>
      </c>
      <c r="P311" s="422">
        <f t="shared" si="44"/>
        <v>46038.152777777781</v>
      </c>
      <c r="Q311">
        <f t="shared" si="45"/>
        <v>0</v>
      </c>
      <c r="R311">
        <f t="shared" si="46"/>
        <v>0</v>
      </c>
      <c r="S311">
        <f>IF(
AND($Q311=1,$M311&lt;&gt;""),
IF(
COUNTIFS(
$M$3:$M311,$M311,
$O$3:$O311,$O311,
$Q$3:$Q311,1,
$P$3:$P311,"&gt;="&amp;EOMONTH($P311,-1)+1,
$P$3:$P311,"&lt;"&amp;EOMONTH($P311,0)+1
)=1,
1,
0),
0)</f>
        <v>0</v>
      </c>
      <c r="T311">
        <f>IF(AND($R311=1,$M311&lt;&gt;""),IF(COUNTIFS($M$3:$M311,$M311,$O$3:$O311,$O311,$R$3:$R311,1,$P$3:$P311,"&gt;="&amp;EOMONTH($P311,-1)+1,$P$3:$P311,"&lt;"&amp;EOMONTH($P311,0)+1)=1,1,0),0)</f>
        <v>0</v>
      </c>
      <c r="U311">
        <f t="shared" si="47"/>
        <v>1</v>
      </c>
      <c r="V311">
        <f>IF(AND($U311=1,$M311&lt;&gt;""),IF(COUNTIFS($M$3:$M311,$M311,$O$3:$O311,$O311,$U$3:$U311,1,$P$3:$P311,"&gt;="&amp;EOMONTH($P311,-1)+1,$P$3:$P311,"&lt;"&amp;EOMONTH($P311,0)+1)=1,1,0),0)</f>
        <v>1</v>
      </c>
      <c r="W311" s="444">
        <f ca="1">TODAY()-Table1[[#This Row],[Change Date]]</f>
        <v>219.84722222221899</v>
      </c>
      <c r="X311" s="422" t="str">
        <f t="shared" si="48"/>
        <v/>
      </c>
      <c r="Y311" s="476">
        <f ca="1">IF(Table1[[#This Row],[Next Stage Date]]&lt;&gt;"",Table1[[#This Row],[Next Stage Date]]-Table1[[#This Row],[Change Date]],TODAY()-Table1[[#This Row],[Change Date]])</f>
        <v>219.84722222221899</v>
      </c>
      <c r="Z311" s="476">
        <f t="shared" si="49"/>
        <v>1</v>
      </c>
      <c r="AA311" s="422" t="str">
        <f t="shared" si="50"/>
        <v/>
      </c>
      <c r="AB311" s="422" t="str">
        <f t="shared" si="51"/>
        <v/>
      </c>
      <c r="AC311" s="476" t="str">
        <f t="shared" si="52"/>
        <v/>
      </c>
      <c r="AD311" s="476" t="str">
        <f t="shared" si="53"/>
        <v/>
      </c>
      <c r="AE311" s="476" t="str">
        <f t="shared" si="54"/>
        <v/>
      </c>
      <c r="AF311" s="476" t="b">
        <f>IFERROR(_xlfn.XLOOKUP(Table1[[#This Row],[Opportunity ID]],'Aging Detail'!$H$14:$H$20,'Aging Detail'!$F$14:$F$20),TRUE)</f>
        <v>1</v>
      </c>
    </row>
    <row r="312" spans="1:32">
      <c r="A312" t="s">
        <v>1461</v>
      </c>
      <c r="B312" t="s">
        <v>338</v>
      </c>
      <c r="C312" t="s">
        <v>1462</v>
      </c>
      <c r="D312" t="s">
        <v>2339</v>
      </c>
      <c r="E312" t="s">
        <v>2340</v>
      </c>
      <c r="I312" s="422">
        <v>45700</v>
      </c>
      <c r="J312" s="422">
        <v>46374</v>
      </c>
      <c r="K312">
        <v>151200</v>
      </c>
      <c r="L312">
        <v>151200</v>
      </c>
      <c r="M312" t="s">
        <v>2341</v>
      </c>
      <c r="N312" t="s">
        <v>2301</v>
      </c>
      <c r="O312" t="str">
        <f>_xlfn.IFNA(VLOOKUP(Table1[[#This Row],[Lead Source]],'helper tab'!A:B,2,FALSE),"Exclude")</f>
        <v>Exclude</v>
      </c>
      <c r="P312" s="422">
        <f t="shared" si="44"/>
        <v>46035.118055555555</v>
      </c>
      <c r="Q312">
        <f t="shared" si="45"/>
        <v>0</v>
      </c>
      <c r="R312">
        <f t="shared" si="46"/>
        <v>0</v>
      </c>
      <c r="S312">
        <f>IF(
AND($Q312=1,$M312&lt;&gt;""),
IF(
COUNTIFS(
$M$3:$M312,$M312,
$O$3:$O312,$O312,
$Q$3:$Q312,1,
$P$3:$P312,"&gt;="&amp;EOMONTH($P312,-1)+1,
$P$3:$P312,"&lt;"&amp;EOMONTH($P312,0)+1
)=1,
1,
0),
0)</f>
        <v>0</v>
      </c>
      <c r="T312">
        <f>IF(AND($R312=1,$M312&lt;&gt;""),IF(COUNTIFS($M$3:$M312,$M312,$O$3:$O312,$O312,$R$3:$R312,1,$P$3:$P312,"&gt;="&amp;EOMONTH($P312,-1)+1,$P$3:$P312,"&lt;"&amp;EOMONTH($P312,0)+1)=1,1,0),0)</f>
        <v>0</v>
      </c>
      <c r="U312">
        <f t="shared" si="47"/>
        <v>0</v>
      </c>
      <c r="V312">
        <f>IF(AND($U312=1,$M312&lt;&gt;""),IF(COUNTIFS($M$3:$M312,$M312,$O$3:$O312,$O312,$U$3:$U312,1,$P$3:$P312,"&gt;="&amp;EOMONTH($P312,-1)+1,$P$3:$P312,"&lt;"&amp;EOMONTH($P312,0)+1)=1,1,0),0)</f>
        <v>0</v>
      </c>
      <c r="W312" s="444">
        <f ca="1">TODAY()-Table1[[#This Row],[Change Date]]</f>
        <v>222.88194444444525</v>
      </c>
      <c r="X312" s="422" t="str">
        <f t="shared" si="48"/>
        <v/>
      </c>
      <c r="Y312" s="476">
        <f ca="1">IF(Table1[[#This Row],[Next Stage Date]]&lt;&gt;"",Table1[[#This Row],[Next Stage Date]]-Table1[[#This Row],[Change Date]],TODAY()-Table1[[#This Row],[Change Date]])</f>
        <v>222.88194444444525</v>
      </c>
      <c r="Z312" s="476">
        <f t="shared" si="49"/>
        <v>1</v>
      </c>
      <c r="AA312" s="422" t="str">
        <f t="shared" si="50"/>
        <v/>
      </c>
      <c r="AB312" s="422" t="str">
        <f t="shared" si="51"/>
        <v/>
      </c>
      <c r="AC312" s="476" t="str">
        <f t="shared" si="52"/>
        <v/>
      </c>
      <c r="AD312" s="476" t="str">
        <f t="shared" si="53"/>
        <v/>
      </c>
      <c r="AE312" s="476" t="str">
        <f t="shared" si="54"/>
        <v/>
      </c>
      <c r="AF312" s="476" t="b">
        <f>IFERROR(_xlfn.XLOOKUP(Table1[[#This Row],[Opportunity ID]],'Aging Detail'!$H$14:$H$20,'Aging Detail'!$F$14:$F$20),TRUE)</f>
        <v>1</v>
      </c>
    </row>
    <row r="313" spans="1:32">
      <c r="A313" t="s">
        <v>1461</v>
      </c>
      <c r="B313" t="s">
        <v>408</v>
      </c>
      <c r="C313" t="s">
        <v>1462</v>
      </c>
      <c r="D313" t="s">
        <v>2342</v>
      </c>
      <c r="E313" t="s">
        <v>2343</v>
      </c>
      <c r="F313" t="s">
        <v>1465</v>
      </c>
      <c r="I313" s="422">
        <v>46024</v>
      </c>
      <c r="J313" s="422">
        <v>46387</v>
      </c>
      <c r="K313">
        <v>919800</v>
      </c>
      <c r="L313">
        <v>919800</v>
      </c>
      <c r="M313" t="s">
        <v>2344</v>
      </c>
      <c r="N313" t="s">
        <v>1678</v>
      </c>
      <c r="O313" t="str">
        <f>_xlfn.IFNA(VLOOKUP(Table1[[#This Row],[Lead Source]],'helper tab'!A:B,2,FALSE),"Exclude")</f>
        <v>Exclude</v>
      </c>
      <c r="P313" s="422">
        <f t="shared" si="44"/>
        <v>46031.409722222219</v>
      </c>
      <c r="Q313">
        <f t="shared" si="45"/>
        <v>0</v>
      </c>
      <c r="R313">
        <f t="shared" si="46"/>
        <v>0</v>
      </c>
      <c r="S313">
        <f>IF(
AND($Q313=1,$M313&lt;&gt;""),
IF(
COUNTIFS(
$M$3:$M313,$M313,
$O$3:$O313,$O313,
$Q$3:$Q313,1,
$P$3:$P313,"&gt;="&amp;EOMONTH($P313,-1)+1,
$P$3:$P313,"&lt;"&amp;EOMONTH($P313,0)+1
)=1,
1,
0),
0)</f>
        <v>0</v>
      </c>
      <c r="T313">
        <f>IF(AND($R313=1,$M313&lt;&gt;""),IF(COUNTIFS($M$3:$M313,$M313,$O$3:$O313,$O313,$R$3:$R313,1,$P$3:$P313,"&gt;="&amp;EOMONTH($P313,-1)+1,$P$3:$P313,"&lt;"&amp;EOMONTH($P313,0)+1)=1,1,0),0)</f>
        <v>0</v>
      </c>
      <c r="U313">
        <f t="shared" si="47"/>
        <v>0</v>
      </c>
      <c r="V313">
        <f>IF(AND($U313=1,$M313&lt;&gt;""),IF(COUNTIFS($M$3:$M313,$M313,$O$3:$O313,$O313,$U$3:$U313,1,$P$3:$P313,"&gt;="&amp;EOMONTH($P313,-1)+1,$P$3:$P313,"&lt;"&amp;EOMONTH($P313,0)+1)=1,1,0),0)</f>
        <v>0</v>
      </c>
      <c r="W313" s="444">
        <f ca="1">TODAY()-Table1[[#This Row],[Change Date]]</f>
        <v>226.59027777778101</v>
      </c>
      <c r="X313" s="422" t="str">
        <f t="shared" si="48"/>
        <v/>
      </c>
      <c r="Y313" s="476">
        <f ca="1">IF(Table1[[#This Row],[Next Stage Date]]&lt;&gt;"",Table1[[#This Row],[Next Stage Date]]-Table1[[#This Row],[Change Date]],TODAY()-Table1[[#This Row],[Change Date]])</f>
        <v>226.59027777778101</v>
      </c>
      <c r="Z313" s="476">
        <f t="shared" si="49"/>
        <v>1</v>
      </c>
      <c r="AA313" s="422" t="str">
        <f t="shared" si="50"/>
        <v/>
      </c>
      <c r="AB313" s="422" t="str">
        <f t="shared" si="51"/>
        <v/>
      </c>
      <c r="AC313" s="476" t="str">
        <f t="shared" si="52"/>
        <v/>
      </c>
      <c r="AD313" s="476" t="str">
        <f t="shared" si="53"/>
        <v/>
      </c>
      <c r="AE313" s="476" t="str">
        <f t="shared" si="54"/>
        <v/>
      </c>
      <c r="AF313" s="476" t="b">
        <f>IFERROR(_xlfn.XLOOKUP(Table1[[#This Row],[Opportunity ID]],'Aging Detail'!$H$14:$H$20,'Aging Detail'!$F$14:$F$20),TRUE)</f>
        <v>1</v>
      </c>
    </row>
    <row r="314" spans="1:32">
      <c r="A314" t="s">
        <v>1461</v>
      </c>
      <c r="B314" t="s">
        <v>408</v>
      </c>
      <c r="C314" t="s">
        <v>1462</v>
      </c>
      <c r="D314" t="s">
        <v>2345</v>
      </c>
      <c r="E314" t="s">
        <v>1676</v>
      </c>
      <c r="F314" t="s">
        <v>1465</v>
      </c>
      <c r="G314" t="s">
        <v>1562</v>
      </c>
      <c r="I314" s="422">
        <v>46024</v>
      </c>
      <c r="J314" s="422">
        <v>46283</v>
      </c>
      <c r="K314">
        <v>795000</v>
      </c>
      <c r="L314">
        <v>657000</v>
      </c>
      <c r="M314" t="s">
        <v>1677</v>
      </c>
      <c r="N314" t="s">
        <v>1678</v>
      </c>
      <c r="O314" t="str">
        <f>_xlfn.IFNA(VLOOKUP(Table1[[#This Row],[Lead Source]],'helper tab'!A:B,2,FALSE),"Exclude")</f>
        <v>Exclude</v>
      </c>
      <c r="P314" s="422">
        <f t="shared" si="44"/>
        <v>46031.406944444447</v>
      </c>
      <c r="Q314">
        <f t="shared" si="45"/>
        <v>0</v>
      </c>
      <c r="R314">
        <f t="shared" si="46"/>
        <v>0</v>
      </c>
      <c r="S314">
        <f>IF(
AND($Q314=1,$M314&lt;&gt;""),
IF(
COUNTIFS(
$M$3:$M314,$M314,
$O$3:$O314,$O314,
$Q$3:$Q314,1,
$P$3:$P314,"&gt;="&amp;EOMONTH($P314,-1)+1,
$P$3:$P314,"&lt;"&amp;EOMONTH($P314,0)+1
)=1,
1,
0),
0)</f>
        <v>0</v>
      </c>
      <c r="T314">
        <f>IF(AND($R314=1,$M314&lt;&gt;""),IF(COUNTIFS($M$3:$M314,$M314,$O$3:$O314,$O314,$R$3:$R314,1,$P$3:$P314,"&gt;="&amp;EOMONTH($P314,-1)+1,$P$3:$P314,"&lt;"&amp;EOMONTH($P314,0)+1)=1,1,0),0)</f>
        <v>0</v>
      </c>
      <c r="U314">
        <f t="shared" si="47"/>
        <v>0</v>
      </c>
      <c r="V314">
        <f>IF(AND($U314=1,$M314&lt;&gt;""),IF(COUNTIFS($M$3:$M314,$M314,$O$3:$O314,$O314,$U$3:$U314,1,$P$3:$P314,"&gt;="&amp;EOMONTH($P314,-1)+1,$P$3:$P314,"&lt;"&amp;EOMONTH($P314,0)+1)=1,1,0),0)</f>
        <v>0</v>
      </c>
      <c r="W314" s="444">
        <f ca="1">TODAY()-Table1[[#This Row],[Change Date]]</f>
        <v>226.59305555555329</v>
      </c>
      <c r="X314" s="422">
        <f t="shared" si="48"/>
        <v>46211.62222222222</v>
      </c>
      <c r="Y314" s="476">
        <f ca="1">IF(Table1[[#This Row],[Next Stage Date]]&lt;&gt;"",Table1[[#This Row],[Next Stage Date]]-Table1[[#This Row],[Change Date]],TODAY()-Table1[[#This Row],[Change Date]])</f>
        <v>180.21527777777374</v>
      </c>
      <c r="Z314" s="476">
        <f t="shared" si="49"/>
        <v>0</v>
      </c>
      <c r="AA314" s="422" t="str">
        <f t="shared" si="50"/>
        <v/>
      </c>
      <c r="AB314" s="422">
        <f t="shared" si="51"/>
        <v>46211.62222222222</v>
      </c>
      <c r="AC314" s="476">
        <f t="shared" si="52"/>
        <v>187.62222222222044</v>
      </c>
      <c r="AD314" s="476" t="str">
        <f t="shared" si="53"/>
        <v/>
      </c>
      <c r="AE314" s="476" t="str">
        <f t="shared" si="54"/>
        <v/>
      </c>
      <c r="AF314" s="476" t="b">
        <f>IFERROR(_xlfn.XLOOKUP(Table1[[#This Row],[Opportunity ID]],'Aging Detail'!$H$14:$H$20,'Aging Detail'!$F$14:$F$20),TRUE)</f>
        <v>1</v>
      </c>
    </row>
    <row r="315" spans="1:32">
      <c r="A315" t="s">
        <v>1461</v>
      </c>
      <c r="B315" t="s">
        <v>338</v>
      </c>
      <c r="C315" t="s">
        <v>462</v>
      </c>
      <c r="D315" t="s">
        <v>2346</v>
      </c>
      <c r="E315" t="s">
        <v>1987</v>
      </c>
      <c r="I315" s="422">
        <v>45932</v>
      </c>
      <c r="J315" s="422">
        <v>46142</v>
      </c>
      <c r="K315">
        <v>54000</v>
      </c>
      <c r="L315">
        <v>0</v>
      </c>
      <c r="M315" t="s">
        <v>1988</v>
      </c>
      <c r="N315" t="s">
        <v>1684</v>
      </c>
      <c r="O315" t="str">
        <f>_xlfn.IFNA(VLOOKUP(Table1[[#This Row],[Lead Source]],'helper tab'!A:B,2,FALSE),"Exclude")</f>
        <v>Exclude</v>
      </c>
      <c r="P315" s="422">
        <f t="shared" si="44"/>
        <v>46031.402083333334</v>
      </c>
      <c r="Q315">
        <f t="shared" si="45"/>
        <v>1</v>
      </c>
      <c r="R315">
        <f t="shared" si="46"/>
        <v>0</v>
      </c>
      <c r="S315">
        <f>IF(
AND($Q315=1,$M315&lt;&gt;""),
IF(
COUNTIFS(
$M$3:$M315,$M315,
$O$3:$O315,$O315,
$Q$3:$Q315,1,
$P$3:$P315,"&gt;="&amp;EOMONTH($P315,-1)+1,
$P$3:$P315,"&lt;"&amp;EOMONTH($P315,0)+1
)=1,
1,
0),
0)</f>
        <v>1</v>
      </c>
      <c r="T315">
        <f>IF(AND($R315=1,$M315&lt;&gt;""),IF(COUNTIFS($M$3:$M315,$M315,$O$3:$O315,$O315,$R$3:$R315,1,$P$3:$P315,"&gt;="&amp;EOMONTH($P315,-1)+1,$P$3:$P315,"&lt;"&amp;EOMONTH($P315,0)+1)=1,1,0),0)</f>
        <v>0</v>
      </c>
      <c r="U315">
        <f t="shared" si="47"/>
        <v>0</v>
      </c>
      <c r="V315">
        <f>IF(AND($U315=1,$M315&lt;&gt;""),IF(COUNTIFS($M$3:$M315,$M315,$O$3:$O315,$O315,$U$3:$U315,1,$P$3:$P315,"&gt;="&amp;EOMONTH($P315,-1)+1,$P$3:$P315,"&lt;"&amp;EOMONTH($P315,0)+1)=1,1,0),0)</f>
        <v>0</v>
      </c>
      <c r="W315" s="444">
        <f ca="1">TODAY()-Table1[[#This Row],[Change Date]]</f>
        <v>226.5979166666657</v>
      </c>
      <c r="X315" s="422">
        <f t="shared" si="48"/>
        <v>46146.601388888892</v>
      </c>
      <c r="Y315" s="476">
        <f ca="1">IF(Table1[[#This Row],[Next Stage Date]]&lt;&gt;"",Table1[[#This Row],[Next Stage Date]]-Table1[[#This Row],[Change Date]],TODAY()-Table1[[#This Row],[Change Date]])</f>
        <v>115.19930555555766</v>
      </c>
      <c r="Z315" s="476">
        <f t="shared" si="49"/>
        <v>0</v>
      </c>
      <c r="AA315" s="422">
        <f t="shared" si="50"/>
        <v>46146.601388888892</v>
      </c>
      <c r="AB315" s="422">
        <f t="shared" si="51"/>
        <v>46031.402083333334</v>
      </c>
      <c r="AC315" s="476">
        <f t="shared" si="52"/>
        <v>99.402083333334303</v>
      </c>
      <c r="AD315" s="476">
        <f t="shared" si="53"/>
        <v>115.19930555555766</v>
      </c>
      <c r="AE315" s="476">
        <f t="shared" si="54"/>
        <v>214.60138888889196</v>
      </c>
      <c r="AF315" s="476" t="b">
        <f>IFERROR(_xlfn.XLOOKUP(Table1[[#This Row],[Opportunity ID]],'Aging Detail'!$H$14:$H$20,'Aging Detail'!$F$14:$F$20),TRUE)</f>
        <v>1</v>
      </c>
    </row>
    <row r="316" spans="1:32">
      <c r="A316" t="s">
        <v>1461</v>
      </c>
      <c r="B316" t="s">
        <v>462</v>
      </c>
      <c r="C316" t="s">
        <v>1469</v>
      </c>
      <c r="D316" t="s">
        <v>2347</v>
      </c>
      <c r="E316" t="s">
        <v>2348</v>
      </c>
      <c r="F316" t="s">
        <v>1484</v>
      </c>
      <c r="I316" s="422">
        <v>45874</v>
      </c>
      <c r="J316" s="422">
        <v>45898</v>
      </c>
      <c r="K316">
        <v>57150</v>
      </c>
      <c r="L316">
        <v>0</v>
      </c>
      <c r="M316" t="s">
        <v>2349</v>
      </c>
      <c r="N316" t="s">
        <v>1708</v>
      </c>
      <c r="O316" t="str">
        <f>_xlfn.IFNA(VLOOKUP(Table1[[#This Row],[Lead Source]],'helper tab'!A:B,2,FALSE),"Exclude")</f>
        <v>Exclude</v>
      </c>
      <c r="P316" s="422">
        <f t="shared" si="44"/>
        <v>46031.352083333331</v>
      </c>
      <c r="Q316">
        <f t="shared" si="45"/>
        <v>0</v>
      </c>
      <c r="R316">
        <f t="shared" si="46"/>
        <v>0</v>
      </c>
      <c r="S316">
        <f>IF(
AND($Q316=1,$M316&lt;&gt;""),
IF(
COUNTIFS(
$M$3:$M316,$M316,
$O$3:$O316,$O316,
$Q$3:$Q316,1,
$P$3:$P316,"&gt;="&amp;EOMONTH($P316,-1)+1,
$P$3:$P316,"&lt;"&amp;EOMONTH($P316,0)+1
)=1,
1,
0),
0)</f>
        <v>0</v>
      </c>
      <c r="T316">
        <f>IF(AND($R316=1,$M316&lt;&gt;""),IF(COUNTIFS($M$3:$M316,$M316,$O$3:$O316,$O316,$R$3:$R316,1,$P$3:$P316,"&gt;="&amp;EOMONTH($P316,-1)+1,$P$3:$P316,"&lt;"&amp;EOMONTH($P316,0)+1)=1,1,0),0)</f>
        <v>0</v>
      </c>
      <c r="U316">
        <f t="shared" si="47"/>
        <v>1</v>
      </c>
      <c r="V316">
        <f>IF(AND($U316=1,$M316&lt;&gt;""),IF(COUNTIFS($M$3:$M316,$M316,$O$3:$O316,$O316,$U$3:$U316,1,$P$3:$P316,"&gt;="&amp;EOMONTH($P316,-1)+1,$P$3:$P316,"&lt;"&amp;EOMONTH($P316,0)+1)=1,1,0),0)</f>
        <v>1</v>
      </c>
      <c r="W316" s="444">
        <f ca="1">TODAY()-Table1[[#This Row],[Change Date]]</f>
        <v>226.64791666666861</v>
      </c>
      <c r="X316" s="422" t="str">
        <f t="shared" si="48"/>
        <v/>
      </c>
      <c r="Y316" s="476">
        <f ca="1">IF(Table1[[#This Row],[Next Stage Date]]&lt;&gt;"",Table1[[#This Row],[Next Stage Date]]-Table1[[#This Row],[Change Date]],TODAY()-Table1[[#This Row],[Change Date]])</f>
        <v>226.64791666666861</v>
      </c>
      <c r="Z316" s="476">
        <f t="shared" si="49"/>
        <v>1</v>
      </c>
      <c r="AA316" s="422" t="str">
        <f t="shared" si="50"/>
        <v/>
      </c>
      <c r="AB316" s="422">
        <f t="shared" si="51"/>
        <v>45877.461111111108</v>
      </c>
      <c r="AC316" s="476">
        <f t="shared" si="52"/>
        <v>3.461111111108039</v>
      </c>
      <c r="AD316" s="476" t="str">
        <f t="shared" si="53"/>
        <v/>
      </c>
      <c r="AE316" s="476" t="str">
        <f t="shared" si="54"/>
        <v/>
      </c>
      <c r="AF316" s="476" t="b">
        <f>IFERROR(_xlfn.XLOOKUP(Table1[[#This Row],[Opportunity ID]],'Aging Detail'!$H$14:$H$20,'Aging Detail'!$F$14:$F$20),TRUE)</f>
        <v>1</v>
      </c>
    </row>
    <row r="317" spans="1:32">
      <c r="A317" t="s">
        <v>1461</v>
      </c>
      <c r="B317" t="s">
        <v>408</v>
      </c>
      <c r="C317" t="s">
        <v>1462</v>
      </c>
      <c r="D317" t="s">
        <v>2350</v>
      </c>
      <c r="E317" t="s">
        <v>2029</v>
      </c>
      <c r="F317" t="s">
        <v>148</v>
      </c>
      <c r="G317" t="s">
        <v>1473</v>
      </c>
      <c r="H317" t="s">
        <v>169</v>
      </c>
      <c r="I317" s="422">
        <v>45868</v>
      </c>
      <c r="J317" s="422">
        <v>46486</v>
      </c>
      <c r="K317">
        <v>1205000</v>
      </c>
      <c r="L317">
        <v>990000</v>
      </c>
      <c r="M317" t="s">
        <v>2351</v>
      </c>
      <c r="N317" t="s">
        <v>2029</v>
      </c>
      <c r="O317" t="str">
        <f>_xlfn.IFNA(VLOOKUP(Table1[[#This Row],[Lead Source]],'helper tab'!A:B,2,FALSE),"Exclude")</f>
        <v>Alliances</v>
      </c>
      <c r="P317" s="422">
        <f t="shared" si="44"/>
        <v>46031.334027777775</v>
      </c>
      <c r="Q317">
        <f t="shared" si="45"/>
        <v>0</v>
      </c>
      <c r="R317">
        <f t="shared" si="46"/>
        <v>0</v>
      </c>
      <c r="S317">
        <f>IF(
AND($Q317=1,$M317&lt;&gt;""),
IF(
COUNTIFS(
$M$3:$M317,$M317,
$O$3:$O317,$O317,
$Q$3:$Q317,1,
$P$3:$P317,"&gt;="&amp;EOMONTH($P317,-1)+1,
$P$3:$P317,"&lt;"&amp;EOMONTH($P317,0)+1
)=1,
1,
0),
0)</f>
        <v>0</v>
      </c>
      <c r="T317">
        <f>IF(AND($R317=1,$M317&lt;&gt;""),IF(COUNTIFS($M$3:$M317,$M317,$O$3:$O317,$O317,$R$3:$R317,1,$P$3:$P317,"&gt;="&amp;EOMONTH($P317,-1)+1,$P$3:$P317,"&lt;"&amp;EOMONTH($P317,0)+1)=1,1,0),0)</f>
        <v>0</v>
      </c>
      <c r="U317">
        <f t="shared" si="47"/>
        <v>0</v>
      </c>
      <c r="V317">
        <f>IF(AND($U317=1,$M317&lt;&gt;""),IF(COUNTIFS($M$3:$M317,$M317,$O$3:$O317,$O317,$U$3:$U317,1,$P$3:$P317,"&gt;="&amp;EOMONTH($P317,-1)+1,$P$3:$P317,"&lt;"&amp;EOMONTH($P317,0)+1)=1,1,0),0)</f>
        <v>0</v>
      </c>
      <c r="W317" s="444">
        <f ca="1">TODAY()-Table1[[#This Row],[Change Date]]</f>
        <v>226.66597222222481</v>
      </c>
      <c r="X317" s="422" t="str">
        <f t="shared" si="48"/>
        <v/>
      </c>
      <c r="Y317" s="476">
        <f ca="1">IF(Table1[[#This Row],[Next Stage Date]]&lt;&gt;"",Table1[[#This Row],[Next Stage Date]]-Table1[[#This Row],[Change Date]],TODAY()-Table1[[#This Row],[Change Date]])</f>
        <v>226.66597222222481</v>
      </c>
      <c r="Z317" s="476">
        <f t="shared" si="49"/>
        <v>1</v>
      </c>
      <c r="AA317" s="422" t="str">
        <f t="shared" si="50"/>
        <v/>
      </c>
      <c r="AB317" s="422" t="str">
        <f t="shared" si="51"/>
        <v/>
      </c>
      <c r="AC317" s="476" t="str">
        <f t="shared" si="52"/>
        <v/>
      </c>
      <c r="AD317" s="476" t="str">
        <f t="shared" si="53"/>
        <v/>
      </c>
      <c r="AE317" s="476" t="str">
        <f t="shared" si="54"/>
        <v/>
      </c>
      <c r="AF317" s="476" t="b">
        <f>IFERROR(_xlfn.XLOOKUP(Table1[[#This Row],[Opportunity ID]],'Aging Detail'!$H$14:$H$20,'Aging Detail'!$F$14:$F$20),TRUE)</f>
        <v>1</v>
      </c>
    </row>
    <row r="318" spans="1:32">
      <c r="A318" t="s">
        <v>1461</v>
      </c>
      <c r="B318" t="s">
        <v>338</v>
      </c>
      <c r="C318" t="s">
        <v>1469</v>
      </c>
      <c r="D318" t="s">
        <v>2352</v>
      </c>
      <c r="E318" t="s">
        <v>2353</v>
      </c>
      <c r="F318" t="s">
        <v>148</v>
      </c>
      <c r="H318" t="s">
        <v>154</v>
      </c>
      <c r="I318" s="422">
        <v>45705</v>
      </c>
      <c r="J318" s="422">
        <v>46286</v>
      </c>
      <c r="K318">
        <v>1120500</v>
      </c>
      <c r="L318">
        <v>1008000</v>
      </c>
      <c r="M318" t="s">
        <v>2354</v>
      </c>
      <c r="N318" t="s">
        <v>2355</v>
      </c>
      <c r="O318" t="str">
        <f>_xlfn.IFNA(VLOOKUP(Table1[[#This Row],[Lead Source]],'helper tab'!A:B,2,FALSE),"Exclude")</f>
        <v>Alliances</v>
      </c>
      <c r="P318" s="422">
        <f t="shared" si="44"/>
        <v>46030.344444444447</v>
      </c>
      <c r="Q318">
        <f t="shared" si="45"/>
        <v>0</v>
      </c>
      <c r="R318">
        <f t="shared" si="46"/>
        <v>0</v>
      </c>
      <c r="S318">
        <f>IF(
AND($Q318=1,$M318&lt;&gt;""),
IF(
COUNTIFS(
$M$3:$M318,$M318,
$O$3:$O318,$O318,
$Q$3:$Q318,1,
$P$3:$P318,"&gt;="&amp;EOMONTH($P318,-1)+1,
$P$3:$P318,"&lt;"&amp;EOMONTH($P318,0)+1
)=1,
1,
0),
0)</f>
        <v>0</v>
      </c>
      <c r="T318">
        <f>IF(AND($R318=1,$M318&lt;&gt;""),IF(COUNTIFS($M$3:$M318,$M318,$O$3:$O318,$O318,$R$3:$R318,1,$P$3:$P318,"&gt;="&amp;EOMONTH($P318,-1)+1,$P$3:$P318,"&lt;"&amp;EOMONTH($P318,0)+1)=1,1,0),0)</f>
        <v>0</v>
      </c>
      <c r="U318">
        <f t="shared" si="47"/>
        <v>1</v>
      </c>
      <c r="V318">
        <f>IF(AND($U318=1,$M318&lt;&gt;""),IF(COUNTIFS($M$3:$M318,$M318,$O$3:$O318,$O318,$U$3:$U318,1,$P$3:$P318,"&gt;="&amp;EOMONTH($P318,-1)+1,$P$3:$P318,"&lt;"&amp;EOMONTH($P318,0)+1)=1,1,0),0)</f>
        <v>1</v>
      </c>
      <c r="W318" s="444">
        <f ca="1">TODAY()-Table1[[#This Row],[Change Date]]</f>
        <v>227.65555555555329</v>
      </c>
      <c r="X318" s="422" t="str">
        <f t="shared" si="48"/>
        <v/>
      </c>
      <c r="Y318" s="476">
        <f ca="1">IF(Table1[[#This Row],[Next Stage Date]]&lt;&gt;"",Table1[[#This Row],[Next Stage Date]]-Table1[[#This Row],[Change Date]],TODAY()-Table1[[#This Row],[Change Date]])</f>
        <v>227.65555555555329</v>
      </c>
      <c r="Z318" s="476">
        <f t="shared" si="49"/>
        <v>1</v>
      </c>
      <c r="AA318" s="422" t="str">
        <f t="shared" si="50"/>
        <v/>
      </c>
      <c r="AB318" s="422" t="str">
        <f t="shared" si="51"/>
        <v/>
      </c>
      <c r="AC318" s="476" t="str">
        <f t="shared" si="52"/>
        <v/>
      </c>
      <c r="AD318" s="476" t="str">
        <f t="shared" si="53"/>
        <v/>
      </c>
      <c r="AE318" s="476" t="str">
        <f t="shared" si="54"/>
        <v/>
      </c>
      <c r="AF318" s="476" t="b">
        <f>IFERROR(_xlfn.XLOOKUP(Table1[[#This Row],[Opportunity ID]],'Aging Detail'!$H$14:$H$20,'Aging Detail'!$F$14:$F$20),TRUE)</f>
        <v>1</v>
      </c>
    </row>
    <row r="319" spans="1:32">
      <c r="A319" t="s">
        <v>1461</v>
      </c>
      <c r="B319" t="s">
        <v>338</v>
      </c>
      <c r="C319" t="s">
        <v>526</v>
      </c>
      <c r="D319" t="s">
        <v>2356</v>
      </c>
      <c r="E319" t="s">
        <v>2357</v>
      </c>
      <c r="F319" t="s">
        <v>1465</v>
      </c>
      <c r="I319" s="422">
        <v>45838</v>
      </c>
      <c r="J319" s="422">
        <v>46233</v>
      </c>
      <c r="K319">
        <v>0</v>
      </c>
      <c r="L319">
        <v>0</v>
      </c>
      <c r="M319" t="s">
        <v>2358</v>
      </c>
      <c r="N319" t="s">
        <v>2297</v>
      </c>
      <c r="O319" t="str">
        <f>_xlfn.IFNA(VLOOKUP(Table1[[#This Row],[Lead Source]],'helper tab'!A:B,2,FALSE),"Exclude")</f>
        <v>Exclude</v>
      </c>
      <c r="P319" s="422">
        <f t="shared" si="44"/>
        <v>46029.455555555556</v>
      </c>
      <c r="Q319">
        <f t="shared" si="45"/>
        <v>1</v>
      </c>
      <c r="R319">
        <f t="shared" si="46"/>
        <v>0</v>
      </c>
      <c r="S319">
        <f>IF(
AND($Q319=1,$M319&lt;&gt;""),
IF(
COUNTIFS(
$M$3:$M319,$M319,
$O$3:$O319,$O319,
$Q$3:$Q319,1,
$P$3:$P319,"&gt;="&amp;EOMONTH($P319,-1)+1,
$P$3:$P319,"&lt;"&amp;EOMONTH($P319,0)+1
)=1,
1,
0),
0)</f>
        <v>1</v>
      </c>
      <c r="T319">
        <f>IF(AND($R319=1,$M319&lt;&gt;""),IF(COUNTIFS($M$3:$M319,$M319,$O$3:$O319,$O319,$R$3:$R319,1,$P$3:$P319,"&gt;="&amp;EOMONTH($P319,-1)+1,$P$3:$P319,"&lt;"&amp;EOMONTH($P319,0)+1)=1,1,0),0)</f>
        <v>0</v>
      </c>
      <c r="U319">
        <f t="shared" si="47"/>
        <v>0</v>
      </c>
      <c r="V319">
        <f>IF(AND($U319=1,$M319&lt;&gt;""),IF(COUNTIFS($M$3:$M319,$M319,$O$3:$O319,$O319,$U$3:$U319,1,$P$3:$P319,"&gt;="&amp;EOMONTH($P319,-1)+1,$P$3:$P319,"&lt;"&amp;EOMONTH($P319,0)+1)=1,1,0),0)</f>
        <v>0</v>
      </c>
      <c r="W319" s="444">
        <f ca="1">TODAY()-Table1[[#This Row],[Change Date]]</f>
        <v>228.5444444444438</v>
      </c>
      <c r="X319" s="422" t="str">
        <f t="shared" si="48"/>
        <v/>
      </c>
      <c r="Y319" s="476">
        <f ca="1">IF(Table1[[#This Row],[Next Stage Date]]&lt;&gt;"",Table1[[#This Row],[Next Stage Date]]-Table1[[#This Row],[Change Date]],TODAY()-Table1[[#This Row],[Change Date]])</f>
        <v>228.5444444444438</v>
      </c>
      <c r="Z319" s="476">
        <f t="shared" si="49"/>
        <v>1</v>
      </c>
      <c r="AA319" s="422" t="str">
        <f t="shared" si="50"/>
        <v/>
      </c>
      <c r="AB319" s="422">
        <f t="shared" si="51"/>
        <v>46029.455555555556</v>
      </c>
      <c r="AC319" s="476">
        <f t="shared" si="52"/>
        <v>191.4555555555562</v>
      </c>
      <c r="AD319" s="476" t="str">
        <f t="shared" si="53"/>
        <v/>
      </c>
      <c r="AE319" s="476" t="str">
        <f t="shared" si="54"/>
        <v/>
      </c>
      <c r="AF319" s="476" t="b">
        <f>IFERROR(_xlfn.XLOOKUP(Table1[[#This Row],[Opportunity ID]],'Aging Detail'!$H$14:$H$20,'Aging Detail'!$F$14:$F$20),TRUE)</f>
        <v>1</v>
      </c>
    </row>
    <row r="320" spans="1:32">
      <c r="A320" t="s">
        <v>1461</v>
      </c>
      <c r="B320" t="s">
        <v>408</v>
      </c>
      <c r="C320" t="s">
        <v>1462</v>
      </c>
      <c r="D320" t="s">
        <v>2359</v>
      </c>
      <c r="E320" t="s">
        <v>2360</v>
      </c>
      <c r="F320" t="s">
        <v>148</v>
      </c>
      <c r="G320" t="s">
        <v>148</v>
      </c>
      <c r="H320" t="s">
        <v>2105</v>
      </c>
      <c r="I320" s="422">
        <v>45890</v>
      </c>
      <c r="J320" s="422">
        <v>46350</v>
      </c>
      <c r="K320">
        <v>273000</v>
      </c>
      <c r="L320">
        <v>133000</v>
      </c>
      <c r="M320" t="s">
        <v>2361</v>
      </c>
      <c r="N320" t="s">
        <v>732</v>
      </c>
      <c r="O320" t="str">
        <f>_xlfn.IFNA(VLOOKUP(Table1[[#This Row],[Lead Source]],'helper tab'!A:B,2,FALSE),"Exclude")</f>
        <v>Alliances</v>
      </c>
      <c r="P320" s="422">
        <f t="shared" si="44"/>
        <v>46029.454861111109</v>
      </c>
      <c r="Q320">
        <f t="shared" si="45"/>
        <v>0</v>
      </c>
      <c r="R320">
        <f t="shared" si="46"/>
        <v>0</v>
      </c>
      <c r="S320">
        <f>IF(
AND($Q320=1,$M320&lt;&gt;""),
IF(
COUNTIFS(
$M$3:$M320,$M320,
$O$3:$O320,$O320,
$Q$3:$Q320,1,
$P$3:$P320,"&gt;="&amp;EOMONTH($P320,-1)+1,
$P$3:$P320,"&lt;"&amp;EOMONTH($P320,0)+1
)=1,
1,
0),
0)</f>
        <v>0</v>
      </c>
      <c r="T320">
        <f>IF(AND($R320=1,$M320&lt;&gt;""),IF(COUNTIFS($M$3:$M320,$M320,$O$3:$O320,$O320,$R$3:$R320,1,$P$3:$P320,"&gt;="&amp;EOMONTH($P320,-1)+1,$P$3:$P320,"&lt;"&amp;EOMONTH($P320,0)+1)=1,1,0),0)</f>
        <v>0</v>
      </c>
      <c r="U320">
        <f t="shared" si="47"/>
        <v>0</v>
      </c>
      <c r="V320">
        <f>IF(AND($U320=1,$M320&lt;&gt;""),IF(COUNTIFS($M$3:$M320,$M320,$O$3:$O320,$O320,$U$3:$U320,1,$P$3:$P320,"&gt;="&amp;EOMONTH($P320,-1)+1,$P$3:$P320,"&lt;"&amp;EOMONTH($P320,0)+1)=1,1,0),0)</f>
        <v>0</v>
      </c>
      <c r="W320" s="444">
        <f ca="1">TODAY()-Table1[[#This Row],[Change Date]]</f>
        <v>228.54513888889051</v>
      </c>
      <c r="X320" s="422" t="str">
        <f t="shared" si="48"/>
        <v/>
      </c>
      <c r="Y320" s="476">
        <f ca="1">IF(Table1[[#This Row],[Next Stage Date]]&lt;&gt;"",Table1[[#This Row],[Next Stage Date]]-Table1[[#This Row],[Change Date]],TODAY()-Table1[[#This Row],[Change Date]])</f>
        <v>228.54513888889051</v>
      </c>
      <c r="Z320" s="476">
        <f t="shared" si="49"/>
        <v>1</v>
      </c>
      <c r="AA320" s="422" t="str">
        <f t="shared" si="50"/>
        <v/>
      </c>
      <c r="AB320" s="422" t="str">
        <f t="shared" si="51"/>
        <v/>
      </c>
      <c r="AC320" s="476" t="str">
        <f t="shared" si="52"/>
        <v/>
      </c>
      <c r="AD320" s="476" t="str">
        <f t="shared" si="53"/>
        <v/>
      </c>
      <c r="AE320" s="476" t="str">
        <f t="shared" si="54"/>
        <v/>
      </c>
      <c r="AF320" s="476" t="b">
        <f>IFERROR(_xlfn.XLOOKUP(Table1[[#This Row],[Opportunity ID]],'Aging Detail'!$H$14:$H$20,'Aging Detail'!$F$14:$F$20),TRUE)</f>
        <v>1</v>
      </c>
    </row>
    <row r="321" spans="1:32">
      <c r="A321" t="s">
        <v>1461</v>
      </c>
      <c r="B321" t="s">
        <v>1462</v>
      </c>
      <c r="C321" t="s">
        <v>462</v>
      </c>
      <c r="D321" t="s">
        <v>2362</v>
      </c>
      <c r="E321" t="s">
        <v>2232</v>
      </c>
      <c r="F321" t="s">
        <v>1475</v>
      </c>
      <c r="I321" s="422">
        <v>45961</v>
      </c>
      <c r="J321" s="422">
        <v>46289</v>
      </c>
      <c r="K321">
        <v>63000</v>
      </c>
      <c r="L321">
        <v>63000</v>
      </c>
      <c r="M321" t="s">
        <v>2233</v>
      </c>
      <c r="N321" t="s">
        <v>1788</v>
      </c>
      <c r="O321" t="str">
        <f>_xlfn.IFNA(VLOOKUP(Table1[[#This Row],[Lead Source]],'helper tab'!A:B,2,FALSE),"Exclude")</f>
        <v>Exclude</v>
      </c>
      <c r="P321" s="422">
        <f t="shared" si="44"/>
        <v>46029.411805555559</v>
      </c>
      <c r="Q321">
        <f t="shared" si="45"/>
        <v>1</v>
      </c>
      <c r="R321">
        <f t="shared" si="46"/>
        <v>0</v>
      </c>
      <c r="S321">
        <f>IF(
AND($Q321=1,$M321&lt;&gt;""),
IF(
COUNTIFS(
$M$3:$M321,$M321,
$O$3:$O321,$O321,
$Q$3:$Q321,1,
$P$3:$P321,"&gt;="&amp;EOMONTH($P321,-1)+1,
$P$3:$P321,"&lt;"&amp;EOMONTH($P321,0)+1
)=1,
1,
0),
0)</f>
        <v>1</v>
      </c>
      <c r="T321">
        <f>IF(AND($R321=1,$M321&lt;&gt;""),IF(COUNTIFS($M$3:$M321,$M321,$O$3:$O321,$O321,$R$3:$R321,1,$P$3:$P321,"&gt;="&amp;EOMONTH($P321,-1)+1,$P$3:$P321,"&lt;"&amp;EOMONTH($P321,0)+1)=1,1,0),0)</f>
        <v>0</v>
      </c>
      <c r="U321">
        <f t="shared" si="47"/>
        <v>0</v>
      </c>
      <c r="V321">
        <f>IF(AND($U321=1,$M321&lt;&gt;""),IF(COUNTIFS($M$3:$M321,$M321,$O$3:$O321,$O321,$U$3:$U321,1,$P$3:$P321,"&gt;="&amp;EOMONTH($P321,-1)+1,$P$3:$P321,"&lt;"&amp;EOMONTH($P321,0)+1)=1,1,0),0)</f>
        <v>0</v>
      </c>
      <c r="W321" s="444">
        <f ca="1">TODAY()-Table1[[#This Row],[Change Date]]</f>
        <v>228.58819444444089</v>
      </c>
      <c r="X321" s="422">
        <f t="shared" si="48"/>
        <v>46063.506944444445</v>
      </c>
      <c r="Y321" s="476">
        <f ca="1">IF(Table1[[#This Row],[Next Stage Date]]&lt;&gt;"",Table1[[#This Row],[Next Stage Date]]-Table1[[#This Row],[Change Date]],TODAY()-Table1[[#This Row],[Change Date]])</f>
        <v>34.09513888888614</v>
      </c>
      <c r="Z321" s="476">
        <f t="shared" si="49"/>
        <v>0</v>
      </c>
      <c r="AA321" s="422" t="str">
        <f t="shared" si="50"/>
        <v/>
      </c>
      <c r="AB321" s="422">
        <f t="shared" si="51"/>
        <v>46029.411805555559</v>
      </c>
      <c r="AC321" s="476">
        <f t="shared" si="52"/>
        <v>68.411805555559113</v>
      </c>
      <c r="AD321" s="476" t="str">
        <f t="shared" si="53"/>
        <v/>
      </c>
      <c r="AE321" s="476" t="str">
        <f t="shared" si="54"/>
        <v/>
      </c>
      <c r="AF321" s="476" t="b">
        <f>IFERROR(_xlfn.XLOOKUP(Table1[[#This Row],[Opportunity ID]],'Aging Detail'!$H$14:$H$20,'Aging Detail'!$F$14:$F$20),TRUE)</f>
        <v>1</v>
      </c>
    </row>
    <row r="322" spans="1:32">
      <c r="A322" t="s">
        <v>1461</v>
      </c>
      <c r="B322" t="s">
        <v>408</v>
      </c>
      <c r="C322" t="s">
        <v>1462</v>
      </c>
      <c r="D322" t="s">
        <v>2362</v>
      </c>
      <c r="E322" t="s">
        <v>2232</v>
      </c>
      <c r="F322" t="s">
        <v>1475</v>
      </c>
      <c r="I322" s="422">
        <v>45961</v>
      </c>
      <c r="J322" s="422">
        <v>46289</v>
      </c>
      <c r="K322">
        <v>63000</v>
      </c>
      <c r="L322">
        <v>63000</v>
      </c>
      <c r="M322" t="s">
        <v>2233</v>
      </c>
      <c r="N322" t="s">
        <v>1788</v>
      </c>
      <c r="O322" t="str">
        <f>_xlfn.IFNA(VLOOKUP(Table1[[#This Row],[Lead Source]],'helper tab'!A:B,2,FALSE),"Exclude")</f>
        <v>Exclude</v>
      </c>
      <c r="P322" s="422">
        <f t="shared" si="44"/>
        <v>46029.411805555559</v>
      </c>
      <c r="Q322">
        <f t="shared" si="45"/>
        <v>0</v>
      </c>
      <c r="R322">
        <f t="shared" si="46"/>
        <v>0</v>
      </c>
      <c r="S322">
        <f>IF(
AND($Q322=1,$M322&lt;&gt;""),
IF(
COUNTIFS(
$M$3:$M322,$M322,
$O$3:$O322,$O322,
$Q$3:$Q322,1,
$P$3:$P322,"&gt;="&amp;EOMONTH($P322,-1)+1,
$P$3:$P322,"&lt;"&amp;EOMONTH($P322,0)+1
)=1,
1,
0),
0)</f>
        <v>0</v>
      </c>
      <c r="T322">
        <f>IF(AND($R322=1,$M322&lt;&gt;""),IF(COUNTIFS($M$3:$M322,$M322,$O$3:$O322,$O322,$R$3:$R322,1,$P$3:$P322,"&gt;="&amp;EOMONTH($P322,-1)+1,$P$3:$P322,"&lt;"&amp;EOMONTH($P322,0)+1)=1,1,0),0)</f>
        <v>0</v>
      </c>
      <c r="U322">
        <f t="shared" si="47"/>
        <v>0</v>
      </c>
      <c r="V322">
        <f>IF(AND($U322=1,$M322&lt;&gt;""),IF(COUNTIFS($M$3:$M322,$M322,$O$3:$O322,$O322,$U$3:$U322,1,$P$3:$P322,"&gt;="&amp;EOMONTH($P322,-1)+1,$P$3:$P322,"&lt;"&amp;EOMONTH($P322,0)+1)=1,1,0),0)</f>
        <v>0</v>
      </c>
      <c r="W322" s="444">
        <f ca="1">TODAY()-Table1[[#This Row],[Change Date]]</f>
        <v>228.58819444444089</v>
      </c>
      <c r="X322" s="422">
        <f t="shared" si="48"/>
        <v>46063.506944444445</v>
      </c>
      <c r="Y322" s="476">
        <f ca="1">IF(Table1[[#This Row],[Next Stage Date]]&lt;&gt;"",Table1[[#This Row],[Next Stage Date]]-Table1[[#This Row],[Change Date]],TODAY()-Table1[[#This Row],[Change Date]])</f>
        <v>34.09513888888614</v>
      </c>
      <c r="Z322" s="476">
        <f t="shared" si="49"/>
        <v>0</v>
      </c>
      <c r="AA322" s="422" t="str">
        <f t="shared" si="50"/>
        <v/>
      </c>
      <c r="AB322" s="422">
        <f t="shared" si="51"/>
        <v>46029.411805555559</v>
      </c>
      <c r="AC322" s="476">
        <f t="shared" si="52"/>
        <v>68.411805555559113</v>
      </c>
      <c r="AD322" s="476" t="str">
        <f t="shared" si="53"/>
        <v/>
      </c>
      <c r="AE322" s="476" t="str">
        <f t="shared" si="54"/>
        <v/>
      </c>
      <c r="AF322" s="476" t="b">
        <f>IFERROR(_xlfn.XLOOKUP(Table1[[#This Row],[Opportunity ID]],'Aging Detail'!$H$14:$H$20,'Aging Detail'!$F$14:$F$20),TRUE)</f>
        <v>1</v>
      </c>
    </row>
    <row r="323" spans="1:32">
      <c r="A323" t="s">
        <v>1461</v>
      </c>
      <c r="B323" t="s">
        <v>338</v>
      </c>
      <c r="C323" t="s">
        <v>1469</v>
      </c>
      <c r="D323" t="s">
        <v>2363</v>
      </c>
      <c r="E323" t="s">
        <v>2364</v>
      </c>
      <c r="F323" t="s">
        <v>29</v>
      </c>
      <c r="G323" t="s">
        <v>29</v>
      </c>
      <c r="I323" s="422">
        <v>46027</v>
      </c>
      <c r="J323" s="422">
        <v>46112</v>
      </c>
      <c r="L323">
        <v>0</v>
      </c>
      <c r="M323" t="s">
        <v>2365</v>
      </c>
      <c r="N323" t="s">
        <v>1891</v>
      </c>
      <c r="O323" t="str">
        <f>_xlfn.IFNA(VLOOKUP(Table1[[#This Row],[Lead Source]],'helper tab'!A:B,2,FALSE),"Exclude")</f>
        <v>Events</v>
      </c>
      <c r="P323" s="422">
        <f t="shared" ref="P323:P386" si="55">--SUBSTITUTE(D323,",","")</f>
        <v>46027.595833333333</v>
      </c>
      <c r="Q323">
        <f t="shared" ref="Q323:Q386" si="56">IF(OR($C323="Propose",$C323="Procure"),1,0)</f>
        <v>0</v>
      </c>
      <c r="R323">
        <f t="shared" ref="R323:R386" si="57">IF($C323="Closed Won",1,0)</f>
        <v>0</v>
      </c>
      <c r="S323">
        <f>IF(
AND($Q323=1,$M323&lt;&gt;""),
IF(
COUNTIFS(
$M$3:$M323,$M323,
$O$3:$O323,$O323,
$Q$3:$Q323,1,
$P$3:$P323,"&gt;="&amp;EOMONTH($P323,-1)+1,
$P$3:$P323,"&lt;"&amp;EOMONTH($P323,0)+1
)=1,
1,
0),
0)</f>
        <v>0</v>
      </c>
      <c r="T323">
        <f>IF(AND($R323=1,$M323&lt;&gt;""),IF(COUNTIFS($M$3:$M323,$M323,$O$3:$O323,$O323,$R$3:$R323,1,$P$3:$P323,"&gt;="&amp;EOMONTH($P323,-1)+1,$P$3:$P323,"&lt;"&amp;EOMONTH($P323,0)+1)=1,1,0),0)</f>
        <v>0</v>
      </c>
      <c r="U323">
        <f t="shared" ref="U323:U386" si="58">IF($C323="Closed Lost",1,0)</f>
        <v>1</v>
      </c>
      <c r="V323">
        <f>IF(AND($U323=1,$M323&lt;&gt;""),IF(COUNTIFS($M$3:$M323,$M323,$O$3:$O323,$O323,$U$3:$U323,1,$P$3:$P323,"&gt;="&amp;EOMONTH($P323,-1)+1,$P$3:$P323,"&lt;"&amp;EOMONTH($P323,0)+1)=1,1,0),0)</f>
        <v>1</v>
      </c>
      <c r="W323" s="444">
        <f ca="1">TODAY()-Table1[[#This Row],[Change Date]]</f>
        <v>230.40416666666715</v>
      </c>
      <c r="X323" s="422" t="str">
        <f t="shared" ref="X323:X386" si="59">IFERROR(
IF(
COUNTIFS($M:$M,$M323,$P:$P,"&gt;"&amp;$P323)=0,
"",
_xlfn.MINIFS($P:$P,$M:$M,$M323,$P:$P,"&gt;"&amp;$P323)
),
""
)</f>
        <v/>
      </c>
      <c r="Y323" s="476">
        <f ca="1">IF(Table1[[#This Row],[Next Stage Date]]&lt;&gt;"",Table1[[#This Row],[Next Stage Date]]-Table1[[#This Row],[Change Date]],TODAY()-Table1[[#This Row],[Change Date]])</f>
        <v>230.40416666666715</v>
      </c>
      <c r="Z323" s="476">
        <f t="shared" ref="Z323:Z386" si="60">IF(P323=_xlfn.MAXIFS($P:$P,$M:$M,$M323),1,0)</f>
        <v>1</v>
      </c>
      <c r="AA323" s="422" t="str">
        <f t="shared" ref="AA323:AA386" si="61">IF(
COUNTIFS($M:$M,$M323,$C:$C,"Closed Won")=0,
"",
_xlfn.MINIFS($P:$P,$M:$M,$M323,$C:$C,"Closed Won")
)</f>
        <v/>
      </c>
      <c r="AB323" s="422" t="str">
        <f t="shared" ref="AB323:AB386" si="62">IF(
COUNTIFS($M:$M,$M323,$Q:$Q,1)=0,
"",
_xlfn.MINIFS($P:$P,$M:$M,$M323,$Q:$Q,1)
)</f>
        <v/>
      </c>
      <c r="AC323" s="476" t="str">
        <f t="shared" ref="AC323:AC386" si="63">IF(AB323&lt;&gt;"",AB323-I323,"")</f>
        <v/>
      </c>
      <c r="AD323" s="476" t="str">
        <f t="shared" ref="AD323:AD386" si="64">IF(AND(AB323&lt;&gt;"",AA323&lt;&gt;""),AA323-AB323,"")</f>
        <v/>
      </c>
      <c r="AE323" s="476" t="str">
        <f t="shared" ref="AE323:AE386" si="65">IF(AA323&lt;&gt;"",AA323-I323,"")</f>
        <v/>
      </c>
      <c r="AF323" s="476" t="b">
        <f>IFERROR(_xlfn.XLOOKUP(Table1[[#This Row],[Opportunity ID]],'Aging Detail'!$H$14:$H$20,'Aging Detail'!$F$14:$F$20),TRUE)</f>
        <v>1</v>
      </c>
    </row>
    <row r="324" spans="1:32">
      <c r="A324" t="s">
        <v>1461</v>
      </c>
      <c r="B324" t="s">
        <v>338</v>
      </c>
      <c r="C324" t="s">
        <v>1469</v>
      </c>
      <c r="D324" t="s">
        <v>2366</v>
      </c>
      <c r="E324" t="s">
        <v>2367</v>
      </c>
      <c r="F324" t="s">
        <v>1464</v>
      </c>
      <c r="I324" s="422">
        <v>45950</v>
      </c>
      <c r="J324" s="422">
        <v>46315</v>
      </c>
      <c r="L324">
        <v>0</v>
      </c>
      <c r="M324" t="s">
        <v>2368</v>
      </c>
      <c r="N324" t="s">
        <v>2369</v>
      </c>
      <c r="O324" t="str">
        <f>_xlfn.IFNA(VLOOKUP(Table1[[#This Row],[Lead Source]],'helper tab'!A:B,2,FALSE),"Exclude")</f>
        <v>Cold</v>
      </c>
      <c r="P324" s="422">
        <f t="shared" si="55"/>
        <v>46024.400694444441</v>
      </c>
      <c r="Q324">
        <f t="shared" si="56"/>
        <v>0</v>
      </c>
      <c r="R324">
        <f t="shared" si="57"/>
        <v>0</v>
      </c>
      <c r="S324">
        <f>IF(
AND($Q324=1,$M324&lt;&gt;""),
IF(
COUNTIFS(
$M$3:$M324,$M324,
$O$3:$O324,$O324,
$Q$3:$Q324,1,
$P$3:$P324,"&gt;="&amp;EOMONTH($P324,-1)+1,
$P$3:$P324,"&lt;"&amp;EOMONTH($P324,0)+1
)=1,
1,
0),
0)</f>
        <v>0</v>
      </c>
      <c r="T324">
        <f>IF(AND($R324=1,$M324&lt;&gt;""),IF(COUNTIFS($M$3:$M324,$M324,$O$3:$O324,$O324,$R$3:$R324,1,$P$3:$P324,"&gt;="&amp;EOMONTH($P324,-1)+1,$P$3:$P324,"&lt;"&amp;EOMONTH($P324,0)+1)=1,1,0),0)</f>
        <v>0</v>
      </c>
      <c r="U324">
        <f t="shared" si="58"/>
        <v>1</v>
      </c>
      <c r="V324">
        <f>IF(AND($U324=1,$M324&lt;&gt;""),IF(COUNTIFS($M$3:$M324,$M324,$O$3:$O324,$O324,$U$3:$U324,1,$P$3:$P324,"&gt;="&amp;EOMONTH($P324,-1)+1,$P$3:$P324,"&lt;"&amp;EOMONTH($P324,0)+1)=1,1,0),0)</f>
        <v>1</v>
      </c>
      <c r="W324" s="444">
        <f ca="1">TODAY()-Table1[[#This Row],[Change Date]]</f>
        <v>233.59930555555911</v>
      </c>
      <c r="X324" s="422" t="str">
        <f t="shared" si="59"/>
        <v/>
      </c>
      <c r="Y324" s="476">
        <f ca="1">IF(Table1[[#This Row],[Next Stage Date]]&lt;&gt;"",Table1[[#This Row],[Next Stage Date]]-Table1[[#This Row],[Change Date]],TODAY()-Table1[[#This Row],[Change Date]])</f>
        <v>233.59930555555911</v>
      </c>
      <c r="Z324" s="476">
        <f t="shared" si="60"/>
        <v>1</v>
      </c>
      <c r="AA324" s="422" t="str">
        <f t="shared" si="61"/>
        <v/>
      </c>
      <c r="AB324" s="422" t="str">
        <f t="shared" si="62"/>
        <v/>
      </c>
      <c r="AC324" s="476" t="str">
        <f t="shared" si="63"/>
        <v/>
      </c>
      <c r="AD324" s="476" t="str">
        <f t="shared" si="64"/>
        <v/>
      </c>
      <c r="AE324" s="476" t="str">
        <f t="shared" si="65"/>
        <v/>
      </c>
      <c r="AF324" s="476" t="b">
        <f>IFERROR(_xlfn.XLOOKUP(Table1[[#This Row],[Opportunity ID]],'Aging Detail'!$H$14:$H$20,'Aging Detail'!$F$14:$F$20),TRUE)</f>
        <v>1</v>
      </c>
    </row>
    <row r="325" spans="1:32">
      <c r="A325" t="s">
        <v>1461</v>
      </c>
      <c r="B325" t="s">
        <v>338</v>
      </c>
      <c r="C325" t="s">
        <v>1469</v>
      </c>
      <c r="D325" t="s">
        <v>2370</v>
      </c>
      <c r="E325" t="s">
        <v>2371</v>
      </c>
      <c r="F325" t="s">
        <v>1486</v>
      </c>
      <c r="I325" s="422">
        <v>45007</v>
      </c>
      <c r="J325" s="422">
        <v>46630</v>
      </c>
      <c r="K325">
        <v>990920</v>
      </c>
      <c r="L325">
        <v>808920</v>
      </c>
      <c r="M325" t="s">
        <v>2372</v>
      </c>
      <c r="N325" t="s">
        <v>1604</v>
      </c>
      <c r="O325" t="str">
        <f>_xlfn.IFNA(VLOOKUP(Table1[[#This Row],[Lead Source]],'helper tab'!A:B,2,FALSE),"Exclude")</f>
        <v>Exclude</v>
      </c>
      <c r="P325" s="422">
        <f t="shared" si="55"/>
        <v>46024.4</v>
      </c>
      <c r="Q325">
        <f t="shared" si="56"/>
        <v>0</v>
      </c>
      <c r="R325">
        <f t="shared" si="57"/>
        <v>0</v>
      </c>
      <c r="S325">
        <f>IF(
AND($Q325=1,$M325&lt;&gt;""),
IF(
COUNTIFS(
$M$3:$M325,$M325,
$O$3:$O325,$O325,
$Q$3:$Q325,1,
$P$3:$P325,"&gt;="&amp;EOMONTH($P325,-1)+1,
$P$3:$P325,"&lt;"&amp;EOMONTH($P325,0)+1
)=1,
1,
0),
0)</f>
        <v>0</v>
      </c>
      <c r="T325">
        <f>IF(AND($R325=1,$M325&lt;&gt;""),IF(COUNTIFS($M$3:$M325,$M325,$O$3:$O325,$O325,$R$3:$R325,1,$P$3:$P325,"&gt;="&amp;EOMONTH($P325,-1)+1,$P$3:$P325,"&lt;"&amp;EOMONTH($P325,0)+1)=1,1,0),0)</f>
        <v>0</v>
      </c>
      <c r="U325">
        <f t="shared" si="58"/>
        <v>1</v>
      </c>
      <c r="V325">
        <f>IF(AND($U325=1,$M325&lt;&gt;""),IF(COUNTIFS($M$3:$M325,$M325,$O$3:$O325,$O325,$U$3:$U325,1,$P$3:$P325,"&gt;="&amp;EOMONTH($P325,-1)+1,$P$3:$P325,"&lt;"&amp;EOMONTH($P325,0)+1)=1,1,0),0)</f>
        <v>1</v>
      </c>
      <c r="W325" s="444">
        <f ca="1">TODAY()-Table1[[#This Row],[Change Date]]</f>
        <v>233.59999999999854</v>
      </c>
      <c r="X325" s="422" t="str">
        <f t="shared" si="59"/>
        <v/>
      </c>
      <c r="Y325" s="476">
        <f ca="1">IF(Table1[[#This Row],[Next Stage Date]]&lt;&gt;"",Table1[[#This Row],[Next Stage Date]]-Table1[[#This Row],[Change Date]],TODAY()-Table1[[#This Row],[Change Date]])</f>
        <v>233.59999999999854</v>
      </c>
      <c r="Z325" s="476">
        <f t="shared" si="60"/>
        <v>1</v>
      </c>
      <c r="AA325" s="422" t="str">
        <f t="shared" si="61"/>
        <v/>
      </c>
      <c r="AB325" s="422" t="str">
        <f t="shared" si="62"/>
        <v/>
      </c>
      <c r="AC325" s="476" t="str">
        <f t="shared" si="63"/>
        <v/>
      </c>
      <c r="AD325" s="476" t="str">
        <f t="shared" si="64"/>
        <v/>
      </c>
      <c r="AE325" s="476" t="str">
        <f t="shared" si="65"/>
        <v/>
      </c>
      <c r="AF325" s="476" t="b">
        <f>IFERROR(_xlfn.XLOOKUP(Table1[[#This Row],[Opportunity ID]],'Aging Detail'!$H$14:$H$20,'Aging Detail'!$F$14:$F$20),TRUE)</f>
        <v>1</v>
      </c>
    </row>
    <row r="326" spans="1:32">
      <c r="A326" t="s">
        <v>1461</v>
      </c>
      <c r="B326" t="s">
        <v>408</v>
      </c>
      <c r="C326" t="s">
        <v>1469</v>
      </c>
      <c r="D326" t="s">
        <v>2373</v>
      </c>
      <c r="E326" t="s">
        <v>2374</v>
      </c>
      <c r="F326" t="s">
        <v>1486</v>
      </c>
      <c r="I326" s="422">
        <v>45148</v>
      </c>
      <c r="J326" s="422">
        <v>46265</v>
      </c>
      <c r="K326">
        <v>856100</v>
      </c>
      <c r="L326">
        <v>674100</v>
      </c>
      <c r="M326" t="s">
        <v>2375</v>
      </c>
      <c r="N326" t="s">
        <v>1604</v>
      </c>
      <c r="O326" t="str">
        <f>_xlfn.IFNA(VLOOKUP(Table1[[#This Row],[Lead Source]],'helper tab'!A:B,2,FALSE),"Exclude")</f>
        <v>Exclude</v>
      </c>
      <c r="P326" s="422">
        <f t="shared" si="55"/>
        <v>46024.397222222222</v>
      </c>
      <c r="Q326">
        <f t="shared" si="56"/>
        <v>0</v>
      </c>
      <c r="R326">
        <f t="shared" si="57"/>
        <v>0</v>
      </c>
      <c r="S326">
        <f>IF(
AND($Q326=1,$M326&lt;&gt;""),
IF(
COUNTIFS(
$M$3:$M326,$M326,
$O$3:$O326,$O326,
$Q$3:$Q326,1,
$P$3:$P326,"&gt;="&amp;EOMONTH($P326,-1)+1,
$P$3:$P326,"&lt;"&amp;EOMONTH($P326,0)+1
)=1,
1,
0),
0)</f>
        <v>0</v>
      </c>
      <c r="T326">
        <f>IF(AND($R326=1,$M326&lt;&gt;""),IF(COUNTIFS($M$3:$M326,$M326,$O$3:$O326,$O326,$R$3:$R326,1,$P$3:$P326,"&gt;="&amp;EOMONTH($P326,-1)+1,$P$3:$P326,"&lt;"&amp;EOMONTH($P326,0)+1)=1,1,0),0)</f>
        <v>0</v>
      </c>
      <c r="U326">
        <f t="shared" si="58"/>
        <v>1</v>
      </c>
      <c r="V326">
        <f>IF(AND($U326=1,$M326&lt;&gt;""),IF(COUNTIFS($M$3:$M326,$M326,$O$3:$O326,$O326,$U$3:$U326,1,$P$3:$P326,"&gt;="&amp;EOMONTH($P326,-1)+1,$P$3:$P326,"&lt;"&amp;EOMONTH($P326,0)+1)=1,1,0),0)</f>
        <v>1</v>
      </c>
      <c r="W326" s="444">
        <f ca="1">TODAY()-Table1[[#This Row],[Change Date]]</f>
        <v>233.6027777777781</v>
      </c>
      <c r="X326" s="422" t="str">
        <f t="shared" si="59"/>
        <v/>
      </c>
      <c r="Y326" s="476">
        <f ca="1">IF(Table1[[#This Row],[Next Stage Date]]&lt;&gt;"",Table1[[#This Row],[Next Stage Date]]-Table1[[#This Row],[Change Date]],TODAY()-Table1[[#This Row],[Change Date]])</f>
        <v>233.6027777777781</v>
      </c>
      <c r="Z326" s="476">
        <f t="shared" si="60"/>
        <v>1</v>
      </c>
      <c r="AA326" s="422" t="str">
        <f t="shared" si="61"/>
        <v/>
      </c>
      <c r="AB326" s="422" t="str">
        <f t="shared" si="62"/>
        <v/>
      </c>
      <c r="AC326" s="476" t="str">
        <f t="shared" si="63"/>
        <v/>
      </c>
      <c r="AD326" s="476" t="str">
        <f t="shared" si="64"/>
        <v/>
      </c>
      <c r="AE326" s="476" t="str">
        <f t="shared" si="65"/>
        <v/>
      </c>
      <c r="AF326" s="476" t="b">
        <f>IFERROR(_xlfn.XLOOKUP(Table1[[#This Row],[Opportunity ID]],'Aging Detail'!$H$14:$H$20,'Aging Detail'!$F$14:$F$20),TRUE)</f>
        <v>1</v>
      </c>
    </row>
    <row r="327" spans="1:32">
      <c r="A327" t="s">
        <v>1461</v>
      </c>
      <c r="B327" t="s">
        <v>1462</v>
      </c>
      <c r="C327" t="s">
        <v>1469</v>
      </c>
      <c r="D327" t="s">
        <v>2376</v>
      </c>
      <c r="E327" t="s">
        <v>2377</v>
      </c>
      <c r="F327" t="s">
        <v>1463</v>
      </c>
      <c r="I327" s="422">
        <v>44832</v>
      </c>
      <c r="J327" s="422">
        <v>46357</v>
      </c>
      <c r="K327">
        <v>1080000</v>
      </c>
      <c r="L327">
        <v>1080000</v>
      </c>
      <c r="M327" t="s">
        <v>2378</v>
      </c>
      <c r="N327" t="s">
        <v>2203</v>
      </c>
      <c r="O327" t="str">
        <f>_xlfn.IFNA(VLOOKUP(Table1[[#This Row],[Lead Source]],'helper tab'!A:B,2,FALSE),"Exclude")</f>
        <v>Cold</v>
      </c>
      <c r="P327" s="422">
        <f t="shared" si="55"/>
        <v>46024.396527777775</v>
      </c>
      <c r="Q327">
        <f t="shared" si="56"/>
        <v>0</v>
      </c>
      <c r="R327">
        <f t="shared" si="57"/>
        <v>0</v>
      </c>
      <c r="S327">
        <f>IF(
AND($Q327=1,$M327&lt;&gt;""),
IF(
COUNTIFS(
$M$3:$M327,$M327,
$O$3:$O327,$O327,
$Q$3:$Q327,1,
$P$3:$P327,"&gt;="&amp;EOMONTH($P327,-1)+1,
$P$3:$P327,"&lt;"&amp;EOMONTH($P327,0)+1
)=1,
1,
0),
0)</f>
        <v>0</v>
      </c>
      <c r="T327">
        <f>IF(AND($R327=1,$M327&lt;&gt;""),IF(COUNTIFS($M$3:$M327,$M327,$O$3:$O327,$O327,$R$3:$R327,1,$P$3:$P327,"&gt;="&amp;EOMONTH($P327,-1)+1,$P$3:$P327,"&lt;"&amp;EOMONTH($P327,0)+1)=1,1,0),0)</f>
        <v>0</v>
      </c>
      <c r="U327">
        <f t="shared" si="58"/>
        <v>1</v>
      </c>
      <c r="V327">
        <f>IF(AND($U327=1,$M327&lt;&gt;""),IF(COUNTIFS($M$3:$M327,$M327,$O$3:$O327,$O327,$U$3:$U327,1,$P$3:$P327,"&gt;="&amp;EOMONTH($P327,-1)+1,$P$3:$P327,"&lt;"&amp;EOMONTH($P327,0)+1)=1,1,0),0)</f>
        <v>1</v>
      </c>
      <c r="W327" s="444">
        <f ca="1">TODAY()-Table1[[#This Row],[Change Date]]</f>
        <v>233.60347222222481</v>
      </c>
      <c r="X327" s="422" t="str">
        <f t="shared" si="59"/>
        <v/>
      </c>
      <c r="Y327" s="476">
        <f ca="1">IF(Table1[[#This Row],[Next Stage Date]]&lt;&gt;"",Table1[[#This Row],[Next Stage Date]]-Table1[[#This Row],[Change Date]],TODAY()-Table1[[#This Row],[Change Date]])</f>
        <v>233.60347222222481</v>
      </c>
      <c r="Z327" s="476">
        <f t="shared" si="60"/>
        <v>1</v>
      </c>
      <c r="AA327" s="422" t="str">
        <f t="shared" si="61"/>
        <v/>
      </c>
      <c r="AB327" s="422" t="str">
        <f t="shared" si="62"/>
        <v/>
      </c>
      <c r="AC327" s="476" t="str">
        <f t="shared" si="63"/>
        <v/>
      </c>
      <c r="AD327" s="476" t="str">
        <f t="shared" si="64"/>
        <v/>
      </c>
      <c r="AE327" s="476" t="str">
        <f t="shared" si="65"/>
        <v/>
      </c>
      <c r="AF327" s="476" t="b">
        <f>IFERROR(_xlfn.XLOOKUP(Table1[[#This Row],[Opportunity ID]],'Aging Detail'!$H$14:$H$20,'Aging Detail'!$F$14:$F$20),TRUE)</f>
        <v>1</v>
      </c>
    </row>
    <row r="328" spans="1:32">
      <c r="A328" t="s">
        <v>1461</v>
      </c>
      <c r="B328" t="s">
        <v>1462</v>
      </c>
      <c r="C328" t="s">
        <v>1469</v>
      </c>
      <c r="D328" t="s">
        <v>2379</v>
      </c>
      <c r="E328" t="s">
        <v>2380</v>
      </c>
      <c r="F328" t="s">
        <v>1463</v>
      </c>
      <c r="I328" s="422">
        <v>45113</v>
      </c>
      <c r="J328" s="422">
        <v>46357</v>
      </c>
      <c r="K328">
        <v>974800</v>
      </c>
      <c r="L328">
        <v>634800</v>
      </c>
      <c r="M328" t="s">
        <v>2381</v>
      </c>
      <c r="N328" t="s">
        <v>2382</v>
      </c>
      <c r="O328" t="str">
        <f>_xlfn.IFNA(VLOOKUP(Table1[[#This Row],[Lead Source]],'helper tab'!A:B,2,FALSE),"Exclude")</f>
        <v>Cold</v>
      </c>
      <c r="P328" s="422">
        <f t="shared" si="55"/>
        <v>46024.395833333336</v>
      </c>
      <c r="Q328">
        <f t="shared" si="56"/>
        <v>0</v>
      </c>
      <c r="R328">
        <f t="shared" si="57"/>
        <v>0</v>
      </c>
      <c r="S328">
        <f>IF(
AND($Q328=1,$M328&lt;&gt;""),
IF(
COUNTIFS(
$M$3:$M328,$M328,
$O$3:$O328,$O328,
$Q$3:$Q328,1,
$P$3:$P328,"&gt;="&amp;EOMONTH($P328,-1)+1,
$P$3:$P328,"&lt;"&amp;EOMONTH($P328,0)+1
)=1,
1,
0),
0)</f>
        <v>0</v>
      </c>
      <c r="T328">
        <f>IF(AND($R328=1,$M328&lt;&gt;""),IF(COUNTIFS($M$3:$M328,$M328,$O$3:$O328,$O328,$R$3:$R328,1,$P$3:$P328,"&gt;="&amp;EOMONTH($P328,-1)+1,$P$3:$P328,"&lt;"&amp;EOMONTH($P328,0)+1)=1,1,0),0)</f>
        <v>0</v>
      </c>
      <c r="U328">
        <f t="shared" si="58"/>
        <v>1</v>
      </c>
      <c r="V328">
        <f>IF(AND($U328=1,$M328&lt;&gt;""),IF(COUNTIFS($M$3:$M328,$M328,$O$3:$O328,$O328,$U$3:$U328,1,$P$3:$P328,"&gt;="&amp;EOMONTH($P328,-1)+1,$P$3:$P328,"&lt;"&amp;EOMONTH($P328,0)+1)=1,1,0),0)</f>
        <v>1</v>
      </c>
      <c r="W328" s="444">
        <f ca="1">TODAY()-Table1[[#This Row],[Change Date]]</f>
        <v>233.60416666666424</v>
      </c>
      <c r="X328" s="422" t="str">
        <f t="shared" si="59"/>
        <v/>
      </c>
      <c r="Y328" s="476">
        <f ca="1">IF(Table1[[#This Row],[Next Stage Date]]&lt;&gt;"",Table1[[#This Row],[Next Stage Date]]-Table1[[#This Row],[Change Date]],TODAY()-Table1[[#This Row],[Change Date]])</f>
        <v>233.60416666666424</v>
      </c>
      <c r="Z328" s="476">
        <f t="shared" si="60"/>
        <v>1</v>
      </c>
      <c r="AA328" s="422" t="str">
        <f t="shared" si="61"/>
        <v/>
      </c>
      <c r="AB328" s="422" t="str">
        <f t="shared" si="62"/>
        <v/>
      </c>
      <c r="AC328" s="476" t="str">
        <f t="shared" si="63"/>
        <v/>
      </c>
      <c r="AD328" s="476" t="str">
        <f t="shared" si="64"/>
        <v/>
      </c>
      <c r="AE328" s="476" t="str">
        <f t="shared" si="65"/>
        <v/>
      </c>
      <c r="AF328" s="476" t="b">
        <f>IFERROR(_xlfn.XLOOKUP(Table1[[#This Row],[Opportunity ID]],'Aging Detail'!$H$14:$H$20,'Aging Detail'!$F$14:$F$20),TRUE)</f>
        <v>1</v>
      </c>
    </row>
    <row r="329" spans="1:32">
      <c r="A329" t="s">
        <v>1461</v>
      </c>
      <c r="B329" t="s">
        <v>338</v>
      </c>
      <c r="C329" t="s">
        <v>1469</v>
      </c>
      <c r="D329" t="s">
        <v>2383</v>
      </c>
      <c r="E329" t="s">
        <v>2384</v>
      </c>
      <c r="F329" t="s">
        <v>148</v>
      </c>
      <c r="G329" t="s">
        <v>148</v>
      </c>
      <c r="H329" t="s">
        <v>169</v>
      </c>
      <c r="I329" s="422">
        <v>45775</v>
      </c>
      <c r="J329" s="422">
        <v>46265</v>
      </c>
      <c r="K329">
        <v>342240</v>
      </c>
      <c r="L329">
        <v>342240</v>
      </c>
      <c r="M329" t="s">
        <v>2385</v>
      </c>
      <c r="N329" t="s">
        <v>2386</v>
      </c>
      <c r="O329" t="str">
        <f>_xlfn.IFNA(VLOOKUP(Table1[[#This Row],[Lead Source]],'helper tab'!A:B,2,FALSE),"Exclude")</f>
        <v>Alliances</v>
      </c>
      <c r="P329" s="422">
        <f t="shared" si="55"/>
        <v>46024.354861111111</v>
      </c>
      <c r="Q329">
        <f t="shared" si="56"/>
        <v>0</v>
      </c>
      <c r="R329">
        <f t="shared" si="57"/>
        <v>0</v>
      </c>
      <c r="S329">
        <f>IF(
AND($Q329=1,$M329&lt;&gt;""),
IF(
COUNTIFS(
$M$3:$M329,$M329,
$O$3:$O329,$O329,
$Q$3:$Q329,1,
$P$3:$P329,"&gt;="&amp;EOMONTH($P329,-1)+1,
$P$3:$P329,"&lt;"&amp;EOMONTH($P329,0)+1
)=1,
1,
0),
0)</f>
        <v>0</v>
      </c>
      <c r="T329">
        <f>IF(AND($R329=1,$M329&lt;&gt;""),IF(COUNTIFS($M$3:$M329,$M329,$O$3:$O329,$O329,$R$3:$R329,1,$P$3:$P329,"&gt;="&amp;EOMONTH($P329,-1)+1,$P$3:$P329,"&lt;"&amp;EOMONTH($P329,0)+1)=1,1,0),0)</f>
        <v>0</v>
      </c>
      <c r="U329">
        <f t="shared" si="58"/>
        <v>1</v>
      </c>
      <c r="V329">
        <f>IF(AND($U329=1,$M329&lt;&gt;""),IF(COUNTIFS($M$3:$M329,$M329,$O$3:$O329,$O329,$U$3:$U329,1,$P$3:$P329,"&gt;="&amp;EOMONTH($P329,-1)+1,$P$3:$P329,"&lt;"&amp;EOMONTH($P329,0)+1)=1,1,0),0)</f>
        <v>1</v>
      </c>
      <c r="W329" s="444">
        <f ca="1">TODAY()-Table1[[#This Row],[Change Date]]</f>
        <v>233.64513888888905</v>
      </c>
      <c r="X329" s="422" t="str">
        <f t="shared" si="59"/>
        <v/>
      </c>
      <c r="Y329" s="476">
        <f ca="1">IF(Table1[[#This Row],[Next Stage Date]]&lt;&gt;"",Table1[[#This Row],[Next Stage Date]]-Table1[[#This Row],[Change Date]],TODAY()-Table1[[#This Row],[Change Date]])</f>
        <v>233.64513888888905</v>
      </c>
      <c r="Z329" s="476">
        <f t="shared" si="60"/>
        <v>1</v>
      </c>
      <c r="AA329" s="422" t="str">
        <f t="shared" si="61"/>
        <v/>
      </c>
      <c r="AB329" s="422" t="str">
        <f t="shared" si="62"/>
        <v/>
      </c>
      <c r="AC329" s="476" t="str">
        <f t="shared" si="63"/>
        <v/>
      </c>
      <c r="AD329" s="476" t="str">
        <f t="shared" si="64"/>
        <v/>
      </c>
      <c r="AE329" s="476" t="str">
        <f t="shared" si="65"/>
        <v/>
      </c>
      <c r="AF329" s="476" t="b">
        <f>IFERROR(_xlfn.XLOOKUP(Table1[[#This Row],[Opportunity ID]],'Aging Detail'!$H$14:$H$20,'Aging Detail'!$F$14:$F$20),TRUE)</f>
        <v>1</v>
      </c>
    </row>
    <row r="330" spans="1:32">
      <c r="A330" t="s">
        <v>1461</v>
      </c>
      <c r="B330" t="s">
        <v>338</v>
      </c>
      <c r="C330" t="s">
        <v>1469</v>
      </c>
      <c r="D330" t="s">
        <v>2387</v>
      </c>
      <c r="E330" t="s">
        <v>2207</v>
      </c>
      <c r="F330" t="s">
        <v>1478</v>
      </c>
      <c r="I330" s="422">
        <v>45835</v>
      </c>
      <c r="J330" s="422">
        <v>46199</v>
      </c>
      <c r="K330">
        <v>50000</v>
      </c>
      <c r="L330">
        <v>50000</v>
      </c>
      <c r="M330" t="s">
        <v>2208</v>
      </c>
      <c r="N330" t="s">
        <v>2203</v>
      </c>
      <c r="O330" t="str">
        <f>_xlfn.IFNA(VLOOKUP(Table1[[#This Row],[Lead Source]],'helper tab'!A:B,2,FALSE),"Exclude")</f>
        <v>Digital</v>
      </c>
      <c r="P330" s="422">
        <f t="shared" si="55"/>
        <v>46024.353472222225</v>
      </c>
      <c r="Q330">
        <f t="shared" si="56"/>
        <v>0</v>
      </c>
      <c r="R330">
        <f t="shared" si="57"/>
        <v>0</v>
      </c>
      <c r="S330">
        <f>IF(
AND($Q330=1,$M330&lt;&gt;""),
IF(
COUNTIFS(
$M$3:$M330,$M330,
$O$3:$O330,$O330,
$Q$3:$Q330,1,
$P$3:$P330,"&gt;="&amp;EOMONTH($P330,-1)+1,
$P$3:$P330,"&lt;"&amp;EOMONTH($P330,0)+1
)=1,
1,
0),
0)</f>
        <v>0</v>
      </c>
      <c r="T330">
        <f>IF(AND($R330=1,$M330&lt;&gt;""),IF(COUNTIFS($M$3:$M330,$M330,$O$3:$O330,$O330,$R$3:$R330,1,$P$3:$P330,"&gt;="&amp;EOMONTH($P330,-1)+1,$P$3:$P330,"&lt;"&amp;EOMONTH($P330,0)+1)=1,1,0),0)</f>
        <v>0</v>
      </c>
      <c r="U330">
        <f t="shared" si="58"/>
        <v>1</v>
      </c>
      <c r="V330">
        <f>IF(AND($U330=1,$M330&lt;&gt;""),IF(COUNTIFS($M$3:$M330,$M330,$O$3:$O330,$O330,$U$3:$U330,1,$P$3:$P330,"&gt;="&amp;EOMONTH($P330,-1)+1,$P$3:$P330,"&lt;"&amp;EOMONTH($P330,0)+1)=1,1,0),0)</f>
        <v>1</v>
      </c>
      <c r="W330" s="444">
        <f ca="1">TODAY()-Table1[[#This Row],[Change Date]]</f>
        <v>233.64652777777519</v>
      </c>
      <c r="X330" s="422">
        <f t="shared" si="59"/>
        <v>46083.368750000001</v>
      </c>
      <c r="Y330" s="476">
        <f ca="1">IF(Table1[[#This Row],[Next Stage Date]]&lt;&gt;"",Table1[[#This Row],[Next Stage Date]]-Table1[[#This Row],[Change Date]],TODAY()-Table1[[#This Row],[Change Date]])</f>
        <v>59.015277777776646</v>
      </c>
      <c r="Z330" s="476">
        <f t="shared" si="60"/>
        <v>0</v>
      </c>
      <c r="AA330" s="422" t="str">
        <f t="shared" si="61"/>
        <v/>
      </c>
      <c r="AB330" s="422" t="str">
        <f t="shared" si="62"/>
        <v/>
      </c>
      <c r="AC330" s="476" t="str">
        <f t="shared" si="63"/>
        <v/>
      </c>
      <c r="AD330" s="476" t="str">
        <f t="shared" si="64"/>
        <v/>
      </c>
      <c r="AE330" s="476" t="str">
        <f t="shared" si="65"/>
        <v/>
      </c>
      <c r="AF330" s="476" t="b">
        <f>IFERROR(_xlfn.XLOOKUP(Table1[[#This Row],[Opportunity ID]],'Aging Detail'!$H$14:$H$20,'Aging Detail'!$F$14:$F$20),TRUE)</f>
        <v>1</v>
      </c>
    </row>
    <row r="331" spans="1:32">
      <c r="A331" t="s">
        <v>1461</v>
      </c>
      <c r="B331" t="s">
        <v>526</v>
      </c>
      <c r="C331" t="s">
        <v>563</v>
      </c>
      <c r="D331" t="s">
        <v>2388</v>
      </c>
      <c r="E331" t="s">
        <v>2389</v>
      </c>
      <c r="I331" s="422">
        <v>46022</v>
      </c>
      <c r="J331" s="422">
        <v>46022</v>
      </c>
      <c r="K331">
        <v>76461.84</v>
      </c>
      <c r="L331">
        <v>76461.84</v>
      </c>
      <c r="M331" t="s">
        <v>2390</v>
      </c>
      <c r="N331" t="s">
        <v>2301</v>
      </c>
      <c r="O331" t="str">
        <f>_xlfn.IFNA(VLOOKUP(Table1[[#This Row],[Lead Source]],'helper tab'!A:B,2,FALSE),"Exclude")</f>
        <v>Exclude</v>
      </c>
      <c r="P331" s="422">
        <f t="shared" si="55"/>
        <v>46022.388888888891</v>
      </c>
      <c r="Q331">
        <f t="shared" si="56"/>
        <v>0</v>
      </c>
      <c r="R331">
        <f t="shared" si="57"/>
        <v>1</v>
      </c>
      <c r="S331">
        <f>IF(
AND($Q331=1,$M331&lt;&gt;""),
IF(
COUNTIFS(
$M$3:$M331,$M331,
$O$3:$O331,$O331,
$Q$3:$Q331,1,
$P$3:$P331,"&gt;="&amp;EOMONTH($P331,-1)+1,
$P$3:$P331,"&lt;"&amp;EOMONTH($P331,0)+1
)=1,
1,
0),
0)</f>
        <v>0</v>
      </c>
      <c r="T331">
        <f>IF(AND($R331=1,$M331&lt;&gt;""),IF(COUNTIFS($M$3:$M331,$M331,$O$3:$O331,$O331,$R$3:$R331,1,$P$3:$P331,"&gt;="&amp;EOMONTH($P331,-1)+1,$P$3:$P331,"&lt;"&amp;EOMONTH($P331,0)+1)=1,1,0),0)</f>
        <v>1</v>
      </c>
      <c r="U331">
        <f t="shared" si="58"/>
        <v>0</v>
      </c>
      <c r="V331">
        <f>IF(AND($U331=1,$M331&lt;&gt;""),IF(COUNTIFS($M$3:$M331,$M331,$O$3:$O331,$O331,$U$3:$U331,1,$P$3:$P331,"&gt;="&amp;EOMONTH($P331,-1)+1,$P$3:$P331,"&lt;"&amp;EOMONTH($P331,0)+1)=1,1,0),0)</f>
        <v>0</v>
      </c>
      <c r="W331" s="444">
        <f ca="1">TODAY()-Table1[[#This Row],[Change Date]]</f>
        <v>235.61111111110949</v>
      </c>
      <c r="X331" s="422" t="str">
        <f t="shared" si="59"/>
        <v/>
      </c>
      <c r="Y331" s="476">
        <f ca="1">IF(Table1[[#This Row],[Next Stage Date]]&lt;&gt;"",Table1[[#This Row],[Next Stage Date]]-Table1[[#This Row],[Change Date]],TODAY()-Table1[[#This Row],[Change Date]])</f>
        <v>235.61111111110949</v>
      </c>
      <c r="Z331" s="476">
        <f t="shared" si="60"/>
        <v>1</v>
      </c>
      <c r="AA331" s="422">
        <f t="shared" si="61"/>
        <v>46022.388888888891</v>
      </c>
      <c r="AB331" s="422">
        <f t="shared" si="62"/>
        <v>46022.388194444444</v>
      </c>
      <c r="AC331" s="476">
        <f t="shared" si="63"/>
        <v>0.38819444444379769</v>
      </c>
      <c r="AD331" s="476">
        <f t="shared" si="64"/>
        <v>6.944444467080757E-4</v>
      </c>
      <c r="AE331" s="476">
        <f t="shared" si="65"/>
        <v>0.38888888889050577</v>
      </c>
      <c r="AF331" s="476" t="b">
        <f>IFERROR(_xlfn.XLOOKUP(Table1[[#This Row],[Opportunity ID]],'Aging Detail'!$H$14:$H$20,'Aging Detail'!$F$14:$F$20),TRUE)</f>
        <v>1</v>
      </c>
    </row>
    <row r="332" spans="1:32">
      <c r="A332" t="s">
        <v>1461</v>
      </c>
      <c r="B332" t="s">
        <v>1462</v>
      </c>
      <c r="C332" t="s">
        <v>526</v>
      </c>
      <c r="D332" t="s">
        <v>2391</v>
      </c>
      <c r="E332" t="s">
        <v>2389</v>
      </c>
      <c r="I332" s="422">
        <v>46022</v>
      </c>
      <c r="J332" s="422">
        <v>46022</v>
      </c>
      <c r="K332">
        <v>76461.84</v>
      </c>
      <c r="L332">
        <v>76461.84</v>
      </c>
      <c r="M332" t="s">
        <v>2390</v>
      </c>
      <c r="N332" t="s">
        <v>2301</v>
      </c>
      <c r="O332" t="str">
        <f>_xlfn.IFNA(VLOOKUP(Table1[[#This Row],[Lead Source]],'helper tab'!A:B,2,FALSE),"Exclude")</f>
        <v>Exclude</v>
      </c>
      <c r="P332" s="422">
        <f t="shared" si="55"/>
        <v>46022.388194444444</v>
      </c>
      <c r="Q332">
        <f t="shared" si="56"/>
        <v>1</v>
      </c>
      <c r="R332">
        <f t="shared" si="57"/>
        <v>0</v>
      </c>
      <c r="S332">
        <f>IF(
AND($Q332=1,$M332&lt;&gt;""),
IF(
COUNTIFS(
$M$3:$M332,$M332,
$O$3:$O332,$O332,
$Q$3:$Q332,1,
$P$3:$P332,"&gt;="&amp;EOMONTH($P332,-1)+1,
$P$3:$P332,"&lt;"&amp;EOMONTH($P332,0)+1
)=1,
1,
0),
0)</f>
        <v>1</v>
      </c>
      <c r="T332">
        <f>IF(AND($R332=1,$M332&lt;&gt;""),IF(COUNTIFS($M$3:$M332,$M332,$O$3:$O332,$O332,$R$3:$R332,1,$P$3:$P332,"&gt;="&amp;EOMONTH($P332,-1)+1,$P$3:$P332,"&lt;"&amp;EOMONTH($P332,0)+1)=1,1,0),0)</f>
        <v>0</v>
      </c>
      <c r="U332">
        <f t="shared" si="58"/>
        <v>0</v>
      </c>
      <c r="V332">
        <f>IF(AND($U332=1,$M332&lt;&gt;""),IF(COUNTIFS($M$3:$M332,$M332,$O$3:$O332,$O332,$U$3:$U332,1,$P$3:$P332,"&gt;="&amp;EOMONTH($P332,-1)+1,$P$3:$P332,"&lt;"&amp;EOMONTH($P332,0)+1)=1,1,0),0)</f>
        <v>0</v>
      </c>
      <c r="W332" s="444">
        <f ca="1">TODAY()-Table1[[#This Row],[Change Date]]</f>
        <v>235.6118055555562</v>
      </c>
      <c r="X332" s="422">
        <f t="shared" si="59"/>
        <v>46022.388888888891</v>
      </c>
      <c r="Y332" s="476">
        <f ca="1">IF(Table1[[#This Row],[Next Stage Date]]&lt;&gt;"",Table1[[#This Row],[Next Stage Date]]-Table1[[#This Row],[Change Date]],TODAY()-Table1[[#This Row],[Change Date]])</f>
        <v>6.944444467080757E-4</v>
      </c>
      <c r="Z332" s="476">
        <f t="shared" si="60"/>
        <v>0</v>
      </c>
      <c r="AA332" s="422">
        <f t="shared" si="61"/>
        <v>46022.388888888891</v>
      </c>
      <c r="AB332" s="422">
        <f t="shared" si="62"/>
        <v>46022.388194444444</v>
      </c>
      <c r="AC332" s="476">
        <f t="shared" si="63"/>
        <v>0.38819444444379769</v>
      </c>
      <c r="AD332" s="476">
        <f t="shared" si="64"/>
        <v>6.944444467080757E-4</v>
      </c>
      <c r="AE332" s="476">
        <f t="shared" si="65"/>
        <v>0.38888888889050577</v>
      </c>
      <c r="AF332" s="476" t="b">
        <f>IFERROR(_xlfn.XLOOKUP(Table1[[#This Row],[Opportunity ID]],'Aging Detail'!$H$14:$H$20,'Aging Detail'!$F$14:$F$20),TRUE)</f>
        <v>1</v>
      </c>
    </row>
    <row r="333" spans="1:32">
      <c r="A333" t="s">
        <v>1461</v>
      </c>
      <c r="B333" t="s">
        <v>338</v>
      </c>
      <c r="C333" t="s">
        <v>1462</v>
      </c>
      <c r="D333" t="s">
        <v>2392</v>
      </c>
      <c r="E333" t="s">
        <v>2389</v>
      </c>
      <c r="I333" s="422">
        <v>46022</v>
      </c>
      <c r="J333" s="422">
        <v>46022</v>
      </c>
      <c r="K333">
        <v>76461.84</v>
      </c>
      <c r="L333">
        <v>76461.84</v>
      </c>
      <c r="M333" t="s">
        <v>2390</v>
      </c>
      <c r="N333" t="s">
        <v>2301</v>
      </c>
      <c r="O333" t="str">
        <f>_xlfn.IFNA(VLOOKUP(Table1[[#This Row],[Lead Source]],'helper tab'!A:B,2,FALSE),"Exclude")</f>
        <v>Exclude</v>
      </c>
      <c r="P333" s="422">
        <f t="shared" si="55"/>
        <v>46022.387499999997</v>
      </c>
      <c r="Q333">
        <f t="shared" si="56"/>
        <v>0</v>
      </c>
      <c r="R333">
        <f t="shared" si="57"/>
        <v>0</v>
      </c>
      <c r="S333">
        <f>IF(
AND($Q333=1,$M333&lt;&gt;""),
IF(
COUNTIFS(
$M$3:$M333,$M333,
$O$3:$O333,$O333,
$Q$3:$Q333,1,
$P$3:$P333,"&gt;="&amp;EOMONTH($P333,-1)+1,
$P$3:$P333,"&lt;"&amp;EOMONTH($P333,0)+1
)=1,
1,
0),
0)</f>
        <v>0</v>
      </c>
      <c r="T333">
        <f>IF(AND($R333=1,$M333&lt;&gt;""),IF(COUNTIFS($M$3:$M333,$M333,$O$3:$O333,$O333,$R$3:$R333,1,$P$3:$P333,"&gt;="&amp;EOMONTH($P333,-1)+1,$P$3:$P333,"&lt;"&amp;EOMONTH($P333,0)+1)=1,1,0),0)</f>
        <v>0</v>
      </c>
      <c r="U333">
        <f t="shared" si="58"/>
        <v>0</v>
      </c>
      <c r="V333">
        <f>IF(AND($U333=1,$M333&lt;&gt;""),IF(COUNTIFS($M$3:$M333,$M333,$O$3:$O333,$O333,$U$3:$U333,1,$P$3:$P333,"&gt;="&amp;EOMONTH($P333,-1)+1,$P$3:$P333,"&lt;"&amp;EOMONTH($P333,0)+1)=1,1,0),0)</f>
        <v>0</v>
      </c>
      <c r="W333" s="444">
        <f ca="1">TODAY()-Table1[[#This Row],[Change Date]]</f>
        <v>235.61250000000291</v>
      </c>
      <c r="X333" s="422">
        <f t="shared" si="59"/>
        <v>46022.388194444444</v>
      </c>
      <c r="Y333" s="476">
        <f ca="1">IF(Table1[[#This Row],[Next Stage Date]]&lt;&gt;"",Table1[[#This Row],[Next Stage Date]]-Table1[[#This Row],[Change Date]],TODAY()-Table1[[#This Row],[Change Date]])</f>
        <v>6.944444467080757E-4</v>
      </c>
      <c r="Z333" s="476">
        <f t="shared" si="60"/>
        <v>0</v>
      </c>
      <c r="AA333" s="422">
        <f t="shared" si="61"/>
        <v>46022.388888888891</v>
      </c>
      <c r="AB333" s="422">
        <f t="shared" si="62"/>
        <v>46022.388194444444</v>
      </c>
      <c r="AC333" s="476">
        <f t="shared" si="63"/>
        <v>0.38819444444379769</v>
      </c>
      <c r="AD333" s="476">
        <f t="shared" si="64"/>
        <v>6.944444467080757E-4</v>
      </c>
      <c r="AE333" s="476">
        <f t="shared" si="65"/>
        <v>0.38888888889050577</v>
      </c>
      <c r="AF333" s="476" t="b">
        <f>IFERROR(_xlfn.XLOOKUP(Table1[[#This Row],[Opportunity ID]],'Aging Detail'!$H$14:$H$20,'Aging Detail'!$F$14:$F$20),TRUE)</f>
        <v>1</v>
      </c>
    </row>
    <row r="334" spans="1:32">
      <c r="A334" t="s">
        <v>1461</v>
      </c>
      <c r="B334" t="s">
        <v>338</v>
      </c>
      <c r="C334" t="s">
        <v>1469</v>
      </c>
      <c r="D334" t="s">
        <v>2393</v>
      </c>
      <c r="E334" t="s">
        <v>1674</v>
      </c>
      <c r="F334" t="s">
        <v>1464</v>
      </c>
      <c r="G334" t="s">
        <v>1932</v>
      </c>
      <c r="I334" s="422">
        <v>45954</v>
      </c>
      <c r="J334" s="422">
        <v>46197</v>
      </c>
      <c r="L334">
        <v>0</v>
      </c>
      <c r="M334" t="s">
        <v>2394</v>
      </c>
      <c r="N334" t="s">
        <v>1674</v>
      </c>
      <c r="O334" t="str">
        <f>_xlfn.IFNA(VLOOKUP(Table1[[#This Row],[Lead Source]],'helper tab'!A:B,2,FALSE),"Exclude")</f>
        <v>Cold</v>
      </c>
      <c r="P334" s="422">
        <f t="shared" si="55"/>
        <v>46020.584722222222</v>
      </c>
      <c r="Q334">
        <f t="shared" si="56"/>
        <v>0</v>
      </c>
      <c r="R334">
        <f t="shared" si="57"/>
        <v>0</v>
      </c>
      <c r="S334">
        <f>IF(
AND($Q334=1,$M334&lt;&gt;""),
IF(
COUNTIFS(
$M$3:$M334,$M334,
$O$3:$O334,$O334,
$Q$3:$Q334,1,
$P$3:$P334,"&gt;="&amp;EOMONTH($P334,-1)+1,
$P$3:$P334,"&lt;"&amp;EOMONTH($P334,0)+1
)=1,
1,
0),
0)</f>
        <v>0</v>
      </c>
      <c r="T334">
        <f>IF(AND($R334=1,$M334&lt;&gt;""),IF(COUNTIFS($M$3:$M334,$M334,$O$3:$O334,$O334,$R$3:$R334,1,$P$3:$P334,"&gt;="&amp;EOMONTH($P334,-1)+1,$P$3:$P334,"&lt;"&amp;EOMONTH($P334,0)+1)=1,1,0),0)</f>
        <v>0</v>
      </c>
      <c r="U334">
        <f t="shared" si="58"/>
        <v>1</v>
      </c>
      <c r="V334">
        <f>IF(AND($U334=1,$M334&lt;&gt;""),IF(COUNTIFS($M$3:$M334,$M334,$O$3:$O334,$O334,$U$3:$U334,1,$P$3:$P334,"&gt;="&amp;EOMONTH($P334,-1)+1,$P$3:$P334,"&lt;"&amp;EOMONTH($P334,0)+1)=1,1,0),0)</f>
        <v>1</v>
      </c>
      <c r="W334" s="444">
        <f ca="1">TODAY()-Table1[[#This Row],[Change Date]]</f>
        <v>237.4152777777781</v>
      </c>
      <c r="X334" s="422" t="str">
        <f t="shared" si="59"/>
        <v/>
      </c>
      <c r="Y334" s="476">
        <f ca="1">IF(Table1[[#This Row],[Next Stage Date]]&lt;&gt;"",Table1[[#This Row],[Next Stage Date]]-Table1[[#This Row],[Change Date]],TODAY()-Table1[[#This Row],[Change Date]])</f>
        <v>237.4152777777781</v>
      </c>
      <c r="Z334" s="476">
        <f t="shared" si="60"/>
        <v>1</v>
      </c>
      <c r="AA334" s="422" t="str">
        <f t="shared" si="61"/>
        <v/>
      </c>
      <c r="AB334" s="422" t="str">
        <f t="shared" si="62"/>
        <v/>
      </c>
      <c r="AC334" s="476" t="str">
        <f t="shared" si="63"/>
        <v/>
      </c>
      <c r="AD334" s="476" t="str">
        <f t="shared" si="64"/>
        <v/>
      </c>
      <c r="AE334" s="476" t="str">
        <f t="shared" si="65"/>
        <v/>
      </c>
      <c r="AF334" s="476" t="b">
        <f>IFERROR(_xlfn.XLOOKUP(Table1[[#This Row],[Opportunity ID]],'Aging Detail'!$H$14:$H$20,'Aging Detail'!$F$14:$F$20),TRUE)</f>
        <v>1</v>
      </c>
    </row>
    <row r="335" spans="1:32">
      <c r="A335" t="s">
        <v>1461</v>
      </c>
      <c r="B335" t="s">
        <v>408</v>
      </c>
      <c r="C335" t="s">
        <v>1469</v>
      </c>
      <c r="D335" t="s">
        <v>2395</v>
      </c>
      <c r="E335" t="s">
        <v>2396</v>
      </c>
      <c r="F335" t="s">
        <v>148</v>
      </c>
      <c r="G335" t="s">
        <v>148</v>
      </c>
      <c r="H335" t="s">
        <v>1841</v>
      </c>
      <c r="I335" s="422">
        <v>45792</v>
      </c>
      <c r="J335" s="422">
        <v>46374</v>
      </c>
      <c r="L335">
        <v>0</v>
      </c>
      <c r="M335" t="s">
        <v>2397</v>
      </c>
      <c r="N335" t="s">
        <v>2398</v>
      </c>
      <c r="O335" t="str">
        <f>_xlfn.IFNA(VLOOKUP(Table1[[#This Row],[Lead Source]],'helper tab'!A:B,2,FALSE),"Exclude")</f>
        <v>Alliances</v>
      </c>
      <c r="P335" s="422">
        <f t="shared" si="55"/>
        <v>46020.580555555556</v>
      </c>
      <c r="Q335">
        <f t="shared" si="56"/>
        <v>0</v>
      </c>
      <c r="R335">
        <f t="shared" si="57"/>
        <v>0</v>
      </c>
      <c r="S335">
        <f>IF(
AND($Q335=1,$M335&lt;&gt;""),
IF(
COUNTIFS(
$M$3:$M335,$M335,
$O$3:$O335,$O335,
$Q$3:$Q335,1,
$P$3:$P335,"&gt;="&amp;EOMONTH($P335,-1)+1,
$P$3:$P335,"&lt;"&amp;EOMONTH($P335,0)+1
)=1,
1,
0),
0)</f>
        <v>0</v>
      </c>
      <c r="T335">
        <f>IF(AND($R335=1,$M335&lt;&gt;""),IF(COUNTIFS($M$3:$M335,$M335,$O$3:$O335,$O335,$R$3:$R335,1,$P$3:$P335,"&gt;="&amp;EOMONTH($P335,-1)+1,$P$3:$P335,"&lt;"&amp;EOMONTH($P335,0)+1)=1,1,0),0)</f>
        <v>0</v>
      </c>
      <c r="U335">
        <f t="shared" si="58"/>
        <v>1</v>
      </c>
      <c r="V335">
        <f>IF(AND($U335=1,$M335&lt;&gt;""),IF(COUNTIFS($M$3:$M335,$M335,$O$3:$O335,$O335,$U$3:$U335,1,$P$3:$P335,"&gt;="&amp;EOMONTH($P335,-1)+1,$P$3:$P335,"&lt;"&amp;EOMONTH($P335,0)+1)=1,1,0),0)</f>
        <v>1</v>
      </c>
      <c r="W335" s="444">
        <f ca="1">TODAY()-Table1[[#This Row],[Change Date]]</f>
        <v>237.4194444444438</v>
      </c>
      <c r="X335" s="422" t="str">
        <f t="shared" si="59"/>
        <v/>
      </c>
      <c r="Y335" s="476">
        <f ca="1">IF(Table1[[#This Row],[Next Stage Date]]&lt;&gt;"",Table1[[#This Row],[Next Stage Date]]-Table1[[#This Row],[Change Date]],TODAY()-Table1[[#This Row],[Change Date]])</f>
        <v>237.4194444444438</v>
      </c>
      <c r="Z335" s="476">
        <f t="shared" si="60"/>
        <v>1</v>
      </c>
      <c r="AA335" s="422" t="str">
        <f t="shared" si="61"/>
        <v/>
      </c>
      <c r="AB335" s="422" t="str">
        <f t="shared" si="62"/>
        <v/>
      </c>
      <c r="AC335" s="476" t="str">
        <f t="shared" si="63"/>
        <v/>
      </c>
      <c r="AD335" s="476" t="str">
        <f t="shared" si="64"/>
        <v/>
      </c>
      <c r="AE335" s="476" t="str">
        <f t="shared" si="65"/>
        <v/>
      </c>
      <c r="AF335" s="476" t="b">
        <f>IFERROR(_xlfn.XLOOKUP(Table1[[#This Row],[Opportunity ID]],'Aging Detail'!$H$14:$H$20,'Aging Detail'!$F$14:$F$20),TRUE)</f>
        <v>1</v>
      </c>
    </row>
    <row r="336" spans="1:32">
      <c r="A336" t="s">
        <v>1461</v>
      </c>
      <c r="B336" t="s">
        <v>526</v>
      </c>
      <c r="C336" t="s">
        <v>563</v>
      </c>
      <c r="D336" t="s">
        <v>2399</v>
      </c>
      <c r="E336" t="s">
        <v>2400</v>
      </c>
      <c r="F336" t="s">
        <v>148</v>
      </c>
      <c r="I336" s="422">
        <v>45765</v>
      </c>
      <c r="J336" s="422">
        <v>46006</v>
      </c>
      <c r="K336">
        <v>168144</v>
      </c>
      <c r="L336">
        <v>123144</v>
      </c>
      <c r="M336" t="s">
        <v>97</v>
      </c>
      <c r="N336" t="s">
        <v>1788</v>
      </c>
      <c r="O336" t="str">
        <f>_xlfn.IFNA(VLOOKUP(Table1[[#This Row],[Lead Source]],'helper tab'!A:B,2,FALSE),"Exclude")</f>
        <v>Alliances</v>
      </c>
      <c r="P336" s="422">
        <f t="shared" si="55"/>
        <v>46020.424305555556</v>
      </c>
      <c r="Q336">
        <f t="shared" si="56"/>
        <v>0</v>
      </c>
      <c r="R336">
        <f t="shared" si="57"/>
        <v>1</v>
      </c>
      <c r="S336">
        <f>IF(
AND($Q336=1,$M336&lt;&gt;""),
IF(
COUNTIFS(
$M$3:$M336,$M336,
$O$3:$O336,$O336,
$Q$3:$Q336,1,
$P$3:$P336,"&gt;="&amp;EOMONTH($P336,-1)+1,
$P$3:$P336,"&lt;"&amp;EOMONTH($P336,0)+1
)=1,
1,
0),
0)</f>
        <v>0</v>
      </c>
      <c r="T336">
        <f>IF(AND($R336=1,$M336&lt;&gt;""),IF(COUNTIFS($M$3:$M336,$M336,$O$3:$O336,$O336,$R$3:$R336,1,$P$3:$P336,"&gt;="&amp;EOMONTH($P336,-1)+1,$P$3:$P336,"&lt;"&amp;EOMONTH($P336,0)+1)=1,1,0),0)</f>
        <v>1</v>
      </c>
      <c r="U336">
        <f t="shared" si="58"/>
        <v>0</v>
      </c>
      <c r="V336">
        <f>IF(AND($U336=1,$M336&lt;&gt;""),IF(COUNTIFS($M$3:$M336,$M336,$O$3:$O336,$O336,$U$3:$U336,1,$P$3:$P336,"&gt;="&amp;EOMONTH($P336,-1)+1,$P$3:$P336,"&lt;"&amp;EOMONTH($P336,0)+1)=1,1,0),0)</f>
        <v>0</v>
      </c>
      <c r="W336" s="444">
        <f ca="1">TODAY()-Table1[[#This Row],[Change Date]]</f>
        <v>237.5756944444438</v>
      </c>
      <c r="X336" s="422" t="str">
        <f t="shared" si="59"/>
        <v/>
      </c>
      <c r="Y336" s="476">
        <f ca="1">IF(Table1[[#This Row],[Next Stage Date]]&lt;&gt;"",Table1[[#This Row],[Next Stage Date]]-Table1[[#This Row],[Change Date]],TODAY()-Table1[[#This Row],[Change Date]])</f>
        <v>237.5756944444438</v>
      </c>
      <c r="Z336" s="476">
        <f t="shared" si="60"/>
        <v>1</v>
      </c>
      <c r="AA336" s="422">
        <f t="shared" si="61"/>
        <v>46020.424305555556</v>
      </c>
      <c r="AB336" s="422">
        <f t="shared" si="62"/>
        <v>45793.539583333331</v>
      </c>
      <c r="AC336" s="476">
        <f t="shared" si="63"/>
        <v>28.539583333331393</v>
      </c>
      <c r="AD336" s="476">
        <f t="shared" si="64"/>
        <v>226.88472222222481</v>
      </c>
      <c r="AE336" s="476">
        <f t="shared" si="65"/>
        <v>255.4243055555562</v>
      </c>
      <c r="AF336" s="476" t="b">
        <f>IFERROR(_xlfn.XLOOKUP(Table1[[#This Row],[Opportunity ID]],'Aging Detail'!$H$14:$H$20,'Aging Detail'!$F$14:$F$20),TRUE)</f>
        <v>1</v>
      </c>
    </row>
    <row r="337" spans="1:32">
      <c r="A337" t="s">
        <v>1461</v>
      </c>
      <c r="B337" t="s">
        <v>526</v>
      </c>
      <c r="C337" t="s">
        <v>563</v>
      </c>
      <c r="D337" t="s">
        <v>2401</v>
      </c>
      <c r="E337" t="s">
        <v>2402</v>
      </c>
      <c r="F337" t="s">
        <v>148</v>
      </c>
      <c r="H337" t="s">
        <v>1698</v>
      </c>
      <c r="I337" s="422">
        <v>45320</v>
      </c>
      <c r="J337" s="422">
        <v>46014</v>
      </c>
      <c r="K337">
        <v>92880</v>
      </c>
      <c r="L337">
        <v>960</v>
      </c>
      <c r="M337" t="s">
        <v>93</v>
      </c>
      <c r="N337" t="s">
        <v>555</v>
      </c>
      <c r="O337" t="str">
        <f>_xlfn.IFNA(VLOOKUP(Table1[[#This Row],[Lead Source]],'helper tab'!A:B,2,FALSE),"Exclude")</f>
        <v>Alliances</v>
      </c>
      <c r="P337" s="422">
        <f t="shared" si="55"/>
        <v>46014.455555555556</v>
      </c>
      <c r="Q337">
        <f t="shared" si="56"/>
        <v>0</v>
      </c>
      <c r="R337">
        <f t="shared" si="57"/>
        <v>1</v>
      </c>
      <c r="S337">
        <f>IF(
AND($Q337=1,$M337&lt;&gt;""),
IF(
COUNTIFS(
$M$3:$M337,$M337,
$O$3:$O337,$O337,
$Q$3:$Q337,1,
$P$3:$P337,"&gt;="&amp;EOMONTH($P337,-1)+1,
$P$3:$P337,"&lt;"&amp;EOMONTH($P337,0)+1
)=1,
1,
0),
0)</f>
        <v>0</v>
      </c>
      <c r="T337">
        <f>IF(AND($R337=1,$M337&lt;&gt;""),IF(COUNTIFS($M$3:$M337,$M337,$O$3:$O337,$O337,$R$3:$R337,1,$P$3:$P337,"&gt;="&amp;EOMONTH($P337,-1)+1,$P$3:$P337,"&lt;"&amp;EOMONTH($P337,0)+1)=1,1,0),0)</f>
        <v>1</v>
      </c>
      <c r="U337">
        <f t="shared" si="58"/>
        <v>0</v>
      </c>
      <c r="V337">
        <f>IF(AND($U337=1,$M337&lt;&gt;""),IF(COUNTIFS($M$3:$M337,$M337,$O$3:$O337,$O337,$U$3:$U337,1,$P$3:$P337,"&gt;="&amp;EOMONTH($P337,-1)+1,$P$3:$P337,"&lt;"&amp;EOMONTH($P337,0)+1)=1,1,0),0)</f>
        <v>0</v>
      </c>
      <c r="W337" s="444">
        <f ca="1">TODAY()-Table1[[#This Row],[Change Date]]</f>
        <v>243.5444444444438</v>
      </c>
      <c r="X337" s="422" t="str">
        <f t="shared" si="59"/>
        <v/>
      </c>
      <c r="Y337" s="476">
        <f ca="1">IF(Table1[[#This Row],[Next Stage Date]]&lt;&gt;"",Table1[[#This Row],[Next Stage Date]]-Table1[[#This Row],[Change Date]],TODAY()-Table1[[#This Row],[Change Date]])</f>
        <v>243.5444444444438</v>
      </c>
      <c r="Z337" s="476">
        <f t="shared" si="60"/>
        <v>1</v>
      </c>
      <c r="AA337" s="422">
        <f t="shared" si="61"/>
        <v>46014.455555555556</v>
      </c>
      <c r="AB337" s="422">
        <f t="shared" si="62"/>
        <v>46014.067361111112</v>
      </c>
      <c r="AC337" s="476">
        <f t="shared" si="63"/>
        <v>694.0673611111124</v>
      </c>
      <c r="AD337" s="476">
        <f t="shared" si="64"/>
        <v>0.38819444444379769</v>
      </c>
      <c r="AE337" s="476">
        <f t="shared" si="65"/>
        <v>694.4555555555562</v>
      </c>
      <c r="AF337" s="476" t="b">
        <f>IFERROR(_xlfn.XLOOKUP(Table1[[#This Row],[Opportunity ID]],'Aging Detail'!$H$14:$H$20,'Aging Detail'!$F$14:$F$20),TRUE)</f>
        <v>1</v>
      </c>
    </row>
    <row r="338" spans="1:32">
      <c r="A338" t="s">
        <v>1461</v>
      </c>
      <c r="B338" t="s">
        <v>526</v>
      </c>
      <c r="C338" t="s">
        <v>563</v>
      </c>
      <c r="D338" t="s">
        <v>2403</v>
      </c>
      <c r="E338" t="s">
        <v>2404</v>
      </c>
      <c r="F338" t="s">
        <v>148</v>
      </c>
      <c r="H338" t="s">
        <v>2287</v>
      </c>
      <c r="I338" s="422">
        <v>45845</v>
      </c>
      <c r="J338" s="422">
        <v>45968</v>
      </c>
      <c r="K338">
        <v>15000</v>
      </c>
      <c r="L338">
        <v>15000</v>
      </c>
      <c r="M338" t="s">
        <v>2405</v>
      </c>
      <c r="N338" t="s">
        <v>2406</v>
      </c>
      <c r="O338" t="str">
        <f>_xlfn.IFNA(VLOOKUP(Table1[[#This Row],[Lead Source]],'helper tab'!A:B,2,FALSE),"Exclude")</f>
        <v>Alliances</v>
      </c>
      <c r="P338" s="422">
        <f t="shared" si="55"/>
        <v>46014.330555555556</v>
      </c>
      <c r="Q338">
        <f t="shared" si="56"/>
        <v>0</v>
      </c>
      <c r="R338">
        <f t="shared" si="57"/>
        <v>1</v>
      </c>
      <c r="S338">
        <f>IF(
AND($Q338=1,$M338&lt;&gt;""),
IF(
COUNTIFS(
$M$3:$M338,$M338,
$O$3:$O338,$O338,
$Q$3:$Q338,1,
$P$3:$P338,"&gt;="&amp;EOMONTH($P338,-1)+1,
$P$3:$P338,"&lt;"&amp;EOMONTH($P338,0)+1
)=1,
1,
0),
0)</f>
        <v>0</v>
      </c>
      <c r="T338">
        <f>IF(AND($R338=1,$M338&lt;&gt;""),IF(COUNTIFS($M$3:$M338,$M338,$O$3:$O338,$O338,$R$3:$R338,1,$P$3:$P338,"&gt;="&amp;EOMONTH($P338,-1)+1,$P$3:$P338,"&lt;"&amp;EOMONTH($P338,0)+1)=1,1,0),0)</f>
        <v>1</v>
      </c>
      <c r="U338">
        <f t="shared" si="58"/>
        <v>0</v>
      </c>
      <c r="V338">
        <f>IF(AND($U338=1,$M338&lt;&gt;""),IF(COUNTIFS($M$3:$M338,$M338,$O$3:$O338,$O338,$U$3:$U338,1,$P$3:$P338,"&gt;="&amp;EOMONTH($P338,-1)+1,$P$3:$P338,"&lt;"&amp;EOMONTH($P338,0)+1)=1,1,0),0)</f>
        <v>0</v>
      </c>
      <c r="W338" s="444">
        <f ca="1">TODAY()-Table1[[#This Row],[Change Date]]</f>
        <v>243.6694444444438</v>
      </c>
      <c r="X338" s="422" t="str">
        <f t="shared" si="59"/>
        <v/>
      </c>
      <c r="Y338" s="476">
        <f ca="1">IF(Table1[[#This Row],[Next Stage Date]]&lt;&gt;"",Table1[[#This Row],[Next Stage Date]]-Table1[[#This Row],[Change Date]],TODAY()-Table1[[#This Row],[Change Date]])</f>
        <v>243.6694444444438</v>
      </c>
      <c r="Z338" s="476">
        <f t="shared" si="60"/>
        <v>1</v>
      </c>
      <c r="AA338" s="422">
        <f t="shared" si="61"/>
        <v>46014.330555555556</v>
      </c>
      <c r="AB338" s="422">
        <f t="shared" si="62"/>
        <v>45882.256944444445</v>
      </c>
      <c r="AC338" s="476">
        <f t="shared" si="63"/>
        <v>37.256944444445253</v>
      </c>
      <c r="AD338" s="476">
        <f t="shared" si="64"/>
        <v>132.07361111111095</v>
      </c>
      <c r="AE338" s="476">
        <f t="shared" si="65"/>
        <v>169.3305555555562</v>
      </c>
      <c r="AF338" s="476" t="b">
        <f>IFERROR(_xlfn.XLOOKUP(Table1[[#This Row],[Opportunity ID]],'Aging Detail'!$H$14:$H$20,'Aging Detail'!$F$14:$F$20),TRUE)</f>
        <v>1</v>
      </c>
    </row>
    <row r="339" spans="1:32">
      <c r="A339" t="s">
        <v>1461</v>
      </c>
      <c r="B339" t="s">
        <v>462</v>
      </c>
      <c r="C339" t="s">
        <v>526</v>
      </c>
      <c r="D339" t="s">
        <v>2407</v>
      </c>
      <c r="E339" t="s">
        <v>2402</v>
      </c>
      <c r="F339" t="s">
        <v>148</v>
      </c>
      <c r="H339" t="s">
        <v>1698</v>
      </c>
      <c r="I339" s="422">
        <v>45320</v>
      </c>
      <c r="J339" s="422">
        <v>46014</v>
      </c>
      <c r="K339">
        <v>92880</v>
      </c>
      <c r="L339">
        <v>960</v>
      </c>
      <c r="M339" t="s">
        <v>93</v>
      </c>
      <c r="N339" t="s">
        <v>555</v>
      </c>
      <c r="O339" t="str">
        <f>_xlfn.IFNA(VLOOKUP(Table1[[#This Row],[Lead Source]],'helper tab'!A:B,2,FALSE),"Exclude")</f>
        <v>Alliances</v>
      </c>
      <c r="P339" s="422">
        <f t="shared" si="55"/>
        <v>46014.068055555559</v>
      </c>
      <c r="Q339">
        <f t="shared" si="56"/>
        <v>1</v>
      </c>
      <c r="R339">
        <f t="shared" si="57"/>
        <v>0</v>
      </c>
      <c r="S339">
        <f>IF(
AND($Q339=1,$M339&lt;&gt;""),
IF(
COUNTIFS(
$M$3:$M339,$M339,
$O$3:$O339,$O339,
$Q$3:$Q339,1,
$P$3:$P339,"&gt;="&amp;EOMONTH($P339,-1)+1,
$P$3:$P339,"&lt;"&amp;EOMONTH($P339,0)+1
)=1,
1,
0),
0)</f>
        <v>1</v>
      </c>
      <c r="T339">
        <f>IF(AND($R339=1,$M339&lt;&gt;""),IF(COUNTIFS($M$3:$M339,$M339,$O$3:$O339,$O339,$R$3:$R339,1,$P$3:$P339,"&gt;="&amp;EOMONTH($P339,-1)+1,$P$3:$P339,"&lt;"&amp;EOMONTH($P339,0)+1)=1,1,0),0)</f>
        <v>0</v>
      </c>
      <c r="U339">
        <f t="shared" si="58"/>
        <v>0</v>
      </c>
      <c r="V339">
        <f>IF(AND($U339=1,$M339&lt;&gt;""),IF(COUNTIFS($M$3:$M339,$M339,$O$3:$O339,$O339,$U$3:$U339,1,$P$3:$P339,"&gt;="&amp;EOMONTH($P339,-1)+1,$P$3:$P339,"&lt;"&amp;EOMONTH($P339,0)+1)=1,1,0),0)</f>
        <v>0</v>
      </c>
      <c r="W339" s="444">
        <f ca="1">TODAY()-Table1[[#This Row],[Change Date]]</f>
        <v>243.93194444444089</v>
      </c>
      <c r="X339" s="422">
        <f t="shared" si="59"/>
        <v>46014.455555555556</v>
      </c>
      <c r="Y339" s="476">
        <f ca="1">IF(Table1[[#This Row],[Next Stage Date]]&lt;&gt;"",Table1[[#This Row],[Next Stage Date]]-Table1[[#This Row],[Change Date]],TODAY()-Table1[[#This Row],[Change Date]])</f>
        <v>0.38749999999708962</v>
      </c>
      <c r="Z339" s="476">
        <f t="shared" si="60"/>
        <v>0</v>
      </c>
      <c r="AA339" s="422">
        <f t="shared" si="61"/>
        <v>46014.455555555556</v>
      </c>
      <c r="AB339" s="422">
        <f t="shared" si="62"/>
        <v>46014.067361111112</v>
      </c>
      <c r="AC339" s="476">
        <f t="shared" si="63"/>
        <v>694.0673611111124</v>
      </c>
      <c r="AD339" s="476">
        <f t="shared" si="64"/>
        <v>0.38819444444379769</v>
      </c>
      <c r="AE339" s="476">
        <f t="shared" si="65"/>
        <v>694.4555555555562</v>
      </c>
      <c r="AF339" s="476" t="b">
        <f>IFERROR(_xlfn.XLOOKUP(Table1[[#This Row],[Opportunity ID]],'Aging Detail'!$H$14:$H$20,'Aging Detail'!$F$14:$F$20),TRUE)</f>
        <v>1</v>
      </c>
    </row>
    <row r="340" spans="1:32">
      <c r="A340" t="s">
        <v>1461</v>
      </c>
      <c r="B340" t="s">
        <v>1462</v>
      </c>
      <c r="C340" t="s">
        <v>462</v>
      </c>
      <c r="D340" t="s">
        <v>2408</v>
      </c>
      <c r="E340" t="s">
        <v>2402</v>
      </c>
      <c r="F340" t="s">
        <v>148</v>
      </c>
      <c r="H340" t="s">
        <v>1698</v>
      </c>
      <c r="I340" s="422">
        <v>45320</v>
      </c>
      <c r="J340" s="422">
        <v>46014</v>
      </c>
      <c r="K340">
        <v>92880</v>
      </c>
      <c r="L340">
        <v>960</v>
      </c>
      <c r="M340" t="s">
        <v>93</v>
      </c>
      <c r="N340" t="s">
        <v>555</v>
      </c>
      <c r="O340" t="str">
        <f>_xlfn.IFNA(VLOOKUP(Table1[[#This Row],[Lead Source]],'helper tab'!A:B,2,FALSE),"Exclude")</f>
        <v>Alliances</v>
      </c>
      <c r="P340" s="422">
        <f t="shared" si="55"/>
        <v>46014.067361111112</v>
      </c>
      <c r="Q340">
        <f t="shared" si="56"/>
        <v>1</v>
      </c>
      <c r="R340">
        <f t="shared" si="57"/>
        <v>0</v>
      </c>
      <c r="S340">
        <f>IF(
AND($Q340=1,$M340&lt;&gt;""),
IF(
COUNTIFS(
$M$3:$M340,$M340,
$O$3:$O340,$O340,
$Q$3:$Q340,1,
$P$3:$P340,"&gt;="&amp;EOMONTH($P340,-1)+1,
$P$3:$P340,"&lt;"&amp;EOMONTH($P340,0)+1
)=1,
1,
0),
0)</f>
        <v>0</v>
      </c>
      <c r="T340">
        <f>IF(AND($R340=1,$M340&lt;&gt;""),IF(COUNTIFS($M$3:$M340,$M340,$O$3:$O340,$O340,$R$3:$R340,1,$P$3:$P340,"&gt;="&amp;EOMONTH($P340,-1)+1,$P$3:$P340,"&lt;"&amp;EOMONTH($P340,0)+1)=1,1,0),0)</f>
        <v>0</v>
      </c>
      <c r="U340">
        <f t="shared" si="58"/>
        <v>0</v>
      </c>
      <c r="V340">
        <f>IF(AND($U340=1,$M340&lt;&gt;""),IF(COUNTIFS($M$3:$M340,$M340,$O$3:$O340,$O340,$U$3:$U340,1,$P$3:$P340,"&gt;="&amp;EOMONTH($P340,-1)+1,$P$3:$P340,"&lt;"&amp;EOMONTH($P340,0)+1)=1,1,0),0)</f>
        <v>0</v>
      </c>
      <c r="W340" s="444">
        <f ca="1">TODAY()-Table1[[#This Row],[Change Date]]</f>
        <v>243.9326388888876</v>
      </c>
      <c r="X340" s="422">
        <f t="shared" si="59"/>
        <v>46014.068055555559</v>
      </c>
      <c r="Y340" s="476">
        <f ca="1">IF(Table1[[#This Row],[Next Stage Date]]&lt;&gt;"",Table1[[#This Row],[Next Stage Date]]-Table1[[#This Row],[Change Date]],TODAY()-Table1[[#This Row],[Change Date]])</f>
        <v>6.944444467080757E-4</v>
      </c>
      <c r="Z340" s="476">
        <f t="shared" si="60"/>
        <v>0</v>
      </c>
      <c r="AA340" s="422">
        <f t="shared" si="61"/>
        <v>46014.455555555556</v>
      </c>
      <c r="AB340" s="422">
        <f t="shared" si="62"/>
        <v>46014.067361111112</v>
      </c>
      <c r="AC340" s="476">
        <f t="shared" si="63"/>
        <v>694.0673611111124</v>
      </c>
      <c r="AD340" s="476">
        <f t="shared" si="64"/>
        <v>0.38819444444379769</v>
      </c>
      <c r="AE340" s="476">
        <f t="shared" si="65"/>
        <v>694.4555555555562</v>
      </c>
      <c r="AF340" s="476" t="b">
        <f>IFERROR(_xlfn.XLOOKUP(Table1[[#This Row],[Opportunity ID]],'Aging Detail'!$H$14:$H$20,'Aging Detail'!$F$14:$F$20),TRUE)</f>
        <v>1</v>
      </c>
    </row>
    <row r="341" spans="1:32">
      <c r="A341" t="s">
        <v>1461</v>
      </c>
      <c r="B341" t="s">
        <v>408</v>
      </c>
      <c r="C341" t="s">
        <v>1462</v>
      </c>
      <c r="D341" t="s">
        <v>2409</v>
      </c>
      <c r="E341" t="s">
        <v>2402</v>
      </c>
      <c r="F341" t="s">
        <v>148</v>
      </c>
      <c r="H341" t="s">
        <v>1698</v>
      </c>
      <c r="I341" s="422">
        <v>45320</v>
      </c>
      <c r="J341" s="422">
        <v>46014</v>
      </c>
      <c r="K341">
        <v>92880</v>
      </c>
      <c r="L341">
        <v>960</v>
      </c>
      <c r="M341" t="s">
        <v>93</v>
      </c>
      <c r="N341" t="s">
        <v>555</v>
      </c>
      <c r="O341" t="str">
        <f>_xlfn.IFNA(VLOOKUP(Table1[[#This Row],[Lead Source]],'helper tab'!A:B,2,FALSE),"Exclude")</f>
        <v>Alliances</v>
      </c>
      <c r="P341" s="422">
        <f t="shared" si="55"/>
        <v>46014.065972222219</v>
      </c>
      <c r="Q341">
        <f t="shared" si="56"/>
        <v>0</v>
      </c>
      <c r="R341">
        <f t="shared" si="57"/>
        <v>0</v>
      </c>
      <c r="S341">
        <f>IF(
AND($Q341=1,$M341&lt;&gt;""),
IF(
COUNTIFS(
$M$3:$M341,$M341,
$O$3:$O341,$O341,
$Q$3:$Q341,1,
$P$3:$P341,"&gt;="&amp;EOMONTH($P341,-1)+1,
$P$3:$P341,"&lt;"&amp;EOMONTH($P341,0)+1
)=1,
1,
0),
0)</f>
        <v>0</v>
      </c>
      <c r="T341">
        <f>IF(AND($R341=1,$M341&lt;&gt;""),IF(COUNTIFS($M$3:$M341,$M341,$O$3:$O341,$O341,$R$3:$R341,1,$P$3:$P341,"&gt;="&amp;EOMONTH($P341,-1)+1,$P$3:$P341,"&lt;"&amp;EOMONTH($P341,0)+1)=1,1,0),0)</f>
        <v>0</v>
      </c>
      <c r="U341">
        <f t="shared" si="58"/>
        <v>0</v>
      </c>
      <c r="V341">
        <f>IF(AND($U341=1,$M341&lt;&gt;""),IF(COUNTIFS($M$3:$M341,$M341,$O$3:$O341,$O341,$U$3:$U341,1,$P$3:$P341,"&gt;="&amp;EOMONTH($P341,-1)+1,$P$3:$P341,"&lt;"&amp;EOMONTH($P341,0)+1)=1,1,0),0)</f>
        <v>0</v>
      </c>
      <c r="W341" s="444">
        <f ca="1">TODAY()-Table1[[#This Row],[Change Date]]</f>
        <v>243.93402777778101</v>
      </c>
      <c r="X341" s="422">
        <f t="shared" si="59"/>
        <v>46014.067361111112</v>
      </c>
      <c r="Y341" s="476">
        <f ca="1">IF(Table1[[#This Row],[Next Stage Date]]&lt;&gt;"",Table1[[#This Row],[Next Stage Date]]-Table1[[#This Row],[Change Date]],TODAY()-Table1[[#This Row],[Change Date]])</f>
        <v>1.3888888934161514E-3</v>
      </c>
      <c r="Z341" s="476">
        <f t="shared" si="60"/>
        <v>0</v>
      </c>
      <c r="AA341" s="422">
        <f t="shared" si="61"/>
        <v>46014.455555555556</v>
      </c>
      <c r="AB341" s="422">
        <f t="shared" si="62"/>
        <v>46014.067361111112</v>
      </c>
      <c r="AC341" s="476">
        <f t="shared" si="63"/>
        <v>694.0673611111124</v>
      </c>
      <c r="AD341" s="476">
        <f t="shared" si="64"/>
        <v>0.38819444444379769</v>
      </c>
      <c r="AE341" s="476">
        <f t="shared" si="65"/>
        <v>694.4555555555562</v>
      </c>
      <c r="AF341" s="476" t="b">
        <f>IFERROR(_xlfn.XLOOKUP(Table1[[#This Row],[Opportunity ID]],'Aging Detail'!$H$14:$H$20,'Aging Detail'!$F$14:$F$20),TRUE)</f>
        <v>1</v>
      </c>
    </row>
    <row r="342" spans="1:32">
      <c r="A342" t="s">
        <v>1461</v>
      </c>
      <c r="B342" t="s">
        <v>338</v>
      </c>
      <c r="C342" t="s">
        <v>1469</v>
      </c>
      <c r="D342" t="s">
        <v>2410</v>
      </c>
      <c r="E342" t="s">
        <v>2411</v>
      </c>
      <c r="F342" t="s">
        <v>1465</v>
      </c>
      <c r="I342" s="422">
        <v>45961</v>
      </c>
      <c r="J342" s="422">
        <v>73050</v>
      </c>
      <c r="K342">
        <v>10135</v>
      </c>
      <c r="L342">
        <v>0</v>
      </c>
      <c r="M342" t="s">
        <v>2412</v>
      </c>
      <c r="N342" t="s">
        <v>1708</v>
      </c>
      <c r="O342" t="str">
        <f>_xlfn.IFNA(VLOOKUP(Table1[[#This Row],[Lead Source]],'helper tab'!A:B,2,FALSE),"Exclude")</f>
        <v>Exclude</v>
      </c>
      <c r="P342" s="422">
        <f t="shared" si="55"/>
        <v>46009.526388888888</v>
      </c>
      <c r="Q342">
        <f t="shared" si="56"/>
        <v>0</v>
      </c>
      <c r="R342">
        <f t="shared" si="57"/>
        <v>0</v>
      </c>
      <c r="S342">
        <f>IF(
AND($Q342=1,$M342&lt;&gt;""),
IF(
COUNTIFS(
$M$3:$M342,$M342,
$O$3:$O342,$O342,
$Q$3:$Q342,1,
$P$3:$P342,"&gt;="&amp;EOMONTH($P342,-1)+1,
$P$3:$P342,"&lt;"&amp;EOMONTH($P342,0)+1
)=1,
1,
0),
0)</f>
        <v>0</v>
      </c>
      <c r="T342">
        <f>IF(AND($R342=1,$M342&lt;&gt;""),IF(COUNTIFS($M$3:$M342,$M342,$O$3:$O342,$O342,$R$3:$R342,1,$P$3:$P342,"&gt;="&amp;EOMONTH($P342,-1)+1,$P$3:$P342,"&lt;"&amp;EOMONTH($P342,0)+1)=1,1,0),0)</f>
        <v>0</v>
      </c>
      <c r="U342">
        <f t="shared" si="58"/>
        <v>1</v>
      </c>
      <c r="V342">
        <f>IF(AND($U342=1,$M342&lt;&gt;""),IF(COUNTIFS($M$3:$M342,$M342,$O$3:$O342,$O342,$U$3:$U342,1,$P$3:$P342,"&gt;="&amp;EOMONTH($P342,-1)+1,$P$3:$P342,"&lt;"&amp;EOMONTH($P342,0)+1)=1,1,0),0)</f>
        <v>1</v>
      </c>
      <c r="W342" s="444">
        <f ca="1">TODAY()-Table1[[#This Row],[Change Date]]</f>
        <v>248.4736111111124</v>
      </c>
      <c r="X342" s="422" t="str">
        <f t="shared" si="59"/>
        <v/>
      </c>
      <c r="Y342" s="476">
        <f ca="1">IF(Table1[[#This Row],[Next Stage Date]]&lt;&gt;"",Table1[[#This Row],[Next Stage Date]]-Table1[[#This Row],[Change Date]],TODAY()-Table1[[#This Row],[Change Date]])</f>
        <v>248.4736111111124</v>
      </c>
      <c r="Z342" s="476">
        <f t="shared" si="60"/>
        <v>1</v>
      </c>
      <c r="AA342" s="422" t="str">
        <f t="shared" si="61"/>
        <v/>
      </c>
      <c r="AB342" s="422" t="str">
        <f t="shared" si="62"/>
        <v/>
      </c>
      <c r="AC342" s="476" t="str">
        <f t="shared" si="63"/>
        <v/>
      </c>
      <c r="AD342" s="476" t="str">
        <f t="shared" si="64"/>
        <v/>
      </c>
      <c r="AE342" s="476" t="str">
        <f t="shared" si="65"/>
        <v/>
      </c>
      <c r="AF342" s="476" t="b">
        <f>IFERROR(_xlfn.XLOOKUP(Table1[[#This Row],[Opportunity ID]],'Aging Detail'!$H$14:$H$20,'Aging Detail'!$F$14:$F$20),TRUE)</f>
        <v>1</v>
      </c>
    </row>
    <row r="343" spans="1:32">
      <c r="A343" t="s">
        <v>1461</v>
      </c>
      <c r="B343" t="s">
        <v>1462</v>
      </c>
      <c r="C343" t="s">
        <v>1469</v>
      </c>
      <c r="D343" t="s">
        <v>2413</v>
      </c>
      <c r="E343" t="s">
        <v>2414</v>
      </c>
      <c r="F343" t="s">
        <v>1490</v>
      </c>
      <c r="I343" s="422">
        <v>45995</v>
      </c>
      <c r="J343" s="422">
        <v>46112</v>
      </c>
      <c r="K343">
        <v>54000</v>
      </c>
      <c r="L343">
        <v>10000</v>
      </c>
      <c r="M343" t="s">
        <v>2415</v>
      </c>
      <c r="N343" t="s">
        <v>1536</v>
      </c>
      <c r="O343" t="str">
        <f>_xlfn.IFNA(VLOOKUP(Table1[[#This Row],[Lead Source]],'helper tab'!A:B,2,FALSE),"Exclude")</f>
        <v>Cold</v>
      </c>
      <c r="P343" s="422">
        <f t="shared" si="55"/>
        <v>46009.498611111114</v>
      </c>
      <c r="Q343">
        <f t="shared" si="56"/>
        <v>0</v>
      </c>
      <c r="R343">
        <f t="shared" si="57"/>
        <v>0</v>
      </c>
      <c r="S343">
        <f>IF(
AND($Q343=1,$M343&lt;&gt;""),
IF(
COUNTIFS(
$M$3:$M343,$M343,
$O$3:$O343,$O343,
$Q$3:$Q343,1,
$P$3:$P343,"&gt;="&amp;EOMONTH($P343,-1)+1,
$P$3:$P343,"&lt;"&amp;EOMONTH($P343,0)+1
)=1,
1,
0),
0)</f>
        <v>0</v>
      </c>
      <c r="T343">
        <f>IF(AND($R343=1,$M343&lt;&gt;""),IF(COUNTIFS($M$3:$M343,$M343,$O$3:$O343,$O343,$R$3:$R343,1,$P$3:$P343,"&gt;="&amp;EOMONTH($P343,-1)+1,$P$3:$P343,"&lt;"&amp;EOMONTH($P343,0)+1)=1,1,0),0)</f>
        <v>0</v>
      </c>
      <c r="U343">
        <f t="shared" si="58"/>
        <v>1</v>
      </c>
      <c r="V343">
        <f>IF(AND($U343=1,$M343&lt;&gt;""),IF(COUNTIFS($M$3:$M343,$M343,$O$3:$O343,$O343,$U$3:$U343,1,$P$3:$P343,"&gt;="&amp;EOMONTH($P343,-1)+1,$P$3:$P343,"&lt;"&amp;EOMONTH($P343,0)+1)=1,1,0),0)</f>
        <v>1</v>
      </c>
      <c r="W343" s="444">
        <f ca="1">TODAY()-Table1[[#This Row],[Change Date]]</f>
        <v>248.50138888888614</v>
      </c>
      <c r="X343" s="422" t="str">
        <f t="shared" si="59"/>
        <v/>
      </c>
      <c r="Y343" s="476">
        <f ca="1">IF(Table1[[#This Row],[Next Stage Date]]&lt;&gt;"",Table1[[#This Row],[Next Stage Date]]-Table1[[#This Row],[Change Date]],TODAY()-Table1[[#This Row],[Change Date]])</f>
        <v>248.50138888888614</v>
      </c>
      <c r="Z343" s="476">
        <f t="shared" si="60"/>
        <v>1</v>
      </c>
      <c r="AA343" s="422" t="str">
        <f t="shared" si="61"/>
        <v/>
      </c>
      <c r="AB343" s="422" t="str">
        <f t="shared" si="62"/>
        <v/>
      </c>
      <c r="AC343" s="476" t="str">
        <f t="shared" si="63"/>
        <v/>
      </c>
      <c r="AD343" s="476" t="str">
        <f t="shared" si="64"/>
        <v/>
      </c>
      <c r="AE343" s="476" t="str">
        <f t="shared" si="65"/>
        <v/>
      </c>
      <c r="AF343" s="476" t="b">
        <f>IFERROR(_xlfn.XLOOKUP(Table1[[#This Row],[Opportunity ID]],'Aging Detail'!$H$14:$H$20,'Aging Detail'!$F$14:$F$20),TRUE)</f>
        <v>1</v>
      </c>
    </row>
    <row r="344" spans="1:32">
      <c r="A344" t="s">
        <v>1461</v>
      </c>
      <c r="B344" t="s">
        <v>1462</v>
      </c>
      <c r="C344" t="s">
        <v>462</v>
      </c>
      <c r="D344" t="s">
        <v>2416</v>
      </c>
      <c r="E344" t="s">
        <v>2153</v>
      </c>
      <c r="I344" s="422">
        <v>45748</v>
      </c>
      <c r="J344" s="422">
        <v>46090</v>
      </c>
      <c r="K344">
        <v>459900</v>
      </c>
      <c r="L344">
        <v>432900</v>
      </c>
      <c r="M344" t="s">
        <v>2154</v>
      </c>
      <c r="N344" t="s">
        <v>2148</v>
      </c>
      <c r="O344" t="str">
        <f>_xlfn.IFNA(VLOOKUP(Table1[[#This Row],[Lead Source]],'helper tab'!A:B,2,FALSE),"Exclude")</f>
        <v>Exclude</v>
      </c>
      <c r="P344" s="422">
        <f t="shared" si="55"/>
        <v>45999.379861111112</v>
      </c>
      <c r="Q344">
        <f t="shared" si="56"/>
        <v>1</v>
      </c>
      <c r="R344">
        <f t="shared" si="57"/>
        <v>0</v>
      </c>
      <c r="S344">
        <f>IF(
AND($Q344=1,$M344&lt;&gt;""),
IF(
COUNTIFS(
$M$3:$M344,$M344,
$O$3:$O344,$O344,
$Q$3:$Q344,1,
$P$3:$P344,"&gt;="&amp;EOMONTH($P344,-1)+1,
$P$3:$P344,"&lt;"&amp;EOMONTH($P344,0)+1
)=1,
1,
0),
0)</f>
        <v>1</v>
      </c>
      <c r="T344">
        <f>IF(AND($R344=1,$M344&lt;&gt;""),IF(COUNTIFS($M$3:$M344,$M344,$O$3:$O344,$O344,$R$3:$R344,1,$P$3:$P344,"&gt;="&amp;EOMONTH($P344,-1)+1,$P$3:$P344,"&lt;"&amp;EOMONTH($P344,0)+1)=1,1,0),0)</f>
        <v>0</v>
      </c>
      <c r="U344">
        <f t="shared" si="58"/>
        <v>0</v>
      </c>
      <c r="V344">
        <f>IF(AND($U344=1,$M344&lt;&gt;""),IF(COUNTIFS($M$3:$M344,$M344,$O$3:$O344,$O344,$U$3:$U344,1,$P$3:$P344,"&gt;="&amp;EOMONTH($P344,-1)+1,$P$3:$P344,"&lt;"&amp;EOMONTH($P344,0)+1)=1,1,0),0)</f>
        <v>0</v>
      </c>
      <c r="W344" s="444">
        <f ca="1">TODAY()-Table1[[#This Row],[Change Date]]</f>
        <v>258.6201388888876</v>
      </c>
      <c r="X344" s="422">
        <f t="shared" si="59"/>
        <v>46059.504861111112</v>
      </c>
      <c r="Y344" s="476">
        <f ca="1">IF(Table1[[#This Row],[Next Stage Date]]&lt;&gt;"",Table1[[#This Row],[Next Stage Date]]-Table1[[#This Row],[Change Date]],TODAY()-Table1[[#This Row],[Change Date]])</f>
        <v>60.125</v>
      </c>
      <c r="Z344" s="476">
        <f t="shared" si="60"/>
        <v>0</v>
      </c>
      <c r="AA344" s="422">
        <f t="shared" si="61"/>
        <v>46099.438194444447</v>
      </c>
      <c r="AB344" s="422">
        <f t="shared" si="62"/>
        <v>45999.379861111112</v>
      </c>
      <c r="AC344" s="476">
        <f t="shared" si="63"/>
        <v>251.3798611111124</v>
      </c>
      <c r="AD344" s="476">
        <f t="shared" si="64"/>
        <v>100.0583333333343</v>
      </c>
      <c r="AE344" s="476">
        <f t="shared" si="65"/>
        <v>351.43819444444671</v>
      </c>
      <c r="AF344" s="476" t="b">
        <f>IFERROR(_xlfn.XLOOKUP(Table1[[#This Row],[Opportunity ID]],'Aging Detail'!$H$14:$H$20,'Aging Detail'!$F$14:$F$20),TRUE)</f>
        <v>1</v>
      </c>
    </row>
    <row r="345" spans="1:32">
      <c r="A345" t="s">
        <v>1461</v>
      </c>
      <c r="B345" t="s">
        <v>526</v>
      </c>
      <c r="C345" t="s">
        <v>1469</v>
      </c>
      <c r="D345" t="s">
        <v>2417</v>
      </c>
      <c r="E345" t="s">
        <v>2418</v>
      </c>
      <c r="F345" t="s">
        <v>1484</v>
      </c>
      <c r="I345" s="422">
        <v>45210</v>
      </c>
      <c r="J345" s="422">
        <v>46022</v>
      </c>
      <c r="L345">
        <v>0</v>
      </c>
      <c r="M345" t="s">
        <v>2419</v>
      </c>
      <c r="N345" t="s">
        <v>1532</v>
      </c>
      <c r="O345" t="str">
        <f>_xlfn.IFNA(VLOOKUP(Table1[[#This Row],[Lead Source]],'helper tab'!A:B,2,FALSE),"Exclude")</f>
        <v>Exclude</v>
      </c>
      <c r="P345" s="422">
        <f t="shared" si="55"/>
        <v>45999.295138888891</v>
      </c>
      <c r="Q345">
        <f t="shared" si="56"/>
        <v>0</v>
      </c>
      <c r="R345">
        <f t="shared" si="57"/>
        <v>0</v>
      </c>
      <c r="S345">
        <f>IF(
AND($Q345=1,$M345&lt;&gt;""),
IF(
COUNTIFS(
$M$3:$M345,$M345,
$O$3:$O345,$O345,
$Q$3:$Q345,1,
$P$3:$P345,"&gt;="&amp;EOMONTH($P345,-1)+1,
$P$3:$P345,"&lt;"&amp;EOMONTH($P345,0)+1
)=1,
1,
0),
0)</f>
        <v>0</v>
      </c>
      <c r="T345">
        <f>IF(AND($R345=1,$M345&lt;&gt;""),IF(COUNTIFS($M$3:$M345,$M345,$O$3:$O345,$O345,$R$3:$R345,1,$P$3:$P345,"&gt;="&amp;EOMONTH($P345,-1)+1,$P$3:$P345,"&lt;"&amp;EOMONTH($P345,0)+1)=1,1,0),0)</f>
        <v>0</v>
      </c>
      <c r="U345">
        <f t="shared" si="58"/>
        <v>1</v>
      </c>
      <c r="V345">
        <f>IF(AND($U345=1,$M345&lt;&gt;""),IF(COUNTIFS($M$3:$M345,$M345,$O$3:$O345,$O345,$U$3:$U345,1,$P$3:$P345,"&gt;="&amp;EOMONTH($P345,-1)+1,$P$3:$P345,"&lt;"&amp;EOMONTH($P345,0)+1)=1,1,0),0)</f>
        <v>1</v>
      </c>
      <c r="W345" s="444">
        <f ca="1">TODAY()-Table1[[#This Row],[Change Date]]</f>
        <v>258.70486111110949</v>
      </c>
      <c r="X345" s="422" t="str">
        <f t="shared" si="59"/>
        <v/>
      </c>
      <c r="Y345" s="476">
        <f ca="1">IF(Table1[[#This Row],[Next Stage Date]]&lt;&gt;"",Table1[[#This Row],[Next Stage Date]]-Table1[[#This Row],[Change Date]],TODAY()-Table1[[#This Row],[Change Date]])</f>
        <v>258.70486111110949</v>
      </c>
      <c r="Z345" s="476">
        <f t="shared" si="60"/>
        <v>1</v>
      </c>
      <c r="AA345" s="422" t="str">
        <f t="shared" si="61"/>
        <v/>
      </c>
      <c r="AB345" s="422" t="str">
        <f t="shared" si="62"/>
        <v/>
      </c>
      <c r="AC345" s="476" t="str">
        <f t="shared" si="63"/>
        <v/>
      </c>
      <c r="AD345" s="476" t="str">
        <f t="shared" si="64"/>
        <v/>
      </c>
      <c r="AE345" s="476" t="str">
        <f t="shared" si="65"/>
        <v/>
      </c>
      <c r="AF345" s="476" t="b">
        <f>IFERROR(_xlfn.XLOOKUP(Table1[[#This Row],[Opportunity ID]],'Aging Detail'!$H$14:$H$20,'Aging Detail'!$F$14:$F$20),TRUE)</f>
        <v>1</v>
      </c>
    </row>
    <row r="346" spans="1:32">
      <c r="A346" t="s">
        <v>1461</v>
      </c>
      <c r="B346" t="s">
        <v>462</v>
      </c>
      <c r="C346" t="s">
        <v>1462</v>
      </c>
      <c r="D346" t="s">
        <v>2420</v>
      </c>
      <c r="E346" t="s">
        <v>2421</v>
      </c>
      <c r="F346" t="s">
        <v>1465</v>
      </c>
      <c r="I346" s="422">
        <v>45691</v>
      </c>
      <c r="J346" s="422">
        <v>46530</v>
      </c>
      <c r="K346">
        <v>276948.8</v>
      </c>
      <c r="L346">
        <v>136948.79999999999</v>
      </c>
      <c r="M346" t="s">
        <v>2422</v>
      </c>
      <c r="N346" t="s">
        <v>2423</v>
      </c>
      <c r="O346" t="str">
        <f>_xlfn.IFNA(VLOOKUP(Table1[[#This Row],[Lead Source]],'helper tab'!A:B,2,FALSE),"Exclude")</f>
        <v>Exclude</v>
      </c>
      <c r="P346" s="422">
        <f t="shared" si="55"/>
        <v>45999.228472222225</v>
      </c>
      <c r="Q346">
        <f t="shared" si="56"/>
        <v>0</v>
      </c>
      <c r="R346">
        <f t="shared" si="57"/>
        <v>0</v>
      </c>
      <c r="S346">
        <f>IF(
AND($Q346=1,$M346&lt;&gt;""),
IF(
COUNTIFS(
$M$3:$M346,$M346,
$O$3:$O346,$O346,
$Q$3:$Q346,1,
$P$3:$P346,"&gt;="&amp;EOMONTH($P346,-1)+1,
$P$3:$P346,"&lt;"&amp;EOMONTH($P346,0)+1
)=1,
1,
0),
0)</f>
        <v>0</v>
      </c>
      <c r="T346">
        <f>IF(AND($R346=1,$M346&lt;&gt;""),IF(COUNTIFS($M$3:$M346,$M346,$O$3:$O346,$O346,$R$3:$R346,1,$P$3:$P346,"&gt;="&amp;EOMONTH($P346,-1)+1,$P$3:$P346,"&lt;"&amp;EOMONTH($P346,0)+1)=1,1,0),0)</f>
        <v>0</v>
      </c>
      <c r="U346">
        <f t="shared" si="58"/>
        <v>0</v>
      </c>
      <c r="V346">
        <f>IF(AND($U346=1,$M346&lt;&gt;""),IF(COUNTIFS($M$3:$M346,$M346,$O$3:$O346,$O346,$U$3:$U346,1,$P$3:$P346,"&gt;="&amp;EOMONTH($P346,-1)+1,$P$3:$P346,"&lt;"&amp;EOMONTH($P346,0)+1)=1,1,0),0)</f>
        <v>0</v>
      </c>
      <c r="W346" s="444">
        <f ca="1">TODAY()-Table1[[#This Row],[Change Date]]</f>
        <v>258.77152777777519</v>
      </c>
      <c r="X346" s="422" t="str">
        <f t="shared" si="59"/>
        <v/>
      </c>
      <c r="Y346" s="476">
        <f ca="1">IF(Table1[[#This Row],[Next Stage Date]]&lt;&gt;"",Table1[[#This Row],[Next Stage Date]]-Table1[[#This Row],[Change Date]],TODAY()-Table1[[#This Row],[Change Date]])</f>
        <v>258.77152777777519</v>
      </c>
      <c r="Z346" s="476">
        <f t="shared" si="60"/>
        <v>1</v>
      </c>
      <c r="AA346" s="422" t="str">
        <f t="shared" si="61"/>
        <v/>
      </c>
      <c r="AB346" s="422">
        <f t="shared" si="62"/>
        <v>45779.170138888891</v>
      </c>
      <c r="AC346" s="476">
        <f t="shared" si="63"/>
        <v>88.170138888890506</v>
      </c>
      <c r="AD346" s="476" t="str">
        <f t="shared" si="64"/>
        <v/>
      </c>
      <c r="AE346" s="476" t="str">
        <f t="shared" si="65"/>
        <v/>
      </c>
      <c r="AF346" s="476" t="b">
        <f>IFERROR(_xlfn.XLOOKUP(Table1[[#This Row],[Opportunity ID]],'Aging Detail'!$H$14:$H$20,'Aging Detail'!$F$14:$F$20),TRUE)</f>
        <v>1</v>
      </c>
    </row>
    <row r="347" spans="1:32">
      <c r="A347" t="s">
        <v>1461</v>
      </c>
      <c r="B347" t="s">
        <v>526</v>
      </c>
      <c r="C347" t="s">
        <v>563</v>
      </c>
      <c r="D347" t="s">
        <v>2424</v>
      </c>
      <c r="E347" t="s">
        <v>2425</v>
      </c>
      <c r="F347" t="s">
        <v>148</v>
      </c>
      <c r="H347" t="s">
        <v>169</v>
      </c>
      <c r="I347" s="422">
        <v>45931</v>
      </c>
      <c r="J347" s="422">
        <v>45996</v>
      </c>
      <c r="K347">
        <v>470640</v>
      </c>
      <c r="L347">
        <v>470640</v>
      </c>
      <c r="M347" t="s">
        <v>2426</v>
      </c>
      <c r="N347" t="s">
        <v>1667</v>
      </c>
      <c r="O347" t="str">
        <f>_xlfn.IFNA(VLOOKUP(Table1[[#This Row],[Lead Source]],'helper tab'!A:B,2,FALSE),"Exclude")</f>
        <v>Alliances</v>
      </c>
      <c r="P347" s="422">
        <f t="shared" si="55"/>
        <v>45996.431250000001</v>
      </c>
      <c r="Q347">
        <f t="shared" si="56"/>
        <v>0</v>
      </c>
      <c r="R347">
        <f t="shared" si="57"/>
        <v>1</v>
      </c>
      <c r="S347">
        <f>IF(
AND($Q347=1,$M347&lt;&gt;""),
IF(
COUNTIFS(
$M$3:$M347,$M347,
$O$3:$O347,$O347,
$Q$3:$Q347,1,
$P$3:$P347,"&gt;="&amp;EOMONTH($P347,-1)+1,
$P$3:$P347,"&lt;"&amp;EOMONTH($P347,0)+1
)=1,
1,
0),
0)</f>
        <v>0</v>
      </c>
      <c r="T347">
        <f>IF(AND($R347=1,$M347&lt;&gt;""),IF(COUNTIFS($M$3:$M347,$M347,$O$3:$O347,$O347,$R$3:$R347,1,$P$3:$P347,"&gt;="&amp;EOMONTH($P347,-1)+1,$P$3:$P347,"&lt;"&amp;EOMONTH($P347,0)+1)=1,1,0),0)</f>
        <v>1</v>
      </c>
      <c r="U347">
        <f t="shared" si="58"/>
        <v>0</v>
      </c>
      <c r="V347">
        <f>IF(AND($U347=1,$M347&lt;&gt;""),IF(COUNTIFS($M$3:$M347,$M347,$O$3:$O347,$O347,$U$3:$U347,1,$P$3:$P347,"&gt;="&amp;EOMONTH($P347,-1)+1,$P$3:$P347,"&lt;"&amp;EOMONTH($P347,0)+1)=1,1,0),0)</f>
        <v>0</v>
      </c>
      <c r="W347" s="444">
        <f ca="1">TODAY()-Table1[[#This Row],[Change Date]]</f>
        <v>261.56874999999854</v>
      </c>
      <c r="X347" s="422" t="str">
        <f t="shared" si="59"/>
        <v/>
      </c>
      <c r="Y347" s="476">
        <f ca="1">IF(Table1[[#This Row],[Next Stage Date]]&lt;&gt;"",Table1[[#This Row],[Next Stage Date]]-Table1[[#This Row],[Change Date]],TODAY()-Table1[[#This Row],[Change Date]])</f>
        <v>261.56874999999854</v>
      </c>
      <c r="Z347" s="476">
        <f t="shared" si="60"/>
        <v>1</v>
      </c>
      <c r="AA347" s="422">
        <f t="shared" si="61"/>
        <v>45996.431250000001</v>
      </c>
      <c r="AB347" s="422">
        <f t="shared" si="62"/>
        <v>45932.522916666669</v>
      </c>
      <c r="AC347" s="476">
        <f t="shared" si="63"/>
        <v>1.5229166666686069</v>
      </c>
      <c r="AD347" s="476">
        <f t="shared" si="64"/>
        <v>63.908333333332848</v>
      </c>
      <c r="AE347" s="476">
        <f t="shared" si="65"/>
        <v>65.431250000001455</v>
      </c>
      <c r="AF347" s="476" t="b">
        <f>IFERROR(_xlfn.XLOOKUP(Table1[[#This Row],[Opportunity ID]],'Aging Detail'!$H$14:$H$20,'Aging Detail'!$F$14:$F$20),TRUE)</f>
        <v>1</v>
      </c>
    </row>
    <row r="348" spans="1:32">
      <c r="A348" t="s">
        <v>1461</v>
      </c>
      <c r="B348" t="s">
        <v>338</v>
      </c>
      <c r="C348" t="s">
        <v>1469</v>
      </c>
      <c r="D348" t="s">
        <v>2427</v>
      </c>
      <c r="E348" t="s">
        <v>1948</v>
      </c>
      <c r="F348" t="s">
        <v>202</v>
      </c>
      <c r="I348" s="422">
        <v>45960</v>
      </c>
      <c r="J348" s="422">
        <v>46161</v>
      </c>
      <c r="K348">
        <v>318900</v>
      </c>
      <c r="L348">
        <v>0</v>
      </c>
      <c r="M348" t="s">
        <v>1949</v>
      </c>
      <c r="N348" t="s">
        <v>1831</v>
      </c>
      <c r="O348" t="str">
        <f>_xlfn.IFNA(VLOOKUP(Table1[[#This Row],[Lead Source]],'helper tab'!A:B,2,FALSE),"Exclude")</f>
        <v>Digital</v>
      </c>
      <c r="P348" s="422">
        <f t="shared" si="55"/>
        <v>45996.321527777778</v>
      </c>
      <c r="Q348">
        <f t="shared" si="56"/>
        <v>0</v>
      </c>
      <c r="R348">
        <f t="shared" si="57"/>
        <v>0</v>
      </c>
      <c r="S348">
        <f>IF(
AND($Q348=1,$M348&lt;&gt;""),
IF(
COUNTIFS(
$M$3:$M348,$M348,
$O$3:$O348,$O348,
$Q$3:$Q348,1,
$P$3:$P348,"&gt;="&amp;EOMONTH($P348,-1)+1,
$P$3:$P348,"&lt;"&amp;EOMONTH($P348,0)+1
)=1,
1,
0),
0)</f>
        <v>0</v>
      </c>
      <c r="T348">
        <f>IF(AND($R348=1,$M348&lt;&gt;""),IF(COUNTIFS($M$3:$M348,$M348,$O$3:$O348,$O348,$R$3:$R348,1,$P$3:$P348,"&gt;="&amp;EOMONTH($P348,-1)+1,$P$3:$P348,"&lt;"&amp;EOMONTH($P348,0)+1)=1,1,0),0)</f>
        <v>0</v>
      </c>
      <c r="U348">
        <f t="shared" si="58"/>
        <v>1</v>
      </c>
      <c r="V348">
        <f>IF(AND($U348=1,$M348&lt;&gt;""),IF(COUNTIFS($M$3:$M348,$M348,$O$3:$O348,$O348,$U$3:$U348,1,$P$3:$P348,"&gt;="&amp;EOMONTH($P348,-1)+1,$P$3:$P348,"&lt;"&amp;EOMONTH($P348,0)+1)=1,1,0),0)</f>
        <v>1</v>
      </c>
      <c r="W348" s="444">
        <f ca="1">TODAY()-Table1[[#This Row],[Change Date]]</f>
        <v>261.6784722222219</v>
      </c>
      <c r="X348" s="422">
        <f t="shared" si="59"/>
        <v>46125.432638888888</v>
      </c>
      <c r="Y348" s="476">
        <f ca="1">IF(Table1[[#This Row],[Next Stage Date]]&lt;&gt;"",Table1[[#This Row],[Next Stage Date]]-Table1[[#This Row],[Change Date]],TODAY()-Table1[[#This Row],[Change Date]])</f>
        <v>129.11111111110949</v>
      </c>
      <c r="Z348" s="476">
        <f t="shared" si="60"/>
        <v>0</v>
      </c>
      <c r="AA348" s="422">
        <f t="shared" si="61"/>
        <v>46161.386805555558</v>
      </c>
      <c r="AB348" s="422">
        <f t="shared" si="62"/>
        <v>46125.432638888888</v>
      </c>
      <c r="AC348" s="476">
        <f t="shared" si="63"/>
        <v>165.4326388888876</v>
      </c>
      <c r="AD348" s="476">
        <f t="shared" si="64"/>
        <v>35.954166666670062</v>
      </c>
      <c r="AE348" s="476">
        <f t="shared" si="65"/>
        <v>201.38680555555766</v>
      </c>
      <c r="AF348" s="476" t="b">
        <f>IFERROR(_xlfn.XLOOKUP(Table1[[#This Row],[Opportunity ID]],'Aging Detail'!$H$14:$H$20,'Aging Detail'!$F$14:$F$20),TRUE)</f>
        <v>1</v>
      </c>
    </row>
    <row r="349" spans="1:32">
      <c r="A349" t="s">
        <v>1461</v>
      </c>
      <c r="B349" t="s">
        <v>408</v>
      </c>
      <c r="C349" t="s">
        <v>1469</v>
      </c>
      <c r="D349" t="s">
        <v>2428</v>
      </c>
      <c r="E349" t="s">
        <v>2429</v>
      </c>
      <c r="F349" t="s">
        <v>148</v>
      </c>
      <c r="H349" t="s">
        <v>155</v>
      </c>
      <c r="I349" s="422">
        <v>45600</v>
      </c>
      <c r="J349" s="422">
        <v>46265</v>
      </c>
      <c r="K349">
        <v>493320</v>
      </c>
      <c r="L349">
        <v>493320</v>
      </c>
      <c r="M349" t="s">
        <v>2430</v>
      </c>
      <c r="N349" t="s">
        <v>1758</v>
      </c>
      <c r="O349" t="str">
        <f>_xlfn.IFNA(VLOOKUP(Table1[[#This Row],[Lead Source]],'helper tab'!A:B,2,FALSE),"Exclude")</f>
        <v>Alliances</v>
      </c>
      <c r="P349" s="422">
        <f t="shared" si="55"/>
        <v>45995.34097222222</v>
      </c>
      <c r="Q349">
        <f t="shared" si="56"/>
        <v>0</v>
      </c>
      <c r="R349">
        <f t="shared" si="57"/>
        <v>0</v>
      </c>
      <c r="S349">
        <f>IF(
AND($Q349=1,$M349&lt;&gt;""),
IF(
COUNTIFS(
$M$3:$M349,$M349,
$O$3:$O349,$O349,
$Q$3:$Q349,1,
$P$3:$P349,"&gt;="&amp;EOMONTH($P349,-1)+1,
$P$3:$P349,"&lt;"&amp;EOMONTH($P349,0)+1
)=1,
1,
0),
0)</f>
        <v>0</v>
      </c>
      <c r="T349">
        <f>IF(AND($R349=1,$M349&lt;&gt;""),IF(COUNTIFS($M$3:$M349,$M349,$O$3:$O349,$O349,$R$3:$R349,1,$P$3:$P349,"&gt;="&amp;EOMONTH($P349,-1)+1,$P$3:$P349,"&lt;"&amp;EOMONTH($P349,0)+1)=1,1,0),0)</f>
        <v>0</v>
      </c>
      <c r="U349">
        <f t="shared" si="58"/>
        <v>1</v>
      </c>
      <c r="V349">
        <f>IF(AND($U349=1,$M349&lt;&gt;""),IF(COUNTIFS($M$3:$M349,$M349,$O$3:$O349,$O349,$U$3:$U349,1,$P$3:$P349,"&gt;="&amp;EOMONTH($P349,-1)+1,$P$3:$P349,"&lt;"&amp;EOMONTH($P349,0)+1)=1,1,0),0)</f>
        <v>1</v>
      </c>
      <c r="W349" s="444">
        <f ca="1">TODAY()-Table1[[#This Row],[Change Date]]</f>
        <v>262.65902777777956</v>
      </c>
      <c r="X349" s="422" t="str">
        <f t="shared" si="59"/>
        <v/>
      </c>
      <c r="Y349" s="476">
        <f ca="1">IF(Table1[[#This Row],[Next Stage Date]]&lt;&gt;"",Table1[[#This Row],[Next Stage Date]]-Table1[[#This Row],[Change Date]],TODAY()-Table1[[#This Row],[Change Date]])</f>
        <v>262.65902777777956</v>
      </c>
      <c r="Z349" s="476">
        <f t="shared" si="60"/>
        <v>1</v>
      </c>
      <c r="AA349" s="422" t="str">
        <f t="shared" si="61"/>
        <v/>
      </c>
      <c r="AB349" s="422" t="str">
        <f t="shared" si="62"/>
        <v/>
      </c>
      <c r="AC349" s="476" t="str">
        <f t="shared" si="63"/>
        <v/>
      </c>
      <c r="AD349" s="476" t="str">
        <f t="shared" si="64"/>
        <v/>
      </c>
      <c r="AE349" s="476" t="str">
        <f t="shared" si="65"/>
        <v/>
      </c>
      <c r="AF349" s="476" t="b">
        <f>IFERROR(_xlfn.XLOOKUP(Table1[[#This Row],[Opportunity ID]],'Aging Detail'!$H$14:$H$20,'Aging Detail'!$F$14:$F$20),TRUE)</f>
        <v>1</v>
      </c>
    </row>
    <row r="350" spans="1:32">
      <c r="A350" t="s">
        <v>1461</v>
      </c>
      <c r="B350" t="s">
        <v>408</v>
      </c>
      <c r="C350" t="s">
        <v>1469</v>
      </c>
      <c r="D350" t="s">
        <v>2431</v>
      </c>
      <c r="E350" t="s">
        <v>2432</v>
      </c>
      <c r="F350" t="s">
        <v>148</v>
      </c>
      <c r="I350" s="422">
        <v>45394</v>
      </c>
      <c r="J350" s="422">
        <v>46112</v>
      </c>
      <c r="K350">
        <v>452400</v>
      </c>
      <c r="L350">
        <v>452400</v>
      </c>
      <c r="M350" t="s">
        <v>2433</v>
      </c>
      <c r="N350" t="s">
        <v>1758</v>
      </c>
      <c r="O350" t="str">
        <f>_xlfn.IFNA(VLOOKUP(Table1[[#This Row],[Lead Source]],'helper tab'!A:B,2,FALSE),"Exclude")</f>
        <v>Alliances</v>
      </c>
      <c r="P350" s="422">
        <f t="shared" si="55"/>
        <v>45995.333333333336</v>
      </c>
      <c r="Q350">
        <f t="shared" si="56"/>
        <v>0</v>
      </c>
      <c r="R350">
        <f t="shared" si="57"/>
        <v>0</v>
      </c>
      <c r="S350">
        <f>IF(
AND($Q350=1,$M350&lt;&gt;""),
IF(
COUNTIFS(
$M$3:$M350,$M350,
$O$3:$O350,$O350,
$Q$3:$Q350,1,
$P$3:$P350,"&gt;="&amp;EOMONTH($P350,-1)+1,
$P$3:$P350,"&lt;"&amp;EOMONTH($P350,0)+1
)=1,
1,
0),
0)</f>
        <v>0</v>
      </c>
      <c r="T350">
        <f>IF(AND($R350=1,$M350&lt;&gt;""),IF(COUNTIFS($M$3:$M350,$M350,$O$3:$O350,$O350,$R$3:$R350,1,$P$3:$P350,"&gt;="&amp;EOMONTH($P350,-1)+1,$P$3:$P350,"&lt;"&amp;EOMONTH($P350,0)+1)=1,1,0),0)</f>
        <v>0</v>
      </c>
      <c r="U350">
        <f t="shared" si="58"/>
        <v>1</v>
      </c>
      <c r="V350">
        <f>IF(AND($U350=1,$M350&lt;&gt;""),IF(COUNTIFS($M$3:$M350,$M350,$O$3:$O350,$O350,$U$3:$U350,1,$P$3:$P350,"&gt;="&amp;EOMONTH($P350,-1)+1,$P$3:$P350,"&lt;"&amp;EOMONTH($P350,0)+1)=1,1,0),0)</f>
        <v>1</v>
      </c>
      <c r="W350" s="444">
        <f ca="1">TODAY()-Table1[[#This Row],[Change Date]]</f>
        <v>262.66666666666424</v>
      </c>
      <c r="X350" s="422" t="str">
        <f t="shared" si="59"/>
        <v/>
      </c>
      <c r="Y350" s="476">
        <f ca="1">IF(Table1[[#This Row],[Next Stage Date]]&lt;&gt;"",Table1[[#This Row],[Next Stage Date]]-Table1[[#This Row],[Change Date]],TODAY()-Table1[[#This Row],[Change Date]])</f>
        <v>262.66666666666424</v>
      </c>
      <c r="Z350" s="476">
        <f t="shared" si="60"/>
        <v>1</v>
      </c>
      <c r="AA350" s="422" t="str">
        <f t="shared" si="61"/>
        <v/>
      </c>
      <c r="AB350" s="422" t="str">
        <f t="shared" si="62"/>
        <v/>
      </c>
      <c r="AC350" s="476" t="str">
        <f t="shared" si="63"/>
        <v/>
      </c>
      <c r="AD350" s="476" t="str">
        <f t="shared" si="64"/>
        <v/>
      </c>
      <c r="AE350" s="476" t="str">
        <f t="shared" si="65"/>
        <v/>
      </c>
      <c r="AF350" s="476" t="b">
        <f>IFERROR(_xlfn.XLOOKUP(Table1[[#This Row],[Opportunity ID]],'Aging Detail'!$H$14:$H$20,'Aging Detail'!$F$14:$F$20),TRUE)</f>
        <v>1</v>
      </c>
    </row>
    <row r="351" spans="1:32">
      <c r="A351" t="s">
        <v>1461</v>
      </c>
      <c r="B351" t="s">
        <v>338</v>
      </c>
      <c r="C351" t="s">
        <v>1469</v>
      </c>
      <c r="D351" t="s">
        <v>2434</v>
      </c>
      <c r="E351" t="s">
        <v>2435</v>
      </c>
      <c r="F351" t="s">
        <v>1486</v>
      </c>
      <c r="I351" s="422">
        <v>44929</v>
      </c>
      <c r="J351" s="422">
        <v>46112</v>
      </c>
      <c r="K351">
        <v>625120</v>
      </c>
      <c r="L351">
        <v>285120</v>
      </c>
      <c r="M351" t="s">
        <v>2436</v>
      </c>
      <c r="N351" t="s">
        <v>2437</v>
      </c>
      <c r="O351" t="str">
        <f>_xlfn.IFNA(VLOOKUP(Table1[[#This Row],[Lead Source]],'helper tab'!A:B,2,FALSE),"Exclude")</f>
        <v>Exclude</v>
      </c>
      <c r="P351" s="422">
        <f t="shared" si="55"/>
        <v>45995.331250000003</v>
      </c>
      <c r="Q351">
        <f t="shared" si="56"/>
        <v>0</v>
      </c>
      <c r="R351">
        <f t="shared" si="57"/>
        <v>0</v>
      </c>
      <c r="S351">
        <f>IF(
AND($Q351=1,$M351&lt;&gt;""),
IF(
COUNTIFS(
$M$3:$M351,$M351,
$O$3:$O351,$O351,
$Q$3:$Q351,1,
$P$3:$P351,"&gt;="&amp;EOMONTH($P351,-1)+1,
$P$3:$P351,"&lt;"&amp;EOMONTH($P351,0)+1
)=1,
1,
0),
0)</f>
        <v>0</v>
      </c>
      <c r="T351">
        <f>IF(AND($R351=1,$M351&lt;&gt;""),IF(COUNTIFS($M$3:$M351,$M351,$O$3:$O351,$O351,$R$3:$R351,1,$P$3:$P351,"&gt;="&amp;EOMONTH($P351,-1)+1,$P$3:$P351,"&lt;"&amp;EOMONTH($P351,0)+1)=1,1,0),0)</f>
        <v>0</v>
      </c>
      <c r="U351">
        <f t="shared" si="58"/>
        <v>1</v>
      </c>
      <c r="V351">
        <f>IF(AND($U351=1,$M351&lt;&gt;""),IF(COUNTIFS($M$3:$M351,$M351,$O$3:$O351,$O351,$U$3:$U351,1,$P$3:$P351,"&gt;="&amp;EOMONTH($P351,-1)+1,$P$3:$P351,"&lt;"&amp;EOMONTH($P351,0)+1)=1,1,0),0)</f>
        <v>1</v>
      </c>
      <c r="W351" s="444">
        <f ca="1">TODAY()-Table1[[#This Row],[Change Date]]</f>
        <v>262.66874999999709</v>
      </c>
      <c r="X351" s="422" t="str">
        <f t="shared" si="59"/>
        <v/>
      </c>
      <c r="Y351" s="476">
        <f ca="1">IF(Table1[[#This Row],[Next Stage Date]]&lt;&gt;"",Table1[[#This Row],[Next Stage Date]]-Table1[[#This Row],[Change Date]],TODAY()-Table1[[#This Row],[Change Date]])</f>
        <v>262.66874999999709</v>
      </c>
      <c r="Z351" s="476">
        <f t="shared" si="60"/>
        <v>1</v>
      </c>
      <c r="AA351" s="422" t="str">
        <f t="shared" si="61"/>
        <v/>
      </c>
      <c r="AB351" s="422" t="str">
        <f t="shared" si="62"/>
        <v/>
      </c>
      <c r="AC351" s="476" t="str">
        <f t="shared" si="63"/>
        <v/>
      </c>
      <c r="AD351" s="476" t="str">
        <f t="shared" si="64"/>
        <v/>
      </c>
      <c r="AE351" s="476" t="str">
        <f t="shared" si="65"/>
        <v/>
      </c>
      <c r="AF351" s="476" t="b">
        <f>IFERROR(_xlfn.XLOOKUP(Table1[[#This Row],[Opportunity ID]],'Aging Detail'!$H$14:$H$20,'Aging Detail'!$F$14:$F$20),TRUE)</f>
        <v>1</v>
      </c>
    </row>
    <row r="352" spans="1:32">
      <c r="A352" t="s">
        <v>1461</v>
      </c>
      <c r="B352" t="s">
        <v>1462</v>
      </c>
      <c r="C352" t="s">
        <v>1469</v>
      </c>
      <c r="D352" t="s">
        <v>2438</v>
      </c>
      <c r="E352" t="s">
        <v>2439</v>
      </c>
      <c r="F352" t="s">
        <v>1486</v>
      </c>
      <c r="I352" s="422">
        <v>45138</v>
      </c>
      <c r="J352" s="422">
        <v>46080</v>
      </c>
      <c r="K352">
        <v>50000</v>
      </c>
      <c r="L352">
        <v>50000</v>
      </c>
      <c r="M352" t="s">
        <v>2440</v>
      </c>
      <c r="N352" t="s">
        <v>2437</v>
      </c>
      <c r="O352" t="str">
        <f>_xlfn.IFNA(VLOOKUP(Table1[[#This Row],[Lead Source]],'helper tab'!A:B,2,FALSE),"Exclude")</f>
        <v>Exclude</v>
      </c>
      <c r="P352" s="422">
        <f t="shared" si="55"/>
        <v>45995.320833333331</v>
      </c>
      <c r="Q352">
        <f t="shared" si="56"/>
        <v>0</v>
      </c>
      <c r="R352">
        <f t="shared" si="57"/>
        <v>0</v>
      </c>
      <c r="S352">
        <f>IF(
AND($Q352=1,$M352&lt;&gt;""),
IF(
COUNTIFS(
$M$3:$M352,$M352,
$O$3:$O352,$O352,
$Q$3:$Q352,1,
$P$3:$P352,"&gt;="&amp;EOMONTH($P352,-1)+1,
$P$3:$P352,"&lt;"&amp;EOMONTH($P352,0)+1
)=1,
1,
0),
0)</f>
        <v>0</v>
      </c>
      <c r="T352">
        <f>IF(AND($R352=1,$M352&lt;&gt;""),IF(COUNTIFS($M$3:$M352,$M352,$O$3:$O352,$O352,$R$3:$R352,1,$P$3:$P352,"&gt;="&amp;EOMONTH($P352,-1)+1,$P$3:$P352,"&lt;"&amp;EOMONTH($P352,0)+1)=1,1,0),0)</f>
        <v>0</v>
      </c>
      <c r="U352">
        <f t="shared" si="58"/>
        <v>1</v>
      </c>
      <c r="V352">
        <f>IF(AND($U352=1,$M352&lt;&gt;""),IF(COUNTIFS($M$3:$M352,$M352,$O$3:$O352,$O352,$U$3:$U352,1,$P$3:$P352,"&gt;="&amp;EOMONTH($P352,-1)+1,$P$3:$P352,"&lt;"&amp;EOMONTH($P352,0)+1)=1,1,0),0)</f>
        <v>1</v>
      </c>
      <c r="W352" s="444">
        <f ca="1">TODAY()-Table1[[#This Row],[Change Date]]</f>
        <v>262.67916666666861</v>
      </c>
      <c r="X352" s="422" t="str">
        <f t="shared" si="59"/>
        <v/>
      </c>
      <c r="Y352" s="476">
        <f ca="1">IF(Table1[[#This Row],[Next Stage Date]]&lt;&gt;"",Table1[[#This Row],[Next Stage Date]]-Table1[[#This Row],[Change Date]],TODAY()-Table1[[#This Row],[Change Date]])</f>
        <v>262.67916666666861</v>
      </c>
      <c r="Z352" s="476">
        <f t="shared" si="60"/>
        <v>1</v>
      </c>
      <c r="AA352" s="422" t="str">
        <f t="shared" si="61"/>
        <v/>
      </c>
      <c r="AB352" s="422" t="str">
        <f t="shared" si="62"/>
        <v/>
      </c>
      <c r="AC352" s="476" t="str">
        <f t="shared" si="63"/>
        <v/>
      </c>
      <c r="AD352" s="476" t="str">
        <f t="shared" si="64"/>
        <v/>
      </c>
      <c r="AE352" s="476" t="str">
        <f t="shared" si="65"/>
        <v/>
      </c>
      <c r="AF352" s="476" t="b">
        <f>IFERROR(_xlfn.XLOOKUP(Table1[[#This Row],[Opportunity ID]],'Aging Detail'!$H$14:$H$20,'Aging Detail'!$F$14:$F$20),TRUE)</f>
        <v>1</v>
      </c>
    </row>
    <row r="353" spans="1:32">
      <c r="A353" t="s">
        <v>1461</v>
      </c>
      <c r="B353" t="s">
        <v>408</v>
      </c>
      <c r="C353" t="s">
        <v>1469</v>
      </c>
      <c r="D353" t="s">
        <v>2441</v>
      </c>
      <c r="E353" t="s">
        <v>2442</v>
      </c>
      <c r="F353" t="s">
        <v>1485</v>
      </c>
      <c r="I353" s="422">
        <v>45168</v>
      </c>
      <c r="J353" s="422">
        <v>46052</v>
      </c>
      <c r="K353">
        <v>50000</v>
      </c>
      <c r="L353">
        <v>50000</v>
      </c>
      <c r="M353" t="s">
        <v>2443</v>
      </c>
      <c r="N353" t="s">
        <v>2444</v>
      </c>
      <c r="O353" t="str">
        <f>_xlfn.IFNA(VLOOKUP(Table1[[#This Row],[Lead Source]],'helper tab'!A:B,2,FALSE),"Exclude")</f>
        <v>Digital</v>
      </c>
      <c r="P353" s="422">
        <f t="shared" si="55"/>
        <v>45995.318749999999</v>
      </c>
      <c r="Q353">
        <f t="shared" si="56"/>
        <v>0</v>
      </c>
      <c r="R353">
        <f t="shared" si="57"/>
        <v>0</v>
      </c>
      <c r="S353">
        <f>IF(
AND($Q353=1,$M353&lt;&gt;""),
IF(
COUNTIFS(
$M$3:$M353,$M353,
$O$3:$O353,$O353,
$Q$3:$Q353,1,
$P$3:$P353,"&gt;="&amp;EOMONTH($P353,-1)+1,
$P$3:$P353,"&lt;"&amp;EOMONTH($P353,0)+1
)=1,
1,
0),
0)</f>
        <v>0</v>
      </c>
      <c r="T353">
        <f>IF(AND($R353=1,$M353&lt;&gt;""),IF(COUNTIFS($M$3:$M353,$M353,$O$3:$O353,$O353,$R$3:$R353,1,$P$3:$P353,"&gt;="&amp;EOMONTH($P353,-1)+1,$P$3:$P353,"&lt;"&amp;EOMONTH($P353,0)+1)=1,1,0),0)</f>
        <v>0</v>
      </c>
      <c r="U353">
        <f t="shared" si="58"/>
        <v>1</v>
      </c>
      <c r="V353">
        <f>IF(AND($U353=1,$M353&lt;&gt;""),IF(COUNTIFS($M$3:$M353,$M353,$O$3:$O353,$O353,$U$3:$U353,1,$P$3:$P353,"&gt;="&amp;EOMONTH($P353,-1)+1,$P$3:$P353,"&lt;"&amp;EOMONTH($P353,0)+1)=1,1,0),0)</f>
        <v>1</v>
      </c>
      <c r="W353" s="444">
        <f ca="1">TODAY()-Table1[[#This Row],[Change Date]]</f>
        <v>262.68125000000146</v>
      </c>
      <c r="X353" s="422" t="str">
        <f t="shared" si="59"/>
        <v/>
      </c>
      <c r="Y353" s="476">
        <f ca="1">IF(Table1[[#This Row],[Next Stage Date]]&lt;&gt;"",Table1[[#This Row],[Next Stage Date]]-Table1[[#This Row],[Change Date]],TODAY()-Table1[[#This Row],[Change Date]])</f>
        <v>262.68125000000146</v>
      </c>
      <c r="Z353" s="476">
        <f t="shared" si="60"/>
        <v>1</v>
      </c>
      <c r="AA353" s="422" t="str">
        <f t="shared" si="61"/>
        <v/>
      </c>
      <c r="AB353" s="422" t="str">
        <f t="shared" si="62"/>
        <v/>
      </c>
      <c r="AC353" s="476" t="str">
        <f t="shared" si="63"/>
        <v/>
      </c>
      <c r="AD353" s="476" t="str">
        <f t="shared" si="64"/>
        <v/>
      </c>
      <c r="AE353" s="476" t="str">
        <f t="shared" si="65"/>
        <v/>
      </c>
      <c r="AF353" s="476" t="b">
        <f>IFERROR(_xlfn.XLOOKUP(Table1[[#This Row],[Opportunity ID]],'Aging Detail'!$H$14:$H$20,'Aging Detail'!$F$14:$F$20),TRUE)</f>
        <v>1</v>
      </c>
    </row>
    <row r="354" spans="1:32">
      <c r="A354" t="s">
        <v>1461</v>
      </c>
      <c r="B354" t="s">
        <v>1462</v>
      </c>
      <c r="C354" t="s">
        <v>1469</v>
      </c>
      <c r="D354" t="s">
        <v>2445</v>
      </c>
      <c r="E354" t="s">
        <v>2446</v>
      </c>
      <c r="F354" t="s">
        <v>148</v>
      </c>
      <c r="G354" t="s">
        <v>1562</v>
      </c>
      <c r="H354" t="s">
        <v>2447</v>
      </c>
      <c r="I354" s="422">
        <v>45618</v>
      </c>
      <c r="J354" s="422">
        <v>46072</v>
      </c>
      <c r="K354">
        <v>248232</v>
      </c>
      <c r="L354">
        <v>83232</v>
      </c>
      <c r="M354" t="s">
        <v>2448</v>
      </c>
      <c r="N354" t="s">
        <v>2449</v>
      </c>
      <c r="O354" t="str">
        <f>_xlfn.IFNA(VLOOKUP(Table1[[#This Row],[Lead Source]],'helper tab'!A:B,2,FALSE),"Exclude")</f>
        <v>Alliances</v>
      </c>
      <c r="P354" s="422">
        <f t="shared" si="55"/>
        <v>45994.347222222219</v>
      </c>
      <c r="Q354">
        <f t="shared" si="56"/>
        <v>0</v>
      </c>
      <c r="R354">
        <f t="shared" si="57"/>
        <v>0</v>
      </c>
      <c r="S354">
        <f>IF(
AND($Q354=1,$M354&lt;&gt;""),
IF(
COUNTIFS(
$M$3:$M354,$M354,
$O$3:$O354,$O354,
$Q$3:$Q354,1,
$P$3:$P354,"&gt;="&amp;EOMONTH($P354,-1)+1,
$P$3:$P354,"&lt;"&amp;EOMONTH($P354,0)+1
)=1,
1,
0),
0)</f>
        <v>0</v>
      </c>
      <c r="T354">
        <f>IF(AND($R354=1,$M354&lt;&gt;""),IF(COUNTIFS($M$3:$M354,$M354,$O$3:$O354,$O354,$R$3:$R354,1,$P$3:$P354,"&gt;="&amp;EOMONTH($P354,-1)+1,$P$3:$P354,"&lt;"&amp;EOMONTH($P354,0)+1)=1,1,0),0)</f>
        <v>0</v>
      </c>
      <c r="U354">
        <f t="shared" si="58"/>
        <v>1</v>
      </c>
      <c r="V354">
        <f>IF(AND($U354=1,$M354&lt;&gt;""),IF(COUNTIFS($M$3:$M354,$M354,$O$3:$O354,$O354,$U$3:$U354,1,$P$3:$P354,"&gt;="&amp;EOMONTH($P354,-1)+1,$P$3:$P354,"&lt;"&amp;EOMONTH($P354,0)+1)=1,1,0),0)</f>
        <v>1</v>
      </c>
      <c r="W354" s="444">
        <f ca="1">TODAY()-Table1[[#This Row],[Change Date]]</f>
        <v>263.65277777778101</v>
      </c>
      <c r="X354" s="422" t="str">
        <f t="shared" si="59"/>
        <v/>
      </c>
      <c r="Y354" s="476">
        <f ca="1">IF(Table1[[#This Row],[Next Stage Date]]&lt;&gt;"",Table1[[#This Row],[Next Stage Date]]-Table1[[#This Row],[Change Date]],TODAY()-Table1[[#This Row],[Change Date]])</f>
        <v>263.65277777778101</v>
      </c>
      <c r="Z354" s="476">
        <f t="shared" si="60"/>
        <v>1</v>
      </c>
      <c r="AA354" s="422" t="str">
        <f t="shared" si="61"/>
        <v/>
      </c>
      <c r="AB354" s="422" t="str">
        <f t="shared" si="62"/>
        <v/>
      </c>
      <c r="AC354" s="476" t="str">
        <f t="shared" si="63"/>
        <v/>
      </c>
      <c r="AD354" s="476" t="str">
        <f t="shared" si="64"/>
        <v/>
      </c>
      <c r="AE354" s="476" t="str">
        <f t="shared" si="65"/>
        <v/>
      </c>
      <c r="AF354" s="476" t="b">
        <f>IFERROR(_xlfn.XLOOKUP(Table1[[#This Row],[Opportunity ID]],'Aging Detail'!$H$14:$H$20,'Aging Detail'!$F$14:$F$20),TRUE)</f>
        <v>1</v>
      </c>
    </row>
    <row r="355" spans="1:32">
      <c r="A355" t="s">
        <v>1461</v>
      </c>
      <c r="B355" t="s">
        <v>408</v>
      </c>
      <c r="C355" t="s">
        <v>1469</v>
      </c>
      <c r="D355" t="s">
        <v>2450</v>
      </c>
      <c r="E355" t="s">
        <v>2451</v>
      </c>
      <c r="F355" t="s">
        <v>1480</v>
      </c>
      <c r="G355" t="s">
        <v>1720</v>
      </c>
      <c r="I355" s="422">
        <v>45777</v>
      </c>
      <c r="J355" s="422">
        <v>45994</v>
      </c>
      <c r="K355">
        <v>219200</v>
      </c>
      <c r="L355">
        <v>79200</v>
      </c>
      <c r="M355" t="s">
        <v>2452</v>
      </c>
      <c r="N355" t="s">
        <v>2453</v>
      </c>
      <c r="O355" t="str">
        <f>_xlfn.IFNA(VLOOKUP(Table1[[#This Row],[Lead Source]],'helper tab'!A:B,2,FALSE),"Exclude")</f>
        <v>Digital</v>
      </c>
      <c r="P355" s="422">
        <f t="shared" si="55"/>
        <v>45994.311111111114</v>
      </c>
      <c r="Q355">
        <f t="shared" si="56"/>
        <v>0</v>
      </c>
      <c r="R355">
        <f t="shared" si="57"/>
        <v>0</v>
      </c>
      <c r="S355">
        <f>IF(
AND($Q355=1,$M355&lt;&gt;""),
IF(
COUNTIFS(
$M$3:$M355,$M355,
$O$3:$O355,$O355,
$Q$3:$Q355,1,
$P$3:$P355,"&gt;="&amp;EOMONTH($P355,-1)+1,
$P$3:$P355,"&lt;"&amp;EOMONTH($P355,0)+1
)=1,
1,
0),
0)</f>
        <v>0</v>
      </c>
      <c r="T355">
        <f>IF(AND($R355=1,$M355&lt;&gt;""),IF(COUNTIFS($M$3:$M355,$M355,$O$3:$O355,$O355,$R$3:$R355,1,$P$3:$P355,"&gt;="&amp;EOMONTH($P355,-1)+1,$P$3:$P355,"&lt;"&amp;EOMONTH($P355,0)+1)=1,1,0),0)</f>
        <v>0</v>
      </c>
      <c r="U355">
        <f t="shared" si="58"/>
        <v>1</v>
      </c>
      <c r="V355">
        <f>IF(AND($U355=1,$M355&lt;&gt;""),IF(COUNTIFS($M$3:$M355,$M355,$O$3:$O355,$O355,$U$3:$U355,1,$P$3:$P355,"&gt;="&amp;EOMONTH($P355,-1)+1,$P$3:$P355,"&lt;"&amp;EOMONTH($P355,0)+1)=1,1,0),0)</f>
        <v>1</v>
      </c>
      <c r="W355" s="444">
        <f ca="1">TODAY()-Table1[[#This Row],[Change Date]]</f>
        <v>263.68888888888614</v>
      </c>
      <c r="X355" s="422" t="str">
        <f t="shared" si="59"/>
        <v/>
      </c>
      <c r="Y355" s="476">
        <f ca="1">IF(Table1[[#This Row],[Next Stage Date]]&lt;&gt;"",Table1[[#This Row],[Next Stage Date]]-Table1[[#This Row],[Change Date]],TODAY()-Table1[[#This Row],[Change Date]])</f>
        <v>263.68888888888614</v>
      </c>
      <c r="Z355" s="476">
        <f t="shared" si="60"/>
        <v>1</v>
      </c>
      <c r="AA355" s="422" t="str">
        <f t="shared" si="61"/>
        <v/>
      </c>
      <c r="AB355" s="422" t="str">
        <f t="shared" si="62"/>
        <v/>
      </c>
      <c r="AC355" s="476" t="str">
        <f t="shared" si="63"/>
        <v/>
      </c>
      <c r="AD355" s="476" t="str">
        <f t="shared" si="64"/>
        <v/>
      </c>
      <c r="AE355" s="476" t="str">
        <f t="shared" si="65"/>
        <v/>
      </c>
      <c r="AF355" s="476" t="b">
        <f>IFERROR(_xlfn.XLOOKUP(Table1[[#This Row],[Opportunity ID]],'Aging Detail'!$H$14:$H$20,'Aging Detail'!$F$14:$F$20),TRUE)</f>
        <v>1</v>
      </c>
    </row>
    <row r="356" spans="1:32">
      <c r="A356" t="s">
        <v>1461</v>
      </c>
      <c r="B356" t="s">
        <v>462</v>
      </c>
      <c r="C356" t="s">
        <v>1469</v>
      </c>
      <c r="D356" t="s">
        <v>2454</v>
      </c>
      <c r="E356" t="s">
        <v>2455</v>
      </c>
      <c r="I356" s="422">
        <v>45880</v>
      </c>
      <c r="J356" s="422">
        <v>73050</v>
      </c>
      <c r="L356">
        <v>0</v>
      </c>
      <c r="M356" t="s">
        <v>2456</v>
      </c>
      <c r="N356" t="s">
        <v>2099</v>
      </c>
      <c r="O356" t="str">
        <f>_xlfn.IFNA(VLOOKUP(Table1[[#This Row],[Lead Source]],'helper tab'!A:B,2,FALSE),"Exclude")</f>
        <v>Exclude</v>
      </c>
      <c r="P356" s="422">
        <f t="shared" si="55"/>
        <v>45993.438194444447</v>
      </c>
      <c r="Q356">
        <f t="shared" si="56"/>
        <v>0</v>
      </c>
      <c r="R356">
        <f t="shared" si="57"/>
        <v>0</v>
      </c>
      <c r="S356">
        <f>IF(
AND($Q356=1,$M356&lt;&gt;""),
IF(
COUNTIFS(
$M$3:$M356,$M356,
$O$3:$O356,$O356,
$Q$3:$Q356,1,
$P$3:$P356,"&gt;="&amp;EOMONTH($P356,-1)+1,
$P$3:$P356,"&lt;"&amp;EOMONTH($P356,0)+1
)=1,
1,
0),
0)</f>
        <v>0</v>
      </c>
      <c r="T356">
        <f>IF(AND($R356=1,$M356&lt;&gt;""),IF(COUNTIFS($M$3:$M356,$M356,$O$3:$O356,$O356,$R$3:$R356,1,$P$3:$P356,"&gt;="&amp;EOMONTH($P356,-1)+1,$P$3:$P356,"&lt;"&amp;EOMONTH($P356,0)+1)=1,1,0),0)</f>
        <v>0</v>
      </c>
      <c r="U356">
        <f t="shared" si="58"/>
        <v>1</v>
      </c>
      <c r="V356">
        <f>IF(AND($U356=1,$M356&lt;&gt;""),IF(COUNTIFS($M$3:$M356,$M356,$O$3:$O356,$O356,$U$3:$U356,1,$P$3:$P356,"&gt;="&amp;EOMONTH($P356,-1)+1,$P$3:$P356,"&lt;"&amp;EOMONTH($P356,0)+1)=1,1,0),0)</f>
        <v>1</v>
      </c>
      <c r="W356" s="444">
        <f ca="1">TODAY()-Table1[[#This Row],[Change Date]]</f>
        <v>264.56180555555329</v>
      </c>
      <c r="X356" s="422" t="str">
        <f t="shared" si="59"/>
        <v/>
      </c>
      <c r="Y356" s="476">
        <f ca="1">IF(Table1[[#This Row],[Next Stage Date]]&lt;&gt;"",Table1[[#This Row],[Next Stage Date]]-Table1[[#This Row],[Change Date]],TODAY()-Table1[[#This Row],[Change Date]])</f>
        <v>264.56180555555329</v>
      </c>
      <c r="Z356" s="476">
        <f t="shared" si="60"/>
        <v>1</v>
      </c>
      <c r="AA356" s="422" t="str">
        <f t="shared" si="61"/>
        <v/>
      </c>
      <c r="AB356" s="422">
        <f t="shared" si="62"/>
        <v>45924.384027777778</v>
      </c>
      <c r="AC356" s="476">
        <f t="shared" si="63"/>
        <v>44.384027777778101</v>
      </c>
      <c r="AD356" s="476" t="str">
        <f t="shared" si="64"/>
        <v/>
      </c>
      <c r="AE356" s="476" t="str">
        <f t="shared" si="65"/>
        <v/>
      </c>
      <c r="AF356" s="476" t="b">
        <f>IFERROR(_xlfn.XLOOKUP(Table1[[#This Row],[Opportunity ID]],'Aging Detail'!$H$14:$H$20,'Aging Detail'!$F$14:$F$20),TRUE)</f>
        <v>1</v>
      </c>
    </row>
    <row r="357" spans="1:32">
      <c r="A357" t="s">
        <v>1461</v>
      </c>
      <c r="B357" t="s">
        <v>526</v>
      </c>
      <c r="C357" t="s">
        <v>563</v>
      </c>
      <c r="D357" t="s">
        <v>2457</v>
      </c>
      <c r="E357" t="s">
        <v>2458</v>
      </c>
      <c r="I357" s="422">
        <v>45895</v>
      </c>
      <c r="J357" s="422">
        <v>45993</v>
      </c>
      <c r="K357">
        <v>4200</v>
      </c>
      <c r="L357">
        <v>0</v>
      </c>
      <c r="M357" t="s">
        <v>2459</v>
      </c>
      <c r="N357" t="s">
        <v>1748</v>
      </c>
      <c r="O357" t="str">
        <f>_xlfn.IFNA(VLOOKUP(Table1[[#This Row],[Lead Source]],'helper tab'!A:B,2,FALSE),"Exclude")</f>
        <v>Exclude</v>
      </c>
      <c r="P357" s="422">
        <f t="shared" si="55"/>
        <v>45993.334722222222</v>
      </c>
      <c r="Q357">
        <f t="shared" si="56"/>
        <v>0</v>
      </c>
      <c r="R357">
        <f t="shared" si="57"/>
        <v>1</v>
      </c>
      <c r="S357">
        <f>IF(
AND($Q357=1,$M357&lt;&gt;""),
IF(
COUNTIFS(
$M$3:$M357,$M357,
$O$3:$O357,$O357,
$Q$3:$Q357,1,
$P$3:$P357,"&gt;="&amp;EOMONTH($P357,-1)+1,
$P$3:$P357,"&lt;"&amp;EOMONTH($P357,0)+1
)=1,
1,
0),
0)</f>
        <v>0</v>
      </c>
      <c r="T357">
        <f>IF(AND($R357=1,$M357&lt;&gt;""),IF(COUNTIFS($M$3:$M357,$M357,$O$3:$O357,$O357,$R$3:$R357,1,$P$3:$P357,"&gt;="&amp;EOMONTH($P357,-1)+1,$P$3:$P357,"&lt;"&amp;EOMONTH($P357,0)+1)=1,1,0),0)</f>
        <v>1</v>
      </c>
      <c r="U357">
        <f t="shared" si="58"/>
        <v>0</v>
      </c>
      <c r="V357">
        <f>IF(AND($U357=1,$M357&lt;&gt;""),IF(COUNTIFS($M$3:$M357,$M357,$O$3:$O357,$O357,$U$3:$U357,1,$P$3:$P357,"&gt;="&amp;EOMONTH($P357,-1)+1,$P$3:$P357,"&lt;"&amp;EOMONTH($P357,0)+1)=1,1,0),0)</f>
        <v>0</v>
      </c>
      <c r="W357" s="444">
        <f ca="1">TODAY()-Table1[[#This Row],[Change Date]]</f>
        <v>264.6652777777781</v>
      </c>
      <c r="X357" s="422" t="str">
        <f t="shared" si="59"/>
        <v/>
      </c>
      <c r="Y357" s="476">
        <f ca="1">IF(Table1[[#This Row],[Next Stage Date]]&lt;&gt;"",Table1[[#This Row],[Next Stage Date]]-Table1[[#This Row],[Change Date]],TODAY()-Table1[[#This Row],[Change Date]])</f>
        <v>264.6652777777781</v>
      </c>
      <c r="Z357" s="476">
        <f t="shared" si="60"/>
        <v>1</v>
      </c>
      <c r="AA357" s="422">
        <f t="shared" si="61"/>
        <v>45993.334722222222</v>
      </c>
      <c r="AB357" s="422">
        <f t="shared" si="62"/>
        <v>45993.306944444441</v>
      </c>
      <c r="AC357" s="476">
        <f t="shared" si="63"/>
        <v>98.306944444440887</v>
      </c>
      <c r="AD357" s="476">
        <f t="shared" si="64"/>
        <v>2.7777777781011537E-2</v>
      </c>
      <c r="AE357" s="476">
        <f t="shared" si="65"/>
        <v>98.334722222221899</v>
      </c>
      <c r="AF357" s="476" t="b">
        <f>IFERROR(_xlfn.XLOOKUP(Table1[[#This Row],[Opportunity ID]],'Aging Detail'!$H$14:$H$20,'Aging Detail'!$F$14:$F$20),TRUE)</f>
        <v>1</v>
      </c>
    </row>
    <row r="358" spans="1:32">
      <c r="A358" t="s">
        <v>1461</v>
      </c>
      <c r="B358" t="s">
        <v>338</v>
      </c>
      <c r="C358" t="s">
        <v>526</v>
      </c>
      <c r="D358" t="s">
        <v>2460</v>
      </c>
      <c r="E358" t="s">
        <v>2458</v>
      </c>
      <c r="I358" s="422">
        <v>45895</v>
      </c>
      <c r="J358" s="422">
        <v>45993</v>
      </c>
      <c r="K358">
        <v>4200</v>
      </c>
      <c r="L358">
        <v>0</v>
      </c>
      <c r="M358" t="s">
        <v>2459</v>
      </c>
      <c r="N358" t="s">
        <v>1748</v>
      </c>
      <c r="O358" t="str">
        <f>_xlfn.IFNA(VLOOKUP(Table1[[#This Row],[Lead Source]],'helper tab'!A:B,2,FALSE),"Exclude")</f>
        <v>Exclude</v>
      </c>
      <c r="P358" s="422">
        <f t="shared" si="55"/>
        <v>45993.306944444441</v>
      </c>
      <c r="Q358">
        <f t="shared" si="56"/>
        <v>1</v>
      </c>
      <c r="R358">
        <f t="shared" si="57"/>
        <v>0</v>
      </c>
      <c r="S358">
        <f>IF(
AND($Q358=1,$M358&lt;&gt;""),
IF(
COUNTIFS(
$M$3:$M358,$M358,
$O$3:$O358,$O358,
$Q$3:$Q358,1,
$P$3:$P358,"&gt;="&amp;EOMONTH($P358,-1)+1,
$P$3:$P358,"&lt;"&amp;EOMONTH($P358,0)+1
)=1,
1,
0),
0)</f>
        <v>1</v>
      </c>
      <c r="T358">
        <f>IF(AND($R358=1,$M358&lt;&gt;""),IF(COUNTIFS($M$3:$M358,$M358,$O$3:$O358,$O358,$R$3:$R358,1,$P$3:$P358,"&gt;="&amp;EOMONTH($P358,-1)+1,$P$3:$P358,"&lt;"&amp;EOMONTH($P358,0)+1)=1,1,0),0)</f>
        <v>0</v>
      </c>
      <c r="U358">
        <f t="shared" si="58"/>
        <v>0</v>
      </c>
      <c r="V358">
        <f>IF(AND($U358=1,$M358&lt;&gt;""),IF(COUNTIFS($M$3:$M358,$M358,$O$3:$O358,$O358,$U$3:$U358,1,$P$3:$P358,"&gt;="&amp;EOMONTH($P358,-1)+1,$P$3:$P358,"&lt;"&amp;EOMONTH($P358,0)+1)=1,1,0),0)</f>
        <v>0</v>
      </c>
      <c r="W358" s="444">
        <f ca="1">TODAY()-Table1[[#This Row],[Change Date]]</f>
        <v>264.69305555555911</v>
      </c>
      <c r="X358" s="422">
        <f t="shared" si="59"/>
        <v>45993.334722222222</v>
      </c>
      <c r="Y358" s="476">
        <f ca="1">IF(Table1[[#This Row],[Next Stage Date]]&lt;&gt;"",Table1[[#This Row],[Next Stage Date]]-Table1[[#This Row],[Change Date]],TODAY()-Table1[[#This Row],[Change Date]])</f>
        <v>2.7777777781011537E-2</v>
      </c>
      <c r="Z358" s="476">
        <f t="shared" si="60"/>
        <v>0</v>
      </c>
      <c r="AA358" s="422">
        <f t="shared" si="61"/>
        <v>45993.334722222222</v>
      </c>
      <c r="AB358" s="422">
        <f t="shared" si="62"/>
        <v>45993.306944444441</v>
      </c>
      <c r="AC358" s="476">
        <f t="shared" si="63"/>
        <v>98.306944444440887</v>
      </c>
      <c r="AD358" s="476">
        <f t="shared" si="64"/>
        <v>2.7777777781011537E-2</v>
      </c>
      <c r="AE358" s="476">
        <f t="shared" si="65"/>
        <v>98.334722222221899</v>
      </c>
      <c r="AF358" s="476" t="b">
        <f>IFERROR(_xlfn.XLOOKUP(Table1[[#This Row],[Opportunity ID]],'Aging Detail'!$H$14:$H$20,'Aging Detail'!$F$14:$F$20),TRUE)</f>
        <v>1</v>
      </c>
    </row>
    <row r="359" spans="1:32">
      <c r="A359" t="s">
        <v>1461</v>
      </c>
      <c r="B359" t="s">
        <v>462</v>
      </c>
      <c r="C359" t="s">
        <v>563</v>
      </c>
      <c r="D359" t="s">
        <v>2461</v>
      </c>
      <c r="E359" t="s">
        <v>2462</v>
      </c>
      <c r="F359" t="s">
        <v>1465</v>
      </c>
      <c r="I359" s="422">
        <v>45960</v>
      </c>
      <c r="J359" s="422">
        <v>45986</v>
      </c>
      <c r="L359">
        <v>0</v>
      </c>
      <c r="M359" t="s">
        <v>2463</v>
      </c>
      <c r="N359" t="s">
        <v>1634</v>
      </c>
      <c r="O359" t="str">
        <f>_xlfn.IFNA(VLOOKUP(Table1[[#This Row],[Lead Source]],'helper tab'!A:B,2,FALSE),"Exclude")</f>
        <v>Exclude</v>
      </c>
      <c r="P359" s="422">
        <f t="shared" si="55"/>
        <v>45986.602083333331</v>
      </c>
      <c r="Q359">
        <f t="shared" si="56"/>
        <v>0</v>
      </c>
      <c r="R359">
        <f t="shared" si="57"/>
        <v>1</v>
      </c>
      <c r="S359">
        <f>IF(
AND($Q359=1,$M359&lt;&gt;""),
IF(
COUNTIFS(
$M$3:$M359,$M359,
$O$3:$O359,$O359,
$Q$3:$Q359,1,
$P$3:$P359,"&gt;="&amp;EOMONTH($P359,-1)+1,
$P$3:$P359,"&lt;"&amp;EOMONTH($P359,0)+1
)=1,
1,
0),
0)</f>
        <v>0</v>
      </c>
      <c r="T359">
        <f>IF(AND($R359=1,$M359&lt;&gt;""),IF(COUNTIFS($M$3:$M359,$M359,$O$3:$O359,$O359,$R$3:$R359,1,$P$3:$P359,"&gt;="&amp;EOMONTH($P359,-1)+1,$P$3:$P359,"&lt;"&amp;EOMONTH($P359,0)+1)=1,1,0),0)</f>
        <v>1</v>
      </c>
      <c r="U359">
        <f t="shared" si="58"/>
        <v>0</v>
      </c>
      <c r="V359">
        <f>IF(AND($U359=1,$M359&lt;&gt;""),IF(COUNTIFS($M$3:$M359,$M359,$O$3:$O359,$O359,$U$3:$U359,1,$P$3:$P359,"&gt;="&amp;EOMONTH($P359,-1)+1,$P$3:$P359,"&lt;"&amp;EOMONTH($P359,0)+1)=1,1,0),0)</f>
        <v>0</v>
      </c>
      <c r="W359" s="444">
        <f ca="1">TODAY()-Table1[[#This Row],[Change Date]]</f>
        <v>271.39791666666861</v>
      </c>
      <c r="X359" s="422" t="str">
        <f t="shared" si="59"/>
        <v/>
      </c>
      <c r="Y359" s="476">
        <f ca="1">IF(Table1[[#This Row],[Next Stage Date]]&lt;&gt;"",Table1[[#This Row],[Next Stage Date]]-Table1[[#This Row],[Change Date]],TODAY()-Table1[[#This Row],[Change Date]])</f>
        <v>271.39791666666861</v>
      </c>
      <c r="Z359" s="476">
        <f t="shared" si="60"/>
        <v>1</v>
      </c>
      <c r="AA359" s="422">
        <f t="shared" si="61"/>
        <v>45986.602083333331</v>
      </c>
      <c r="AB359" s="422">
        <f t="shared" si="62"/>
        <v>45968.520138888889</v>
      </c>
      <c r="AC359" s="476">
        <f t="shared" si="63"/>
        <v>8.5201388888890506</v>
      </c>
      <c r="AD359" s="476">
        <f t="shared" si="64"/>
        <v>18.081944444442343</v>
      </c>
      <c r="AE359" s="476">
        <f t="shared" si="65"/>
        <v>26.602083333331393</v>
      </c>
      <c r="AF359" s="476" t="b">
        <f>IFERROR(_xlfn.XLOOKUP(Table1[[#This Row],[Opportunity ID]],'Aging Detail'!$H$14:$H$20,'Aging Detail'!$F$14:$F$20),TRUE)</f>
        <v>1</v>
      </c>
    </row>
    <row r="360" spans="1:32">
      <c r="A360" t="s">
        <v>1461</v>
      </c>
      <c r="B360" t="s">
        <v>462</v>
      </c>
      <c r="C360" t="s">
        <v>563</v>
      </c>
      <c r="D360" t="s">
        <v>2464</v>
      </c>
      <c r="E360" t="s">
        <v>2465</v>
      </c>
      <c r="F360" t="s">
        <v>1465</v>
      </c>
      <c r="I360" s="422">
        <v>45960</v>
      </c>
      <c r="J360" s="422">
        <v>45986</v>
      </c>
      <c r="K360">
        <v>0</v>
      </c>
      <c r="L360">
        <v>0</v>
      </c>
      <c r="M360" t="s">
        <v>2466</v>
      </c>
      <c r="N360" t="s">
        <v>1831</v>
      </c>
      <c r="O360" t="str">
        <f>_xlfn.IFNA(VLOOKUP(Table1[[#This Row],[Lead Source]],'helper tab'!A:B,2,FALSE),"Exclude")</f>
        <v>Exclude</v>
      </c>
      <c r="P360" s="422">
        <f t="shared" si="55"/>
        <v>45986.584027777775</v>
      </c>
      <c r="Q360">
        <f t="shared" si="56"/>
        <v>0</v>
      </c>
      <c r="R360">
        <f t="shared" si="57"/>
        <v>1</v>
      </c>
      <c r="S360">
        <f>IF(
AND($Q360=1,$M360&lt;&gt;""),
IF(
COUNTIFS(
$M$3:$M360,$M360,
$O$3:$O360,$O360,
$Q$3:$Q360,1,
$P$3:$P360,"&gt;="&amp;EOMONTH($P360,-1)+1,
$P$3:$P360,"&lt;"&amp;EOMONTH($P360,0)+1
)=1,
1,
0),
0)</f>
        <v>0</v>
      </c>
      <c r="T360">
        <f>IF(AND($R360=1,$M360&lt;&gt;""),IF(COUNTIFS($M$3:$M360,$M360,$O$3:$O360,$O360,$R$3:$R360,1,$P$3:$P360,"&gt;="&amp;EOMONTH($P360,-1)+1,$P$3:$P360,"&lt;"&amp;EOMONTH($P360,0)+1)=1,1,0),0)</f>
        <v>1</v>
      </c>
      <c r="U360">
        <f t="shared" si="58"/>
        <v>0</v>
      </c>
      <c r="V360">
        <f>IF(AND($U360=1,$M360&lt;&gt;""),IF(COUNTIFS($M$3:$M360,$M360,$O$3:$O360,$O360,$U$3:$U360,1,$P$3:$P360,"&gt;="&amp;EOMONTH($P360,-1)+1,$P$3:$P360,"&lt;"&amp;EOMONTH($P360,0)+1)=1,1,0),0)</f>
        <v>0</v>
      </c>
      <c r="W360" s="444">
        <f ca="1">TODAY()-Table1[[#This Row],[Change Date]]</f>
        <v>271.41597222222481</v>
      </c>
      <c r="X360" s="422" t="str">
        <f t="shared" si="59"/>
        <v/>
      </c>
      <c r="Y360" s="476">
        <f ca="1">IF(Table1[[#This Row],[Next Stage Date]]&lt;&gt;"",Table1[[#This Row],[Next Stage Date]]-Table1[[#This Row],[Change Date]],TODAY()-Table1[[#This Row],[Change Date]])</f>
        <v>271.41597222222481</v>
      </c>
      <c r="Z360" s="476">
        <f t="shared" si="60"/>
        <v>1</v>
      </c>
      <c r="AA360" s="422">
        <f t="shared" si="61"/>
        <v>45986.584027777775</v>
      </c>
      <c r="AB360" s="422">
        <f t="shared" si="62"/>
        <v>45968.518055555556</v>
      </c>
      <c r="AC360" s="476">
        <f t="shared" si="63"/>
        <v>8.5180555555562023</v>
      </c>
      <c r="AD360" s="476">
        <f t="shared" si="64"/>
        <v>18.065972222218988</v>
      </c>
      <c r="AE360" s="476">
        <f t="shared" si="65"/>
        <v>26.584027777775191</v>
      </c>
      <c r="AF360" s="476" t="b">
        <f>IFERROR(_xlfn.XLOOKUP(Table1[[#This Row],[Opportunity ID]],'Aging Detail'!$H$14:$H$20,'Aging Detail'!$F$14:$F$20),TRUE)</f>
        <v>1</v>
      </c>
    </row>
    <row r="361" spans="1:32">
      <c r="A361" t="s">
        <v>1461</v>
      </c>
      <c r="B361" t="s">
        <v>462</v>
      </c>
      <c r="C361" t="s">
        <v>563</v>
      </c>
      <c r="D361" t="s">
        <v>2467</v>
      </c>
      <c r="E361" t="s">
        <v>2468</v>
      </c>
      <c r="F361" t="s">
        <v>1632</v>
      </c>
      <c r="I361" s="422">
        <v>45971</v>
      </c>
      <c r="J361" s="422">
        <v>45985</v>
      </c>
      <c r="K361">
        <v>1470000</v>
      </c>
      <c r="L361">
        <v>1470000</v>
      </c>
      <c r="M361" t="s">
        <v>2469</v>
      </c>
      <c r="N361" t="s">
        <v>1831</v>
      </c>
      <c r="O361" t="str">
        <f>_xlfn.IFNA(VLOOKUP(Table1[[#This Row],[Lead Source]],'helper tab'!A:B,2,FALSE),"Exclude")</f>
        <v>Exclude</v>
      </c>
      <c r="P361" s="422">
        <f t="shared" si="55"/>
        <v>45985.620833333334</v>
      </c>
      <c r="Q361">
        <f t="shared" si="56"/>
        <v>0</v>
      </c>
      <c r="R361">
        <f t="shared" si="57"/>
        <v>1</v>
      </c>
      <c r="S361">
        <f>IF(
AND($Q361=1,$M361&lt;&gt;""),
IF(
COUNTIFS(
$M$3:$M361,$M361,
$O$3:$O361,$O361,
$Q$3:$Q361,1,
$P$3:$P361,"&gt;="&amp;EOMONTH($P361,-1)+1,
$P$3:$P361,"&lt;"&amp;EOMONTH($P361,0)+1
)=1,
1,
0),
0)</f>
        <v>0</v>
      </c>
      <c r="T361">
        <f>IF(AND($R361=1,$M361&lt;&gt;""),IF(COUNTIFS($M$3:$M361,$M361,$O$3:$O361,$O361,$R$3:$R361,1,$P$3:$P361,"&gt;="&amp;EOMONTH($P361,-1)+1,$P$3:$P361,"&lt;"&amp;EOMONTH($P361,0)+1)=1,1,0),0)</f>
        <v>1</v>
      </c>
      <c r="U361">
        <f t="shared" si="58"/>
        <v>0</v>
      </c>
      <c r="V361">
        <f>IF(AND($U361=1,$M361&lt;&gt;""),IF(COUNTIFS($M$3:$M361,$M361,$O$3:$O361,$O361,$U$3:$U361,1,$P$3:$P361,"&gt;="&amp;EOMONTH($P361,-1)+1,$P$3:$P361,"&lt;"&amp;EOMONTH($P361,0)+1)=1,1,0),0)</f>
        <v>0</v>
      </c>
      <c r="W361" s="444">
        <f ca="1">TODAY()-Table1[[#This Row],[Change Date]]</f>
        <v>272.3791666666657</v>
      </c>
      <c r="X361" s="422" t="str">
        <f t="shared" si="59"/>
        <v/>
      </c>
      <c r="Y361" s="476">
        <f ca="1">IF(Table1[[#This Row],[Next Stage Date]]&lt;&gt;"",Table1[[#This Row],[Next Stage Date]]-Table1[[#This Row],[Change Date]],TODAY()-Table1[[#This Row],[Change Date]])</f>
        <v>272.3791666666657</v>
      </c>
      <c r="Z361" s="476">
        <f t="shared" si="60"/>
        <v>1</v>
      </c>
      <c r="AA361" s="422">
        <f t="shared" si="61"/>
        <v>45985.620833333334</v>
      </c>
      <c r="AB361" s="422" t="str">
        <f t="shared" si="62"/>
        <v/>
      </c>
      <c r="AC361" s="476" t="str">
        <f t="shared" si="63"/>
        <v/>
      </c>
      <c r="AD361" s="476" t="str">
        <f t="shared" si="64"/>
        <v/>
      </c>
      <c r="AE361" s="476">
        <f t="shared" si="65"/>
        <v>14.620833333334303</v>
      </c>
      <c r="AF361" s="476" t="b">
        <f>IFERROR(_xlfn.XLOOKUP(Table1[[#This Row],[Opportunity ID]],'Aging Detail'!$H$14:$H$20,'Aging Detail'!$F$14:$F$20),TRUE)</f>
        <v>1</v>
      </c>
    </row>
    <row r="362" spans="1:32">
      <c r="A362" t="s">
        <v>1461</v>
      </c>
      <c r="B362" t="s">
        <v>526</v>
      </c>
      <c r="C362" t="s">
        <v>563</v>
      </c>
      <c r="D362" t="s">
        <v>2470</v>
      </c>
      <c r="E362" t="s">
        <v>2471</v>
      </c>
      <c r="I362" s="422">
        <v>45833</v>
      </c>
      <c r="J362" s="422">
        <v>45985</v>
      </c>
      <c r="K362">
        <v>44000</v>
      </c>
      <c r="L362">
        <v>0</v>
      </c>
      <c r="M362" t="s">
        <v>2472</v>
      </c>
      <c r="N362" t="s">
        <v>1708</v>
      </c>
      <c r="O362" t="str">
        <f>_xlfn.IFNA(VLOOKUP(Table1[[#This Row],[Lead Source]],'helper tab'!A:B,2,FALSE),"Exclude")</f>
        <v>Exclude</v>
      </c>
      <c r="P362" s="422">
        <f t="shared" si="55"/>
        <v>45985.481944444444</v>
      </c>
      <c r="Q362">
        <f t="shared" si="56"/>
        <v>0</v>
      </c>
      <c r="R362">
        <f t="shared" si="57"/>
        <v>1</v>
      </c>
      <c r="S362">
        <f>IF(
AND($Q362=1,$M362&lt;&gt;""),
IF(
COUNTIFS(
$M$3:$M362,$M362,
$O$3:$O362,$O362,
$Q$3:$Q362,1,
$P$3:$P362,"&gt;="&amp;EOMONTH($P362,-1)+1,
$P$3:$P362,"&lt;"&amp;EOMONTH($P362,0)+1
)=1,
1,
0),
0)</f>
        <v>0</v>
      </c>
      <c r="T362">
        <f>IF(AND($R362=1,$M362&lt;&gt;""),IF(COUNTIFS($M$3:$M362,$M362,$O$3:$O362,$O362,$R$3:$R362,1,$P$3:$P362,"&gt;="&amp;EOMONTH($P362,-1)+1,$P$3:$P362,"&lt;"&amp;EOMONTH($P362,0)+1)=1,1,0),0)</f>
        <v>1</v>
      </c>
      <c r="U362">
        <f t="shared" si="58"/>
        <v>0</v>
      </c>
      <c r="V362">
        <f>IF(AND($U362=1,$M362&lt;&gt;""),IF(COUNTIFS($M$3:$M362,$M362,$O$3:$O362,$O362,$U$3:$U362,1,$P$3:$P362,"&gt;="&amp;EOMONTH($P362,-1)+1,$P$3:$P362,"&lt;"&amp;EOMONTH($P362,0)+1)=1,1,0),0)</f>
        <v>0</v>
      </c>
      <c r="W362" s="444">
        <f ca="1">TODAY()-Table1[[#This Row],[Change Date]]</f>
        <v>272.5180555555562</v>
      </c>
      <c r="X362" s="422" t="str">
        <f t="shared" si="59"/>
        <v/>
      </c>
      <c r="Y362" s="476">
        <f ca="1">IF(Table1[[#This Row],[Next Stage Date]]&lt;&gt;"",Table1[[#This Row],[Next Stage Date]]-Table1[[#This Row],[Change Date]],TODAY()-Table1[[#This Row],[Change Date]])</f>
        <v>272.5180555555562</v>
      </c>
      <c r="Z362" s="476">
        <f t="shared" si="60"/>
        <v>1</v>
      </c>
      <c r="AA362" s="422">
        <f t="shared" si="61"/>
        <v>45985.481944444444</v>
      </c>
      <c r="AB362" s="422">
        <f t="shared" si="62"/>
        <v>45985.310416666667</v>
      </c>
      <c r="AC362" s="476">
        <f t="shared" si="63"/>
        <v>152.31041666666715</v>
      </c>
      <c r="AD362" s="476">
        <f t="shared" si="64"/>
        <v>0.17152777777664596</v>
      </c>
      <c r="AE362" s="476">
        <f t="shared" si="65"/>
        <v>152.4819444444438</v>
      </c>
      <c r="AF362" s="476" t="b">
        <f>IFERROR(_xlfn.XLOOKUP(Table1[[#This Row],[Opportunity ID]],'Aging Detail'!$H$14:$H$20,'Aging Detail'!$F$14:$F$20),TRUE)</f>
        <v>1</v>
      </c>
    </row>
    <row r="363" spans="1:32">
      <c r="A363" t="s">
        <v>1461</v>
      </c>
      <c r="B363" t="s">
        <v>338</v>
      </c>
      <c r="C363" t="s">
        <v>526</v>
      </c>
      <c r="D363" t="s">
        <v>2473</v>
      </c>
      <c r="E363" t="s">
        <v>2471</v>
      </c>
      <c r="I363" s="422">
        <v>45833</v>
      </c>
      <c r="J363" s="422">
        <v>45985</v>
      </c>
      <c r="K363">
        <v>44000</v>
      </c>
      <c r="L363">
        <v>0</v>
      </c>
      <c r="M363" t="s">
        <v>2472</v>
      </c>
      <c r="N363" t="s">
        <v>1708</v>
      </c>
      <c r="O363" t="str">
        <f>_xlfn.IFNA(VLOOKUP(Table1[[#This Row],[Lead Source]],'helper tab'!A:B,2,FALSE),"Exclude")</f>
        <v>Exclude</v>
      </c>
      <c r="P363" s="422">
        <f t="shared" si="55"/>
        <v>45985.310416666667</v>
      </c>
      <c r="Q363">
        <f t="shared" si="56"/>
        <v>1</v>
      </c>
      <c r="R363">
        <f t="shared" si="57"/>
        <v>0</v>
      </c>
      <c r="S363">
        <f>IF(
AND($Q363=1,$M363&lt;&gt;""),
IF(
COUNTIFS(
$M$3:$M363,$M363,
$O$3:$O363,$O363,
$Q$3:$Q363,1,
$P$3:$P363,"&gt;="&amp;EOMONTH($P363,-1)+1,
$P$3:$P363,"&lt;"&amp;EOMONTH($P363,0)+1
)=1,
1,
0),
0)</f>
        <v>1</v>
      </c>
      <c r="T363">
        <f>IF(AND($R363=1,$M363&lt;&gt;""),IF(COUNTIFS($M$3:$M363,$M363,$O$3:$O363,$O363,$R$3:$R363,1,$P$3:$P363,"&gt;="&amp;EOMONTH($P363,-1)+1,$P$3:$P363,"&lt;"&amp;EOMONTH($P363,0)+1)=1,1,0),0)</f>
        <v>0</v>
      </c>
      <c r="U363">
        <f t="shared" si="58"/>
        <v>0</v>
      </c>
      <c r="V363">
        <f>IF(AND($U363=1,$M363&lt;&gt;""),IF(COUNTIFS($M$3:$M363,$M363,$O$3:$O363,$O363,$U$3:$U363,1,$P$3:$P363,"&gt;="&amp;EOMONTH($P363,-1)+1,$P$3:$P363,"&lt;"&amp;EOMONTH($P363,0)+1)=1,1,0),0)</f>
        <v>0</v>
      </c>
      <c r="W363" s="444">
        <f ca="1">TODAY()-Table1[[#This Row],[Change Date]]</f>
        <v>272.68958333333285</v>
      </c>
      <c r="X363" s="422">
        <f t="shared" si="59"/>
        <v>45985.481944444444</v>
      </c>
      <c r="Y363" s="476">
        <f ca="1">IF(Table1[[#This Row],[Next Stage Date]]&lt;&gt;"",Table1[[#This Row],[Next Stage Date]]-Table1[[#This Row],[Change Date]],TODAY()-Table1[[#This Row],[Change Date]])</f>
        <v>0.17152777777664596</v>
      </c>
      <c r="Z363" s="476">
        <f t="shared" si="60"/>
        <v>0</v>
      </c>
      <c r="AA363" s="422">
        <f t="shared" si="61"/>
        <v>45985.481944444444</v>
      </c>
      <c r="AB363" s="422">
        <f t="shared" si="62"/>
        <v>45985.310416666667</v>
      </c>
      <c r="AC363" s="476">
        <f t="shared" si="63"/>
        <v>152.31041666666715</v>
      </c>
      <c r="AD363" s="476">
        <f t="shared" si="64"/>
        <v>0.17152777777664596</v>
      </c>
      <c r="AE363" s="476">
        <f t="shared" si="65"/>
        <v>152.4819444444438</v>
      </c>
      <c r="AF363" s="476" t="b">
        <f>IFERROR(_xlfn.XLOOKUP(Table1[[#This Row],[Opportunity ID]],'Aging Detail'!$H$14:$H$20,'Aging Detail'!$F$14:$F$20),TRUE)</f>
        <v>1</v>
      </c>
    </row>
    <row r="364" spans="1:32">
      <c r="A364" t="s">
        <v>1461</v>
      </c>
      <c r="B364" t="s">
        <v>338</v>
      </c>
      <c r="C364" t="s">
        <v>1469</v>
      </c>
      <c r="D364" t="s">
        <v>2474</v>
      </c>
      <c r="E364" t="s">
        <v>2475</v>
      </c>
      <c r="F364" t="s">
        <v>148</v>
      </c>
      <c r="I364" s="422">
        <v>44874</v>
      </c>
      <c r="J364" s="422">
        <v>46325</v>
      </c>
      <c r="K364">
        <v>654800</v>
      </c>
      <c r="L364">
        <v>394800</v>
      </c>
      <c r="M364" t="s">
        <v>2476</v>
      </c>
      <c r="N364" t="s">
        <v>2477</v>
      </c>
      <c r="O364" t="str">
        <f>_xlfn.IFNA(VLOOKUP(Table1[[#This Row],[Lead Source]],'helper tab'!A:B,2,FALSE),"Exclude")</f>
        <v>Alliances</v>
      </c>
      <c r="P364" s="422">
        <f t="shared" si="55"/>
        <v>45982.261111111111</v>
      </c>
      <c r="Q364">
        <f t="shared" si="56"/>
        <v>0</v>
      </c>
      <c r="R364">
        <f t="shared" si="57"/>
        <v>0</v>
      </c>
      <c r="S364">
        <f>IF(
AND($Q364=1,$M364&lt;&gt;""),
IF(
COUNTIFS(
$M$3:$M364,$M364,
$O$3:$O364,$O364,
$Q$3:$Q364,1,
$P$3:$P364,"&gt;="&amp;EOMONTH($P364,-1)+1,
$P$3:$P364,"&lt;"&amp;EOMONTH($P364,0)+1
)=1,
1,
0),
0)</f>
        <v>0</v>
      </c>
      <c r="T364">
        <f>IF(AND($R364=1,$M364&lt;&gt;""),IF(COUNTIFS($M$3:$M364,$M364,$O$3:$O364,$O364,$R$3:$R364,1,$P$3:$P364,"&gt;="&amp;EOMONTH($P364,-1)+1,$P$3:$P364,"&lt;"&amp;EOMONTH($P364,0)+1)=1,1,0),0)</f>
        <v>0</v>
      </c>
      <c r="U364">
        <f t="shared" si="58"/>
        <v>1</v>
      </c>
      <c r="V364">
        <f>IF(AND($U364=1,$M364&lt;&gt;""),IF(COUNTIFS($M$3:$M364,$M364,$O$3:$O364,$O364,$U$3:$U364,1,$P$3:$P364,"&gt;="&amp;EOMONTH($P364,-1)+1,$P$3:$P364,"&lt;"&amp;EOMONTH($P364,0)+1)=1,1,0),0)</f>
        <v>1</v>
      </c>
      <c r="W364" s="444">
        <f ca="1">TODAY()-Table1[[#This Row],[Change Date]]</f>
        <v>275.73888888888905</v>
      </c>
      <c r="X364" s="422" t="str">
        <f t="shared" si="59"/>
        <v/>
      </c>
      <c r="Y364" s="476">
        <f ca="1">IF(Table1[[#This Row],[Next Stage Date]]&lt;&gt;"",Table1[[#This Row],[Next Stage Date]]-Table1[[#This Row],[Change Date]],TODAY()-Table1[[#This Row],[Change Date]])</f>
        <v>275.73888888888905</v>
      </c>
      <c r="Z364" s="476">
        <f t="shared" si="60"/>
        <v>1</v>
      </c>
      <c r="AA364" s="422" t="str">
        <f t="shared" si="61"/>
        <v/>
      </c>
      <c r="AB364" s="422" t="str">
        <f t="shared" si="62"/>
        <v/>
      </c>
      <c r="AC364" s="476" t="str">
        <f t="shared" si="63"/>
        <v/>
      </c>
      <c r="AD364" s="476" t="str">
        <f t="shared" si="64"/>
        <v/>
      </c>
      <c r="AE364" s="476" t="str">
        <f t="shared" si="65"/>
        <v/>
      </c>
      <c r="AF364" s="476" t="b">
        <f>IFERROR(_xlfn.XLOOKUP(Table1[[#This Row],[Opportunity ID]],'Aging Detail'!$H$14:$H$20,'Aging Detail'!$F$14:$F$20),TRUE)</f>
        <v>1</v>
      </c>
    </row>
    <row r="365" spans="1:32">
      <c r="A365" t="s">
        <v>1461</v>
      </c>
      <c r="B365" t="s">
        <v>408</v>
      </c>
      <c r="C365" t="s">
        <v>563</v>
      </c>
      <c r="D365" t="s">
        <v>2478</v>
      </c>
      <c r="E365" t="s">
        <v>2479</v>
      </c>
      <c r="I365" s="422">
        <v>45702</v>
      </c>
      <c r="J365" s="422">
        <v>45980</v>
      </c>
      <c r="K365">
        <v>11250</v>
      </c>
      <c r="L365">
        <v>0</v>
      </c>
      <c r="M365" t="s">
        <v>2480</v>
      </c>
      <c r="N365" t="s">
        <v>1608</v>
      </c>
      <c r="O365" t="str">
        <f>_xlfn.IFNA(VLOOKUP(Table1[[#This Row],[Lead Source]],'helper tab'!A:B,2,FALSE),"Exclude")</f>
        <v>Exclude</v>
      </c>
      <c r="P365" s="422">
        <f t="shared" si="55"/>
        <v>45980.598611111112</v>
      </c>
      <c r="Q365">
        <f t="shared" si="56"/>
        <v>0</v>
      </c>
      <c r="R365">
        <f t="shared" si="57"/>
        <v>1</v>
      </c>
      <c r="S365">
        <f>IF(
AND($Q365=1,$M365&lt;&gt;""),
IF(
COUNTIFS(
$M$3:$M365,$M365,
$O$3:$O365,$O365,
$Q$3:$Q365,1,
$P$3:$P365,"&gt;="&amp;EOMONTH($P365,-1)+1,
$P$3:$P365,"&lt;"&amp;EOMONTH($P365,0)+1
)=1,
1,
0),
0)</f>
        <v>0</v>
      </c>
      <c r="T365">
        <f>IF(AND($R365=1,$M365&lt;&gt;""),IF(COUNTIFS($M$3:$M365,$M365,$O$3:$O365,$O365,$R$3:$R365,1,$P$3:$P365,"&gt;="&amp;EOMONTH($P365,-1)+1,$P$3:$P365,"&lt;"&amp;EOMONTH($P365,0)+1)=1,1,0),0)</f>
        <v>1</v>
      </c>
      <c r="U365">
        <f t="shared" si="58"/>
        <v>0</v>
      </c>
      <c r="V365">
        <f>IF(AND($U365=1,$M365&lt;&gt;""),IF(COUNTIFS($M$3:$M365,$M365,$O$3:$O365,$O365,$U$3:$U365,1,$P$3:$P365,"&gt;="&amp;EOMONTH($P365,-1)+1,$P$3:$P365,"&lt;"&amp;EOMONTH($P365,0)+1)=1,1,0),0)</f>
        <v>0</v>
      </c>
      <c r="W365" s="444">
        <f ca="1">TODAY()-Table1[[#This Row],[Change Date]]</f>
        <v>277.4013888888876</v>
      </c>
      <c r="X365" s="422" t="str">
        <f t="shared" si="59"/>
        <v/>
      </c>
      <c r="Y365" s="476">
        <f ca="1">IF(Table1[[#This Row],[Next Stage Date]]&lt;&gt;"",Table1[[#This Row],[Next Stage Date]]-Table1[[#This Row],[Change Date]],TODAY()-Table1[[#This Row],[Change Date]])</f>
        <v>277.4013888888876</v>
      </c>
      <c r="Z365" s="476">
        <f t="shared" si="60"/>
        <v>1</v>
      </c>
      <c r="AA365" s="422">
        <f t="shared" si="61"/>
        <v>45980.598611111112</v>
      </c>
      <c r="AB365" s="422" t="str">
        <f t="shared" si="62"/>
        <v/>
      </c>
      <c r="AC365" s="476" t="str">
        <f t="shared" si="63"/>
        <v/>
      </c>
      <c r="AD365" s="476" t="str">
        <f t="shared" si="64"/>
        <v/>
      </c>
      <c r="AE365" s="476">
        <f t="shared" si="65"/>
        <v>278.5986111111124</v>
      </c>
      <c r="AF365" s="476" t="b">
        <f>IFERROR(_xlfn.XLOOKUP(Table1[[#This Row],[Opportunity ID]],'Aging Detail'!$H$14:$H$20,'Aging Detail'!$F$14:$F$20),TRUE)</f>
        <v>1</v>
      </c>
    </row>
    <row r="366" spans="1:32">
      <c r="A366" t="s">
        <v>1461</v>
      </c>
      <c r="B366" t="s">
        <v>526</v>
      </c>
      <c r="C366" t="s">
        <v>563</v>
      </c>
      <c r="D366" t="s">
        <v>2481</v>
      </c>
      <c r="E366" t="s">
        <v>2482</v>
      </c>
      <c r="F366" t="s">
        <v>1471</v>
      </c>
      <c r="I366" s="422">
        <v>45684</v>
      </c>
      <c r="J366" s="422">
        <v>45979</v>
      </c>
      <c r="K366">
        <v>157200</v>
      </c>
      <c r="L366">
        <v>107200</v>
      </c>
      <c r="M366" t="s">
        <v>2483</v>
      </c>
      <c r="N366" t="s">
        <v>1684</v>
      </c>
      <c r="O366" t="str">
        <f>_xlfn.IFNA(VLOOKUP(Table1[[#This Row],[Lead Source]],'helper tab'!A:B,2,FALSE),"Exclude")</f>
        <v>Digital</v>
      </c>
      <c r="P366" s="422">
        <f t="shared" si="55"/>
        <v>45980.333333333336</v>
      </c>
      <c r="Q366">
        <f t="shared" si="56"/>
        <v>0</v>
      </c>
      <c r="R366">
        <f t="shared" si="57"/>
        <v>1</v>
      </c>
      <c r="S366">
        <f>IF(
AND($Q366=1,$M366&lt;&gt;""),
IF(
COUNTIFS(
$M$3:$M366,$M366,
$O$3:$O366,$O366,
$Q$3:$Q366,1,
$P$3:$P366,"&gt;="&amp;EOMONTH($P366,-1)+1,
$P$3:$P366,"&lt;"&amp;EOMONTH($P366,0)+1
)=1,
1,
0),
0)</f>
        <v>0</v>
      </c>
      <c r="T366">
        <f>IF(AND($R366=1,$M366&lt;&gt;""),IF(COUNTIFS($M$3:$M366,$M366,$O$3:$O366,$O366,$R$3:$R366,1,$P$3:$P366,"&gt;="&amp;EOMONTH($P366,-1)+1,$P$3:$P366,"&lt;"&amp;EOMONTH($P366,0)+1)=1,1,0),0)</f>
        <v>1</v>
      </c>
      <c r="U366">
        <f t="shared" si="58"/>
        <v>0</v>
      </c>
      <c r="V366">
        <f>IF(AND($U366=1,$M366&lt;&gt;""),IF(COUNTIFS($M$3:$M366,$M366,$O$3:$O366,$O366,$U$3:$U366,1,$P$3:$P366,"&gt;="&amp;EOMONTH($P366,-1)+1,$P$3:$P366,"&lt;"&amp;EOMONTH($P366,0)+1)=1,1,0),0)</f>
        <v>0</v>
      </c>
      <c r="W366" s="444">
        <f ca="1">TODAY()-Table1[[#This Row],[Change Date]]</f>
        <v>277.66666666666424</v>
      </c>
      <c r="X366" s="422" t="str">
        <f t="shared" si="59"/>
        <v/>
      </c>
      <c r="Y366" s="476">
        <f ca="1">IF(Table1[[#This Row],[Next Stage Date]]&lt;&gt;"",Table1[[#This Row],[Next Stage Date]]-Table1[[#This Row],[Change Date]],TODAY()-Table1[[#This Row],[Change Date]])</f>
        <v>277.66666666666424</v>
      </c>
      <c r="Z366" s="476">
        <f t="shared" si="60"/>
        <v>1</v>
      </c>
      <c r="AA366" s="422">
        <f t="shared" si="61"/>
        <v>45980.333333333336</v>
      </c>
      <c r="AB366" s="422">
        <f t="shared" si="62"/>
        <v>45812.451388888891</v>
      </c>
      <c r="AC366" s="476">
        <f t="shared" si="63"/>
        <v>128.45138888889051</v>
      </c>
      <c r="AD366" s="476">
        <f t="shared" si="64"/>
        <v>167.88194444444525</v>
      </c>
      <c r="AE366" s="476">
        <f t="shared" si="65"/>
        <v>296.33333333333576</v>
      </c>
      <c r="AF366" s="476" t="b">
        <f>IFERROR(_xlfn.XLOOKUP(Table1[[#This Row],[Opportunity ID]],'Aging Detail'!$H$14:$H$20,'Aging Detail'!$F$14:$F$20),TRUE)</f>
        <v>1</v>
      </c>
    </row>
    <row r="367" spans="1:32">
      <c r="A367" t="s">
        <v>1461</v>
      </c>
      <c r="B367" t="s">
        <v>526</v>
      </c>
      <c r="C367" t="s">
        <v>563</v>
      </c>
      <c r="D367" t="s">
        <v>2484</v>
      </c>
      <c r="E367" t="s">
        <v>2485</v>
      </c>
      <c r="F367" t="s">
        <v>1484</v>
      </c>
      <c r="I367" s="422">
        <v>45453</v>
      </c>
      <c r="J367" s="422">
        <v>45979</v>
      </c>
      <c r="K367">
        <v>420500</v>
      </c>
      <c r="L367">
        <v>196500</v>
      </c>
      <c r="M367" t="s">
        <v>2486</v>
      </c>
      <c r="N367" t="s">
        <v>1684</v>
      </c>
      <c r="O367" t="str">
        <f>_xlfn.IFNA(VLOOKUP(Table1[[#This Row],[Lead Source]],'helper tab'!A:B,2,FALSE),"Exclude")</f>
        <v>Exclude</v>
      </c>
      <c r="P367" s="422">
        <f t="shared" si="55"/>
        <v>45980.329861111109</v>
      </c>
      <c r="Q367">
        <f t="shared" si="56"/>
        <v>0</v>
      </c>
      <c r="R367">
        <f t="shared" si="57"/>
        <v>1</v>
      </c>
      <c r="S367">
        <f>IF(
AND($Q367=1,$M367&lt;&gt;""),
IF(
COUNTIFS(
$M$3:$M367,$M367,
$O$3:$O367,$O367,
$Q$3:$Q367,1,
$P$3:$P367,"&gt;="&amp;EOMONTH($P367,-1)+1,
$P$3:$P367,"&lt;"&amp;EOMONTH($P367,0)+1
)=1,
1,
0),
0)</f>
        <v>0</v>
      </c>
      <c r="T367">
        <f>IF(AND($R367=1,$M367&lt;&gt;""),IF(COUNTIFS($M$3:$M367,$M367,$O$3:$O367,$O367,$R$3:$R367,1,$P$3:$P367,"&gt;="&amp;EOMONTH($P367,-1)+1,$P$3:$P367,"&lt;"&amp;EOMONTH($P367,0)+1)=1,1,0),0)</f>
        <v>1</v>
      </c>
      <c r="U367">
        <f t="shared" si="58"/>
        <v>0</v>
      </c>
      <c r="V367">
        <f>IF(AND($U367=1,$M367&lt;&gt;""),IF(COUNTIFS($M$3:$M367,$M367,$O$3:$O367,$O367,$U$3:$U367,1,$P$3:$P367,"&gt;="&amp;EOMONTH($P367,-1)+1,$P$3:$P367,"&lt;"&amp;EOMONTH($P367,0)+1)=1,1,0),0)</f>
        <v>0</v>
      </c>
      <c r="W367" s="444">
        <f ca="1">TODAY()-Table1[[#This Row],[Change Date]]</f>
        <v>277.67013888889051</v>
      </c>
      <c r="X367" s="422" t="str">
        <f t="shared" si="59"/>
        <v/>
      </c>
      <c r="Y367" s="476">
        <f ca="1">IF(Table1[[#This Row],[Next Stage Date]]&lt;&gt;"",Table1[[#This Row],[Next Stage Date]]-Table1[[#This Row],[Change Date]],TODAY()-Table1[[#This Row],[Change Date]])</f>
        <v>277.67013888889051</v>
      </c>
      <c r="Z367" s="476">
        <f t="shared" si="60"/>
        <v>1</v>
      </c>
      <c r="AA367" s="422">
        <f t="shared" si="61"/>
        <v>45980.329861111109</v>
      </c>
      <c r="AB367" s="422">
        <f t="shared" si="62"/>
        <v>45911.276388888888</v>
      </c>
      <c r="AC367" s="476">
        <f t="shared" si="63"/>
        <v>458.2763888888876</v>
      </c>
      <c r="AD367" s="476">
        <f t="shared" si="64"/>
        <v>69.053472222221899</v>
      </c>
      <c r="AE367" s="476">
        <f t="shared" si="65"/>
        <v>527.32986111110949</v>
      </c>
      <c r="AF367" s="476" t="b">
        <f>IFERROR(_xlfn.XLOOKUP(Table1[[#This Row],[Opportunity ID]],'Aging Detail'!$H$14:$H$20,'Aging Detail'!$F$14:$F$20),TRUE)</f>
        <v>1</v>
      </c>
    </row>
    <row r="368" spans="1:32">
      <c r="A368" t="s">
        <v>1461</v>
      </c>
      <c r="B368" t="s">
        <v>462</v>
      </c>
      <c r="C368" t="s">
        <v>526</v>
      </c>
      <c r="D368" t="s">
        <v>2487</v>
      </c>
      <c r="E368" t="s">
        <v>2400</v>
      </c>
      <c r="F368" t="s">
        <v>148</v>
      </c>
      <c r="I368" s="422">
        <v>45765</v>
      </c>
      <c r="J368" s="422">
        <v>46006</v>
      </c>
      <c r="K368">
        <v>168144</v>
      </c>
      <c r="L368">
        <v>123144</v>
      </c>
      <c r="M368" t="s">
        <v>97</v>
      </c>
      <c r="N368" t="s">
        <v>1788</v>
      </c>
      <c r="O368" t="str">
        <f>_xlfn.IFNA(VLOOKUP(Table1[[#This Row],[Lead Source]],'helper tab'!A:B,2,FALSE),"Exclude")</f>
        <v>Alliances</v>
      </c>
      <c r="P368" s="422">
        <f t="shared" si="55"/>
        <v>45979.501388888886</v>
      </c>
      <c r="Q368">
        <f t="shared" si="56"/>
        <v>1</v>
      </c>
      <c r="R368">
        <f t="shared" si="57"/>
        <v>0</v>
      </c>
      <c r="S368">
        <f>IF(
AND($Q368=1,$M368&lt;&gt;""),
IF(
COUNTIFS(
$M$3:$M368,$M368,
$O$3:$O368,$O368,
$Q$3:$Q368,1,
$P$3:$P368,"&gt;="&amp;EOMONTH($P368,-1)+1,
$P$3:$P368,"&lt;"&amp;EOMONTH($P368,0)+1
)=1,
1,
0),
0)</f>
        <v>1</v>
      </c>
      <c r="T368">
        <f>IF(AND($R368=1,$M368&lt;&gt;""),IF(COUNTIFS($M$3:$M368,$M368,$O$3:$O368,$O368,$R$3:$R368,1,$P$3:$P368,"&gt;="&amp;EOMONTH($P368,-1)+1,$P$3:$P368,"&lt;"&amp;EOMONTH($P368,0)+1)=1,1,0),0)</f>
        <v>0</v>
      </c>
      <c r="U368">
        <f t="shared" si="58"/>
        <v>0</v>
      </c>
      <c r="V368">
        <f>IF(AND($U368=1,$M368&lt;&gt;""),IF(COUNTIFS($M$3:$M368,$M368,$O$3:$O368,$O368,$U$3:$U368,1,$P$3:$P368,"&gt;="&amp;EOMONTH($P368,-1)+1,$P$3:$P368,"&lt;"&amp;EOMONTH($P368,0)+1)=1,1,0),0)</f>
        <v>0</v>
      </c>
      <c r="W368" s="444">
        <f ca="1">TODAY()-Table1[[#This Row],[Change Date]]</f>
        <v>278.49861111111386</v>
      </c>
      <c r="X368" s="422">
        <f t="shared" si="59"/>
        <v>46020.424305555556</v>
      </c>
      <c r="Y368" s="476">
        <f ca="1">IF(Table1[[#This Row],[Next Stage Date]]&lt;&gt;"",Table1[[#This Row],[Next Stage Date]]-Table1[[#This Row],[Change Date]],TODAY()-Table1[[#This Row],[Change Date]])</f>
        <v>40.922916666670062</v>
      </c>
      <c r="Z368" s="476">
        <f t="shared" si="60"/>
        <v>0</v>
      </c>
      <c r="AA368" s="422">
        <f t="shared" si="61"/>
        <v>46020.424305555556</v>
      </c>
      <c r="AB368" s="422">
        <f t="shared" si="62"/>
        <v>45793.539583333331</v>
      </c>
      <c r="AC368" s="476">
        <f t="shared" si="63"/>
        <v>28.539583333331393</v>
      </c>
      <c r="AD368" s="476">
        <f t="shared" si="64"/>
        <v>226.88472222222481</v>
      </c>
      <c r="AE368" s="476">
        <f t="shared" si="65"/>
        <v>255.4243055555562</v>
      </c>
      <c r="AF368" s="476" t="b">
        <f>IFERROR(_xlfn.XLOOKUP(Table1[[#This Row],[Opportunity ID]],'Aging Detail'!$H$14:$H$20,'Aging Detail'!$F$14:$F$20),TRUE)</f>
        <v>1</v>
      </c>
    </row>
    <row r="369" spans="1:32">
      <c r="A369" t="s">
        <v>1461</v>
      </c>
      <c r="B369" t="s">
        <v>462</v>
      </c>
      <c r="C369" t="s">
        <v>526</v>
      </c>
      <c r="D369" t="s">
        <v>2488</v>
      </c>
      <c r="E369" t="s">
        <v>2489</v>
      </c>
      <c r="F369" t="s">
        <v>1465</v>
      </c>
      <c r="I369" s="422">
        <v>45929</v>
      </c>
      <c r="J369" s="422">
        <v>46374</v>
      </c>
      <c r="K369">
        <v>534176</v>
      </c>
      <c r="L369">
        <v>410904</v>
      </c>
      <c r="M369" t="s">
        <v>2490</v>
      </c>
      <c r="N369" t="s">
        <v>2158</v>
      </c>
      <c r="O369" t="str">
        <f>_xlfn.IFNA(VLOOKUP(Table1[[#This Row],[Lead Source]],'helper tab'!A:B,2,FALSE),"Exclude")</f>
        <v>Exclude</v>
      </c>
      <c r="P369" s="422">
        <f t="shared" si="55"/>
        <v>45978.268750000003</v>
      </c>
      <c r="Q369">
        <f t="shared" si="56"/>
        <v>1</v>
      </c>
      <c r="R369">
        <f t="shared" si="57"/>
        <v>0</v>
      </c>
      <c r="S369">
        <f>IF(
AND($Q369=1,$M369&lt;&gt;""),
IF(
COUNTIFS(
$M$3:$M369,$M369,
$O$3:$O369,$O369,
$Q$3:$Q369,1,
$P$3:$P369,"&gt;="&amp;EOMONTH($P369,-1)+1,
$P$3:$P369,"&lt;"&amp;EOMONTH($P369,0)+1
)=1,
1,
0),
0)</f>
        <v>1</v>
      </c>
      <c r="T369">
        <f>IF(AND($R369=1,$M369&lt;&gt;""),IF(COUNTIFS($M$3:$M369,$M369,$O$3:$O369,$O369,$R$3:$R369,1,$P$3:$P369,"&gt;="&amp;EOMONTH($P369,-1)+1,$P$3:$P369,"&lt;"&amp;EOMONTH($P369,0)+1)=1,1,0),0)</f>
        <v>0</v>
      </c>
      <c r="U369">
        <f t="shared" si="58"/>
        <v>0</v>
      </c>
      <c r="V369">
        <f>IF(AND($U369=1,$M369&lt;&gt;""),IF(COUNTIFS($M$3:$M369,$M369,$O$3:$O369,$O369,$U$3:$U369,1,$P$3:$P369,"&gt;="&amp;EOMONTH($P369,-1)+1,$P$3:$P369,"&lt;"&amp;EOMONTH($P369,0)+1)=1,1,0),0)</f>
        <v>0</v>
      </c>
      <c r="W369" s="444">
        <f ca="1">TODAY()-Table1[[#This Row],[Change Date]]</f>
        <v>279.73124999999709</v>
      </c>
      <c r="X369" s="422" t="str">
        <f t="shared" si="59"/>
        <v/>
      </c>
      <c r="Y369" s="476">
        <f ca="1">IF(Table1[[#This Row],[Next Stage Date]]&lt;&gt;"",Table1[[#This Row],[Next Stage Date]]-Table1[[#This Row],[Change Date]],TODAY()-Table1[[#This Row],[Change Date]])</f>
        <v>279.73124999999709</v>
      </c>
      <c r="Z369" s="476">
        <f t="shared" si="60"/>
        <v>1</v>
      </c>
      <c r="AA369" s="422" t="str">
        <f t="shared" si="61"/>
        <v/>
      </c>
      <c r="AB369" s="422">
        <f t="shared" si="62"/>
        <v>45938.25</v>
      </c>
      <c r="AC369" s="476">
        <f t="shared" si="63"/>
        <v>9.25</v>
      </c>
      <c r="AD369" s="476" t="str">
        <f t="shared" si="64"/>
        <v/>
      </c>
      <c r="AE369" s="476" t="str">
        <f t="shared" si="65"/>
        <v/>
      </c>
      <c r="AF369" s="476" t="b">
        <f>IFERROR(_xlfn.XLOOKUP(Table1[[#This Row],[Opportunity ID]],'Aging Detail'!$H$14:$H$20,'Aging Detail'!$F$14:$F$20),TRUE)</f>
        <v>1</v>
      </c>
    </row>
    <row r="370" spans="1:32">
      <c r="A370" t="s">
        <v>1461</v>
      </c>
      <c r="B370" t="s">
        <v>408</v>
      </c>
      <c r="C370" t="s">
        <v>1462</v>
      </c>
      <c r="D370" t="s">
        <v>2491</v>
      </c>
      <c r="E370" t="s">
        <v>2492</v>
      </c>
      <c r="F370" t="s">
        <v>1473</v>
      </c>
      <c r="I370" s="422">
        <v>45978</v>
      </c>
      <c r="J370" s="422">
        <v>46538</v>
      </c>
      <c r="K370">
        <v>50000</v>
      </c>
      <c r="L370">
        <v>50000</v>
      </c>
      <c r="M370" t="s">
        <v>2493</v>
      </c>
      <c r="N370" t="s">
        <v>2494</v>
      </c>
      <c r="O370" t="str">
        <f>_xlfn.IFNA(VLOOKUP(Table1[[#This Row],[Lead Source]],'helper tab'!A:B,2,FALSE),"Exclude")</f>
        <v>Events</v>
      </c>
      <c r="P370" s="422">
        <f t="shared" si="55"/>
        <v>45978.117361111108</v>
      </c>
      <c r="Q370">
        <f t="shared" si="56"/>
        <v>0</v>
      </c>
      <c r="R370">
        <f t="shared" si="57"/>
        <v>0</v>
      </c>
      <c r="S370">
        <f>IF(
AND($Q370=1,$M370&lt;&gt;""),
IF(
COUNTIFS(
$M$3:$M370,$M370,
$O$3:$O370,$O370,
$Q$3:$Q370,1,
$P$3:$P370,"&gt;="&amp;EOMONTH($P370,-1)+1,
$P$3:$P370,"&lt;"&amp;EOMONTH($P370,0)+1
)=1,
1,
0),
0)</f>
        <v>0</v>
      </c>
      <c r="T370">
        <f>IF(AND($R370=1,$M370&lt;&gt;""),IF(COUNTIFS($M$3:$M370,$M370,$O$3:$O370,$O370,$R$3:$R370,1,$P$3:$P370,"&gt;="&amp;EOMONTH($P370,-1)+1,$P$3:$P370,"&lt;"&amp;EOMONTH($P370,0)+1)=1,1,0),0)</f>
        <v>0</v>
      </c>
      <c r="U370">
        <f t="shared" si="58"/>
        <v>0</v>
      </c>
      <c r="V370">
        <f>IF(AND($U370=1,$M370&lt;&gt;""),IF(COUNTIFS($M$3:$M370,$M370,$O$3:$O370,$O370,$U$3:$U370,1,$P$3:$P370,"&gt;="&amp;EOMONTH($P370,-1)+1,$P$3:$P370,"&lt;"&amp;EOMONTH($P370,0)+1)=1,1,0),0)</f>
        <v>0</v>
      </c>
      <c r="W370" s="444">
        <f ca="1">TODAY()-Table1[[#This Row],[Change Date]]</f>
        <v>279.88263888889196</v>
      </c>
      <c r="X370" s="422" t="str">
        <f t="shared" si="59"/>
        <v/>
      </c>
      <c r="Y370" s="476">
        <f ca="1">IF(Table1[[#This Row],[Next Stage Date]]&lt;&gt;"",Table1[[#This Row],[Next Stage Date]]-Table1[[#This Row],[Change Date]],TODAY()-Table1[[#This Row],[Change Date]])</f>
        <v>279.88263888889196</v>
      </c>
      <c r="Z370" s="476">
        <f t="shared" si="60"/>
        <v>1</v>
      </c>
      <c r="AA370" s="422" t="str">
        <f t="shared" si="61"/>
        <v/>
      </c>
      <c r="AB370" s="422" t="str">
        <f t="shared" si="62"/>
        <v/>
      </c>
      <c r="AC370" s="476" t="str">
        <f t="shared" si="63"/>
        <v/>
      </c>
      <c r="AD370" s="476" t="str">
        <f t="shared" si="64"/>
        <v/>
      </c>
      <c r="AE370" s="476" t="str">
        <f t="shared" si="65"/>
        <v/>
      </c>
      <c r="AF370" s="476" t="b">
        <f>IFERROR(_xlfn.XLOOKUP(Table1[[#This Row],[Opportunity ID]],'Aging Detail'!$H$14:$H$20,'Aging Detail'!$F$14:$F$20),TRUE)</f>
        <v>1</v>
      </c>
    </row>
    <row r="371" spans="1:32">
      <c r="A371" t="s">
        <v>1461</v>
      </c>
      <c r="B371" t="s">
        <v>462</v>
      </c>
      <c r="C371" t="s">
        <v>526</v>
      </c>
      <c r="D371" t="s">
        <v>2495</v>
      </c>
      <c r="E371" t="s">
        <v>1862</v>
      </c>
      <c r="F371" t="s">
        <v>1464</v>
      </c>
      <c r="I371" s="422">
        <v>45694</v>
      </c>
      <c r="J371" s="422">
        <v>46185</v>
      </c>
      <c r="K371">
        <v>351578.2</v>
      </c>
      <c r="L371">
        <v>320760</v>
      </c>
      <c r="M371" t="s">
        <v>1863</v>
      </c>
      <c r="N371" t="s">
        <v>1864</v>
      </c>
      <c r="O371" t="str">
        <f>_xlfn.IFNA(VLOOKUP(Table1[[#This Row],[Lead Source]],'helper tab'!A:B,2,FALSE),"Exclude")</f>
        <v>Cold</v>
      </c>
      <c r="P371" s="422">
        <f t="shared" si="55"/>
        <v>45974.606249999997</v>
      </c>
      <c r="Q371">
        <f t="shared" si="56"/>
        <v>1</v>
      </c>
      <c r="R371">
        <f t="shared" si="57"/>
        <v>0</v>
      </c>
      <c r="S371">
        <f>IF(
AND($Q371=1,$M371&lt;&gt;""),
IF(
COUNTIFS(
$M$3:$M371,$M371,
$O$3:$O371,$O371,
$Q$3:$Q371,1,
$P$3:$P371,"&gt;="&amp;EOMONTH($P371,-1)+1,
$P$3:$P371,"&lt;"&amp;EOMONTH($P371,0)+1
)=1,
1,
0),
0)</f>
        <v>1</v>
      </c>
      <c r="T371">
        <f>IF(AND($R371=1,$M371&lt;&gt;""),IF(COUNTIFS($M$3:$M371,$M371,$O$3:$O371,$O371,$R$3:$R371,1,$P$3:$P371,"&gt;="&amp;EOMONTH($P371,-1)+1,$P$3:$P371,"&lt;"&amp;EOMONTH($P371,0)+1)=1,1,0),0)</f>
        <v>0</v>
      </c>
      <c r="U371">
        <f t="shared" si="58"/>
        <v>0</v>
      </c>
      <c r="V371">
        <f>IF(AND($U371=1,$M371&lt;&gt;""),IF(COUNTIFS($M$3:$M371,$M371,$O$3:$O371,$O371,$U$3:$U371,1,$P$3:$P371,"&gt;="&amp;EOMONTH($P371,-1)+1,$P$3:$P371,"&lt;"&amp;EOMONTH($P371,0)+1)=1,1,0),0)</f>
        <v>0</v>
      </c>
      <c r="W371" s="444">
        <f ca="1">TODAY()-Table1[[#This Row],[Change Date]]</f>
        <v>283.39375000000291</v>
      </c>
      <c r="X371" s="422">
        <f t="shared" si="59"/>
        <v>46190.294444444444</v>
      </c>
      <c r="Y371" s="476">
        <f ca="1">IF(Table1[[#This Row],[Next Stage Date]]&lt;&gt;"",Table1[[#This Row],[Next Stage Date]]-Table1[[#This Row],[Change Date]],TODAY()-Table1[[#This Row],[Change Date]])</f>
        <v>215.68819444444671</v>
      </c>
      <c r="Z371" s="476">
        <f t="shared" si="60"/>
        <v>0</v>
      </c>
      <c r="AA371" s="422" t="str">
        <f t="shared" si="61"/>
        <v/>
      </c>
      <c r="AB371" s="422">
        <f t="shared" si="62"/>
        <v>45859.292361111111</v>
      </c>
      <c r="AC371" s="476">
        <f t="shared" si="63"/>
        <v>165.29236111111095</v>
      </c>
      <c r="AD371" s="476" t="str">
        <f t="shared" si="64"/>
        <v/>
      </c>
      <c r="AE371" s="476" t="str">
        <f t="shared" si="65"/>
        <v/>
      </c>
      <c r="AF371" s="476" t="b">
        <f>IFERROR(_xlfn.XLOOKUP(Table1[[#This Row],[Opportunity ID]],'Aging Detail'!$H$14:$H$20,'Aging Detail'!$F$14:$F$20),TRUE)</f>
        <v>1</v>
      </c>
    </row>
    <row r="372" spans="1:32">
      <c r="A372" t="s">
        <v>1461</v>
      </c>
      <c r="B372" t="s">
        <v>526</v>
      </c>
      <c r="C372" t="s">
        <v>563</v>
      </c>
      <c r="D372" t="s">
        <v>2496</v>
      </c>
      <c r="E372" t="s">
        <v>2497</v>
      </c>
      <c r="F372" t="s">
        <v>1465</v>
      </c>
      <c r="I372" s="422">
        <v>45905</v>
      </c>
      <c r="J372" s="422">
        <v>45974</v>
      </c>
      <c r="K372">
        <v>0</v>
      </c>
      <c r="L372">
        <v>0</v>
      </c>
      <c r="M372" t="s">
        <v>2498</v>
      </c>
      <c r="N372" t="s">
        <v>1748</v>
      </c>
      <c r="O372" t="str">
        <f>_xlfn.IFNA(VLOOKUP(Table1[[#This Row],[Lead Source]],'helper tab'!A:B,2,FALSE),"Exclude")</f>
        <v>Exclude</v>
      </c>
      <c r="P372" s="422">
        <f t="shared" si="55"/>
        <v>45974.429861111108</v>
      </c>
      <c r="Q372">
        <f t="shared" si="56"/>
        <v>0</v>
      </c>
      <c r="R372">
        <f t="shared" si="57"/>
        <v>1</v>
      </c>
      <c r="S372">
        <f>IF(
AND($Q372=1,$M372&lt;&gt;""),
IF(
COUNTIFS(
$M$3:$M372,$M372,
$O$3:$O372,$O372,
$Q$3:$Q372,1,
$P$3:$P372,"&gt;="&amp;EOMONTH($P372,-1)+1,
$P$3:$P372,"&lt;"&amp;EOMONTH($P372,0)+1
)=1,
1,
0),
0)</f>
        <v>0</v>
      </c>
      <c r="T372">
        <f>IF(AND($R372=1,$M372&lt;&gt;""),IF(COUNTIFS($M$3:$M372,$M372,$O$3:$O372,$O372,$R$3:$R372,1,$P$3:$P372,"&gt;="&amp;EOMONTH($P372,-1)+1,$P$3:$P372,"&lt;"&amp;EOMONTH($P372,0)+1)=1,1,0),0)</f>
        <v>1</v>
      </c>
      <c r="U372">
        <f t="shared" si="58"/>
        <v>0</v>
      </c>
      <c r="V372">
        <f>IF(AND($U372=1,$M372&lt;&gt;""),IF(COUNTIFS($M$3:$M372,$M372,$O$3:$O372,$O372,$U$3:$U372,1,$P$3:$P372,"&gt;="&amp;EOMONTH($P372,-1)+1,$P$3:$P372,"&lt;"&amp;EOMONTH($P372,0)+1)=1,1,0),0)</f>
        <v>0</v>
      </c>
      <c r="W372" s="444">
        <f ca="1">TODAY()-Table1[[#This Row],[Change Date]]</f>
        <v>283.57013888889196</v>
      </c>
      <c r="X372" s="422" t="str">
        <f t="shared" si="59"/>
        <v/>
      </c>
      <c r="Y372" s="476">
        <f ca="1">IF(Table1[[#This Row],[Next Stage Date]]&lt;&gt;"",Table1[[#This Row],[Next Stage Date]]-Table1[[#This Row],[Change Date]],TODAY()-Table1[[#This Row],[Change Date]])</f>
        <v>283.57013888889196</v>
      </c>
      <c r="Z372" s="476">
        <f t="shared" si="60"/>
        <v>1</v>
      </c>
      <c r="AA372" s="422">
        <f t="shared" si="61"/>
        <v>45974.429861111108</v>
      </c>
      <c r="AB372" s="422">
        <f t="shared" si="62"/>
        <v>45932.327777777777</v>
      </c>
      <c r="AC372" s="476">
        <f t="shared" si="63"/>
        <v>27.327777777776646</v>
      </c>
      <c r="AD372" s="476">
        <f t="shared" si="64"/>
        <v>42.102083333331393</v>
      </c>
      <c r="AE372" s="476">
        <f t="shared" si="65"/>
        <v>69.429861111108039</v>
      </c>
      <c r="AF372" s="476" t="b">
        <f>IFERROR(_xlfn.XLOOKUP(Table1[[#This Row],[Opportunity ID]],'Aging Detail'!$H$14:$H$20,'Aging Detail'!$F$14:$F$20),TRUE)</f>
        <v>1</v>
      </c>
    </row>
    <row r="373" spans="1:32">
      <c r="A373" t="s">
        <v>1461</v>
      </c>
      <c r="B373" t="s">
        <v>408</v>
      </c>
      <c r="C373" t="s">
        <v>1462</v>
      </c>
      <c r="D373" t="s">
        <v>2499</v>
      </c>
      <c r="E373" t="s">
        <v>2153</v>
      </c>
      <c r="I373" s="422">
        <v>45748</v>
      </c>
      <c r="J373" s="422">
        <v>46090</v>
      </c>
      <c r="K373">
        <v>459900</v>
      </c>
      <c r="L373">
        <v>432900</v>
      </c>
      <c r="M373" t="s">
        <v>2154</v>
      </c>
      <c r="N373" t="s">
        <v>2148</v>
      </c>
      <c r="O373" t="str">
        <f>_xlfn.IFNA(VLOOKUP(Table1[[#This Row],[Lead Source]],'helper tab'!A:B,2,FALSE),"Exclude")</f>
        <v>Exclude</v>
      </c>
      <c r="P373" s="422">
        <f t="shared" si="55"/>
        <v>45972.40347222222</v>
      </c>
      <c r="Q373">
        <f t="shared" si="56"/>
        <v>0</v>
      </c>
      <c r="R373">
        <f t="shared" si="57"/>
        <v>0</v>
      </c>
      <c r="S373">
        <f>IF(
AND($Q373=1,$M373&lt;&gt;""),
IF(
COUNTIFS(
$M$3:$M373,$M373,
$O$3:$O373,$O373,
$Q$3:$Q373,1,
$P$3:$P373,"&gt;="&amp;EOMONTH($P373,-1)+1,
$P$3:$P373,"&lt;"&amp;EOMONTH($P373,0)+1
)=1,
1,
0),
0)</f>
        <v>0</v>
      </c>
      <c r="T373">
        <f>IF(AND($R373=1,$M373&lt;&gt;""),IF(COUNTIFS($M$3:$M373,$M373,$O$3:$O373,$O373,$R$3:$R373,1,$P$3:$P373,"&gt;="&amp;EOMONTH($P373,-1)+1,$P$3:$P373,"&lt;"&amp;EOMONTH($P373,0)+1)=1,1,0),0)</f>
        <v>0</v>
      </c>
      <c r="U373">
        <f t="shared" si="58"/>
        <v>0</v>
      </c>
      <c r="V373">
        <f>IF(AND($U373=1,$M373&lt;&gt;""),IF(COUNTIFS($M$3:$M373,$M373,$O$3:$O373,$O373,$U$3:$U373,1,$P$3:$P373,"&gt;="&amp;EOMONTH($P373,-1)+1,$P$3:$P373,"&lt;"&amp;EOMONTH($P373,0)+1)=1,1,0),0)</f>
        <v>0</v>
      </c>
      <c r="W373" s="444">
        <f ca="1">TODAY()-Table1[[#This Row],[Change Date]]</f>
        <v>285.59652777777956</v>
      </c>
      <c r="X373" s="422">
        <f t="shared" si="59"/>
        <v>45999.379861111112</v>
      </c>
      <c r="Y373" s="476">
        <f ca="1">IF(Table1[[#This Row],[Next Stage Date]]&lt;&gt;"",Table1[[#This Row],[Next Stage Date]]-Table1[[#This Row],[Change Date]],TODAY()-Table1[[#This Row],[Change Date]])</f>
        <v>26.976388888891961</v>
      </c>
      <c r="Z373" s="476">
        <f t="shared" si="60"/>
        <v>0</v>
      </c>
      <c r="AA373" s="422">
        <f t="shared" si="61"/>
        <v>46099.438194444447</v>
      </c>
      <c r="AB373" s="422">
        <f t="shared" si="62"/>
        <v>45999.379861111112</v>
      </c>
      <c r="AC373" s="476">
        <f t="shared" si="63"/>
        <v>251.3798611111124</v>
      </c>
      <c r="AD373" s="476">
        <f t="shared" si="64"/>
        <v>100.0583333333343</v>
      </c>
      <c r="AE373" s="476">
        <f t="shared" si="65"/>
        <v>351.43819444444671</v>
      </c>
      <c r="AF373" s="476" t="b">
        <f>IFERROR(_xlfn.XLOOKUP(Table1[[#This Row],[Opportunity ID]],'Aging Detail'!$H$14:$H$20,'Aging Detail'!$F$14:$F$20),TRUE)</f>
        <v>1</v>
      </c>
    </row>
    <row r="374" spans="1:32">
      <c r="A374" t="s">
        <v>1461</v>
      </c>
      <c r="B374" t="s">
        <v>408</v>
      </c>
      <c r="C374" t="s">
        <v>1469</v>
      </c>
      <c r="D374" t="s">
        <v>2500</v>
      </c>
      <c r="E374" t="s">
        <v>2501</v>
      </c>
      <c r="I374" s="422">
        <v>45684</v>
      </c>
      <c r="J374" s="422">
        <v>46387</v>
      </c>
      <c r="K374">
        <v>30000</v>
      </c>
      <c r="L374">
        <v>30000</v>
      </c>
      <c r="M374" t="s">
        <v>2502</v>
      </c>
      <c r="N374" t="s">
        <v>2503</v>
      </c>
      <c r="O374" t="str">
        <f>_xlfn.IFNA(VLOOKUP(Table1[[#This Row],[Lead Source]],'helper tab'!A:B,2,FALSE),"Exclude")</f>
        <v>Exclude</v>
      </c>
      <c r="P374" s="422">
        <f t="shared" si="55"/>
        <v>45971.438194444447</v>
      </c>
      <c r="Q374">
        <f t="shared" si="56"/>
        <v>0</v>
      </c>
      <c r="R374">
        <f t="shared" si="57"/>
        <v>0</v>
      </c>
      <c r="S374">
        <f>IF(
AND($Q374=1,$M374&lt;&gt;""),
IF(
COUNTIFS(
$M$3:$M374,$M374,
$O$3:$O374,$O374,
$Q$3:$Q374,1,
$P$3:$P374,"&gt;="&amp;EOMONTH($P374,-1)+1,
$P$3:$P374,"&lt;"&amp;EOMONTH($P374,0)+1
)=1,
1,
0),
0)</f>
        <v>0</v>
      </c>
      <c r="T374">
        <f>IF(AND($R374=1,$M374&lt;&gt;""),IF(COUNTIFS($M$3:$M374,$M374,$O$3:$O374,$O374,$R$3:$R374,1,$P$3:$P374,"&gt;="&amp;EOMONTH($P374,-1)+1,$P$3:$P374,"&lt;"&amp;EOMONTH($P374,0)+1)=1,1,0),0)</f>
        <v>0</v>
      </c>
      <c r="U374">
        <f t="shared" si="58"/>
        <v>1</v>
      </c>
      <c r="V374">
        <f>IF(AND($U374=1,$M374&lt;&gt;""),IF(COUNTIFS($M$3:$M374,$M374,$O$3:$O374,$O374,$U$3:$U374,1,$P$3:$P374,"&gt;="&amp;EOMONTH($P374,-1)+1,$P$3:$P374,"&lt;"&amp;EOMONTH($P374,0)+1)=1,1,0),0)</f>
        <v>1</v>
      </c>
      <c r="W374" s="444">
        <f ca="1">TODAY()-Table1[[#This Row],[Change Date]]</f>
        <v>286.56180555555329</v>
      </c>
      <c r="X374" s="422" t="str">
        <f t="shared" si="59"/>
        <v/>
      </c>
      <c r="Y374" s="476">
        <f ca="1">IF(Table1[[#This Row],[Next Stage Date]]&lt;&gt;"",Table1[[#This Row],[Next Stage Date]]-Table1[[#This Row],[Change Date]],TODAY()-Table1[[#This Row],[Change Date]])</f>
        <v>286.56180555555329</v>
      </c>
      <c r="Z374" s="476">
        <f t="shared" si="60"/>
        <v>1</v>
      </c>
      <c r="AA374" s="422" t="str">
        <f t="shared" si="61"/>
        <v/>
      </c>
      <c r="AB374" s="422" t="str">
        <f t="shared" si="62"/>
        <v/>
      </c>
      <c r="AC374" s="476" t="str">
        <f t="shared" si="63"/>
        <v/>
      </c>
      <c r="AD374" s="476" t="str">
        <f t="shared" si="64"/>
        <v/>
      </c>
      <c r="AE374" s="476" t="str">
        <f t="shared" si="65"/>
        <v/>
      </c>
      <c r="AF374" s="476" t="b">
        <f>IFERROR(_xlfn.XLOOKUP(Table1[[#This Row],[Opportunity ID]],'Aging Detail'!$H$14:$H$20,'Aging Detail'!$F$14:$F$20),TRUE)</f>
        <v>1</v>
      </c>
    </row>
    <row r="375" spans="1:32">
      <c r="A375" t="s">
        <v>1461</v>
      </c>
      <c r="B375" t="s">
        <v>338</v>
      </c>
      <c r="C375" t="s">
        <v>1469</v>
      </c>
      <c r="D375" t="s">
        <v>2504</v>
      </c>
      <c r="E375" t="s">
        <v>2505</v>
      </c>
      <c r="I375" s="422">
        <v>45627</v>
      </c>
      <c r="J375" s="422">
        <v>46387</v>
      </c>
      <c r="L375">
        <v>0</v>
      </c>
      <c r="M375" t="s">
        <v>2506</v>
      </c>
      <c r="N375" t="s">
        <v>1634</v>
      </c>
      <c r="O375" t="str">
        <f>_xlfn.IFNA(VLOOKUP(Table1[[#This Row],[Lead Source]],'helper tab'!A:B,2,FALSE),"Exclude")</f>
        <v>Exclude</v>
      </c>
      <c r="P375" s="422">
        <f t="shared" si="55"/>
        <v>45971.434027777781</v>
      </c>
      <c r="Q375">
        <f t="shared" si="56"/>
        <v>0</v>
      </c>
      <c r="R375">
        <f t="shared" si="57"/>
        <v>0</v>
      </c>
      <c r="S375">
        <f>IF(
AND($Q375=1,$M375&lt;&gt;""),
IF(
COUNTIFS(
$M$3:$M375,$M375,
$O$3:$O375,$O375,
$Q$3:$Q375,1,
$P$3:$P375,"&gt;="&amp;EOMONTH($P375,-1)+1,
$P$3:$P375,"&lt;"&amp;EOMONTH($P375,0)+1
)=1,
1,
0),
0)</f>
        <v>0</v>
      </c>
      <c r="T375">
        <f>IF(AND($R375=1,$M375&lt;&gt;""),IF(COUNTIFS($M$3:$M375,$M375,$O$3:$O375,$O375,$R$3:$R375,1,$P$3:$P375,"&gt;="&amp;EOMONTH($P375,-1)+1,$P$3:$P375,"&lt;"&amp;EOMONTH($P375,0)+1)=1,1,0),0)</f>
        <v>0</v>
      </c>
      <c r="U375">
        <f t="shared" si="58"/>
        <v>1</v>
      </c>
      <c r="V375">
        <f>IF(AND($U375=1,$M375&lt;&gt;""),IF(COUNTIFS($M$3:$M375,$M375,$O$3:$O375,$O375,$U$3:$U375,1,$P$3:$P375,"&gt;="&amp;EOMONTH($P375,-1)+1,$P$3:$P375,"&lt;"&amp;EOMONTH($P375,0)+1)=1,1,0),0)</f>
        <v>1</v>
      </c>
      <c r="W375" s="444">
        <f ca="1">TODAY()-Table1[[#This Row],[Change Date]]</f>
        <v>286.56597222221899</v>
      </c>
      <c r="X375" s="422" t="str">
        <f t="shared" si="59"/>
        <v/>
      </c>
      <c r="Y375" s="476">
        <f ca="1">IF(Table1[[#This Row],[Next Stage Date]]&lt;&gt;"",Table1[[#This Row],[Next Stage Date]]-Table1[[#This Row],[Change Date]],TODAY()-Table1[[#This Row],[Change Date]])</f>
        <v>286.56597222221899</v>
      </c>
      <c r="Z375" s="476">
        <f t="shared" si="60"/>
        <v>1</v>
      </c>
      <c r="AA375" s="422" t="str">
        <f t="shared" si="61"/>
        <v/>
      </c>
      <c r="AB375" s="422" t="str">
        <f t="shared" si="62"/>
        <v/>
      </c>
      <c r="AC375" s="476" t="str">
        <f t="shared" si="63"/>
        <v/>
      </c>
      <c r="AD375" s="476" t="str">
        <f t="shared" si="64"/>
        <v/>
      </c>
      <c r="AE375" s="476" t="str">
        <f t="shared" si="65"/>
        <v/>
      </c>
      <c r="AF375" s="476" t="b">
        <f>IFERROR(_xlfn.XLOOKUP(Table1[[#This Row],[Opportunity ID]],'Aging Detail'!$H$14:$H$20,'Aging Detail'!$F$14:$F$20),TRUE)</f>
        <v>1</v>
      </c>
    </row>
    <row r="376" spans="1:32">
      <c r="A376" t="s">
        <v>1461</v>
      </c>
      <c r="B376" t="s">
        <v>408</v>
      </c>
      <c r="C376" t="s">
        <v>1469</v>
      </c>
      <c r="D376" t="s">
        <v>2507</v>
      </c>
      <c r="E376" t="s">
        <v>2508</v>
      </c>
      <c r="F376" t="s">
        <v>1484</v>
      </c>
      <c r="I376" s="422">
        <v>45370</v>
      </c>
      <c r="J376" s="422">
        <v>46266</v>
      </c>
      <c r="L376">
        <v>0</v>
      </c>
      <c r="M376" t="s">
        <v>2509</v>
      </c>
      <c r="N376" t="s">
        <v>2099</v>
      </c>
      <c r="O376" t="str">
        <f>_xlfn.IFNA(VLOOKUP(Table1[[#This Row],[Lead Source]],'helper tab'!A:B,2,FALSE),"Exclude")</f>
        <v>Exclude</v>
      </c>
      <c r="P376" s="422">
        <f t="shared" si="55"/>
        <v>45971.412499999999</v>
      </c>
      <c r="Q376">
        <f t="shared" si="56"/>
        <v>0</v>
      </c>
      <c r="R376">
        <f t="shared" si="57"/>
        <v>0</v>
      </c>
      <c r="S376">
        <f>IF(
AND($Q376=1,$M376&lt;&gt;""),
IF(
COUNTIFS(
$M$3:$M376,$M376,
$O$3:$O376,$O376,
$Q$3:$Q376,1,
$P$3:$P376,"&gt;="&amp;EOMONTH($P376,-1)+1,
$P$3:$P376,"&lt;"&amp;EOMONTH($P376,0)+1
)=1,
1,
0),
0)</f>
        <v>0</v>
      </c>
      <c r="T376">
        <f>IF(AND($R376=1,$M376&lt;&gt;""),IF(COUNTIFS($M$3:$M376,$M376,$O$3:$O376,$O376,$R$3:$R376,1,$P$3:$P376,"&gt;="&amp;EOMONTH($P376,-1)+1,$P$3:$P376,"&lt;"&amp;EOMONTH($P376,0)+1)=1,1,0),0)</f>
        <v>0</v>
      </c>
      <c r="U376">
        <f t="shared" si="58"/>
        <v>1</v>
      </c>
      <c r="V376">
        <f>IF(AND($U376=1,$M376&lt;&gt;""),IF(COUNTIFS($M$3:$M376,$M376,$O$3:$O376,$O376,$U$3:$U376,1,$P$3:$P376,"&gt;="&amp;EOMONTH($P376,-1)+1,$P$3:$P376,"&lt;"&amp;EOMONTH($P376,0)+1)=1,1,0),0)</f>
        <v>1</v>
      </c>
      <c r="W376" s="444">
        <f ca="1">TODAY()-Table1[[#This Row],[Change Date]]</f>
        <v>286.58750000000146</v>
      </c>
      <c r="X376" s="422" t="str">
        <f t="shared" si="59"/>
        <v/>
      </c>
      <c r="Y376" s="476">
        <f ca="1">IF(Table1[[#This Row],[Next Stage Date]]&lt;&gt;"",Table1[[#This Row],[Next Stage Date]]-Table1[[#This Row],[Change Date]],TODAY()-Table1[[#This Row],[Change Date]])</f>
        <v>286.58750000000146</v>
      </c>
      <c r="Z376" s="476">
        <f t="shared" si="60"/>
        <v>1</v>
      </c>
      <c r="AA376" s="422" t="str">
        <f t="shared" si="61"/>
        <v/>
      </c>
      <c r="AB376" s="422" t="str">
        <f t="shared" si="62"/>
        <v/>
      </c>
      <c r="AC376" s="476" t="str">
        <f t="shared" si="63"/>
        <v/>
      </c>
      <c r="AD376" s="476" t="str">
        <f t="shared" si="64"/>
        <v/>
      </c>
      <c r="AE376" s="476" t="str">
        <f t="shared" si="65"/>
        <v/>
      </c>
      <c r="AF376" s="476" t="b">
        <f>IFERROR(_xlfn.XLOOKUP(Table1[[#This Row],[Opportunity ID]],'Aging Detail'!$H$14:$H$20,'Aging Detail'!$F$14:$F$20),TRUE)</f>
        <v>1</v>
      </c>
    </row>
    <row r="377" spans="1:32">
      <c r="A377" t="s">
        <v>1461</v>
      </c>
      <c r="B377" t="s">
        <v>338</v>
      </c>
      <c r="C377" t="s">
        <v>1469</v>
      </c>
      <c r="D377" t="s">
        <v>2510</v>
      </c>
      <c r="E377" t="s">
        <v>2511</v>
      </c>
      <c r="F377" t="s">
        <v>1484</v>
      </c>
      <c r="I377" s="422">
        <v>45469</v>
      </c>
      <c r="J377" s="422">
        <v>46203</v>
      </c>
      <c r="K377">
        <v>109200</v>
      </c>
      <c r="L377">
        <v>109200</v>
      </c>
      <c r="M377" t="s">
        <v>2512</v>
      </c>
      <c r="N377" t="s">
        <v>1634</v>
      </c>
      <c r="O377" t="str">
        <f>_xlfn.IFNA(VLOOKUP(Table1[[#This Row],[Lead Source]],'helper tab'!A:B,2,FALSE),"Exclude")</f>
        <v>Exclude</v>
      </c>
      <c r="P377" s="422">
        <f t="shared" si="55"/>
        <v>45971.411805555559</v>
      </c>
      <c r="Q377">
        <f t="shared" si="56"/>
        <v>0</v>
      </c>
      <c r="R377">
        <f t="shared" si="57"/>
        <v>0</v>
      </c>
      <c r="S377">
        <f>IF(
AND($Q377=1,$M377&lt;&gt;""),
IF(
COUNTIFS(
$M$3:$M377,$M377,
$O$3:$O377,$O377,
$Q$3:$Q377,1,
$P$3:$P377,"&gt;="&amp;EOMONTH($P377,-1)+1,
$P$3:$P377,"&lt;"&amp;EOMONTH($P377,0)+1
)=1,
1,
0),
0)</f>
        <v>0</v>
      </c>
      <c r="T377">
        <f>IF(AND($R377=1,$M377&lt;&gt;""),IF(COUNTIFS($M$3:$M377,$M377,$O$3:$O377,$O377,$R$3:$R377,1,$P$3:$P377,"&gt;="&amp;EOMONTH($P377,-1)+1,$P$3:$P377,"&lt;"&amp;EOMONTH($P377,0)+1)=1,1,0),0)</f>
        <v>0</v>
      </c>
      <c r="U377">
        <f t="shared" si="58"/>
        <v>1</v>
      </c>
      <c r="V377">
        <f>IF(AND($U377=1,$M377&lt;&gt;""),IF(COUNTIFS($M$3:$M377,$M377,$O$3:$O377,$O377,$U$3:$U377,1,$P$3:$P377,"&gt;="&amp;EOMONTH($P377,-1)+1,$P$3:$P377,"&lt;"&amp;EOMONTH($P377,0)+1)=1,1,0),0)</f>
        <v>1</v>
      </c>
      <c r="W377" s="444">
        <f ca="1">TODAY()-Table1[[#This Row],[Change Date]]</f>
        <v>286.58819444444089</v>
      </c>
      <c r="X377" s="422" t="str">
        <f t="shared" si="59"/>
        <v/>
      </c>
      <c r="Y377" s="476">
        <f ca="1">IF(Table1[[#This Row],[Next Stage Date]]&lt;&gt;"",Table1[[#This Row],[Next Stage Date]]-Table1[[#This Row],[Change Date]],TODAY()-Table1[[#This Row],[Change Date]])</f>
        <v>286.58819444444089</v>
      </c>
      <c r="Z377" s="476">
        <f t="shared" si="60"/>
        <v>1</v>
      </c>
      <c r="AA377" s="422" t="str">
        <f t="shared" si="61"/>
        <v/>
      </c>
      <c r="AB377" s="422" t="str">
        <f t="shared" si="62"/>
        <v/>
      </c>
      <c r="AC377" s="476" t="str">
        <f t="shared" si="63"/>
        <v/>
      </c>
      <c r="AD377" s="476" t="str">
        <f t="shared" si="64"/>
        <v/>
      </c>
      <c r="AE377" s="476" t="str">
        <f t="shared" si="65"/>
        <v/>
      </c>
      <c r="AF377" s="476" t="b">
        <f>IFERROR(_xlfn.XLOOKUP(Table1[[#This Row],[Opportunity ID]],'Aging Detail'!$H$14:$H$20,'Aging Detail'!$F$14:$F$20),TRUE)</f>
        <v>1</v>
      </c>
    </row>
    <row r="378" spans="1:32">
      <c r="A378" t="s">
        <v>1461</v>
      </c>
      <c r="B378" t="s">
        <v>408</v>
      </c>
      <c r="C378" t="s">
        <v>1469</v>
      </c>
      <c r="D378" t="s">
        <v>2513</v>
      </c>
      <c r="E378" t="s">
        <v>2514</v>
      </c>
      <c r="H378" t="s">
        <v>2515</v>
      </c>
      <c r="I378" s="422">
        <v>45680</v>
      </c>
      <c r="J378" s="422">
        <v>46173</v>
      </c>
      <c r="K378">
        <v>480000</v>
      </c>
      <c r="L378">
        <v>480000</v>
      </c>
      <c r="M378" t="s">
        <v>2516</v>
      </c>
      <c r="N378" t="s">
        <v>1691</v>
      </c>
      <c r="O378" t="str">
        <f>_xlfn.IFNA(VLOOKUP(Table1[[#This Row],[Lead Source]],'helper tab'!A:B,2,FALSE),"Exclude")</f>
        <v>Exclude</v>
      </c>
      <c r="P378" s="422">
        <f t="shared" si="55"/>
        <v>45971.408333333333</v>
      </c>
      <c r="Q378">
        <f t="shared" si="56"/>
        <v>0</v>
      </c>
      <c r="R378">
        <f t="shared" si="57"/>
        <v>0</v>
      </c>
      <c r="S378">
        <f>IF(
AND($Q378=1,$M378&lt;&gt;""),
IF(
COUNTIFS(
$M$3:$M378,$M378,
$O$3:$O378,$O378,
$Q$3:$Q378,1,
$P$3:$P378,"&gt;="&amp;EOMONTH($P378,-1)+1,
$P$3:$P378,"&lt;"&amp;EOMONTH($P378,0)+1
)=1,
1,
0),
0)</f>
        <v>0</v>
      </c>
      <c r="T378">
        <f>IF(AND($R378=1,$M378&lt;&gt;""),IF(COUNTIFS($M$3:$M378,$M378,$O$3:$O378,$O378,$R$3:$R378,1,$P$3:$P378,"&gt;="&amp;EOMONTH($P378,-1)+1,$P$3:$P378,"&lt;"&amp;EOMONTH($P378,0)+1)=1,1,0),0)</f>
        <v>0</v>
      </c>
      <c r="U378">
        <f t="shared" si="58"/>
        <v>1</v>
      </c>
      <c r="V378">
        <f>IF(AND($U378=1,$M378&lt;&gt;""),IF(COUNTIFS($M$3:$M378,$M378,$O$3:$O378,$O378,$U$3:$U378,1,$P$3:$P378,"&gt;="&amp;EOMONTH($P378,-1)+1,$P$3:$P378,"&lt;"&amp;EOMONTH($P378,0)+1)=1,1,0),0)</f>
        <v>1</v>
      </c>
      <c r="W378" s="444">
        <f ca="1">TODAY()-Table1[[#This Row],[Change Date]]</f>
        <v>286.59166666666715</v>
      </c>
      <c r="X378" s="422" t="str">
        <f t="shared" si="59"/>
        <v/>
      </c>
      <c r="Y378" s="476">
        <f ca="1">IF(Table1[[#This Row],[Next Stage Date]]&lt;&gt;"",Table1[[#This Row],[Next Stage Date]]-Table1[[#This Row],[Change Date]],TODAY()-Table1[[#This Row],[Change Date]])</f>
        <v>286.59166666666715</v>
      </c>
      <c r="Z378" s="476">
        <f t="shared" si="60"/>
        <v>1</v>
      </c>
      <c r="AA378" s="422" t="str">
        <f t="shared" si="61"/>
        <v/>
      </c>
      <c r="AB378" s="422" t="str">
        <f t="shared" si="62"/>
        <v/>
      </c>
      <c r="AC378" s="476" t="str">
        <f t="shared" si="63"/>
        <v/>
      </c>
      <c r="AD378" s="476" t="str">
        <f t="shared" si="64"/>
        <v/>
      </c>
      <c r="AE378" s="476" t="str">
        <f t="shared" si="65"/>
        <v/>
      </c>
      <c r="AF378" s="476" t="b">
        <f>IFERROR(_xlfn.XLOOKUP(Table1[[#This Row],[Opportunity ID]],'Aging Detail'!$H$14:$H$20,'Aging Detail'!$F$14:$F$20),TRUE)</f>
        <v>1</v>
      </c>
    </row>
    <row r="379" spans="1:32">
      <c r="A379" t="s">
        <v>1461</v>
      </c>
      <c r="B379" t="s">
        <v>408</v>
      </c>
      <c r="C379" t="s">
        <v>1469</v>
      </c>
      <c r="D379" t="s">
        <v>2517</v>
      </c>
      <c r="E379" t="s">
        <v>2518</v>
      </c>
      <c r="F379" t="s">
        <v>1484</v>
      </c>
      <c r="I379" s="422">
        <v>45644</v>
      </c>
      <c r="J379" s="422">
        <v>46112</v>
      </c>
      <c r="K379">
        <v>0</v>
      </c>
      <c r="L379">
        <v>0</v>
      </c>
      <c r="M379" t="s">
        <v>2519</v>
      </c>
      <c r="N379" t="s">
        <v>1634</v>
      </c>
      <c r="O379" t="str">
        <f>_xlfn.IFNA(VLOOKUP(Table1[[#This Row],[Lead Source]],'helper tab'!A:B,2,FALSE),"Exclude")</f>
        <v>Exclude</v>
      </c>
      <c r="P379" s="422">
        <f t="shared" si="55"/>
        <v>45971.40625</v>
      </c>
      <c r="Q379">
        <f t="shared" si="56"/>
        <v>0</v>
      </c>
      <c r="R379">
        <f t="shared" si="57"/>
        <v>0</v>
      </c>
      <c r="S379">
        <f>IF(
AND($Q379=1,$M379&lt;&gt;""),
IF(
COUNTIFS(
$M$3:$M379,$M379,
$O$3:$O379,$O379,
$Q$3:$Q379,1,
$P$3:$P379,"&gt;="&amp;EOMONTH($P379,-1)+1,
$P$3:$P379,"&lt;"&amp;EOMONTH($P379,0)+1
)=1,
1,
0),
0)</f>
        <v>0</v>
      </c>
      <c r="T379">
        <f>IF(AND($R379=1,$M379&lt;&gt;""),IF(COUNTIFS($M$3:$M379,$M379,$O$3:$O379,$O379,$R$3:$R379,1,$P$3:$P379,"&gt;="&amp;EOMONTH($P379,-1)+1,$P$3:$P379,"&lt;"&amp;EOMONTH($P379,0)+1)=1,1,0),0)</f>
        <v>0</v>
      </c>
      <c r="U379">
        <f t="shared" si="58"/>
        <v>1</v>
      </c>
      <c r="V379">
        <f>IF(AND($U379=1,$M379&lt;&gt;""),IF(COUNTIFS($M$3:$M379,$M379,$O$3:$O379,$O379,$U$3:$U379,1,$P$3:$P379,"&gt;="&amp;EOMONTH($P379,-1)+1,$P$3:$P379,"&lt;"&amp;EOMONTH($P379,0)+1)=1,1,0),0)</f>
        <v>1</v>
      </c>
      <c r="W379" s="444">
        <f ca="1">TODAY()-Table1[[#This Row],[Change Date]]</f>
        <v>286.59375</v>
      </c>
      <c r="X379" s="422" t="str">
        <f t="shared" si="59"/>
        <v/>
      </c>
      <c r="Y379" s="476">
        <f ca="1">IF(Table1[[#This Row],[Next Stage Date]]&lt;&gt;"",Table1[[#This Row],[Next Stage Date]]-Table1[[#This Row],[Change Date]],TODAY()-Table1[[#This Row],[Change Date]])</f>
        <v>286.59375</v>
      </c>
      <c r="Z379" s="476">
        <f t="shared" si="60"/>
        <v>1</v>
      </c>
      <c r="AA379" s="422" t="str">
        <f t="shared" si="61"/>
        <v/>
      </c>
      <c r="AB379" s="422" t="str">
        <f t="shared" si="62"/>
        <v/>
      </c>
      <c r="AC379" s="476" t="str">
        <f t="shared" si="63"/>
        <v/>
      </c>
      <c r="AD379" s="476" t="str">
        <f t="shared" si="64"/>
        <v/>
      </c>
      <c r="AE379" s="476" t="str">
        <f t="shared" si="65"/>
        <v/>
      </c>
      <c r="AF379" s="476" t="b">
        <f>IFERROR(_xlfn.XLOOKUP(Table1[[#This Row],[Opportunity ID]],'Aging Detail'!$H$14:$H$20,'Aging Detail'!$F$14:$F$20),TRUE)</f>
        <v>1</v>
      </c>
    </row>
    <row r="380" spans="1:32">
      <c r="A380" t="s">
        <v>1461</v>
      </c>
      <c r="B380" t="s">
        <v>1462</v>
      </c>
      <c r="C380" t="s">
        <v>1469</v>
      </c>
      <c r="D380" t="s">
        <v>2520</v>
      </c>
      <c r="E380" t="s">
        <v>2521</v>
      </c>
      <c r="I380" s="422">
        <v>45523</v>
      </c>
      <c r="J380" s="422">
        <v>46112</v>
      </c>
      <c r="K380">
        <v>0</v>
      </c>
      <c r="L380">
        <v>0</v>
      </c>
      <c r="M380" t="s">
        <v>2522</v>
      </c>
      <c r="N380" t="s">
        <v>1634</v>
      </c>
      <c r="O380" t="str">
        <f>_xlfn.IFNA(VLOOKUP(Table1[[#This Row],[Lead Source]],'helper tab'!A:B,2,FALSE),"Exclude")</f>
        <v>Exclude</v>
      </c>
      <c r="P380" s="422">
        <f t="shared" si="55"/>
        <v>45971.405555555553</v>
      </c>
      <c r="Q380">
        <f t="shared" si="56"/>
        <v>0</v>
      </c>
      <c r="R380">
        <f t="shared" si="57"/>
        <v>0</v>
      </c>
      <c r="S380">
        <f>IF(
AND($Q380=1,$M380&lt;&gt;""),
IF(
COUNTIFS(
$M$3:$M380,$M380,
$O$3:$O380,$O380,
$Q$3:$Q380,1,
$P$3:$P380,"&gt;="&amp;EOMONTH($P380,-1)+1,
$P$3:$P380,"&lt;"&amp;EOMONTH($P380,0)+1
)=1,
1,
0),
0)</f>
        <v>0</v>
      </c>
      <c r="T380">
        <f>IF(AND($R380=1,$M380&lt;&gt;""),IF(COUNTIFS($M$3:$M380,$M380,$O$3:$O380,$O380,$R$3:$R380,1,$P$3:$P380,"&gt;="&amp;EOMONTH($P380,-1)+1,$P$3:$P380,"&lt;"&amp;EOMONTH($P380,0)+1)=1,1,0),0)</f>
        <v>0</v>
      </c>
      <c r="U380">
        <f t="shared" si="58"/>
        <v>1</v>
      </c>
      <c r="V380">
        <f>IF(AND($U380=1,$M380&lt;&gt;""),IF(COUNTIFS($M$3:$M380,$M380,$O$3:$O380,$O380,$U$3:$U380,1,$P$3:$P380,"&gt;="&amp;EOMONTH($P380,-1)+1,$P$3:$P380,"&lt;"&amp;EOMONTH($P380,0)+1)=1,1,0),0)</f>
        <v>1</v>
      </c>
      <c r="W380" s="444">
        <f ca="1">TODAY()-Table1[[#This Row],[Change Date]]</f>
        <v>286.59444444444671</v>
      </c>
      <c r="X380" s="422" t="str">
        <f t="shared" si="59"/>
        <v/>
      </c>
      <c r="Y380" s="476">
        <f ca="1">IF(Table1[[#This Row],[Next Stage Date]]&lt;&gt;"",Table1[[#This Row],[Next Stage Date]]-Table1[[#This Row],[Change Date]],TODAY()-Table1[[#This Row],[Change Date]])</f>
        <v>286.59444444444671</v>
      </c>
      <c r="Z380" s="476">
        <f t="shared" si="60"/>
        <v>1</v>
      </c>
      <c r="AA380" s="422" t="str">
        <f t="shared" si="61"/>
        <v/>
      </c>
      <c r="AB380" s="422" t="str">
        <f t="shared" si="62"/>
        <v/>
      </c>
      <c r="AC380" s="476" t="str">
        <f t="shared" si="63"/>
        <v/>
      </c>
      <c r="AD380" s="476" t="str">
        <f t="shared" si="64"/>
        <v/>
      </c>
      <c r="AE380" s="476" t="str">
        <f t="shared" si="65"/>
        <v/>
      </c>
      <c r="AF380" s="476" t="b">
        <f>IFERROR(_xlfn.XLOOKUP(Table1[[#This Row],[Opportunity ID]],'Aging Detail'!$H$14:$H$20,'Aging Detail'!$F$14:$F$20),TRUE)</f>
        <v>1</v>
      </c>
    </row>
    <row r="381" spans="1:32">
      <c r="A381" t="s">
        <v>1461</v>
      </c>
      <c r="B381" t="s">
        <v>408</v>
      </c>
      <c r="C381" t="s">
        <v>1469</v>
      </c>
      <c r="D381" t="s">
        <v>2520</v>
      </c>
      <c r="E381" t="s">
        <v>2523</v>
      </c>
      <c r="F381" t="s">
        <v>1484</v>
      </c>
      <c r="I381" s="422">
        <v>45405</v>
      </c>
      <c r="J381" s="422">
        <v>46112</v>
      </c>
      <c r="K381">
        <v>0</v>
      </c>
      <c r="L381">
        <v>0</v>
      </c>
      <c r="M381" t="s">
        <v>2524</v>
      </c>
      <c r="N381" t="s">
        <v>1634</v>
      </c>
      <c r="O381" t="str">
        <f>_xlfn.IFNA(VLOOKUP(Table1[[#This Row],[Lead Source]],'helper tab'!A:B,2,FALSE),"Exclude")</f>
        <v>Exclude</v>
      </c>
      <c r="P381" s="422">
        <f t="shared" si="55"/>
        <v>45971.405555555553</v>
      </c>
      <c r="Q381">
        <f t="shared" si="56"/>
        <v>0</v>
      </c>
      <c r="R381">
        <f t="shared" si="57"/>
        <v>0</v>
      </c>
      <c r="S381">
        <f>IF(
AND($Q381=1,$M381&lt;&gt;""),
IF(
COUNTIFS(
$M$3:$M381,$M381,
$O$3:$O381,$O381,
$Q$3:$Q381,1,
$P$3:$P381,"&gt;="&amp;EOMONTH($P381,-1)+1,
$P$3:$P381,"&lt;"&amp;EOMONTH($P381,0)+1
)=1,
1,
0),
0)</f>
        <v>0</v>
      </c>
      <c r="T381">
        <f>IF(AND($R381=1,$M381&lt;&gt;""),IF(COUNTIFS($M$3:$M381,$M381,$O$3:$O381,$O381,$R$3:$R381,1,$P$3:$P381,"&gt;="&amp;EOMONTH($P381,-1)+1,$P$3:$P381,"&lt;"&amp;EOMONTH($P381,0)+1)=1,1,0),0)</f>
        <v>0</v>
      </c>
      <c r="U381">
        <f t="shared" si="58"/>
        <v>1</v>
      </c>
      <c r="V381">
        <f>IF(AND($U381=1,$M381&lt;&gt;""),IF(COUNTIFS($M$3:$M381,$M381,$O$3:$O381,$O381,$U$3:$U381,1,$P$3:$P381,"&gt;="&amp;EOMONTH($P381,-1)+1,$P$3:$P381,"&lt;"&amp;EOMONTH($P381,0)+1)=1,1,0),0)</f>
        <v>1</v>
      </c>
      <c r="W381" s="444">
        <f ca="1">TODAY()-Table1[[#This Row],[Change Date]]</f>
        <v>286.59444444444671</v>
      </c>
      <c r="X381" s="422" t="str">
        <f t="shared" si="59"/>
        <v/>
      </c>
      <c r="Y381" s="476">
        <f ca="1">IF(Table1[[#This Row],[Next Stage Date]]&lt;&gt;"",Table1[[#This Row],[Next Stage Date]]-Table1[[#This Row],[Change Date]],TODAY()-Table1[[#This Row],[Change Date]])</f>
        <v>286.59444444444671</v>
      </c>
      <c r="Z381" s="476">
        <f t="shared" si="60"/>
        <v>1</v>
      </c>
      <c r="AA381" s="422" t="str">
        <f t="shared" si="61"/>
        <v/>
      </c>
      <c r="AB381" s="422" t="str">
        <f t="shared" si="62"/>
        <v/>
      </c>
      <c r="AC381" s="476" t="str">
        <f t="shared" si="63"/>
        <v/>
      </c>
      <c r="AD381" s="476" t="str">
        <f t="shared" si="64"/>
        <v/>
      </c>
      <c r="AE381" s="476" t="str">
        <f t="shared" si="65"/>
        <v/>
      </c>
      <c r="AF381" s="476" t="b">
        <f>IFERROR(_xlfn.XLOOKUP(Table1[[#This Row],[Opportunity ID]],'Aging Detail'!$H$14:$H$20,'Aging Detail'!$F$14:$F$20),TRUE)</f>
        <v>1</v>
      </c>
    </row>
    <row r="382" spans="1:32">
      <c r="A382" t="s">
        <v>1461</v>
      </c>
      <c r="B382" t="s">
        <v>408</v>
      </c>
      <c r="C382" t="s">
        <v>1462</v>
      </c>
      <c r="D382" t="s">
        <v>2525</v>
      </c>
      <c r="E382" t="s">
        <v>2526</v>
      </c>
      <c r="F382" t="s">
        <v>1468</v>
      </c>
      <c r="G382" t="s">
        <v>470</v>
      </c>
      <c r="I382" s="422">
        <v>45930</v>
      </c>
      <c r="J382" s="422">
        <v>46290</v>
      </c>
      <c r="K382">
        <v>557800</v>
      </c>
      <c r="L382">
        <v>217800</v>
      </c>
      <c r="M382" t="s">
        <v>2527</v>
      </c>
      <c r="N382" t="s">
        <v>2526</v>
      </c>
      <c r="O382" t="str">
        <f>_xlfn.IFNA(VLOOKUP(Table1[[#This Row],[Lead Source]],'helper tab'!A:B,2,FALSE),"Exclude")</f>
        <v>Events</v>
      </c>
      <c r="P382" s="422">
        <f t="shared" si="55"/>
        <v>45971.345138888886</v>
      </c>
      <c r="Q382">
        <f t="shared" si="56"/>
        <v>0</v>
      </c>
      <c r="R382">
        <f t="shared" si="57"/>
        <v>0</v>
      </c>
      <c r="S382">
        <f>IF(
AND($Q382=1,$M382&lt;&gt;""),
IF(
COUNTIFS(
$M$3:$M382,$M382,
$O$3:$O382,$O382,
$Q$3:$Q382,1,
$P$3:$P382,"&gt;="&amp;EOMONTH($P382,-1)+1,
$P$3:$P382,"&lt;"&amp;EOMONTH($P382,0)+1
)=1,
1,
0),
0)</f>
        <v>0</v>
      </c>
      <c r="T382">
        <f>IF(AND($R382=1,$M382&lt;&gt;""),IF(COUNTIFS($M$3:$M382,$M382,$O$3:$O382,$O382,$R$3:$R382,1,$P$3:$P382,"&gt;="&amp;EOMONTH($P382,-1)+1,$P$3:$P382,"&lt;"&amp;EOMONTH($P382,0)+1)=1,1,0),0)</f>
        <v>0</v>
      </c>
      <c r="U382">
        <f t="shared" si="58"/>
        <v>0</v>
      </c>
      <c r="V382">
        <f>IF(AND($U382=1,$M382&lt;&gt;""),IF(COUNTIFS($M$3:$M382,$M382,$O$3:$O382,$O382,$U$3:$U382,1,$P$3:$P382,"&gt;="&amp;EOMONTH($P382,-1)+1,$P$3:$P382,"&lt;"&amp;EOMONTH($P382,0)+1)=1,1,0),0)</f>
        <v>0</v>
      </c>
      <c r="W382" s="444">
        <f ca="1">TODAY()-Table1[[#This Row],[Change Date]]</f>
        <v>286.65486111111386</v>
      </c>
      <c r="X382" s="422" t="str">
        <f t="shared" si="59"/>
        <v/>
      </c>
      <c r="Y382" s="476">
        <f ca="1">IF(Table1[[#This Row],[Next Stage Date]]&lt;&gt;"",Table1[[#This Row],[Next Stage Date]]-Table1[[#This Row],[Change Date]],TODAY()-Table1[[#This Row],[Change Date]])</f>
        <v>286.65486111111386</v>
      </c>
      <c r="Z382" s="476">
        <f t="shared" si="60"/>
        <v>1</v>
      </c>
      <c r="AA382" s="422" t="str">
        <f t="shared" si="61"/>
        <v/>
      </c>
      <c r="AB382" s="422" t="str">
        <f t="shared" si="62"/>
        <v/>
      </c>
      <c r="AC382" s="476" t="str">
        <f t="shared" si="63"/>
        <v/>
      </c>
      <c r="AD382" s="476" t="str">
        <f t="shared" si="64"/>
        <v/>
      </c>
      <c r="AE382" s="476" t="str">
        <f t="shared" si="65"/>
        <v/>
      </c>
      <c r="AF382" s="476" t="b">
        <f>IFERROR(_xlfn.XLOOKUP(Table1[[#This Row],[Opportunity ID]],'Aging Detail'!$H$14:$H$20,'Aging Detail'!$F$14:$F$20),TRUE)</f>
        <v>1</v>
      </c>
    </row>
    <row r="383" spans="1:32">
      <c r="A383" t="s">
        <v>1461</v>
      </c>
      <c r="B383" t="s">
        <v>1462</v>
      </c>
      <c r="C383" t="s">
        <v>563</v>
      </c>
      <c r="D383" t="s">
        <v>2528</v>
      </c>
      <c r="E383" t="s">
        <v>2529</v>
      </c>
      <c r="F383" t="s">
        <v>1484</v>
      </c>
      <c r="I383" s="422">
        <v>45597</v>
      </c>
      <c r="J383" s="422">
        <v>45961</v>
      </c>
      <c r="K383">
        <v>1567320</v>
      </c>
      <c r="L383">
        <v>45652</v>
      </c>
      <c r="M383" t="s">
        <v>2530</v>
      </c>
      <c r="N383" t="s">
        <v>2099</v>
      </c>
      <c r="O383" t="str">
        <f>_xlfn.IFNA(VLOOKUP(Table1[[#This Row],[Lead Source]],'helper tab'!A:B,2,FALSE),"Exclude")</f>
        <v>Exclude</v>
      </c>
      <c r="P383" s="422">
        <f t="shared" si="55"/>
        <v>45968.569444444445</v>
      </c>
      <c r="Q383">
        <f t="shared" si="56"/>
        <v>0</v>
      </c>
      <c r="R383">
        <f t="shared" si="57"/>
        <v>1</v>
      </c>
      <c r="S383">
        <f>IF(
AND($Q383=1,$M383&lt;&gt;""),
IF(
COUNTIFS(
$M$3:$M383,$M383,
$O$3:$O383,$O383,
$Q$3:$Q383,1,
$P$3:$P383,"&gt;="&amp;EOMONTH($P383,-1)+1,
$P$3:$P383,"&lt;"&amp;EOMONTH($P383,0)+1
)=1,
1,
0),
0)</f>
        <v>0</v>
      </c>
      <c r="T383">
        <f>IF(AND($R383=1,$M383&lt;&gt;""),IF(COUNTIFS($M$3:$M383,$M383,$O$3:$O383,$O383,$R$3:$R383,1,$P$3:$P383,"&gt;="&amp;EOMONTH($P383,-1)+1,$P$3:$P383,"&lt;"&amp;EOMONTH($P383,0)+1)=1,1,0),0)</f>
        <v>1</v>
      </c>
      <c r="U383">
        <f t="shared" si="58"/>
        <v>0</v>
      </c>
      <c r="V383">
        <f>IF(AND($U383=1,$M383&lt;&gt;""),IF(COUNTIFS($M$3:$M383,$M383,$O$3:$O383,$O383,$U$3:$U383,1,$P$3:$P383,"&gt;="&amp;EOMONTH($P383,-1)+1,$P$3:$P383,"&lt;"&amp;EOMONTH($P383,0)+1)=1,1,0),0)</f>
        <v>0</v>
      </c>
      <c r="W383" s="444">
        <f ca="1">TODAY()-Table1[[#This Row],[Change Date]]</f>
        <v>289.43055555555475</v>
      </c>
      <c r="X383" s="422" t="str">
        <f t="shared" si="59"/>
        <v/>
      </c>
      <c r="Y383" s="476">
        <f ca="1">IF(Table1[[#This Row],[Next Stage Date]]&lt;&gt;"",Table1[[#This Row],[Next Stage Date]]-Table1[[#This Row],[Change Date]],TODAY()-Table1[[#This Row],[Change Date]])</f>
        <v>289.43055555555475</v>
      </c>
      <c r="Z383" s="476">
        <f t="shared" si="60"/>
        <v>1</v>
      </c>
      <c r="AA383" s="422">
        <f t="shared" si="61"/>
        <v>45968.569444444445</v>
      </c>
      <c r="AB383" s="422" t="str">
        <f t="shared" si="62"/>
        <v/>
      </c>
      <c r="AC383" s="476" t="str">
        <f t="shared" si="63"/>
        <v/>
      </c>
      <c r="AD383" s="476" t="str">
        <f t="shared" si="64"/>
        <v/>
      </c>
      <c r="AE383" s="476">
        <f t="shared" si="65"/>
        <v>371.56944444444525</v>
      </c>
      <c r="AF383" s="476" t="b">
        <f>IFERROR(_xlfn.XLOOKUP(Table1[[#This Row],[Opportunity ID]],'Aging Detail'!$H$14:$H$20,'Aging Detail'!$F$14:$F$20),TRUE)</f>
        <v>1</v>
      </c>
    </row>
    <row r="384" spans="1:32">
      <c r="A384" t="s">
        <v>1461</v>
      </c>
      <c r="B384" t="s">
        <v>338</v>
      </c>
      <c r="C384" t="s">
        <v>462</v>
      </c>
      <c r="D384" t="s">
        <v>2531</v>
      </c>
      <c r="E384" t="s">
        <v>2462</v>
      </c>
      <c r="F384" t="s">
        <v>1465</v>
      </c>
      <c r="I384" s="422">
        <v>45960</v>
      </c>
      <c r="J384" s="422">
        <v>45986</v>
      </c>
      <c r="L384">
        <v>0</v>
      </c>
      <c r="M384" t="s">
        <v>2463</v>
      </c>
      <c r="N384" t="s">
        <v>1634</v>
      </c>
      <c r="O384" t="str">
        <f>_xlfn.IFNA(VLOOKUP(Table1[[#This Row],[Lead Source]],'helper tab'!A:B,2,FALSE),"Exclude")</f>
        <v>Exclude</v>
      </c>
      <c r="P384" s="422">
        <f t="shared" si="55"/>
        <v>45968.520138888889</v>
      </c>
      <c r="Q384">
        <f t="shared" si="56"/>
        <v>1</v>
      </c>
      <c r="R384">
        <f t="shared" si="57"/>
        <v>0</v>
      </c>
      <c r="S384">
        <f>IF(
AND($Q384=1,$M384&lt;&gt;""),
IF(
COUNTIFS(
$M$3:$M384,$M384,
$O$3:$O384,$O384,
$Q$3:$Q384,1,
$P$3:$P384,"&gt;="&amp;EOMONTH($P384,-1)+1,
$P$3:$P384,"&lt;"&amp;EOMONTH($P384,0)+1
)=1,
1,
0),
0)</f>
        <v>1</v>
      </c>
      <c r="T384">
        <f>IF(AND($R384=1,$M384&lt;&gt;""),IF(COUNTIFS($M$3:$M384,$M384,$O$3:$O384,$O384,$R$3:$R384,1,$P$3:$P384,"&gt;="&amp;EOMONTH($P384,-1)+1,$P$3:$P384,"&lt;"&amp;EOMONTH($P384,0)+1)=1,1,0),0)</f>
        <v>0</v>
      </c>
      <c r="U384">
        <f t="shared" si="58"/>
        <v>0</v>
      </c>
      <c r="V384">
        <f>IF(AND($U384=1,$M384&lt;&gt;""),IF(COUNTIFS($M$3:$M384,$M384,$O$3:$O384,$O384,$U$3:$U384,1,$P$3:$P384,"&gt;="&amp;EOMONTH($P384,-1)+1,$P$3:$P384,"&lt;"&amp;EOMONTH($P384,0)+1)=1,1,0),0)</f>
        <v>0</v>
      </c>
      <c r="W384" s="444">
        <f ca="1">TODAY()-Table1[[#This Row],[Change Date]]</f>
        <v>289.47986111111095</v>
      </c>
      <c r="X384" s="422">
        <f t="shared" si="59"/>
        <v>45986.602083333331</v>
      </c>
      <c r="Y384" s="476">
        <f ca="1">IF(Table1[[#This Row],[Next Stage Date]]&lt;&gt;"",Table1[[#This Row],[Next Stage Date]]-Table1[[#This Row],[Change Date]],TODAY()-Table1[[#This Row],[Change Date]])</f>
        <v>18.081944444442343</v>
      </c>
      <c r="Z384" s="476">
        <f t="shared" si="60"/>
        <v>0</v>
      </c>
      <c r="AA384" s="422">
        <f t="shared" si="61"/>
        <v>45986.602083333331</v>
      </c>
      <c r="AB384" s="422">
        <f t="shared" si="62"/>
        <v>45968.520138888889</v>
      </c>
      <c r="AC384" s="476">
        <f t="shared" si="63"/>
        <v>8.5201388888890506</v>
      </c>
      <c r="AD384" s="476">
        <f t="shared" si="64"/>
        <v>18.081944444442343</v>
      </c>
      <c r="AE384" s="476">
        <f t="shared" si="65"/>
        <v>26.602083333331393</v>
      </c>
      <c r="AF384" s="476" t="b">
        <f>IFERROR(_xlfn.XLOOKUP(Table1[[#This Row],[Opportunity ID]],'Aging Detail'!$H$14:$H$20,'Aging Detail'!$F$14:$F$20),TRUE)</f>
        <v>1</v>
      </c>
    </row>
    <row r="385" spans="1:32">
      <c r="A385" t="s">
        <v>1461</v>
      </c>
      <c r="B385" t="s">
        <v>1462</v>
      </c>
      <c r="C385" t="s">
        <v>462</v>
      </c>
      <c r="D385" t="s">
        <v>2532</v>
      </c>
      <c r="E385" t="s">
        <v>1957</v>
      </c>
      <c r="F385" t="s">
        <v>1632</v>
      </c>
      <c r="I385" s="422">
        <v>45903</v>
      </c>
      <c r="J385" s="422">
        <v>46160</v>
      </c>
      <c r="K385">
        <v>510300</v>
      </c>
      <c r="L385">
        <v>0</v>
      </c>
      <c r="M385" t="s">
        <v>1958</v>
      </c>
      <c r="N385" t="s">
        <v>1634</v>
      </c>
      <c r="O385" t="str">
        <f>_xlfn.IFNA(VLOOKUP(Table1[[#This Row],[Lead Source]],'helper tab'!A:B,2,FALSE),"Exclude")</f>
        <v>Exclude</v>
      </c>
      <c r="P385" s="422">
        <f t="shared" si="55"/>
        <v>45968.518750000003</v>
      </c>
      <c r="Q385">
        <f t="shared" si="56"/>
        <v>1</v>
      </c>
      <c r="R385">
        <f t="shared" si="57"/>
        <v>0</v>
      </c>
      <c r="S385">
        <f>IF(
AND($Q385=1,$M385&lt;&gt;""),
IF(
COUNTIFS(
$M$3:$M385,$M385,
$O$3:$O385,$O385,
$Q$3:$Q385,1,
$P$3:$P385,"&gt;="&amp;EOMONTH($P385,-1)+1,
$P$3:$P385,"&lt;"&amp;EOMONTH($P385,0)+1
)=1,
1,
0),
0)</f>
        <v>1</v>
      </c>
      <c r="T385">
        <f>IF(AND($R385=1,$M385&lt;&gt;""),IF(COUNTIFS($M$3:$M385,$M385,$O$3:$O385,$O385,$R$3:$R385,1,$P$3:$P385,"&gt;="&amp;EOMONTH($P385,-1)+1,$P$3:$P385,"&lt;"&amp;EOMONTH($P385,0)+1)=1,1,0),0)</f>
        <v>0</v>
      </c>
      <c r="U385">
        <f t="shared" si="58"/>
        <v>0</v>
      </c>
      <c r="V385">
        <f>IF(AND($U385=1,$M385&lt;&gt;""),IF(COUNTIFS($M$3:$M385,$M385,$O$3:$O385,$O385,$U$3:$U385,1,$P$3:$P385,"&gt;="&amp;EOMONTH($P385,-1)+1,$P$3:$P385,"&lt;"&amp;EOMONTH($P385,0)+1)=1,1,0),0)</f>
        <v>0</v>
      </c>
      <c r="W385" s="444">
        <f ca="1">TODAY()-Table1[[#This Row],[Change Date]]</f>
        <v>289.48124999999709</v>
      </c>
      <c r="X385" s="422">
        <f t="shared" si="59"/>
        <v>46160.271527777775</v>
      </c>
      <c r="Y385" s="476">
        <f ca="1">IF(Table1[[#This Row],[Next Stage Date]]&lt;&gt;"",Table1[[#This Row],[Next Stage Date]]-Table1[[#This Row],[Change Date]],TODAY()-Table1[[#This Row],[Change Date]])</f>
        <v>191.75277777777228</v>
      </c>
      <c r="Z385" s="476">
        <f t="shared" si="60"/>
        <v>0</v>
      </c>
      <c r="AA385" s="422">
        <f t="shared" si="61"/>
        <v>46160.381249999999</v>
      </c>
      <c r="AB385" s="422">
        <f t="shared" si="62"/>
        <v>45968.518750000003</v>
      </c>
      <c r="AC385" s="476">
        <f t="shared" si="63"/>
        <v>65.51875000000291</v>
      </c>
      <c r="AD385" s="476">
        <f t="shared" si="64"/>
        <v>191.86249999999563</v>
      </c>
      <c r="AE385" s="476">
        <f t="shared" si="65"/>
        <v>257.38124999999854</v>
      </c>
      <c r="AF385" s="476" t="b">
        <f>IFERROR(_xlfn.XLOOKUP(Table1[[#This Row],[Opportunity ID]],'Aging Detail'!$H$14:$H$20,'Aging Detail'!$F$14:$F$20),TRUE)</f>
        <v>1</v>
      </c>
    </row>
    <row r="386" spans="1:32">
      <c r="A386" t="s">
        <v>1461</v>
      </c>
      <c r="B386" t="s">
        <v>338</v>
      </c>
      <c r="C386" t="s">
        <v>462</v>
      </c>
      <c r="D386" t="s">
        <v>2533</v>
      </c>
      <c r="E386" t="s">
        <v>2465</v>
      </c>
      <c r="F386" t="s">
        <v>1465</v>
      </c>
      <c r="I386" s="422">
        <v>45960</v>
      </c>
      <c r="J386" s="422">
        <v>45986</v>
      </c>
      <c r="K386">
        <v>0</v>
      </c>
      <c r="L386">
        <v>0</v>
      </c>
      <c r="M386" t="s">
        <v>2466</v>
      </c>
      <c r="N386" t="s">
        <v>1831</v>
      </c>
      <c r="O386" t="str">
        <f>_xlfn.IFNA(VLOOKUP(Table1[[#This Row],[Lead Source]],'helper tab'!A:B,2,FALSE),"Exclude")</f>
        <v>Exclude</v>
      </c>
      <c r="P386" s="422">
        <f t="shared" si="55"/>
        <v>45968.518055555556</v>
      </c>
      <c r="Q386">
        <f t="shared" si="56"/>
        <v>1</v>
      </c>
      <c r="R386">
        <f t="shared" si="57"/>
        <v>0</v>
      </c>
      <c r="S386">
        <f>IF(
AND($Q386=1,$M386&lt;&gt;""),
IF(
COUNTIFS(
$M$3:$M386,$M386,
$O$3:$O386,$O386,
$Q$3:$Q386,1,
$P$3:$P386,"&gt;="&amp;EOMONTH($P386,-1)+1,
$P$3:$P386,"&lt;"&amp;EOMONTH($P386,0)+1
)=1,
1,
0),
0)</f>
        <v>1</v>
      </c>
      <c r="T386">
        <f>IF(AND($R386=1,$M386&lt;&gt;""),IF(COUNTIFS($M$3:$M386,$M386,$O$3:$O386,$O386,$R$3:$R386,1,$P$3:$P386,"&gt;="&amp;EOMONTH($P386,-1)+1,$P$3:$P386,"&lt;"&amp;EOMONTH($P386,0)+1)=1,1,0),0)</f>
        <v>0</v>
      </c>
      <c r="U386">
        <f t="shared" si="58"/>
        <v>0</v>
      </c>
      <c r="V386">
        <f>IF(AND($U386=1,$M386&lt;&gt;""),IF(COUNTIFS($M$3:$M386,$M386,$O$3:$O386,$O386,$U$3:$U386,1,$P$3:$P386,"&gt;="&amp;EOMONTH($P386,-1)+1,$P$3:$P386,"&lt;"&amp;EOMONTH($P386,0)+1)=1,1,0),0)</f>
        <v>0</v>
      </c>
      <c r="W386" s="444">
        <f ca="1">TODAY()-Table1[[#This Row],[Change Date]]</f>
        <v>289.4819444444438</v>
      </c>
      <c r="X386" s="422">
        <f t="shared" si="59"/>
        <v>45986.584027777775</v>
      </c>
      <c r="Y386" s="476">
        <f ca="1">IF(Table1[[#This Row],[Next Stage Date]]&lt;&gt;"",Table1[[#This Row],[Next Stage Date]]-Table1[[#This Row],[Change Date]],TODAY()-Table1[[#This Row],[Change Date]])</f>
        <v>18.065972222218988</v>
      </c>
      <c r="Z386" s="476">
        <f t="shared" si="60"/>
        <v>0</v>
      </c>
      <c r="AA386" s="422">
        <f t="shared" si="61"/>
        <v>45986.584027777775</v>
      </c>
      <c r="AB386" s="422">
        <f t="shared" si="62"/>
        <v>45968.518055555556</v>
      </c>
      <c r="AC386" s="476">
        <f t="shared" si="63"/>
        <v>8.5180555555562023</v>
      </c>
      <c r="AD386" s="476">
        <f t="shared" si="64"/>
        <v>18.065972222218988</v>
      </c>
      <c r="AE386" s="476">
        <f t="shared" si="65"/>
        <v>26.584027777775191</v>
      </c>
      <c r="AF386" s="476" t="b">
        <f>IFERROR(_xlfn.XLOOKUP(Table1[[#This Row],[Opportunity ID]],'Aging Detail'!$H$14:$H$20,'Aging Detail'!$F$14:$F$20),TRUE)</f>
        <v>1</v>
      </c>
    </row>
    <row r="387" spans="1:32">
      <c r="A387" t="s">
        <v>1461</v>
      </c>
      <c r="B387" t="s">
        <v>408</v>
      </c>
      <c r="C387" t="s">
        <v>462</v>
      </c>
      <c r="D387" t="s">
        <v>2533</v>
      </c>
      <c r="E387" t="s">
        <v>1955</v>
      </c>
      <c r="F387" t="s">
        <v>1632</v>
      </c>
      <c r="I387" s="422">
        <v>45903</v>
      </c>
      <c r="J387" s="422">
        <v>46160</v>
      </c>
      <c r="K387">
        <v>563100</v>
      </c>
      <c r="L387">
        <v>0</v>
      </c>
      <c r="M387" t="s">
        <v>1956</v>
      </c>
      <c r="N387" t="s">
        <v>1634</v>
      </c>
      <c r="O387" t="str">
        <f>_xlfn.IFNA(VLOOKUP(Table1[[#This Row],[Lead Source]],'helper tab'!A:B,2,FALSE),"Exclude")</f>
        <v>Exclude</v>
      </c>
      <c r="P387" s="422">
        <f t="shared" ref="P387:P450" si="66">--SUBSTITUTE(D387,",","")</f>
        <v>45968.518055555556</v>
      </c>
      <c r="Q387">
        <f t="shared" ref="Q387:Q450" si="67">IF(OR($C387="Propose",$C387="Procure"),1,0)</f>
        <v>1</v>
      </c>
      <c r="R387">
        <f t="shared" ref="R387:R450" si="68">IF($C387="Closed Won",1,0)</f>
        <v>0</v>
      </c>
      <c r="S387">
        <f>IF(
AND($Q387=1,$M387&lt;&gt;""),
IF(
COUNTIFS(
$M$3:$M387,$M387,
$O$3:$O387,$O387,
$Q$3:$Q387,1,
$P$3:$P387,"&gt;="&amp;EOMONTH($P387,-1)+1,
$P$3:$P387,"&lt;"&amp;EOMONTH($P387,0)+1
)=1,
1,
0),
0)</f>
        <v>1</v>
      </c>
      <c r="T387">
        <f>IF(AND($R387=1,$M387&lt;&gt;""),IF(COUNTIFS($M$3:$M387,$M387,$O$3:$O387,$O387,$R$3:$R387,1,$P$3:$P387,"&gt;="&amp;EOMONTH($P387,-1)+1,$P$3:$P387,"&lt;"&amp;EOMONTH($P387,0)+1)=1,1,0),0)</f>
        <v>0</v>
      </c>
      <c r="U387">
        <f t="shared" ref="U387:U450" si="69">IF($C387="Closed Lost",1,0)</f>
        <v>0</v>
      </c>
      <c r="V387">
        <f>IF(AND($U387=1,$M387&lt;&gt;""),IF(COUNTIFS($M$3:$M387,$M387,$O$3:$O387,$O387,$U$3:$U387,1,$P$3:$P387,"&gt;="&amp;EOMONTH($P387,-1)+1,$P$3:$P387,"&lt;"&amp;EOMONTH($P387,0)+1)=1,1,0),0)</f>
        <v>0</v>
      </c>
      <c r="W387" s="444">
        <f ca="1">TODAY()-Table1[[#This Row],[Change Date]]</f>
        <v>289.4819444444438</v>
      </c>
      <c r="X387" s="422">
        <f t="shared" ref="X387:X450" si="70">IFERROR(
IF(
COUNTIFS($M:$M,$M387,$P:$P,"&gt;"&amp;$P387)=0,
"",
_xlfn.MINIFS($P:$P,$M:$M,$M387,$P:$P,"&gt;"&amp;$P387)
),
""
)</f>
        <v>46160.381249999999</v>
      </c>
      <c r="Y387" s="476">
        <f ca="1">IF(Table1[[#This Row],[Next Stage Date]]&lt;&gt;"",Table1[[#This Row],[Next Stage Date]]-Table1[[#This Row],[Change Date]],TODAY()-Table1[[#This Row],[Change Date]])</f>
        <v>191.86319444444234</v>
      </c>
      <c r="Z387" s="476">
        <f t="shared" ref="Z387:Z450" si="71">IF(P387=_xlfn.MAXIFS($P:$P,$M:$M,$M387),1,0)</f>
        <v>0</v>
      </c>
      <c r="AA387" s="422">
        <f t="shared" ref="AA387:AA450" si="72">IF(
COUNTIFS($M:$M,$M387,$C:$C,"Closed Won")=0,
"",
_xlfn.MINIFS($P:$P,$M:$M,$M387,$C:$C,"Closed Won")
)</f>
        <v>46160.381249999999</v>
      </c>
      <c r="AB387" s="422">
        <f t="shared" ref="AB387:AB450" si="73">IF(
COUNTIFS($M:$M,$M387,$Q:$Q,1)=0,
"",
_xlfn.MINIFS($P:$P,$M:$M,$M387,$Q:$Q,1)
)</f>
        <v>45968.518055555556</v>
      </c>
      <c r="AC387" s="476">
        <f t="shared" ref="AC387:AC450" si="74">IF(AB387&lt;&gt;"",AB387-I387,"")</f>
        <v>65.518055555556202</v>
      </c>
      <c r="AD387" s="476">
        <f t="shared" ref="AD387:AD450" si="75">IF(AND(AB387&lt;&gt;"",AA387&lt;&gt;""),AA387-AB387,"")</f>
        <v>191.86319444444234</v>
      </c>
      <c r="AE387" s="476">
        <f t="shared" ref="AE387:AE450" si="76">IF(AA387&lt;&gt;"",AA387-I387,"")</f>
        <v>257.38124999999854</v>
      </c>
      <c r="AF387" s="476" t="b">
        <f>IFERROR(_xlfn.XLOOKUP(Table1[[#This Row],[Opportunity ID]],'Aging Detail'!$H$14:$H$20,'Aging Detail'!$F$14:$F$20),TRUE)</f>
        <v>1</v>
      </c>
    </row>
    <row r="388" spans="1:32">
      <c r="A388" t="s">
        <v>1461</v>
      </c>
      <c r="B388" t="s">
        <v>408</v>
      </c>
      <c r="C388" t="s">
        <v>1469</v>
      </c>
      <c r="D388" t="s">
        <v>2534</v>
      </c>
      <c r="E388" t="s">
        <v>2073</v>
      </c>
      <c r="I388" s="422">
        <v>45744</v>
      </c>
      <c r="J388" s="422">
        <v>46112</v>
      </c>
      <c r="K388">
        <v>154800</v>
      </c>
      <c r="L388">
        <v>154800</v>
      </c>
      <c r="M388" t="s">
        <v>2074</v>
      </c>
      <c r="N388" t="s">
        <v>1739</v>
      </c>
      <c r="O388" t="str">
        <f>_xlfn.IFNA(VLOOKUP(Table1[[#This Row],[Lead Source]],'helper tab'!A:B,2,FALSE),"Exclude")</f>
        <v>Exclude</v>
      </c>
      <c r="P388" s="422">
        <f t="shared" si="66"/>
        <v>45965.43472222222</v>
      </c>
      <c r="Q388">
        <f t="shared" si="67"/>
        <v>0</v>
      </c>
      <c r="R388">
        <f t="shared" si="68"/>
        <v>0</v>
      </c>
      <c r="S388">
        <f>IF(
AND($Q388=1,$M388&lt;&gt;""),
IF(
COUNTIFS(
$M$3:$M388,$M388,
$O$3:$O388,$O388,
$Q$3:$Q388,1,
$P$3:$P388,"&gt;="&amp;EOMONTH($P388,-1)+1,
$P$3:$P388,"&lt;"&amp;EOMONTH($P388,0)+1
)=1,
1,
0),
0)</f>
        <v>0</v>
      </c>
      <c r="T388">
        <f>IF(AND($R388=1,$M388&lt;&gt;""),IF(COUNTIFS($M$3:$M388,$M388,$O$3:$O388,$O388,$R$3:$R388,1,$P$3:$P388,"&gt;="&amp;EOMONTH($P388,-1)+1,$P$3:$P388,"&lt;"&amp;EOMONTH($P388,0)+1)=1,1,0),0)</f>
        <v>0</v>
      </c>
      <c r="U388">
        <f t="shared" si="69"/>
        <v>1</v>
      </c>
      <c r="V388">
        <f>IF(AND($U388=1,$M388&lt;&gt;""),IF(COUNTIFS($M$3:$M388,$M388,$O$3:$O388,$O388,$U$3:$U388,1,$P$3:$P388,"&gt;="&amp;EOMONTH($P388,-1)+1,$P$3:$P388,"&lt;"&amp;EOMONTH($P388,0)+1)=1,1,0),0)</f>
        <v>1</v>
      </c>
      <c r="W388" s="444">
        <f ca="1">TODAY()-Table1[[#This Row],[Change Date]]</f>
        <v>292.56527777777956</v>
      </c>
      <c r="X388" s="422">
        <f t="shared" si="70"/>
        <v>46118.59652777778</v>
      </c>
      <c r="Y388" s="476">
        <f ca="1">IF(Table1[[#This Row],[Next Stage Date]]&lt;&gt;"",Table1[[#This Row],[Next Stage Date]]-Table1[[#This Row],[Change Date]],TODAY()-Table1[[#This Row],[Change Date]])</f>
        <v>153.16180555555911</v>
      </c>
      <c r="Z388" s="476">
        <f t="shared" si="71"/>
        <v>0</v>
      </c>
      <c r="AA388" s="422" t="str">
        <f t="shared" si="72"/>
        <v/>
      </c>
      <c r="AB388" s="422">
        <f t="shared" si="73"/>
        <v>46118.59652777778</v>
      </c>
      <c r="AC388" s="476">
        <f t="shared" si="74"/>
        <v>374.59652777777956</v>
      </c>
      <c r="AD388" s="476" t="str">
        <f t="shared" si="75"/>
        <v/>
      </c>
      <c r="AE388" s="476" t="str">
        <f t="shared" si="76"/>
        <v/>
      </c>
      <c r="AF388" s="476" t="b">
        <f>IFERROR(_xlfn.XLOOKUP(Table1[[#This Row],[Opportunity ID]],'Aging Detail'!$H$14:$H$20,'Aging Detail'!$F$14:$F$20),TRUE)</f>
        <v>1</v>
      </c>
    </row>
    <row r="389" spans="1:32">
      <c r="A389" t="s">
        <v>1461</v>
      </c>
      <c r="B389" t="s">
        <v>526</v>
      </c>
      <c r="C389" t="s">
        <v>563</v>
      </c>
      <c r="D389" t="s">
        <v>2535</v>
      </c>
      <c r="E389" t="s">
        <v>2536</v>
      </c>
      <c r="F389" t="s">
        <v>148</v>
      </c>
      <c r="I389" s="422">
        <v>45188</v>
      </c>
      <c r="J389" s="422">
        <v>45961</v>
      </c>
      <c r="K389">
        <v>798720</v>
      </c>
      <c r="L389">
        <v>249600</v>
      </c>
      <c r="M389" t="s">
        <v>95</v>
      </c>
      <c r="N389" t="s">
        <v>2537</v>
      </c>
      <c r="O389" t="str">
        <f>_xlfn.IFNA(VLOOKUP(Table1[[#This Row],[Lead Source]],'helper tab'!A:B,2,FALSE),"Exclude")</f>
        <v>Alliances</v>
      </c>
      <c r="P389" s="422">
        <f t="shared" si="66"/>
        <v>45961.478472222225</v>
      </c>
      <c r="Q389">
        <f t="shared" si="67"/>
        <v>0</v>
      </c>
      <c r="R389">
        <f t="shared" si="68"/>
        <v>1</v>
      </c>
      <c r="S389">
        <f>IF(
AND($Q389=1,$M389&lt;&gt;""),
IF(
COUNTIFS(
$M$3:$M389,$M389,
$O$3:$O389,$O389,
$Q$3:$Q389,1,
$P$3:$P389,"&gt;="&amp;EOMONTH($P389,-1)+1,
$P$3:$P389,"&lt;"&amp;EOMONTH($P389,0)+1
)=1,
1,
0),
0)</f>
        <v>0</v>
      </c>
      <c r="T389">
        <f>IF(AND($R389=1,$M389&lt;&gt;""),IF(COUNTIFS($M$3:$M389,$M389,$O$3:$O389,$O389,$R$3:$R389,1,$P$3:$P389,"&gt;="&amp;EOMONTH($P389,-1)+1,$P$3:$P389,"&lt;"&amp;EOMONTH($P389,0)+1)=1,1,0),0)</f>
        <v>1</v>
      </c>
      <c r="U389">
        <f t="shared" si="69"/>
        <v>0</v>
      </c>
      <c r="V389">
        <f>IF(AND($U389=1,$M389&lt;&gt;""),IF(COUNTIFS($M$3:$M389,$M389,$O$3:$O389,$O389,$U$3:$U389,1,$P$3:$P389,"&gt;="&amp;EOMONTH($P389,-1)+1,$P$3:$P389,"&lt;"&amp;EOMONTH($P389,0)+1)=1,1,0),0)</f>
        <v>0</v>
      </c>
      <c r="W389" s="444">
        <f ca="1">TODAY()-Table1[[#This Row],[Change Date]]</f>
        <v>296.52152777777519</v>
      </c>
      <c r="X389" s="422" t="str">
        <f t="shared" si="70"/>
        <v/>
      </c>
      <c r="Y389" s="476">
        <f ca="1">IF(Table1[[#This Row],[Next Stage Date]]&lt;&gt;"",Table1[[#This Row],[Next Stage Date]]-Table1[[#This Row],[Change Date]],TODAY()-Table1[[#This Row],[Change Date]])</f>
        <v>296.52152777777519</v>
      </c>
      <c r="Z389" s="476">
        <f t="shared" si="71"/>
        <v>1</v>
      </c>
      <c r="AA389" s="422">
        <f t="shared" si="72"/>
        <v>45961.478472222225</v>
      </c>
      <c r="AB389" s="422">
        <f t="shared" si="73"/>
        <v>45786.50277777778</v>
      </c>
      <c r="AC389" s="476">
        <f t="shared" si="74"/>
        <v>598.50277777777956</v>
      </c>
      <c r="AD389" s="476">
        <f t="shared" si="75"/>
        <v>174.97569444444525</v>
      </c>
      <c r="AE389" s="476">
        <f t="shared" si="76"/>
        <v>773.47847222222481</v>
      </c>
      <c r="AF389" s="476" t="b">
        <f>IFERROR(_xlfn.XLOOKUP(Table1[[#This Row],[Opportunity ID]],'Aging Detail'!$H$14:$H$20,'Aging Detail'!$F$14:$F$20),TRUE)</f>
        <v>1</v>
      </c>
    </row>
    <row r="390" spans="1:32">
      <c r="A390" t="s">
        <v>1461</v>
      </c>
      <c r="B390" t="s">
        <v>526</v>
      </c>
      <c r="C390" t="s">
        <v>563</v>
      </c>
      <c r="D390" t="s">
        <v>2538</v>
      </c>
      <c r="E390" t="s">
        <v>2539</v>
      </c>
      <c r="F390" t="s">
        <v>1465</v>
      </c>
      <c r="I390" s="422">
        <v>45867</v>
      </c>
      <c r="J390" s="422">
        <v>45961</v>
      </c>
      <c r="K390">
        <v>25000</v>
      </c>
      <c r="L390">
        <v>0</v>
      </c>
      <c r="M390" t="s">
        <v>2540</v>
      </c>
      <c r="N390" t="s">
        <v>1891</v>
      </c>
      <c r="O390" t="str">
        <f>_xlfn.IFNA(VLOOKUP(Table1[[#This Row],[Lead Source]],'helper tab'!A:B,2,FALSE),"Exclude")</f>
        <v>Exclude</v>
      </c>
      <c r="P390" s="422">
        <f t="shared" si="66"/>
        <v>45961.457638888889</v>
      </c>
      <c r="Q390">
        <f t="shared" si="67"/>
        <v>0</v>
      </c>
      <c r="R390">
        <f t="shared" si="68"/>
        <v>1</v>
      </c>
      <c r="S390">
        <f>IF(
AND($Q390=1,$M390&lt;&gt;""),
IF(
COUNTIFS(
$M$3:$M390,$M390,
$O$3:$O390,$O390,
$Q$3:$Q390,1,
$P$3:$P390,"&gt;="&amp;EOMONTH($P390,-1)+1,
$P$3:$P390,"&lt;"&amp;EOMONTH($P390,0)+1
)=1,
1,
0),
0)</f>
        <v>0</v>
      </c>
      <c r="T390">
        <f>IF(AND($R390=1,$M390&lt;&gt;""),IF(COUNTIFS($M$3:$M390,$M390,$O$3:$O390,$O390,$R$3:$R390,1,$P$3:$P390,"&gt;="&amp;EOMONTH($P390,-1)+1,$P$3:$P390,"&lt;"&amp;EOMONTH($P390,0)+1)=1,1,0),0)</f>
        <v>1</v>
      </c>
      <c r="U390">
        <f t="shared" si="69"/>
        <v>0</v>
      </c>
      <c r="V390">
        <f>IF(AND($U390=1,$M390&lt;&gt;""),IF(COUNTIFS($M$3:$M390,$M390,$O$3:$O390,$O390,$U$3:$U390,1,$P$3:$P390,"&gt;="&amp;EOMONTH($P390,-1)+1,$P$3:$P390,"&lt;"&amp;EOMONTH($P390,0)+1)=1,1,0),0)</f>
        <v>0</v>
      </c>
      <c r="W390" s="444">
        <f ca="1">TODAY()-Table1[[#This Row],[Change Date]]</f>
        <v>296.54236111111095</v>
      </c>
      <c r="X390" s="422" t="str">
        <f t="shared" si="70"/>
        <v/>
      </c>
      <c r="Y390" s="476">
        <f ca="1">IF(Table1[[#This Row],[Next Stage Date]]&lt;&gt;"",Table1[[#This Row],[Next Stage Date]]-Table1[[#This Row],[Change Date]],TODAY()-Table1[[#This Row],[Change Date]])</f>
        <v>296.54236111111095</v>
      </c>
      <c r="Z390" s="476">
        <f t="shared" si="71"/>
        <v>1</v>
      </c>
      <c r="AA390" s="422">
        <f t="shared" si="72"/>
        <v>45961.457638888889</v>
      </c>
      <c r="AB390" s="422">
        <f t="shared" si="73"/>
        <v>45881.498611111114</v>
      </c>
      <c r="AC390" s="476">
        <f t="shared" si="74"/>
        <v>14.49861111111386</v>
      </c>
      <c r="AD390" s="476">
        <f t="shared" si="75"/>
        <v>79.959027777775191</v>
      </c>
      <c r="AE390" s="476">
        <f t="shared" si="76"/>
        <v>94.457638888889051</v>
      </c>
      <c r="AF390" s="476" t="b">
        <f>IFERROR(_xlfn.XLOOKUP(Table1[[#This Row],[Opportunity ID]],'Aging Detail'!$H$14:$H$20,'Aging Detail'!$F$14:$F$20),TRUE)</f>
        <v>1</v>
      </c>
    </row>
    <row r="391" spans="1:32">
      <c r="A391" t="s">
        <v>1461</v>
      </c>
      <c r="B391" t="s">
        <v>338</v>
      </c>
      <c r="C391" t="s">
        <v>1469</v>
      </c>
      <c r="D391" t="s">
        <v>2541</v>
      </c>
      <c r="E391" t="s">
        <v>2542</v>
      </c>
      <c r="F391" t="s">
        <v>1465</v>
      </c>
      <c r="I391" s="422">
        <v>45958</v>
      </c>
      <c r="J391" s="422">
        <v>46022</v>
      </c>
      <c r="L391">
        <v>0</v>
      </c>
      <c r="M391" t="s">
        <v>2543</v>
      </c>
      <c r="N391" t="s">
        <v>2544</v>
      </c>
      <c r="O391" t="str">
        <f>_xlfn.IFNA(VLOOKUP(Table1[[#This Row],[Lead Source]],'helper tab'!A:B,2,FALSE),"Exclude")</f>
        <v>Exclude</v>
      </c>
      <c r="P391" s="422">
        <f t="shared" si="66"/>
        <v>45961.436805555553</v>
      </c>
      <c r="Q391">
        <f t="shared" si="67"/>
        <v>0</v>
      </c>
      <c r="R391">
        <f t="shared" si="68"/>
        <v>0</v>
      </c>
      <c r="S391">
        <f>IF(
AND($Q391=1,$M391&lt;&gt;""),
IF(
COUNTIFS(
$M$3:$M391,$M391,
$O$3:$O391,$O391,
$Q$3:$Q391,1,
$P$3:$P391,"&gt;="&amp;EOMONTH($P391,-1)+1,
$P$3:$P391,"&lt;"&amp;EOMONTH($P391,0)+1
)=1,
1,
0),
0)</f>
        <v>0</v>
      </c>
      <c r="T391">
        <f>IF(AND($R391=1,$M391&lt;&gt;""),IF(COUNTIFS($M$3:$M391,$M391,$O$3:$O391,$O391,$R$3:$R391,1,$P$3:$P391,"&gt;="&amp;EOMONTH($P391,-1)+1,$P$3:$P391,"&lt;"&amp;EOMONTH($P391,0)+1)=1,1,0),0)</f>
        <v>0</v>
      </c>
      <c r="U391">
        <f t="shared" si="69"/>
        <v>1</v>
      </c>
      <c r="V391">
        <f>IF(AND($U391=1,$M391&lt;&gt;""),IF(COUNTIFS($M$3:$M391,$M391,$O$3:$O391,$O391,$U$3:$U391,1,$P$3:$P391,"&gt;="&amp;EOMONTH($P391,-1)+1,$P$3:$P391,"&lt;"&amp;EOMONTH($P391,0)+1)=1,1,0),0)</f>
        <v>1</v>
      </c>
      <c r="W391" s="444">
        <f ca="1">TODAY()-Table1[[#This Row],[Change Date]]</f>
        <v>296.56319444444671</v>
      </c>
      <c r="X391" s="422" t="str">
        <f t="shared" si="70"/>
        <v/>
      </c>
      <c r="Y391" s="476">
        <f ca="1">IF(Table1[[#This Row],[Next Stage Date]]&lt;&gt;"",Table1[[#This Row],[Next Stage Date]]-Table1[[#This Row],[Change Date]],TODAY()-Table1[[#This Row],[Change Date]])</f>
        <v>296.56319444444671</v>
      </c>
      <c r="Z391" s="476">
        <f t="shared" si="71"/>
        <v>1</v>
      </c>
      <c r="AA391" s="422" t="str">
        <f t="shared" si="72"/>
        <v/>
      </c>
      <c r="AB391" s="422" t="str">
        <f t="shared" si="73"/>
        <v/>
      </c>
      <c r="AC391" s="476" t="str">
        <f t="shared" si="74"/>
        <v/>
      </c>
      <c r="AD391" s="476" t="str">
        <f t="shared" si="75"/>
        <v/>
      </c>
      <c r="AE391" s="476" t="str">
        <f t="shared" si="76"/>
        <v/>
      </c>
      <c r="AF391" s="476" t="b">
        <f>IFERROR(_xlfn.XLOOKUP(Table1[[#This Row],[Opportunity ID]],'Aging Detail'!$H$14:$H$20,'Aging Detail'!$F$14:$F$20),TRUE)</f>
        <v>1</v>
      </c>
    </row>
    <row r="392" spans="1:32">
      <c r="A392" t="s">
        <v>1461</v>
      </c>
      <c r="B392" t="s">
        <v>338</v>
      </c>
      <c r="C392" t="s">
        <v>1462</v>
      </c>
      <c r="D392" t="s">
        <v>2545</v>
      </c>
      <c r="E392" t="s">
        <v>2292</v>
      </c>
      <c r="F392" t="s">
        <v>1465</v>
      </c>
      <c r="I392" s="422">
        <v>45937</v>
      </c>
      <c r="J392" s="422">
        <v>46045</v>
      </c>
      <c r="K392">
        <v>64000</v>
      </c>
      <c r="L392">
        <v>0</v>
      </c>
      <c r="M392" t="s">
        <v>2293</v>
      </c>
      <c r="N392" t="s">
        <v>1524</v>
      </c>
      <c r="O392" t="str">
        <f>_xlfn.IFNA(VLOOKUP(Table1[[#This Row],[Lead Source]],'helper tab'!A:B,2,FALSE),"Exclude")</f>
        <v>Exclude</v>
      </c>
      <c r="P392" s="422">
        <f t="shared" si="66"/>
        <v>45961.288194444445</v>
      </c>
      <c r="Q392">
        <f t="shared" si="67"/>
        <v>0</v>
      </c>
      <c r="R392">
        <f t="shared" si="68"/>
        <v>0</v>
      </c>
      <c r="S392">
        <f>IF(
AND($Q392=1,$M392&lt;&gt;""),
IF(
COUNTIFS(
$M$3:$M392,$M392,
$O$3:$O392,$O392,
$Q$3:$Q392,1,
$P$3:$P392,"&gt;="&amp;EOMONTH($P392,-1)+1,
$P$3:$P392,"&lt;"&amp;EOMONTH($P392,0)+1
)=1,
1,
0),
0)</f>
        <v>0</v>
      </c>
      <c r="T392">
        <f>IF(AND($R392=1,$M392&lt;&gt;""),IF(COUNTIFS($M$3:$M392,$M392,$O$3:$O392,$O392,$R$3:$R392,1,$P$3:$P392,"&gt;="&amp;EOMONTH($P392,-1)+1,$P$3:$P392,"&lt;"&amp;EOMONTH($P392,0)+1)=1,1,0),0)</f>
        <v>0</v>
      </c>
      <c r="U392">
        <f t="shared" si="69"/>
        <v>0</v>
      </c>
      <c r="V392">
        <f>IF(AND($U392=1,$M392&lt;&gt;""),IF(COUNTIFS($M$3:$M392,$M392,$O$3:$O392,$O392,$U$3:$U392,1,$P$3:$P392,"&gt;="&amp;EOMONTH($P392,-1)+1,$P$3:$P392,"&lt;"&amp;EOMONTH($P392,0)+1)=1,1,0),0)</f>
        <v>0</v>
      </c>
      <c r="W392" s="444">
        <f ca="1">TODAY()-Table1[[#This Row],[Change Date]]</f>
        <v>296.71180555555475</v>
      </c>
      <c r="X392" s="422">
        <f t="shared" si="70"/>
        <v>46045.51666666667</v>
      </c>
      <c r="Y392" s="476">
        <f ca="1">IF(Table1[[#This Row],[Next Stage Date]]&lt;&gt;"",Table1[[#This Row],[Next Stage Date]]-Table1[[#This Row],[Change Date]],TODAY()-Table1[[#This Row],[Change Date]])</f>
        <v>84.228472222224809</v>
      </c>
      <c r="Z392" s="476">
        <f t="shared" si="71"/>
        <v>0</v>
      </c>
      <c r="AA392" s="422">
        <f t="shared" si="72"/>
        <v>46045.51666666667</v>
      </c>
      <c r="AB392" s="422" t="str">
        <f t="shared" si="73"/>
        <v/>
      </c>
      <c r="AC392" s="476" t="str">
        <f t="shared" si="74"/>
        <v/>
      </c>
      <c r="AD392" s="476" t="str">
        <f t="shared" si="75"/>
        <v/>
      </c>
      <c r="AE392" s="476">
        <f t="shared" si="76"/>
        <v>108.51666666667006</v>
      </c>
      <c r="AF392" s="476" t="b">
        <f>IFERROR(_xlfn.XLOOKUP(Table1[[#This Row],[Opportunity ID]],'Aging Detail'!$H$14:$H$20,'Aging Detail'!$F$14:$F$20),TRUE)</f>
        <v>1</v>
      </c>
    </row>
    <row r="393" spans="1:32">
      <c r="A393" t="s">
        <v>1461</v>
      </c>
      <c r="B393" t="s">
        <v>462</v>
      </c>
      <c r="C393" t="s">
        <v>563</v>
      </c>
      <c r="D393" t="s">
        <v>2546</v>
      </c>
      <c r="E393" t="s">
        <v>2547</v>
      </c>
      <c r="F393" t="s">
        <v>1465</v>
      </c>
      <c r="I393" s="422">
        <v>45931</v>
      </c>
      <c r="J393" s="422">
        <v>45959</v>
      </c>
      <c r="K393">
        <v>0</v>
      </c>
      <c r="L393">
        <v>0</v>
      </c>
      <c r="M393" t="s">
        <v>2548</v>
      </c>
      <c r="N393" t="s">
        <v>1831</v>
      </c>
      <c r="O393" t="str">
        <f>_xlfn.IFNA(VLOOKUP(Table1[[#This Row],[Lead Source]],'helper tab'!A:B,2,FALSE),"Exclude")</f>
        <v>Exclude</v>
      </c>
      <c r="P393" s="422">
        <f t="shared" si="66"/>
        <v>45959.586111111108</v>
      </c>
      <c r="Q393">
        <f t="shared" si="67"/>
        <v>0</v>
      </c>
      <c r="R393">
        <f t="shared" si="68"/>
        <v>1</v>
      </c>
      <c r="S393">
        <f>IF(
AND($Q393=1,$M393&lt;&gt;""),
IF(
COUNTIFS(
$M$3:$M393,$M393,
$O$3:$O393,$O393,
$Q$3:$Q393,1,
$P$3:$P393,"&gt;="&amp;EOMONTH($P393,-1)+1,
$P$3:$P393,"&lt;"&amp;EOMONTH($P393,0)+1
)=1,
1,
0),
0)</f>
        <v>0</v>
      </c>
      <c r="T393">
        <f>IF(AND($R393=1,$M393&lt;&gt;""),IF(COUNTIFS($M$3:$M393,$M393,$O$3:$O393,$O393,$R$3:$R393,1,$P$3:$P393,"&gt;="&amp;EOMONTH($P393,-1)+1,$P$3:$P393,"&lt;"&amp;EOMONTH($P393,0)+1)=1,1,0),0)</f>
        <v>1</v>
      </c>
      <c r="U393">
        <f t="shared" si="69"/>
        <v>0</v>
      </c>
      <c r="V393">
        <f>IF(AND($U393=1,$M393&lt;&gt;""),IF(COUNTIFS($M$3:$M393,$M393,$O$3:$O393,$O393,$U$3:$U393,1,$P$3:$P393,"&gt;="&amp;EOMONTH($P393,-1)+1,$P$3:$P393,"&lt;"&amp;EOMONTH($P393,0)+1)=1,1,0),0)</f>
        <v>0</v>
      </c>
      <c r="W393" s="444">
        <f ca="1">TODAY()-Table1[[#This Row],[Change Date]]</f>
        <v>298.41388888889196</v>
      </c>
      <c r="X393" s="422" t="str">
        <f t="shared" si="70"/>
        <v/>
      </c>
      <c r="Y393" s="476">
        <f ca="1">IF(Table1[[#This Row],[Next Stage Date]]&lt;&gt;"",Table1[[#This Row],[Next Stage Date]]-Table1[[#This Row],[Change Date]],TODAY()-Table1[[#This Row],[Change Date]])</f>
        <v>298.41388888889196</v>
      </c>
      <c r="Z393" s="476">
        <f t="shared" si="71"/>
        <v>1</v>
      </c>
      <c r="AA393" s="422">
        <f t="shared" si="72"/>
        <v>45959.586111111108</v>
      </c>
      <c r="AB393" s="422">
        <f t="shared" si="73"/>
        <v>45950.493750000001</v>
      </c>
      <c r="AC393" s="476">
        <f t="shared" si="74"/>
        <v>19.493750000001455</v>
      </c>
      <c r="AD393" s="476">
        <f t="shared" si="75"/>
        <v>9.0923611111065838</v>
      </c>
      <c r="AE393" s="476">
        <f t="shared" si="76"/>
        <v>28.586111111108039</v>
      </c>
      <c r="AF393" s="476" t="b">
        <f>IFERROR(_xlfn.XLOOKUP(Table1[[#This Row],[Opportunity ID]],'Aging Detail'!$H$14:$H$20,'Aging Detail'!$F$14:$F$20),TRUE)</f>
        <v>1</v>
      </c>
    </row>
    <row r="394" spans="1:32">
      <c r="A394" t="s">
        <v>1461</v>
      </c>
      <c r="B394" t="s">
        <v>526</v>
      </c>
      <c r="C394" t="s">
        <v>1469</v>
      </c>
      <c r="D394" t="s">
        <v>2549</v>
      </c>
      <c r="E394" t="s">
        <v>2550</v>
      </c>
      <c r="F394" t="s">
        <v>1485</v>
      </c>
      <c r="I394" s="422">
        <v>45953</v>
      </c>
      <c r="J394" s="422">
        <v>45961</v>
      </c>
      <c r="L394">
        <v>0</v>
      </c>
      <c r="M394" t="s">
        <v>2551</v>
      </c>
      <c r="N394" t="s">
        <v>1618</v>
      </c>
      <c r="O394" t="str">
        <f>_xlfn.IFNA(VLOOKUP(Table1[[#This Row],[Lead Source]],'helper tab'!A:B,2,FALSE),"Exclude")</f>
        <v>Digital</v>
      </c>
      <c r="P394" s="422">
        <f t="shared" si="66"/>
        <v>45959.425000000003</v>
      </c>
      <c r="Q394">
        <f t="shared" si="67"/>
        <v>0</v>
      </c>
      <c r="R394">
        <f t="shared" si="68"/>
        <v>0</v>
      </c>
      <c r="S394">
        <f>IF(
AND($Q394=1,$M394&lt;&gt;""),
IF(
COUNTIFS(
$M$3:$M394,$M394,
$O$3:$O394,$O394,
$Q$3:$Q394,1,
$P$3:$P394,"&gt;="&amp;EOMONTH($P394,-1)+1,
$P$3:$P394,"&lt;"&amp;EOMONTH($P394,0)+1
)=1,
1,
0),
0)</f>
        <v>0</v>
      </c>
      <c r="T394">
        <f>IF(AND($R394=1,$M394&lt;&gt;""),IF(COUNTIFS($M$3:$M394,$M394,$O$3:$O394,$O394,$R$3:$R394,1,$P$3:$P394,"&gt;="&amp;EOMONTH($P394,-1)+1,$P$3:$P394,"&lt;"&amp;EOMONTH($P394,0)+1)=1,1,0),0)</f>
        <v>0</v>
      </c>
      <c r="U394">
        <f t="shared" si="69"/>
        <v>1</v>
      </c>
      <c r="V394">
        <f>IF(AND($U394=1,$M394&lt;&gt;""),IF(COUNTIFS($M$3:$M394,$M394,$O$3:$O394,$O394,$U$3:$U394,1,$P$3:$P394,"&gt;="&amp;EOMONTH($P394,-1)+1,$P$3:$P394,"&lt;"&amp;EOMONTH($P394,0)+1)=1,1,0),0)</f>
        <v>1</v>
      </c>
      <c r="W394" s="444">
        <f ca="1">TODAY()-Table1[[#This Row],[Change Date]]</f>
        <v>298.57499999999709</v>
      </c>
      <c r="X394" s="422" t="str">
        <f t="shared" si="70"/>
        <v/>
      </c>
      <c r="Y394" s="476">
        <f ca="1">IF(Table1[[#This Row],[Next Stage Date]]&lt;&gt;"",Table1[[#This Row],[Next Stage Date]]-Table1[[#This Row],[Change Date]],TODAY()-Table1[[#This Row],[Change Date]])</f>
        <v>298.57499999999709</v>
      </c>
      <c r="Z394" s="476">
        <f t="shared" si="71"/>
        <v>1</v>
      </c>
      <c r="AA394" s="422" t="str">
        <f t="shared" si="72"/>
        <v/>
      </c>
      <c r="AB394" s="422" t="str">
        <f t="shared" si="73"/>
        <v/>
      </c>
      <c r="AC394" s="476" t="str">
        <f t="shared" si="74"/>
        <v/>
      </c>
      <c r="AD394" s="476" t="str">
        <f t="shared" si="75"/>
        <v/>
      </c>
      <c r="AE394" s="476" t="str">
        <f t="shared" si="76"/>
        <v/>
      </c>
      <c r="AF394" s="476" t="b">
        <f>IFERROR(_xlfn.XLOOKUP(Table1[[#This Row],[Opportunity ID]],'Aging Detail'!$H$14:$H$20,'Aging Detail'!$F$14:$F$20),TRUE)</f>
        <v>1</v>
      </c>
    </row>
    <row r="395" spans="1:32">
      <c r="A395" t="s">
        <v>1461</v>
      </c>
      <c r="B395" t="s">
        <v>526</v>
      </c>
      <c r="C395" t="s">
        <v>563</v>
      </c>
      <c r="D395" t="s">
        <v>2552</v>
      </c>
      <c r="E395" t="s">
        <v>2553</v>
      </c>
      <c r="I395" s="422">
        <v>45905</v>
      </c>
      <c r="J395" s="422">
        <v>45953</v>
      </c>
      <c r="K395">
        <v>0</v>
      </c>
      <c r="L395">
        <v>0</v>
      </c>
      <c r="M395" t="s">
        <v>2554</v>
      </c>
      <c r="N395" t="s">
        <v>2555</v>
      </c>
      <c r="O395" t="str">
        <f>_xlfn.IFNA(VLOOKUP(Table1[[#This Row],[Lead Source]],'helper tab'!A:B,2,FALSE),"Exclude")</f>
        <v>Exclude</v>
      </c>
      <c r="P395" s="422">
        <f t="shared" si="66"/>
        <v>45957.343055555553</v>
      </c>
      <c r="Q395">
        <f t="shared" si="67"/>
        <v>0</v>
      </c>
      <c r="R395">
        <f t="shared" si="68"/>
        <v>1</v>
      </c>
      <c r="S395">
        <f>IF(
AND($Q395=1,$M395&lt;&gt;""),
IF(
COUNTIFS(
$M$3:$M395,$M395,
$O$3:$O395,$O395,
$Q$3:$Q395,1,
$P$3:$P395,"&gt;="&amp;EOMONTH($P395,-1)+1,
$P$3:$P395,"&lt;"&amp;EOMONTH($P395,0)+1
)=1,
1,
0),
0)</f>
        <v>0</v>
      </c>
      <c r="T395">
        <f>IF(AND($R395=1,$M395&lt;&gt;""),IF(COUNTIFS($M$3:$M395,$M395,$O$3:$O395,$O395,$R$3:$R395,1,$P$3:$P395,"&gt;="&amp;EOMONTH($P395,-1)+1,$P$3:$P395,"&lt;"&amp;EOMONTH($P395,0)+1)=1,1,0),0)</f>
        <v>1</v>
      </c>
      <c r="U395">
        <f t="shared" si="69"/>
        <v>0</v>
      </c>
      <c r="V395">
        <f>IF(AND($U395=1,$M395&lt;&gt;""),IF(COUNTIFS($M$3:$M395,$M395,$O$3:$O395,$O395,$U$3:$U395,1,$P$3:$P395,"&gt;="&amp;EOMONTH($P395,-1)+1,$P$3:$P395,"&lt;"&amp;EOMONTH($P395,0)+1)=1,1,0),0)</f>
        <v>0</v>
      </c>
      <c r="W395" s="444">
        <f ca="1">TODAY()-Table1[[#This Row],[Change Date]]</f>
        <v>300.65694444444671</v>
      </c>
      <c r="X395" s="422" t="str">
        <f t="shared" si="70"/>
        <v/>
      </c>
      <c r="Y395" s="476">
        <f ca="1">IF(Table1[[#This Row],[Next Stage Date]]&lt;&gt;"",Table1[[#This Row],[Next Stage Date]]-Table1[[#This Row],[Change Date]],TODAY()-Table1[[#This Row],[Change Date]])</f>
        <v>300.65694444444671</v>
      </c>
      <c r="Z395" s="476">
        <f t="shared" si="71"/>
        <v>1</v>
      </c>
      <c r="AA395" s="422">
        <f t="shared" si="72"/>
        <v>45957.343055555553</v>
      </c>
      <c r="AB395" s="422">
        <f t="shared" si="73"/>
        <v>45953.531944444447</v>
      </c>
      <c r="AC395" s="476">
        <f t="shared" si="74"/>
        <v>48.531944444446708</v>
      </c>
      <c r="AD395" s="476">
        <f t="shared" si="75"/>
        <v>3.8111111111065838</v>
      </c>
      <c r="AE395" s="476">
        <f t="shared" si="76"/>
        <v>52.343055555553292</v>
      </c>
      <c r="AF395" s="476" t="b">
        <f>IFERROR(_xlfn.XLOOKUP(Table1[[#This Row],[Opportunity ID]],'Aging Detail'!$H$14:$H$20,'Aging Detail'!$F$14:$F$20),TRUE)</f>
        <v>1</v>
      </c>
    </row>
    <row r="396" spans="1:32">
      <c r="A396" t="s">
        <v>1461</v>
      </c>
      <c r="B396" t="s">
        <v>526</v>
      </c>
      <c r="C396" t="s">
        <v>563</v>
      </c>
      <c r="D396" t="s">
        <v>2556</v>
      </c>
      <c r="E396" t="s">
        <v>2557</v>
      </c>
      <c r="F396" t="s">
        <v>1463</v>
      </c>
      <c r="I396" s="422">
        <v>45455</v>
      </c>
      <c r="J396" s="422">
        <v>45952</v>
      </c>
      <c r="K396">
        <v>161386</v>
      </c>
      <c r="L396">
        <v>74488</v>
      </c>
      <c r="M396" t="s">
        <v>2558</v>
      </c>
      <c r="N396" t="s">
        <v>582</v>
      </c>
      <c r="O396" t="str">
        <f>_xlfn.IFNA(VLOOKUP(Table1[[#This Row],[Lead Source]],'helper tab'!A:B,2,FALSE),"Exclude")</f>
        <v>Cold</v>
      </c>
      <c r="P396" s="422">
        <f t="shared" si="66"/>
        <v>45954.354166666664</v>
      </c>
      <c r="Q396">
        <f t="shared" si="67"/>
        <v>0</v>
      </c>
      <c r="R396">
        <f t="shared" si="68"/>
        <v>1</v>
      </c>
      <c r="S396">
        <f>IF(
AND($Q396=1,$M396&lt;&gt;""),
IF(
COUNTIFS(
$M$3:$M396,$M396,
$O$3:$O396,$O396,
$Q$3:$Q396,1,
$P$3:$P396,"&gt;="&amp;EOMONTH($P396,-1)+1,
$P$3:$P396,"&lt;"&amp;EOMONTH($P396,0)+1
)=1,
1,
0),
0)</f>
        <v>0</v>
      </c>
      <c r="T396">
        <f>IF(AND($R396=1,$M396&lt;&gt;""),IF(COUNTIFS($M$3:$M396,$M396,$O$3:$O396,$O396,$R$3:$R396,1,$P$3:$P396,"&gt;="&amp;EOMONTH($P396,-1)+1,$P$3:$P396,"&lt;"&amp;EOMONTH($P396,0)+1)=1,1,0),0)</f>
        <v>1</v>
      </c>
      <c r="U396">
        <f t="shared" si="69"/>
        <v>0</v>
      </c>
      <c r="V396">
        <f>IF(AND($U396=1,$M396&lt;&gt;""),IF(COUNTIFS($M$3:$M396,$M396,$O$3:$O396,$O396,$U$3:$U396,1,$P$3:$P396,"&gt;="&amp;EOMONTH($P396,-1)+1,$P$3:$P396,"&lt;"&amp;EOMONTH($P396,0)+1)=1,1,0),0)</f>
        <v>0</v>
      </c>
      <c r="W396" s="444">
        <f ca="1">TODAY()-Table1[[#This Row],[Change Date]]</f>
        <v>303.64583333333576</v>
      </c>
      <c r="X396" s="422" t="str">
        <f t="shared" si="70"/>
        <v/>
      </c>
      <c r="Y396" s="476">
        <f ca="1">IF(Table1[[#This Row],[Next Stage Date]]&lt;&gt;"",Table1[[#This Row],[Next Stage Date]]-Table1[[#This Row],[Change Date]],TODAY()-Table1[[#This Row],[Change Date]])</f>
        <v>303.64583333333576</v>
      </c>
      <c r="Z396" s="476">
        <f t="shared" si="71"/>
        <v>1</v>
      </c>
      <c r="AA396" s="422">
        <f t="shared" si="72"/>
        <v>45954.354166666664</v>
      </c>
      <c r="AB396" s="422">
        <f t="shared" si="73"/>
        <v>45893.393055555556</v>
      </c>
      <c r="AC396" s="476">
        <f t="shared" si="74"/>
        <v>438.3930555555562</v>
      </c>
      <c r="AD396" s="476">
        <f t="shared" si="75"/>
        <v>60.961111111108039</v>
      </c>
      <c r="AE396" s="476">
        <f t="shared" si="76"/>
        <v>499.35416666666424</v>
      </c>
      <c r="AF396" s="476" t="b">
        <f>IFERROR(_xlfn.XLOOKUP(Table1[[#This Row],[Opportunity ID]],'Aging Detail'!$H$14:$H$20,'Aging Detail'!$F$14:$F$20),TRUE)</f>
        <v>1</v>
      </c>
    </row>
    <row r="397" spans="1:32">
      <c r="A397" t="s">
        <v>1461</v>
      </c>
      <c r="B397" t="s">
        <v>408</v>
      </c>
      <c r="C397" t="s">
        <v>1469</v>
      </c>
      <c r="D397" t="s">
        <v>2559</v>
      </c>
      <c r="E397" t="s">
        <v>2560</v>
      </c>
      <c r="H397" t="s">
        <v>154</v>
      </c>
      <c r="I397" s="422">
        <v>45048</v>
      </c>
      <c r="J397" s="422">
        <v>46054</v>
      </c>
      <c r="K397">
        <v>227892.96</v>
      </c>
      <c r="L397">
        <v>0</v>
      </c>
      <c r="M397" t="s">
        <v>2561</v>
      </c>
      <c r="N397" t="s">
        <v>2562</v>
      </c>
      <c r="O397" t="str">
        <f>_xlfn.IFNA(VLOOKUP(Table1[[#This Row],[Lead Source]],'helper tab'!A:B,2,FALSE),"Exclude")</f>
        <v>Exclude</v>
      </c>
      <c r="P397" s="422">
        <f t="shared" si="66"/>
        <v>45954.31527777778</v>
      </c>
      <c r="Q397">
        <f t="shared" si="67"/>
        <v>0</v>
      </c>
      <c r="R397">
        <f t="shared" si="68"/>
        <v>0</v>
      </c>
      <c r="S397">
        <f>IF(
AND($Q397=1,$M397&lt;&gt;""),
IF(
COUNTIFS(
$M$3:$M397,$M397,
$O$3:$O397,$O397,
$Q$3:$Q397,1,
$P$3:$P397,"&gt;="&amp;EOMONTH($P397,-1)+1,
$P$3:$P397,"&lt;"&amp;EOMONTH($P397,0)+1
)=1,
1,
0),
0)</f>
        <v>0</v>
      </c>
      <c r="T397">
        <f>IF(AND($R397=1,$M397&lt;&gt;""),IF(COUNTIFS($M$3:$M397,$M397,$O$3:$O397,$O397,$R$3:$R397,1,$P$3:$P397,"&gt;="&amp;EOMONTH($P397,-1)+1,$P$3:$P397,"&lt;"&amp;EOMONTH($P397,0)+1)=1,1,0),0)</f>
        <v>0</v>
      </c>
      <c r="U397">
        <f t="shared" si="69"/>
        <v>1</v>
      </c>
      <c r="V397">
        <f>IF(AND($U397=1,$M397&lt;&gt;""),IF(COUNTIFS($M$3:$M397,$M397,$O$3:$O397,$O397,$U$3:$U397,1,$P$3:$P397,"&gt;="&amp;EOMONTH($P397,-1)+1,$P$3:$P397,"&lt;"&amp;EOMONTH($P397,0)+1)=1,1,0),0)</f>
        <v>1</v>
      </c>
      <c r="W397" s="444">
        <f ca="1">TODAY()-Table1[[#This Row],[Change Date]]</f>
        <v>303.68472222222044</v>
      </c>
      <c r="X397" s="422" t="str">
        <f t="shared" si="70"/>
        <v/>
      </c>
      <c r="Y397" s="476">
        <f ca="1">IF(Table1[[#This Row],[Next Stage Date]]&lt;&gt;"",Table1[[#This Row],[Next Stage Date]]-Table1[[#This Row],[Change Date]],TODAY()-Table1[[#This Row],[Change Date]])</f>
        <v>303.68472222222044</v>
      </c>
      <c r="Z397" s="476">
        <f t="shared" si="71"/>
        <v>1</v>
      </c>
      <c r="AA397" s="422" t="str">
        <f t="shared" si="72"/>
        <v/>
      </c>
      <c r="AB397" s="422" t="str">
        <f t="shared" si="73"/>
        <v/>
      </c>
      <c r="AC397" s="476" t="str">
        <f t="shared" si="74"/>
        <v/>
      </c>
      <c r="AD397" s="476" t="str">
        <f t="shared" si="75"/>
        <v/>
      </c>
      <c r="AE397" s="476" t="str">
        <f t="shared" si="76"/>
        <v/>
      </c>
      <c r="AF397" s="476" t="b">
        <f>IFERROR(_xlfn.XLOOKUP(Table1[[#This Row],[Opportunity ID]],'Aging Detail'!$H$14:$H$20,'Aging Detail'!$F$14:$F$20),TRUE)</f>
        <v>1</v>
      </c>
    </row>
    <row r="398" spans="1:32">
      <c r="A398" t="s">
        <v>1461</v>
      </c>
      <c r="B398" t="s">
        <v>1462</v>
      </c>
      <c r="C398" t="s">
        <v>462</v>
      </c>
      <c r="D398" t="s">
        <v>2563</v>
      </c>
      <c r="E398" t="s">
        <v>2077</v>
      </c>
      <c r="I398" s="422">
        <v>45926</v>
      </c>
      <c r="J398" s="422">
        <v>46295</v>
      </c>
      <c r="K398">
        <v>340080</v>
      </c>
      <c r="L398">
        <v>340080</v>
      </c>
      <c r="M398" t="s">
        <v>2078</v>
      </c>
      <c r="N398" t="s">
        <v>1642</v>
      </c>
      <c r="O398" t="str">
        <f>_xlfn.IFNA(VLOOKUP(Table1[[#This Row],[Lead Source]],'helper tab'!A:B,2,FALSE),"Exclude")</f>
        <v>Exclude</v>
      </c>
      <c r="P398" s="422">
        <f t="shared" si="66"/>
        <v>45953.590277777781</v>
      </c>
      <c r="Q398">
        <f t="shared" si="67"/>
        <v>1</v>
      </c>
      <c r="R398">
        <f t="shared" si="68"/>
        <v>0</v>
      </c>
      <c r="S398">
        <f>IF(
AND($Q398=1,$M398&lt;&gt;""),
IF(
COUNTIFS(
$M$3:$M398,$M398,
$O$3:$O398,$O398,
$Q$3:$Q398,1,
$P$3:$P398,"&gt;="&amp;EOMONTH($P398,-1)+1,
$P$3:$P398,"&lt;"&amp;EOMONTH($P398,0)+1
)=1,
1,
0),
0)</f>
        <v>1</v>
      </c>
      <c r="T398">
        <f>IF(AND($R398=1,$M398&lt;&gt;""),IF(COUNTIFS($M$3:$M398,$M398,$O$3:$O398,$O398,$R$3:$R398,1,$P$3:$P398,"&gt;="&amp;EOMONTH($P398,-1)+1,$P$3:$P398,"&lt;"&amp;EOMONTH($P398,0)+1)=1,1,0),0)</f>
        <v>0</v>
      </c>
      <c r="U398">
        <f t="shared" si="69"/>
        <v>0</v>
      </c>
      <c r="V398">
        <f>IF(AND($U398=1,$M398&lt;&gt;""),IF(COUNTIFS($M$3:$M398,$M398,$O$3:$O398,$O398,$U$3:$U398,1,$P$3:$P398,"&gt;="&amp;EOMONTH($P398,-1)+1,$P$3:$P398,"&lt;"&amp;EOMONTH($P398,0)+1)=1,1,0),0)</f>
        <v>0</v>
      </c>
      <c r="W398" s="444">
        <f ca="1">TODAY()-Table1[[#This Row],[Change Date]]</f>
        <v>304.40972222221899</v>
      </c>
      <c r="X398" s="422">
        <f t="shared" si="70"/>
        <v>46077.480555555558</v>
      </c>
      <c r="Y398" s="476">
        <f ca="1">IF(Table1[[#This Row],[Next Stage Date]]&lt;&gt;"",Table1[[#This Row],[Next Stage Date]]-Table1[[#This Row],[Change Date]],TODAY()-Table1[[#This Row],[Change Date]])</f>
        <v>123.89027777777665</v>
      </c>
      <c r="Z398" s="476">
        <f t="shared" si="71"/>
        <v>0</v>
      </c>
      <c r="AA398" s="422" t="str">
        <f t="shared" si="72"/>
        <v/>
      </c>
      <c r="AB398" s="422">
        <f t="shared" si="73"/>
        <v>45953.590277777781</v>
      </c>
      <c r="AC398" s="476">
        <f t="shared" si="74"/>
        <v>27.590277777781012</v>
      </c>
      <c r="AD398" s="476" t="str">
        <f t="shared" si="75"/>
        <v/>
      </c>
      <c r="AE398" s="476" t="str">
        <f t="shared" si="76"/>
        <v/>
      </c>
      <c r="AF398" s="476" t="b">
        <f>IFERROR(_xlfn.XLOOKUP(Table1[[#This Row],[Opportunity ID]],'Aging Detail'!$H$14:$H$20,'Aging Detail'!$F$14:$F$20),TRUE)</f>
        <v>1</v>
      </c>
    </row>
    <row r="399" spans="1:32">
      <c r="A399" t="s">
        <v>1461</v>
      </c>
      <c r="B399" t="s">
        <v>338</v>
      </c>
      <c r="C399" t="s">
        <v>1462</v>
      </c>
      <c r="D399" t="s">
        <v>2564</v>
      </c>
      <c r="E399" t="s">
        <v>2077</v>
      </c>
      <c r="I399" s="422">
        <v>45926</v>
      </c>
      <c r="J399" s="422">
        <v>46295</v>
      </c>
      <c r="K399">
        <v>340080</v>
      </c>
      <c r="L399">
        <v>340080</v>
      </c>
      <c r="M399" t="s">
        <v>2078</v>
      </c>
      <c r="N399" t="s">
        <v>1642</v>
      </c>
      <c r="O399" t="str">
        <f>_xlfn.IFNA(VLOOKUP(Table1[[#This Row],[Lead Source]],'helper tab'!A:B,2,FALSE),"Exclude")</f>
        <v>Exclude</v>
      </c>
      <c r="P399" s="422">
        <f t="shared" si="66"/>
        <v>45953.588888888888</v>
      </c>
      <c r="Q399">
        <f t="shared" si="67"/>
        <v>0</v>
      </c>
      <c r="R399">
        <f t="shared" si="68"/>
        <v>0</v>
      </c>
      <c r="S399">
        <f>IF(
AND($Q399=1,$M399&lt;&gt;""),
IF(
COUNTIFS(
$M$3:$M399,$M399,
$O$3:$O399,$O399,
$Q$3:$Q399,1,
$P$3:$P399,"&gt;="&amp;EOMONTH($P399,-1)+1,
$P$3:$P399,"&lt;"&amp;EOMONTH($P399,0)+1
)=1,
1,
0),
0)</f>
        <v>0</v>
      </c>
      <c r="T399">
        <f>IF(AND($R399=1,$M399&lt;&gt;""),IF(COUNTIFS($M$3:$M399,$M399,$O$3:$O399,$O399,$R$3:$R399,1,$P$3:$P399,"&gt;="&amp;EOMONTH($P399,-1)+1,$P$3:$P399,"&lt;"&amp;EOMONTH($P399,0)+1)=1,1,0),0)</f>
        <v>0</v>
      </c>
      <c r="U399">
        <f t="shared" si="69"/>
        <v>0</v>
      </c>
      <c r="V399">
        <f>IF(AND($U399=1,$M399&lt;&gt;""),IF(COUNTIFS($M$3:$M399,$M399,$O$3:$O399,$O399,$U$3:$U399,1,$P$3:$P399,"&gt;="&amp;EOMONTH($P399,-1)+1,$P$3:$P399,"&lt;"&amp;EOMONTH($P399,0)+1)=1,1,0),0)</f>
        <v>0</v>
      </c>
      <c r="W399" s="444">
        <f ca="1">TODAY()-Table1[[#This Row],[Change Date]]</f>
        <v>304.4111111111124</v>
      </c>
      <c r="X399" s="422">
        <f t="shared" si="70"/>
        <v>45953.590277777781</v>
      </c>
      <c r="Y399" s="476">
        <f ca="1">IF(Table1[[#This Row],[Next Stage Date]]&lt;&gt;"",Table1[[#This Row],[Next Stage Date]]-Table1[[#This Row],[Change Date]],TODAY()-Table1[[#This Row],[Change Date]])</f>
        <v>1.3888888934161514E-3</v>
      </c>
      <c r="Z399" s="476">
        <f t="shared" si="71"/>
        <v>0</v>
      </c>
      <c r="AA399" s="422" t="str">
        <f t="shared" si="72"/>
        <v/>
      </c>
      <c r="AB399" s="422">
        <f t="shared" si="73"/>
        <v>45953.590277777781</v>
      </c>
      <c r="AC399" s="476">
        <f t="shared" si="74"/>
        <v>27.590277777781012</v>
      </c>
      <c r="AD399" s="476" t="str">
        <f t="shared" si="75"/>
        <v/>
      </c>
      <c r="AE399" s="476" t="str">
        <f t="shared" si="76"/>
        <v/>
      </c>
      <c r="AF399" s="476" t="b">
        <f>IFERROR(_xlfn.XLOOKUP(Table1[[#This Row],[Opportunity ID]],'Aging Detail'!$H$14:$H$20,'Aging Detail'!$F$14:$F$20),TRUE)</f>
        <v>1</v>
      </c>
    </row>
    <row r="400" spans="1:32">
      <c r="A400" t="s">
        <v>1461</v>
      </c>
      <c r="B400" t="s">
        <v>338</v>
      </c>
      <c r="C400" t="s">
        <v>526</v>
      </c>
      <c r="D400" t="s">
        <v>2565</v>
      </c>
      <c r="E400" t="s">
        <v>2553</v>
      </c>
      <c r="I400" s="422">
        <v>45905</v>
      </c>
      <c r="J400" s="422">
        <v>45953</v>
      </c>
      <c r="K400">
        <v>0</v>
      </c>
      <c r="L400">
        <v>0</v>
      </c>
      <c r="M400" t="s">
        <v>2554</v>
      </c>
      <c r="N400" t="s">
        <v>2555</v>
      </c>
      <c r="O400" t="str">
        <f>_xlfn.IFNA(VLOOKUP(Table1[[#This Row],[Lead Source]],'helper tab'!A:B,2,FALSE),"Exclude")</f>
        <v>Exclude</v>
      </c>
      <c r="P400" s="422">
        <f t="shared" si="66"/>
        <v>45953.531944444447</v>
      </c>
      <c r="Q400">
        <f t="shared" si="67"/>
        <v>1</v>
      </c>
      <c r="R400">
        <f t="shared" si="68"/>
        <v>0</v>
      </c>
      <c r="S400">
        <f>IF(
AND($Q400=1,$M400&lt;&gt;""),
IF(
COUNTIFS(
$M$3:$M400,$M400,
$O$3:$O400,$O400,
$Q$3:$Q400,1,
$P$3:$P400,"&gt;="&amp;EOMONTH($P400,-1)+1,
$P$3:$P400,"&lt;"&amp;EOMONTH($P400,0)+1
)=1,
1,
0),
0)</f>
        <v>1</v>
      </c>
      <c r="T400">
        <f>IF(AND($R400=1,$M400&lt;&gt;""),IF(COUNTIFS($M$3:$M400,$M400,$O$3:$O400,$O400,$R$3:$R400,1,$P$3:$P400,"&gt;="&amp;EOMONTH($P400,-1)+1,$P$3:$P400,"&lt;"&amp;EOMONTH($P400,0)+1)=1,1,0),0)</f>
        <v>0</v>
      </c>
      <c r="U400">
        <f t="shared" si="69"/>
        <v>0</v>
      </c>
      <c r="V400">
        <f>IF(AND($U400=1,$M400&lt;&gt;""),IF(COUNTIFS($M$3:$M400,$M400,$O$3:$O400,$O400,$U$3:$U400,1,$P$3:$P400,"&gt;="&amp;EOMONTH($P400,-1)+1,$P$3:$P400,"&lt;"&amp;EOMONTH($P400,0)+1)=1,1,0),0)</f>
        <v>0</v>
      </c>
      <c r="W400" s="444">
        <f ca="1">TODAY()-Table1[[#This Row],[Change Date]]</f>
        <v>304.46805555555329</v>
      </c>
      <c r="X400" s="422">
        <f t="shared" si="70"/>
        <v>45957.343055555553</v>
      </c>
      <c r="Y400" s="476">
        <f ca="1">IF(Table1[[#This Row],[Next Stage Date]]&lt;&gt;"",Table1[[#This Row],[Next Stage Date]]-Table1[[#This Row],[Change Date]],TODAY()-Table1[[#This Row],[Change Date]])</f>
        <v>3.8111111111065838</v>
      </c>
      <c r="Z400" s="476">
        <f t="shared" si="71"/>
        <v>0</v>
      </c>
      <c r="AA400" s="422">
        <f t="shared" si="72"/>
        <v>45957.343055555553</v>
      </c>
      <c r="AB400" s="422">
        <f t="shared" si="73"/>
        <v>45953.531944444447</v>
      </c>
      <c r="AC400" s="476">
        <f t="shared" si="74"/>
        <v>48.531944444446708</v>
      </c>
      <c r="AD400" s="476">
        <f t="shared" si="75"/>
        <v>3.8111111111065838</v>
      </c>
      <c r="AE400" s="476">
        <f t="shared" si="76"/>
        <v>52.343055555553292</v>
      </c>
      <c r="AF400" s="476" t="b">
        <f>IFERROR(_xlfn.XLOOKUP(Table1[[#This Row],[Opportunity ID]],'Aging Detail'!$H$14:$H$20,'Aging Detail'!$F$14:$F$20),TRUE)</f>
        <v>1</v>
      </c>
    </row>
    <row r="401" spans="1:32">
      <c r="A401" t="s">
        <v>1461</v>
      </c>
      <c r="B401" t="s">
        <v>408</v>
      </c>
      <c r="C401" t="s">
        <v>1469</v>
      </c>
      <c r="D401" t="s">
        <v>2566</v>
      </c>
      <c r="E401" t="s">
        <v>2567</v>
      </c>
      <c r="F401" t="s">
        <v>1486</v>
      </c>
      <c r="I401" s="422">
        <v>45317</v>
      </c>
      <c r="J401" s="422">
        <v>46053</v>
      </c>
      <c r="K401">
        <v>25390.799999999999</v>
      </c>
      <c r="L401">
        <v>25390.799999999999</v>
      </c>
      <c r="M401" t="s">
        <v>2568</v>
      </c>
      <c r="N401" t="s">
        <v>1739</v>
      </c>
      <c r="O401" t="str">
        <f>_xlfn.IFNA(VLOOKUP(Table1[[#This Row],[Lead Source]],'helper tab'!A:B,2,FALSE),"Exclude")</f>
        <v>Exclude</v>
      </c>
      <c r="P401" s="422">
        <f t="shared" si="66"/>
        <v>45953.365277777775</v>
      </c>
      <c r="Q401">
        <f t="shared" si="67"/>
        <v>0</v>
      </c>
      <c r="R401">
        <f t="shared" si="68"/>
        <v>0</v>
      </c>
      <c r="S401">
        <f>IF(
AND($Q401=1,$M401&lt;&gt;""),
IF(
COUNTIFS(
$M$3:$M401,$M401,
$O$3:$O401,$O401,
$Q$3:$Q401,1,
$P$3:$P401,"&gt;="&amp;EOMONTH($P401,-1)+1,
$P$3:$P401,"&lt;"&amp;EOMONTH($P401,0)+1
)=1,
1,
0),
0)</f>
        <v>0</v>
      </c>
      <c r="T401">
        <f>IF(AND($R401=1,$M401&lt;&gt;""),IF(COUNTIFS($M$3:$M401,$M401,$O$3:$O401,$O401,$R$3:$R401,1,$P$3:$P401,"&gt;="&amp;EOMONTH($P401,-1)+1,$P$3:$P401,"&lt;"&amp;EOMONTH($P401,0)+1)=1,1,0),0)</f>
        <v>0</v>
      </c>
      <c r="U401">
        <f t="shared" si="69"/>
        <v>1</v>
      </c>
      <c r="V401">
        <f>IF(AND($U401=1,$M401&lt;&gt;""),IF(COUNTIFS($M$3:$M401,$M401,$O$3:$O401,$O401,$U$3:$U401,1,$P$3:$P401,"&gt;="&amp;EOMONTH($P401,-1)+1,$P$3:$P401,"&lt;"&amp;EOMONTH($P401,0)+1)=1,1,0),0)</f>
        <v>1</v>
      </c>
      <c r="W401" s="444">
        <f ca="1">TODAY()-Table1[[#This Row],[Change Date]]</f>
        <v>304.63472222222481</v>
      </c>
      <c r="X401" s="422" t="str">
        <f t="shared" si="70"/>
        <v/>
      </c>
      <c r="Y401" s="476">
        <f ca="1">IF(Table1[[#This Row],[Next Stage Date]]&lt;&gt;"",Table1[[#This Row],[Next Stage Date]]-Table1[[#This Row],[Change Date]],TODAY()-Table1[[#This Row],[Change Date]])</f>
        <v>304.63472222222481</v>
      </c>
      <c r="Z401" s="476">
        <f t="shared" si="71"/>
        <v>1</v>
      </c>
      <c r="AA401" s="422" t="str">
        <f t="shared" si="72"/>
        <v/>
      </c>
      <c r="AB401" s="422" t="str">
        <f t="shared" si="73"/>
        <v/>
      </c>
      <c r="AC401" s="476" t="str">
        <f t="shared" si="74"/>
        <v/>
      </c>
      <c r="AD401" s="476" t="str">
        <f t="shared" si="75"/>
        <v/>
      </c>
      <c r="AE401" s="476" t="str">
        <f t="shared" si="76"/>
        <v/>
      </c>
      <c r="AF401" s="476" t="b">
        <f>IFERROR(_xlfn.XLOOKUP(Table1[[#This Row],[Opportunity ID]],'Aging Detail'!$H$14:$H$20,'Aging Detail'!$F$14:$F$20),TRUE)</f>
        <v>1</v>
      </c>
    </row>
    <row r="402" spans="1:32">
      <c r="A402" t="s">
        <v>1461</v>
      </c>
      <c r="B402" t="s">
        <v>408</v>
      </c>
      <c r="C402" t="s">
        <v>563</v>
      </c>
      <c r="D402" t="s">
        <v>2569</v>
      </c>
      <c r="E402" t="s">
        <v>2570</v>
      </c>
      <c r="I402" s="422">
        <v>45597</v>
      </c>
      <c r="J402" s="422">
        <v>45952</v>
      </c>
      <c r="K402">
        <v>0</v>
      </c>
      <c r="L402">
        <v>0</v>
      </c>
      <c r="M402" t="s">
        <v>2571</v>
      </c>
      <c r="N402" t="s">
        <v>1634</v>
      </c>
      <c r="O402" t="str">
        <f>_xlfn.IFNA(VLOOKUP(Table1[[#This Row],[Lead Source]],'helper tab'!A:B,2,FALSE),"Exclude")</f>
        <v>Exclude</v>
      </c>
      <c r="P402" s="422">
        <f t="shared" si="66"/>
        <v>45952.549305555556</v>
      </c>
      <c r="Q402">
        <f t="shared" si="67"/>
        <v>0</v>
      </c>
      <c r="R402">
        <f t="shared" si="68"/>
        <v>1</v>
      </c>
      <c r="S402">
        <f>IF(
AND($Q402=1,$M402&lt;&gt;""),
IF(
COUNTIFS(
$M$3:$M402,$M402,
$O$3:$O402,$O402,
$Q$3:$Q402,1,
$P$3:$P402,"&gt;="&amp;EOMONTH($P402,-1)+1,
$P$3:$P402,"&lt;"&amp;EOMONTH($P402,0)+1
)=1,
1,
0),
0)</f>
        <v>0</v>
      </c>
      <c r="T402">
        <f>IF(AND($R402=1,$M402&lt;&gt;""),IF(COUNTIFS($M$3:$M402,$M402,$O$3:$O402,$O402,$R$3:$R402,1,$P$3:$P402,"&gt;="&amp;EOMONTH($P402,-1)+1,$P$3:$P402,"&lt;"&amp;EOMONTH($P402,0)+1)=1,1,0),0)</f>
        <v>1</v>
      </c>
      <c r="U402">
        <f t="shared" si="69"/>
        <v>0</v>
      </c>
      <c r="V402">
        <f>IF(AND($U402=1,$M402&lt;&gt;""),IF(COUNTIFS($M$3:$M402,$M402,$O$3:$O402,$O402,$U$3:$U402,1,$P$3:$P402,"&gt;="&amp;EOMONTH($P402,-1)+1,$P$3:$P402,"&lt;"&amp;EOMONTH($P402,0)+1)=1,1,0),0)</f>
        <v>0</v>
      </c>
      <c r="W402" s="444">
        <f ca="1">TODAY()-Table1[[#This Row],[Change Date]]</f>
        <v>305.4506944444438</v>
      </c>
      <c r="X402" s="422" t="str">
        <f t="shared" si="70"/>
        <v/>
      </c>
      <c r="Y402" s="476">
        <f ca="1">IF(Table1[[#This Row],[Next Stage Date]]&lt;&gt;"",Table1[[#This Row],[Next Stage Date]]-Table1[[#This Row],[Change Date]],TODAY()-Table1[[#This Row],[Change Date]])</f>
        <v>305.4506944444438</v>
      </c>
      <c r="Z402" s="476">
        <f t="shared" si="71"/>
        <v>1</v>
      </c>
      <c r="AA402" s="422">
        <f t="shared" si="72"/>
        <v>45952.549305555556</v>
      </c>
      <c r="AB402" s="422" t="str">
        <f t="shared" si="73"/>
        <v/>
      </c>
      <c r="AC402" s="476" t="str">
        <f t="shared" si="74"/>
        <v/>
      </c>
      <c r="AD402" s="476" t="str">
        <f t="shared" si="75"/>
        <v/>
      </c>
      <c r="AE402" s="476">
        <f t="shared" si="76"/>
        <v>355.5493055555562</v>
      </c>
      <c r="AF402" s="476" t="b">
        <f>IFERROR(_xlfn.XLOOKUP(Table1[[#This Row],[Opportunity ID]],'Aging Detail'!$H$14:$H$20,'Aging Detail'!$F$14:$F$20),TRUE)</f>
        <v>1</v>
      </c>
    </row>
    <row r="403" spans="1:32">
      <c r="A403" t="s">
        <v>1461</v>
      </c>
      <c r="B403" t="s">
        <v>1462</v>
      </c>
      <c r="C403" t="s">
        <v>563</v>
      </c>
      <c r="D403" t="s">
        <v>2569</v>
      </c>
      <c r="E403" t="s">
        <v>2572</v>
      </c>
      <c r="I403" s="422">
        <v>45748</v>
      </c>
      <c r="J403" s="422">
        <v>45952</v>
      </c>
      <c r="K403">
        <v>0</v>
      </c>
      <c r="L403">
        <v>0</v>
      </c>
      <c r="M403" t="s">
        <v>2573</v>
      </c>
      <c r="N403" t="s">
        <v>2239</v>
      </c>
      <c r="O403" t="str">
        <f>_xlfn.IFNA(VLOOKUP(Table1[[#This Row],[Lead Source]],'helper tab'!A:B,2,FALSE),"Exclude")</f>
        <v>Exclude</v>
      </c>
      <c r="P403" s="422">
        <f t="shared" si="66"/>
        <v>45952.549305555556</v>
      </c>
      <c r="Q403">
        <f t="shared" si="67"/>
        <v>0</v>
      </c>
      <c r="R403">
        <f t="shared" si="68"/>
        <v>1</v>
      </c>
      <c r="S403">
        <f>IF(
AND($Q403=1,$M403&lt;&gt;""),
IF(
COUNTIFS(
$M$3:$M403,$M403,
$O$3:$O403,$O403,
$Q$3:$Q403,1,
$P$3:$P403,"&gt;="&amp;EOMONTH($P403,-1)+1,
$P$3:$P403,"&lt;"&amp;EOMONTH($P403,0)+1
)=1,
1,
0),
0)</f>
        <v>0</v>
      </c>
      <c r="T403">
        <f>IF(AND($R403=1,$M403&lt;&gt;""),IF(COUNTIFS($M$3:$M403,$M403,$O$3:$O403,$O403,$R$3:$R403,1,$P$3:$P403,"&gt;="&amp;EOMONTH($P403,-1)+1,$P$3:$P403,"&lt;"&amp;EOMONTH($P403,0)+1)=1,1,0),0)</f>
        <v>1</v>
      </c>
      <c r="U403">
        <f t="shared" si="69"/>
        <v>0</v>
      </c>
      <c r="V403">
        <f>IF(AND($U403=1,$M403&lt;&gt;""),IF(COUNTIFS($M$3:$M403,$M403,$O$3:$O403,$O403,$U$3:$U403,1,$P$3:$P403,"&gt;="&amp;EOMONTH($P403,-1)+1,$P$3:$P403,"&lt;"&amp;EOMONTH($P403,0)+1)=1,1,0),0)</f>
        <v>0</v>
      </c>
      <c r="W403" s="444">
        <f ca="1">TODAY()-Table1[[#This Row],[Change Date]]</f>
        <v>305.4506944444438</v>
      </c>
      <c r="X403" s="422" t="str">
        <f t="shared" si="70"/>
        <v/>
      </c>
      <c r="Y403" s="476">
        <f ca="1">IF(Table1[[#This Row],[Next Stage Date]]&lt;&gt;"",Table1[[#This Row],[Next Stage Date]]-Table1[[#This Row],[Change Date]],TODAY()-Table1[[#This Row],[Change Date]])</f>
        <v>305.4506944444438</v>
      </c>
      <c r="Z403" s="476">
        <f t="shared" si="71"/>
        <v>1</v>
      </c>
      <c r="AA403" s="422">
        <f t="shared" si="72"/>
        <v>45952.549305555556</v>
      </c>
      <c r="AB403" s="422" t="str">
        <f t="shared" si="73"/>
        <v/>
      </c>
      <c r="AC403" s="476" t="str">
        <f t="shared" si="74"/>
        <v/>
      </c>
      <c r="AD403" s="476" t="str">
        <f t="shared" si="75"/>
        <v/>
      </c>
      <c r="AE403" s="476">
        <f t="shared" si="76"/>
        <v>204.5493055555562</v>
      </c>
      <c r="AF403" s="476" t="b">
        <f>IFERROR(_xlfn.XLOOKUP(Table1[[#This Row],[Opportunity ID]],'Aging Detail'!$H$14:$H$20,'Aging Detail'!$F$14:$F$20),TRUE)</f>
        <v>1</v>
      </c>
    </row>
    <row r="404" spans="1:32">
      <c r="A404" t="s">
        <v>1461</v>
      </c>
      <c r="B404" t="s">
        <v>526</v>
      </c>
      <c r="C404" t="s">
        <v>563</v>
      </c>
      <c r="D404" t="s">
        <v>2569</v>
      </c>
      <c r="E404" t="s">
        <v>2574</v>
      </c>
      <c r="I404" s="422">
        <v>45888</v>
      </c>
      <c r="J404" s="422">
        <v>45952</v>
      </c>
      <c r="K404">
        <v>0</v>
      </c>
      <c r="L404">
        <v>0</v>
      </c>
      <c r="M404" t="s">
        <v>2575</v>
      </c>
      <c r="N404" t="s">
        <v>1532</v>
      </c>
      <c r="O404" t="str">
        <f>_xlfn.IFNA(VLOOKUP(Table1[[#This Row],[Lead Source]],'helper tab'!A:B,2,FALSE),"Exclude")</f>
        <v>Exclude</v>
      </c>
      <c r="P404" s="422">
        <f t="shared" si="66"/>
        <v>45952.549305555556</v>
      </c>
      <c r="Q404">
        <f t="shared" si="67"/>
        <v>0</v>
      </c>
      <c r="R404">
        <f t="shared" si="68"/>
        <v>1</v>
      </c>
      <c r="S404">
        <f>IF(
AND($Q404=1,$M404&lt;&gt;""),
IF(
COUNTIFS(
$M$3:$M404,$M404,
$O$3:$O404,$O404,
$Q$3:$Q404,1,
$P$3:$P404,"&gt;="&amp;EOMONTH($P404,-1)+1,
$P$3:$P404,"&lt;"&amp;EOMONTH($P404,0)+1
)=1,
1,
0),
0)</f>
        <v>0</v>
      </c>
      <c r="T404">
        <f>IF(AND($R404=1,$M404&lt;&gt;""),IF(COUNTIFS($M$3:$M404,$M404,$O$3:$O404,$O404,$R$3:$R404,1,$P$3:$P404,"&gt;="&amp;EOMONTH($P404,-1)+1,$P$3:$P404,"&lt;"&amp;EOMONTH($P404,0)+1)=1,1,0),0)</f>
        <v>1</v>
      </c>
      <c r="U404">
        <f t="shared" si="69"/>
        <v>0</v>
      </c>
      <c r="V404">
        <f>IF(AND($U404=1,$M404&lt;&gt;""),IF(COUNTIFS($M$3:$M404,$M404,$O$3:$O404,$O404,$U$3:$U404,1,$P$3:$P404,"&gt;="&amp;EOMONTH($P404,-1)+1,$P$3:$P404,"&lt;"&amp;EOMONTH($P404,0)+1)=1,1,0),0)</f>
        <v>0</v>
      </c>
      <c r="W404" s="444">
        <f ca="1">TODAY()-Table1[[#This Row],[Change Date]]</f>
        <v>305.4506944444438</v>
      </c>
      <c r="X404" s="422" t="str">
        <f t="shared" si="70"/>
        <v/>
      </c>
      <c r="Y404" s="476">
        <f ca="1">IF(Table1[[#This Row],[Next Stage Date]]&lt;&gt;"",Table1[[#This Row],[Next Stage Date]]-Table1[[#This Row],[Change Date]],TODAY()-Table1[[#This Row],[Change Date]])</f>
        <v>305.4506944444438</v>
      </c>
      <c r="Z404" s="476">
        <f t="shared" si="71"/>
        <v>1</v>
      </c>
      <c r="AA404" s="422">
        <f t="shared" si="72"/>
        <v>45952.549305555556</v>
      </c>
      <c r="AB404" s="422">
        <f t="shared" si="73"/>
        <v>45952.245833333334</v>
      </c>
      <c r="AC404" s="476">
        <f t="shared" si="74"/>
        <v>64.245833333334303</v>
      </c>
      <c r="AD404" s="476">
        <f t="shared" si="75"/>
        <v>0.30347222222189885</v>
      </c>
      <c r="AE404" s="476">
        <f t="shared" si="76"/>
        <v>64.549305555556202</v>
      </c>
      <c r="AF404" s="476" t="b">
        <f>IFERROR(_xlfn.XLOOKUP(Table1[[#This Row],[Opportunity ID]],'Aging Detail'!$H$14:$H$20,'Aging Detail'!$F$14:$F$20),TRUE)</f>
        <v>1</v>
      </c>
    </row>
    <row r="405" spans="1:32">
      <c r="A405" t="s">
        <v>1461</v>
      </c>
      <c r="B405" t="s">
        <v>408</v>
      </c>
      <c r="C405" t="s">
        <v>1469</v>
      </c>
      <c r="D405" t="s">
        <v>2576</v>
      </c>
      <c r="E405" t="s">
        <v>2577</v>
      </c>
      <c r="H405" t="s">
        <v>2515</v>
      </c>
      <c r="I405" s="422">
        <v>45686</v>
      </c>
      <c r="J405" s="422">
        <v>46142</v>
      </c>
      <c r="K405">
        <v>30000</v>
      </c>
      <c r="L405">
        <v>0</v>
      </c>
      <c r="M405" t="s">
        <v>2578</v>
      </c>
      <c r="N405" t="s">
        <v>1800</v>
      </c>
      <c r="O405" t="str">
        <f>_xlfn.IFNA(VLOOKUP(Table1[[#This Row],[Lead Source]],'helper tab'!A:B,2,FALSE),"Exclude")</f>
        <v>Exclude</v>
      </c>
      <c r="P405" s="422">
        <f t="shared" si="66"/>
        <v>45952.459722222222</v>
      </c>
      <c r="Q405">
        <f t="shared" si="67"/>
        <v>0</v>
      </c>
      <c r="R405">
        <f t="shared" si="68"/>
        <v>0</v>
      </c>
      <c r="S405">
        <f>IF(
AND($Q405=1,$M405&lt;&gt;""),
IF(
COUNTIFS(
$M$3:$M405,$M405,
$O$3:$O405,$O405,
$Q$3:$Q405,1,
$P$3:$P405,"&gt;="&amp;EOMONTH($P405,-1)+1,
$P$3:$P405,"&lt;"&amp;EOMONTH($P405,0)+1
)=1,
1,
0),
0)</f>
        <v>0</v>
      </c>
      <c r="T405">
        <f>IF(AND($R405=1,$M405&lt;&gt;""),IF(COUNTIFS($M$3:$M405,$M405,$O$3:$O405,$O405,$R$3:$R405,1,$P$3:$P405,"&gt;="&amp;EOMONTH($P405,-1)+1,$P$3:$P405,"&lt;"&amp;EOMONTH($P405,0)+1)=1,1,0),0)</f>
        <v>0</v>
      </c>
      <c r="U405">
        <f t="shared" si="69"/>
        <v>1</v>
      </c>
      <c r="V405">
        <f>IF(AND($U405=1,$M405&lt;&gt;""),IF(COUNTIFS($M$3:$M405,$M405,$O$3:$O405,$O405,$U$3:$U405,1,$P$3:$P405,"&gt;="&amp;EOMONTH($P405,-1)+1,$P$3:$P405,"&lt;"&amp;EOMONTH($P405,0)+1)=1,1,0),0)</f>
        <v>1</v>
      </c>
      <c r="W405" s="444">
        <f ca="1">TODAY()-Table1[[#This Row],[Change Date]]</f>
        <v>305.5402777777781</v>
      </c>
      <c r="X405" s="422" t="str">
        <f t="shared" si="70"/>
        <v/>
      </c>
      <c r="Y405" s="476">
        <f ca="1">IF(Table1[[#This Row],[Next Stage Date]]&lt;&gt;"",Table1[[#This Row],[Next Stage Date]]-Table1[[#This Row],[Change Date]],TODAY()-Table1[[#This Row],[Change Date]])</f>
        <v>305.5402777777781</v>
      </c>
      <c r="Z405" s="476">
        <f t="shared" si="71"/>
        <v>1</v>
      </c>
      <c r="AA405" s="422" t="str">
        <f t="shared" si="72"/>
        <v/>
      </c>
      <c r="AB405" s="422" t="str">
        <f t="shared" si="73"/>
        <v/>
      </c>
      <c r="AC405" s="476" t="str">
        <f t="shared" si="74"/>
        <v/>
      </c>
      <c r="AD405" s="476" t="str">
        <f t="shared" si="75"/>
        <v/>
      </c>
      <c r="AE405" s="476" t="str">
        <f t="shared" si="76"/>
        <v/>
      </c>
      <c r="AF405" s="476" t="b">
        <f>IFERROR(_xlfn.XLOOKUP(Table1[[#This Row],[Opportunity ID]],'Aging Detail'!$H$14:$H$20,'Aging Detail'!$F$14:$F$20),TRUE)</f>
        <v>1</v>
      </c>
    </row>
    <row r="406" spans="1:32">
      <c r="A406" t="s">
        <v>1461</v>
      </c>
      <c r="B406" t="s">
        <v>338</v>
      </c>
      <c r="C406" t="s">
        <v>1469</v>
      </c>
      <c r="D406" t="s">
        <v>2579</v>
      </c>
      <c r="E406" t="s">
        <v>2580</v>
      </c>
      <c r="H406" t="s">
        <v>2515</v>
      </c>
      <c r="I406" s="422">
        <v>45715</v>
      </c>
      <c r="J406" s="422">
        <v>46234</v>
      </c>
      <c r="K406">
        <v>0</v>
      </c>
      <c r="L406">
        <v>0</v>
      </c>
      <c r="M406" t="s">
        <v>2581</v>
      </c>
      <c r="N406" t="s">
        <v>1887</v>
      </c>
      <c r="O406" t="str">
        <f>_xlfn.IFNA(VLOOKUP(Table1[[#This Row],[Lead Source]],'helper tab'!A:B,2,FALSE),"Exclude")</f>
        <v>Exclude</v>
      </c>
      <c r="P406" s="422">
        <f t="shared" si="66"/>
        <v>45952.45416666667</v>
      </c>
      <c r="Q406">
        <f t="shared" si="67"/>
        <v>0</v>
      </c>
      <c r="R406">
        <f t="shared" si="68"/>
        <v>0</v>
      </c>
      <c r="S406">
        <f>IF(
AND($Q406=1,$M406&lt;&gt;""),
IF(
COUNTIFS(
$M$3:$M406,$M406,
$O$3:$O406,$O406,
$Q$3:$Q406,1,
$P$3:$P406,"&gt;="&amp;EOMONTH($P406,-1)+1,
$P$3:$P406,"&lt;"&amp;EOMONTH($P406,0)+1
)=1,
1,
0),
0)</f>
        <v>0</v>
      </c>
      <c r="T406">
        <f>IF(AND($R406=1,$M406&lt;&gt;""),IF(COUNTIFS($M$3:$M406,$M406,$O$3:$O406,$O406,$R$3:$R406,1,$P$3:$P406,"&gt;="&amp;EOMONTH($P406,-1)+1,$P$3:$P406,"&lt;"&amp;EOMONTH($P406,0)+1)=1,1,0),0)</f>
        <v>0</v>
      </c>
      <c r="U406">
        <f t="shared" si="69"/>
        <v>1</v>
      </c>
      <c r="V406">
        <f>IF(AND($U406=1,$M406&lt;&gt;""),IF(COUNTIFS($M$3:$M406,$M406,$O$3:$O406,$O406,$U$3:$U406,1,$P$3:$P406,"&gt;="&amp;EOMONTH($P406,-1)+1,$P$3:$P406,"&lt;"&amp;EOMONTH($P406,0)+1)=1,1,0),0)</f>
        <v>1</v>
      </c>
      <c r="W406" s="444">
        <f ca="1">TODAY()-Table1[[#This Row],[Change Date]]</f>
        <v>305.54583333332994</v>
      </c>
      <c r="X406" s="422" t="str">
        <f t="shared" si="70"/>
        <v/>
      </c>
      <c r="Y406" s="476">
        <f ca="1">IF(Table1[[#This Row],[Next Stage Date]]&lt;&gt;"",Table1[[#This Row],[Next Stage Date]]-Table1[[#This Row],[Change Date]],TODAY()-Table1[[#This Row],[Change Date]])</f>
        <v>305.54583333332994</v>
      </c>
      <c r="Z406" s="476">
        <f t="shared" si="71"/>
        <v>1</v>
      </c>
      <c r="AA406" s="422" t="str">
        <f t="shared" si="72"/>
        <v/>
      </c>
      <c r="AB406" s="422" t="str">
        <f t="shared" si="73"/>
        <v/>
      </c>
      <c r="AC406" s="476" t="str">
        <f t="shared" si="74"/>
        <v/>
      </c>
      <c r="AD406" s="476" t="str">
        <f t="shared" si="75"/>
        <v/>
      </c>
      <c r="AE406" s="476" t="str">
        <f t="shared" si="76"/>
        <v/>
      </c>
      <c r="AF406" s="476" t="b">
        <f>IFERROR(_xlfn.XLOOKUP(Table1[[#This Row],[Opportunity ID]],'Aging Detail'!$H$14:$H$20,'Aging Detail'!$F$14:$F$20),TRUE)</f>
        <v>1</v>
      </c>
    </row>
    <row r="407" spans="1:32">
      <c r="A407" t="s">
        <v>1461</v>
      </c>
      <c r="B407" t="s">
        <v>408</v>
      </c>
      <c r="C407" t="s">
        <v>1469</v>
      </c>
      <c r="D407" t="s">
        <v>2582</v>
      </c>
      <c r="E407" t="s">
        <v>2583</v>
      </c>
      <c r="F407" t="s">
        <v>1484</v>
      </c>
      <c r="I407" s="422">
        <v>45453</v>
      </c>
      <c r="J407" s="422">
        <v>46203</v>
      </c>
      <c r="K407">
        <v>0</v>
      </c>
      <c r="L407">
        <v>0</v>
      </c>
      <c r="M407" t="s">
        <v>2584</v>
      </c>
      <c r="N407" t="s">
        <v>1532</v>
      </c>
      <c r="O407" t="str">
        <f>_xlfn.IFNA(VLOOKUP(Table1[[#This Row],[Lead Source]],'helper tab'!A:B,2,FALSE),"Exclude")</f>
        <v>Exclude</v>
      </c>
      <c r="P407" s="422">
        <f t="shared" si="66"/>
        <v>45952.37222222222</v>
      </c>
      <c r="Q407">
        <f t="shared" si="67"/>
        <v>0</v>
      </c>
      <c r="R407">
        <f t="shared" si="68"/>
        <v>0</v>
      </c>
      <c r="S407">
        <f>IF(
AND($Q407=1,$M407&lt;&gt;""),
IF(
COUNTIFS(
$M$3:$M407,$M407,
$O$3:$O407,$O407,
$Q$3:$Q407,1,
$P$3:$P407,"&gt;="&amp;EOMONTH($P407,-1)+1,
$P$3:$P407,"&lt;"&amp;EOMONTH($P407,0)+1
)=1,
1,
0),
0)</f>
        <v>0</v>
      </c>
      <c r="T407">
        <f>IF(AND($R407=1,$M407&lt;&gt;""),IF(COUNTIFS($M$3:$M407,$M407,$O$3:$O407,$O407,$R$3:$R407,1,$P$3:$P407,"&gt;="&amp;EOMONTH($P407,-1)+1,$P$3:$P407,"&lt;"&amp;EOMONTH($P407,0)+1)=1,1,0),0)</f>
        <v>0</v>
      </c>
      <c r="U407">
        <f t="shared" si="69"/>
        <v>1</v>
      </c>
      <c r="V407">
        <f>IF(AND($U407=1,$M407&lt;&gt;""),IF(COUNTIFS($M$3:$M407,$M407,$O$3:$O407,$O407,$U$3:$U407,1,$P$3:$P407,"&gt;="&amp;EOMONTH($P407,-1)+1,$P$3:$P407,"&lt;"&amp;EOMONTH($P407,0)+1)=1,1,0),0)</f>
        <v>1</v>
      </c>
      <c r="W407" s="444">
        <f ca="1">TODAY()-Table1[[#This Row],[Change Date]]</f>
        <v>305.62777777777956</v>
      </c>
      <c r="X407" s="422" t="str">
        <f t="shared" si="70"/>
        <v/>
      </c>
      <c r="Y407" s="476">
        <f ca="1">IF(Table1[[#This Row],[Next Stage Date]]&lt;&gt;"",Table1[[#This Row],[Next Stage Date]]-Table1[[#This Row],[Change Date]],TODAY()-Table1[[#This Row],[Change Date]])</f>
        <v>305.62777777777956</v>
      </c>
      <c r="Z407" s="476">
        <f t="shared" si="71"/>
        <v>1</v>
      </c>
      <c r="AA407" s="422" t="str">
        <f t="shared" si="72"/>
        <v/>
      </c>
      <c r="AB407" s="422" t="str">
        <f t="shared" si="73"/>
        <v/>
      </c>
      <c r="AC407" s="476" t="str">
        <f t="shared" si="74"/>
        <v/>
      </c>
      <c r="AD407" s="476" t="str">
        <f t="shared" si="75"/>
        <v/>
      </c>
      <c r="AE407" s="476" t="str">
        <f t="shared" si="76"/>
        <v/>
      </c>
      <c r="AF407" s="476" t="b">
        <f>IFERROR(_xlfn.XLOOKUP(Table1[[#This Row],[Opportunity ID]],'Aging Detail'!$H$14:$H$20,'Aging Detail'!$F$14:$F$20),TRUE)</f>
        <v>1</v>
      </c>
    </row>
    <row r="408" spans="1:32">
      <c r="A408" t="s">
        <v>1461</v>
      </c>
      <c r="B408" t="s">
        <v>1462</v>
      </c>
      <c r="C408" t="s">
        <v>1469</v>
      </c>
      <c r="D408" t="s">
        <v>2585</v>
      </c>
      <c r="E408" t="s">
        <v>2586</v>
      </c>
      <c r="F408" t="s">
        <v>1473</v>
      </c>
      <c r="H408" t="s">
        <v>157</v>
      </c>
      <c r="I408" s="422">
        <v>45373</v>
      </c>
      <c r="J408" s="422">
        <v>46112</v>
      </c>
      <c r="K408">
        <v>538000</v>
      </c>
      <c r="L408">
        <v>198000</v>
      </c>
      <c r="M408" t="s">
        <v>2587</v>
      </c>
      <c r="N408" t="s">
        <v>2588</v>
      </c>
      <c r="O408" t="str">
        <f>_xlfn.IFNA(VLOOKUP(Table1[[#This Row],[Lead Source]],'helper tab'!A:B,2,FALSE),"Exclude")</f>
        <v>Events</v>
      </c>
      <c r="P408" s="422">
        <f t="shared" si="66"/>
        <v>45952.245833333334</v>
      </c>
      <c r="Q408">
        <f t="shared" si="67"/>
        <v>0</v>
      </c>
      <c r="R408">
        <f t="shared" si="68"/>
        <v>0</v>
      </c>
      <c r="S408">
        <f>IF(
AND($Q408=1,$M408&lt;&gt;""),
IF(
COUNTIFS(
$M$3:$M408,$M408,
$O$3:$O408,$O408,
$Q$3:$Q408,1,
$P$3:$P408,"&gt;="&amp;EOMONTH($P408,-1)+1,
$P$3:$P408,"&lt;"&amp;EOMONTH($P408,0)+1
)=1,
1,
0),
0)</f>
        <v>0</v>
      </c>
      <c r="T408">
        <f>IF(AND($R408=1,$M408&lt;&gt;""),IF(COUNTIFS($M$3:$M408,$M408,$O$3:$O408,$O408,$R$3:$R408,1,$P$3:$P408,"&gt;="&amp;EOMONTH($P408,-1)+1,$P$3:$P408,"&lt;"&amp;EOMONTH($P408,0)+1)=1,1,0),0)</f>
        <v>0</v>
      </c>
      <c r="U408">
        <f t="shared" si="69"/>
        <v>1</v>
      </c>
      <c r="V408">
        <f>IF(AND($U408=1,$M408&lt;&gt;""),IF(COUNTIFS($M$3:$M408,$M408,$O$3:$O408,$O408,$U$3:$U408,1,$P$3:$P408,"&gt;="&amp;EOMONTH($P408,-1)+1,$P$3:$P408,"&lt;"&amp;EOMONTH($P408,0)+1)=1,1,0),0)</f>
        <v>1</v>
      </c>
      <c r="W408" s="444">
        <f ca="1">TODAY()-Table1[[#This Row],[Change Date]]</f>
        <v>305.7541666666657</v>
      </c>
      <c r="X408" s="422" t="str">
        <f t="shared" si="70"/>
        <v/>
      </c>
      <c r="Y408" s="476">
        <f ca="1">IF(Table1[[#This Row],[Next Stage Date]]&lt;&gt;"",Table1[[#This Row],[Next Stage Date]]-Table1[[#This Row],[Change Date]],TODAY()-Table1[[#This Row],[Change Date]])</f>
        <v>305.7541666666657</v>
      </c>
      <c r="Z408" s="476">
        <f t="shared" si="71"/>
        <v>1</v>
      </c>
      <c r="AA408" s="422" t="str">
        <f t="shared" si="72"/>
        <v/>
      </c>
      <c r="AB408" s="422" t="str">
        <f t="shared" si="73"/>
        <v/>
      </c>
      <c r="AC408" s="476" t="str">
        <f t="shared" si="74"/>
        <v/>
      </c>
      <c r="AD408" s="476" t="str">
        <f t="shared" si="75"/>
        <v/>
      </c>
      <c r="AE408" s="476" t="str">
        <f t="shared" si="76"/>
        <v/>
      </c>
      <c r="AF408" s="476" t="b">
        <f>IFERROR(_xlfn.XLOOKUP(Table1[[#This Row],[Opportunity ID]],'Aging Detail'!$H$14:$H$20,'Aging Detail'!$F$14:$F$20),TRUE)</f>
        <v>1</v>
      </c>
    </row>
    <row r="409" spans="1:32">
      <c r="A409" t="s">
        <v>1461</v>
      </c>
      <c r="B409" t="s">
        <v>338</v>
      </c>
      <c r="C409" t="s">
        <v>526</v>
      </c>
      <c r="D409" t="s">
        <v>2585</v>
      </c>
      <c r="E409" t="s">
        <v>2574</v>
      </c>
      <c r="I409" s="422">
        <v>45888</v>
      </c>
      <c r="J409" s="422">
        <v>45952</v>
      </c>
      <c r="K409">
        <v>0</v>
      </c>
      <c r="L409">
        <v>0</v>
      </c>
      <c r="M409" t="s">
        <v>2575</v>
      </c>
      <c r="N409" t="s">
        <v>1532</v>
      </c>
      <c r="O409" t="str">
        <f>_xlfn.IFNA(VLOOKUP(Table1[[#This Row],[Lead Source]],'helper tab'!A:B,2,FALSE),"Exclude")</f>
        <v>Exclude</v>
      </c>
      <c r="P409" s="422">
        <f t="shared" si="66"/>
        <v>45952.245833333334</v>
      </c>
      <c r="Q409">
        <f t="shared" si="67"/>
        <v>1</v>
      </c>
      <c r="R409">
        <f t="shared" si="68"/>
        <v>0</v>
      </c>
      <c r="S409">
        <f>IF(
AND($Q409=1,$M409&lt;&gt;""),
IF(
COUNTIFS(
$M$3:$M409,$M409,
$O$3:$O409,$O409,
$Q$3:$Q409,1,
$P$3:$P409,"&gt;="&amp;EOMONTH($P409,-1)+1,
$P$3:$P409,"&lt;"&amp;EOMONTH($P409,0)+1
)=1,
1,
0),
0)</f>
        <v>1</v>
      </c>
      <c r="T409">
        <f>IF(AND($R409=1,$M409&lt;&gt;""),IF(COUNTIFS($M$3:$M409,$M409,$O$3:$O409,$O409,$R$3:$R409,1,$P$3:$P409,"&gt;="&amp;EOMONTH($P409,-1)+1,$P$3:$P409,"&lt;"&amp;EOMONTH($P409,0)+1)=1,1,0),0)</f>
        <v>0</v>
      </c>
      <c r="U409">
        <f t="shared" si="69"/>
        <v>0</v>
      </c>
      <c r="V409">
        <f>IF(AND($U409=1,$M409&lt;&gt;""),IF(COUNTIFS($M$3:$M409,$M409,$O$3:$O409,$O409,$U$3:$U409,1,$P$3:$P409,"&gt;="&amp;EOMONTH($P409,-1)+1,$P$3:$P409,"&lt;"&amp;EOMONTH($P409,0)+1)=1,1,0),0)</f>
        <v>0</v>
      </c>
      <c r="W409" s="444">
        <f ca="1">TODAY()-Table1[[#This Row],[Change Date]]</f>
        <v>305.7541666666657</v>
      </c>
      <c r="X409" s="422">
        <f t="shared" si="70"/>
        <v>45952.549305555556</v>
      </c>
      <c r="Y409" s="476">
        <f ca="1">IF(Table1[[#This Row],[Next Stage Date]]&lt;&gt;"",Table1[[#This Row],[Next Stage Date]]-Table1[[#This Row],[Change Date]],TODAY()-Table1[[#This Row],[Change Date]])</f>
        <v>0.30347222222189885</v>
      </c>
      <c r="Z409" s="476">
        <f t="shared" si="71"/>
        <v>0</v>
      </c>
      <c r="AA409" s="422">
        <f t="shared" si="72"/>
        <v>45952.549305555556</v>
      </c>
      <c r="AB409" s="422">
        <f t="shared" si="73"/>
        <v>45952.245833333334</v>
      </c>
      <c r="AC409" s="476">
        <f t="shared" si="74"/>
        <v>64.245833333334303</v>
      </c>
      <c r="AD409" s="476">
        <f t="shared" si="75"/>
        <v>0.30347222222189885</v>
      </c>
      <c r="AE409" s="476">
        <f t="shared" si="76"/>
        <v>64.549305555556202</v>
      </c>
      <c r="AF409" s="476" t="b">
        <f>IFERROR(_xlfn.XLOOKUP(Table1[[#This Row],[Opportunity ID]],'Aging Detail'!$H$14:$H$20,'Aging Detail'!$F$14:$F$20),TRUE)</f>
        <v>1</v>
      </c>
    </row>
    <row r="410" spans="1:32">
      <c r="A410" t="s">
        <v>1461</v>
      </c>
      <c r="B410" t="s">
        <v>408</v>
      </c>
      <c r="C410" t="s">
        <v>1469</v>
      </c>
      <c r="D410" t="s">
        <v>2589</v>
      </c>
      <c r="E410" t="s">
        <v>2590</v>
      </c>
      <c r="I410" s="422">
        <v>45716</v>
      </c>
      <c r="J410" s="422">
        <v>46112</v>
      </c>
      <c r="K410">
        <v>82350</v>
      </c>
      <c r="L410">
        <v>82350</v>
      </c>
      <c r="M410" t="s">
        <v>2591</v>
      </c>
      <c r="N410" t="s">
        <v>1831</v>
      </c>
      <c r="O410" t="str">
        <f>_xlfn.IFNA(VLOOKUP(Table1[[#This Row],[Lead Source]],'helper tab'!A:B,2,FALSE),"Exclude")</f>
        <v>Exclude</v>
      </c>
      <c r="P410" s="422">
        <f t="shared" si="66"/>
        <v>45950.498611111114</v>
      </c>
      <c r="Q410">
        <f t="shared" si="67"/>
        <v>0</v>
      </c>
      <c r="R410">
        <f t="shared" si="68"/>
        <v>0</v>
      </c>
      <c r="S410">
        <f>IF(
AND($Q410=1,$M410&lt;&gt;""),
IF(
COUNTIFS(
$M$3:$M410,$M410,
$O$3:$O410,$O410,
$Q$3:$Q410,1,
$P$3:$P410,"&gt;="&amp;EOMONTH($P410,-1)+1,
$P$3:$P410,"&lt;"&amp;EOMONTH($P410,0)+1
)=1,
1,
0),
0)</f>
        <v>0</v>
      </c>
      <c r="T410">
        <f>IF(AND($R410=1,$M410&lt;&gt;""),IF(COUNTIFS($M$3:$M410,$M410,$O$3:$O410,$O410,$R$3:$R410,1,$P$3:$P410,"&gt;="&amp;EOMONTH($P410,-1)+1,$P$3:$P410,"&lt;"&amp;EOMONTH($P410,0)+1)=1,1,0),0)</f>
        <v>0</v>
      </c>
      <c r="U410">
        <f t="shared" si="69"/>
        <v>1</v>
      </c>
      <c r="V410">
        <f>IF(AND($U410=1,$M410&lt;&gt;""),IF(COUNTIFS($M$3:$M410,$M410,$O$3:$O410,$O410,$U$3:$U410,1,$P$3:$P410,"&gt;="&amp;EOMONTH($P410,-1)+1,$P$3:$P410,"&lt;"&amp;EOMONTH($P410,0)+1)=1,1,0),0)</f>
        <v>1</v>
      </c>
      <c r="W410" s="444">
        <f ca="1">TODAY()-Table1[[#This Row],[Change Date]]</f>
        <v>307.50138888888614</v>
      </c>
      <c r="X410" s="422" t="str">
        <f t="shared" si="70"/>
        <v/>
      </c>
      <c r="Y410" s="476">
        <f ca="1">IF(Table1[[#This Row],[Next Stage Date]]&lt;&gt;"",Table1[[#This Row],[Next Stage Date]]-Table1[[#This Row],[Change Date]],TODAY()-Table1[[#This Row],[Change Date]])</f>
        <v>307.50138888888614</v>
      </c>
      <c r="Z410" s="476">
        <f t="shared" si="71"/>
        <v>1</v>
      </c>
      <c r="AA410" s="422" t="str">
        <f t="shared" si="72"/>
        <v/>
      </c>
      <c r="AB410" s="422" t="str">
        <f t="shared" si="73"/>
        <v/>
      </c>
      <c r="AC410" s="476" t="str">
        <f t="shared" si="74"/>
        <v/>
      </c>
      <c r="AD410" s="476" t="str">
        <f t="shared" si="75"/>
        <v/>
      </c>
      <c r="AE410" s="476" t="str">
        <f t="shared" si="76"/>
        <v/>
      </c>
      <c r="AF410" s="476" t="b">
        <f>IFERROR(_xlfn.XLOOKUP(Table1[[#This Row],[Opportunity ID]],'Aging Detail'!$H$14:$H$20,'Aging Detail'!$F$14:$F$20),TRUE)</f>
        <v>1</v>
      </c>
    </row>
    <row r="411" spans="1:32">
      <c r="A411" t="s">
        <v>1461</v>
      </c>
      <c r="B411" t="s">
        <v>338</v>
      </c>
      <c r="C411" t="s">
        <v>462</v>
      </c>
      <c r="D411" t="s">
        <v>2592</v>
      </c>
      <c r="E411" t="s">
        <v>2547</v>
      </c>
      <c r="F411" t="s">
        <v>1465</v>
      </c>
      <c r="I411" s="422">
        <v>45931</v>
      </c>
      <c r="J411" s="422">
        <v>45959</v>
      </c>
      <c r="K411">
        <v>0</v>
      </c>
      <c r="L411">
        <v>0</v>
      </c>
      <c r="M411" t="s">
        <v>2548</v>
      </c>
      <c r="N411" t="s">
        <v>1831</v>
      </c>
      <c r="O411" t="str">
        <f>_xlfn.IFNA(VLOOKUP(Table1[[#This Row],[Lead Source]],'helper tab'!A:B,2,FALSE),"Exclude")</f>
        <v>Exclude</v>
      </c>
      <c r="P411" s="422">
        <f t="shared" si="66"/>
        <v>45950.493750000001</v>
      </c>
      <c r="Q411">
        <f t="shared" si="67"/>
        <v>1</v>
      </c>
      <c r="R411">
        <f t="shared" si="68"/>
        <v>0</v>
      </c>
      <c r="S411">
        <f>IF(
AND($Q411=1,$M411&lt;&gt;""),
IF(
COUNTIFS(
$M$3:$M411,$M411,
$O$3:$O411,$O411,
$Q$3:$Q411,1,
$P$3:$P411,"&gt;="&amp;EOMONTH($P411,-1)+1,
$P$3:$P411,"&lt;"&amp;EOMONTH($P411,0)+1
)=1,
1,
0),
0)</f>
        <v>1</v>
      </c>
      <c r="T411">
        <f>IF(AND($R411=1,$M411&lt;&gt;""),IF(COUNTIFS($M$3:$M411,$M411,$O$3:$O411,$O411,$R$3:$R411,1,$P$3:$P411,"&gt;="&amp;EOMONTH($P411,-1)+1,$P$3:$P411,"&lt;"&amp;EOMONTH($P411,0)+1)=1,1,0),0)</f>
        <v>0</v>
      </c>
      <c r="U411">
        <f t="shared" si="69"/>
        <v>0</v>
      </c>
      <c r="V411">
        <f>IF(AND($U411=1,$M411&lt;&gt;""),IF(COUNTIFS($M$3:$M411,$M411,$O$3:$O411,$O411,$U$3:$U411,1,$P$3:$P411,"&gt;="&amp;EOMONTH($P411,-1)+1,$P$3:$P411,"&lt;"&amp;EOMONTH($P411,0)+1)=1,1,0),0)</f>
        <v>0</v>
      </c>
      <c r="W411" s="444">
        <f ca="1">TODAY()-Table1[[#This Row],[Change Date]]</f>
        <v>307.50624999999854</v>
      </c>
      <c r="X411" s="422">
        <f t="shared" si="70"/>
        <v>45959.586111111108</v>
      </c>
      <c r="Y411" s="476">
        <f ca="1">IF(Table1[[#This Row],[Next Stage Date]]&lt;&gt;"",Table1[[#This Row],[Next Stage Date]]-Table1[[#This Row],[Change Date]],TODAY()-Table1[[#This Row],[Change Date]])</f>
        <v>9.0923611111065838</v>
      </c>
      <c r="Z411" s="476">
        <f t="shared" si="71"/>
        <v>0</v>
      </c>
      <c r="AA411" s="422">
        <f t="shared" si="72"/>
        <v>45959.586111111108</v>
      </c>
      <c r="AB411" s="422">
        <f t="shared" si="73"/>
        <v>45950.493750000001</v>
      </c>
      <c r="AC411" s="476">
        <f t="shared" si="74"/>
        <v>19.493750000001455</v>
      </c>
      <c r="AD411" s="476">
        <f t="shared" si="75"/>
        <v>9.0923611111065838</v>
      </c>
      <c r="AE411" s="476">
        <f t="shared" si="76"/>
        <v>28.586111111108039</v>
      </c>
      <c r="AF411" s="476" t="b">
        <f>IFERROR(_xlfn.XLOOKUP(Table1[[#This Row],[Opportunity ID]],'Aging Detail'!$H$14:$H$20,'Aging Detail'!$F$14:$F$20),TRUE)</f>
        <v>1</v>
      </c>
    </row>
    <row r="412" spans="1:32">
      <c r="A412" t="s">
        <v>1461</v>
      </c>
      <c r="B412" t="s">
        <v>526</v>
      </c>
      <c r="C412" t="s">
        <v>563</v>
      </c>
      <c r="D412" t="s">
        <v>2593</v>
      </c>
      <c r="E412" t="s">
        <v>2594</v>
      </c>
      <c r="F412" t="s">
        <v>1463</v>
      </c>
      <c r="I412" s="422">
        <v>45811</v>
      </c>
      <c r="J412" s="422">
        <v>45941</v>
      </c>
      <c r="K412">
        <v>10000</v>
      </c>
      <c r="L412">
        <v>0</v>
      </c>
      <c r="M412" t="s">
        <v>2595</v>
      </c>
      <c r="N412" t="s">
        <v>1752</v>
      </c>
      <c r="O412" t="str">
        <f>_xlfn.IFNA(VLOOKUP(Table1[[#This Row],[Lead Source]],'helper tab'!A:B,2,FALSE),"Exclude")</f>
        <v>Cold</v>
      </c>
      <c r="P412" s="422">
        <f t="shared" si="66"/>
        <v>45950.38958333333</v>
      </c>
      <c r="Q412">
        <f t="shared" si="67"/>
        <v>0</v>
      </c>
      <c r="R412">
        <f t="shared" si="68"/>
        <v>1</v>
      </c>
      <c r="S412">
        <f>IF(
AND($Q412=1,$M412&lt;&gt;""),
IF(
COUNTIFS(
$M$3:$M412,$M412,
$O$3:$O412,$O412,
$Q$3:$Q412,1,
$P$3:$P412,"&gt;="&amp;EOMONTH($P412,-1)+1,
$P$3:$P412,"&lt;"&amp;EOMONTH($P412,0)+1
)=1,
1,
0),
0)</f>
        <v>0</v>
      </c>
      <c r="T412">
        <f>IF(AND($R412=1,$M412&lt;&gt;""),IF(COUNTIFS($M$3:$M412,$M412,$O$3:$O412,$O412,$R$3:$R412,1,$P$3:$P412,"&gt;="&amp;EOMONTH($P412,-1)+1,$P$3:$P412,"&lt;"&amp;EOMONTH($P412,0)+1)=1,1,0),0)</f>
        <v>1</v>
      </c>
      <c r="U412">
        <f t="shared" si="69"/>
        <v>0</v>
      </c>
      <c r="V412">
        <f>IF(AND($U412=1,$M412&lt;&gt;""),IF(COUNTIFS($M$3:$M412,$M412,$O$3:$O412,$O412,$U$3:$U412,1,$P$3:$P412,"&gt;="&amp;EOMONTH($P412,-1)+1,$P$3:$P412,"&lt;"&amp;EOMONTH($P412,0)+1)=1,1,0),0)</f>
        <v>0</v>
      </c>
      <c r="W412" s="444">
        <f ca="1">TODAY()-Table1[[#This Row],[Change Date]]</f>
        <v>307.61041666667006</v>
      </c>
      <c r="X412" s="422" t="str">
        <f t="shared" si="70"/>
        <v/>
      </c>
      <c r="Y412" s="476">
        <f ca="1">IF(Table1[[#This Row],[Next Stage Date]]&lt;&gt;"",Table1[[#This Row],[Next Stage Date]]-Table1[[#This Row],[Change Date]],TODAY()-Table1[[#This Row],[Change Date]])</f>
        <v>307.61041666667006</v>
      </c>
      <c r="Z412" s="476">
        <f t="shared" si="71"/>
        <v>1</v>
      </c>
      <c r="AA412" s="422">
        <f t="shared" si="72"/>
        <v>45950.38958333333</v>
      </c>
      <c r="AB412" s="422">
        <f t="shared" si="73"/>
        <v>45947.373611111114</v>
      </c>
      <c r="AC412" s="476">
        <f t="shared" si="74"/>
        <v>136.37361111111386</v>
      </c>
      <c r="AD412" s="476">
        <f t="shared" si="75"/>
        <v>3.0159722222160781</v>
      </c>
      <c r="AE412" s="476">
        <f t="shared" si="76"/>
        <v>139.38958333332994</v>
      </c>
      <c r="AF412" s="476" t="b">
        <f>IFERROR(_xlfn.XLOOKUP(Table1[[#This Row],[Opportunity ID]],'Aging Detail'!$H$14:$H$20,'Aging Detail'!$F$14:$F$20),TRUE)</f>
        <v>1</v>
      </c>
    </row>
    <row r="413" spans="1:32">
      <c r="A413" t="s">
        <v>1461</v>
      </c>
      <c r="B413" t="s">
        <v>338</v>
      </c>
      <c r="C413" t="s">
        <v>1469</v>
      </c>
      <c r="D413" t="s">
        <v>2596</v>
      </c>
      <c r="E413" t="s">
        <v>2597</v>
      </c>
      <c r="I413" s="422">
        <v>45931</v>
      </c>
      <c r="J413" s="422">
        <v>73050</v>
      </c>
      <c r="K413">
        <v>0</v>
      </c>
      <c r="L413">
        <v>0</v>
      </c>
      <c r="M413" t="s">
        <v>2598</v>
      </c>
      <c r="N413" t="s">
        <v>2239</v>
      </c>
      <c r="O413" t="str">
        <f>_xlfn.IFNA(VLOOKUP(Table1[[#This Row],[Lead Source]],'helper tab'!A:B,2,FALSE),"Exclude")</f>
        <v>Exclude</v>
      </c>
      <c r="P413" s="422">
        <f t="shared" si="66"/>
        <v>45950.353472222225</v>
      </c>
      <c r="Q413">
        <f t="shared" si="67"/>
        <v>0</v>
      </c>
      <c r="R413">
        <f t="shared" si="68"/>
        <v>0</v>
      </c>
      <c r="S413">
        <f>IF(
AND($Q413=1,$M413&lt;&gt;""),
IF(
COUNTIFS(
$M$3:$M413,$M413,
$O$3:$O413,$O413,
$Q$3:$Q413,1,
$P$3:$P413,"&gt;="&amp;EOMONTH($P413,-1)+1,
$P$3:$P413,"&lt;"&amp;EOMONTH($P413,0)+1
)=1,
1,
0),
0)</f>
        <v>0</v>
      </c>
      <c r="T413">
        <f>IF(AND($R413=1,$M413&lt;&gt;""),IF(COUNTIFS($M$3:$M413,$M413,$O$3:$O413,$O413,$R$3:$R413,1,$P$3:$P413,"&gt;="&amp;EOMONTH($P413,-1)+1,$P$3:$P413,"&lt;"&amp;EOMONTH($P413,0)+1)=1,1,0),0)</f>
        <v>0</v>
      </c>
      <c r="U413">
        <f t="shared" si="69"/>
        <v>1</v>
      </c>
      <c r="V413">
        <f>IF(AND($U413=1,$M413&lt;&gt;""),IF(COUNTIFS($M$3:$M413,$M413,$O$3:$O413,$O413,$U$3:$U413,1,$P$3:$P413,"&gt;="&amp;EOMONTH($P413,-1)+1,$P$3:$P413,"&lt;"&amp;EOMONTH($P413,0)+1)=1,1,0),0)</f>
        <v>1</v>
      </c>
      <c r="W413" s="444">
        <f ca="1">TODAY()-Table1[[#This Row],[Change Date]]</f>
        <v>307.64652777777519</v>
      </c>
      <c r="X413" s="422" t="str">
        <f t="shared" si="70"/>
        <v/>
      </c>
      <c r="Y413" s="476">
        <f ca="1">IF(Table1[[#This Row],[Next Stage Date]]&lt;&gt;"",Table1[[#This Row],[Next Stage Date]]-Table1[[#This Row],[Change Date]],TODAY()-Table1[[#This Row],[Change Date]])</f>
        <v>307.64652777777519</v>
      </c>
      <c r="Z413" s="476">
        <f t="shared" si="71"/>
        <v>1</v>
      </c>
      <c r="AA413" s="422" t="str">
        <f t="shared" si="72"/>
        <v/>
      </c>
      <c r="AB413" s="422" t="str">
        <f t="shared" si="73"/>
        <v/>
      </c>
      <c r="AC413" s="476" t="str">
        <f t="shared" si="74"/>
        <v/>
      </c>
      <c r="AD413" s="476" t="str">
        <f t="shared" si="75"/>
        <v/>
      </c>
      <c r="AE413" s="476" t="str">
        <f t="shared" si="76"/>
        <v/>
      </c>
      <c r="AF413" s="476" t="b">
        <f>IFERROR(_xlfn.XLOOKUP(Table1[[#This Row],[Opportunity ID]],'Aging Detail'!$H$14:$H$20,'Aging Detail'!$F$14:$F$20),TRUE)</f>
        <v>1</v>
      </c>
    </row>
    <row r="414" spans="1:32">
      <c r="A414" t="s">
        <v>1461</v>
      </c>
      <c r="B414" t="s">
        <v>408</v>
      </c>
      <c r="C414" t="s">
        <v>462</v>
      </c>
      <c r="D414" t="s">
        <v>2599</v>
      </c>
      <c r="E414" t="s">
        <v>1978</v>
      </c>
      <c r="F414" t="s">
        <v>1632</v>
      </c>
      <c r="I414" s="422">
        <v>45903</v>
      </c>
      <c r="J414" s="422">
        <v>46143</v>
      </c>
      <c r="K414">
        <v>360000</v>
      </c>
      <c r="L414">
        <v>360000</v>
      </c>
      <c r="M414" t="s">
        <v>1979</v>
      </c>
      <c r="N414" t="s">
        <v>1634</v>
      </c>
      <c r="O414" t="str">
        <f>_xlfn.IFNA(VLOOKUP(Table1[[#This Row],[Lead Source]],'helper tab'!A:B,2,FALSE),"Exclude")</f>
        <v>Exclude</v>
      </c>
      <c r="P414" s="422">
        <f t="shared" si="66"/>
        <v>45950.290972222225</v>
      </c>
      <c r="Q414">
        <f t="shared" si="67"/>
        <v>1</v>
      </c>
      <c r="R414">
        <f t="shared" si="68"/>
        <v>0</v>
      </c>
      <c r="S414">
        <f>IF(
AND($Q414=1,$M414&lt;&gt;""),
IF(
COUNTIFS(
$M$3:$M414,$M414,
$O$3:$O414,$O414,
$Q$3:$Q414,1,
$P$3:$P414,"&gt;="&amp;EOMONTH($P414,-1)+1,
$P$3:$P414,"&lt;"&amp;EOMONTH($P414,0)+1
)=1,
1,
0),
0)</f>
        <v>1</v>
      </c>
      <c r="T414">
        <f>IF(AND($R414=1,$M414&lt;&gt;""),IF(COUNTIFS($M$3:$M414,$M414,$O$3:$O414,$O414,$R$3:$R414,1,$P$3:$P414,"&gt;="&amp;EOMONTH($P414,-1)+1,$P$3:$P414,"&lt;"&amp;EOMONTH($P414,0)+1)=1,1,0),0)</f>
        <v>0</v>
      </c>
      <c r="U414">
        <f t="shared" si="69"/>
        <v>0</v>
      </c>
      <c r="V414">
        <f>IF(AND($U414=1,$M414&lt;&gt;""),IF(COUNTIFS($M$3:$M414,$M414,$O$3:$O414,$O414,$U$3:$U414,1,$P$3:$P414,"&gt;="&amp;EOMONTH($P414,-1)+1,$P$3:$P414,"&lt;"&amp;EOMONTH($P414,0)+1)=1,1,0),0)</f>
        <v>0</v>
      </c>
      <c r="W414" s="444">
        <f ca="1">TODAY()-Table1[[#This Row],[Change Date]]</f>
        <v>307.70902777777519</v>
      </c>
      <c r="X414" s="422">
        <f t="shared" si="70"/>
        <v>46104.250694444447</v>
      </c>
      <c r="Y414" s="476">
        <f ca="1">IF(Table1[[#This Row],[Next Stage Date]]&lt;&gt;"",Table1[[#This Row],[Next Stage Date]]-Table1[[#This Row],[Change Date]],TODAY()-Table1[[#This Row],[Change Date]])</f>
        <v>153.9597222222219</v>
      </c>
      <c r="Z414" s="476">
        <f t="shared" si="71"/>
        <v>0</v>
      </c>
      <c r="AA414" s="422">
        <f t="shared" si="72"/>
        <v>46148.390972222223</v>
      </c>
      <c r="AB414" s="422">
        <f t="shared" si="73"/>
        <v>45950.290972222225</v>
      </c>
      <c r="AC414" s="476">
        <f t="shared" si="74"/>
        <v>47.290972222224809</v>
      </c>
      <c r="AD414" s="476">
        <f t="shared" si="75"/>
        <v>198.09999999999854</v>
      </c>
      <c r="AE414" s="476">
        <f t="shared" si="76"/>
        <v>245.39097222222335</v>
      </c>
      <c r="AF414" s="476" t="b">
        <f>IFERROR(_xlfn.XLOOKUP(Table1[[#This Row],[Opportunity ID]],'Aging Detail'!$H$14:$H$20,'Aging Detail'!$F$14:$F$20),TRUE)</f>
        <v>1</v>
      </c>
    </row>
    <row r="415" spans="1:32">
      <c r="A415" t="s">
        <v>1461</v>
      </c>
      <c r="B415" t="s">
        <v>462</v>
      </c>
      <c r="C415" t="s">
        <v>526</v>
      </c>
      <c r="D415" t="s">
        <v>2600</v>
      </c>
      <c r="E415" t="s">
        <v>2594</v>
      </c>
      <c r="F415" t="s">
        <v>1463</v>
      </c>
      <c r="I415" s="422">
        <v>45811</v>
      </c>
      <c r="J415" s="422">
        <v>45941</v>
      </c>
      <c r="K415">
        <v>10000</v>
      </c>
      <c r="L415">
        <v>0</v>
      </c>
      <c r="M415" t="s">
        <v>2595</v>
      </c>
      <c r="N415" t="s">
        <v>1752</v>
      </c>
      <c r="O415" t="str">
        <f>_xlfn.IFNA(VLOOKUP(Table1[[#This Row],[Lead Source]],'helper tab'!A:B,2,FALSE),"Exclude")</f>
        <v>Cold</v>
      </c>
      <c r="P415" s="422">
        <f t="shared" si="66"/>
        <v>45947.373611111114</v>
      </c>
      <c r="Q415">
        <f t="shared" si="67"/>
        <v>1</v>
      </c>
      <c r="R415">
        <f t="shared" si="68"/>
        <v>0</v>
      </c>
      <c r="S415">
        <f>IF(
AND($Q415=1,$M415&lt;&gt;""),
IF(
COUNTIFS(
$M$3:$M415,$M415,
$O$3:$O415,$O415,
$Q$3:$Q415,1,
$P$3:$P415,"&gt;="&amp;EOMONTH($P415,-1)+1,
$P$3:$P415,"&lt;"&amp;EOMONTH($P415,0)+1
)=1,
1,
0),
0)</f>
        <v>1</v>
      </c>
      <c r="T415">
        <f>IF(AND($R415=1,$M415&lt;&gt;""),IF(COUNTIFS($M$3:$M415,$M415,$O$3:$O415,$O415,$R$3:$R415,1,$P$3:$P415,"&gt;="&amp;EOMONTH($P415,-1)+1,$P$3:$P415,"&lt;"&amp;EOMONTH($P415,0)+1)=1,1,0),0)</f>
        <v>0</v>
      </c>
      <c r="U415">
        <f t="shared" si="69"/>
        <v>0</v>
      </c>
      <c r="V415">
        <f>IF(AND($U415=1,$M415&lt;&gt;""),IF(COUNTIFS($M$3:$M415,$M415,$O$3:$O415,$O415,$U$3:$U415,1,$P$3:$P415,"&gt;="&amp;EOMONTH($P415,-1)+1,$P$3:$P415,"&lt;"&amp;EOMONTH($P415,0)+1)=1,1,0),0)</f>
        <v>0</v>
      </c>
      <c r="W415" s="444">
        <f ca="1">TODAY()-Table1[[#This Row],[Change Date]]</f>
        <v>310.62638888888614</v>
      </c>
      <c r="X415" s="422">
        <f t="shared" si="70"/>
        <v>45950.38958333333</v>
      </c>
      <c r="Y415" s="476">
        <f ca="1">IF(Table1[[#This Row],[Next Stage Date]]&lt;&gt;"",Table1[[#This Row],[Next Stage Date]]-Table1[[#This Row],[Change Date]],TODAY()-Table1[[#This Row],[Change Date]])</f>
        <v>3.0159722222160781</v>
      </c>
      <c r="Z415" s="476">
        <f t="shared" si="71"/>
        <v>0</v>
      </c>
      <c r="AA415" s="422">
        <f t="shared" si="72"/>
        <v>45950.38958333333</v>
      </c>
      <c r="AB415" s="422">
        <f t="shared" si="73"/>
        <v>45947.373611111114</v>
      </c>
      <c r="AC415" s="476">
        <f t="shared" si="74"/>
        <v>136.37361111111386</v>
      </c>
      <c r="AD415" s="476">
        <f t="shared" si="75"/>
        <v>3.0159722222160781</v>
      </c>
      <c r="AE415" s="476">
        <f t="shared" si="76"/>
        <v>139.38958333332994</v>
      </c>
      <c r="AF415" s="476" t="b">
        <f>IFERROR(_xlfn.XLOOKUP(Table1[[#This Row],[Opportunity ID]],'Aging Detail'!$H$14:$H$20,'Aging Detail'!$F$14:$F$20),TRUE)</f>
        <v>1</v>
      </c>
    </row>
    <row r="416" spans="1:32">
      <c r="A416" t="s">
        <v>1461</v>
      </c>
      <c r="B416" t="s">
        <v>1462</v>
      </c>
      <c r="C416" t="s">
        <v>462</v>
      </c>
      <c r="D416" t="s">
        <v>2600</v>
      </c>
      <c r="E416" t="s">
        <v>2594</v>
      </c>
      <c r="F416" t="s">
        <v>1463</v>
      </c>
      <c r="I416" s="422">
        <v>45811</v>
      </c>
      <c r="J416" s="422">
        <v>45941</v>
      </c>
      <c r="K416">
        <v>10000</v>
      </c>
      <c r="L416">
        <v>0</v>
      </c>
      <c r="M416" t="s">
        <v>2595</v>
      </c>
      <c r="N416" t="s">
        <v>1752</v>
      </c>
      <c r="O416" t="str">
        <f>_xlfn.IFNA(VLOOKUP(Table1[[#This Row],[Lead Source]],'helper tab'!A:B,2,FALSE),"Exclude")</f>
        <v>Cold</v>
      </c>
      <c r="P416" s="422">
        <f t="shared" si="66"/>
        <v>45947.373611111114</v>
      </c>
      <c r="Q416">
        <f t="shared" si="67"/>
        <v>1</v>
      </c>
      <c r="R416">
        <f t="shared" si="68"/>
        <v>0</v>
      </c>
      <c r="S416">
        <f>IF(
AND($Q416=1,$M416&lt;&gt;""),
IF(
COUNTIFS(
$M$3:$M416,$M416,
$O$3:$O416,$O416,
$Q$3:$Q416,1,
$P$3:$P416,"&gt;="&amp;EOMONTH($P416,-1)+1,
$P$3:$P416,"&lt;"&amp;EOMONTH($P416,0)+1
)=1,
1,
0),
0)</f>
        <v>0</v>
      </c>
      <c r="T416">
        <f>IF(AND($R416=1,$M416&lt;&gt;""),IF(COUNTIFS($M$3:$M416,$M416,$O$3:$O416,$O416,$R$3:$R416,1,$P$3:$P416,"&gt;="&amp;EOMONTH($P416,-1)+1,$P$3:$P416,"&lt;"&amp;EOMONTH($P416,0)+1)=1,1,0),0)</f>
        <v>0</v>
      </c>
      <c r="U416">
        <f t="shared" si="69"/>
        <v>0</v>
      </c>
      <c r="V416">
        <f>IF(AND($U416=1,$M416&lt;&gt;""),IF(COUNTIFS($M$3:$M416,$M416,$O$3:$O416,$O416,$U$3:$U416,1,$P$3:$P416,"&gt;="&amp;EOMONTH($P416,-1)+1,$P$3:$P416,"&lt;"&amp;EOMONTH($P416,0)+1)=1,1,0),0)</f>
        <v>0</v>
      </c>
      <c r="W416" s="444">
        <f ca="1">TODAY()-Table1[[#This Row],[Change Date]]</f>
        <v>310.62638888888614</v>
      </c>
      <c r="X416" s="422">
        <f t="shared" si="70"/>
        <v>45950.38958333333</v>
      </c>
      <c r="Y416" s="476">
        <f ca="1">IF(Table1[[#This Row],[Next Stage Date]]&lt;&gt;"",Table1[[#This Row],[Next Stage Date]]-Table1[[#This Row],[Change Date]],TODAY()-Table1[[#This Row],[Change Date]])</f>
        <v>3.0159722222160781</v>
      </c>
      <c r="Z416" s="476">
        <f t="shared" si="71"/>
        <v>0</v>
      </c>
      <c r="AA416" s="422">
        <f t="shared" si="72"/>
        <v>45950.38958333333</v>
      </c>
      <c r="AB416" s="422">
        <f t="shared" si="73"/>
        <v>45947.373611111114</v>
      </c>
      <c r="AC416" s="476">
        <f t="shared" si="74"/>
        <v>136.37361111111386</v>
      </c>
      <c r="AD416" s="476">
        <f t="shared" si="75"/>
        <v>3.0159722222160781</v>
      </c>
      <c r="AE416" s="476">
        <f t="shared" si="76"/>
        <v>139.38958333332994</v>
      </c>
      <c r="AF416" s="476" t="b">
        <f>IFERROR(_xlfn.XLOOKUP(Table1[[#This Row],[Opportunity ID]],'Aging Detail'!$H$14:$H$20,'Aging Detail'!$F$14:$F$20),TRUE)</f>
        <v>1</v>
      </c>
    </row>
    <row r="417" spans="1:32">
      <c r="A417" t="s">
        <v>1461</v>
      </c>
      <c r="B417" t="s">
        <v>408</v>
      </c>
      <c r="C417" t="s">
        <v>1462</v>
      </c>
      <c r="D417" t="s">
        <v>2600</v>
      </c>
      <c r="E417" t="s">
        <v>2594</v>
      </c>
      <c r="F417" t="s">
        <v>1463</v>
      </c>
      <c r="I417" s="422">
        <v>45811</v>
      </c>
      <c r="J417" s="422">
        <v>45941</v>
      </c>
      <c r="K417">
        <v>10000</v>
      </c>
      <c r="L417">
        <v>0</v>
      </c>
      <c r="M417" t="s">
        <v>2595</v>
      </c>
      <c r="N417" t="s">
        <v>1752</v>
      </c>
      <c r="O417" t="str">
        <f>_xlfn.IFNA(VLOOKUP(Table1[[#This Row],[Lead Source]],'helper tab'!A:B,2,FALSE),"Exclude")</f>
        <v>Cold</v>
      </c>
      <c r="P417" s="422">
        <f t="shared" si="66"/>
        <v>45947.373611111114</v>
      </c>
      <c r="Q417">
        <f t="shared" si="67"/>
        <v>0</v>
      </c>
      <c r="R417">
        <f t="shared" si="68"/>
        <v>0</v>
      </c>
      <c r="S417">
        <f>IF(
AND($Q417=1,$M417&lt;&gt;""),
IF(
COUNTIFS(
$M$3:$M417,$M417,
$O$3:$O417,$O417,
$Q$3:$Q417,1,
$P$3:$P417,"&gt;="&amp;EOMONTH($P417,-1)+1,
$P$3:$P417,"&lt;"&amp;EOMONTH($P417,0)+1
)=1,
1,
0),
0)</f>
        <v>0</v>
      </c>
      <c r="T417">
        <f>IF(AND($R417=1,$M417&lt;&gt;""),IF(COUNTIFS($M$3:$M417,$M417,$O$3:$O417,$O417,$R$3:$R417,1,$P$3:$P417,"&gt;="&amp;EOMONTH($P417,-1)+1,$P$3:$P417,"&lt;"&amp;EOMONTH($P417,0)+1)=1,1,0),0)</f>
        <v>0</v>
      </c>
      <c r="U417">
        <f t="shared" si="69"/>
        <v>0</v>
      </c>
      <c r="V417">
        <f>IF(AND($U417=1,$M417&lt;&gt;""),IF(COUNTIFS($M$3:$M417,$M417,$O$3:$O417,$O417,$U$3:$U417,1,$P$3:$P417,"&gt;="&amp;EOMONTH($P417,-1)+1,$P$3:$P417,"&lt;"&amp;EOMONTH($P417,0)+1)=1,1,0),0)</f>
        <v>0</v>
      </c>
      <c r="W417" s="444">
        <f ca="1">TODAY()-Table1[[#This Row],[Change Date]]</f>
        <v>310.62638888888614</v>
      </c>
      <c r="X417" s="422">
        <f t="shared" si="70"/>
        <v>45950.38958333333</v>
      </c>
      <c r="Y417" s="476">
        <f ca="1">IF(Table1[[#This Row],[Next Stage Date]]&lt;&gt;"",Table1[[#This Row],[Next Stage Date]]-Table1[[#This Row],[Change Date]],TODAY()-Table1[[#This Row],[Change Date]])</f>
        <v>3.0159722222160781</v>
      </c>
      <c r="Z417" s="476">
        <f t="shared" si="71"/>
        <v>0</v>
      </c>
      <c r="AA417" s="422">
        <f t="shared" si="72"/>
        <v>45950.38958333333</v>
      </c>
      <c r="AB417" s="422">
        <f t="shared" si="73"/>
        <v>45947.373611111114</v>
      </c>
      <c r="AC417" s="476">
        <f t="shared" si="74"/>
        <v>136.37361111111386</v>
      </c>
      <c r="AD417" s="476">
        <f t="shared" si="75"/>
        <v>3.0159722222160781</v>
      </c>
      <c r="AE417" s="476">
        <f t="shared" si="76"/>
        <v>139.38958333332994</v>
      </c>
      <c r="AF417" s="476" t="b">
        <f>IFERROR(_xlfn.XLOOKUP(Table1[[#This Row],[Opportunity ID]],'Aging Detail'!$H$14:$H$20,'Aging Detail'!$F$14:$F$20),TRUE)</f>
        <v>1</v>
      </c>
    </row>
    <row r="418" spans="1:32">
      <c r="A418" t="s">
        <v>1461</v>
      </c>
      <c r="B418" t="s">
        <v>462</v>
      </c>
      <c r="C418" t="s">
        <v>526</v>
      </c>
      <c r="D418" t="s">
        <v>2601</v>
      </c>
      <c r="E418" t="s">
        <v>2497</v>
      </c>
      <c r="F418" t="s">
        <v>1465</v>
      </c>
      <c r="I418" s="422">
        <v>45905</v>
      </c>
      <c r="J418" s="422">
        <v>45974</v>
      </c>
      <c r="K418">
        <v>0</v>
      </c>
      <c r="L418">
        <v>0</v>
      </c>
      <c r="M418" t="s">
        <v>2498</v>
      </c>
      <c r="N418" t="s">
        <v>1748</v>
      </c>
      <c r="O418" t="str">
        <f>_xlfn.IFNA(VLOOKUP(Table1[[#This Row],[Lead Source]],'helper tab'!A:B,2,FALSE),"Exclude")</f>
        <v>Exclude</v>
      </c>
      <c r="P418" s="422">
        <f t="shared" si="66"/>
        <v>45946.361111111109</v>
      </c>
      <c r="Q418">
        <f t="shared" si="67"/>
        <v>1</v>
      </c>
      <c r="R418">
        <f t="shared" si="68"/>
        <v>0</v>
      </c>
      <c r="S418">
        <f>IF(
AND($Q418=1,$M418&lt;&gt;""),
IF(
COUNTIFS(
$M$3:$M418,$M418,
$O$3:$O418,$O418,
$Q$3:$Q418,1,
$P$3:$P418,"&gt;="&amp;EOMONTH($P418,-1)+1,
$P$3:$P418,"&lt;"&amp;EOMONTH($P418,0)+1
)=1,
1,
0),
0)</f>
        <v>1</v>
      </c>
      <c r="T418">
        <f>IF(AND($R418=1,$M418&lt;&gt;""),IF(COUNTIFS($M$3:$M418,$M418,$O$3:$O418,$O418,$R$3:$R418,1,$P$3:$P418,"&gt;="&amp;EOMONTH($P418,-1)+1,$P$3:$P418,"&lt;"&amp;EOMONTH($P418,0)+1)=1,1,0),0)</f>
        <v>0</v>
      </c>
      <c r="U418">
        <f t="shared" si="69"/>
        <v>0</v>
      </c>
      <c r="V418">
        <f>IF(AND($U418=1,$M418&lt;&gt;""),IF(COUNTIFS($M$3:$M418,$M418,$O$3:$O418,$O418,$U$3:$U418,1,$P$3:$P418,"&gt;="&amp;EOMONTH($P418,-1)+1,$P$3:$P418,"&lt;"&amp;EOMONTH($P418,0)+1)=1,1,0),0)</f>
        <v>0</v>
      </c>
      <c r="W418" s="444">
        <f ca="1">TODAY()-Table1[[#This Row],[Change Date]]</f>
        <v>311.63888888889051</v>
      </c>
      <c r="X418" s="422">
        <f t="shared" si="70"/>
        <v>45974.429861111108</v>
      </c>
      <c r="Y418" s="476">
        <f ca="1">IF(Table1[[#This Row],[Next Stage Date]]&lt;&gt;"",Table1[[#This Row],[Next Stage Date]]-Table1[[#This Row],[Change Date]],TODAY()-Table1[[#This Row],[Change Date]])</f>
        <v>28.068749999998545</v>
      </c>
      <c r="Z418" s="476">
        <f t="shared" si="71"/>
        <v>0</v>
      </c>
      <c r="AA418" s="422">
        <f t="shared" si="72"/>
        <v>45974.429861111108</v>
      </c>
      <c r="AB418" s="422">
        <f t="shared" si="73"/>
        <v>45932.327777777777</v>
      </c>
      <c r="AC418" s="476">
        <f t="shared" si="74"/>
        <v>27.327777777776646</v>
      </c>
      <c r="AD418" s="476">
        <f t="shared" si="75"/>
        <v>42.102083333331393</v>
      </c>
      <c r="AE418" s="476">
        <f t="shared" si="76"/>
        <v>69.429861111108039</v>
      </c>
      <c r="AF418" s="476" t="b">
        <f>IFERROR(_xlfn.XLOOKUP(Table1[[#This Row],[Opportunity ID]],'Aging Detail'!$H$14:$H$20,'Aging Detail'!$F$14:$F$20),TRUE)</f>
        <v>1</v>
      </c>
    </row>
    <row r="419" spans="1:32">
      <c r="A419" t="s">
        <v>1461</v>
      </c>
      <c r="B419" t="s">
        <v>338</v>
      </c>
      <c r="C419" t="s">
        <v>1462</v>
      </c>
      <c r="D419" t="s">
        <v>2602</v>
      </c>
      <c r="E419" t="s">
        <v>1746</v>
      </c>
      <c r="I419" s="422">
        <v>45573</v>
      </c>
      <c r="J419" s="422">
        <v>46295</v>
      </c>
      <c r="K419">
        <v>0</v>
      </c>
      <c r="L419">
        <v>0</v>
      </c>
      <c r="M419" t="s">
        <v>1747</v>
      </c>
      <c r="N419" t="s">
        <v>1748</v>
      </c>
      <c r="O419" t="str">
        <f>_xlfn.IFNA(VLOOKUP(Table1[[#This Row],[Lead Source]],'helper tab'!A:B,2,FALSE),"Exclude")</f>
        <v>Exclude</v>
      </c>
      <c r="P419" s="422">
        <f t="shared" si="66"/>
        <v>45946.36041666667</v>
      </c>
      <c r="Q419">
        <f t="shared" si="67"/>
        <v>0</v>
      </c>
      <c r="R419">
        <f t="shared" si="68"/>
        <v>0</v>
      </c>
      <c r="S419">
        <f>IF(
AND($Q419=1,$M419&lt;&gt;""),
IF(
COUNTIFS(
$M$3:$M419,$M419,
$O$3:$O419,$O419,
$Q$3:$Q419,1,
$P$3:$P419,"&gt;="&amp;EOMONTH($P419,-1)+1,
$P$3:$P419,"&lt;"&amp;EOMONTH($P419,0)+1
)=1,
1,
0),
0)</f>
        <v>0</v>
      </c>
      <c r="T419">
        <f>IF(AND($R419=1,$M419&lt;&gt;""),IF(COUNTIFS($M$3:$M419,$M419,$O$3:$O419,$O419,$R$3:$R419,1,$P$3:$P419,"&gt;="&amp;EOMONTH($P419,-1)+1,$P$3:$P419,"&lt;"&amp;EOMONTH($P419,0)+1)=1,1,0),0)</f>
        <v>0</v>
      </c>
      <c r="U419">
        <f t="shared" si="69"/>
        <v>0</v>
      </c>
      <c r="V419">
        <f>IF(AND($U419=1,$M419&lt;&gt;""),IF(COUNTIFS($M$3:$M419,$M419,$O$3:$O419,$O419,$U$3:$U419,1,$P$3:$P419,"&gt;="&amp;EOMONTH($P419,-1)+1,$P$3:$P419,"&lt;"&amp;EOMONTH($P419,0)+1)=1,1,0),0)</f>
        <v>0</v>
      </c>
      <c r="W419" s="444">
        <f ca="1">TODAY()-Table1[[#This Row],[Change Date]]</f>
        <v>311.63958333332994</v>
      </c>
      <c r="X419" s="422">
        <f t="shared" si="70"/>
        <v>46104.248611111114</v>
      </c>
      <c r="Y419" s="476">
        <f ca="1">IF(Table1[[#This Row],[Next Stage Date]]&lt;&gt;"",Table1[[#This Row],[Next Stage Date]]-Table1[[#This Row],[Change Date]],TODAY()-Table1[[#This Row],[Change Date]])</f>
        <v>157.8881944444438</v>
      </c>
      <c r="Z419" s="476">
        <f t="shared" si="71"/>
        <v>0</v>
      </c>
      <c r="AA419" s="422" t="str">
        <f t="shared" si="72"/>
        <v/>
      </c>
      <c r="AB419" s="422">
        <f t="shared" si="73"/>
        <v>46104.248611111114</v>
      </c>
      <c r="AC419" s="476">
        <f t="shared" si="74"/>
        <v>531.24861111111386</v>
      </c>
      <c r="AD419" s="476" t="str">
        <f t="shared" si="75"/>
        <v/>
      </c>
      <c r="AE419" s="476" t="str">
        <f t="shared" si="76"/>
        <v/>
      </c>
      <c r="AF419" s="476" t="b">
        <f>IFERROR(_xlfn.XLOOKUP(Table1[[#This Row],[Opportunity ID]],'Aging Detail'!$H$14:$H$20,'Aging Detail'!$F$14:$F$20),TRUE)</f>
        <v>1</v>
      </c>
    </row>
    <row r="420" spans="1:32">
      <c r="A420" t="s">
        <v>1461</v>
      </c>
      <c r="B420" t="s">
        <v>338</v>
      </c>
      <c r="C420" t="s">
        <v>1462</v>
      </c>
      <c r="D420" t="s">
        <v>2603</v>
      </c>
      <c r="E420" t="s">
        <v>2604</v>
      </c>
      <c r="I420" s="422">
        <v>45933</v>
      </c>
      <c r="J420" s="422">
        <v>46568</v>
      </c>
      <c r="K420">
        <v>0</v>
      </c>
      <c r="L420">
        <v>0</v>
      </c>
      <c r="M420" t="s">
        <v>2605</v>
      </c>
      <c r="N420" t="s">
        <v>1748</v>
      </c>
      <c r="O420" t="str">
        <f>_xlfn.IFNA(VLOOKUP(Table1[[#This Row],[Lead Source]],'helper tab'!A:B,2,FALSE),"Exclude")</f>
        <v>Exclude</v>
      </c>
      <c r="P420" s="422">
        <f t="shared" si="66"/>
        <v>45946.359027777777</v>
      </c>
      <c r="Q420">
        <f t="shared" si="67"/>
        <v>0</v>
      </c>
      <c r="R420">
        <f t="shared" si="68"/>
        <v>0</v>
      </c>
      <c r="S420">
        <f>IF(
AND($Q420=1,$M420&lt;&gt;""),
IF(
COUNTIFS(
$M$3:$M420,$M420,
$O$3:$O420,$O420,
$Q$3:$Q420,1,
$P$3:$P420,"&gt;="&amp;EOMONTH($P420,-1)+1,
$P$3:$P420,"&lt;"&amp;EOMONTH($P420,0)+1
)=1,
1,
0),
0)</f>
        <v>0</v>
      </c>
      <c r="T420">
        <f>IF(AND($R420=1,$M420&lt;&gt;""),IF(COUNTIFS($M$3:$M420,$M420,$O$3:$O420,$O420,$R$3:$R420,1,$P$3:$P420,"&gt;="&amp;EOMONTH($P420,-1)+1,$P$3:$P420,"&lt;"&amp;EOMONTH($P420,0)+1)=1,1,0),0)</f>
        <v>0</v>
      </c>
      <c r="U420">
        <f t="shared" si="69"/>
        <v>0</v>
      </c>
      <c r="V420">
        <f>IF(AND($U420=1,$M420&lt;&gt;""),IF(COUNTIFS($M$3:$M420,$M420,$O$3:$O420,$O420,$U$3:$U420,1,$P$3:$P420,"&gt;="&amp;EOMONTH($P420,-1)+1,$P$3:$P420,"&lt;"&amp;EOMONTH($P420,0)+1)=1,1,0),0)</f>
        <v>0</v>
      </c>
      <c r="W420" s="444">
        <f ca="1">TODAY()-Table1[[#This Row],[Change Date]]</f>
        <v>311.64097222222335</v>
      </c>
      <c r="X420" s="422" t="str">
        <f t="shared" si="70"/>
        <v/>
      </c>
      <c r="Y420" s="476">
        <f ca="1">IF(Table1[[#This Row],[Next Stage Date]]&lt;&gt;"",Table1[[#This Row],[Next Stage Date]]-Table1[[#This Row],[Change Date]],TODAY()-Table1[[#This Row],[Change Date]])</f>
        <v>311.64097222222335</v>
      </c>
      <c r="Z420" s="476">
        <f t="shared" si="71"/>
        <v>1</v>
      </c>
      <c r="AA420" s="422" t="str">
        <f t="shared" si="72"/>
        <v/>
      </c>
      <c r="AB420" s="422" t="str">
        <f t="shared" si="73"/>
        <v/>
      </c>
      <c r="AC420" s="476" t="str">
        <f t="shared" si="74"/>
        <v/>
      </c>
      <c r="AD420" s="476" t="str">
        <f t="shared" si="75"/>
        <v/>
      </c>
      <c r="AE420" s="476" t="str">
        <f t="shared" si="76"/>
        <v/>
      </c>
      <c r="AF420" s="476" t="b">
        <f>IFERROR(_xlfn.XLOOKUP(Table1[[#This Row],[Opportunity ID]],'Aging Detail'!$H$14:$H$20,'Aging Detail'!$F$14:$F$20),TRUE)</f>
        <v>1</v>
      </c>
    </row>
    <row r="421" spans="1:32">
      <c r="A421" t="s">
        <v>1461</v>
      </c>
      <c r="B421" t="s">
        <v>462</v>
      </c>
      <c r="C421" t="s">
        <v>526</v>
      </c>
      <c r="D421" t="s">
        <v>2606</v>
      </c>
      <c r="E421" t="s">
        <v>2539</v>
      </c>
      <c r="F421" t="s">
        <v>1465</v>
      </c>
      <c r="I421" s="422">
        <v>45867</v>
      </c>
      <c r="J421" s="422">
        <v>45961</v>
      </c>
      <c r="K421">
        <v>25000</v>
      </c>
      <c r="L421">
        <v>0</v>
      </c>
      <c r="M421" t="s">
        <v>2540</v>
      </c>
      <c r="N421" t="s">
        <v>1891</v>
      </c>
      <c r="O421" t="str">
        <f>_xlfn.IFNA(VLOOKUP(Table1[[#This Row],[Lead Source]],'helper tab'!A:B,2,FALSE),"Exclude")</f>
        <v>Exclude</v>
      </c>
      <c r="P421" s="422">
        <f t="shared" si="66"/>
        <v>45945.453472222223</v>
      </c>
      <c r="Q421">
        <f t="shared" si="67"/>
        <v>1</v>
      </c>
      <c r="R421">
        <f t="shared" si="68"/>
        <v>0</v>
      </c>
      <c r="S421">
        <f>IF(
AND($Q421=1,$M421&lt;&gt;""),
IF(
COUNTIFS(
$M$3:$M421,$M421,
$O$3:$O421,$O421,
$Q$3:$Q421,1,
$P$3:$P421,"&gt;="&amp;EOMONTH($P421,-1)+1,
$P$3:$P421,"&lt;"&amp;EOMONTH($P421,0)+1
)=1,
1,
0),
0)</f>
        <v>1</v>
      </c>
      <c r="T421">
        <f>IF(AND($R421=1,$M421&lt;&gt;""),IF(COUNTIFS($M$3:$M421,$M421,$O$3:$O421,$O421,$R$3:$R421,1,$P$3:$P421,"&gt;="&amp;EOMONTH($P421,-1)+1,$P$3:$P421,"&lt;"&amp;EOMONTH($P421,0)+1)=1,1,0),0)</f>
        <v>0</v>
      </c>
      <c r="U421">
        <f t="shared" si="69"/>
        <v>0</v>
      </c>
      <c r="V421">
        <f>IF(AND($U421=1,$M421&lt;&gt;""),IF(COUNTIFS($M$3:$M421,$M421,$O$3:$O421,$O421,$U$3:$U421,1,$P$3:$P421,"&gt;="&amp;EOMONTH($P421,-1)+1,$P$3:$P421,"&lt;"&amp;EOMONTH($P421,0)+1)=1,1,0),0)</f>
        <v>0</v>
      </c>
      <c r="W421" s="444">
        <f ca="1">TODAY()-Table1[[#This Row],[Change Date]]</f>
        <v>312.54652777777665</v>
      </c>
      <c r="X421" s="422">
        <f t="shared" si="70"/>
        <v>45961.457638888889</v>
      </c>
      <c r="Y421" s="476">
        <f ca="1">IF(Table1[[#This Row],[Next Stage Date]]&lt;&gt;"",Table1[[#This Row],[Next Stage Date]]-Table1[[#This Row],[Change Date]],TODAY()-Table1[[#This Row],[Change Date]])</f>
        <v>16.004166666665697</v>
      </c>
      <c r="Z421" s="476">
        <f t="shared" si="71"/>
        <v>0</v>
      </c>
      <c r="AA421" s="422">
        <f t="shared" si="72"/>
        <v>45961.457638888889</v>
      </c>
      <c r="AB421" s="422">
        <f t="shared" si="73"/>
        <v>45881.498611111114</v>
      </c>
      <c r="AC421" s="476">
        <f t="shared" si="74"/>
        <v>14.49861111111386</v>
      </c>
      <c r="AD421" s="476">
        <f t="shared" si="75"/>
        <v>79.959027777775191</v>
      </c>
      <c r="AE421" s="476">
        <f t="shared" si="76"/>
        <v>94.457638888889051</v>
      </c>
      <c r="AF421" s="476" t="b">
        <f>IFERROR(_xlfn.XLOOKUP(Table1[[#This Row],[Opportunity ID]],'Aging Detail'!$H$14:$H$20,'Aging Detail'!$F$14:$F$20),TRUE)</f>
        <v>1</v>
      </c>
    </row>
    <row r="422" spans="1:32">
      <c r="A422" t="s">
        <v>1461</v>
      </c>
      <c r="B422" t="s">
        <v>462</v>
      </c>
      <c r="C422" t="s">
        <v>563</v>
      </c>
      <c r="D422" t="s">
        <v>2607</v>
      </c>
      <c r="E422" t="s">
        <v>2608</v>
      </c>
      <c r="I422" s="422">
        <v>45868</v>
      </c>
      <c r="J422" s="422">
        <v>45945</v>
      </c>
      <c r="K422">
        <v>0</v>
      </c>
      <c r="L422">
        <v>0</v>
      </c>
      <c r="M422" t="s">
        <v>2609</v>
      </c>
      <c r="N422" t="s">
        <v>1642</v>
      </c>
      <c r="O422" t="str">
        <f>_xlfn.IFNA(VLOOKUP(Table1[[#This Row],[Lead Source]],'helper tab'!A:B,2,FALSE),"Exclude")</f>
        <v>Exclude</v>
      </c>
      <c r="P422" s="422">
        <f t="shared" si="66"/>
        <v>45945.420138888891</v>
      </c>
      <c r="Q422">
        <f t="shared" si="67"/>
        <v>0</v>
      </c>
      <c r="R422">
        <f t="shared" si="68"/>
        <v>1</v>
      </c>
      <c r="S422">
        <f>IF(
AND($Q422=1,$M422&lt;&gt;""),
IF(
COUNTIFS(
$M$3:$M422,$M422,
$O$3:$O422,$O422,
$Q$3:$Q422,1,
$P$3:$P422,"&gt;="&amp;EOMONTH($P422,-1)+1,
$P$3:$P422,"&lt;"&amp;EOMONTH($P422,0)+1
)=1,
1,
0),
0)</f>
        <v>0</v>
      </c>
      <c r="T422">
        <f>IF(AND($R422=1,$M422&lt;&gt;""),IF(COUNTIFS($M$3:$M422,$M422,$O$3:$O422,$O422,$R$3:$R422,1,$P$3:$P422,"&gt;="&amp;EOMONTH($P422,-1)+1,$P$3:$P422,"&lt;"&amp;EOMONTH($P422,0)+1)=1,1,0),0)</f>
        <v>1</v>
      </c>
      <c r="U422">
        <f t="shared" si="69"/>
        <v>0</v>
      </c>
      <c r="V422">
        <f>IF(AND($U422=1,$M422&lt;&gt;""),IF(COUNTIFS($M$3:$M422,$M422,$O$3:$O422,$O422,$U$3:$U422,1,$P$3:$P422,"&gt;="&amp;EOMONTH($P422,-1)+1,$P$3:$P422,"&lt;"&amp;EOMONTH($P422,0)+1)=1,1,0),0)</f>
        <v>0</v>
      </c>
      <c r="W422" s="444">
        <f ca="1">TODAY()-Table1[[#This Row],[Change Date]]</f>
        <v>312.57986111110949</v>
      </c>
      <c r="X422" s="422" t="str">
        <f t="shared" si="70"/>
        <v/>
      </c>
      <c r="Y422" s="476">
        <f ca="1">IF(Table1[[#This Row],[Next Stage Date]]&lt;&gt;"",Table1[[#This Row],[Next Stage Date]]-Table1[[#This Row],[Change Date]],TODAY()-Table1[[#This Row],[Change Date]])</f>
        <v>312.57986111110949</v>
      </c>
      <c r="Z422" s="476">
        <f t="shared" si="71"/>
        <v>1</v>
      </c>
      <c r="AA422" s="422">
        <f t="shared" si="72"/>
        <v>45945.420138888891</v>
      </c>
      <c r="AB422" s="422">
        <f t="shared" si="73"/>
        <v>45883.563888888886</v>
      </c>
      <c r="AC422" s="476">
        <f t="shared" si="74"/>
        <v>15.56388888888614</v>
      </c>
      <c r="AD422" s="476">
        <f t="shared" si="75"/>
        <v>61.856250000004366</v>
      </c>
      <c r="AE422" s="476">
        <f t="shared" si="76"/>
        <v>77.420138888890506</v>
      </c>
      <c r="AF422" s="476" t="b">
        <f>IFERROR(_xlfn.XLOOKUP(Table1[[#This Row],[Opportunity ID]],'Aging Detail'!$H$14:$H$20,'Aging Detail'!$F$14:$F$20),TRUE)</f>
        <v>1</v>
      </c>
    </row>
    <row r="423" spans="1:32">
      <c r="A423" t="s">
        <v>1461</v>
      </c>
      <c r="B423" t="s">
        <v>338</v>
      </c>
      <c r="C423" t="s">
        <v>1469</v>
      </c>
      <c r="D423" t="s">
        <v>2610</v>
      </c>
      <c r="E423" t="s">
        <v>1891</v>
      </c>
      <c r="F423" t="s">
        <v>202</v>
      </c>
      <c r="G423" t="s">
        <v>202</v>
      </c>
      <c r="I423" s="422">
        <v>45924</v>
      </c>
      <c r="J423" s="422">
        <v>45930</v>
      </c>
      <c r="L423">
        <v>0</v>
      </c>
      <c r="M423" t="s">
        <v>2611</v>
      </c>
      <c r="N423" t="s">
        <v>1891</v>
      </c>
      <c r="O423" t="str">
        <f>_xlfn.IFNA(VLOOKUP(Table1[[#This Row],[Lead Source]],'helper tab'!A:B,2,FALSE),"Exclude")</f>
        <v>Digital</v>
      </c>
      <c r="P423" s="422">
        <f t="shared" si="66"/>
        <v>45945.265972222223</v>
      </c>
      <c r="Q423">
        <f t="shared" si="67"/>
        <v>0</v>
      </c>
      <c r="R423">
        <f t="shared" si="68"/>
        <v>0</v>
      </c>
      <c r="S423">
        <f>IF(
AND($Q423=1,$M423&lt;&gt;""),
IF(
COUNTIFS(
$M$3:$M423,$M423,
$O$3:$O423,$O423,
$Q$3:$Q423,1,
$P$3:$P423,"&gt;="&amp;EOMONTH($P423,-1)+1,
$P$3:$P423,"&lt;"&amp;EOMONTH($P423,0)+1
)=1,
1,
0),
0)</f>
        <v>0</v>
      </c>
      <c r="T423">
        <f>IF(AND($R423=1,$M423&lt;&gt;""),IF(COUNTIFS($M$3:$M423,$M423,$O$3:$O423,$O423,$R$3:$R423,1,$P$3:$P423,"&gt;="&amp;EOMONTH($P423,-1)+1,$P$3:$P423,"&lt;"&amp;EOMONTH($P423,0)+1)=1,1,0),0)</f>
        <v>0</v>
      </c>
      <c r="U423">
        <f t="shared" si="69"/>
        <v>1</v>
      </c>
      <c r="V423">
        <f>IF(AND($U423=1,$M423&lt;&gt;""),IF(COUNTIFS($M$3:$M423,$M423,$O$3:$O423,$O423,$U$3:$U423,1,$P$3:$P423,"&gt;="&amp;EOMONTH($P423,-1)+1,$P$3:$P423,"&lt;"&amp;EOMONTH($P423,0)+1)=1,1,0),0)</f>
        <v>1</v>
      </c>
      <c r="W423" s="444">
        <f ca="1">TODAY()-Table1[[#This Row],[Change Date]]</f>
        <v>312.73402777777665</v>
      </c>
      <c r="X423" s="422" t="str">
        <f t="shared" si="70"/>
        <v/>
      </c>
      <c r="Y423" s="476">
        <f ca="1">IF(Table1[[#This Row],[Next Stage Date]]&lt;&gt;"",Table1[[#This Row],[Next Stage Date]]-Table1[[#This Row],[Change Date]],TODAY()-Table1[[#This Row],[Change Date]])</f>
        <v>312.73402777777665</v>
      </c>
      <c r="Z423" s="476">
        <f t="shared" si="71"/>
        <v>1</v>
      </c>
      <c r="AA423" s="422" t="str">
        <f t="shared" si="72"/>
        <v/>
      </c>
      <c r="AB423" s="422" t="str">
        <f t="shared" si="73"/>
        <v/>
      </c>
      <c r="AC423" s="476" t="str">
        <f t="shared" si="74"/>
        <v/>
      </c>
      <c r="AD423" s="476" t="str">
        <f t="shared" si="75"/>
        <v/>
      </c>
      <c r="AE423" s="476" t="str">
        <f t="shared" si="76"/>
        <v/>
      </c>
      <c r="AF423" s="476" t="b">
        <f>IFERROR(_xlfn.XLOOKUP(Table1[[#This Row],[Opportunity ID]],'Aging Detail'!$H$14:$H$20,'Aging Detail'!$F$14:$F$20),TRUE)</f>
        <v>1</v>
      </c>
    </row>
    <row r="424" spans="1:32">
      <c r="A424" t="s">
        <v>1461</v>
      </c>
      <c r="B424" t="s">
        <v>462</v>
      </c>
      <c r="C424" t="s">
        <v>563</v>
      </c>
      <c r="D424" t="s">
        <v>2612</v>
      </c>
      <c r="E424" t="s">
        <v>2613</v>
      </c>
      <c r="F424" t="s">
        <v>1484</v>
      </c>
      <c r="I424" s="422">
        <v>45419</v>
      </c>
      <c r="J424" s="422">
        <v>45944</v>
      </c>
      <c r="L424">
        <v>0</v>
      </c>
      <c r="M424" t="s">
        <v>2614</v>
      </c>
      <c r="N424" t="s">
        <v>1708</v>
      </c>
      <c r="O424" t="str">
        <f>_xlfn.IFNA(VLOOKUP(Table1[[#This Row],[Lead Source]],'helper tab'!A:B,2,FALSE),"Exclude")</f>
        <v>Exclude</v>
      </c>
      <c r="P424" s="422">
        <f t="shared" si="66"/>
        <v>45944.399305555555</v>
      </c>
      <c r="Q424">
        <f t="shared" si="67"/>
        <v>0</v>
      </c>
      <c r="R424">
        <f t="shared" si="68"/>
        <v>1</v>
      </c>
      <c r="S424">
        <f>IF(
AND($Q424=1,$M424&lt;&gt;""),
IF(
COUNTIFS(
$M$3:$M424,$M424,
$O$3:$O424,$O424,
$Q$3:$Q424,1,
$P$3:$P424,"&gt;="&amp;EOMONTH($P424,-1)+1,
$P$3:$P424,"&lt;"&amp;EOMONTH($P424,0)+1
)=1,
1,
0),
0)</f>
        <v>0</v>
      </c>
      <c r="T424">
        <f>IF(AND($R424=1,$M424&lt;&gt;""),IF(COUNTIFS($M$3:$M424,$M424,$O$3:$O424,$O424,$R$3:$R424,1,$P$3:$P424,"&gt;="&amp;EOMONTH($P424,-1)+1,$P$3:$P424,"&lt;"&amp;EOMONTH($P424,0)+1)=1,1,0),0)</f>
        <v>1</v>
      </c>
      <c r="U424">
        <f t="shared" si="69"/>
        <v>0</v>
      </c>
      <c r="V424">
        <f>IF(AND($U424=1,$M424&lt;&gt;""),IF(COUNTIFS($M$3:$M424,$M424,$O$3:$O424,$O424,$U$3:$U424,1,$P$3:$P424,"&gt;="&amp;EOMONTH($P424,-1)+1,$P$3:$P424,"&lt;"&amp;EOMONTH($P424,0)+1)=1,1,0),0)</f>
        <v>0</v>
      </c>
      <c r="W424" s="444">
        <f ca="1">TODAY()-Table1[[#This Row],[Change Date]]</f>
        <v>313.60069444444525</v>
      </c>
      <c r="X424" s="422" t="str">
        <f t="shared" si="70"/>
        <v/>
      </c>
      <c r="Y424" s="476">
        <f ca="1">IF(Table1[[#This Row],[Next Stage Date]]&lt;&gt;"",Table1[[#This Row],[Next Stage Date]]-Table1[[#This Row],[Change Date]],TODAY()-Table1[[#This Row],[Change Date]])</f>
        <v>313.60069444444525</v>
      </c>
      <c r="Z424" s="476">
        <f t="shared" si="71"/>
        <v>1</v>
      </c>
      <c r="AA424" s="422">
        <f t="shared" si="72"/>
        <v>45944.399305555555</v>
      </c>
      <c r="AB424" s="422">
        <f t="shared" si="73"/>
        <v>45805.460416666669</v>
      </c>
      <c r="AC424" s="476">
        <f t="shared" si="74"/>
        <v>386.46041666666861</v>
      </c>
      <c r="AD424" s="476">
        <f t="shared" si="75"/>
        <v>138.93888888888614</v>
      </c>
      <c r="AE424" s="476">
        <f t="shared" si="76"/>
        <v>525.39930555555475</v>
      </c>
      <c r="AF424" s="476" t="b">
        <f>IFERROR(_xlfn.XLOOKUP(Table1[[#This Row],[Opportunity ID]],'Aging Detail'!$H$14:$H$20,'Aging Detail'!$F$14:$F$20),TRUE)</f>
        <v>1</v>
      </c>
    </row>
    <row r="425" spans="1:32">
      <c r="A425" t="s">
        <v>1461</v>
      </c>
      <c r="B425" t="s">
        <v>462</v>
      </c>
      <c r="C425" t="s">
        <v>1469</v>
      </c>
      <c r="D425" t="s">
        <v>2615</v>
      </c>
      <c r="E425" t="s">
        <v>2616</v>
      </c>
      <c r="I425" s="422">
        <v>45763</v>
      </c>
      <c r="J425" s="422">
        <v>45930</v>
      </c>
      <c r="K425">
        <v>22500</v>
      </c>
      <c r="L425">
        <v>0</v>
      </c>
      <c r="M425" t="s">
        <v>2617</v>
      </c>
      <c r="N425" t="s">
        <v>1541</v>
      </c>
      <c r="O425" t="str">
        <f>_xlfn.IFNA(VLOOKUP(Table1[[#This Row],[Lead Source]],'helper tab'!A:B,2,FALSE),"Exclude")</f>
        <v>Exclude</v>
      </c>
      <c r="P425" s="422">
        <f t="shared" si="66"/>
        <v>45944.378472222219</v>
      </c>
      <c r="Q425">
        <f t="shared" si="67"/>
        <v>0</v>
      </c>
      <c r="R425">
        <f t="shared" si="68"/>
        <v>0</v>
      </c>
      <c r="S425">
        <f>IF(
AND($Q425=1,$M425&lt;&gt;""),
IF(
COUNTIFS(
$M$3:$M425,$M425,
$O$3:$O425,$O425,
$Q$3:$Q425,1,
$P$3:$P425,"&gt;="&amp;EOMONTH($P425,-1)+1,
$P$3:$P425,"&lt;"&amp;EOMONTH($P425,0)+1
)=1,
1,
0),
0)</f>
        <v>0</v>
      </c>
      <c r="T425">
        <f>IF(AND($R425=1,$M425&lt;&gt;""),IF(COUNTIFS($M$3:$M425,$M425,$O$3:$O425,$O425,$R$3:$R425,1,$P$3:$P425,"&gt;="&amp;EOMONTH($P425,-1)+1,$P$3:$P425,"&lt;"&amp;EOMONTH($P425,0)+1)=1,1,0),0)</f>
        <v>0</v>
      </c>
      <c r="U425">
        <f t="shared" si="69"/>
        <v>1</v>
      </c>
      <c r="V425">
        <f>IF(AND($U425=1,$M425&lt;&gt;""),IF(COUNTIFS($M$3:$M425,$M425,$O$3:$O425,$O425,$U$3:$U425,1,$P$3:$P425,"&gt;="&amp;EOMONTH($P425,-1)+1,$P$3:$P425,"&lt;"&amp;EOMONTH($P425,0)+1)=1,1,0),0)</f>
        <v>1</v>
      </c>
      <c r="W425" s="444">
        <f ca="1">TODAY()-Table1[[#This Row],[Change Date]]</f>
        <v>313.62152777778101</v>
      </c>
      <c r="X425" s="422" t="str">
        <f t="shared" si="70"/>
        <v/>
      </c>
      <c r="Y425" s="476">
        <f ca="1">IF(Table1[[#This Row],[Next Stage Date]]&lt;&gt;"",Table1[[#This Row],[Next Stage Date]]-Table1[[#This Row],[Change Date]],TODAY()-Table1[[#This Row],[Change Date]])</f>
        <v>313.62152777778101</v>
      </c>
      <c r="Z425" s="476">
        <f t="shared" si="71"/>
        <v>1</v>
      </c>
      <c r="AA425" s="422" t="str">
        <f t="shared" si="72"/>
        <v/>
      </c>
      <c r="AB425" s="422">
        <f t="shared" si="73"/>
        <v>45820.51666666667</v>
      </c>
      <c r="AC425" s="476">
        <f t="shared" si="74"/>
        <v>57.516666666670062</v>
      </c>
      <c r="AD425" s="476" t="str">
        <f t="shared" si="75"/>
        <v/>
      </c>
      <c r="AE425" s="476" t="str">
        <f t="shared" si="76"/>
        <v/>
      </c>
      <c r="AF425" s="476" t="b">
        <f>IFERROR(_xlfn.XLOOKUP(Table1[[#This Row],[Opportunity ID]],'Aging Detail'!$H$14:$H$20,'Aging Detail'!$F$14:$F$20),TRUE)</f>
        <v>1</v>
      </c>
    </row>
    <row r="426" spans="1:32">
      <c r="A426" t="s">
        <v>1461</v>
      </c>
      <c r="B426" t="s">
        <v>408</v>
      </c>
      <c r="C426" t="s">
        <v>1462</v>
      </c>
      <c r="D426" t="s">
        <v>2618</v>
      </c>
      <c r="E426" t="s">
        <v>2619</v>
      </c>
      <c r="F426" t="s">
        <v>1468</v>
      </c>
      <c r="I426" s="422">
        <v>45943</v>
      </c>
      <c r="J426" s="422">
        <v>46374</v>
      </c>
      <c r="K426">
        <v>558720</v>
      </c>
      <c r="L426">
        <v>558720</v>
      </c>
      <c r="M426" t="s">
        <v>2620</v>
      </c>
      <c r="N426" t="s">
        <v>2621</v>
      </c>
      <c r="O426" t="str">
        <f>_xlfn.IFNA(VLOOKUP(Table1[[#This Row],[Lead Source]],'helper tab'!A:B,2,FALSE),"Exclude")</f>
        <v>Events</v>
      </c>
      <c r="P426" s="422">
        <f t="shared" si="66"/>
        <v>45943.415972222225</v>
      </c>
      <c r="Q426">
        <f t="shared" si="67"/>
        <v>0</v>
      </c>
      <c r="R426">
        <f t="shared" si="68"/>
        <v>0</v>
      </c>
      <c r="S426">
        <f>IF(
AND($Q426=1,$M426&lt;&gt;""),
IF(
COUNTIFS(
$M$3:$M426,$M426,
$O$3:$O426,$O426,
$Q$3:$Q426,1,
$P$3:$P426,"&gt;="&amp;EOMONTH($P426,-1)+1,
$P$3:$P426,"&lt;"&amp;EOMONTH($P426,0)+1
)=1,
1,
0),
0)</f>
        <v>0</v>
      </c>
      <c r="T426">
        <f>IF(AND($R426=1,$M426&lt;&gt;""),IF(COUNTIFS($M$3:$M426,$M426,$O$3:$O426,$O426,$R$3:$R426,1,$P$3:$P426,"&gt;="&amp;EOMONTH($P426,-1)+1,$P$3:$P426,"&lt;"&amp;EOMONTH($P426,0)+1)=1,1,0),0)</f>
        <v>0</v>
      </c>
      <c r="U426">
        <f t="shared" si="69"/>
        <v>0</v>
      </c>
      <c r="V426">
        <f>IF(AND($U426=1,$M426&lt;&gt;""),IF(COUNTIFS($M$3:$M426,$M426,$O$3:$O426,$O426,$U$3:$U426,1,$P$3:$P426,"&gt;="&amp;EOMONTH($P426,-1)+1,$P$3:$P426,"&lt;"&amp;EOMONTH($P426,0)+1)=1,1,0),0)</f>
        <v>0</v>
      </c>
      <c r="W426" s="444">
        <f ca="1">TODAY()-Table1[[#This Row],[Change Date]]</f>
        <v>314.58402777777519</v>
      </c>
      <c r="X426" s="422" t="str">
        <f t="shared" si="70"/>
        <v/>
      </c>
      <c r="Y426" s="476">
        <f ca="1">IF(Table1[[#This Row],[Next Stage Date]]&lt;&gt;"",Table1[[#This Row],[Next Stage Date]]-Table1[[#This Row],[Change Date]],TODAY()-Table1[[#This Row],[Change Date]])</f>
        <v>314.58402777777519</v>
      </c>
      <c r="Z426" s="476">
        <f t="shared" si="71"/>
        <v>1</v>
      </c>
      <c r="AA426" s="422" t="str">
        <f t="shared" si="72"/>
        <v/>
      </c>
      <c r="AB426" s="422" t="str">
        <f t="shared" si="73"/>
        <v/>
      </c>
      <c r="AC426" s="476" t="str">
        <f t="shared" si="74"/>
        <v/>
      </c>
      <c r="AD426" s="476" t="str">
        <f t="shared" si="75"/>
        <v/>
      </c>
      <c r="AE426" s="476" t="str">
        <f t="shared" si="76"/>
        <v/>
      </c>
      <c r="AF426" s="476" t="b">
        <f>IFERROR(_xlfn.XLOOKUP(Table1[[#This Row],[Opportunity ID]],'Aging Detail'!$H$14:$H$20,'Aging Detail'!$F$14:$F$20),TRUE)</f>
        <v>1</v>
      </c>
    </row>
    <row r="427" spans="1:32">
      <c r="A427" t="s">
        <v>1461</v>
      </c>
      <c r="B427" t="s">
        <v>462</v>
      </c>
      <c r="C427" t="s">
        <v>526</v>
      </c>
      <c r="D427" t="s">
        <v>2622</v>
      </c>
      <c r="E427" t="s">
        <v>2404</v>
      </c>
      <c r="F427" t="s">
        <v>148</v>
      </c>
      <c r="H427" t="s">
        <v>2287</v>
      </c>
      <c r="I427" s="422">
        <v>45845</v>
      </c>
      <c r="J427" s="422">
        <v>45968</v>
      </c>
      <c r="K427">
        <v>15000</v>
      </c>
      <c r="L427">
        <v>15000</v>
      </c>
      <c r="M427" t="s">
        <v>2405</v>
      </c>
      <c r="N427" t="s">
        <v>2406</v>
      </c>
      <c r="O427" t="str">
        <f>_xlfn.IFNA(VLOOKUP(Table1[[#This Row],[Lead Source]],'helper tab'!A:B,2,FALSE),"Exclude")</f>
        <v>Alliances</v>
      </c>
      <c r="P427" s="422">
        <f t="shared" si="66"/>
        <v>45940.304861111108</v>
      </c>
      <c r="Q427">
        <f t="shared" si="67"/>
        <v>1</v>
      </c>
      <c r="R427">
        <f t="shared" si="68"/>
        <v>0</v>
      </c>
      <c r="S427">
        <f>IF(
AND($Q427=1,$M427&lt;&gt;""),
IF(
COUNTIFS(
$M$3:$M427,$M427,
$O$3:$O427,$O427,
$Q$3:$Q427,1,
$P$3:$P427,"&gt;="&amp;EOMONTH($P427,-1)+1,
$P$3:$P427,"&lt;"&amp;EOMONTH($P427,0)+1
)=1,
1,
0),
0)</f>
        <v>1</v>
      </c>
      <c r="T427">
        <f>IF(AND($R427=1,$M427&lt;&gt;""),IF(COUNTIFS($M$3:$M427,$M427,$O$3:$O427,$O427,$R$3:$R427,1,$P$3:$P427,"&gt;="&amp;EOMONTH($P427,-1)+1,$P$3:$P427,"&lt;"&amp;EOMONTH($P427,0)+1)=1,1,0),0)</f>
        <v>0</v>
      </c>
      <c r="U427">
        <f t="shared" si="69"/>
        <v>0</v>
      </c>
      <c r="V427">
        <f>IF(AND($U427=1,$M427&lt;&gt;""),IF(COUNTIFS($M$3:$M427,$M427,$O$3:$O427,$O427,$U$3:$U427,1,$P$3:$P427,"&gt;="&amp;EOMONTH($P427,-1)+1,$P$3:$P427,"&lt;"&amp;EOMONTH($P427,0)+1)=1,1,0),0)</f>
        <v>0</v>
      </c>
      <c r="W427" s="444">
        <f ca="1">TODAY()-Table1[[#This Row],[Change Date]]</f>
        <v>317.69513888889196</v>
      </c>
      <c r="X427" s="422">
        <f t="shared" si="70"/>
        <v>46014.330555555556</v>
      </c>
      <c r="Y427" s="476">
        <f ca="1">IF(Table1[[#This Row],[Next Stage Date]]&lt;&gt;"",Table1[[#This Row],[Next Stage Date]]-Table1[[#This Row],[Change Date]],TODAY()-Table1[[#This Row],[Change Date]])</f>
        <v>74.025694444448163</v>
      </c>
      <c r="Z427" s="476">
        <f t="shared" si="71"/>
        <v>0</v>
      </c>
      <c r="AA427" s="422">
        <f t="shared" si="72"/>
        <v>46014.330555555556</v>
      </c>
      <c r="AB427" s="422">
        <f t="shared" si="73"/>
        <v>45882.256944444445</v>
      </c>
      <c r="AC427" s="476">
        <f t="shared" si="74"/>
        <v>37.256944444445253</v>
      </c>
      <c r="AD427" s="476">
        <f t="shared" si="75"/>
        <v>132.07361111111095</v>
      </c>
      <c r="AE427" s="476">
        <f t="shared" si="76"/>
        <v>169.3305555555562</v>
      </c>
      <c r="AF427" s="476" t="b">
        <f>IFERROR(_xlfn.XLOOKUP(Table1[[#This Row],[Opportunity ID]],'Aging Detail'!$H$14:$H$20,'Aging Detail'!$F$14:$F$20),TRUE)</f>
        <v>1</v>
      </c>
    </row>
    <row r="428" spans="1:32">
      <c r="A428" t="s">
        <v>1461</v>
      </c>
      <c r="B428" t="s">
        <v>462</v>
      </c>
      <c r="C428" t="s">
        <v>526</v>
      </c>
      <c r="D428" t="s">
        <v>2623</v>
      </c>
      <c r="E428" t="s">
        <v>2299</v>
      </c>
      <c r="I428" s="422">
        <v>45700</v>
      </c>
      <c r="J428" s="422">
        <v>46042</v>
      </c>
      <c r="K428">
        <v>363528</v>
      </c>
      <c r="L428">
        <v>363528</v>
      </c>
      <c r="M428" t="s">
        <v>2300</v>
      </c>
      <c r="N428" t="s">
        <v>2301</v>
      </c>
      <c r="O428" t="str">
        <f>_xlfn.IFNA(VLOOKUP(Table1[[#This Row],[Lead Source]],'helper tab'!A:B,2,FALSE),"Exclude")</f>
        <v>Exclude</v>
      </c>
      <c r="P428" s="422">
        <f t="shared" si="66"/>
        <v>45940.17291666667</v>
      </c>
      <c r="Q428">
        <f t="shared" si="67"/>
        <v>1</v>
      </c>
      <c r="R428">
        <f t="shared" si="68"/>
        <v>0</v>
      </c>
      <c r="S428">
        <f>IF(
AND($Q428=1,$M428&lt;&gt;""),
IF(
COUNTIFS(
$M$3:$M428,$M428,
$O$3:$O428,$O428,
$Q$3:$Q428,1,
$P$3:$P428,"&gt;="&amp;EOMONTH($P428,-1)+1,
$P$3:$P428,"&lt;"&amp;EOMONTH($P428,0)+1
)=1,
1,
0),
0)</f>
        <v>1</v>
      </c>
      <c r="T428">
        <f>IF(AND($R428=1,$M428&lt;&gt;""),IF(COUNTIFS($M$3:$M428,$M428,$O$3:$O428,$O428,$R$3:$R428,1,$P$3:$P428,"&gt;="&amp;EOMONTH($P428,-1)+1,$P$3:$P428,"&lt;"&amp;EOMONTH($P428,0)+1)=1,1,0),0)</f>
        <v>0</v>
      </c>
      <c r="U428">
        <f t="shared" si="69"/>
        <v>0</v>
      </c>
      <c r="V428">
        <f>IF(AND($U428=1,$M428&lt;&gt;""),IF(COUNTIFS($M$3:$M428,$M428,$O$3:$O428,$O428,$U$3:$U428,1,$P$3:$P428,"&gt;="&amp;EOMONTH($P428,-1)+1,$P$3:$P428,"&lt;"&amp;EOMONTH($P428,0)+1)=1,1,0),0)</f>
        <v>0</v>
      </c>
      <c r="W428" s="444">
        <f ca="1">TODAY()-Table1[[#This Row],[Change Date]]</f>
        <v>317.82708333332994</v>
      </c>
      <c r="X428" s="422">
        <f t="shared" si="70"/>
        <v>46044.573611111111</v>
      </c>
      <c r="Y428" s="476">
        <f ca="1">IF(Table1[[#This Row],[Next Stage Date]]&lt;&gt;"",Table1[[#This Row],[Next Stage Date]]-Table1[[#This Row],[Change Date]],TODAY()-Table1[[#This Row],[Change Date]])</f>
        <v>104.40069444444089</v>
      </c>
      <c r="Z428" s="476">
        <f t="shared" si="71"/>
        <v>0</v>
      </c>
      <c r="AA428" s="422">
        <f t="shared" si="72"/>
        <v>46044.573611111111</v>
      </c>
      <c r="AB428" s="422">
        <f t="shared" si="73"/>
        <v>45931.404166666667</v>
      </c>
      <c r="AC428" s="476">
        <f t="shared" si="74"/>
        <v>231.40416666666715</v>
      </c>
      <c r="AD428" s="476">
        <f t="shared" si="75"/>
        <v>113.1694444444438</v>
      </c>
      <c r="AE428" s="476">
        <f t="shared" si="76"/>
        <v>344.57361111111095</v>
      </c>
      <c r="AF428" s="476" t="b">
        <f>IFERROR(_xlfn.XLOOKUP(Table1[[#This Row],[Opportunity ID]],'Aging Detail'!$H$14:$H$20,'Aging Detail'!$F$14:$F$20),TRUE)</f>
        <v>1</v>
      </c>
    </row>
    <row r="429" spans="1:32">
      <c r="A429" t="s">
        <v>1461</v>
      </c>
      <c r="B429" t="s">
        <v>338</v>
      </c>
      <c r="C429" t="s">
        <v>1469</v>
      </c>
      <c r="D429" t="s">
        <v>2624</v>
      </c>
      <c r="E429" t="s">
        <v>2625</v>
      </c>
      <c r="I429" s="422">
        <v>45723</v>
      </c>
      <c r="J429" s="422">
        <v>73050</v>
      </c>
      <c r="L429">
        <v>0</v>
      </c>
      <c r="M429" t="s">
        <v>2626</v>
      </c>
      <c r="N429" t="s">
        <v>1634</v>
      </c>
      <c r="O429" t="str">
        <f>_xlfn.IFNA(VLOOKUP(Table1[[#This Row],[Lead Source]],'helper tab'!A:B,2,FALSE),"Exclude")</f>
        <v>Exclude</v>
      </c>
      <c r="P429" s="422">
        <f t="shared" si="66"/>
        <v>45939.324999999997</v>
      </c>
      <c r="Q429">
        <f t="shared" si="67"/>
        <v>0</v>
      </c>
      <c r="R429">
        <f t="shared" si="68"/>
        <v>0</v>
      </c>
      <c r="S429">
        <f>IF(
AND($Q429=1,$M429&lt;&gt;""),
IF(
COUNTIFS(
$M$3:$M429,$M429,
$O$3:$O429,$O429,
$Q$3:$Q429,1,
$P$3:$P429,"&gt;="&amp;EOMONTH($P429,-1)+1,
$P$3:$P429,"&lt;"&amp;EOMONTH($P429,0)+1
)=1,
1,
0),
0)</f>
        <v>0</v>
      </c>
      <c r="T429">
        <f>IF(AND($R429=1,$M429&lt;&gt;""),IF(COUNTIFS($M$3:$M429,$M429,$O$3:$O429,$O429,$R$3:$R429,1,$P$3:$P429,"&gt;="&amp;EOMONTH($P429,-1)+1,$P$3:$P429,"&lt;"&amp;EOMONTH($P429,0)+1)=1,1,0),0)</f>
        <v>0</v>
      </c>
      <c r="U429">
        <f t="shared" si="69"/>
        <v>1</v>
      </c>
      <c r="V429">
        <f>IF(AND($U429=1,$M429&lt;&gt;""),IF(COUNTIFS($M$3:$M429,$M429,$O$3:$O429,$O429,$U$3:$U429,1,$P$3:$P429,"&gt;="&amp;EOMONTH($P429,-1)+1,$P$3:$P429,"&lt;"&amp;EOMONTH($P429,0)+1)=1,1,0),0)</f>
        <v>1</v>
      </c>
      <c r="W429" s="444">
        <f ca="1">TODAY()-Table1[[#This Row],[Change Date]]</f>
        <v>318.67500000000291</v>
      </c>
      <c r="X429" s="422" t="str">
        <f t="shared" si="70"/>
        <v/>
      </c>
      <c r="Y429" s="476">
        <f ca="1">IF(Table1[[#This Row],[Next Stage Date]]&lt;&gt;"",Table1[[#This Row],[Next Stage Date]]-Table1[[#This Row],[Change Date]],TODAY()-Table1[[#This Row],[Change Date]])</f>
        <v>318.67500000000291</v>
      </c>
      <c r="Z429" s="476">
        <f t="shared" si="71"/>
        <v>1</v>
      </c>
      <c r="AA429" s="422" t="str">
        <f t="shared" si="72"/>
        <v/>
      </c>
      <c r="AB429" s="422" t="str">
        <f t="shared" si="73"/>
        <v/>
      </c>
      <c r="AC429" s="476" t="str">
        <f t="shared" si="74"/>
        <v/>
      </c>
      <c r="AD429" s="476" t="str">
        <f t="shared" si="75"/>
        <v/>
      </c>
      <c r="AE429" s="476" t="str">
        <f t="shared" si="76"/>
        <v/>
      </c>
      <c r="AF429" s="476" t="b">
        <f>IFERROR(_xlfn.XLOOKUP(Table1[[#This Row],[Opportunity ID]],'Aging Detail'!$H$14:$H$20,'Aging Detail'!$F$14:$F$20),TRUE)</f>
        <v>1</v>
      </c>
    </row>
    <row r="430" spans="1:32">
      <c r="A430" t="s">
        <v>1461</v>
      </c>
      <c r="B430" t="s">
        <v>338</v>
      </c>
      <c r="C430" t="s">
        <v>1469</v>
      </c>
      <c r="D430" t="s">
        <v>2627</v>
      </c>
      <c r="E430" t="s">
        <v>2628</v>
      </c>
      <c r="I430" s="422">
        <v>45848</v>
      </c>
      <c r="J430" s="422">
        <v>73050</v>
      </c>
      <c r="L430">
        <v>0</v>
      </c>
      <c r="M430" t="s">
        <v>2629</v>
      </c>
      <c r="N430" t="s">
        <v>1831</v>
      </c>
      <c r="O430" t="str">
        <f>_xlfn.IFNA(VLOOKUP(Table1[[#This Row],[Lead Source]],'helper tab'!A:B,2,FALSE),"Exclude")</f>
        <v>Exclude</v>
      </c>
      <c r="P430" s="422">
        <f t="shared" si="66"/>
        <v>45939.30972222222</v>
      </c>
      <c r="Q430">
        <f t="shared" si="67"/>
        <v>0</v>
      </c>
      <c r="R430">
        <f t="shared" si="68"/>
        <v>0</v>
      </c>
      <c r="S430">
        <f>IF(
AND($Q430=1,$M430&lt;&gt;""),
IF(
COUNTIFS(
$M$3:$M430,$M430,
$O$3:$O430,$O430,
$Q$3:$Q430,1,
$P$3:$P430,"&gt;="&amp;EOMONTH($P430,-1)+1,
$P$3:$P430,"&lt;"&amp;EOMONTH($P430,0)+1
)=1,
1,
0),
0)</f>
        <v>0</v>
      </c>
      <c r="T430">
        <f>IF(AND($R430=1,$M430&lt;&gt;""),IF(COUNTIFS($M$3:$M430,$M430,$O$3:$O430,$O430,$R$3:$R430,1,$P$3:$P430,"&gt;="&amp;EOMONTH($P430,-1)+1,$P$3:$P430,"&lt;"&amp;EOMONTH($P430,0)+1)=1,1,0),0)</f>
        <v>0</v>
      </c>
      <c r="U430">
        <f t="shared" si="69"/>
        <v>1</v>
      </c>
      <c r="V430">
        <f>IF(AND($U430=1,$M430&lt;&gt;""),IF(COUNTIFS($M$3:$M430,$M430,$O$3:$O430,$O430,$U$3:$U430,1,$P$3:$P430,"&gt;="&amp;EOMONTH($P430,-1)+1,$P$3:$P430,"&lt;"&amp;EOMONTH($P430,0)+1)=1,1,0),0)</f>
        <v>1</v>
      </c>
      <c r="W430" s="444">
        <f ca="1">TODAY()-Table1[[#This Row],[Change Date]]</f>
        <v>318.69027777777956</v>
      </c>
      <c r="X430" s="422" t="str">
        <f t="shared" si="70"/>
        <v/>
      </c>
      <c r="Y430" s="476">
        <f ca="1">IF(Table1[[#This Row],[Next Stage Date]]&lt;&gt;"",Table1[[#This Row],[Next Stage Date]]-Table1[[#This Row],[Change Date]],TODAY()-Table1[[#This Row],[Change Date]])</f>
        <v>318.69027777777956</v>
      </c>
      <c r="Z430" s="476">
        <f t="shared" si="71"/>
        <v>1</v>
      </c>
      <c r="AA430" s="422" t="str">
        <f t="shared" si="72"/>
        <v/>
      </c>
      <c r="AB430" s="422" t="str">
        <f t="shared" si="73"/>
        <v/>
      </c>
      <c r="AC430" s="476" t="str">
        <f t="shared" si="74"/>
        <v/>
      </c>
      <c r="AD430" s="476" t="str">
        <f t="shared" si="75"/>
        <v/>
      </c>
      <c r="AE430" s="476" t="str">
        <f t="shared" si="76"/>
        <v/>
      </c>
      <c r="AF430" s="476" t="b">
        <f>IFERROR(_xlfn.XLOOKUP(Table1[[#This Row],[Opportunity ID]],'Aging Detail'!$H$14:$H$20,'Aging Detail'!$F$14:$F$20),TRUE)</f>
        <v>1</v>
      </c>
    </row>
    <row r="431" spans="1:32">
      <c r="A431" t="s">
        <v>1461</v>
      </c>
      <c r="B431" t="s">
        <v>338</v>
      </c>
      <c r="C431" t="s">
        <v>1469</v>
      </c>
      <c r="D431" t="s">
        <v>2630</v>
      </c>
      <c r="E431" t="s">
        <v>2631</v>
      </c>
      <c r="I431" s="422">
        <v>45580</v>
      </c>
      <c r="J431" s="422">
        <v>73050</v>
      </c>
      <c r="L431">
        <v>0</v>
      </c>
      <c r="M431" t="s">
        <v>2632</v>
      </c>
      <c r="N431" t="s">
        <v>1831</v>
      </c>
      <c r="O431" t="str">
        <f>_xlfn.IFNA(VLOOKUP(Table1[[#This Row],[Lead Source]],'helper tab'!A:B,2,FALSE),"Exclude")</f>
        <v>Exclude</v>
      </c>
      <c r="P431" s="422">
        <f t="shared" si="66"/>
        <v>45939.309027777781</v>
      </c>
      <c r="Q431">
        <f t="shared" si="67"/>
        <v>0</v>
      </c>
      <c r="R431">
        <f t="shared" si="68"/>
        <v>0</v>
      </c>
      <c r="S431">
        <f>IF(
AND($Q431=1,$M431&lt;&gt;""),
IF(
COUNTIFS(
$M$3:$M431,$M431,
$O$3:$O431,$O431,
$Q$3:$Q431,1,
$P$3:$P431,"&gt;="&amp;EOMONTH($P431,-1)+1,
$P$3:$P431,"&lt;"&amp;EOMONTH($P431,0)+1
)=1,
1,
0),
0)</f>
        <v>0</v>
      </c>
      <c r="T431">
        <f>IF(AND($R431=1,$M431&lt;&gt;""),IF(COUNTIFS($M$3:$M431,$M431,$O$3:$O431,$O431,$R$3:$R431,1,$P$3:$P431,"&gt;="&amp;EOMONTH($P431,-1)+1,$P$3:$P431,"&lt;"&amp;EOMONTH($P431,0)+1)=1,1,0),0)</f>
        <v>0</v>
      </c>
      <c r="U431">
        <f t="shared" si="69"/>
        <v>1</v>
      </c>
      <c r="V431">
        <f>IF(AND($U431=1,$M431&lt;&gt;""),IF(COUNTIFS($M$3:$M431,$M431,$O$3:$O431,$O431,$U$3:$U431,1,$P$3:$P431,"&gt;="&amp;EOMONTH($P431,-1)+1,$P$3:$P431,"&lt;"&amp;EOMONTH($P431,0)+1)=1,1,0),0)</f>
        <v>1</v>
      </c>
      <c r="W431" s="444">
        <f ca="1">TODAY()-Table1[[#This Row],[Change Date]]</f>
        <v>318.69097222221899</v>
      </c>
      <c r="X431" s="422" t="str">
        <f t="shared" si="70"/>
        <v/>
      </c>
      <c r="Y431" s="476">
        <f ca="1">IF(Table1[[#This Row],[Next Stage Date]]&lt;&gt;"",Table1[[#This Row],[Next Stage Date]]-Table1[[#This Row],[Change Date]],TODAY()-Table1[[#This Row],[Change Date]])</f>
        <v>318.69097222221899</v>
      </c>
      <c r="Z431" s="476">
        <f t="shared" si="71"/>
        <v>1</v>
      </c>
      <c r="AA431" s="422" t="str">
        <f t="shared" si="72"/>
        <v/>
      </c>
      <c r="AB431" s="422" t="str">
        <f t="shared" si="73"/>
        <v/>
      </c>
      <c r="AC431" s="476" t="str">
        <f t="shared" si="74"/>
        <v/>
      </c>
      <c r="AD431" s="476" t="str">
        <f t="shared" si="75"/>
        <v/>
      </c>
      <c r="AE431" s="476" t="str">
        <f t="shared" si="76"/>
        <v/>
      </c>
      <c r="AF431" s="476" t="b">
        <f>IFERROR(_xlfn.XLOOKUP(Table1[[#This Row],[Opportunity ID]],'Aging Detail'!$H$14:$H$20,'Aging Detail'!$F$14:$F$20),TRUE)</f>
        <v>1</v>
      </c>
    </row>
    <row r="432" spans="1:32">
      <c r="A432" t="s">
        <v>1461</v>
      </c>
      <c r="B432" t="s">
        <v>338</v>
      </c>
      <c r="C432" t="s">
        <v>1469</v>
      </c>
      <c r="D432" t="s">
        <v>2633</v>
      </c>
      <c r="E432" t="s">
        <v>2634</v>
      </c>
      <c r="F432" t="s">
        <v>1484</v>
      </c>
      <c r="I432" s="422">
        <v>45503</v>
      </c>
      <c r="J432" s="422">
        <v>73050</v>
      </c>
      <c r="L432">
        <v>0</v>
      </c>
      <c r="M432" t="s">
        <v>2635</v>
      </c>
      <c r="N432" t="s">
        <v>2239</v>
      </c>
      <c r="O432" t="str">
        <f>_xlfn.IFNA(VLOOKUP(Table1[[#This Row],[Lead Source]],'helper tab'!A:B,2,FALSE),"Exclude")</f>
        <v>Exclude</v>
      </c>
      <c r="P432" s="422">
        <f t="shared" si="66"/>
        <v>45939.308333333334</v>
      </c>
      <c r="Q432">
        <f t="shared" si="67"/>
        <v>0</v>
      </c>
      <c r="R432">
        <f t="shared" si="68"/>
        <v>0</v>
      </c>
      <c r="S432">
        <f>IF(
AND($Q432=1,$M432&lt;&gt;""),
IF(
COUNTIFS(
$M$3:$M432,$M432,
$O$3:$O432,$O432,
$Q$3:$Q432,1,
$P$3:$P432,"&gt;="&amp;EOMONTH($P432,-1)+1,
$P$3:$P432,"&lt;"&amp;EOMONTH($P432,0)+1
)=1,
1,
0),
0)</f>
        <v>0</v>
      </c>
      <c r="T432">
        <f>IF(AND($R432=1,$M432&lt;&gt;""),IF(COUNTIFS($M$3:$M432,$M432,$O$3:$O432,$O432,$R$3:$R432,1,$P$3:$P432,"&gt;="&amp;EOMONTH($P432,-1)+1,$P$3:$P432,"&lt;"&amp;EOMONTH($P432,0)+1)=1,1,0),0)</f>
        <v>0</v>
      </c>
      <c r="U432">
        <f t="shared" si="69"/>
        <v>1</v>
      </c>
      <c r="V432">
        <f>IF(AND($U432=1,$M432&lt;&gt;""),IF(COUNTIFS($M$3:$M432,$M432,$O$3:$O432,$O432,$U$3:$U432,1,$P$3:$P432,"&gt;="&amp;EOMONTH($P432,-1)+1,$P$3:$P432,"&lt;"&amp;EOMONTH($P432,0)+1)=1,1,0),0)</f>
        <v>1</v>
      </c>
      <c r="W432" s="444">
        <f ca="1">TODAY()-Table1[[#This Row],[Change Date]]</f>
        <v>318.6916666666657</v>
      </c>
      <c r="X432" s="422" t="str">
        <f t="shared" si="70"/>
        <v/>
      </c>
      <c r="Y432" s="476">
        <f ca="1">IF(Table1[[#This Row],[Next Stage Date]]&lt;&gt;"",Table1[[#This Row],[Next Stage Date]]-Table1[[#This Row],[Change Date]],TODAY()-Table1[[#This Row],[Change Date]])</f>
        <v>318.6916666666657</v>
      </c>
      <c r="Z432" s="476">
        <f t="shared" si="71"/>
        <v>1</v>
      </c>
      <c r="AA432" s="422" t="str">
        <f t="shared" si="72"/>
        <v/>
      </c>
      <c r="AB432" s="422" t="str">
        <f t="shared" si="73"/>
        <v/>
      </c>
      <c r="AC432" s="476" t="str">
        <f t="shared" si="74"/>
        <v/>
      </c>
      <c r="AD432" s="476" t="str">
        <f t="shared" si="75"/>
        <v/>
      </c>
      <c r="AE432" s="476" t="str">
        <f t="shared" si="76"/>
        <v/>
      </c>
      <c r="AF432" s="476" t="b">
        <f>IFERROR(_xlfn.XLOOKUP(Table1[[#This Row],[Opportunity ID]],'Aging Detail'!$H$14:$H$20,'Aging Detail'!$F$14:$F$20),TRUE)</f>
        <v>1</v>
      </c>
    </row>
    <row r="433" spans="1:32">
      <c r="A433" t="s">
        <v>1461</v>
      </c>
      <c r="B433" t="s">
        <v>526</v>
      </c>
      <c r="C433" t="s">
        <v>563</v>
      </c>
      <c r="D433" t="s">
        <v>2636</v>
      </c>
      <c r="E433" t="s">
        <v>2637</v>
      </c>
      <c r="F433" t="s">
        <v>148</v>
      </c>
      <c r="H433" t="s">
        <v>1698</v>
      </c>
      <c r="I433" s="422">
        <v>45938</v>
      </c>
      <c r="J433" s="422">
        <v>45930</v>
      </c>
      <c r="K433">
        <v>62156.160000000003</v>
      </c>
      <c r="L433">
        <v>62156.160000000003</v>
      </c>
      <c r="M433" t="s">
        <v>2638</v>
      </c>
      <c r="N433" t="s">
        <v>2639</v>
      </c>
      <c r="O433" t="str">
        <f>_xlfn.IFNA(VLOOKUP(Table1[[#This Row],[Lead Source]],'helper tab'!A:B,2,FALSE),"Exclude")</f>
        <v>Alliances</v>
      </c>
      <c r="P433" s="422">
        <f t="shared" si="66"/>
        <v>45938.584027777775</v>
      </c>
      <c r="Q433">
        <f t="shared" si="67"/>
        <v>0</v>
      </c>
      <c r="R433">
        <f t="shared" si="68"/>
        <v>1</v>
      </c>
      <c r="S433">
        <f>IF(
AND($Q433=1,$M433&lt;&gt;""),
IF(
COUNTIFS(
$M$3:$M433,$M433,
$O$3:$O433,$O433,
$Q$3:$Q433,1,
$P$3:$P433,"&gt;="&amp;EOMONTH($P433,-1)+1,
$P$3:$P433,"&lt;"&amp;EOMONTH($P433,0)+1
)=1,
1,
0),
0)</f>
        <v>0</v>
      </c>
      <c r="T433">
        <f>IF(AND($R433=1,$M433&lt;&gt;""),IF(COUNTIFS($M$3:$M433,$M433,$O$3:$O433,$O433,$R$3:$R433,1,$P$3:$P433,"&gt;="&amp;EOMONTH($P433,-1)+1,$P$3:$P433,"&lt;"&amp;EOMONTH($P433,0)+1)=1,1,0),0)</f>
        <v>1</v>
      </c>
      <c r="U433">
        <f t="shared" si="69"/>
        <v>0</v>
      </c>
      <c r="V433">
        <f>IF(AND($U433=1,$M433&lt;&gt;""),IF(COUNTIFS($M$3:$M433,$M433,$O$3:$O433,$O433,$U$3:$U433,1,$P$3:$P433,"&gt;="&amp;EOMONTH($P433,-1)+1,$P$3:$P433,"&lt;"&amp;EOMONTH($P433,0)+1)=1,1,0),0)</f>
        <v>0</v>
      </c>
      <c r="W433" s="444">
        <f ca="1">TODAY()-Table1[[#This Row],[Change Date]]</f>
        <v>319.41597222222481</v>
      </c>
      <c r="X433" s="422" t="str">
        <f t="shared" si="70"/>
        <v/>
      </c>
      <c r="Y433" s="476">
        <f ca="1">IF(Table1[[#This Row],[Next Stage Date]]&lt;&gt;"",Table1[[#This Row],[Next Stage Date]]-Table1[[#This Row],[Change Date]],TODAY()-Table1[[#This Row],[Change Date]])</f>
        <v>319.41597222222481</v>
      </c>
      <c r="Z433" s="476">
        <f t="shared" si="71"/>
        <v>1</v>
      </c>
      <c r="AA433" s="422">
        <f t="shared" si="72"/>
        <v>45938.584027777775</v>
      </c>
      <c r="AB433" s="422">
        <f t="shared" si="73"/>
        <v>45938.584027777775</v>
      </c>
      <c r="AC433" s="476">
        <f t="shared" si="74"/>
        <v>0.58402777777519077</v>
      </c>
      <c r="AD433" s="476">
        <f t="shared" si="75"/>
        <v>0</v>
      </c>
      <c r="AE433" s="476">
        <f t="shared" si="76"/>
        <v>0.58402777777519077</v>
      </c>
      <c r="AF433" s="476" t="b">
        <f>IFERROR(_xlfn.XLOOKUP(Table1[[#This Row],[Opportunity ID]],'Aging Detail'!$H$14:$H$20,'Aging Detail'!$F$14:$F$20),TRUE)</f>
        <v>1</v>
      </c>
    </row>
    <row r="434" spans="1:32">
      <c r="A434" t="s">
        <v>1461</v>
      </c>
      <c r="B434" t="s">
        <v>462</v>
      </c>
      <c r="C434" t="s">
        <v>526</v>
      </c>
      <c r="D434" t="s">
        <v>2636</v>
      </c>
      <c r="E434" t="s">
        <v>2637</v>
      </c>
      <c r="F434" t="s">
        <v>148</v>
      </c>
      <c r="H434" t="s">
        <v>1698</v>
      </c>
      <c r="I434" s="422">
        <v>45938</v>
      </c>
      <c r="J434" s="422">
        <v>45930</v>
      </c>
      <c r="K434">
        <v>62156.160000000003</v>
      </c>
      <c r="L434">
        <v>62156.160000000003</v>
      </c>
      <c r="M434" t="s">
        <v>2638</v>
      </c>
      <c r="N434" t="s">
        <v>2639</v>
      </c>
      <c r="O434" t="str">
        <f>_xlfn.IFNA(VLOOKUP(Table1[[#This Row],[Lead Source]],'helper tab'!A:B,2,FALSE),"Exclude")</f>
        <v>Alliances</v>
      </c>
      <c r="P434" s="422">
        <f t="shared" si="66"/>
        <v>45938.584027777775</v>
      </c>
      <c r="Q434">
        <f t="shared" si="67"/>
        <v>1</v>
      </c>
      <c r="R434">
        <f t="shared" si="68"/>
        <v>0</v>
      </c>
      <c r="S434">
        <f>IF(
AND($Q434=1,$M434&lt;&gt;""),
IF(
COUNTIFS(
$M$3:$M434,$M434,
$O$3:$O434,$O434,
$Q$3:$Q434,1,
$P$3:$P434,"&gt;="&amp;EOMONTH($P434,-1)+1,
$P$3:$P434,"&lt;"&amp;EOMONTH($P434,0)+1
)=1,
1,
0),
0)</f>
        <v>1</v>
      </c>
      <c r="T434">
        <f>IF(AND($R434=1,$M434&lt;&gt;""),IF(COUNTIFS($M$3:$M434,$M434,$O$3:$O434,$O434,$R$3:$R434,1,$P$3:$P434,"&gt;="&amp;EOMONTH($P434,-1)+1,$P$3:$P434,"&lt;"&amp;EOMONTH($P434,0)+1)=1,1,0),0)</f>
        <v>0</v>
      </c>
      <c r="U434">
        <f t="shared" si="69"/>
        <v>0</v>
      </c>
      <c r="V434">
        <f>IF(AND($U434=1,$M434&lt;&gt;""),IF(COUNTIFS($M$3:$M434,$M434,$O$3:$O434,$O434,$U$3:$U434,1,$P$3:$P434,"&gt;="&amp;EOMONTH($P434,-1)+1,$P$3:$P434,"&lt;"&amp;EOMONTH($P434,0)+1)=1,1,0),0)</f>
        <v>0</v>
      </c>
      <c r="W434" s="444">
        <f ca="1">TODAY()-Table1[[#This Row],[Change Date]]</f>
        <v>319.41597222222481</v>
      </c>
      <c r="X434" s="422" t="str">
        <f t="shared" si="70"/>
        <v/>
      </c>
      <c r="Y434" s="476">
        <f ca="1">IF(Table1[[#This Row],[Next Stage Date]]&lt;&gt;"",Table1[[#This Row],[Next Stage Date]]-Table1[[#This Row],[Change Date]],TODAY()-Table1[[#This Row],[Change Date]])</f>
        <v>319.41597222222481</v>
      </c>
      <c r="Z434" s="476">
        <f t="shared" si="71"/>
        <v>1</v>
      </c>
      <c r="AA434" s="422">
        <f t="shared" si="72"/>
        <v>45938.584027777775</v>
      </c>
      <c r="AB434" s="422">
        <f t="shared" si="73"/>
        <v>45938.584027777775</v>
      </c>
      <c r="AC434" s="476">
        <f t="shared" si="74"/>
        <v>0.58402777777519077</v>
      </c>
      <c r="AD434" s="476">
        <f t="shared" si="75"/>
        <v>0</v>
      </c>
      <c r="AE434" s="476">
        <f t="shared" si="76"/>
        <v>0.58402777777519077</v>
      </c>
      <c r="AF434" s="476" t="b">
        <f>IFERROR(_xlfn.XLOOKUP(Table1[[#This Row],[Opportunity ID]],'Aging Detail'!$H$14:$H$20,'Aging Detail'!$F$14:$F$20),TRUE)</f>
        <v>1</v>
      </c>
    </row>
    <row r="435" spans="1:32">
      <c r="A435" t="s">
        <v>1461</v>
      </c>
      <c r="B435" t="s">
        <v>1462</v>
      </c>
      <c r="C435" t="s">
        <v>462</v>
      </c>
      <c r="D435" t="s">
        <v>2636</v>
      </c>
      <c r="E435" t="s">
        <v>2637</v>
      </c>
      <c r="F435" t="s">
        <v>148</v>
      </c>
      <c r="H435" t="s">
        <v>1698</v>
      </c>
      <c r="I435" s="422">
        <v>45938</v>
      </c>
      <c r="J435" s="422">
        <v>45930</v>
      </c>
      <c r="K435">
        <v>62156.160000000003</v>
      </c>
      <c r="L435">
        <v>62156.160000000003</v>
      </c>
      <c r="M435" t="s">
        <v>2638</v>
      </c>
      <c r="N435" t="s">
        <v>2639</v>
      </c>
      <c r="O435" t="str">
        <f>_xlfn.IFNA(VLOOKUP(Table1[[#This Row],[Lead Source]],'helper tab'!A:B,2,FALSE),"Exclude")</f>
        <v>Alliances</v>
      </c>
      <c r="P435" s="422">
        <f t="shared" si="66"/>
        <v>45938.584027777775</v>
      </c>
      <c r="Q435">
        <f t="shared" si="67"/>
        <v>1</v>
      </c>
      <c r="R435">
        <f t="shared" si="68"/>
        <v>0</v>
      </c>
      <c r="S435">
        <f>IF(
AND($Q435=1,$M435&lt;&gt;""),
IF(
COUNTIFS(
$M$3:$M435,$M435,
$O$3:$O435,$O435,
$Q$3:$Q435,1,
$P$3:$P435,"&gt;="&amp;EOMONTH($P435,-1)+1,
$P$3:$P435,"&lt;"&amp;EOMONTH($P435,0)+1
)=1,
1,
0),
0)</f>
        <v>0</v>
      </c>
      <c r="T435">
        <f>IF(AND($R435=1,$M435&lt;&gt;""),IF(COUNTIFS($M$3:$M435,$M435,$O$3:$O435,$O435,$R$3:$R435,1,$P$3:$P435,"&gt;="&amp;EOMONTH($P435,-1)+1,$P$3:$P435,"&lt;"&amp;EOMONTH($P435,0)+1)=1,1,0),0)</f>
        <v>0</v>
      </c>
      <c r="U435">
        <f t="shared" si="69"/>
        <v>0</v>
      </c>
      <c r="V435">
        <f>IF(AND($U435=1,$M435&lt;&gt;""),IF(COUNTIFS($M$3:$M435,$M435,$O$3:$O435,$O435,$U$3:$U435,1,$P$3:$P435,"&gt;="&amp;EOMONTH($P435,-1)+1,$P$3:$P435,"&lt;"&amp;EOMONTH($P435,0)+1)=1,1,0),0)</f>
        <v>0</v>
      </c>
      <c r="W435" s="444">
        <f ca="1">TODAY()-Table1[[#This Row],[Change Date]]</f>
        <v>319.41597222222481</v>
      </c>
      <c r="X435" s="422" t="str">
        <f t="shared" si="70"/>
        <v/>
      </c>
      <c r="Y435" s="476">
        <f ca="1">IF(Table1[[#This Row],[Next Stage Date]]&lt;&gt;"",Table1[[#This Row],[Next Stage Date]]-Table1[[#This Row],[Change Date]],TODAY()-Table1[[#This Row],[Change Date]])</f>
        <v>319.41597222222481</v>
      </c>
      <c r="Z435" s="476">
        <f t="shared" si="71"/>
        <v>1</v>
      </c>
      <c r="AA435" s="422">
        <f t="shared" si="72"/>
        <v>45938.584027777775</v>
      </c>
      <c r="AB435" s="422">
        <f t="shared" si="73"/>
        <v>45938.584027777775</v>
      </c>
      <c r="AC435" s="476">
        <f t="shared" si="74"/>
        <v>0.58402777777519077</v>
      </c>
      <c r="AD435" s="476">
        <f t="shared" si="75"/>
        <v>0</v>
      </c>
      <c r="AE435" s="476">
        <f t="shared" si="76"/>
        <v>0.58402777777519077</v>
      </c>
      <c r="AF435" s="476" t="b">
        <f>IFERROR(_xlfn.XLOOKUP(Table1[[#This Row],[Opportunity ID]],'Aging Detail'!$H$14:$H$20,'Aging Detail'!$F$14:$F$20),TRUE)</f>
        <v>1</v>
      </c>
    </row>
    <row r="436" spans="1:32">
      <c r="A436" t="s">
        <v>1461</v>
      </c>
      <c r="B436" t="s">
        <v>408</v>
      </c>
      <c r="C436" t="s">
        <v>1462</v>
      </c>
      <c r="D436" t="s">
        <v>2636</v>
      </c>
      <c r="E436" t="s">
        <v>2637</v>
      </c>
      <c r="F436" t="s">
        <v>148</v>
      </c>
      <c r="H436" t="s">
        <v>1698</v>
      </c>
      <c r="I436" s="422">
        <v>45938</v>
      </c>
      <c r="J436" s="422">
        <v>45930</v>
      </c>
      <c r="K436">
        <v>62156.160000000003</v>
      </c>
      <c r="L436">
        <v>62156.160000000003</v>
      </c>
      <c r="M436" t="s">
        <v>2638</v>
      </c>
      <c r="N436" t="s">
        <v>2639</v>
      </c>
      <c r="O436" t="str">
        <f>_xlfn.IFNA(VLOOKUP(Table1[[#This Row],[Lead Source]],'helper tab'!A:B,2,FALSE),"Exclude")</f>
        <v>Alliances</v>
      </c>
      <c r="P436" s="422">
        <f t="shared" si="66"/>
        <v>45938.584027777775</v>
      </c>
      <c r="Q436">
        <f t="shared" si="67"/>
        <v>0</v>
      </c>
      <c r="R436">
        <f t="shared" si="68"/>
        <v>0</v>
      </c>
      <c r="S436">
        <f>IF(
AND($Q436=1,$M436&lt;&gt;""),
IF(
COUNTIFS(
$M$3:$M436,$M436,
$O$3:$O436,$O436,
$Q$3:$Q436,1,
$P$3:$P436,"&gt;="&amp;EOMONTH($P436,-1)+1,
$P$3:$P436,"&lt;"&amp;EOMONTH($P436,0)+1
)=1,
1,
0),
0)</f>
        <v>0</v>
      </c>
      <c r="T436">
        <f>IF(AND($R436=1,$M436&lt;&gt;""),IF(COUNTIFS($M$3:$M436,$M436,$O$3:$O436,$O436,$R$3:$R436,1,$P$3:$P436,"&gt;="&amp;EOMONTH($P436,-1)+1,$P$3:$P436,"&lt;"&amp;EOMONTH($P436,0)+1)=1,1,0),0)</f>
        <v>0</v>
      </c>
      <c r="U436">
        <f t="shared" si="69"/>
        <v>0</v>
      </c>
      <c r="V436">
        <f>IF(AND($U436=1,$M436&lt;&gt;""),IF(COUNTIFS($M$3:$M436,$M436,$O$3:$O436,$O436,$U$3:$U436,1,$P$3:$P436,"&gt;="&amp;EOMONTH($P436,-1)+1,$P$3:$P436,"&lt;"&amp;EOMONTH($P436,0)+1)=1,1,0),0)</f>
        <v>0</v>
      </c>
      <c r="W436" s="444">
        <f ca="1">TODAY()-Table1[[#This Row],[Change Date]]</f>
        <v>319.41597222222481</v>
      </c>
      <c r="X436" s="422" t="str">
        <f t="shared" si="70"/>
        <v/>
      </c>
      <c r="Y436" s="476">
        <f ca="1">IF(Table1[[#This Row],[Next Stage Date]]&lt;&gt;"",Table1[[#This Row],[Next Stage Date]]-Table1[[#This Row],[Change Date]],TODAY()-Table1[[#This Row],[Change Date]])</f>
        <v>319.41597222222481</v>
      </c>
      <c r="Z436" s="476">
        <f t="shared" si="71"/>
        <v>1</v>
      </c>
      <c r="AA436" s="422">
        <f t="shared" si="72"/>
        <v>45938.584027777775</v>
      </c>
      <c r="AB436" s="422">
        <f t="shared" si="73"/>
        <v>45938.584027777775</v>
      </c>
      <c r="AC436" s="476">
        <f t="shared" si="74"/>
        <v>0.58402777777519077</v>
      </c>
      <c r="AD436" s="476">
        <f t="shared" si="75"/>
        <v>0</v>
      </c>
      <c r="AE436" s="476">
        <f t="shared" si="76"/>
        <v>0.58402777777519077</v>
      </c>
      <c r="AF436" s="476" t="b">
        <f>IFERROR(_xlfn.XLOOKUP(Table1[[#This Row],[Opportunity ID]],'Aging Detail'!$H$14:$H$20,'Aging Detail'!$F$14:$F$20),TRUE)</f>
        <v>1</v>
      </c>
    </row>
    <row r="437" spans="1:32">
      <c r="A437" t="s">
        <v>1461</v>
      </c>
      <c r="B437" t="s">
        <v>526</v>
      </c>
      <c r="C437" t="s">
        <v>563</v>
      </c>
      <c r="D437" t="s">
        <v>2640</v>
      </c>
      <c r="E437" t="s">
        <v>2641</v>
      </c>
      <c r="F437" t="s">
        <v>1465</v>
      </c>
      <c r="I437" s="422">
        <v>45922</v>
      </c>
      <c r="J437" s="422">
        <v>45938</v>
      </c>
      <c r="K437">
        <v>168750</v>
      </c>
      <c r="L437">
        <v>0</v>
      </c>
      <c r="M437" t="s">
        <v>2642</v>
      </c>
      <c r="N437" t="s">
        <v>1568</v>
      </c>
      <c r="O437" t="str">
        <f>_xlfn.IFNA(VLOOKUP(Table1[[#This Row],[Lead Source]],'helper tab'!A:B,2,FALSE),"Exclude")</f>
        <v>Exclude</v>
      </c>
      <c r="P437" s="422">
        <f t="shared" si="66"/>
        <v>45938.498611111114</v>
      </c>
      <c r="Q437">
        <f t="shared" si="67"/>
        <v>0</v>
      </c>
      <c r="R437">
        <f t="shared" si="68"/>
        <v>1</v>
      </c>
      <c r="S437">
        <f>IF(
AND($Q437=1,$M437&lt;&gt;""),
IF(
COUNTIFS(
$M$3:$M437,$M437,
$O$3:$O437,$O437,
$Q$3:$Q437,1,
$P$3:$P437,"&gt;="&amp;EOMONTH($P437,-1)+1,
$P$3:$P437,"&lt;"&amp;EOMONTH($P437,0)+1
)=1,
1,
0),
0)</f>
        <v>0</v>
      </c>
      <c r="T437">
        <f>IF(AND($R437=1,$M437&lt;&gt;""),IF(COUNTIFS($M$3:$M437,$M437,$O$3:$O437,$O437,$R$3:$R437,1,$P$3:$P437,"&gt;="&amp;EOMONTH($P437,-1)+1,$P$3:$P437,"&lt;"&amp;EOMONTH($P437,0)+1)=1,1,0),0)</f>
        <v>1</v>
      </c>
      <c r="U437">
        <f t="shared" si="69"/>
        <v>0</v>
      </c>
      <c r="V437">
        <f>IF(AND($U437=1,$M437&lt;&gt;""),IF(COUNTIFS($M$3:$M437,$M437,$O$3:$O437,$O437,$U$3:$U437,1,$P$3:$P437,"&gt;="&amp;EOMONTH($P437,-1)+1,$P$3:$P437,"&lt;"&amp;EOMONTH($P437,0)+1)=1,1,0),0)</f>
        <v>0</v>
      </c>
      <c r="W437" s="444">
        <f ca="1">TODAY()-Table1[[#This Row],[Change Date]]</f>
        <v>319.50138888888614</v>
      </c>
      <c r="X437" s="422" t="str">
        <f t="shared" si="70"/>
        <v/>
      </c>
      <c r="Y437" s="476">
        <f ca="1">IF(Table1[[#This Row],[Next Stage Date]]&lt;&gt;"",Table1[[#This Row],[Next Stage Date]]-Table1[[#This Row],[Change Date]],TODAY()-Table1[[#This Row],[Change Date]])</f>
        <v>319.50138888888614</v>
      </c>
      <c r="Z437" s="476">
        <f t="shared" si="71"/>
        <v>1</v>
      </c>
      <c r="AA437" s="422">
        <f t="shared" si="72"/>
        <v>45938.498611111114</v>
      </c>
      <c r="AB437" s="422">
        <f t="shared" si="73"/>
        <v>45938.253472222219</v>
      </c>
      <c r="AC437" s="476">
        <f t="shared" si="74"/>
        <v>16.253472222218988</v>
      </c>
      <c r="AD437" s="476">
        <f t="shared" si="75"/>
        <v>0.24513888889487134</v>
      </c>
      <c r="AE437" s="476">
        <f t="shared" si="76"/>
        <v>16.49861111111386</v>
      </c>
      <c r="AF437" s="476" t="b">
        <f>IFERROR(_xlfn.XLOOKUP(Table1[[#This Row],[Opportunity ID]],'Aging Detail'!$H$14:$H$20,'Aging Detail'!$F$14:$F$20),TRUE)</f>
        <v>1</v>
      </c>
    </row>
    <row r="438" spans="1:32">
      <c r="A438" t="s">
        <v>1461</v>
      </c>
      <c r="B438" t="s">
        <v>462</v>
      </c>
      <c r="C438" t="s">
        <v>526</v>
      </c>
      <c r="D438" t="s">
        <v>2643</v>
      </c>
      <c r="E438" t="s">
        <v>2641</v>
      </c>
      <c r="F438" t="s">
        <v>1465</v>
      </c>
      <c r="I438" s="422">
        <v>45922</v>
      </c>
      <c r="J438" s="422">
        <v>45938</v>
      </c>
      <c r="K438">
        <v>168750</v>
      </c>
      <c r="L438">
        <v>0</v>
      </c>
      <c r="M438" t="s">
        <v>2642</v>
      </c>
      <c r="N438" t="s">
        <v>1568</v>
      </c>
      <c r="O438" t="str">
        <f>_xlfn.IFNA(VLOOKUP(Table1[[#This Row],[Lead Source]],'helper tab'!A:B,2,FALSE),"Exclude")</f>
        <v>Exclude</v>
      </c>
      <c r="P438" s="422">
        <f t="shared" si="66"/>
        <v>45938.253472222219</v>
      </c>
      <c r="Q438">
        <f t="shared" si="67"/>
        <v>1</v>
      </c>
      <c r="R438">
        <f t="shared" si="68"/>
        <v>0</v>
      </c>
      <c r="S438">
        <f>IF(
AND($Q438=1,$M438&lt;&gt;""),
IF(
COUNTIFS(
$M$3:$M438,$M438,
$O$3:$O438,$O438,
$Q$3:$Q438,1,
$P$3:$P438,"&gt;="&amp;EOMONTH($P438,-1)+1,
$P$3:$P438,"&lt;"&amp;EOMONTH($P438,0)+1
)=1,
1,
0),
0)</f>
        <v>1</v>
      </c>
      <c r="T438">
        <f>IF(AND($R438=1,$M438&lt;&gt;""),IF(COUNTIFS($M$3:$M438,$M438,$O$3:$O438,$O438,$R$3:$R438,1,$P$3:$P438,"&gt;="&amp;EOMONTH($P438,-1)+1,$P$3:$P438,"&lt;"&amp;EOMONTH($P438,0)+1)=1,1,0),0)</f>
        <v>0</v>
      </c>
      <c r="U438">
        <f t="shared" si="69"/>
        <v>0</v>
      </c>
      <c r="V438">
        <f>IF(AND($U438=1,$M438&lt;&gt;""),IF(COUNTIFS($M$3:$M438,$M438,$O$3:$O438,$O438,$U$3:$U438,1,$P$3:$P438,"&gt;="&amp;EOMONTH($P438,-1)+1,$P$3:$P438,"&lt;"&amp;EOMONTH($P438,0)+1)=1,1,0),0)</f>
        <v>0</v>
      </c>
      <c r="W438" s="444">
        <f ca="1">TODAY()-Table1[[#This Row],[Change Date]]</f>
        <v>319.74652777778101</v>
      </c>
      <c r="X438" s="422">
        <f t="shared" si="70"/>
        <v>45938.498611111114</v>
      </c>
      <c r="Y438" s="476">
        <f ca="1">IF(Table1[[#This Row],[Next Stage Date]]&lt;&gt;"",Table1[[#This Row],[Next Stage Date]]-Table1[[#This Row],[Change Date]],TODAY()-Table1[[#This Row],[Change Date]])</f>
        <v>0.24513888889487134</v>
      </c>
      <c r="Z438" s="476">
        <f t="shared" si="71"/>
        <v>0</v>
      </c>
      <c r="AA438" s="422">
        <f t="shared" si="72"/>
        <v>45938.498611111114</v>
      </c>
      <c r="AB438" s="422">
        <f t="shared" si="73"/>
        <v>45938.253472222219</v>
      </c>
      <c r="AC438" s="476">
        <f t="shared" si="74"/>
        <v>16.253472222218988</v>
      </c>
      <c r="AD438" s="476">
        <f t="shared" si="75"/>
        <v>0.24513888889487134</v>
      </c>
      <c r="AE438" s="476">
        <f t="shared" si="76"/>
        <v>16.49861111111386</v>
      </c>
      <c r="AF438" s="476" t="b">
        <f>IFERROR(_xlfn.XLOOKUP(Table1[[#This Row],[Opportunity ID]],'Aging Detail'!$H$14:$H$20,'Aging Detail'!$F$14:$F$20),TRUE)</f>
        <v>1</v>
      </c>
    </row>
    <row r="439" spans="1:32">
      <c r="A439" t="s">
        <v>1461</v>
      </c>
      <c r="B439" t="s">
        <v>1462</v>
      </c>
      <c r="C439" t="s">
        <v>462</v>
      </c>
      <c r="D439" t="s">
        <v>2643</v>
      </c>
      <c r="E439" t="s">
        <v>2641</v>
      </c>
      <c r="F439" t="s">
        <v>1465</v>
      </c>
      <c r="I439" s="422">
        <v>45922</v>
      </c>
      <c r="J439" s="422">
        <v>45938</v>
      </c>
      <c r="K439">
        <v>168750</v>
      </c>
      <c r="L439">
        <v>0</v>
      </c>
      <c r="M439" t="s">
        <v>2642</v>
      </c>
      <c r="N439" t="s">
        <v>1568</v>
      </c>
      <c r="O439" t="str">
        <f>_xlfn.IFNA(VLOOKUP(Table1[[#This Row],[Lead Source]],'helper tab'!A:B,2,FALSE),"Exclude")</f>
        <v>Exclude</v>
      </c>
      <c r="P439" s="422">
        <f t="shared" si="66"/>
        <v>45938.253472222219</v>
      </c>
      <c r="Q439">
        <f t="shared" si="67"/>
        <v>1</v>
      </c>
      <c r="R439">
        <f t="shared" si="68"/>
        <v>0</v>
      </c>
      <c r="S439">
        <f>IF(
AND($Q439=1,$M439&lt;&gt;""),
IF(
COUNTIFS(
$M$3:$M439,$M439,
$O$3:$O439,$O439,
$Q$3:$Q439,1,
$P$3:$P439,"&gt;="&amp;EOMONTH($P439,-1)+1,
$P$3:$P439,"&lt;"&amp;EOMONTH($P439,0)+1
)=1,
1,
0),
0)</f>
        <v>0</v>
      </c>
      <c r="T439">
        <f>IF(AND($R439=1,$M439&lt;&gt;""),IF(COUNTIFS($M$3:$M439,$M439,$O$3:$O439,$O439,$R$3:$R439,1,$P$3:$P439,"&gt;="&amp;EOMONTH($P439,-1)+1,$P$3:$P439,"&lt;"&amp;EOMONTH($P439,0)+1)=1,1,0),0)</f>
        <v>0</v>
      </c>
      <c r="U439">
        <f t="shared" si="69"/>
        <v>0</v>
      </c>
      <c r="V439">
        <f>IF(AND($U439=1,$M439&lt;&gt;""),IF(COUNTIFS($M$3:$M439,$M439,$O$3:$O439,$O439,$U$3:$U439,1,$P$3:$P439,"&gt;="&amp;EOMONTH($P439,-1)+1,$P$3:$P439,"&lt;"&amp;EOMONTH($P439,0)+1)=1,1,0),0)</f>
        <v>0</v>
      </c>
      <c r="W439" s="444">
        <f ca="1">TODAY()-Table1[[#This Row],[Change Date]]</f>
        <v>319.74652777778101</v>
      </c>
      <c r="X439" s="422">
        <f t="shared" si="70"/>
        <v>45938.498611111114</v>
      </c>
      <c r="Y439" s="476">
        <f ca="1">IF(Table1[[#This Row],[Next Stage Date]]&lt;&gt;"",Table1[[#This Row],[Next Stage Date]]-Table1[[#This Row],[Change Date]],TODAY()-Table1[[#This Row],[Change Date]])</f>
        <v>0.24513888889487134</v>
      </c>
      <c r="Z439" s="476">
        <f t="shared" si="71"/>
        <v>0</v>
      </c>
      <c r="AA439" s="422">
        <f t="shared" si="72"/>
        <v>45938.498611111114</v>
      </c>
      <c r="AB439" s="422">
        <f t="shared" si="73"/>
        <v>45938.253472222219</v>
      </c>
      <c r="AC439" s="476">
        <f t="shared" si="74"/>
        <v>16.253472222218988</v>
      </c>
      <c r="AD439" s="476">
        <f t="shared" si="75"/>
        <v>0.24513888889487134</v>
      </c>
      <c r="AE439" s="476">
        <f t="shared" si="76"/>
        <v>16.49861111111386</v>
      </c>
      <c r="AF439" s="476" t="b">
        <f>IFERROR(_xlfn.XLOOKUP(Table1[[#This Row],[Opportunity ID]],'Aging Detail'!$H$14:$H$20,'Aging Detail'!$F$14:$F$20),TRUE)</f>
        <v>1</v>
      </c>
    </row>
    <row r="440" spans="1:32">
      <c r="A440" t="s">
        <v>1461</v>
      </c>
      <c r="B440" t="s">
        <v>408</v>
      </c>
      <c r="C440" t="s">
        <v>1462</v>
      </c>
      <c r="D440" t="s">
        <v>2643</v>
      </c>
      <c r="E440" t="s">
        <v>2641</v>
      </c>
      <c r="F440" t="s">
        <v>1465</v>
      </c>
      <c r="I440" s="422">
        <v>45922</v>
      </c>
      <c r="J440" s="422">
        <v>45938</v>
      </c>
      <c r="K440">
        <v>168750</v>
      </c>
      <c r="L440">
        <v>0</v>
      </c>
      <c r="M440" t="s">
        <v>2642</v>
      </c>
      <c r="N440" t="s">
        <v>1568</v>
      </c>
      <c r="O440" t="str">
        <f>_xlfn.IFNA(VLOOKUP(Table1[[#This Row],[Lead Source]],'helper tab'!A:B,2,FALSE),"Exclude")</f>
        <v>Exclude</v>
      </c>
      <c r="P440" s="422">
        <f t="shared" si="66"/>
        <v>45938.253472222219</v>
      </c>
      <c r="Q440">
        <f t="shared" si="67"/>
        <v>0</v>
      </c>
      <c r="R440">
        <f t="shared" si="68"/>
        <v>0</v>
      </c>
      <c r="S440">
        <f>IF(
AND($Q440=1,$M440&lt;&gt;""),
IF(
COUNTIFS(
$M$3:$M440,$M440,
$O$3:$O440,$O440,
$Q$3:$Q440,1,
$P$3:$P440,"&gt;="&amp;EOMONTH($P440,-1)+1,
$P$3:$P440,"&lt;"&amp;EOMONTH($P440,0)+1
)=1,
1,
0),
0)</f>
        <v>0</v>
      </c>
      <c r="T440">
        <f>IF(AND($R440=1,$M440&lt;&gt;""),IF(COUNTIFS($M$3:$M440,$M440,$O$3:$O440,$O440,$R$3:$R440,1,$P$3:$P440,"&gt;="&amp;EOMONTH($P440,-1)+1,$P$3:$P440,"&lt;"&amp;EOMONTH($P440,0)+1)=1,1,0),0)</f>
        <v>0</v>
      </c>
      <c r="U440">
        <f t="shared" si="69"/>
        <v>0</v>
      </c>
      <c r="V440">
        <f>IF(AND($U440=1,$M440&lt;&gt;""),IF(COUNTIFS($M$3:$M440,$M440,$O$3:$O440,$O440,$U$3:$U440,1,$P$3:$P440,"&gt;="&amp;EOMONTH($P440,-1)+1,$P$3:$P440,"&lt;"&amp;EOMONTH($P440,0)+1)=1,1,0),0)</f>
        <v>0</v>
      </c>
      <c r="W440" s="444">
        <f ca="1">TODAY()-Table1[[#This Row],[Change Date]]</f>
        <v>319.74652777778101</v>
      </c>
      <c r="X440" s="422">
        <f t="shared" si="70"/>
        <v>45938.498611111114</v>
      </c>
      <c r="Y440" s="476">
        <f ca="1">IF(Table1[[#This Row],[Next Stage Date]]&lt;&gt;"",Table1[[#This Row],[Next Stage Date]]-Table1[[#This Row],[Change Date]],TODAY()-Table1[[#This Row],[Change Date]])</f>
        <v>0.24513888889487134</v>
      </c>
      <c r="Z440" s="476">
        <f t="shared" si="71"/>
        <v>0</v>
      </c>
      <c r="AA440" s="422">
        <f t="shared" si="72"/>
        <v>45938.498611111114</v>
      </c>
      <c r="AB440" s="422">
        <f t="shared" si="73"/>
        <v>45938.253472222219</v>
      </c>
      <c r="AC440" s="476">
        <f t="shared" si="74"/>
        <v>16.253472222218988</v>
      </c>
      <c r="AD440" s="476">
        <f t="shared" si="75"/>
        <v>0.24513888889487134</v>
      </c>
      <c r="AE440" s="476">
        <f t="shared" si="76"/>
        <v>16.49861111111386</v>
      </c>
      <c r="AF440" s="476" t="b">
        <f>IFERROR(_xlfn.XLOOKUP(Table1[[#This Row],[Opportunity ID]],'Aging Detail'!$H$14:$H$20,'Aging Detail'!$F$14:$F$20),TRUE)</f>
        <v>1</v>
      </c>
    </row>
    <row r="441" spans="1:32">
      <c r="A441" t="s">
        <v>1461</v>
      </c>
      <c r="B441" t="s">
        <v>1462</v>
      </c>
      <c r="C441" t="s">
        <v>462</v>
      </c>
      <c r="D441" t="s">
        <v>2644</v>
      </c>
      <c r="E441" t="s">
        <v>2489</v>
      </c>
      <c r="F441" t="s">
        <v>1465</v>
      </c>
      <c r="I441" s="422">
        <v>45929</v>
      </c>
      <c r="J441" s="422">
        <v>46374</v>
      </c>
      <c r="K441">
        <v>534176</v>
      </c>
      <c r="L441">
        <v>410904</v>
      </c>
      <c r="M441" t="s">
        <v>2490</v>
      </c>
      <c r="N441" t="s">
        <v>2158</v>
      </c>
      <c r="O441" t="str">
        <f>_xlfn.IFNA(VLOOKUP(Table1[[#This Row],[Lead Source]],'helper tab'!A:B,2,FALSE),"Exclude")</f>
        <v>Exclude</v>
      </c>
      <c r="P441" s="422">
        <f t="shared" si="66"/>
        <v>45938.25</v>
      </c>
      <c r="Q441">
        <f t="shared" si="67"/>
        <v>1</v>
      </c>
      <c r="R441">
        <f t="shared" si="68"/>
        <v>0</v>
      </c>
      <c r="S441">
        <f>IF(
AND($Q441=1,$M441&lt;&gt;""),
IF(
COUNTIFS(
$M$3:$M441,$M441,
$O$3:$O441,$O441,
$Q$3:$Q441,1,
$P$3:$P441,"&gt;="&amp;EOMONTH($P441,-1)+1,
$P$3:$P441,"&lt;"&amp;EOMONTH($P441,0)+1
)=1,
1,
0),
0)</f>
        <v>1</v>
      </c>
      <c r="T441">
        <f>IF(AND($R441=1,$M441&lt;&gt;""),IF(COUNTIFS($M$3:$M441,$M441,$O$3:$O441,$O441,$R$3:$R441,1,$P$3:$P441,"&gt;="&amp;EOMONTH($P441,-1)+1,$P$3:$P441,"&lt;"&amp;EOMONTH($P441,0)+1)=1,1,0),0)</f>
        <v>0</v>
      </c>
      <c r="U441">
        <f t="shared" si="69"/>
        <v>0</v>
      </c>
      <c r="V441">
        <f>IF(AND($U441=1,$M441&lt;&gt;""),IF(COUNTIFS($M$3:$M441,$M441,$O$3:$O441,$O441,$U$3:$U441,1,$P$3:$P441,"&gt;="&amp;EOMONTH($P441,-1)+1,$P$3:$P441,"&lt;"&amp;EOMONTH($P441,0)+1)=1,1,0),0)</f>
        <v>0</v>
      </c>
      <c r="W441" s="444">
        <f ca="1">TODAY()-Table1[[#This Row],[Change Date]]</f>
        <v>319.75</v>
      </c>
      <c r="X441" s="422">
        <f t="shared" si="70"/>
        <v>45978.268750000003</v>
      </c>
      <c r="Y441" s="476">
        <f ca="1">IF(Table1[[#This Row],[Next Stage Date]]&lt;&gt;"",Table1[[#This Row],[Next Stage Date]]-Table1[[#This Row],[Change Date]],TODAY()-Table1[[#This Row],[Change Date]])</f>
        <v>40.01875000000291</v>
      </c>
      <c r="Z441" s="476">
        <f t="shared" si="71"/>
        <v>0</v>
      </c>
      <c r="AA441" s="422" t="str">
        <f t="shared" si="72"/>
        <v/>
      </c>
      <c r="AB441" s="422">
        <f t="shared" si="73"/>
        <v>45938.25</v>
      </c>
      <c r="AC441" s="476">
        <f t="shared" si="74"/>
        <v>9.25</v>
      </c>
      <c r="AD441" s="476" t="str">
        <f t="shared" si="75"/>
        <v/>
      </c>
      <c r="AE441" s="476" t="str">
        <f t="shared" si="76"/>
        <v/>
      </c>
      <c r="AF441" s="476" t="b">
        <f>IFERROR(_xlfn.XLOOKUP(Table1[[#This Row],[Opportunity ID]],'Aging Detail'!$H$14:$H$20,'Aging Detail'!$F$14:$F$20),TRUE)</f>
        <v>1</v>
      </c>
    </row>
    <row r="442" spans="1:32">
      <c r="A442" t="s">
        <v>1461</v>
      </c>
      <c r="B442" t="s">
        <v>408</v>
      </c>
      <c r="C442" t="s">
        <v>1462</v>
      </c>
      <c r="D442" t="s">
        <v>2644</v>
      </c>
      <c r="E442" t="s">
        <v>2489</v>
      </c>
      <c r="F442" t="s">
        <v>1465</v>
      </c>
      <c r="I442" s="422">
        <v>45929</v>
      </c>
      <c r="J442" s="422">
        <v>46374</v>
      </c>
      <c r="K442">
        <v>534176</v>
      </c>
      <c r="L442">
        <v>410904</v>
      </c>
      <c r="M442" t="s">
        <v>2490</v>
      </c>
      <c r="N442" t="s">
        <v>2158</v>
      </c>
      <c r="O442" t="str">
        <f>_xlfn.IFNA(VLOOKUP(Table1[[#This Row],[Lead Source]],'helper tab'!A:B,2,FALSE),"Exclude")</f>
        <v>Exclude</v>
      </c>
      <c r="P442" s="422">
        <f t="shared" si="66"/>
        <v>45938.25</v>
      </c>
      <c r="Q442">
        <f t="shared" si="67"/>
        <v>0</v>
      </c>
      <c r="R442">
        <f t="shared" si="68"/>
        <v>0</v>
      </c>
      <c r="S442">
        <f>IF(
AND($Q442=1,$M442&lt;&gt;""),
IF(
COUNTIFS(
$M$3:$M442,$M442,
$O$3:$O442,$O442,
$Q$3:$Q442,1,
$P$3:$P442,"&gt;="&amp;EOMONTH($P442,-1)+1,
$P$3:$P442,"&lt;"&amp;EOMONTH($P442,0)+1
)=1,
1,
0),
0)</f>
        <v>0</v>
      </c>
      <c r="T442">
        <f>IF(AND($R442=1,$M442&lt;&gt;""),IF(COUNTIFS($M$3:$M442,$M442,$O$3:$O442,$O442,$R$3:$R442,1,$P$3:$P442,"&gt;="&amp;EOMONTH($P442,-1)+1,$P$3:$P442,"&lt;"&amp;EOMONTH($P442,0)+1)=1,1,0),0)</f>
        <v>0</v>
      </c>
      <c r="U442">
        <f t="shared" si="69"/>
        <v>0</v>
      </c>
      <c r="V442">
        <f>IF(AND($U442=1,$M442&lt;&gt;""),IF(COUNTIFS($M$3:$M442,$M442,$O$3:$O442,$O442,$U$3:$U442,1,$P$3:$P442,"&gt;="&amp;EOMONTH($P442,-1)+1,$P$3:$P442,"&lt;"&amp;EOMONTH($P442,0)+1)=1,1,0),0)</f>
        <v>0</v>
      </c>
      <c r="W442" s="444">
        <f ca="1">TODAY()-Table1[[#This Row],[Change Date]]</f>
        <v>319.75</v>
      </c>
      <c r="X442" s="422">
        <f t="shared" si="70"/>
        <v>45978.268750000003</v>
      </c>
      <c r="Y442" s="476">
        <f ca="1">IF(Table1[[#This Row],[Next Stage Date]]&lt;&gt;"",Table1[[#This Row],[Next Stage Date]]-Table1[[#This Row],[Change Date]],TODAY()-Table1[[#This Row],[Change Date]])</f>
        <v>40.01875000000291</v>
      </c>
      <c r="Z442" s="476">
        <f t="shared" si="71"/>
        <v>0</v>
      </c>
      <c r="AA442" s="422" t="str">
        <f t="shared" si="72"/>
        <v/>
      </c>
      <c r="AB442" s="422">
        <f t="shared" si="73"/>
        <v>45938.25</v>
      </c>
      <c r="AC442" s="476">
        <f t="shared" si="74"/>
        <v>9.25</v>
      </c>
      <c r="AD442" s="476" t="str">
        <f t="shared" si="75"/>
        <v/>
      </c>
      <c r="AE442" s="476" t="str">
        <f t="shared" si="76"/>
        <v/>
      </c>
      <c r="AF442" s="476" t="b">
        <f>IFERROR(_xlfn.XLOOKUP(Table1[[#This Row],[Opportunity ID]],'Aging Detail'!$H$14:$H$20,'Aging Detail'!$F$14:$F$20),TRUE)</f>
        <v>1</v>
      </c>
    </row>
    <row r="443" spans="1:32">
      <c r="A443" t="s">
        <v>1461</v>
      </c>
      <c r="B443" t="s">
        <v>526</v>
      </c>
      <c r="C443" t="s">
        <v>563</v>
      </c>
      <c r="D443" t="s">
        <v>2645</v>
      </c>
      <c r="E443" t="s">
        <v>2646</v>
      </c>
      <c r="F443" t="s">
        <v>1484</v>
      </c>
      <c r="I443" s="422">
        <v>45230</v>
      </c>
      <c r="J443" s="422">
        <v>45936</v>
      </c>
      <c r="K443">
        <v>671000</v>
      </c>
      <c r="L443">
        <v>188500</v>
      </c>
      <c r="M443" t="s">
        <v>2647</v>
      </c>
      <c r="N443" t="s">
        <v>2648</v>
      </c>
      <c r="O443" t="str">
        <f>_xlfn.IFNA(VLOOKUP(Table1[[#This Row],[Lead Source]],'helper tab'!A:B,2,FALSE),"Exclude")</f>
        <v>Exclude</v>
      </c>
      <c r="P443" s="422">
        <f t="shared" si="66"/>
        <v>45937.37222222222</v>
      </c>
      <c r="Q443">
        <f t="shared" si="67"/>
        <v>0</v>
      </c>
      <c r="R443">
        <f t="shared" si="68"/>
        <v>1</v>
      </c>
      <c r="S443">
        <f>IF(
AND($Q443=1,$M443&lt;&gt;""),
IF(
COUNTIFS(
$M$3:$M443,$M443,
$O$3:$O443,$O443,
$Q$3:$Q443,1,
$P$3:$P443,"&gt;="&amp;EOMONTH($P443,-1)+1,
$P$3:$P443,"&lt;"&amp;EOMONTH($P443,0)+1
)=1,
1,
0),
0)</f>
        <v>0</v>
      </c>
      <c r="T443">
        <f>IF(AND($R443=1,$M443&lt;&gt;""),IF(COUNTIFS($M$3:$M443,$M443,$O$3:$O443,$O443,$R$3:$R443,1,$P$3:$P443,"&gt;="&amp;EOMONTH($P443,-1)+1,$P$3:$P443,"&lt;"&amp;EOMONTH($P443,0)+1)=1,1,0),0)</f>
        <v>1</v>
      </c>
      <c r="U443">
        <f t="shared" si="69"/>
        <v>0</v>
      </c>
      <c r="V443">
        <f>IF(AND($U443=1,$M443&lt;&gt;""),IF(COUNTIFS($M$3:$M443,$M443,$O$3:$O443,$O443,$U$3:$U443,1,$P$3:$P443,"&gt;="&amp;EOMONTH($P443,-1)+1,$P$3:$P443,"&lt;"&amp;EOMONTH($P443,0)+1)=1,1,0),0)</f>
        <v>0</v>
      </c>
      <c r="W443" s="444">
        <f ca="1">TODAY()-Table1[[#This Row],[Change Date]]</f>
        <v>320.62777777777956</v>
      </c>
      <c r="X443" s="422" t="str">
        <f t="shared" si="70"/>
        <v/>
      </c>
      <c r="Y443" s="476">
        <f ca="1">IF(Table1[[#This Row],[Next Stage Date]]&lt;&gt;"",Table1[[#This Row],[Next Stage Date]]-Table1[[#This Row],[Change Date]],TODAY()-Table1[[#This Row],[Change Date]])</f>
        <v>320.62777777777956</v>
      </c>
      <c r="Z443" s="476">
        <f t="shared" si="71"/>
        <v>1</v>
      </c>
      <c r="AA443" s="422">
        <f t="shared" si="72"/>
        <v>45937.37222222222</v>
      </c>
      <c r="AB443" s="422">
        <f t="shared" si="73"/>
        <v>45819.419444444444</v>
      </c>
      <c r="AC443" s="476">
        <f t="shared" si="74"/>
        <v>589.4194444444438</v>
      </c>
      <c r="AD443" s="476">
        <f t="shared" si="75"/>
        <v>117.95277777777665</v>
      </c>
      <c r="AE443" s="476">
        <f t="shared" si="76"/>
        <v>707.37222222222044</v>
      </c>
      <c r="AF443" s="476" t="b">
        <f>IFERROR(_xlfn.XLOOKUP(Table1[[#This Row],[Opportunity ID]],'Aging Detail'!$H$14:$H$20,'Aging Detail'!$F$14:$F$20),TRUE)</f>
        <v>1</v>
      </c>
    </row>
    <row r="444" spans="1:32">
      <c r="A444" t="s">
        <v>1461</v>
      </c>
      <c r="B444" t="s">
        <v>338</v>
      </c>
      <c r="C444" t="s">
        <v>462</v>
      </c>
      <c r="D444" t="s">
        <v>2649</v>
      </c>
      <c r="E444" t="s">
        <v>2281</v>
      </c>
      <c r="F444" t="s">
        <v>1465</v>
      </c>
      <c r="I444" s="422">
        <v>45937</v>
      </c>
      <c r="J444" s="422">
        <v>46234</v>
      </c>
      <c r="K444">
        <v>247500</v>
      </c>
      <c r="L444">
        <v>247500</v>
      </c>
      <c r="M444" t="s">
        <v>2282</v>
      </c>
      <c r="N444" t="s">
        <v>1568</v>
      </c>
      <c r="O444" t="str">
        <f>_xlfn.IFNA(VLOOKUP(Table1[[#This Row],[Lead Source]],'helper tab'!A:B,2,FALSE),"Exclude")</f>
        <v>Exclude</v>
      </c>
      <c r="P444" s="422">
        <f t="shared" si="66"/>
        <v>45937.28125</v>
      </c>
      <c r="Q444">
        <f t="shared" si="67"/>
        <v>1</v>
      </c>
      <c r="R444">
        <f t="shared" si="68"/>
        <v>0</v>
      </c>
      <c r="S444">
        <f>IF(
AND($Q444=1,$M444&lt;&gt;""),
IF(
COUNTIFS(
$M$3:$M444,$M444,
$O$3:$O444,$O444,
$Q$3:$Q444,1,
$P$3:$P444,"&gt;="&amp;EOMONTH($P444,-1)+1,
$P$3:$P444,"&lt;"&amp;EOMONTH($P444,0)+1
)=1,
1,
0),
0)</f>
        <v>1</v>
      </c>
      <c r="T444">
        <f>IF(AND($R444=1,$M444&lt;&gt;""),IF(COUNTIFS($M$3:$M444,$M444,$O$3:$O444,$O444,$R$3:$R444,1,$P$3:$P444,"&gt;="&amp;EOMONTH($P444,-1)+1,$P$3:$P444,"&lt;"&amp;EOMONTH($P444,0)+1)=1,1,0),0)</f>
        <v>0</v>
      </c>
      <c r="U444">
        <f t="shared" si="69"/>
        <v>0</v>
      </c>
      <c r="V444">
        <f>IF(AND($U444=1,$M444&lt;&gt;""),IF(COUNTIFS($M$3:$M444,$M444,$O$3:$O444,$O444,$U$3:$U444,1,$P$3:$P444,"&gt;="&amp;EOMONTH($P444,-1)+1,$P$3:$P444,"&lt;"&amp;EOMONTH($P444,0)+1)=1,1,0),0)</f>
        <v>0</v>
      </c>
      <c r="W444" s="444">
        <f ca="1">TODAY()-Table1[[#This Row],[Change Date]]</f>
        <v>320.71875</v>
      </c>
      <c r="X444" s="422">
        <f t="shared" si="70"/>
        <v>46052.534722222219</v>
      </c>
      <c r="Y444" s="476">
        <f ca="1">IF(Table1[[#This Row],[Next Stage Date]]&lt;&gt;"",Table1[[#This Row],[Next Stage Date]]-Table1[[#This Row],[Change Date]],TODAY()-Table1[[#This Row],[Change Date]])</f>
        <v>115.25347222221899</v>
      </c>
      <c r="Z444" s="476">
        <f t="shared" si="71"/>
        <v>0</v>
      </c>
      <c r="AA444" s="422" t="str">
        <f t="shared" si="72"/>
        <v/>
      </c>
      <c r="AB444" s="422">
        <f t="shared" si="73"/>
        <v>45937.28125</v>
      </c>
      <c r="AC444" s="476">
        <f t="shared" si="74"/>
        <v>0.28125</v>
      </c>
      <c r="AD444" s="476" t="str">
        <f t="shared" si="75"/>
        <v/>
      </c>
      <c r="AE444" s="476" t="str">
        <f t="shared" si="76"/>
        <v/>
      </c>
      <c r="AF444" s="476" t="b">
        <f>IFERROR(_xlfn.XLOOKUP(Table1[[#This Row],[Opportunity ID]],'Aging Detail'!$H$14:$H$20,'Aging Detail'!$F$14:$F$20),TRUE)</f>
        <v>1</v>
      </c>
    </row>
    <row r="445" spans="1:32">
      <c r="A445" t="s">
        <v>1461</v>
      </c>
      <c r="B445" t="s">
        <v>338</v>
      </c>
      <c r="C445" t="s">
        <v>462</v>
      </c>
      <c r="D445" t="s">
        <v>2650</v>
      </c>
      <c r="E445" t="s">
        <v>2307</v>
      </c>
      <c r="I445" s="422">
        <v>45925</v>
      </c>
      <c r="J445" s="422">
        <v>46022</v>
      </c>
      <c r="K445">
        <v>22000</v>
      </c>
      <c r="L445">
        <v>0</v>
      </c>
      <c r="M445" t="s">
        <v>2308</v>
      </c>
      <c r="N445" t="s">
        <v>1748</v>
      </c>
      <c r="O445" t="str">
        <f>_xlfn.IFNA(VLOOKUP(Table1[[#This Row],[Lead Source]],'helper tab'!A:B,2,FALSE),"Exclude")</f>
        <v>Exclude</v>
      </c>
      <c r="P445" s="422">
        <f t="shared" si="66"/>
        <v>45936.582638888889</v>
      </c>
      <c r="Q445">
        <f t="shared" si="67"/>
        <v>1</v>
      </c>
      <c r="R445">
        <f t="shared" si="68"/>
        <v>0</v>
      </c>
      <c r="S445">
        <f>IF(
AND($Q445=1,$M445&lt;&gt;""),
IF(
COUNTIFS(
$M$3:$M445,$M445,
$O$3:$O445,$O445,
$Q$3:$Q445,1,
$P$3:$P445,"&gt;="&amp;EOMONTH($P445,-1)+1,
$P$3:$P445,"&lt;"&amp;EOMONTH($P445,0)+1
)=1,
1,
0),
0)</f>
        <v>1</v>
      </c>
      <c r="T445">
        <f>IF(AND($R445=1,$M445&lt;&gt;""),IF(COUNTIFS($M$3:$M445,$M445,$O$3:$O445,$O445,$R$3:$R445,1,$P$3:$P445,"&gt;="&amp;EOMONTH($P445,-1)+1,$P$3:$P445,"&lt;"&amp;EOMONTH($P445,0)+1)=1,1,0),0)</f>
        <v>0</v>
      </c>
      <c r="U445">
        <f t="shared" si="69"/>
        <v>0</v>
      </c>
      <c r="V445">
        <f>IF(AND($U445=1,$M445&lt;&gt;""),IF(COUNTIFS($M$3:$M445,$M445,$O$3:$O445,$O445,$U$3:$U445,1,$P$3:$P445,"&gt;="&amp;EOMONTH($P445,-1)+1,$P$3:$P445,"&lt;"&amp;EOMONTH($P445,0)+1)=1,1,0),0)</f>
        <v>0</v>
      </c>
      <c r="W445" s="444">
        <f ca="1">TODAY()-Table1[[#This Row],[Change Date]]</f>
        <v>321.41736111111095</v>
      </c>
      <c r="X445" s="422">
        <f t="shared" si="70"/>
        <v>46042.479861111111</v>
      </c>
      <c r="Y445" s="476">
        <f ca="1">IF(Table1[[#This Row],[Next Stage Date]]&lt;&gt;"",Table1[[#This Row],[Next Stage Date]]-Table1[[#This Row],[Change Date]],TODAY()-Table1[[#This Row],[Change Date]])</f>
        <v>105.8972222222219</v>
      </c>
      <c r="Z445" s="476">
        <f t="shared" si="71"/>
        <v>0</v>
      </c>
      <c r="AA445" s="422" t="str">
        <f t="shared" si="72"/>
        <v/>
      </c>
      <c r="AB445" s="422">
        <f t="shared" si="73"/>
        <v>45936.582638888889</v>
      </c>
      <c r="AC445" s="476">
        <f t="shared" si="74"/>
        <v>11.582638888889051</v>
      </c>
      <c r="AD445" s="476" t="str">
        <f t="shared" si="75"/>
        <v/>
      </c>
      <c r="AE445" s="476" t="str">
        <f t="shared" si="76"/>
        <v/>
      </c>
      <c r="AF445" s="476" t="b">
        <f>IFERROR(_xlfn.XLOOKUP(Table1[[#This Row],[Opportunity ID]],'Aging Detail'!$H$14:$H$20,'Aging Detail'!$F$14:$F$20),TRUE)</f>
        <v>1</v>
      </c>
    </row>
    <row r="446" spans="1:32">
      <c r="A446" t="s">
        <v>1461</v>
      </c>
      <c r="B446" t="s">
        <v>338</v>
      </c>
      <c r="C446" t="s">
        <v>462</v>
      </c>
      <c r="D446" t="s">
        <v>2651</v>
      </c>
      <c r="E446" t="s">
        <v>1623</v>
      </c>
      <c r="I446" s="422">
        <v>45926</v>
      </c>
      <c r="J446" s="422">
        <v>46248</v>
      </c>
      <c r="K446">
        <v>0</v>
      </c>
      <c r="L446">
        <v>0</v>
      </c>
      <c r="M446" t="s">
        <v>1624</v>
      </c>
      <c r="N446" t="s">
        <v>1625</v>
      </c>
      <c r="O446" t="str">
        <f>_xlfn.IFNA(VLOOKUP(Table1[[#This Row],[Lead Source]],'helper tab'!A:B,2,FALSE),"Exclude")</f>
        <v>Exclude</v>
      </c>
      <c r="P446" s="422">
        <f t="shared" si="66"/>
        <v>45936.552777777775</v>
      </c>
      <c r="Q446">
        <f t="shared" si="67"/>
        <v>1</v>
      </c>
      <c r="R446">
        <f t="shared" si="68"/>
        <v>0</v>
      </c>
      <c r="S446">
        <f>IF(
AND($Q446=1,$M446&lt;&gt;""),
IF(
COUNTIFS(
$M$3:$M446,$M446,
$O$3:$O446,$O446,
$Q$3:$Q446,1,
$P$3:$P446,"&gt;="&amp;EOMONTH($P446,-1)+1,
$P$3:$P446,"&lt;"&amp;EOMONTH($P446,0)+1
)=1,
1,
0),
0)</f>
        <v>1</v>
      </c>
      <c r="T446">
        <f>IF(AND($R446=1,$M446&lt;&gt;""),IF(COUNTIFS($M$3:$M446,$M446,$O$3:$O446,$O446,$R$3:$R446,1,$P$3:$P446,"&gt;="&amp;EOMONTH($P446,-1)+1,$P$3:$P446,"&lt;"&amp;EOMONTH($P446,0)+1)=1,1,0),0)</f>
        <v>0</v>
      </c>
      <c r="U446">
        <f t="shared" si="69"/>
        <v>0</v>
      </c>
      <c r="V446">
        <f>IF(AND($U446=1,$M446&lt;&gt;""),IF(COUNTIFS($M$3:$M446,$M446,$O$3:$O446,$O446,$U$3:$U446,1,$P$3:$P446,"&gt;="&amp;EOMONTH($P446,-1)+1,$P$3:$P446,"&lt;"&amp;EOMONTH($P446,0)+1)=1,1,0),0)</f>
        <v>0</v>
      </c>
      <c r="W446" s="444">
        <f ca="1">TODAY()-Table1[[#This Row],[Change Date]]</f>
        <v>321.44722222222481</v>
      </c>
      <c r="X446" s="422">
        <f t="shared" si="70"/>
        <v>46224.616666666669</v>
      </c>
      <c r="Y446" s="476">
        <f ca="1">IF(Table1[[#This Row],[Next Stage Date]]&lt;&gt;"",Table1[[#This Row],[Next Stage Date]]-Table1[[#This Row],[Change Date]],TODAY()-Table1[[#This Row],[Change Date]])</f>
        <v>288.06388888889342</v>
      </c>
      <c r="Z446" s="476">
        <f t="shared" si="71"/>
        <v>0</v>
      </c>
      <c r="AA446" s="422" t="str">
        <f t="shared" si="72"/>
        <v/>
      </c>
      <c r="AB446" s="422">
        <f t="shared" si="73"/>
        <v>45936.552777777775</v>
      </c>
      <c r="AC446" s="476">
        <f t="shared" si="74"/>
        <v>10.552777777775191</v>
      </c>
      <c r="AD446" s="476" t="str">
        <f t="shared" si="75"/>
        <v/>
      </c>
      <c r="AE446" s="476" t="str">
        <f t="shared" si="76"/>
        <v/>
      </c>
      <c r="AF446" s="476" t="b">
        <f>IFERROR(_xlfn.XLOOKUP(Table1[[#This Row],[Opportunity ID]],'Aging Detail'!$H$14:$H$20,'Aging Detail'!$F$14:$F$20),TRUE)</f>
        <v>1</v>
      </c>
    </row>
    <row r="447" spans="1:32">
      <c r="A447" t="s">
        <v>1461</v>
      </c>
      <c r="B447" t="s">
        <v>1462</v>
      </c>
      <c r="C447" t="s">
        <v>1469</v>
      </c>
      <c r="D447" t="s">
        <v>2652</v>
      </c>
      <c r="E447" t="s">
        <v>2653</v>
      </c>
      <c r="F447" t="s">
        <v>1468</v>
      </c>
      <c r="I447" s="422">
        <v>45734</v>
      </c>
      <c r="J447" s="422">
        <v>46203</v>
      </c>
      <c r="K447">
        <v>245600</v>
      </c>
      <c r="L447">
        <v>105600</v>
      </c>
      <c r="M447" t="s">
        <v>2654</v>
      </c>
      <c r="N447" t="s">
        <v>2653</v>
      </c>
      <c r="O447" t="str">
        <f>_xlfn.IFNA(VLOOKUP(Table1[[#This Row],[Lead Source]],'helper tab'!A:B,2,FALSE),"Exclude")</f>
        <v>Events</v>
      </c>
      <c r="P447" s="422">
        <f t="shared" si="66"/>
        <v>45936.48333333333</v>
      </c>
      <c r="Q447">
        <f t="shared" si="67"/>
        <v>0</v>
      </c>
      <c r="R447">
        <f t="shared" si="68"/>
        <v>0</v>
      </c>
      <c r="S447">
        <f>IF(
AND($Q447=1,$M447&lt;&gt;""),
IF(
COUNTIFS(
$M$3:$M447,$M447,
$O$3:$O447,$O447,
$Q$3:$Q447,1,
$P$3:$P447,"&gt;="&amp;EOMONTH($P447,-1)+1,
$P$3:$P447,"&lt;"&amp;EOMONTH($P447,0)+1
)=1,
1,
0),
0)</f>
        <v>0</v>
      </c>
      <c r="T447">
        <f>IF(AND($R447=1,$M447&lt;&gt;""),IF(COUNTIFS($M$3:$M447,$M447,$O$3:$O447,$O447,$R$3:$R447,1,$P$3:$P447,"&gt;="&amp;EOMONTH($P447,-1)+1,$P$3:$P447,"&lt;"&amp;EOMONTH($P447,0)+1)=1,1,0),0)</f>
        <v>0</v>
      </c>
      <c r="U447">
        <f t="shared" si="69"/>
        <v>1</v>
      </c>
      <c r="V447">
        <f>IF(AND($U447=1,$M447&lt;&gt;""),IF(COUNTIFS($M$3:$M447,$M447,$O$3:$O447,$O447,$U$3:$U447,1,$P$3:$P447,"&gt;="&amp;EOMONTH($P447,-1)+1,$P$3:$P447,"&lt;"&amp;EOMONTH($P447,0)+1)=1,1,0),0)</f>
        <v>1</v>
      </c>
      <c r="W447" s="444">
        <f ca="1">TODAY()-Table1[[#This Row],[Change Date]]</f>
        <v>321.51666666667006</v>
      </c>
      <c r="X447" s="422" t="str">
        <f t="shared" si="70"/>
        <v/>
      </c>
      <c r="Y447" s="476">
        <f ca="1">IF(Table1[[#This Row],[Next Stage Date]]&lt;&gt;"",Table1[[#This Row],[Next Stage Date]]-Table1[[#This Row],[Change Date]],TODAY()-Table1[[#This Row],[Change Date]])</f>
        <v>321.51666666667006</v>
      </c>
      <c r="Z447" s="476">
        <f t="shared" si="71"/>
        <v>1</v>
      </c>
      <c r="AA447" s="422" t="str">
        <f t="shared" si="72"/>
        <v/>
      </c>
      <c r="AB447" s="422" t="str">
        <f t="shared" si="73"/>
        <v/>
      </c>
      <c r="AC447" s="476" t="str">
        <f t="shared" si="74"/>
        <v/>
      </c>
      <c r="AD447" s="476" t="str">
        <f t="shared" si="75"/>
        <v/>
      </c>
      <c r="AE447" s="476" t="str">
        <f t="shared" si="76"/>
        <v/>
      </c>
      <c r="AF447" s="476" t="b">
        <f>IFERROR(_xlfn.XLOOKUP(Table1[[#This Row],[Opportunity ID]],'Aging Detail'!$H$14:$H$20,'Aging Detail'!$F$14:$F$20),TRUE)</f>
        <v>1</v>
      </c>
    </row>
    <row r="448" spans="1:32">
      <c r="A448" t="s">
        <v>1461</v>
      </c>
      <c r="B448" t="s">
        <v>408</v>
      </c>
      <c r="C448" t="s">
        <v>1469</v>
      </c>
      <c r="D448" t="s">
        <v>2655</v>
      </c>
      <c r="E448" t="s">
        <v>2656</v>
      </c>
      <c r="F448" t="s">
        <v>1486</v>
      </c>
      <c r="I448" s="422">
        <v>45468</v>
      </c>
      <c r="J448" s="422">
        <v>46157</v>
      </c>
      <c r="K448">
        <v>616000</v>
      </c>
      <c r="L448">
        <v>276000</v>
      </c>
      <c r="M448" t="s">
        <v>2657</v>
      </c>
      <c r="N448" t="s">
        <v>2658</v>
      </c>
      <c r="O448" t="str">
        <f>_xlfn.IFNA(VLOOKUP(Table1[[#This Row],[Lead Source]],'helper tab'!A:B,2,FALSE),"Exclude")</f>
        <v>Exclude</v>
      </c>
      <c r="P448" s="422">
        <f t="shared" si="66"/>
        <v>45936.482638888891</v>
      </c>
      <c r="Q448">
        <f t="shared" si="67"/>
        <v>0</v>
      </c>
      <c r="R448">
        <f t="shared" si="68"/>
        <v>0</v>
      </c>
      <c r="S448">
        <f>IF(
AND($Q448=1,$M448&lt;&gt;""),
IF(
COUNTIFS(
$M$3:$M448,$M448,
$O$3:$O448,$O448,
$Q$3:$Q448,1,
$P$3:$P448,"&gt;="&amp;EOMONTH($P448,-1)+1,
$P$3:$P448,"&lt;"&amp;EOMONTH($P448,0)+1
)=1,
1,
0),
0)</f>
        <v>0</v>
      </c>
      <c r="T448">
        <f>IF(AND($R448=1,$M448&lt;&gt;""),IF(COUNTIFS($M$3:$M448,$M448,$O$3:$O448,$O448,$R$3:$R448,1,$P$3:$P448,"&gt;="&amp;EOMONTH($P448,-1)+1,$P$3:$P448,"&lt;"&amp;EOMONTH($P448,0)+1)=1,1,0),0)</f>
        <v>0</v>
      </c>
      <c r="U448">
        <f t="shared" si="69"/>
        <v>1</v>
      </c>
      <c r="V448">
        <f>IF(AND($U448=1,$M448&lt;&gt;""),IF(COUNTIFS($M$3:$M448,$M448,$O$3:$O448,$O448,$U$3:$U448,1,$P$3:$P448,"&gt;="&amp;EOMONTH($P448,-1)+1,$P$3:$P448,"&lt;"&amp;EOMONTH($P448,0)+1)=1,1,0),0)</f>
        <v>1</v>
      </c>
      <c r="W448" s="444">
        <f ca="1">TODAY()-Table1[[#This Row],[Change Date]]</f>
        <v>321.51736111110949</v>
      </c>
      <c r="X448" s="422" t="str">
        <f t="shared" si="70"/>
        <v/>
      </c>
      <c r="Y448" s="476">
        <f ca="1">IF(Table1[[#This Row],[Next Stage Date]]&lt;&gt;"",Table1[[#This Row],[Next Stage Date]]-Table1[[#This Row],[Change Date]],TODAY()-Table1[[#This Row],[Change Date]])</f>
        <v>321.51736111110949</v>
      </c>
      <c r="Z448" s="476">
        <f t="shared" si="71"/>
        <v>1</v>
      </c>
      <c r="AA448" s="422" t="str">
        <f t="shared" si="72"/>
        <v/>
      </c>
      <c r="AB448" s="422" t="str">
        <f t="shared" si="73"/>
        <v/>
      </c>
      <c r="AC448" s="476" t="str">
        <f t="shared" si="74"/>
        <v/>
      </c>
      <c r="AD448" s="476" t="str">
        <f t="shared" si="75"/>
        <v/>
      </c>
      <c r="AE448" s="476" t="str">
        <f t="shared" si="76"/>
        <v/>
      </c>
      <c r="AF448" s="476" t="b">
        <f>IFERROR(_xlfn.XLOOKUP(Table1[[#This Row],[Opportunity ID]],'Aging Detail'!$H$14:$H$20,'Aging Detail'!$F$14:$F$20),TRUE)</f>
        <v>1</v>
      </c>
    </row>
    <row r="449" spans="1:32">
      <c r="A449" t="s">
        <v>1461</v>
      </c>
      <c r="B449" t="s">
        <v>338</v>
      </c>
      <c r="C449" t="s">
        <v>1469</v>
      </c>
      <c r="D449" t="s">
        <v>2659</v>
      </c>
      <c r="E449" t="s">
        <v>2660</v>
      </c>
      <c r="F449" t="s">
        <v>1473</v>
      </c>
      <c r="G449" t="s">
        <v>1562</v>
      </c>
      <c r="I449" s="422">
        <v>45786</v>
      </c>
      <c r="J449" s="422">
        <v>46203</v>
      </c>
      <c r="K449">
        <v>318200</v>
      </c>
      <c r="L449">
        <v>178200</v>
      </c>
      <c r="M449" t="s">
        <v>2661</v>
      </c>
      <c r="N449" t="s">
        <v>2662</v>
      </c>
      <c r="O449" t="str">
        <f>_xlfn.IFNA(VLOOKUP(Table1[[#This Row],[Lead Source]],'helper tab'!A:B,2,FALSE),"Exclude")</f>
        <v>Events</v>
      </c>
      <c r="P449" s="422">
        <f t="shared" si="66"/>
        <v>45936.473611111112</v>
      </c>
      <c r="Q449">
        <f t="shared" si="67"/>
        <v>0</v>
      </c>
      <c r="R449">
        <f t="shared" si="68"/>
        <v>0</v>
      </c>
      <c r="S449">
        <f>IF(
AND($Q449=1,$M449&lt;&gt;""),
IF(
COUNTIFS(
$M$3:$M449,$M449,
$O$3:$O449,$O449,
$Q$3:$Q449,1,
$P$3:$P449,"&gt;="&amp;EOMONTH($P449,-1)+1,
$P$3:$P449,"&lt;"&amp;EOMONTH($P449,0)+1
)=1,
1,
0),
0)</f>
        <v>0</v>
      </c>
      <c r="T449">
        <f>IF(AND($R449=1,$M449&lt;&gt;""),IF(COUNTIFS($M$3:$M449,$M449,$O$3:$O449,$O449,$R$3:$R449,1,$P$3:$P449,"&gt;="&amp;EOMONTH($P449,-1)+1,$P$3:$P449,"&lt;"&amp;EOMONTH($P449,0)+1)=1,1,0),0)</f>
        <v>0</v>
      </c>
      <c r="U449">
        <f t="shared" si="69"/>
        <v>1</v>
      </c>
      <c r="V449">
        <f>IF(AND($U449=1,$M449&lt;&gt;""),IF(COUNTIFS($M$3:$M449,$M449,$O$3:$O449,$O449,$U$3:$U449,1,$P$3:$P449,"&gt;="&amp;EOMONTH($P449,-1)+1,$P$3:$P449,"&lt;"&amp;EOMONTH($P449,0)+1)=1,1,0),0)</f>
        <v>1</v>
      </c>
      <c r="W449" s="444">
        <f ca="1">TODAY()-Table1[[#This Row],[Change Date]]</f>
        <v>321.5263888888876</v>
      </c>
      <c r="X449" s="422" t="str">
        <f t="shared" si="70"/>
        <v/>
      </c>
      <c r="Y449" s="476">
        <f ca="1">IF(Table1[[#This Row],[Next Stage Date]]&lt;&gt;"",Table1[[#This Row],[Next Stage Date]]-Table1[[#This Row],[Change Date]],TODAY()-Table1[[#This Row],[Change Date]])</f>
        <v>321.5263888888876</v>
      </c>
      <c r="Z449" s="476">
        <f t="shared" si="71"/>
        <v>1</v>
      </c>
      <c r="AA449" s="422" t="str">
        <f t="shared" si="72"/>
        <v/>
      </c>
      <c r="AB449" s="422" t="str">
        <f t="shared" si="73"/>
        <v/>
      </c>
      <c r="AC449" s="476" t="str">
        <f t="shared" si="74"/>
        <v/>
      </c>
      <c r="AD449" s="476" t="str">
        <f t="shared" si="75"/>
        <v/>
      </c>
      <c r="AE449" s="476" t="str">
        <f t="shared" si="76"/>
        <v/>
      </c>
      <c r="AF449" s="476" t="b">
        <f>IFERROR(_xlfn.XLOOKUP(Table1[[#This Row],[Opportunity ID]],'Aging Detail'!$H$14:$H$20,'Aging Detail'!$F$14:$F$20),TRUE)</f>
        <v>1</v>
      </c>
    </row>
    <row r="450" spans="1:32">
      <c r="A450" t="s">
        <v>1461</v>
      </c>
      <c r="B450" t="s">
        <v>408</v>
      </c>
      <c r="C450" t="s">
        <v>1469</v>
      </c>
      <c r="D450" t="s">
        <v>2663</v>
      </c>
      <c r="E450" t="s">
        <v>2664</v>
      </c>
      <c r="F450" t="s">
        <v>1463</v>
      </c>
      <c r="I450" s="422">
        <v>45057</v>
      </c>
      <c r="J450" s="422">
        <v>46022</v>
      </c>
      <c r="K450">
        <v>696000</v>
      </c>
      <c r="L450">
        <v>396000</v>
      </c>
      <c r="M450" t="s">
        <v>2665</v>
      </c>
      <c r="N450" t="s">
        <v>2664</v>
      </c>
      <c r="O450" t="str">
        <f>_xlfn.IFNA(VLOOKUP(Table1[[#This Row],[Lead Source]],'helper tab'!A:B,2,FALSE),"Exclude")</f>
        <v>Cold</v>
      </c>
      <c r="P450" s="422">
        <f t="shared" si="66"/>
        <v>45936.470138888886</v>
      </c>
      <c r="Q450">
        <f t="shared" si="67"/>
        <v>0</v>
      </c>
      <c r="R450">
        <f t="shared" si="68"/>
        <v>0</v>
      </c>
      <c r="S450">
        <f>IF(
AND($Q450=1,$M450&lt;&gt;""),
IF(
COUNTIFS(
$M$3:$M450,$M450,
$O$3:$O450,$O450,
$Q$3:$Q450,1,
$P$3:$P450,"&gt;="&amp;EOMONTH($P450,-1)+1,
$P$3:$P450,"&lt;"&amp;EOMONTH($P450,0)+1
)=1,
1,
0),
0)</f>
        <v>0</v>
      </c>
      <c r="T450">
        <f>IF(AND($R450=1,$M450&lt;&gt;""),IF(COUNTIFS($M$3:$M450,$M450,$O$3:$O450,$O450,$R$3:$R450,1,$P$3:$P450,"&gt;="&amp;EOMONTH($P450,-1)+1,$P$3:$P450,"&lt;"&amp;EOMONTH($P450,0)+1)=1,1,0),0)</f>
        <v>0</v>
      </c>
      <c r="U450">
        <f t="shared" si="69"/>
        <v>1</v>
      </c>
      <c r="V450">
        <f>IF(AND($U450=1,$M450&lt;&gt;""),IF(COUNTIFS($M$3:$M450,$M450,$O$3:$O450,$O450,$U$3:$U450,1,$P$3:$P450,"&gt;="&amp;EOMONTH($P450,-1)+1,$P$3:$P450,"&lt;"&amp;EOMONTH($P450,0)+1)=1,1,0),0)</f>
        <v>1</v>
      </c>
      <c r="W450" s="444">
        <f ca="1">TODAY()-Table1[[#This Row],[Change Date]]</f>
        <v>321.52986111111386</v>
      </c>
      <c r="X450" s="422" t="str">
        <f t="shared" si="70"/>
        <v/>
      </c>
      <c r="Y450" s="476">
        <f ca="1">IF(Table1[[#This Row],[Next Stage Date]]&lt;&gt;"",Table1[[#This Row],[Next Stage Date]]-Table1[[#This Row],[Change Date]],TODAY()-Table1[[#This Row],[Change Date]])</f>
        <v>321.52986111111386</v>
      </c>
      <c r="Z450" s="476">
        <f t="shared" si="71"/>
        <v>1</v>
      </c>
      <c r="AA450" s="422" t="str">
        <f t="shared" si="72"/>
        <v/>
      </c>
      <c r="AB450" s="422" t="str">
        <f t="shared" si="73"/>
        <v/>
      </c>
      <c r="AC450" s="476" t="str">
        <f t="shared" si="74"/>
        <v/>
      </c>
      <c r="AD450" s="476" t="str">
        <f t="shared" si="75"/>
        <v/>
      </c>
      <c r="AE450" s="476" t="str">
        <f t="shared" si="76"/>
        <v/>
      </c>
      <c r="AF450" s="476" t="b">
        <f>IFERROR(_xlfn.XLOOKUP(Table1[[#This Row],[Opportunity ID]],'Aging Detail'!$H$14:$H$20,'Aging Detail'!$F$14:$F$20),TRUE)</f>
        <v>1</v>
      </c>
    </row>
    <row r="451" spans="1:32">
      <c r="A451" t="s">
        <v>1461</v>
      </c>
      <c r="B451" t="s">
        <v>338</v>
      </c>
      <c r="C451" t="s">
        <v>1469</v>
      </c>
      <c r="D451" t="s">
        <v>2666</v>
      </c>
      <c r="E451" t="s">
        <v>2667</v>
      </c>
      <c r="F451" t="s">
        <v>1486</v>
      </c>
      <c r="I451" s="422">
        <v>45026</v>
      </c>
      <c r="J451" s="422">
        <v>46022</v>
      </c>
      <c r="K451">
        <v>3900000</v>
      </c>
      <c r="L451">
        <v>3600000</v>
      </c>
      <c r="M451" t="s">
        <v>2668</v>
      </c>
      <c r="N451" t="s">
        <v>2669</v>
      </c>
      <c r="O451" t="str">
        <f>_xlfn.IFNA(VLOOKUP(Table1[[#This Row],[Lead Source]],'helper tab'!A:B,2,FALSE),"Exclude")</f>
        <v>Exclude</v>
      </c>
      <c r="P451" s="422">
        <f t="shared" ref="P451:P514" si="77">--SUBSTITUTE(D451,",","")</f>
        <v>45936.385416666664</v>
      </c>
      <c r="Q451">
        <f t="shared" ref="Q451:Q514" si="78">IF(OR($C451="Propose",$C451="Procure"),1,0)</f>
        <v>0</v>
      </c>
      <c r="R451">
        <f t="shared" ref="R451:R514" si="79">IF($C451="Closed Won",1,0)</f>
        <v>0</v>
      </c>
      <c r="S451">
        <f>IF(
AND($Q451=1,$M451&lt;&gt;""),
IF(
COUNTIFS(
$M$3:$M451,$M451,
$O$3:$O451,$O451,
$Q$3:$Q451,1,
$P$3:$P451,"&gt;="&amp;EOMONTH($P451,-1)+1,
$P$3:$P451,"&lt;"&amp;EOMONTH($P451,0)+1
)=1,
1,
0),
0)</f>
        <v>0</v>
      </c>
      <c r="T451">
        <f>IF(AND($R451=1,$M451&lt;&gt;""),IF(COUNTIFS($M$3:$M451,$M451,$O$3:$O451,$O451,$R$3:$R451,1,$P$3:$P451,"&gt;="&amp;EOMONTH($P451,-1)+1,$P$3:$P451,"&lt;"&amp;EOMONTH($P451,0)+1)=1,1,0),0)</f>
        <v>0</v>
      </c>
      <c r="U451">
        <f t="shared" ref="U451:U514" si="80">IF($C451="Closed Lost",1,0)</f>
        <v>1</v>
      </c>
      <c r="V451">
        <f>IF(AND($U451=1,$M451&lt;&gt;""),IF(COUNTIFS($M$3:$M451,$M451,$O$3:$O451,$O451,$U$3:$U451,1,$P$3:$P451,"&gt;="&amp;EOMONTH($P451,-1)+1,$P$3:$P451,"&lt;"&amp;EOMONTH($P451,0)+1)=1,1,0),0)</f>
        <v>1</v>
      </c>
      <c r="W451" s="444">
        <f ca="1">TODAY()-Table1[[#This Row],[Change Date]]</f>
        <v>321.61458333333576</v>
      </c>
      <c r="X451" s="422" t="str">
        <f t="shared" ref="X451:X514" si="81">IFERROR(
IF(
COUNTIFS($M:$M,$M451,$P:$P,"&gt;"&amp;$P451)=0,
"",
_xlfn.MINIFS($P:$P,$M:$M,$M451,$P:$P,"&gt;"&amp;$P451)
),
""
)</f>
        <v/>
      </c>
      <c r="Y451" s="476">
        <f ca="1">IF(Table1[[#This Row],[Next Stage Date]]&lt;&gt;"",Table1[[#This Row],[Next Stage Date]]-Table1[[#This Row],[Change Date]],TODAY()-Table1[[#This Row],[Change Date]])</f>
        <v>321.61458333333576</v>
      </c>
      <c r="Z451" s="476">
        <f t="shared" ref="Z451:Z514" si="82">IF(P451=_xlfn.MAXIFS($P:$P,$M:$M,$M451),1,0)</f>
        <v>1</v>
      </c>
      <c r="AA451" s="422" t="str">
        <f t="shared" ref="AA451:AA514" si="83">IF(
COUNTIFS($M:$M,$M451,$C:$C,"Closed Won")=0,
"",
_xlfn.MINIFS($P:$P,$M:$M,$M451,$C:$C,"Closed Won")
)</f>
        <v/>
      </c>
      <c r="AB451" s="422" t="str">
        <f t="shared" ref="AB451:AB514" si="84">IF(
COUNTIFS($M:$M,$M451,$Q:$Q,1)=0,
"",
_xlfn.MINIFS($P:$P,$M:$M,$M451,$Q:$Q,1)
)</f>
        <v/>
      </c>
      <c r="AC451" s="476" t="str">
        <f t="shared" ref="AC451:AC514" si="85">IF(AB451&lt;&gt;"",AB451-I451,"")</f>
        <v/>
      </c>
      <c r="AD451" s="476" t="str">
        <f t="shared" ref="AD451:AD514" si="86">IF(AND(AB451&lt;&gt;"",AA451&lt;&gt;""),AA451-AB451,"")</f>
        <v/>
      </c>
      <c r="AE451" s="476" t="str">
        <f t="shared" ref="AE451:AE514" si="87">IF(AA451&lt;&gt;"",AA451-I451,"")</f>
        <v/>
      </c>
      <c r="AF451" s="476" t="b">
        <f>IFERROR(_xlfn.XLOOKUP(Table1[[#This Row],[Opportunity ID]],'Aging Detail'!$H$14:$H$20,'Aging Detail'!$F$14:$F$20),TRUE)</f>
        <v>1</v>
      </c>
    </row>
    <row r="452" spans="1:32">
      <c r="A452" t="s">
        <v>1461</v>
      </c>
      <c r="B452" t="s">
        <v>526</v>
      </c>
      <c r="C452" t="s">
        <v>563</v>
      </c>
      <c r="D452" t="s">
        <v>2670</v>
      </c>
      <c r="E452" t="s">
        <v>2671</v>
      </c>
      <c r="I452" s="422">
        <v>45791</v>
      </c>
      <c r="J452" s="422">
        <v>45936</v>
      </c>
      <c r="K452">
        <v>949000</v>
      </c>
      <c r="L452">
        <v>0</v>
      </c>
      <c r="M452" t="s">
        <v>2672</v>
      </c>
      <c r="N452" t="s">
        <v>2239</v>
      </c>
      <c r="O452" t="str">
        <f>_xlfn.IFNA(VLOOKUP(Table1[[#This Row],[Lead Source]],'helper tab'!A:B,2,FALSE),"Exclude")</f>
        <v>Exclude</v>
      </c>
      <c r="P452" s="422">
        <f t="shared" si="77"/>
        <v>45936.327777777777</v>
      </c>
      <c r="Q452">
        <f t="shared" si="78"/>
        <v>0</v>
      </c>
      <c r="R452">
        <f t="shared" si="79"/>
        <v>1</v>
      </c>
      <c r="S452">
        <f>IF(
AND($Q452=1,$M452&lt;&gt;""),
IF(
COUNTIFS(
$M$3:$M452,$M452,
$O$3:$O452,$O452,
$Q$3:$Q452,1,
$P$3:$P452,"&gt;="&amp;EOMONTH($P452,-1)+1,
$P$3:$P452,"&lt;"&amp;EOMONTH($P452,0)+1
)=1,
1,
0),
0)</f>
        <v>0</v>
      </c>
      <c r="T452">
        <f>IF(AND($R452=1,$M452&lt;&gt;""),IF(COUNTIFS($M$3:$M452,$M452,$O$3:$O452,$O452,$R$3:$R452,1,$P$3:$P452,"&gt;="&amp;EOMONTH($P452,-1)+1,$P$3:$P452,"&lt;"&amp;EOMONTH($P452,0)+1)=1,1,0),0)</f>
        <v>1</v>
      </c>
      <c r="U452">
        <f t="shared" si="80"/>
        <v>0</v>
      </c>
      <c r="V452">
        <f>IF(AND($U452=1,$M452&lt;&gt;""),IF(COUNTIFS($M$3:$M452,$M452,$O$3:$O452,$O452,$U$3:$U452,1,$P$3:$P452,"&gt;="&amp;EOMONTH($P452,-1)+1,$P$3:$P452,"&lt;"&amp;EOMONTH($P452,0)+1)=1,1,0),0)</f>
        <v>0</v>
      </c>
      <c r="W452" s="444">
        <f ca="1">TODAY()-Table1[[#This Row],[Change Date]]</f>
        <v>321.67222222222335</v>
      </c>
      <c r="X452" s="422" t="str">
        <f t="shared" si="81"/>
        <v/>
      </c>
      <c r="Y452" s="476">
        <f ca="1">IF(Table1[[#This Row],[Next Stage Date]]&lt;&gt;"",Table1[[#This Row],[Next Stage Date]]-Table1[[#This Row],[Change Date]],TODAY()-Table1[[#This Row],[Change Date]])</f>
        <v>321.67222222222335</v>
      </c>
      <c r="Z452" s="476">
        <f t="shared" si="82"/>
        <v>1</v>
      </c>
      <c r="AA452" s="422">
        <f t="shared" si="83"/>
        <v>45936.327777777777</v>
      </c>
      <c r="AB452" s="422">
        <f t="shared" si="84"/>
        <v>45936.245138888888</v>
      </c>
      <c r="AC452" s="476">
        <f t="shared" si="85"/>
        <v>145.2451388888876</v>
      </c>
      <c r="AD452" s="476">
        <f t="shared" si="86"/>
        <v>8.2638888889050577E-2</v>
      </c>
      <c r="AE452" s="476">
        <f t="shared" si="87"/>
        <v>145.32777777777665</v>
      </c>
      <c r="AF452" s="476" t="b">
        <f>IFERROR(_xlfn.XLOOKUP(Table1[[#This Row],[Opportunity ID]],'Aging Detail'!$H$14:$H$20,'Aging Detail'!$F$14:$F$20),TRUE)</f>
        <v>1</v>
      </c>
    </row>
    <row r="453" spans="1:32">
      <c r="A453" t="s">
        <v>1461</v>
      </c>
      <c r="B453" t="s">
        <v>408</v>
      </c>
      <c r="C453" t="s">
        <v>1469</v>
      </c>
      <c r="D453" t="s">
        <v>2673</v>
      </c>
      <c r="E453" t="s">
        <v>2674</v>
      </c>
      <c r="I453" s="422">
        <v>45737</v>
      </c>
      <c r="J453" s="422">
        <v>46022</v>
      </c>
      <c r="L453">
        <v>0</v>
      </c>
      <c r="M453" t="s">
        <v>2675</v>
      </c>
      <c r="N453" t="s">
        <v>1634</v>
      </c>
      <c r="O453" t="str">
        <f>_xlfn.IFNA(VLOOKUP(Table1[[#This Row],[Lead Source]],'helper tab'!A:B,2,FALSE),"Exclude")</f>
        <v>Exclude</v>
      </c>
      <c r="P453" s="422">
        <f t="shared" si="77"/>
        <v>45936.325694444444</v>
      </c>
      <c r="Q453">
        <f t="shared" si="78"/>
        <v>0</v>
      </c>
      <c r="R453">
        <f t="shared" si="79"/>
        <v>0</v>
      </c>
      <c r="S453">
        <f>IF(
AND($Q453=1,$M453&lt;&gt;""),
IF(
COUNTIFS(
$M$3:$M453,$M453,
$O$3:$O453,$O453,
$Q$3:$Q453,1,
$P$3:$P453,"&gt;="&amp;EOMONTH($P453,-1)+1,
$P$3:$P453,"&lt;"&amp;EOMONTH($P453,0)+1
)=1,
1,
0),
0)</f>
        <v>0</v>
      </c>
      <c r="T453">
        <f>IF(AND($R453=1,$M453&lt;&gt;""),IF(COUNTIFS($M$3:$M453,$M453,$O$3:$O453,$O453,$R$3:$R453,1,$P$3:$P453,"&gt;="&amp;EOMONTH($P453,-1)+1,$P$3:$P453,"&lt;"&amp;EOMONTH($P453,0)+1)=1,1,0),0)</f>
        <v>0</v>
      </c>
      <c r="U453">
        <f t="shared" si="80"/>
        <v>1</v>
      </c>
      <c r="V453">
        <f>IF(AND($U453=1,$M453&lt;&gt;""),IF(COUNTIFS($M$3:$M453,$M453,$O$3:$O453,$O453,$U$3:$U453,1,$P$3:$P453,"&gt;="&amp;EOMONTH($P453,-1)+1,$P$3:$P453,"&lt;"&amp;EOMONTH($P453,0)+1)=1,1,0),0)</f>
        <v>1</v>
      </c>
      <c r="W453" s="444">
        <f ca="1">TODAY()-Table1[[#This Row],[Change Date]]</f>
        <v>321.6743055555562</v>
      </c>
      <c r="X453" s="422" t="str">
        <f t="shared" si="81"/>
        <v/>
      </c>
      <c r="Y453" s="476">
        <f ca="1">IF(Table1[[#This Row],[Next Stage Date]]&lt;&gt;"",Table1[[#This Row],[Next Stage Date]]-Table1[[#This Row],[Change Date]],TODAY()-Table1[[#This Row],[Change Date]])</f>
        <v>321.6743055555562</v>
      </c>
      <c r="Z453" s="476">
        <f t="shared" si="82"/>
        <v>1</v>
      </c>
      <c r="AA453" s="422" t="str">
        <f t="shared" si="83"/>
        <v/>
      </c>
      <c r="AB453" s="422" t="str">
        <f t="shared" si="84"/>
        <v/>
      </c>
      <c r="AC453" s="476" t="str">
        <f t="shared" si="85"/>
        <v/>
      </c>
      <c r="AD453" s="476" t="str">
        <f t="shared" si="86"/>
        <v/>
      </c>
      <c r="AE453" s="476" t="str">
        <f t="shared" si="87"/>
        <v/>
      </c>
      <c r="AF453" s="476" t="b">
        <f>IFERROR(_xlfn.XLOOKUP(Table1[[#This Row],[Opportunity ID]],'Aging Detail'!$H$14:$H$20,'Aging Detail'!$F$14:$F$20),TRUE)</f>
        <v>1</v>
      </c>
    </row>
    <row r="454" spans="1:32">
      <c r="A454" t="s">
        <v>1461</v>
      </c>
      <c r="B454" t="s">
        <v>462</v>
      </c>
      <c r="C454" t="s">
        <v>526</v>
      </c>
      <c r="D454" t="s">
        <v>2676</v>
      </c>
      <c r="E454" t="s">
        <v>2671</v>
      </c>
      <c r="I454" s="422">
        <v>45791</v>
      </c>
      <c r="J454" s="422">
        <v>45936</v>
      </c>
      <c r="K454">
        <v>949000</v>
      </c>
      <c r="L454">
        <v>0</v>
      </c>
      <c r="M454" t="s">
        <v>2672</v>
      </c>
      <c r="N454" t="s">
        <v>2239</v>
      </c>
      <c r="O454" t="str">
        <f>_xlfn.IFNA(VLOOKUP(Table1[[#This Row],[Lead Source]],'helper tab'!A:B,2,FALSE),"Exclude")</f>
        <v>Exclude</v>
      </c>
      <c r="P454" s="422">
        <f t="shared" si="77"/>
        <v>45936.245138888888</v>
      </c>
      <c r="Q454">
        <f t="shared" si="78"/>
        <v>1</v>
      </c>
      <c r="R454">
        <f t="shared" si="79"/>
        <v>0</v>
      </c>
      <c r="S454">
        <f>IF(
AND($Q454=1,$M454&lt;&gt;""),
IF(
COUNTIFS(
$M$3:$M454,$M454,
$O$3:$O454,$O454,
$Q$3:$Q454,1,
$P$3:$P454,"&gt;="&amp;EOMONTH($P454,-1)+1,
$P$3:$P454,"&lt;"&amp;EOMONTH($P454,0)+1
)=1,
1,
0),
0)</f>
        <v>1</v>
      </c>
      <c r="T454">
        <f>IF(AND($R454=1,$M454&lt;&gt;""),IF(COUNTIFS($M$3:$M454,$M454,$O$3:$O454,$O454,$R$3:$R454,1,$P$3:$P454,"&gt;="&amp;EOMONTH($P454,-1)+1,$P$3:$P454,"&lt;"&amp;EOMONTH($P454,0)+1)=1,1,0),0)</f>
        <v>0</v>
      </c>
      <c r="U454">
        <f t="shared" si="80"/>
        <v>0</v>
      </c>
      <c r="V454">
        <f>IF(AND($U454=1,$M454&lt;&gt;""),IF(COUNTIFS($M$3:$M454,$M454,$O$3:$O454,$O454,$U$3:$U454,1,$P$3:$P454,"&gt;="&amp;EOMONTH($P454,-1)+1,$P$3:$P454,"&lt;"&amp;EOMONTH($P454,0)+1)=1,1,0),0)</f>
        <v>0</v>
      </c>
      <c r="W454" s="444">
        <f ca="1">TODAY()-Table1[[#This Row],[Change Date]]</f>
        <v>321.7548611111124</v>
      </c>
      <c r="X454" s="422">
        <f t="shared" si="81"/>
        <v>45936.327777777777</v>
      </c>
      <c r="Y454" s="476">
        <f ca="1">IF(Table1[[#This Row],[Next Stage Date]]&lt;&gt;"",Table1[[#This Row],[Next Stage Date]]-Table1[[#This Row],[Change Date]],TODAY()-Table1[[#This Row],[Change Date]])</f>
        <v>8.2638888889050577E-2</v>
      </c>
      <c r="Z454" s="476">
        <f t="shared" si="82"/>
        <v>0</v>
      </c>
      <c r="AA454" s="422">
        <f t="shared" si="83"/>
        <v>45936.327777777777</v>
      </c>
      <c r="AB454" s="422">
        <f t="shared" si="84"/>
        <v>45936.245138888888</v>
      </c>
      <c r="AC454" s="476">
        <f t="shared" si="85"/>
        <v>145.2451388888876</v>
      </c>
      <c r="AD454" s="476">
        <f t="shared" si="86"/>
        <v>8.2638888889050577E-2</v>
      </c>
      <c r="AE454" s="476">
        <f t="shared" si="87"/>
        <v>145.32777777777665</v>
      </c>
      <c r="AF454" s="476" t="b">
        <f>IFERROR(_xlfn.XLOOKUP(Table1[[#This Row],[Opportunity ID]],'Aging Detail'!$H$14:$H$20,'Aging Detail'!$F$14:$F$20),TRUE)</f>
        <v>1</v>
      </c>
    </row>
    <row r="455" spans="1:32">
      <c r="A455" t="s">
        <v>1461</v>
      </c>
      <c r="B455" t="s">
        <v>338</v>
      </c>
      <c r="C455" t="s">
        <v>1469</v>
      </c>
      <c r="D455" t="s">
        <v>2677</v>
      </c>
      <c r="E455" t="s">
        <v>2678</v>
      </c>
      <c r="I455" s="422">
        <v>45931</v>
      </c>
      <c r="J455" s="422">
        <v>73048</v>
      </c>
      <c r="L455">
        <v>0</v>
      </c>
      <c r="M455" t="s">
        <v>2679</v>
      </c>
      <c r="N455" t="s">
        <v>1536</v>
      </c>
      <c r="O455" t="str">
        <f>_xlfn.IFNA(VLOOKUP(Table1[[#This Row],[Lead Source]],'helper tab'!A:B,2,FALSE),"Exclude")</f>
        <v>Exclude</v>
      </c>
      <c r="P455" s="422">
        <f t="shared" si="77"/>
        <v>45933.363888888889</v>
      </c>
      <c r="Q455">
        <f t="shared" si="78"/>
        <v>0</v>
      </c>
      <c r="R455">
        <f t="shared" si="79"/>
        <v>0</v>
      </c>
      <c r="S455">
        <f>IF(
AND($Q455=1,$M455&lt;&gt;""),
IF(
COUNTIFS(
$M$3:$M455,$M455,
$O$3:$O455,$O455,
$Q$3:$Q455,1,
$P$3:$P455,"&gt;="&amp;EOMONTH($P455,-1)+1,
$P$3:$P455,"&lt;"&amp;EOMONTH($P455,0)+1
)=1,
1,
0),
0)</f>
        <v>0</v>
      </c>
      <c r="T455">
        <f>IF(AND($R455=1,$M455&lt;&gt;""),IF(COUNTIFS($M$3:$M455,$M455,$O$3:$O455,$O455,$R$3:$R455,1,$P$3:$P455,"&gt;="&amp;EOMONTH($P455,-1)+1,$P$3:$P455,"&lt;"&amp;EOMONTH($P455,0)+1)=1,1,0),0)</f>
        <v>0</v>
      </c>
      <c r="U455">
        <f t="shared" si="80"/>
        <v>1</v>
      </c>
      <c r="V455">
        <f>IF(AND($U455=1,$M455&lt;&gt;""),IF(COUNTIFS($M$3:$M455,$M455,$O$3:$O455,$O455,$U$3:$U455,1,$P$3:$P455,"&gt;="&amp;EOMONTH($P455,-1)+1,$P$3:$P455,"&lt;"&amp;EOMONTH($P455,0)+1)=1,1,0),0)</f>
        <v>1</v>
      </c>
      <c r="W455" s="444">
        <f ca="1">TODAY()-Table1[[#This Row],[Change Date]]</f>
        <v>324.63611111111095</v>
      </c>
      <c r="X455" s="422" t="str">
        <f t="shared" si="81"/>
        <v/>
      </c>
      <c r="Y455" s="476">
        <f ca="1">IF(Table1[[#This Row],[Next Stage Date]]&lt;&gt;"",Table1[[#This Row],[Next Stage Date]]-Table1[[#This Row],[Change Date]],TODAY()-Table1[[#This Row],[Change Date]])</f>
        <v>324.63611111111095</v>
      </c>
      <c r="Z455" s="476">
        <f t="shared" si="82"/>
        <v>1</v>
      </c>
      <c r="AA455" s="422" t="str">
        <f t="shared" si="83"/>
        <v/>
      </c>
      <c r="AB455" s="422" t="str">
        <f t="shared" si="84"/>
        <v/>
      </c>
      <c r="AC455" s="476" t="str">
        <f t="shared" si="85"/>
        <v/>
      </c>
      <c r="AD455" s="476" t="str">
        <f t="shared" si="86"/>
        <v/>
      </c>
      <c r="AE455" s="476" t="str">
        <f t="shared" si="87"/>
        <v/>
      </c>
      <c r="AF455" s="476" t="b">
        <f>IFERROR(_xlfn.XLOOKUP(Table1[[#This Row],[Opportunity ID]],'Aging Detail'!$H$14:$H$20,'Aging Detail'!$F$14:$F$20),TRUE)</f>
        <v>1</v>
      </c>
    </row>
    <row r="456" spans="1:32">
      <c r="A456" t="s">
        <v>1461</v>
      </c>
      <c r="B456" t="s">
        <v>338</v>
      </c>
      <c r="C456" t="s">
        <v>1469</v>
      </c>
      <c r="D456" t="s">
        <v>2680</v>
      </c>
      <c r="E456" t="s">
        <v>2681</v>
      </c>
      <c r="F456" t="s">
        <v>148</v>
      </c>
      <c r="H456" t="s">
        <v>2447</v>
      </c>
      <c r="I456" s="422">
        <v>45555</v>
      </c>
      <c r="J456" s="422">
        <v>46010</v>
      </c>
      <c r="K456">
        <v>144000</v>
      </c>
      <c r="L456">
        <v>144000</v>
      </c>
      <c r="M456" t="s">
        <v>2682</v>
      </c>
      <c r="N456" t="s">
        <v>2683</v>
      </c>
      <c r="O456" t="str">
        <f>_xlfn.IFNA(VLOOKUP(Table1[[#This Row],[Lead Source]],'helper tab'!A:B,2,FALSE),"Exclude")</f>
        <v>Alliances</v>
      </c>
      <c r="P456" s="422">
        <f t="shared" si="77"/>
        <v>45933.347222222219</v>
      </c>
      <c r="Q456">
        <f t="shared" si="78"/>
        <v>0</v>
      </c>
      <c r="R456">
        <f t="shared" si="79"/>
        <v>0</v>
      </c>
      <c r="S456">
        <f>IF(
AND($Q456=1,$M456&lt;&gt;""),
IF(
COUNTIFS(
$M$3:$M456,$M456,
$O$3:$O456,$O456,
$Q$3:$Q456,1,
$P$3:$P456,"&gt;="&amp;EOMONTH($P456,-1)+1,
$P$3:$P456,"&lt;"&amp;EOMONTH($P456,0)+1
)=1,
1,
0),
0)</f>
        <v>0</v>
      </c>
      <c r="T456">
        <f>IF(AND($R456=1,$M456&lt;&gt;""),IF(COUNTIFS($M$3:$M456,$M456,$O$3:$O456,$O456,$R$3:$R456,1,$P$3:$P456,"&gt;="&amp;EOMONTH($P456,-1)+1,$P$3:$P456,"&lt;"&amp;EOMONTH($P456,0)+1)=1,1,0),0)</f>
        <v>0</v>
      </c>
      <c r="U456">
        <f t="shared" si="80"/>
        <v>1</v>
      </c>
      <c r="V456">
        <f>IF(AND($U456=1,$M456&lt;&gt;""),IF(COUNTIFS($M$3:$M456,$M456,$O$3:$O456,$O456,$U$3:$U456,1,$P$3:$P456,"&gt;="&amp;EOMONTH($P456,-1)+1,$P$3:$P456,"&lt;"&amp;EOMONTH($P456,0)+1)=1,1,0),0)</f>
        <v>1</v>
      </c>
      <c r="W456" s="444">
        <f ca="1">TODAY()-Table1[[#This Row],[Change Date]]</f>
        <v>324.65277777778101</v>
      </c>
      <c r="X456" s="422" t="str">
        <f t="shared" si="81"/>
        <v/>
      </c>
      <c r="Y456" s="476">
        <f ca="1">IF(Table1[[#This Row],[Next Stage Date]]&lt;&gt;"",Table1[[#This Row],[Next Stage Date]]-Table1[[#This Row],[Change Date]],TODAY()-Table1[[#This Row],[Change Date]])</f>
        <v>324.65277777778101</v>
      </c>
      <c r="Z456" s="476">
        <f t="shared" si="82"/>
        <v>1</v>
      </c>
      <c r="AA456" s="422" t="str">
        <f t="shared" si="83"/>
        <v/>
      </c>
      <c r="AB456" s="422" t="str">
        <f t="shared" si="84"/>
        <v/>
      </c>
      <c r="AC456" s="476" t="str">
        <f t="shared" si="85"/>
        <v/>
      </c>
      <c r="AD456" s="476" t="str">
        <f t="shared" si="86"/>
        <v/>
      </c>
      <c r="AE456" s="476" t="str">
        <f t="shared" si="87"/>
        <v/>
      </c>
      <c r="AF456" s="476" t="b">
        <f>IFERROR(_xlfn.XLOOKUP(Table1[[#This Row],[Opportunity ID]],'Aging Detail'!$H$14:$H$20,'Aging Detail'!$F$14:$F$20),TRUE)</f>
        <v>1</v>
      </c>
    </row>
    <row r="457" spans="1:32">
      <c r="A457" t="s">
        <v>1461</v>
      </c>
      <c r="B457" t="s">
        <v>1462</v>
      </c>
      <c r="C457" t="s">
        <v>462</v>
      </c>
      <c r="D457" t="s">
        <v>2684</v>
      </c>
      <c r="E457" t="s">
        <v>2132</v>
      </c>
      <c r="F457" t="s">
        <v>1465</v>
      </c>
      <c r="I457" s="422">
        <v>45922</v>
      </c>
      <c r="J457" s="422">
        <v>46108</v>
      </c>
      <c r="K457">
        <v>0</v>
      </c>
      <c r="L457">
        <v>0</v>
      </c>
      <c r="M457" t="s">
        <v>2133</v>
      </c>
      <c r="N457" t="s">
        <v>143</v>
      </c>
      <c r="O457" t="str">
        <f>_xlfn.IFNA(VLOOKUP(Table1[[#This Row],[Lead Source]],'helper tab'!A:B,2,FALSE),"Exclude")</f>
        <v>Exclude</v>
      </c>
      <c r="P457" s="422">
        <f t="shared" si="77"/>
        <v>45933.311805555553</v>
      </c>
      <c r="Q457">
        <f t="shared" si="78"/>
        <v>1</v>
      </c>
      <c r="R457">
        <f t="shared" si="79"/>
        <v>0</v>
      </c>
      <c r="S457">
        <f>IF(
AND($Q457=1,$M457&lt;&gt;""),
IF(
COUNTIFS(
$M$3:$M457,$M457,
$O$3:$O457,$O457,
$Q$3:$Q457,1,
$P$3:$P457,"&gt;="&amp;EOMONTH($P457,-1)+1,
$P$3:$P457,"&lt;"&amp;EOMONTH($P457,0)+1
)=1,
1,
0),
0)</f>
        <v>1</v>
      </c>
      <c r="T457">
        <f>IF(AND($R457=1,$M457&lt;&gt;""),IF(COUNTIFS($M$3:$M457,$M457,$O$3:$O457,$O457,$R$3:$R457,1,$P$3:$P457,"&gt;="&amp;EOMONTH($P457,-1)+1,$P$3:$P457,"&lt;"&amp;EOMONTH($P457,0)+1)=1,1,0),0)</f>
        <v>0</v>
      </c>
      <c r="U457">
        <f t="shared" si="80"/>
        <v>0</v>
      </c>
      <c r="V457">
        <f>IF(AND($U457=1,$M457&lt;&gt;""),IF(COUNTIFS($M$3:$M457,$M457,$O$3:$O457,$O457,$U$3:$U457,1,$P$3:$P457,"&gt;="&amp;EOMONTH($P457,-1)+1,$P$3:$P457,"&lt;"&amp;EOMONTH($P457,0)+1)=1,1,0),0)</f>
        <v>0</v>
      </c>
      <c r="W457" s="444">
        <f ca="1">TODAY()-Table1[[#This Row],[Change Date]]</f>
        <v>324.68819444444671</v>
      </c>
      <c r="X457" s="422">
        <f t="shared" si="81"/>
        <v>46080.67083333333</v>
      </c>
      <c r="Y457" s="476">
        <f ca="1">IF(Table1[[#This Row],[Next Stage Date]]&lt;&gt;"",Table1[[#This Row],[Next Stage Date]]-Table1[[#This Row],[Change Date]],TODAY()-Table1[[#This Row],[Change Date]])</f>
        <v>147.35902777777665</v>
      </c>
      <c r="Z457" s="476">
        <f t="shared" si="82"/>
        <v>0</v>
      </c>
      <c r="AA457" s="422" t="str">
        <f t="shared" si="83"/>
        <v/>
      </c>
      <c r="AB457" s="422">
        <f t="shared" si="84"/>
        <v>45933.311805555553</v>
      </c>
      <c r="AC457" s="476">
        <f t="shared" si="85"/>
        <v>11.311805555553292</v>
      </c>
      <c r="AD457" s="476" t="str">
        <f t="shared" si="86"/>
        <v/>
      </c>
      <c r="AE457" s="476" t="str">
        <f t="shared" si="87"/>
        <v/>
      </c>
      <c r="AF457" s="476" t="b">
        <f>IFERROR(_xlfn.XLOOKUP(Table1[[#This Row],[Opportunity ID]],'Aging Detail'!$H$14:$H$20,'Aging Detail'!$F$14:$F$20),TRUE)</f>
        <v>1</v>
      </c>
    </row>
    <row r="458" spans="1:32">
      <c r="A458" t="s">
        <v>1461</v>
      </c>
      <c r="B458" t="s">
        <v>408</v>
      </c>
      <c r="C458" t="s">
        <v>1462</v>
      </c>
      <c r="D458" t="s">
        <v>2684</v>
      </c>
      <c r="E458" t="s">
        <v>2132</v>
      </c>
      <c r="F458" t="s">
        <v>1465</v>
      </c>
      <c r="I458" s="422">
        <v>45922</v>
      </c>
      <c r="J458" s="422">
        <v>46108</v>
      </c>
      <c r="K458">
        <v>0</v>
      </c>
      <c r="L458">
        <v>0</v>
      </c>
      <c r="M458" t="s">
        <v>2133</v>
      </c>
      <c r="N458" t="s">
        <v>143</v>
      </c>
      <c r="O458" t="str">
        <f>_xlfn.IFNA(VLOOKUP(Table1[[#This Row],[Lead Source]],'helper tab'!A:B,2,FALSE),"Exclude")</f>
        <v>Exclude</v>
      </c>
      <c r="P458" s="422">
        <f t="shared" si="77"/>
        <v>45933.311805555553</v>
      </c>
      <c r="Q458">
        <f t="shared" si="78"/>
        <v>0</v>
      </c>
      <c r="R458">
        <f t="shared" si="79"/>
        <v>0</v>
      </c>
      <c r="S458">
        <f>IF(
AND($Q458=1,$M458&lt;&gt;""),
IF(
COUNTIFS(
$M$3:$M458,$M458,
$O$3:$O458,$O458,
$Q$3:$Q458,1,
$P$3:$P458,"&gt;="&amp;EOMONTH($P458,-1)+1,
$P$3:$P458,"&lt;"&amp;EOMONTH($P458,0)+1
)=1,
1,
0),
0)</f>
        <v>0</v>
      </c>
      <c r="T458">
        <f>IF(AND($R458=1,$M458&lt;&gt;""),IF(COUNTIFS($M$3:$M458,$M458,$O$3:$O458,$O458,$R$3:$R458,1,$P$3:$P458,"&gt;="&amp;EOMONTH($P458,-1)+1,$P$3:$P458,"&lt;"&amp;EOMONTH($P458,0)+1)=1,1,0),0)</f>
        <v>0</v>
      </c>
      <c r="U458">
        <f t="shared" si="80"/>
        <v>0</v>
      </c>
      <c r="V458">
        <f>IF(AND($U458=1,$M458&lt;&gt;""),IF(COUNTIFS($M$3:$M458,$M458,$O$3:$O458,$O458,$U$3:$U458,1,$P$3:$P458,"&gt;="&amp;EOMONTH($P458,-1)+1,$P$3:$P458,"&lt;"&amp;EOMONTH($P458,0)+1)=1,1,0),0)</f>
        <v>0</v>
      </c>
      <c r="W458" s="444">
        <f ca="1">TODAY()-Table1[[#This Row],[Change Date]]</f>
        <v>324.68819444444671</v>
      </c>
      <c r="X458" s="422">
        <f t="shared" si="81"/>
        <v>46080.67083333333</v>
      </c>
      <c r="Y458" s="476">
        <f ca="1">IF(Table1[[#This Row],[Next Stage Date]]&lt;&gt;"",Table1[[#This Row],[Next Stage Date]]-Table1[[#This Row],[Change Date]],TODAY()-Table1[[#This Row],[Change Date]])</f>
        <v>147.35902777777665</v>
      </c>
      <c r="Z458" s="476">
        <f t="shared" si="82"/>
        <v>0</v>
      </c>
      <c r="AA458" s="422" t="str">
        <f t="shared" si="83"/>
        <v/>
      </c>
      <c r="AB458" s="422">
        <f t="shared" si="84"/>
        <v>45933.311805555553</v>
      </c>
      <c r="AC458" s="476">
        <f t="shared" si="85"/>
        <v>11.311805555553292</v>
      </c>
      <c r="AD458" s="476" t="str">
        <f t="shared" si="86"/>
        <v/>
      </c>
      <c r="AE458" s="476" t="str">
        <f t="shared" si="87"/>
        <v/>
      </c>
      <c r="AF458" s="476" t="b">
        <f>IFERROR(_xlfn.XLOOKUP(Table1[[#This Row],[Opportunity ID]],'Aging Detail'!$H$14:$H$20,'Aging Detail'!$F$14:$F$20),TRUE)</f>
        <v>1</v>
      </c>
    </row>
    <row r="459" spans="1:32">
      <c r="A459" t="s">
        <v>1461</v>
      </c>
      <c r="B459" t="s">
        <v>462</v>
      </c>
      <c r="C459" t="s">
        <v>526</v>
      </c>
      <c r="D459" t="s">
        <v>2685</v>
      </c>
      <c r="E459" t="s">
        <v>2425</v>
      </c>
      <c r="F459" t="s">
        <v>148</v>
      </c>
      <c r="H459" t="s">
        <v>169</v>
      </c>
      <c r="I459" s="422">
        <v>45931</v>
      </c>
      <c r="J459" s="422">
        <v>45996</v>
      </c>
      <c r="K459">
        <v>470640</v>
      </c>
      <c r="L459">
        <v>470640</v>
      </c>
      <c r="M459" t="s">
        <v>2426</v>
      </c>
      <c r="N459" t="s">
        <v>1667</v>
      </c>
      <c r="O459" t="str">
        <f>_xlfn.IFNA(VLOOKUP(Table1[[#This Row],[Lead Source]],'helper tab'!A:B,2,FALSE),"Exclude")</f>
        <v>Alliances</v>
      </c>
      <c r="P459" s="422">
        <f t="shared" si="77"/>
        <v>45932.522916666669</v>
      </c>
      <c r="Q459">
        <f t="shared" si="78"/>
        <v>1</v>
      </c>
      <c r="R459">
        <f t="shared" si="79"/>
        <v>0</v>
      </c>
      <c r="S459">
        <f>IF(
AND($Q459=1,$M459&lt;&gt;""),
IF(
COUNTIFS(
$M$3:$M459,$M459,
$O$3:$O459,$O459,
$Q$3:$Q459,1,
$P$3:$P459,"&gt;="&amp;EOMONTH($P459,-1)+1,
$P$3:$P459,"&lt;"&amp;EOMONTH($P459,0)+1
)=1,
1,
0),
0)</f>
        <v>1</v>
      </c>
      <c r="T459">
        <f>IF(AND($R459=1,$M459&lt;&gt;""),IF(COUNTIFS($M$3:$M459,$M459,$O$3:$O459,$O459,$R$3:$R459,1,$P$3:$P459,"&gt;="&amp;EOMONTH($P459,-1)+1,$P$3:$P459,"&lt;"&amp;EOMONTH($P459,0)+1)=1,1,0),0)</f>
        <v>0</v>
      </c>
      <c r="U459">
        <f t="shared" si="80"/>
        <v>0</v>
      </c>
      <c r="V459">
        <f>IF(AND($U459=1,$M459&lt;&gt;""),IF(COUNTIFS($M$3:$M459,$M459,$O$3:$O459,$O459,$U$3:$U459,1,$P$3:$P459,"&gt;="&amp;EOMONTH($P459,-1)+1,$P$3:$P459,"&lt;"&amp;EOMONTH($P459,0)+1)=1,1,0),0)</f>
        <v>0</v>
      </c>
      <c r="W459" s="444">
        <f ca="1">TODAY()-Table1[[#This Row],[Change Date]]</f>
        <v>325.47708333333139</v>
      </c>
      <c r="X459" s="422">
        <f t="shared" si="81"/>
        <v>45996.431250000001</v>
      </c>
      <c r="Y459" s="476">
        <f ca="1">IF(Table1[[#This Row],[Next Stage Date]]&lt;&gt;"",Table1[[#This Row],[Next Stage Date]]-Table1[[#This Row],[Change Date]],TODAY()-Table1[[#This Row],[Change Date]])</f>
        <v>63.908333333332848</v>
      </c>
      <c r="Z459" s="476">
        <f t="shared" si="82"/>
        <v>0</v>
      </c>
      <c r="AA459" s="422">
        <f t="shared" si="83"/>
        <v>45996.431250000001</v>
      </c>
      <c r="AB459" s="422">
        <f t="shared" si="84"/>
        <v>45932.522916666669</v>
      </c>
      <c r="AC459" s="476">
        <f t="shared" si="85"/>
        <v>1.5229166666686069</v>
      </c>
      <c r="AD459" s="476">
        <f t="shared" si="86"/>
        <v>63.908333333332848</v>
      </c>
      <c r="AE459" s="476">
        <f t="shared" si="87"/>
        <v>65.431250000001455</v>
      </c>
      <c r="AF459" s="476" t="b">
        <f>IFERROR(_xlfn.XLOOKUP(Table1[[#This Row],[Opportunity ID]],'Aging Detail'!$H$14:$H$20,'Aging Detail'!$F$14:$F$20),TRUE)</f>
        <v>1</v>
      </c>
    </row>
    <row r="460" spans="1:32">
      <c r="A460" t="s">
        <v>1461</v>
      </c>
      <c r="B460" t="s">
        <v>1462</v>
      </c>
      <c r="C460" t="s">
        <v>462</v>
      </c>
      <c r="D460" t="s">
        <v>2685</v>
      </c>
      <c r="E460" t="s">
        <v>2425</v>
      </c>
      <c r="F460" t="s">
        <v>148</v>
      </c>
      <c r="H460" t="s">
        <v>169</v>
      </c>
      <c r="I460" s="422">
        <v>45931</v>
      </c>
      <c r="J460" s="422">
        <v>45996</v>
      </c>
      <c r="K460">
        <v>470640</v>
      </c>
      <c r="L460">
        <v>470640</v>
      </c>
      <c r="M460" t="s">
        <v>2426</v>
      </c>
      <c r="N460" t="s">
        <v>1667</v>
      </c>
      <c r="O460" t="str">
        <f>_xlfn.IFNA(VLOOKUP(Table1[[#This Row],[Lead Source]],'helper tab'!A:B,2,FALSE),"Exclude")</f>
        <v>Alliances</v>
      </c>
      <c r="P460" s="422">
        <f t="shared" si="77"/>
        <v>45932.522916666669</v>
      </c>
      <c r="Q460">
        <f t="shared" si="78"/>
        <v>1</v>
      </c>
      <c r="R460">
        <f t="shared" si="79"/>
        <v>0</v>
      </c>
      <c r="S460">
        <f>IF(
AND($Q460=1,$M460&lt;&gt;""),
IF(
COUNTIFS(
$M$3:$M460,$M460,
$O$3:$O460,$O460,
$Q$3:$Q460,1,
$P$3:$P460,"&gt;="&amp;EOMONTH($P460,-1)+1,
$P$3:$P460,"&lt;"&amp;EOMONTH($P460,0)+1
)=1,
1,
0),
0)</f>
        <v>0</v>
      </c>
      <c r="T460">
        <f>IF(AND($R460=1,$M460&lt;&gt;""),IF(COUNTIFS($M$3:$M460,$M460,$O$3:$O460,$O460,$R$3:$R460,1,$P$3:$P460,"&gt;="&amp;EOMONTH($P460,-1)+1,$P$3:$P460,"&lt;"&amp;EOMONTH($P460,0)+1)=1,1,0),0)</f>
        <v>0</v>
      </c>
      <c r="U460">
        <f t="shared" si="80"/>
        <v>0</v>
      </c>
      <c r="V460">
        <f>IF(AND($U460=1,$M460&lt;&gt;""),IF(COUNTIFS($M$3:$M460,$M460,$O$3:$O460,$O460,$U$3:$U460,1,$P$3:$P460,"&gt;="&amp;EOMONTH($P460,-1)+1,$P$3:$P460,"&lt;"&amp;EOMONTH($P460,0)+1)=1,1,0),0)</f>
        <v>0</v>
      </c>
      <c r="W460" s="444">
        <f ca="1">TODAY()-Table1[[#This Row],[Change Date]]</f>
        <v>325.47708333333139</v>
      </c>
      <c r="X460" s="422">
        <f t="shared" si="81"/>
        <v>45996.431250000001</v>
      </c>
      <c r="Y460" s="476">
        <f ca="1">IF(Table1[[#This Row],[Next Stage Date]]&lt;&gt;"",Table1[[#This Row],[Next Stage Date]]-Table1[[#This Row],[Change Date]],TODAY()-Table1[[#This Row],[Change Date]])</f>
        <v>63.908333333332848</v>
      </c>
      <c r="Z460" s="476">
        <f t="shared" si="82"/>
        <v>0</v>
      </c>
      <c r="AA460" s="422">
        <f t="shared" si="83"/>
        <v>45996.431250000001</v>
      </c>
      <c r="AB460" s="422">
        <f t="shared" si="84"/>
        <v>45932.522916666669</v>
      </c>
      <c r="AC460" s="476">
        <f t="shared" si="85"/>
        <v>1.5229166666686069</v>
      </c>
      <c r="AD460" s="476">
        <f t="shared" si="86"/>
        <v>63.908333333332848</v>
      </c>
      <c r="AE460" s="476">
        <f t="shared" si="87"/>
        <v>65.431250000001455</v>
      </c>
      <c r="AF460" s="476" t="b">
        <f>IFERROR(_xlfn.XLOOKUP(Table1[[#This Row],[Opportunity ID]],'Aging Detail'!$H$14:$H$20,'Aging Detail'!$F$14:$F$20),TRUE)</f>
        <v>1</v>
      </c>
    </row>
    <row r="461" spans="1:32">
      <c r="A461" t="s">
        <v>1461</v>
      </c>
      <c r="B461" t="s">
        <v>408</v>
      </c>
      <c r="C461" t="s">
        <v>1462</v>
      </c>
      <c r="D461" t="s">
        <v>2685</v>
      </c>
      <c r="E461" t="s">
        <v>2425</v>
      </c>
      <c r="F461" t="s">
        <v>148</v>
      </c>
      <c r="H461" t="s">
        <v>169</v>
      </c>
      <c r="I461" s="422">
        <v>45931</v>
      </c>
      <c r="J461" s="422">
        <v>45996</v>
      </c>
      <c r="K461">
        <v>470640</v>
      </c>
      <c r="L461">
        <v>470640</v>
      </c>
      <c r="M461" t="s">
        <v>2426</v>
      </c>
      <c r="N461" t="s">
        <v>1667</v>
      </c>
      <c r="O461" t="str">
        <f>_xlfn.IFNA(VLOOKUP(Table1[[#This Row],[Lead Source]],'helper tab'!A:B,2,FALSE),"Exclude")</f>
        <v>Alliances</v>
      </c>
      <c r="P461" s="422">
        <f t="shared" si="77"/>
        <v>45932.522916666669</v>
      </c>
      <c r="Q461">
        <f t="shared" si="78"/>
        <v>0</v>
      </c>
      <c r="R461">
        <f t="shared" si="79"/>
        <v>0</v>
      </c>
      <c r="S461">
        <f>IF(
AND($Q461=1,$M461&lt;&gt;""),
IF(
COUNTIFS(
$M$3:$M461,$M461,
$O$3:$O461,$O461,
$Q$3:$Q461,1,
$P$3:$P461,"&gt;="&amp;EOMONTH($P461,-1)+1,
$P$3:$P461,"&lt;"&amp;EOMONTH($P461,0)+1
)=1,
1,
0),
0)</f>
        <v>0</v>
      </c>
      <c r="T461">
        <f>IF(AND($R461=1,$M461&lt;&gt;""),IF(COUNTIFS($M$3:$M461,$M461,$O$3:$O461,$O461,$R$3:$R461,1,$P$3:$P461,"&gt;="&amp;EOMONTH($P461,-1)+1,$P$3:$P461,"&lt;"&amp;EOMONTH($P461,0)+1)=1,1,0),0)</f>
        <v>0</v>
      </c>
      <c r="U461">
        <f t="shared" si="80"/>
        <v>0</v>
      </c>
      <c r="V461">
        <f>IF(AND($U461=1,$M461&lt;&gt;""),IF(COUNTIFS($M$3:$M461,$M461,$O$3:$O461,$O461,$U$3:$U461,1,$P$3:$P461,"&gt;="&amp;EOMONTH($P461,-1)+1,$P$3:$P461,"&lt;"&amp;EOMONTH($P461,0)+1)=1,1,0),0)</f>
        <v>0</v>
      </c>
      <c r="W461" s="444">
        <f ca="1">TODAY()-Table1[[#This Row],[Change Date]]</f>
        <v>325.47708333333139</v>
      </c>
      <c r="X461" s="422">
        <f t="shared" si="81"/>
        <v>45996.431250000001</v>
      </c>
      <c r="Y461" s="476">
        <f ca="1">IF(Table1[[#This Row],[Next Stage Date]]&lt;&gt;"",Table1[[#This Row],[Next Stage Date]]-Table1[[#This Row],[Change Date]],TODAY()-Table1[[#This Row],[Change Date]])</f>
        <v>63.908333333332848</v>
      </c>
      <c r="Z461" s="476">
        <f t="shared" si="82"/>
        <v>0</v>
      </c>
      <c r="AA461" s="422">
        <f t="shared" si="83"/>
        <v>45996.431250000001</v>
      </c>
      <c r="AB461" s="422">
        <f t="shared" si="84"/>
        <v>45932.522916666669</v>
      </c>
      <c r="AC461" s="476">
        <f t="shared" si="85"/>
        <v>1.5229166666686069</v>
      </c>
      <c r="AD461" s="476">
        <f t="shared" si="86"/>
        <v>63.908333333332848</v>
      </c>
      <c r="AE461" s="476">
        <f t="shared" si="87"/>
        <v>65.431250000001455</v>
      </c>
      <c r="AF461" s="476" t="b">
        <f>IFERROR(_xlfn.XLOOKUP(Table1[[#This Row],[Opportunity ID]],'Aging Detail'!$H$14:$H$20,'Aging Detail'!$F$14:$F$20),TRUE)</f>
        <v>1</v>
      </c>
    </row>
    <row r="462" spans="1:32">
      <c r="A462" t="s">
        <v>1461</v>
      </c>
      <c r="B462" t="s">
        <v>526</v>
      </c>
      <c r="C462" t="s">
        <v>563</v>
      </c>
      <c r="D462" t="s">
        <v>2686</v>
      </c>
      <c r="E462" t="s">
        <v>2687</v>
      </c>
      <c r="F462" t="s">
        <v>1486</v>
      </c>
      <c r="I462" s="422">
        <v>45579</v>
      </c>
      <c r="J462" s="422">
        <v>45932</v>
      </c>
      <c r="K462">
        <v>488686.59</v>
      </c>
      <c r="L462">
        <v>8995.11</v>
      </c>
      <c r="M462" t="s">
        <v>2688</v>
      </c>
      <c r="N462" t="s">
        <v>1887</v>
      </c>
      <c r="O462" t="str">
        <f>_xlfn.IFNA(VLOOKUP(Table1[[#This Row],[Lead Source]],'helper tab'!A:B,2,FALSE),"Exclude")</f>
        <v>Exclude</v>
      </c>
      <c r="P462" s="422">
        <f t="shared" si="77"/>
        <v>45932.472222222219</v>
      </c>
      <c r="Q462">
        <f t="shared" si="78"/>
        <v>0</v>
      </c>
      <c r="R462">
        <f t="shared" si="79"/>
        <v>1</v>
      </c>
      <c r="S462">
        <f>IF(
AND($Q462=1,$M462&lt;&gt;""),
IF(
COUNTIFS(
$M$3:$M462,$M462,
$O$3:$O462,$O462,
$Q$3:$Q462,1,
$P$3:$P462,"&gt;="&amp;EOMONTH($P462,-1)+1,
$P$3:$P462,"&lt;"&amp;EOMONTH($P462,0)+1
)=1,
1,
0),
0)</f>
        <v>0</v>
      </c>
      <c r="T462">
        <f>IF(AND($R462=1,$M462&lt;&gt;""),IF(COUNTIFS($M$3:$M462,$M462,$O$3:$O462,$O462,$R$3:$R462,1,$P$3:$P462,"&gt;="&amp;EOMONTH($P462,-1)+1,$P$3:$P462,"&lt;"&amp;EOMONTH($P462,0)+1)=1,1,0),0)</f>
        <v>1</v>
      </c>
      <c r="U462">
        <f t="shared" si="80"/>
        <v>0</v>
      </c>
      <c r="V462">
        <f>IF(AND($U462=1,$M462&lt;&gt;""),IF(COUNTIFS($M$3:$M462,$M462,$O$3:$O462,$O462,$U$3:$U462,1,$P$3:$P462,"&gt;="&amp;EOMONTH($P462,-1)+1,$P$3:$P462,"&lt;"&amp;EOMONTH($P462,0)+1)=1,1,0),0)</f>
        <v>0</v>
      </c>
      <c r="W462" s="444">
        <f ca="1">TODAY()-Table1[[#This Row],[Change Date]]</f>
        <v>325.52777777778101</v>
      </c>
      <c r="X462" s="422" t="str">
        <f t="shared" si="81"/>
        <v/>
      </c>
      <c r="Y462" s="476">
        <f ca="1">IF(Table1[[#This Row],[Next Stage Date]]&lt;&gt;"",Table1[[#This Row],[Next Stage Date]]-Table1[[#This Row],[Change Date]],TODAY()-Table1[[#This Row],[Change Date]])</f>
        <v>325.52777777778101</v>
      </c>
      <c r="Z462" s="476">
        <f t="shared" si="82"/>
        <v>1</v>
      </c>
      <c r="AA462" s="422">
        <f t="shared" si="83"/>
        <v>45932.472222222219</v>
      </c>
      <c r="AB462" s="422">
        <f t="shared" si="84"/>
        <v>45931.517361111109</v>
      </c>
      <c r="AC462" s="476">
        <f t="shared" si="85"/>
        <v>352.51736111110949</v>
      </c>
      <c r="AD462" s="476">
        <f t="shared" si="86"/>
        <v>0.95486111110949423</v>
      </c>
      <c r="AE462" s="476">
        <f t="shared" si="87"/>
        <v>353.47222222221899</v>
      </c>
      <c r="AF462" s="476" t="b">
        <f>IFERROR(_xlfn.XLOOKUP(Table1[[#This Row],[Opportunity ID]],'Aging Detail'!$H$14:$H$20,'Aging Detail'!$F$14:$F$20),TRUE)</f>
        <v>1</v>
      </c>
    </row>
    <row r="463" spans="1:32">
      <c r="A463" t="s">
        <v>1461</v>
      </c>
      <c r="B463" t="s">
        <v>1462</v>
      </c>
      <c r="C463" t="s">
        <v>462</v>
      </c>
      <c r="D463" t="s">
        <v>2689</v>
      </c>
      <c r="E463" t="s">
        <v>2497</v>
      </c>
      <c r="F463" t="s">
        <v>1465</v>
      </c>
      <c r="I463" s="422">
        <v>45905</v>
      </c>
      <c r="J463" s="422">
        <v>45974</v>
      </c>
      <c r="K463">
        <v>0</v>
      </c>
      <c r="L463">
        <v>0</v>
      </c>
      <c r="M463" t="s">
        <v>2498</v>
      </c>
      <c r="N463" t="s">
        <v>1748</v>
      </c>
      <c r="O463" t="str">
        <f>_xlfn.IFNA(VLOOKUP(Table1[[#This Row],[Lead Source]],'helper tab'!A:B,2,FALSE),"Exclude")</f>
        <v>Exclude</v>
      </c>
      <c r="P463" s="422">
        <f t="shared" si="77"/>
        <v>45932.327777777777</v>
      </c>
      <c r="Q463">
        <f t="shared" si="78"/>
        <v>1</v>
      </c>
      <c r="R463">
        <f t="shared" si="79"/>
        <v>0</v>
      </c>
      <c r="S463">
        <f>IF(
AND($Q463=1,$M463&lt;&gt;""),
IF(
COUNTIFS(
$M$3:$M463,$M463,
$O$3:$O463,$O463,
$Q$3:$Q463,1,
$P$3:$P463,"&gt;="&amp;EOMONTH($P463,-1)+1,
$P$3:$P463,"&lt;"&amp;EOMONTH($P463,0)+1
)=1,
1,
0),
0)</f>
        <v>0</v>
      </c>
      <c r="T463">
        <f>IF(AND($R463=1,$M463&lt;&gt;""),IF(COUNTIFS($M$3:$M463,$M463,$O$3:$O463,$O463,$R$3:$R463,1,$P$3:$P463,"&gt;="&amp;EOMONTH($P463,-1)+1,$P$3:$P463,"&lt;"&amp;EOMONTH($P463,0)+1)=1,1,0),0)</f>
        <v>0</v>
      </c>
      <c r="U463">
        <f t="shared" si="80"/>
        <v>0</v>
      </c>
      <c r="V463">
        <f>IF(AND($U463=1,$M463&lt;&gt;""),IF(COUNTIFS($M$3:$M463,$M463,$O$3:$O463,$O463,$U$3:$U463,1,$P$3:$P463,"&gt;="&amp;EOMONTH($P463,-1)+1,$P$3:$P463,"&lt;"&amp;EOMONTH($P463,0)+1)=1,1,0),0)</f>
        <v>0</v>
      </c>
      <c r="W463" s="444">
        <f ca="1">TODAY()-Table1[[#This Row],[Change Date]]</f>
        <v>325.67222222222335</v>
      </c>
      <c r="X463" s="422">
        <f t="shared" si="81"/>
        <v>45946.361111111109</v>
      </c>
      <c r="Y463" s="476">
        <f ca="1">IF(Table1[[#This Row],[Next Stage Date]]&lt;&gt;"",Table1[[#This Row],[Next Stage Date]]-Table1[[#This Row],[Change Date]],TODAY()-Table1[[#This Row],[Change Date]])</f>
        <v>14.033333333332848</v>
      </c>
      <c r="Z463" s="476">
        <f t="shared" si="82"/>
        <v>0</v>
      </c>
      <c r="AA463" s="422">
        <f t="shared" si="83"/>
        <v>45974.429861111108</v>
      </c>
      <c r="AB463" s="422">
        <f t="shared" si="84"/>
        <v>45932.327777777777</v>
      </c>
      <c r="AC463" s="476">
        <f t="shared" si="85"/>
        <v>27.327777777776646</v>
      </c>
      <c r="AD463" s="476">
        <f t="shared" si="86"/>
        <v>42.102083333331393</v>
      </c>
      <c r="AE463" s="476">
        <f t="shared" si="87"/>
        <v>69.429861111108039</v>
      </c>
      <c r="AF463" s="476" t="b">
        <f>IFERROR(_xlfn.XLOOKUP(Table1[[#This Row],[Opportunity ID]],'Aging Detail'!$H$14:$H$20,'Aging Detail'!$F$14:$F$20),TRUE)</f>
        <v>1</v>
      </c>
    </row>
    <row r="464" spans="1:32">
      <c r="A464" t="s">
        <v>1461</v>
      </c>
      <c r="B464" t="s">
        <v>408</v>
      </c>
      <c r="C464" t="s">
        <v>526</v>
      </c>
      <c r="D464" t="s">
        <v>2690</v>
      </c>
      <c r="E464" t="s">
        <v>2687</v>
      </c>
      <c r="F464" t="s">
        <v>1486</v>
      </c>
      <c r="I464" s="422">
        <v>45579</v>
      </c>
      <c r="J464" s="422">
        <v>45932</v>
      </c>
      <c r="K464">
        <v>488686.59</v>
      </c>
      <c r="L464">
        <v>8995.11</v>
      </c>
      <c r="M464" t="s">
        <v>2688</v>
      </c>
      <c r="N464" t="s">
        <v>1887</v>
      </c>
      <c r="O464" t="str">
        <f>_xlfn.IFNA(VLOOKUP(Table1[[#This Row],[Lead Source]],'helper tab'!A:B,2,FALSE),"Exclude")</f>
        <v>Exclude</v>
      </c>
      <c r="P464" s="422">
        <f t="shared" si="77"/>
        <v>45931.517361111109</v>
      </c>
      <c r="Q464">
        <f t="shared" si="78"/>
        <v>1</v>
      </c>
      <c r="R464">
        <f t="shared" si="79"/>
        <v>0</v>
      </c>
      <c r="S464">
        <f>IF(
AND($Q464=1,$M464&lt;&gt;""),
IF(
COUNTIFS(
$M$3:$M464,$M464,
$O$3:$O464,$O464,
$Q$3:$Q464,1,
$P$3:$P464,"&gt;="&amp;EOMONTH($P464,-1)+1,
$P$3:$P464,"&lt;"&amp;EOMONTH($P464,0)+1
)=1,
1,
0),
0)</f>
        <v>1</v>
      </c>
      <c r="T464">
        <f>IF(AND($R464=1,$M464&lt;&gt;""),IF(COUNTIFS($M$3:$M464,$M464,$O$3:$O464,$O464,$R$3:$R464,1,$P$3:$P464,"&gt;="&amp;EOMONTH($P464,-1)+1,$P$3:$P464,"&lt;"&amp;EOMONTH($P464,0)+1)=1,1,0),0)</f>
        <v>0</v>
      </c>
      <c r="U464">
        <f t="shared" si="80"/>
        <v>0</v>
      </c>
      <c r="V464">
        <f>IF(AND($U464=1,$M464&lt;&gt;""),IF(COUNTIFS($M$3:$M464,$M464,$O$3:$O464,$O464,$U$3:$U464,1,$P$3:$P464,"&gt;="&amp;EOMONTH($P464,-1)+1,$P$3:$P464,"&lt;"&amp;EOMONTH($P464,0)+1)=1,1,0),0)</f>
        <v>0</v>
      </c>
      <c r="W464" s="444">
        <f ca="1">TODAY()-Table1[[#This Row],[Change Date]]</f>
        <v>326.48263888889051</v>
      </c>
      <c r="X464" s="422">
        <f t="shared" si="81"/>
        <v>45932.472222222219</v>
      </c>
      <c r="Y464" s="476">
        <f ca="1">IF(Table1[[#This Row],[Next Stage Date]]&lt;&gt;"",Table1[[#This Row],[Next Stage Date]]-Table1[[#This Row],[Change Date]],TODAY()-Table1[[#This Row],[Change Date]])</f>
        <v>0.95486111110949423</v>
      </c>
      <c r="Z464" s="476">
        <f t="shared" si="82"/>
        <v>0</v>
      </c>
      <c r="AA464" s="422">
        <f t="shared" si="83"/>
        <v>45932.472222222219</v>
      </c>
      <c r="AB464" s="422">
        <f t="shared" si="84"/>
        <v>45931.517361111109</v>
      </c>
      <c r="AC464" s="476">
        <f t="shared" si="85"/>
        <v>352.51736111110949</v>
      </c>
      <c r="AD464" s="476">
        <f t="shared" si="86"/>
        <v>0.95486111110949423</v>
      </c>
      <c r="AE464" s="476">
        <f t="shared" si="87"/>
        <v>353.47222222221899</v>
      </c>
      <c r="AF464" s="476" t="b">
        <f>IFERROR(_xlfn.XLOOKUP(Table1[[#This Row],[Opportunity ID]],'Aging Detail'!$H$14:$H$20,'Aging Detail'!$F$14:$F$20),TRUE)</f>
        <v>1</v>
      </c>
    </row>
    <row r="465" spans="1:32">
      <c r="A465" t="s">
        <v>1461</v>
      </c>
      <c r="B465" t="s">
        <v>408</v>
      </c>
      <c r="C465" t="s">
        <v>462</v>
      </c>
      <c r="D465" t="s">
        <v>2691</v>
      </c>
      <c r="E465" t="s">
        <v>2299</v>
      </c>
      <c r="I465" s="422">
        <v>45700</v>
      </c>
      <c r="J465" s="422">
        <v>46042</v>
      </c>
      <c r="K465">
        <v>363528</v>
      </c>
      <c r="L465">
        <v>363528</v>
      </c>
      <c r="M465" t="s">
        <v>2300</v>
      </c>
      <c r="N465" t="s">
        <v>2301</v>
      </c>
      <c r="O465" t="str">
        <f>_xlfn.IFNA(VLOOKUP(Table1[[#This Row],[Lead Source]],'helper tab'!A:B,2,FALSE),"Exclude")</f>
        <v>Exclude</v>
      </c>
      <c r="P465" s="422">
        <f t="shared" si="77"/>
        <v>45931.404166666667</v>
      </c>
      <c r="Q465">
        <f t="shared" si="78"/>
        <v>1</v>
      </c>
      <c r="R465">
        <f t="shared" si="79"/>
        <v>0</v>
      </c>
      <c r="S465">
        <f>IF(
AND($Q465=1,$M465&lt;&gt;""),
IF(
COUNTIFS(
$M$3:$M465,$M465,
$O$3:$O465,$O465,
$Q$3:$Q465,1,
$P$3:$P465,"&gt;="&amp;EOMONTH($P465,-1)+1,
$P$3:$P465,"&lt;"&amp;EOMONTH($P465,0)+1
)=1,
1,
0),
0)</f>
        <v>0</v>
      </c>
      <c r="T465">
        <f>IF(AND($R465=1,$M465&lt;&gt;""),IF(COUNTIFS($M$3:$M465,$M465,$O$3:$O465,$O465,$R$3:$R465,1,$P$3:$P465,"&gt;="&amp;EOMONTH($P465,-1)+1,$P$3:$P465,"&lt;"&amp;EOMONTH($P465,0)+1)=1,1,0),0)</f>
        <v>0</v>
      </c>
      <c r="U465">
        <f t="shared" si="80"/>
        <v>0</v>
      </c>
      <c r="V465">
        <f>IF(AND($U465=1,$M465&lt;&gt;""),IF(COUNTIFS($M$3:$M465,$M465,$O$3:$O465,$O465,$U$3:$U465,1,$P$3:$P465,"&gt;="&amp;EOMONTH($P465,-1)+1,$P$3:$P465,"&lt;"&amp;EOMONTH($P465,0)+1)=1,1,0),0)</f>
        <v>0</v>
      </c>
      <c r="W465" s="444">
        <f ca="1">TODAY()-Table1[[#This Row],[Change Date]]</f>
        <v>326.59583333333285</v>
      </c>
      <c r="X465" s="422">
        <f t="shared" si="81"/>
        <v>45940.17291666667</v>
      </c>
      <c r="Y465" s="476">
        <f ca="1">IF(Table1[[#This Row],[Next Stage Date]]&lt;&gt;"",Table1[[#This Row],[Next Stage Date]]-Table1[[#This Row],[Change Date]],TODAY()-Table1[[#This Row],[Change Date]])</f>
        <v>8.7687500000029104</v>
      </c>
      <c r="Z465" s="476">
        <f t="shared" si="82"/>
        <v>0</v>
      </c>
      <c r="AA465" s="422">
        <f t="shared" si="83"/>
        <v>46044.573611111111</v>
      </c>
      <c r="AB465" s="422">
        <f t="shared" si="84"/>
        <v>45931.404166666667</v>
      </c>
      <c r="AC465" s="476">
        <f t="shared" si="85"/>
        <v>231.40416666666715</v>
      </c>
      <c r="AD465" s="476">
        <f t="shared" si="86"/>
        <v>113.1694444444438</v>
      </c>
      <c r="AE465" s="476">
        <f t="shared" si="87"/>
        <v>344.57361111111095</v>
      </c>
      <c r="AF465" s="476" t="b">
        <f>IFERROR(_xlfn.XLOOKUP(Table1[[#This Row],[Opportunity ID]],'Aging Detail'!$H$14:$H$20,'Aging Detail'!$F$14:$F$20),TRUE)</f>
        <v>1</v>
      </c>
    </row>
    <row r="466" spans="1:32">
      <c r="A466" t="s">
        <v>1461</v>
      </c>
      <c r="B466" t="s">
        <v>526</v>
      </c>
      <c r="C466" t="s">
        <v>563</v>
      </c>
      <c r="D466" t="s">
        <v>2692</v>
      </c>
      <c r="E466" t="s">
        <v>2693</v>
      </c>
      <c r="I466" s="422">
        <v>45819</v>
      </c>
      <c r="J466" s="422">
        <v>45868</v>
      </c>
      <c r="K466">
        <v>4050</v>
      </c>
      <c r="L466">
        <v>0</v>
      </c>
      <c r="M466" t="s">
        <v>2694</v>
      </c>
      <c r="N466" t="s">
        <v>1629</v>
      </c>
      <c r="O466" t="str">
        <f>_xlfn.IFNA(VLOOKUP(Table1[[#This Row],[Lead Source]],'helper tab'!A:B,2,FALSE),"Exclude")</f>
        <v>Exclude</v>
      </c>
      <c r="P466" s="422">
        <f t="shared" si="77"/>
        <v>45931.396527777775</v>
      </c>
      <c r="Q466">
        <f t="shared" si="78"/>
        <v>0</v>
      </c>
      <c r="R466">
        <f t="shared" si="79"/>
        <v>1</v>
      </c>
      <c r="S466">
        <f>IF(
AND($Q466=1,$M466&lt;&gt;""),
IF(
COUNTIFS(
$M$3:$M466,$M466,
$O$3:$O466,$O466,
$Q$3:$Q466,1,
$P$3:$P466,"&gt;="&amp;EOMONTH($P466,-1)+1,
$P$3:$P466,"&lt;"&amp;EOMONTH($P466,0)+1
)=1,
1,
0),
0)</f>
        <v>0</v>
      </c>
      <c r="T466">
        <f>IF(AND($R466=1,$M466&lt;&gt;""),IF(COUNTIFS($M$3:$M466,$M466,$O$3:$O466,$O466,$R$3:$R466,1,$P$3:$P466,"&gt;="&amp;EOMONTH($P466,-1)+1,$P$3:$P466,"&lt;"&amp;EOMONTH($P466,0)+1)=1,1,0),0)</f>
        <v>1</v>
      </c>
      <c r="U466">
        <f t="shared" si="80"/>
        <v>0</v>
      </c>
      <c r="V466">
        <f>IF(AND($U466=1,$M466&lt;&gt;""),IF(COUNTIFS($M$3:$M466,$M466,$O$3:$O466,$O466,$U$3:$U466,1,$P$3:$P466,"&gt;="&amp;EOMONTH($P466,-1)+1,$P$3:$P466,"&lt;"&amp;EOMONTH($P466,0)+1)=1,1,0),0)</f>
        <v>0</v>
      </c>
      <c r="W466" s="444">
        <f ca="1">TODAY()-Table1[[#This Row],[Change Date]]</f>
        <v>326.60347222222481</v>
      </c>
      <c r="X466" s="422" t="str">
        <f t="shared" si="81"/>
        <v/>
      </c>
      <c r="Y466" s="476">
        <f ca="1">IF(Table1[[#This Row],[Next Stage Date]]&lt;&gt;"",Table1[[#This Row],[Next Stage Date]]-Table1[[#This Row],[Change Date]],TODAY()-Table1[[#This Row],[Change Date]])</f>
        <v>326.60347222222481</v>
      </c>
      <c r="Z466" s="476">
        <f t="shared" si="82"/>
        <v>1</v>
      </c>
      <c r="AA466" s="422">
        <f t="shared" si="83"/>
        <v>45931.396527777775</v>
      </c>
      <c r="AB466" s="422">
        <f t="shared" si="84"/>
        <v>45868.228472222225</v>
      </c>
      <c r="AC466" s="476">
        <f t="shared" si="85"/>
        <v>49.228472222224809</v>
      </c>
      <c r="AD466" s="476">
        <f t="shared" si="86"/>
        <v>63.168055555550382</v>
      </c>
      <c r="AE466" s="476">
        <f t="shared" si="87"/>
        <v>112.39652777777519</v>
      </c>
      <c r="AF466" s="476" t="b">
        <f>IFERROR(_xlfn.XLOOKUP(Table1[[#This Row],[Opportunity ID]],'Aging Detail'!$H$14:$H$20,'Aging Detail'!$F$14:$F$20),TRUE)</f>
        <v>1</v>
      </c>
    </row>
    <row r="467" spans="1:32">
      <c r="A467" t="s">
        <v>1461</v>
      </c>
      <c r="B467" t="s">
        <v>526</v>
      </c>
      <c r="C467" t="s">
        <v>563</v>
      </c>
      <c r="D467" t="s">
        <v>2695</v>
      </c>
      <c r="E467" t="s">
        <v>2696</v>
      </c>
      <c r="I467" s="422">
        <v>45777</v>
      </c>
      <c r="J467" s="422">
        <v>45900</v>
      </c>
      <c r="K467">
        <v>4050</v>
      </c>
      <c r="L467">
        <v>0</v>
      </c>
      <c r="M467" t="s">
        <v>2697</v>
      </c>
      <c r="N467" t="s">
        <v>1629</v>
      </c>
      <c r="O467" t="str">
        <f>_xlfn.IFNA(VLOOKUP(Table1[[#This Row],[Lead Source]],'helper tab'!A:B,2,FALSE),"Exclude")</f>
        <v>Exclude</v>
      </c>
      <c r="P467" s="422">
        <f t="shared" si="77"/>
        <v>45931.395833333336</v>
      </c>
      <c r="Q467">
        <f t="shared" si="78"/>
        <v>0</v>
      </c>
      <c r="R467">
        <f t="shared" si="79"/>
        <v>1</v>
      </c>
      <c r="S467">
        <f>IF(
AND($Q467=1,$M467&lt;&gt;""),
IF(
COUNTIFS(
$M$3:$M467,$M467,
$O$3:$O467,$O467,
$Q$3:$Q467,1,
$P$3:$P467,"&gt;="&amp;EOMONTH($P467,-1)+1,
$P$3:$P467,"&lt;"&amp;EOMONTH($P467,0)+1
)=1,
1,
0),
0)</f>
        <v>0</v>
      </c>
      <c r="T467">
        <f>IF(AND($R467=1,$M467&lt;&gt;""),IF(COUNTIFS($M$3:$M467,$M467,$O$3:$O467,$O467,$R$3:$R467,1,$P$3:$P467,"&gt;="&amp;EOMONTH($P467,-1)+1,$P$3:$P467,"&lt;"&amp;EOMONTH($P467,0)+1)=1,1,0),0)</f>
        <v>1</v>
      </c>
      <c r="U467">
        <f t="shared" si="80"/>
        <v>0</v>
      </c>
      <c r="V467">
        <f>IF(AND($U467=1,$M467&lt;&gt;""),IF(COUNTIFS($M$3:$M467,$M467,$O$3:$O467,$O467,$U$3:$U467,1,$P$3:$P467,"&gt;="&amp;EOMONTH($P467,-1)+1,$P$3:$P467,"&lt;"&amp;EOMONTH($P467,0)+1)=1,1,0),0)</f>
        <v>0</v>
      </c>
      <c r="W467" s="444">
        <f ca="1">TODAY()-Table1[[#This Row],[Change Date]]</f>
        <v>326.60416666666424</v>
      </c>
      <c r="X467" s="422" t="str">
        <f t="shared" si="81"/>
        <v/>
      </c>
      <c r="Y467" s="476">
        <f ca="1">IF(Table1[[#This Row],[Next Stage Date]]&lt;&gt;"",Table1[[#This Row],[Next Stage Date]]-Table1[[#This Row],[Change Date]],TODAY()-Table1[[#This Row],[Change Date]])</f>
        <v>326.60416666666424</v>
      </c>
      <c r="Z467" s="476">
        <f t="shared" si="82"/>
        <v>1</v>
      </c>
      <c r="AA467" s="422">
        <f t="shared" si="83"/>
        <v>45931.395833333336</v>
      </c>
      <c r="AB467" s="422">
        <f t="shared" si="84"/>
        <v>45868.227777777778</v>
      </c>
      <c r="AC467" s="476">
        <f t="shared" si="85"/>
        <v>91.227777777778101</v>
      </c>
      <c r="AD467" s="476">
        <f t="shared" si="86"/>
        <v>63.168055555557657</v>
      </c>
      <c r="AE467" s="476">
        <f t="shared" si="87"/>
        <v>154.39583333333576</v>
      </c>
      <c r="AF467" s="476" t="b">
        <f>IFERROR(_xlfn.XLOOKUP(Table1[[#This Row],[Opportunity ID]],'Aging Detail'!$H$14:$H$20,'Aging Detail'!$F$14:$F$20),TRUE)</f>
        <v>1</v>
      </c>
    </row>
    <row r="468" spans="1:32">
      <c r="A468" t="s">
        <v>1461</v>
      </c>
      <c r="B468" t="s">
        <v>526</v>
      </c>
      <c r="C468" t="s">
        <v>563</v>
      </c>
      <c r="D468" t="s">
        <v>2695</v>
      </c>
      <c r="E468" t="s">
        <v>2698</v>
      </c>
      <c r="F468" t="s">
        <v>1484</v>
      </c>
      <c r="I468" s="422">
        <v>45425</v>
      </c>
      <c r="J468" s="422">
        <v>45930</v>
      </c>
      <c r="K468">
        <v>842605.92</v>
      </c>
      <c r="L468">
        <v>842605.92</v>
      </c>
      <c r="M468" t="s">
        <v>2699</v>
      </c>
      <c r="N468" t="s">
        <v>1629</v>
      </c>
      <c r="O468" t="str">
        <f>_xlfn.IFNA(VLOOKUP(Table1[[#This Row],[Lead Source]],'helper tab'!A:B,2,FALSE),"Exclude")</f>
        <v>Exclude</v>
      </c>
      <c r="P468" s="422">
        <f t="shared" si="77"/>
        <v>45931.395833333336</v>
      </c>
      <c r="Q468">
        <f t="shared" si="78"/>
        <v>0</v>
      </c>
      <c r="R468">
        <f t="shared" si="79"/>
        <v>1</v>
      </c>
      <c r="S468">
        <f>IF(
AND($Q468=1,$M468&lt;&gt;""),
IF(
COUNTIFS(
$M$3:$M468,$M468,
$O$3:$O468,$O468,
$Q$3:$Q468,1,
$P$3:$P468,"&gt;="&amp;EOMONTH($P468,-1)+1,
$P$3:$P468,"&lt;"&amp;EOMONTH($P468,0)+1
)=1,
1,
0),
0)</f>
        <v>0</v>
      </c>
      <c r="T468">
        <f>IF(AND($R468=1,$M468&lt;&gt;""),IF(COUNTIFS($M$3:$M468,$M468,$O$3:$O468,$O468,$R$3:$R468,1,$P$3:$P468,"&gt;="&amp;EOMONTH($P468,-1)+1,$P$3:$P468,"&lt;"&amp;EOMONTH($P468,0)+1)=1,1,0),0)</f>
        <v>1</v>
      </c>
      <c r="U468">
        <f t="shared" si="80"/>
        <v>0</v>
      </c>
      <c r="V468">
        <f>IF(AND($U468=1,$M468&lt;&gt;""),IF(COUNTIFS($M$3:$M468,$M468,$O$3:$O468,$O468,$U$3:$U468,1,$P$3:$P468,"&gt;="&amp;EOMONTH($P468,-1)+1,$P$3:$P468,"&lt;"&amp;EOMONTH($P468,0)+1)=1,1,0),0)</f>
        <v>0</v>
      </c>
      <c r="W468" s="444">
        <f ca="1">TODAY()-Table1[[#This Row],[Change Date]]</f>
        <v>326.60416666666424</v>
      </c>
      <c r="X468" s="422" t="str">
        <f t="shared" si="81"/>
        <v/>
      </c>
      <c r="Y468" s="476">
        <f ca="1">IF(Table1[[#This Row],[Next Stage Date]]&lt;&gt;"",Table1[[#This Row],[Next Stage Date]]-Table1[[#This Row],[Change Date]],TODAY()-Table1[[#This Row],[Change Date]])</f>
        <v>326.60416666666424</v>
      </c>
      <c r="Z468" s="476">
        <f t="shared" si="82"/>
        <v>1</v>
      </c>
      <c r="AA468" s="422">
        <f t="shared" si="83"/>
        <v>45931.395833333336</v>
      </c>
      <c r="AB468" s="422">
        <f t="shared" si="84"/>
        <v>45891.317361111112</v>
      </c>
      <c r="AC468" s="476">
        <f t="shared" si="85"/>
        <v>466.3173611111124</v>
      </c>
      <c r="AD468" s="476">
        <f t="shared" si="86"/>
        <v>40.078472222223354</v>
      </c>
      <c r="AE468" s="476">
        <f t="shared" si="87"/>
        <v>506.39583333333576</v>
      </c>
      <c r="AF468" s="476" t="b">
        <f>IFERROR(_xlfn.XLOOKUP(Table1[[#This Row],[Opportunity ID]],'Aging Detail'!$H$14:$H$20,'Aging Detail'!$F$14:$F$20),TRUE)</f>
        <v>1</v>
      </c>
    </row>
    <row r="469" spans="1:32">
      <c r="A469" t="s">
        <v>1461</v>
      </c>
      <c r="B469" t="s">
        <v>526</v>
      </c>
      <c r="C469" t="s">
        <v>563</v>
      </c>
      <c r="D469" t="s">
        <v>2700</v>
      </c>
      <c r="E469" t="s">
        <v>2701</v>
      </c>
      <c r="F469" t="s">
        <v>1486</v>
      </c>
      <c r="I469" s="422">
        <v>45775</v>
      </c>
      <c r="J469" s="422">
        <v>45930</v>
      </c>
      <c r="K469">
        <v>85500</v>
      </c>
      <c r="L469">
        <v>85500</v>
      </c>
      <c r="M469" t="s">
        <v>2702</v>
      </c>
      <c r="N469" t="s">
        <v>1684</v>
      </c>
      <c r="O469" t="str">
        <f>_xlfn.IFNA(VLOOKUP(Table1[[#This Row],[Lead Source]],'helper tab'!A:B,2,FALSE),"Exclude")</f>
        <v>Exclude</v>
      </c>
      <c r="P469" s="422">
        <f t="shared" si="77"/>
        <v>45930.52847222222</v>
      </c>
      <c r="Q469">
        <f t="shared" si="78"/>
        <v>0</v>
      </c>
      <c r="R469">
        <f t="shared" si="79"/>
        <v>1</v>
      </c>
      <c r="S469">
        <f>IF(
AND($Q469=1,$M469&lt;&gt;""),
IF(
COUNTIFS(
$M$3:$M469,$M469,
$O$3:$O469,$O469,
$Q$3:$Q469,1,
$P$3:$P469,"&gt;="&amp;EOMONTH($P469,-1)+1,
$P$3:$P469,"&lt;"&amp;EOMONTH($P469,0)+1
)=1,
1,
0),
0)</f>
        <v>0</v>
      </c>
      <c r="T469">
        <f>IF(AND($R469=1,$M469&lt;&gt;""),IF(COUNTIFS($M$3:$M469,$M469,$O$3:$O469,$O469,$R$3:$R469,1,$P$3:$P469,"&gt;="&amp;EOMONTH($P469,-1)+1,$P$3:$P469,"&lt;"&amp;EOMONTH($P469,0)+1)=1,1,0),0)</f>
        <v>1</v>
      </c>
      <c r="U469">
        <f t="shared" si="80"/>
        <v>0</v>
      </c>
      <c r="V469">
        <f>IF(AND($U469=1,$M469&lt;&gt;""),IF(COUNTIFS($M$3:$M469,$M469,$O$3:$O469,$O469,$U$3:$U469,1,$P$3:$P469,"&gt;="&amp;EOMONTH($P469,-1)+1,$P$3:$P469,"&lt;"&amp;EOMONTH($P469,0)+1)=1,1,0),0)</f>
        <v>0</v>
      </c>
      <c r="W469" s="444">
        <f ca="1">TODAY()-Table1[[#This Row],[Change Date]]</f>
        <v>327.47152777777956</v>
      </c>
      <c r="X469" s="422" t="str">
        <f t="shared" si="81"/>
        <v/>
      </c>
      <c r="Y469" s="476">
        <f ca="1">IF(Table1[[#This Row],[Next Stage Date]]&lt;&gt;"",Table1[[#This Row],[Next Stage Date]]-Table1[[#This Row],[Change Date]],TODAY()-Table1[[#This Row],[Change Date]])</f>
        <v>327.47152777777956</v>
      </c>
      <c r="Z469" s="476">
        <f t="shared" si="82"/>
        <v>1</v>
      </c>
      <c r="AA469" s="422">
        <f t="shared" si="83"/>
        <v>45930.52847222222</v>
      </c>
      <c r="AB469" s="422">
        <f t="shared" si="84"/>
        <v>45819.410416666666</v>
      </c>
      <c r="AC469" s="476">
        <f t="shared" si="85"/>
        <v>44.410416666665697</v>
      </c>
      <c r="AD469" s="476">
        <f t="shared" si="86"/>
        <v>111.11805555555475</v>
      </c>
      <c r="AE469" s="476">
        <f t="shared" si="87"/>
        <v>155.52847222222044</v>
      </c>
      <c r="AF469" s="476" t="b">
        <f>IFERROR(_xlfn.XLOOKUP(Table1[[#This Row],[Opportunity ID]],'Aging Detail'!$H$14:$H$20,'Aging Detail'!$F$14:$F$20),TRUE)</f>
        <v>1</v>
      </c>
    </row>
    <row r="470" spans="1:32">
      <c r="A470" t="s">
        <v>1461</v>
      </c>
      <c r="B470" t="s">
        <v>526</v>
      </c>
      <c r="C470" t="s">
        <v>563</v>
      </c>
      <c r="D470" t="s">
        <v>2703</v>
      </c>
      <c r="E470" t="s">
        <v>2704</v>
      </c>
      <c r="I470" s="422">
        <v>45825</v>
      </c>
      <c r="J470" s="422">
        <v>45930</v>
      </c>
      <c r="K470">
        <v>5670</v>
      </c>
      <c r="L470">
        <v>0</v>
      </c>
      <c r="M470" t="s">
        <v>2705</v>
      </c>
      <c r="N470" t="s">
        <v>2706</v>
      </c>
      <c r="O470" t="str">
        <f>_xlfn.IFNA(VLOOKUP(Table1[[#This Row],[Lead Source]],'helper tab'!A:B,2,FALSE),"Exclude")</f>
        <v>Exclude</v>
      </c>
      <c r="P470" s="422">
        <f t="shared" si="77"/>
        <v>45930.381249999999</v>
      </c>
      <c r="Q470">
        <f t="shared" si="78"/>
        <v>0</v>
      </c>
      <c r="R470">
        <f t="shared" si="79"/>
        <v>1</v>
      </c>
      <c r="S470">
        <f>IF(
AND($Q470=1,$M470&lt;&gt;""),
IF(
COUNTIFS(
$M$3:$M470,$M470,
$O$3:$O470,$O470,
$Q$3:$Q470,1,
$P$3:$P470,"&gt;="&amp;EOMONTH($P470,-1)+1,
$P$3:$P470,"&lt;"&amp;EOMONTH($P470,0)+1
)=1,
1,
0),
0)</f>
        <v>0</v>
      </c>
      <c r="T470">
        <f>IF(AND($R470=1,$M470&lt;&gt;""),IF(COUNTIFS($M$3:$M470,$M470,$O$3:$O470,$O470,$R$3:$R470,1,$P$3:$P470,"&gt;="&amp;EOMONTH($P470,-1)+1,$P$3:$P470,"&lt;"&amp;EOMONTH($P470,0)+1)=1,1,0),0)</f>
        <v>1</v>
      </c>
      <c r="U470">
        <f t="shared" si="80"/>
        <v>0</v>
      </c>
      <c r="V470">
        <f>IF(AND($U470=1,$M470&lt;&gt;""),IF(COUNTIFS($M$3:$M470,$M470,$O$3:$O470,$O470,$U$3:$U470,1,$P$3:$P470,"&gt;="&amp;EOMONTH($P470,-1)+1,$P$3:$P470,"&lt;"&amp;EOMONTH($P470,0)+1)=1,1,0),0)</f>
        <v>0</v>
      </c>
      <c r="W470" s="444">
        <f ca="1">TODAY()-Table1[[#This Row],[Change Date]]</f>
        <v>327.61875000000146</v>
      </c>
      <c r="X470" s="422" t="str">
        <f t="shared" si="81"/>
        <v/>
      </c>
      <c r="Y470" s="476">
        <f ca="1">IF(Table1[[#This Row],[Next Stage Date]]&lt;&gt;"",Table1[[#This Row],[Next Stage Date]]-Table1[[#This Row],[Change Date]],TODAY()-Table1[[#This Row],[Change Date]])</f>
        <v>327.61875000000146</v>
      </c>
      <c r="Z470" s="476">
        <f t="shared" si="82"/>
        <v>1</v>
      </c>
      <c r="AA470" s="422">
        <f t="shared" si="83"/>
        <v>45930.381249999999</v>
      </c>
      <c r="AB470" s="422">
        <f t="shared" si="84"/>
        <v>45930.368750000001</v>
      </c>
      <c r="AC470" s="476">
        <f t="shared" si="85"/>
        <v>105.36875000000146</v>
      </c>
      <c r="AD470" s="476">
        <f t="shared" si="86"/>
        <v>1.2499999997089617E-2</v>
      </c>
      <c r="AE470" s="476">
        <f t="shared" si="87"/>
        <v>105.38124999999854</v>
      </c>
      <c r="AF470" s="476" t="b">
        <f>IFERROR(_xlfn.XLOOKUP(Table1[[#This Row],[Opportunity ID]],'Aging Detail'!$H$14:$H$20,'Aging Detail'!$F$14:$F$20),TRUE)</f>
        <v>1</v>
      </c>
    </row>
    <row r="471" spans="1:32">
      <c r="A471" t="s">
        <v>1461</v>
      </c>
      <c r="B471" t="s">
        <v>526</v>
      </c>
      <c r="C471" t="s">
        <v>563</v>
      </c>
      <c r="D471" t="s">
        <v>2707</v>
      </c>
      <c r="E471" t="s">
        <v>2708</v>
      </c>
      <c r="F471" t="s">
        <v>148</v>
      </c>
      <c r="H471" t="s">
        <v>1698</v>
      </c>
      <c r="I471" s="422">
        <v>45740</v>
      </c>
      <c r="J471" s="422">
        <v>45912</v>
      </c>
      <c r="K471">
        <v>9200</v>
      </c>
      <c r="L471">
        <v>0</v>
      </c>
      <c r="M471" t="s">
        <v>2709</v>
      </c>
      <c r="N471" t="s">
        <v>2639</v>
      </c>
      <c r="O471" t="str">
        <f>_xlfn.IFNA(VLOOKUP(Table1[[#This Row],[Lead Source]],'helper tab'!A:B,2,FALSE),"Exclude")</f>
        <v>Alliances</v>
      </c>
      <c r="P471" s="422">
        <f t="shared" si="77"/>
        <v>45930.372916666667</v>
      </c>
      <c r="Q471">
        <f t="shared" si="78"/>
        <v>0</v>
      </c>
      <c r="R471">
        <f t="shared" si="79"/>
        <v>1</v>
      </c>
      <c r="S471">
        <f>IF(
AND($Q471=1,$M471&lt;&gt;""),
IF(
COUNTIFS(
$M$3:$M471,$M471,
$O$3:$O471,$O471,
$Q$3:$Q471,1,
$P$3:$P471,"&gt;="&amp;EOMONTH($P471,-1)+1,
$P$3:$P471,"&lt;"&amp;EOMONTH($P471,0)+1
)=1,
1,
0),
0)</f>
        <v>0</v>
      </c>
      <c r="T471">
        <f>IF(AND($R471=1,$M471&lt;&gt;""),IF(COUNTIFS($M$3:$M471,$M471,$O$3:$O471,$O471,$R$3:$R471,1,$P$3:$P471,"&gt;="&amp;EOMONTH($P471,-1)+1,$P$3:$P471,"&lt;"&amp;EOMONTH($P471,0)+1)=1,1,0),0)</f>
        <v>1</v>
      </c>
      <c r="U471">
        <f t="shared" si="80"/>
        <v>0</v>
      </c>
      <c r="V471">
        <f>IF(AND($U471=1,$M471&lt;&gt;""),IF(COUNTIFS($M$3:$M471,$M471,$O$3:$O471,$O471,$U$3:$U471,1,$P$3:$P471,"&gt;="&amp;EOMONTH($P471,-1)+1,$P$3:$P471,"&lt;"&amp;EOMONTH($P471,0)+1)=1,1,0),0)</f>
        <v>0</v>
      </c>
      <c r="W471" s="444">
        <f ca="1">TODAY()-Table1[[#This Row],[Change Date]]</f>
        <v>327.62708333333285</v>
      </c>
      <c r="X471" s="422" t="str">
        <f t="shared" si="81"/>
        <v/>
      </c>
      <c r="Y471" s="476">
        <f ca="1">IF(Table1[[#This Row],[Next Stage Date]]&lt;&gt;"",Table1[[#This Row],[Next Stage Date]]-Table1[[#This Row],[Change Date]],TODAY()-Table1[[#This Row],[Change Date]])</f>
        <v>327.62708333333285</v>
      </c>
      <c r="Z471" s="476">
        <f t="shared" si="82"/>
        <v>1</v>
      </c>
      <c r="AA471" s="422">
        <f t="shared" si="83"/>
        <v>45930.372916666667</v>
      </c>
      <c r="AB471" s="422">
        <f t="shared" si="84"/>
        <v>45875.271527777775</v>
      </c>
      <c r="AC471" s="476">
        <f t="shared" si="85"/>
        <v>135.27152777777519</v>
      </c>
      <c r="AD471" s="476">
        <f t="shared" si="86"/>
        <v>55.101388888891961</v>
      </c>
      <c r="AE471" s="476">
        <f t="shared" si="87"/>
        <v>190.37291666666715</v>
      </c>
      <c r="AF471" s="476" t="b">
        <f>IFERROR(_xlfn.XLOOKUP(Table1[[#This Row],[Opportunity ID]],'Aging Detail'!$H$14:$H$20,'Aging Detail'!$F$14:$F$20),TRUE)</f>
        <v>1</v>
      </c>
    </row>
    <row r="472" spans="1:32">
      <c r="A472" t="s">
        <v>1461</v>
      </c>
      <c r="B472" t="s">
        <v>462</v>
      </c>
      <c r="C472" t="s">
        <v>526</v>
      </c>
      <c r="D472" t="s">
        <v>2710</v>
      </c>
      <c r="E472" t="s">
        <v>2704</v>
      </c>
      <c r="I472" s="422">
        <v>45825</v>
      </c>
      <c r="J472" s="422">
        <v>45930</v>
      </c>
      <c r="K472">
        <v>5670</v>
      </c>
      <c r="L472">
        <v>0</v>
      </c>
      <c r="M472" t="s">
        <v>2705</v>
      </c>
      <c r="N472" t="s">
        <v>2706</v>
      </c>
      <c r="O472" t="str">
        <f>_xlfn.IFNA(VLOOKUP(Table1[[#This Row],[Lead Source]],'helper tab'!A:B,2,FALSE),"Exclude")</f>
        <v>Exclude</v>
      </c>
      <c r="P472" s="422">
        <f t="shared" si="77"/>
        <v>45930.368750000001</v>
      </c>
      <c r="Q472">
        <f t="shared" si="78"/>
        <v>1</v>
      </c>
      <c r="R472">
        <f t="shared" si="79"/>
        <v>0</v>
      </c>
      <c r="S472">
        <f>IF(
AND($Q472=1,$M472&lt;&gt;""),
IF(
COUNTIFS(
$M$3:$M472,$M472,
$O$3:$O472,$O472,
$Q$3:$Q472,1,
$P$3:$P472,"&gt;="&amp;EOMONTH($P472,-1)+1,
$P$3:$P472,"&lt;"&amp;EOMONTH($P472,0)+1
)=1,
1,
0),
0)</f>
        <v>1</v>
      </c>
      <c r="T472">
        <f>IF(AND($R472=1,$M472&lt;&gt;""),IF(COUNTIFS($M$3:$M472,$M472,$O$3:$O472,$O472,$R$3:$R472,1,$P$3:$P472,"&gt;="&amp;EOMONTH($P472,-1)+1,$P$3:$P472,"&lt;"&amp;EOMONTH($P472,0)+1)=1,1,0),0)</f>
        <v>0</v>
      </c>
      <c r="U472">
        <f t="shared" si="80"/>
        <v>0</v>
      </c>
      <c r="V472">
        <f>IF(AND($U472=1,$M472&lt;&gt;""),IF(COUNTIFS($M$3:$M472,$M472,$O$3:$O472,$O472,$U$3:$U472,1,$P$3:$P472,"&gt;="&amp;EOMONTH($P472,-1)+1,$P$3:$P472,"&lt;"&amp;EOMONTH($P472,0)+1)=1,1,0),0)</f>
        <v>0</v>
      </c>
      <c r="W472" s="444">
        <f ca="1">TODAY()-Table1[[#This Row],[Change Date]]</f>
        <v>327.63124999999854</v>
      </c>
      <c r="X472" s="422">
        <f t="shared" si="81"/>
        <v>45930.381249999999</v>
      </c>
      <c r="Y472" s="476">
        <f ca="1">IF(Table1[[#This Row],[Next Stage Date]]&lt;&gt;"",Table1[[#This Row],[Next Stage Date]]-Table1[[#This Row],[Change Date]],TODAY()-Table1[[#This Row],[Change Date]])</f>
        <v>1.2499999997089617E-2</v>
      </c>
      <c r="Z472" s="476">
        <f t="shared" si="82"/>
        <v>0</v>
      </c>
      <c r="AA472" s="422">
        <f t="shared" si="83"/>
        <v>45930.381249999999</v>
      </c>
      <c r="AB472" s="422">
        <f t="shared" si="84"/>
        <v>45930.368750000001</v>
      </c>
      <c r="AC472" s="476">
        <f t="shared" si="85"/>
        <v>105.36875000000146</v>
      </c>
      <c r="AD472" s="476">
        <f t="shared" si="86"/>
        <v>1.2499999997089617E-2</v>
      </c>
      <c r="AE472" s="476">
        <f t="shared" si="87"/>
        <v>105.38124999999854</v>
      </c>
      <c r="AF472" s="476" t="b">
        <f>IFERROR(_xlfn.XLOOKUP(Table1[[#This Row],[Opportunity ID]],'Aging Detail'!$H$14:$H$20,'Aging Detail'!$F$14:$F$20),TRUE)</f>
        <v>1</v>
      </c>
    </row>
    <row r="473" spans="1:32">
      <c r="A473" t="s">
        <v>1461</v>
      </c>
      <c r="B473" t="s">
        <v>1462</v>
      </c>
      <c r="C473" t="s">
        <v>462</v>
      </c>
      <c r="D473" t="s">
        <v>2710</v>
      </c>
      <c r="E473" t="s">
        <v>2704</v>
      </c>
      <c r="I473" s="422">
        <v>45825</v>
      </c>
      <c r="J473" s="422">
        <v>45930</v>
      </c>
      <c r="K473">
        <v>5670</v>
      </c>
      <c r="L473">
        <v>0</v>
      </c>
      <c r="M473" t="s">
        <v>2705</v>
      </c>
      <c r="N473" t="s">
        <v>2706</v>
      </c>
      <c r="O473" t="str">
        <f>_xlfn.IFNA(VLOOKUP(Table1[[#This Row],[Lead Source]],'helper tab'!A:B,2,FALSE),"Exclude")</f>
        <v>Exclude</v>
      </c>
      <c r="P473" s="422">
        <f t="shared" si="77"/>
        <v>45930.368750000001</v>
      </c>
      <c r="Q473">
        <f t="shared" si="78"/>
        <v>1</v>
      </c>
      <c r="R473">
        <f t="shared" si="79"/>
        <v>0</v>
      </c>
      <c r="S473">
        <f>IF(
AND($Q473=1,$M473&lt;&gt;""),
IF(
COUNTIFS(
$M$3:$M473,$M473,
$O$3:$O473,$O473,
$Q$3:$Q473,1,
$P$3:$P473,"&gt;="&amp;EOMONTH($P473,-1)+1,
$P$3:$P473,"&lt;"&amp;EOMONTH($P473,0)+1
)=1,
1,
0),
0)</f>
        <v>0</v>
      </c>
      <c r="T473">
        <f>IF(AND($R473=1,$M473&lt;&gt;""),IF(COUNTIFS($M$3:$M473,$M473,$O$3:$O473,$O473,$R$3:$R473,1,$P$3:$P473,"&gt;="&amp;EOMONTH($P473,-1)+1,$P$3:$P473,"&lt;"&amp;EOMONTH($P473,0)+1)=1,1,0),0)</f>
        <v>0</v>
      </c>
      <c r="U473">
        <f t="shared" si="80"/>
        <v>0</v>
      </c>
      <c r="V473">
        <f>IF(AND($U473=1,$M473&lt;&gt;""),IF(COUNTIFS($M$3:$M473,$M473,$O$3:$O473,$O473,$U$3:$U473,1,$P$3:$P473,"&gt;="&amp;EOMONTH($P473,-1)+1,$P$3:$P473,"&lt;"&amp;EOMONTH($P473,0)+1)=1,1,0),0)</f>
        <v>0</v>
      </c>
      <c r="W473" s="444">
        <f ca="1">TODAY()-Table1[[#This Row],[Change Date]]</f>
        <v>327.63124999999854</v>
      </c>
      <c r="X473" s="422">
        <f t="shared" si="81"/>
        <v>45930.381249999999</v>
      </c>
      <c r="Y473" s="476">
        <f ca="1">IF(Table1[[#This Row],[Next Stage Date]]&lt;&gt;"",Table1[[#This Row],[Next Stage Date]]-Table1[[#This Row],[Change Date]],TODAY()-Table1[[#This Row],[Change Date]])</f>
        <v>1.2499999997089617E-2</v>
      </c>
      <c r="Z473" s="476">
        <f t="shared" si="82"/>
        <v>0</v>
      </c>
      <c r="AA473" s="422">
        <f t="shared" si="83"/>
        <v>45930.381249999999</v>
      </c>
      <c r="AB473" s="422">
        <f t="shared" si="84"/>
        <v>45930.368750000001</v>
      </c>
      <c r="AC473" s="476">
        <f t="shared" si="85"/>
        <v>105.36875000000146</v>
      </c>
      <c r="AD473" s="476">
        <f t="shared" si="86"/>
        <v>1.2499999997089617E-2</v>
      </c>
      <c r="AE473" s="476">
        <f t="shared" si="87"/>
        <v>105.38124999999854</v>
      </c>
      <c r="AF473" s="476" t="b">
        <f>IFERROR(_xlfn.XLOOKUP(Table1[[#This Row],[Opportunity ID]],'Aging Detail'!$H$14:$H$20,'Aging Detail'!$F$14:$F$20),TRUE)</f>
        <v>1</v>
      </c>
    </row>
    <row r="474" spans="1:32">
      <c r="A474" t="s">
        <v>1461</v>
      </c>
      <c r="B474" t="s">
        <v>408</v>
      </c>
      <c r="C474" t="s">
        <v>1462</v>
      </c>
      <c r="D474" t="s">
        <v>2710</v>
      </c>
      <c r="E474" t="s">
        <v>2704</v>
      </c>
      <c r="I474" s="422">
        <v>45825</v>
      </c>
      <c r="J474" s="422">
        <v>45930</v>
      </c>
      <c r="K474">
        <v>5670</v>
      </c>
      <c r="L474">
        <v>0</v>
      </c>
      <c r="M474" t="s">
        <v>2705</v>
      </c>
      <c r="N474" t="s">
        <v>2706</v>
      </c>
      <c r="O474" t="str">
        <f>_xlfn.IFNA(VLOOKUP(Table1[[#This Row],[Lead Source]],'helper tab'!A:B,2,FALSE),"Exclude")</f>
        <v>Exclude</v>
      </c>
      <c r="P474" s="422">
        <f t="shared" si="77"/>
        <v>45930.368750000001</v>
      </c>
      <c r="Q474">
        <f t="shared" si="78"/>
        <v>0</v>
      </c>
      <c r="R474">
        <f t="shared" si="79"/>
        <v>0</v>
      </c>
      <c r="S474">
        <f>IF(
AND($Q474=1,$M474&lt;&gt;""),
IF(
COUNTIFS(
$M$3:$M474,$M474,
$O$3:$O474,$O474,
$Q$3:$Q474,1,
$P$3:$P474,"&gt;="&amp;EOMONTH($P474,-1)+1,
$P$3:$P474,"&lt;"&amp;EOMONTH($P474,0)+1
)=1,
1,
0),
0)</f>
        <v>0</v>
      </c>
      <c r="T474">
        <f>IF(AND($R474=1,$M474&lt;&gt;""),IF(COUNTIFS($M$3:$M474,$M474,$O$3:$O474,$O474,$R$3:$R474,1,$P$3:$P474,"&gt;="&amp;EOMONTH($P474,-1)+1,$P$3:$P474,"&lt;"&amp;EOMONTH($P474,0)+1)=1,1,0),0)</f>
        <v>0</v>
      </c>
      <c r="U474">
        <f t="shared" si="80"/>
        <v>0</v>
      </c>
      <c r="V474">
        <f>IF(AND($U474=1,$M474&lt;&gt;""),IF(COUNTIFS($M$3:$M474,$M474,$O$3:$O474,$O474,$U$3:$U474,1,$P$3:$P474,"&gt;="&amp;EOMONTH($P474,-1)+1,$P$3:$P474,"&lt;"&amp;EOMONTH($P474,0)+1)=1,1,0),0)</f>
        <v>0</v>
      </c>
      <c r="W474" s="444">
        <f ca="1">TODAY()-Table1[[#This Row],[Change Date]]</f>
        <v>327.63124999999854</v>
      </c>
      <c r="X474" s="422">
        <f t="shared" si="81"/>
        <v>45930.381249999999</v>
      </c>
      <c r="Y474" s="476">
        <f ca="1">IF(Table1[[#This Row],[Next Stage Date]]&lt;&gt;"",Table1[[#This Row],[Next Stage Date]]-Table1[[#This Row],[Change Date]],TODAY()-Table1[[#This Row],[Change Date]])</f>
        <v>1.2499999997089617E-2</v>
      </c>
      <c r="Z474" s="476">
        <f t="shared" si="82"/>
        <v>0</v>
      </c>
      <c r="AA474" s="422">
        <f t="shared" si="83"/>
        <v>45930.381249999999</v>
      </c>
      <c r="AB474" s="422">
        <f t="shared" si="84"/>
        <v>45930.368750000001</v>
      </c>
      <c r="AC474" s="476">
        <f t="shared" si="85"/>
        <v>105.36875000000146</v>
      </c>
      <c r="AD474" s="476">
        <f t="shared" si="86"/>
        <v>1.2499999997089617E-2</v>
      </c>
      <c r="AE474" s="476">
        <f t="shared" si="87"/>
        <v>105.38124999999854</v>
      </c>
      <c r="AF474" s="476" t="b">
        <f>IFERROR(_xlfn.XLOOKUP(Table1[[#This Row],[Opportunity ID]],'Aging Detail'!$H$14:$H$20,'Aging Detail'!$F$14:$F$20),TRUE)</f>
        <v>1</v>
      </c>
    </row>
    <row r="475" spans="1:32">
      <c r="A475" t="s">
        <v>1461</v>
      </c>
      <c r="B475" t="s">
        <v>462</v>
      </c>
      <c r="C475" t="s">
        <v>1469</v>
      </c>
      <c r="D475" t="s">
        <v>2711</v>
      </c>
      <c r="E475" t="s">
        <v>2712</v>
      </c>
      <c r="F475" t="s">
        <v>148</v>
      </c>
      <c r="H475" t="s">
        <v>2174</v>
      </c>
      <c r="I475" s="422">
        <v>45434</v>
      </c>
      <c r="J475" s="422">
        <v>46164</v>
      </c>
      <c r="K475">
        <v>187850</v>
      </c>
      <c r="L475">
        <v>187850</v>
      </c>
      <c r="M475" t="s">
        <v>2713</v>
      </c>
      <c r="N475" t="s">
        <v>2305</v>
      </c>
      <c r="O475" t="str">
        <f>_xlfn.IFNA(VLOOKUP(Table1[[#This Row],[Lead Source]],'helper tab'!A:B,2,FALSE),"Exclude")</f>
        <v>Alliances</v>
      </c>
      <c r="P475" s="422">
        <f t="shared" si="77"/>
        <v>45930.199305555558</v>
      </c>
      <c r="Q475">
        <f t="shared" si="78"/>
        <v>0</v>
      </c>
      <c r="R475">
        <f t="shared" si="79"/>
        <v>0</v>
      </c>
      <c r="S475">
        <f>IF(
AND($Q475=1,$M475&lt;&gt;""),
IF(
COUNTIFS(
$M$3:$M475,$M475,
$O$3:$O475,$O475,
$Q$3:$Q475,1,
$P$3:$P475,"&gt;="&amp;EOMONTH($P475,-1)+1,
$P$3:$P475,"&lt;"&amp;EOMONTH($P475,0)+1
)=1,
1,
0),
0)</f>
        <v>0</v>
      </c>
      <c r="T475">
        <f>IF(AND($R475=1,$M475&lt;&gt;""),IF(COUNTIFS($M$3:$M475,$M475,$O$3:$O475,$O475,$R$3:$R475,1,$P$3:$P475,"&gt;="&amp;EOMONTH($P475,-1)+1,$P$3:$P475,"&lt;"&amp;EOMONTH($P475,0)+1)=1,1,0),0)</f>
        <v>0</v>
      </c>
      <c r="U475">
        <f t="shared" si="80"/>
        <v>1</v>
      </c>
      <c r="V475">
        <f>IF(AND($U475=1,$M475&lt;&gt;""),IF(COUNTIFS($M$3:$M475,$M475,$O$3:$O475,$O475,$U$3:$U475,1,$P$3:$P475,"&gt;="&amp;EOMONTH($P475,-1)+1,$P$3:$P475,"&lt;"&amp;EOMONTH($P475,0)+1)=1,1,0),0)</f>
        <v>1</v>
      </c>
      <c r="W475" s="444">
        <f ca="1">TODAY()-Table1[[#This Row],[Change Date]]</f>
        <v>327.80069444444234</v>
      </c>
      <c r="X475" s="422" t="str">
        <f t="shared" si="81"/>
        <v/>
      </c>
      <c r="Y475" s="476">
        <f ca="1">IF(Table1[[#This Row],[Next Stage Date]]&lt;&gt;"",Table1[[#This Row],[Next Stage Date]]-Table1[[#This Row],[Change Date]],TODAY()-Table1[[#This Row],[Change Date]])</f>
        <v>327.80069444444234</v>
      </c>
      <c r="Z475" s="476">
        <f t="shared" si="82"/>
        <v>1</v>
      </c>
      <c r="AA475" s="422" t="str">
        <f t="shared" si="83"/>
        <v/>
      </c>
      <c r="AB475" s="422" t="str">
        <f t="shared" si="84"/>
        <v/>
      </c>
      <c r="AC475" s="476" t="str">
        <f t="shared" si="85"/>
        <v/>
      </c>
      <c r="AD475" s="476" t="str">
        <f t="shared" si="86"/>
        <v/>
      </c>
      <c r="AE475" s="476" t="str">
        <f t="shared" si="87"/>
        <v/>
      </c>
      <c r="AF475" s="476" t="b">
        <f>IFERROR(_xlfn.XLOOKUP(Table1[[#This Row],[Opportunity ID]],'Aging Detail'!$H$14:$H$20,'Aging Detail'!$F$14:$F$20),TRUE)</f>
        <v>1</v>
      </c>
    </row>
    <row r="476" spans="1:32">
      <c r="A476" t="s">
        <v>1461</v>
      </c>
      <c r="B476" t="s">
        <v>526</v>
      </c>
      <c r="C476" t="s">
        <v>563</v>
      </c>
      <c r="D476" t="s">
        <v>2714</v>
      </c>
      <c r="E476" t="s">
        <v>2715</v>
      </c>
      <c r="I476" s="422">
        <v>45685</v>
      </c>
      <c r="J476" s="422">
        <v>45929</v>
      </c>
      <c r="K476">
        <v>16000</v>
      </c>
      <c r="L476">
        <v>0</v>
      </c>
      <c r="M476" t="s">
        <v>2716</v>
      </c>
      <c r="N476" t="s">
        <v>1684</v>
      </c>
      <c r="O476" t="str">
        <f>_xlfn.IFNA(VLOOKUP(Table1[[#This Row],[Lead Source]],'helper tab'!A:B,2,FALSE),"Exclude")</f>
        <v>Exclude</v>
      </c>
      <c r="P476" s="422">
        <f t="shared" si="77"/>
        <v>45929.57916666667</v>
      </c>
      <c r="Q476">
        <f t="shared" si="78"/>
        <v>0</v>
      </c>
      <c r="R476">
        <f t="shared" si="79"/>
        <v>1</v>
      </c>
      <c r="S476">
        <f>IF(
AND($Q476=1,$M476&lt;&gt;""),
IF(
COUNTIFS(
$M$3:$M476,$M476,
$O$3:$O476,$O476,
$Q$3:$Q476,1,
$P$3:$P476,"&gt;="&amp;EOMONTH($P476,-1)+1,
$P$3:$P476,"&lt;"&amp;EOMONTH($P476,0)+1
)=1,
1,
0),
0)</f>
        <v>0</v>
      </c>
      <c r="T476">
        <f>IF(AND($R476=1,$M476&lt;&gt;""),IF(COUNTIFS($M$3:$M476,$M476,$O$3:$O476,$O476,$R$3:$R476,1,$P$3:$P476,"&gt;="&amp;EOMONTH($P476,-1)+1,$P$3:$P476,"&lt;"&amp;EOMONTH($P476,0)+1)=1,1,0),0)</f>
        <v>1</v>
      </c>
      <c r="U476">
        <f t="shared" si="80"/>
        <v>0</v>
      </c>
      <c r="V476">
        <f>IF(AND($U476=1,$M476&lt;&gt;""),IF(COUNTIFS($M$3:$M476,$M476,$O$3:$O476,$O476,$U$3:$U476,1,$P$3:$P476,"&gt;="&amp;EOMONTH($P476,-1)+1,$P$3:$P476,"&lt;"&amp;EOMONTH($P476,0)+1)=1,1,0),0)</f>
        <v>0</v>
      </c>
      <c r="W476" s="444">
        <f ca="1">TODAY()-Table1[[#This Row],[Change Date]]</f>
        <v>328.42083333332994</v>
      </c>
      <c r="X476" s="422" t="str">
        <f t="shared" si="81"/>
        <v/>
      </c>
      <c r="Y476" s="476">
        <f ca="1">IF(Table1[[#This Row],[Next Stage Date]]&lt;&gt;"",Table1[[#This Row],[Next Stage Date]]-Table1[[#This Row],[Change Date]],TODAY()-Table1[[#This Row],[Change Date]])</f>
        <v>328.42083333332994</v>
      </c>
      <c r="Z476" s="476">
        <f t="shared" si="82"/>
        <v>1</v>
      </c>
      <c r="AA476" s="422">
        <f t="shared" si="83"/>
        <v>45929.57916666667</v>
      </c>
      <c r="AB476" s="422">
        <f t="shared" si="84"/>
        <v>45734.572222222225</v>
      </c>
      <c r="AC476" s="476">
        <f t="shared" si="85"/>
        <v>49.572222222224809</v>
      </c>
      <c r="AD476" s="476">
        <f t="shared" si="86"/>
        <v>195.00694444444525</v>
      </c>
      <c r="AE476" s="476">
        <f t="shared" si="87"/>
        <v>244.57916666667006</v>
      </c>
      <c r="AF476" s="476" t="b">
        <f>IFERROR(_xlfn.XLOOKUP(Table1[[#This Row],[Opportunity ID]],'Aging Detail'!$H$14:$H$20,'Aging Detail'!$F$14:$F$20),TRUE)</f>
        <v>1</v>
      </c>
    </row>
    <row r="477" spans="1:32">
      <c r="A477" t="s">
        <v>1461</v>
      </c>
      <c r="B477" t="s">
        <v>526</v>
      </c>
      <c r="C477" t="s">
        <v>563</v>
      </c>
      <c r="D477" t="s">
        <v>2714</v>
      </c>
      <c r="E477" t="s">
        <v>2717</v>
      </c>
      <c r="I477" s="422">
        <v>45750</v>
      </c>
      <c r="J477" s="422">
        <v>45929</v>
      </c>
      <c r="K477">
        <v>10800</v>
      </c>
      <c r="L477">
        <v>0</v>
      </c>
      <c r="M477" t="s">
        <v>2718</v>
      </c>
      <c r="N477" t="s">
        <v>1684</v>
      </c>
      <c r="O477" t="str">
        <f>_xlfn.IFNA(VLOOKUP(Table1[[#This Row],[Lead Source]],'helper tab'!A:B,2,FALSE),"Exclude")</f>
        <v>Exclude</v>
      </c>
      <c r="P477" s="422">
        <f t="shared" si="77"/>
        <v>45929.57916666667</v>
      </c>
      <c r="Q477">
        <f t="shared" si="78"/>
        <v>0</v>
      </c>
      <c r="R477">
        <f t="shared" si="79"/>
        <v>1</v>
      </c>
      <c r="S477">
        <f>IF(
AND($Q477=1,$M477&lt;&gt;""),
IF(
COUNTIFS(
$M$3:$M477,$M477,
$O$3:$O477,$O477,
$Q$3:$Q477,1,
$P$3:$P477,"&gt;="&amp;EOMONTH($P477,-1)+1,
$P$3:$P477,"&lt;"&amp;EOMONTH($P477,0)+1
)=1,
1,
0),
0)</f>
        <v>0</v>
      </c>
      <c r="T477">
        <f>IF(AND($R477=1,$M477&lt;&gt;""),IF(COUNTIFS($M$3:$M477,$M477,$O$3:$O477,$O477,$R$3:$R477,1,$P$3:$P477,"&gt;="&amp;EOMONTH($P477,-1)+1,$P$3:$P477,"&lt;"&amp;EOMONTH($P477,0)+1)=1,1,0),0)</f>
        <v>1</v>
      </c>
      <c r="U477">
        <f t="shared" si="80"/>
        <v>0</v>
      </c>
      <c r="V477">
        <f>IF(AND($U477=1,$M477&lt;&gt;""),IF(COUNTIFS($M$3:$M477,$M477,$O$3:$O477,$O477,$U$3:$U477,1,$P$3:$P477,"&gt;="&amp;EOMONTH($P477,-1)+1,$P$3:$P477,"&lt;"&amp;EOMONTH($P477,0)+1)=1,1,0),0)</f>
        <v>0</v>
      </c>
      <c r="W477" s="444">
        <f ca="1">TODAY()-Table1[[#This Row],[Change Date]]</f>
        <v>328.42083333332994</v>
      </c>
      <c r="X477" s="422" t="str">
        <f t="shared" si="81"/>
        <v/>
      </c>
      <c r="Y477" s="476">
        <f ca="1">IF(Table1[[#This Row],[Next Stage Date]]&lt;&gt;"",Table1[[#This Row],[Next Stage Date]]-Table1[[#This Row],[Change Date]],TODAY()-Table1[[#This Row],[Change Date]])</f>
        <v>328.42083333332994</v>
      </c>
      <c r="Z477" s="476">
        <f t="shared" si="82"/>
        <v>1</v>
      </c>
      <c r="AA477" s="422">
        <f t="shared" si="83"/>
        <v>45929.57916666667</v>
      </c>
      <c r="AB477" s="422">
        <f t="shared" si="84"/>
        <v>45897.34652777778</v>
      </c>
      <c r="AC477" s="476">
        <f t="shared" si="85"/>
        <v>147.34652777777956</v>
      </c>
      <c r="AD477" s="476">
        <f t="shared" si="86"/>
        <v>32.232638888890506</v>
      </c>
      <c r="AE477" s="476">
        <f t="shared" si="87"/>
        <v>179.57916666667006</v>
      </c>
      <c r="AF477" s="476" t="b">
        <f>IFERROR(_xlfn.XLOOKUP(Table1[[#This Row],[Opportunity ID]],'Aging Detail'!$H$14:$H$20,'Aging Detail'!$F$14:$F$20),TRUE)</f>
        <v>1</v>
      </c>
    </row>
    <row r="478" spans="1:32">
      <c r="A478" t="s">
        <v>1461</v>
      </c>
      <c r="B478" t="s">
        <v>526</v>
      </c>
      <c r="C478" t="s">
        <v>563</v>
      </c>
      <c r="D478" t="s">
        <v>2719</v>
      </c>
      <c r="E478" t="s">
        <v>525</v>
      </c>
      <c r="F478" t="s">
        <v>202</v>
      </c>
      <c r="G478" t="s">
        <v>29</v>
      </c>
      <c r="I478" s="422">
        <v>45420</v>
      </c>
      <c r="J478" s="422">
        <v>45911</v>
      </c>
      <c r="K478">
        <v>1642160</v>
      </c>
      <c r="L478">
        <v>576000</v>
      </c>
      <c r="M478" t="s">
        <v>2720</v>
      </c>
      <c r="N478" t="s">
        <v>516</v>
      </c>
      <c r="O478" t="str">
        <f>_xlfn.IFNA(VLOOKUP(Table1[[#This Row],[Lead Source]],'helper tab'!A:B,2,FALSE),"Exclude")</f>
        <v>Digital</v>
      </c>
      <c r="P478" s="422">
        <f t="shared" si="77"/>
        <v>45925.305555555555</v>
      </c>
      <c r="Q478">
        <f t="shared" si="78"/>
        <v>0</v>
      </c>
      <c r="R478">
        <f t="shared" si="79"/>
        <v>1</v>
      </c>
      <c r="S478">
        <f>IF(
AND($Q478=1,$M478&lt;&gt;""),
IF(
COUNTIFS(
$M$3:$M478,$M478,
$O$3:$O478,$O478,
$Q$3:$Q478,1,
$P$3:$P478,"&gt;="&amp;EOMONTH($P478,-1)+1,
$P$3:$P478,"&lt;"&amp;EOMONTH($P478,0)+1
)=1,
1,
0),
0)</f>
        <v>0</v>
      </c>
      <c r="T478">
        <f>IF(AND($R478=1,$M478&lt;&gt;""),IF(COUNTIFS($M$3:$M478,$M478,$O$3:$O478,$O478,$R$3:$R478,1,$P$3:$P478,"&gt;="&amp;EOMONTH($P478,-1)+1,$P$3:$P478,"&lt;"&amp;EOMONTH($P478,0)+1)=1,1,0),0)</f>
        <v>1</v>
      </c>
      <c r="U478">
        <f t="shared" si="80"/>
        <v>0</v>
      </c>
      <c r="V478">
        <f>IF(AND($U478=1,$M478&lt;&gt;""),IF(COUNTIFS($M$3:$M478,$M478,$O$3:$O478,$O478,$U$3:$U478,1,$P$3:$P478,"&gt;="&amp;EOMONTH($P478,-1)+1,$P$3:$P478,"&lt;"&amp;EOMONTH($P478,0)+1)=1,1,0),0)</f>
        <v>0</v>
      </c>
      <c r="W478" s="444">
        <f ca="1">TODAY()-Table1[[#This Row],[Change Date]]</f>
        <v>332.69444444444525</v>
      </c>
      <c r="X478" s="422" t="str">
        <f t="shared" si="81"/>
        <v/>
      </c>
      <c r="Y478" s="476">
        <f ca="1">IF(Table1[[#This Row],[Next Stage Date]]&lt;&gt;"",Table1[[#This Row],[Next Stage Date]]-Table1[[#This Row],[Change Date]],TODAY()-Table1[[#This Row],[Change Date]])</f>
        <v>332.69444444444525</v>
      </c>
      <c r="Z478" s="476">
        <f t="shared" si="82"/>
        <v>1</v>
      </c>
      <c r="AA478" s="422">
        <f t="shared" si="83"/>
        <v>45925.305555555555</v>
      </c>
      <c r="AB478" s="422">
        <f t="shared" si="84"/>
        <v>45741.324305555558</v>
      </c>
      <c r="AC478" s="476">
        <f t="shared" si="85"/>
        <v>321.32430555555766</v>
      </c>
      <c r="AD478" s="476">
        <f t="shared" si="86"/>
        <v>183.98124999999709</v>
      </c>
      <c r="AE478" s="476">
        <f t="shared" si="87"/>
        <v>505.30555555555475</v>
      </c>
      <c r="AF478" s="476" t="b">
        <f>IFERROR(_xlfn.XLOOKUP(Table1[[#This Row],[Opportunity ID]],'Aging Detail'!$H$14:$H$20,'Aging Detail'!$F$14:$F$20),TRUE)</f>
        <v>1</v>
      </c>
    </row>
    <row r="479" spans="1:32">
      <c r="A479" t="s">
        <v>1461</v>
      </c>
      <c r="B479" t="s">
        <v>462</v>
      </c>
      <c r="C479" t="s">
        <v>563</v>
      </c>
      <c r="D479" t="s">
        <v>2721</v>
      </c>
      <c r="E479" t="s">
        <v>2722</v>
      </c>
      <c r="I479" s="422">
        <v>45854</v>
      </c>
      <c r="J479" s="422">
        <v>45924</v>
      </c>
      <c r="L479">
        <v>0</v>
      </c>
      <c r="M479" t="s">
        <v>2723</v>
      </c>
      <c r="N479" t="s">
        <v>2724</v>
      </c>
      <c r="O479" t="str">
        <f>_xlfn.IFNA(VLOOKUP(Table1[[#This Row],[Lead Source]],'helper tab'!A:B,2,FALSE),"Exclude")</f>
        <v>Exclude</v>
      </c>
      <c r="P479" s="422">
        <f t="shared" si="77"/>
        <v>45924.474999999999</v>
      </c>
      <c r="Q479">
        <f t="shared" si="78"/>
        <v>0</v>
      </c>
      <c r="R479">
        <f t="shared" si="79"/>
        <v>1</v>
      </c>
      <c r="S479">
        <f>IF(
AND($Q479=1,$M479&lt;&gt;""),
IF(
COUNTIFS(
$M$3:$M479,$M479,
$O$3:$O479,$O479,
$Q$3:$Q479,1,
$P$3:$P479,"&gt;="&amp;EOMONTH($P479,-1)+1,
$P$3:$P479,"&lt;"&amp;EOMONTH($P479,0)+1
)=1,
1,
0),
0)</f>
        <v>0</v>
      </c>
      <c r="T479">
        <f>IF(AND($R479=1,$M479&lt;&gt;""),IF(COUNTIFS($M$3:$M479,$M479,$O$3:$O479,$O479,$R$3:$R479,1,$P$3:$P479,"&gt;="&amp;EOMONTH($P479,-1)+1,$P$3:$P479,"&lt;"&amp;EOMONTH($P479,0)+1)=1,1,0),0)</f>
        <v>1</v>
      </c>
      <c r="U479">
        <f t="shared" si="80"/>
        <v>0</v>
      </c>
      <c r="V479">
        <f>IF(AND($U479=1,$M479&lt;&gt;""),IF(COUNTIFS($M$3:$M479,$M479,$O$3:$O479,$O479,$U$3:$U479,1,$P$3:$P479,"&gt;="&amp;EOMONTH($P479,-1)+1,$P$3:$P479,"&lt;"&amp;EOMONTH($P479,0)+1)=1,1,0),0)</f>
        <v>0</v>
      </c>
      <c r="W479" s="444">
        <f ca="1">TODAY()-Table1[[#This Row],[Change Date]]</f>
        <v>333.52500000000146</v>
      </c>
      <c r="X479" s="422" t="str">
        <f t="shared" si="81"/>
        <v/>
      </c>
      <c r="Y479" s="476">
        <f ca="1">IF(Table1[[#This Row],[Next Stage Date]]&lt;&gt;"",Table1[[#This Row],[Next Stage Date]]-Table1[[#This Row],[Change Date]],TODAY()-Table1[[#This Row],[Change Date]])</f>
        <v>333.52500000000146</v>
      </c>
      <c r="Z479" s="476">
        <f t="shared" si="82"/>
        <v>1</v>
      </c>
      <c r="AA479" s="422">
        <f t="shared" si="83"/>
        <v>45924.474999999999</v>
      </c>
      <c r="AB479" s="422">
        <f t="shared" si="84"/>
        <v>45866.44027777778</v>
      </c>
      <c r="AC479" s="476">
        <f t="shared" si="85"/>
        <v>12.440277777779556</v>
      </c>
      <c r="AD479" s="476">
        <f t="shared" si="86"/>
        <v>58.034722222218988</v>
      </c>
      <c r="AE479" s="476">
        <f t="shared" si="87"/>
        <v>70.474999999998545</v>
      </c>
      <c r="AF479" s="476" t="b">
        <f>IFERROR(_xlfn.XLOOKUP(Table1[[#This Row],[Opportunity ID]],'Aging Detail'!$H$14:$H$20,'Aging Detail'!$F$14:$F$20),TRUE)</f>
        <v>1</v>
      </c>
    </row>
    <row r="480" spans="1:32">
      <c r="A480" t="s">
        <v>1461</v>
      </c>
      <c r="B480" t="s">
        <v>338</v>
      </c>
      <c r="C480" t="s">
        <v>462</v>
      </c>
      <c r="D480" t="s">
        <v>2725</v>
      </c>
      <c r="E480" t="s">
        <v>2455</v>
      </c>
      <c r="I480" s="422">
        <v>45880</v>
      </c>
      <c r="J480" s="422">
        <v>73050</v>
      </c>
      <c r="L480">
        <v>0</v>
      </c>
      <c r="M480" t="s">
        <v>2456</v>
      </c>
      <c r="N480" t="s">
        <v>2099</v>
      </c>
      <c r="O480" t="str">
        <f>_xlfn.IFNA(VLOOKUP(Table1[[#This Row],[Lead Source]],'helper tab'!A:B,2,FALSE),"Exclude")</f>
        <v>Exclude</v>
      </c>
      <c r="P480" s="422">
        <f t="shared" si="77"/>
        <v>45924.384027777778</v>
      </c>
      <c r="Q480">
        <f t="shared" si="78"/>
        <v>1</v>
      </c>
      <c r="R480">
        <f t="shared" si="79"/>
        <v>0</v>
      </c>
      <c r="S480">
        <f>IF(
AND($Q480=1,$M480&lt;&gt;""),
IF(
COUNTIFS(
$M$3:$M480,$M480,
$O$3:$O480,$O480,
$Q$3:$Q480,1,
$P$3:$P480,"&gt;="&amp;EOMONTH($P480,-1)+1,
$P$3:$P480,"&lt;"&amp;EOMONTH($P480,0)+1
)=1,
1,
0),
0)</f>
        <v>1</v>
      </c>
      <c r="T480">
        <f>IF(AND($R480=1,$M480&lt;&gt;""),IF(COUNTIFS($M$3:$M480,$M480,$O$3:$O480,$O480,$R$3:$R480,1,$P$3:$P480,"&gt;="&amp;EOMONTH($P480,-1)+1,$P$3:$P480,"&lt;"&amp;EOMONTH($P480,0)+1)=1,1,0),0)</f>
        <v>0</v>
      </c>
      <c r="U480">
        <f t="shared" si="80"/>
        <v>0</v>
      </c>
      <c r="V480">
        <f>IF(AND($U480=1,$M480&lt;&gt;""),IF(COUNTIFS($M$3:$M480,$M480,$O$3:$O480,$O480,$U$3:$U480,1,$P$3:$P480,"&gt;="&amp;EOMONTH($P480,-1)+1,$P$3:$P480,"&lt;"&amp;EOMONTH($P480,0)+1)=1,1,0),0)</f>
        <v>0</v>
      </c>
      <c r="W480" s="444">
        <f ca="1">TODAY()-Table1[[#This Row],[Change Date]]</f>
        <v>333.6159722222219</v>
      </c>
      <c r="X480" s="422">
        <f t="shared" si="81"/>
        <v>45993.438194444447</v>
      </c>
      <c r="Y480" s="476">
        <f ca="1">IF(Table1[[#This Row],[Next Stage Date]]&lt;&gt;"",Table1[[#This Row],[Next Stage Date]]-Table1[[#This Row],[Change Date]],TODAY()-Table1[[#This Row],[Change Date]])</f>
        <v>69.054166666668607</v>
      </c>
      <c r="Z480" s="476">
        <f t="shared" si="82"/>
        <v>0</v>
      </c>
      <c r="AA480" s="422" t="str">
        <f t="shared" si="83"/>
        <v/>
      </c>
      <c r="AB480" s="422">
        <f t="shared" si="84"/>
        <v>45924.384027777778</v>
      </c>
      <c r="AC480" s="476">
        <f t="shared" si="85"/>
        <v>44.384027777778101</v>
      </c>
      <c r="AD480" s="476" t="str">
        <f t="shared" si="86"/>
        <v/>
      </c>
      <c r="AE480" s="476" t="str">
        <f t="shared" si="87"/>
        <v/>
      </c>
      <c r="AF480" s="476" t="b">
        <f>IFERROR(_xlfn.XLOOKUP(Table1[[#This Row],[Opportunity ID]],'Aging Detail'!$H$14:$H$20,'Aging Detail'!$F$14:$F$20),TRUE)</f>
        <v>1</v>
      </c>
    </row>
    <row r="481" spans="1:32">
      <c r="A481" t="s">
        <v>1461</v>
      </c>
      <c r="B481" t="s">
        <v>462</v>
      </c>
      <c r="C481" t="s">
        <v>526</v>
      </c>
      <c r="D481" t="s">
        <v>2726</v>
      </c>
      <c r="E481" t="s">
        <v>2708</v>
      </c>
      <c r="F481" t="s">
        <v>148</v>
      </c>
      <c r="H481" t="s">
        <v>1698</v>
      </c>
      <c r="I481" s="422">
        <v>45740</v>
      </c>
      <c r="J481" s="422">
        <v>45912</v>
      </c>
      <c r="K481">
        <v>9200</v>
      </c>
      <c r="L481">
        <v>0</v>
      </c>
      <c r="M481" t="s">
        <v>2709</v>
      </c>
      <c r="N481" t="s">
        <v>2639</v>
      </c>
      <c r="O481" t="str">
        <f>_xlfn.IFNA(VLOOKUP(Table1[[#This Row],[Lead Source]],'helper tab'!A:B,2,FALSE),"Exclude")</f>
        <v>Alliances</v>
      </c>
      <c r="P481" s="422">
        <f t="shared" si="77"/>
        <v>45922.35833333333</v>
      </c>
      <c r="Q481">
        <f t="shared" si="78"/>
        <v>1</v>
      </c>
      <c r="R481">
        <f t="shared" si="79"/>
        <v>0</v>
      </c>
      <c r="S481">
        <f>IF(
AND($Q481=1,$M481&lt;&gt;""),
IF(
COUNTIFS(
$M$3:$M481,$M481,
$O$3:$O481,$O481,
$Q$3:$Q481,1,
$P$3:$P481,"&gt;="&amp;EOMONTH($P481,-1)+1,
$P$3:$P481,"&lt;"&amp;EOMONTH($P481,0)+1
)=1,
1,
0),
0)</f>
        <v>1</v>
      </c>
      <c r="T481">
        <f>IF(AND($R481=1,$M481&lt;&gt;""),IF(COUNTIFS($M$3:$M481,$M481,$O$3:$O481,$O481,$R$3:$R481,1,$P$3:$P481,"&gt;="&amp;EOMONTH($P481,-1)+1,$P$3:$P481,"&lt;"&amp;EOMONTH($P481,0)+1)=1,1,0),0)</f>
        <v>0</v>
      </c>
      <c r="U481">
        <f t="shared" si="80"/>
        <v>0</v>
      </c>
      <c r="V481">
        <f>IF(AND($U481=1,$M481&lt;&gt;""),IF(COUNTIFS($M$3:$M481,$M481,$O$3:$O481,$O481,$U$3:$U481,1,$P$3:$P481,"&gt;="&amp;EOMONTH($P481,-1)+1,$P$3:$P481,"&lt;"&amp;EOMONTH($P481,0)+1)=1,1,0),0)</f>
        <v>0</v>
      </c>
      <c r="W481" s="444">
        <f ca="1">TODAY()-Table1[[#This Row],[Change Date]]</f>
        <v>335.64166666667006</v>
      </c>
      <c r="X481" s="422">
        <f t="shared" si="81"/>
        <v>45930.372916666667</v>
      </c>
      <c r="Y481" s="476">
        <f ca="1">IF(Table1[[#This Row],[Next Stage Date]]&lt;&gt;"",Table1[[#This Row],[Next Stage Date]]-Table1[[#This Row],[Change Date]],TODAY()-Table1[[#This Row],[Change Date]])</f>
        <v>8.0145833333372138</v>
      </c>
      <c r="Z481" s="476">
        <f t="shared" si="82"/>
        <v>0</v>
      </c>
      <c r="AA481" s="422">
        <f t="shared" si="83"/>
        <v>45930.372916666667</v>
      </c>
      <c r="AB481" s="422">
        <f t="shared" si="84"/>
        <v>45875.271527777775</v>
      </c>
      <c r="AC481" s="476">
        <f t="shared" si="85"/>
        <v>135.27152777777519</v>
      </c>
      <c r="AD481" s="476">
        <f t="shared" si="86"/>
        <v>55.101388888891961</v>
      </c>
      <c r="AE481" s="476">
        <f t="shared" si="87"/>
        <v>190.37291666666715</v>
      </c>
      <c r="AF481" s="476" t="b">
        <f>IFERROR(_xlfn.XLOOKUP(Table1[[#This Row],[Opportunity ID]],'Aging Detail'!$H$14:$H$20,'Aging Detail'!$F$14:$F$20),TRUE)</f>
        <v>1</v>
      </c>
    </row>
    <row r="482" spans="1:32">
      <c r="A482" t="s">
        <v>1461</v>
      </c>
      <c r="B482" t="s">
        <v>526</v>
      </c>
      <c r="C482" t="s">
        <v>563</v>
      </c>
      <c r="D482" t="s">
        <v>2727</v>
      </c>
      <c r="E482" t="s">
        <v>590</v>
      </c>
      <c r="F482" t="s">
        <v>1465</v>
      </c>
      <c r="G482" t="s">
        <v>470</v>
      </c>
      <c r="I482" s="422">
        <v>45741</v>
      </c>
      <c r="J482" s="422">
        <v>45919</v>
      </c>
      <c r="K482">
        <v>10000</v>
      </c>
      <c r="L482">
        <v>0</v>
      </c>
      <c r="M482" t="s">
        <v>2728</v>
      </c>
      <c r="N482" t="s">
        <v>582</v>
      </c>
      <c r="O482" t="str">
        <f>_xlfn.IFNA(VLOOKUP(Table1[[#This Row],[Lead Source]],'helper tab'!A:B,2,FALSE),"Exclude")</f>
        <v>Exclude</v>
      </c>
      <c r="P482" s="422">
        <f t="shared" si="77"/>
        <v>45922.352083333331</v>
      </c>
      <c r="Q482">
        <f t="shared" si="78"/>
        <v>0</v>
      </c>
      <c r="R482">
        <f t="shared" si="79"/>
        <v>1</v>
      </c>
      <c r="S482">
        <f>IF(
AND($Q482=1,$M482&lt;&gt;""),
IF(
COUNTIFS(
$M$3:$M482,$M482,
$O$3:$O482,$O482,
$Q$3:$Q482,1,
$P$3:$P482,"&gt;="&amp;EOMONTH($P482,-1)+1,
$P$3:$P482,"&lt;"&amp;EOMONTH($P482,0)+1
)=1,
1,
0),
0)</f>
        <v>0</v>
      </c>
      <c r="T482">
        <f>IF(AND($R482=1,$M482&lt;&gt;""),IF(COUNTIFS($M$3:$M482,$M482,$O$3:$O482,$O482,$R$3:$R482,1,$P$3:$P482,"&gt;="&amp;EOMONTH($P482,-1)+1,$P$3:$P482,"&lt;"&amp;EOMONTH($P482,0)+1)=1,1,0),0)</f>
        <v>1</v>
      </c>
      <c r="U482">
        <f t="shared" si="80"/>
        <v>0</v>
      </c>
      <c r="V482">
        <f>IF(AND($U482=1,$M482&lt;&gt;""),IF(COUNTIFS($M$3:$M482,$M482,$O$3:$O482,$O482,$U$3:$U482,1,$P$3:$P482,"&gt;="&amp;EOMONTH($P482,-1)+1,$P$3:$P482,"&lt;"&amp;EOMONTH($P482,0)+1)=1,1,0),0)</f>
        <v>0</v>
      </c>
      <c r="W482" s="444">
        <f ca="1">TODAY()-Table1[[#This Row],[Change Date]]</f>
        <v>335.64791666666861</v>
      </c>
      <c r="X482" s="422" t="str">
        <f t="shared" si="81"/>
        <v/>
      </c>
      <c r="Y482" s="476">
        <f ca="1">IF(Table1[[#This Row],[Next Stage Date]]&lt;&gt;"",Table1[[#This Row],[Next Stage Date]]-Table1[[#This Row],[Change Date]],TODAY()-Table1[[#This Row],[Change Date]])</f>
        <v>335.64791666666861</v>
      </c>
      <c r="Z482" s="476">
        <f t="shared" si="82"/>
        <v>1</v>
      </c>
      <c r="AA482" s="422">
        <f t="shared" si="83"/>
        <v>45922.352083333331</v>
      </c>
      <c r="AB482" s="422">
        <f t="shared" si="84"/>
        <v>45921.448611111111</v>
      </c>
      <c r="AC482" s="476">
        <f t="shared" si="85"/>
        <v>180.44861111111095</v>
      </c>
      <c r="AD482" s="476">
        <f t="shared" si="86"/>
        <v>0.90347222222044365</v>
      </c>
      <c r="AE482" s="476">
        <f t="shared" si="87"/>
        <v>181.35208333333139</v>
      </c>
      <c r="AF482" s="476" t="b">
        <f>IFERROR(_xlfn.XLOOKUP(Table1[[#This Row],[Opportunity ID]],'Aging Detail'!$H$14:$H$20,'Aging Detail'!$F$14:$F$20),TRUE)</f>
        <v>1</v>
      </c>
    </row>
    <row r="483" spans="1:32">
      <c r="A483" t="s">
        <v>1461</v>
      </c>
      <c r="B483" t="s">
        <v>462</v>
      </c>
      <c r="C483" t="s">
        <v>526</v>
      </c>
      <c r="D483" t="s">
        <v>2727</v>
      </c>
      <c r="E483" t="s">
        <v>590</v>
      </c>
      <c r="F483" t="s">
        <v>1465</v>
      </c>
      <c r="G483" t="s">
        <v>470</v>
      </c>
      <c r="I483" s="422">
        <v>45741</v>
      </c>
      <c r="J483" s="422">
        <v>45919</v>
      </c>
      <c r="K483">
        <v>10000</v>
      </c>
      <c r="L483">
        <v>0</v>
      </c>
      <c r="M483" t="s">
        <v>2728</v>
      </c>
      <c r="N483" t="s">
        <v>582</v>
      </c>
      <c r="O483" t="str">
        <f>_xlfn.IFNA(VLOOKUP(Table1[[#This Row],[Lead Source]],'helper tab'!A:B,2,FALSE),"Exclude")</f>
        <v>Exclude</v>
      </c>
      <c r="P483" s="422">
        <f t="shared" si="77"/>
        <v>45922.352083333331</v>
      </c>
      <c r="Q483">
        <f t="shared" si="78"/>
        <v>1</v>
      </c>
      <c r="R483">
        <f t="shared" si="79"/>
        <v>0</v>
      </c>
      <c r="S483">
        <f>IF(
AND($Q483=1,$M483&lt;&gt;""),
IF(
COUNTIFS(
$M$3:$M483,$M483,
$O$3:$O483,$O483,
$Q$3:$Q483,1,
$P$3:$P483,"&gt;="&amp;EOMONTH($P483,-1)+1,
$P$3:$P483,"&lt;"&amp;EOMONTH($P483,0)+1
)=1,
1,
0),
0)</f>
        <v>1</v>
      </c>
      <c r="T483">
        <f>IF(AND($R483=1,$M483&lt;&gt;""),IF(COUNTIFS($M$3:$M483,$M483,$O$3:$O483,$O483,$R$3:$R483,1,$P$3:$P483,"&gt;="&amp;EOMONTH($P483,-1)+1,$P$3:$P483,"&lt;"&amp;EOMONTH($P483,0)+1)=1,1,0),0)</f>
        <v>0</v>
      </c>
      <c r="U483">
        <f t="shared" si="80"/>
        <v>0</v>
      </c>
      <c r="V483">
        <f>IF(AND($U483=1,$M483&lt;&gt;""),IF(COUNTIFS($M$3:$M483,$M483,$O$3:$O483,$O483,$U$3:$U483,1,$P$3:$P483,"&gt;="&amp;EOMONTH($P483,-1)+1,$P$3:$P483,"&lt;"&amp;EOMONTH($P483,0)+1)=1,1,0),0)</f>
        <v>0</v>
      </c>
      <c r="W483" s="444">
        <f ca="1">TODAY()-Table1[[#This Row],[Change Date]]</f>
        <v>335.64791666666861</v>
      </c>
      <c r="X483" s="422" t="str">
        <f t="shared" si="81"/>
        <v/>
      </c>
      <c r="Y483" s="476">
        <f ca="1">IF(Table1[[#This Row],[Next Stage Date]]&lt;&gt;"",Table1[[#This Row],[Next Stage Date]]-Table1[[#This Row],[Change Date]],TODAY()-Table1[[#This Row],[Change Date]])</f>
        <v>335.64791666666861</v>
      </c>
      <c r="Z483" s="476">
        <f t="shared" si="82"/>
        <v>1</v>
      </c>
      <c r="AA483" s="422">
        <f t="shared" si="83"/>
        <v>45922.352083333331</v>
      </c>
      <c r="AB483" s="422">
        <f t="shared" si="84"/>
        <v>45921.448611111111</v>
      </c>
      <c r="AC483" s="476">
        <f t="shared" si="85"/>
        <v>180.44861111111095</v>
      </c>
      <c r="AD483" s="476">
        <f t="shared" si="86"/>
        <v>0.90347222222044365</v>
      </c>
      <c r="AE483" s="476">
        <f t="shared" si="87"/>
        <v>181.35208333333139</v>
      </c>
      <c r="AF483" s="476" t="b">
        <f>IFERROR(_xlfn.XLOOKUP(Table1[[#This Row],[Opportunity ID]],'Aging Detail'!$H$14:$H$20,'Aging Detail'!$F$14:$F$20),TRUE)</f>
        <v>1</v>
      </c>
    </row>
    <row r="484" spans="1:32">
      <c r="A484" t="s">
        <v>1461</v>
      </c>
      <c r="B484" t="s">
        <v>1462</v>
      </c>
      <c r="C484" t="s">
        <v>462</v>
      </c>
      <c r="D484" t="s">
        <v>2729</v>
      </c>
      <c r="E484" t="s">
        <v>590</v>
      </c>
      <c r="F484" t="s">
        <v>1465</v>
      </c>
      <c r="G484" t="s">
        <v>470</v>
      </c>
      <c r="I484" s="422">
        <v>45741</v>
      </c>
      <c r="J484" s="422">
        <v>45919</v>
      </c>
      <c r="K484">
        <v>10000</v>
      </c>
      <c r="L484">
        <v>0</v>
      </c>
      <c r="M484" t="s">
        <v>2728</v>
      </c>
      <c r="N484" t="s">
        <v>582</v>
      </c>
      <c r="O484" t="str">
        <f>_xlfn.IFNA(VLOOKUP(Table1[[#This Row],[Lead Source]],'helper tab'!A:B,2,FALSE),"Exclude")</f>
        <v>Exclude</v>
      </c>
      <c r="P484" s="422">
        <f t="shared" si="77"/>
        <v>45922.35</v>
      </c>
      <c r="Q484">
        <f t="shared" si="78"/>
        <v>1</v>
      </c>
      <c r="R484">
        <f t="shared" si="79"/>
        <v>0</v>
      </c>
      <c r="S484">
        <f>IF(
AND($Q484=1,$M484&lt;&gt;""),
IF(
COUNTIFS(
$M$3:$M484,$M484,
$O$3:$O484,$O484,
$Q$3:$Q484,1,
$P$3:$P484,"&gt;="&amp;EOMONTH($P484,-1)+1,
$P$3:$P484,"&lt;"&amp;EOMONTH($P484,0)+1
)=1,
1,
0),
0)</f>
        <v>0</v>
      </c>
      <c r="T484">
        <f>IF(AND($R484=1,$M484&lt;&gt;""),IF(COUNTIFS($M$3:$M484,$M484,$O$3:$O484,$O484,$R$3:$R484,1,$P$3:$P484,"&gt;="&amp;EOMONTH($P484,-1)+1,$P$3:$P484,"&lt;"&amp;EOMONTH($P484,0)+1)=1,1,0),0)</f>
        <v>0</v>
      </c>
      <c r="U484">
        <f t="shared" si="80"/>
        <v>0</v>
      </c>
      <c r="V484">
        <f>IF(AND($U484=1,$M484&lt;&gt;""),IF(COUNTIFS($M$3:$M484,$M484,$O$3:$O484,$O484,$U$3:$U484,1,$P$3:$P484,"&gt;="&amp;EOMONTH($P484,-1)+1,$P$3:$P484,"&lt;"&amp;EOMONTH($P484,0)+1)=1,1,0),0)</f>
        <v>0</v>
      </c>
      <c r="W484" s="444">
        <f ca="1">TODAY()-Table1[[#This Row],[Change Date]]</f>
        <v>335.65000000000146</v>
      </c>
      <c r="X484" s="422">
        <f t="shared" si="81"/>
        <v>45922.352083333331</v>
      </c>
      <c r="Y484" s="476">
        <f ca="1">IF(Table1[[#This Row],[Next Stage Date]]&lt;&gt;"",Table1[[#This Row],[Next Stage Date]]-Table1[[#This Row],[Change Date]],TODAY()-Table1[[#This Row],[Change Date]])</f>
        <v>2.0833333328482695E-3</v>
      </c>
      <c r="Z484" s="476">
        <f t="shared" si="82"/>
        <v>0</v>
      </c>
      <c r="AA484" s="422">
        <f t="shared" si="83"/>
        <v>45922.352083333331</v>
      </c>
      <c r="AB484" s="422">
        <f t="shared" si="84"/>
        <v>45921.448611111111</v>
      </c>
      <c r="AC484" s="476">
        <f t="shared" si="85"/>
        <v>180.44861111111095</v>
      </c>
      <c r="AD484" s="476">
        <f t="shared" si="86"/>
        <v>0.90347222222044365</v>
      </c>
      <c r="AE484" s="476">
        <f t="shared" si="87"/>
        <v>181.35208333333139</v>
      </c>
      <c r="AF484" s="476" t="b">
        <f>IFERROR(_xlfn.XLOOKUP(Table1[[#This Row],[Opportunity ID]],'Aging Detail'!$H$14:$H$20,'Aging Detail'!$F$14:$F$20),TRUE)</f>
        <v>1</v>
      </c>
    </row>
    <row r="485" spans="1:32">
      <c r="A485" t="s">
        <v>1461</v>
      </c>
      <c r="B485" t="s">
        <v>462</v>
      </c>
      <c r="C485" t="s">
        <v>1462</v>
      </c>
      <c r="D485" t="s">
        <v>2730</v>
      </c>
      <c r="E485" t="s">
        <v>590</v>
      </c>
      <c r="F485" t="s">
        <v>1465</v>
      </c>
      <c r="G485" t="s">
        <v>470</v>
      </c>
      <c r="I485" s="422">
        <v>45741</v>
      </c>
      <c r="J485" s="422">
        <v>45919</v>
      </c>
      <c r="K485">
        <v>10000</v>
      </c>
      <c r="L485">
        <v>0</v>
      </c>
      <c r="M485" t="s">
        <v>2728</v>
      </c>
      <c r="N485" t="s">
        <v>582</v>
      </c>
      <c r="O485" t="str">
        <f>_xlfn.IFNA(VLOOKUP(Table1[[#This Row],[Lead Source]],'helper tab'!A:B,2,FALSE),"Exclude")</f>
        <v>Exclude</v>
      </c>
      <c r="P485" s="422">
        <f t="shared" si="77"/>
        <v>45921.45208333333</v>
      </c>
      <c r="Q485">
        <f t="shared" si="78"/>
        <v>0</v>
      </c>
      <c r="R485">
        <f t="shared" si="79"/>
        <v>0</v>
      </c>
      <c r="S485">
        <f>IF(
AND($Q485=1,$M485&lt;&gt;""),
IF(
COUNTIFS(
$M$3:$M485,$M485,
$O$3:$O485,$O485,
$Q$3:$Q485,1,
$P$3:$P485,"&gt;="&amp;EOMONTH($P485,-1)+1,
$P$3:$P485,"&lt;"&amp;EOMONTH($P485,0)+1
)=1,
1,
0),
0)</f>
        <v>0</v>
      </c>
      <c r="T485">
        <f>IF(AND($R485=1,$M485&lt;&gt;""),IF(COUNTIFS($M$3:$M485,$M485,$O$3:$O485,$O485,$R$3:$R485,1,$P$3:$P485,"&gt;="&amp;EOMONTH($P485,-1)+1,$P$3:$P485,"&lt;"&amp;EOMONTH($P485,0)+1)=1,1,0),0)</f>
        <v>0</v>
      </c>
      <c r="U485">
        <f t="shared" si="80"/>
        <v>0</v>
      </c>
      <c r="V485">
        <f>IF(AND($U485=1,$M485&lt;&gt;""),IF(COUNTIFS($M$3:$M485,$M485,$O$3:$O485,$O485,$U$3:$U485,1,$P$3:$P485,"&gt;="&amp;EOMONTH($P485,-1)+1,$P$3:$P485,"&lt;"&amp;EOMONTH($P485,0)+1)=1,1,0),0)</f>
        <v>0</v>
      </c>
      <c r="W485" s="444">
        <f ca="1">TODAY()-Table1[[#This Row],[Change Date]]</f>
        <v>336.54791666667006</v>
      </c>
      <c r="X485" s="422">
        <f t="shared" si="81"/>
        <v>45922.35</v>
      </c>
      <c r="Y485" s="476">
        <f ca="1">IF(Table1[[#This Row],[Next Stage Date]]&lt;&gt;"",Table1[[#This Row],[Next Stage Date]]-Table1[[#This Row],[Change Date]],TODAY()-Table1[[#This Row],[Change Date]])</f>
        <v>0.89791666666860692</v>
      </c>
      <c r="Z485" s="476">
        <f t="shared" si="82"/>
        <v>0</v>
      </c>
      <c r="AA485" s="422">
        <f t="shared" si="83"/>
        <v>45922.352083333331</v>
      </c>
      <c r="AB485" s="422">
        <f t="shared" si="84"/>
        <v>45921.448611111111</v>
      </c>
      <c r="AC485" s="476">
        <f t="shared" si="85"/>
        <v>180.44861111111095</v>
      </c>
      <c r="AD485" s="476">
        <f t="shared" si="86"/>
        <v>0.90347222222044365</v>
      </c>
      <c r="AE485" s="476">
        <f t="shared" si="87"/>
        <v>181.35208333333139</v>
      </c>
      <c r="AF485" s="476" t="b">
        <f>IFERROR(_xlfn.XLOOKUP(Table1[[#This Row],[Opportunity ID]],'Aging Detail'!$H$14:$H$20,'Aging Detail'!$F$14:$F$20),TRUE)</f>
        <v>1</v>
      </c>
    </row>
    <row r="486" spans="1:32">
      <c r="A486" t="s">
        <v>1461</v>
      </c>
      <c r="B486" t="s">
        <v>1462</v>
      </c>
      <c r="C486" t="s">
        <v>462</v>
      </c>
      <c r="D486" t="s">
        <v>2731</v>
      </c>
      <c r="E486" t="s">
        <v>590</v>
      </c>
      <c r="F486" t="s">
        <v>1465</v>
      </c>
      <c r="G486" t="s">
        <v>470</v>
      </c>
      <c r="I486" s="422">
        <v>45741</v>
      </c>
      <c r="J486" s="422">
        <v>45919</v>
      </c>
      <c r="K486">
        <v>10000</v>
      </c>
      <c r="L486">
        <v>0</v>
      </c>
      <c r="M486" t="s">
        <v>2728</v>
      </c>
      <c r="N486" t="s">
        <v>582</v>
      </c>
      <c r="O486" t="str">
        <f>_xlfn.IFNA(VLOOKUP(Table1[[#This Row],[Lead Source]],'helper tab'!A:B,2,FALSE),"Exclude")</f>
        <v>Exclude</v>
      </c>
      <c r="P486" s="422">
        <f t="shared" si="77"/>
        <v>45921.448611111111</v>
      </c>
      <c r="Q486">
        <f t="shared" si="78"/>
        <v>1</v>
      </c>
      <c r="R486">
        <f t="shared" si="79"/>
        <v>0</v>
      </c>
      <c r="S486">
        <f>IF(
AND($Q486=1,$M486&lt;&gt;""),
IF(
COUNTIFS(
$M$3:$M486,$M486,
$O$3:$O486,$O486,
$Q$3:$Q486,1,
$P$3:$P486,"&gt;="&amp;EOMONTH($P486,-1)+1,
$P$3:$P486,"&lt;"&amp;EOMONTH($P486,0)+1
)=1,
1,
0),
0)</f>
        <v>0</v>
      </c>
      <c r="T486">
        <f>IF(AND($R486=1,$M486&lt;&gt;""),IF(COUNTIFS($M$3:$M486,$M486,$O$3:$O486,$O486,$R$3:$R486,1,$P$3:$P486,"&gt;="&amp;EOMONTH($P486,-1)+1,$P$3:$P486,"&lt;"&amp;EOMONTH($P486,0)+1)=1,1,0),0)</f>
        <v>0</v>
      </c>
      <c r="U486">
        <f t="shared" si="80"/>
        <v>0</v>
      </c>
      <c r="V486">
        <f>IF(AND($U486=1,$M486&lt;&gt;""),IF(COUNTIFS($M$3:$M486,$M486,$O$3:$O486,$O486,$U$3:$U486,1,$P$3:$P486,"&gt;="&amp;EOMONTH($P486,-1)+1,$P$3:$P486,"&lt;"&amp;EOMONTH($P486,0)+1)=1,1,0),0)</f>
        <v>0</v>
      </c>
      <c r="W486" s="444">
        <f ca="1">TODAY()-Table1[[#This Row],[Change Date]]</f>
        <v>336.55138888888905</v>
      </c>
      <c r="X486" s="422">
        <f t="shared" si="81"/>
        <v>45921.45208333333</v>
      </c>
      <c r="Y486" s="476">
        <f ca="1">IF(Table1[[#This Row],[Next Stage Date]]&lt;&gt;"",Table1[[#This Row],[Next Stage Date]]-Table1[[#This Row],[Change Date]],TODAY()-Table1[[#This Row],[Change Date]])</f>
        <v>3.4722222189884633E-3</v>
      </c>
      <c r="Z486" s="476">
        <f t="shared" si="82"/>
        <v>0</v>
      </c>
      <c r="AA486" s="422">
        <f t="shared" si="83"/>
        <v>45922.352083333331</v>
      </c>
      <c r="AB486" s="422">
        <f t="shared" si="84"/>
        <v>45921.448611111111</v>
      </c>
      <c r="AC486" s="476">
        <f t="shared" si="85"/>
        <v>180.44861111111095</v>
      </c>
      <c r="AD486" s="476">
        <f t="shared" si="86"/>
        <v>0.90347222222044365</v>
      </c>
      <c r="AE486" s="476">
        <f t="shared" si="87"/>
        <v>181.35208333333139</v>
      </c>
      <c r="AF486" s="476" t="b">
        <f>IFERROR(_xlfn.XLOOKUP(Table1[[#This Row],[Opportunity ID]],'Aging Detail'!$H$14:$H$20,'Aging Detail'!$F$14:$F$20),TRUE)</f>
        <v>1</v>
      </c>
    </row>
    <row r="487" spans="1:32">
      <c r="A487" t="s">
        <v>1461</v>
      </c>
      <c r="B487" t="s">
        <v>408</v>
      </c>
      <c r="C487" t="s">
        <v>1462</v>
      </c>
      <c r="D487" t="s">
        <v>2731</v>
      </c>
      <c r="E487" t="s">
        <v>590</v>
      </c>
      <c r="F487" t="s">
        <v>1465</v>
      </c>
      <c r="G487" t="s">
        <v>470</v>
      </c>
      <c r="I487" s="422">
        <v>45741</v>
      </c>
      <c r="J487" s="422">
        <v>45919</v>
      </c>
      <c r="K487">
        <v>10000</v>
      </c>
      <c r="L487">
        <v>0</v>
      </c>
      <c r="M487" t="s">
        <v>2728</v>
      </c>
      <c r="N487" t="s">
        <v>582</v>
      </c>
      <c r="O487" t="str">
        <f>_xlfn.IFNA(VLOOKUP(Table1[[#This Row],[Lead Source]],'helper tab'!A:B,2,FALSE),"Exclude")</f>
        <v>Exclude</v>
      </c>
      <c r="P487" s="422">
        <f t="shared" si="77"/>
        <v>45921.448611111111</v>
      </c>
      <c r="Q487">
        <f t="shared" si="78"/>
        <v>0</v>
      </c>
      <c r="R487">
        <f t="shared" si="79"/>
        <v>0</v>
      </c>
      <c r="S487">
        <f>IF(
AND($Q487=1,$M487&lt;&gt;""),
IF(
COUNTIFS(
$M$3:$M487,$M487,
$O$3:$O487,$O487,
$Q$3:$Q487,1,
$P$3:$P487,"&gt;="&amp;EOMONTH($P487,-1)+1,
$P$3:$P487,"&lt;"&amp;EOMONTH($P487,0)+1
)=1,
1,
0),
0)</f>
        <v>0</v>
      </c>
      <c r="T487">
        <f>IF(AND($R487=1,$M487&lt;&gt;""),IF(COUNTIFS($M$3:$M487,$M487,$O$3:$O487,$O487,$R$3:$R487,1,$P$3:$P487,"&gt;="&amp;EOMONTH($P487,-1)+1,$P$3:$P487,"&lt;"&amp;EOMONTH($P487,0)+1)=1,1,0),0)</f>
        <v>0</v>
      </c>
      <c r="U487">
        <f t="shared" si="80"/>
        <v>0</v>
      </c>
      <c r="V487">
        <f>IF(AND($U487=1,$M487&lt;&gt;""),IF(COUNTIFS($M$3:$M487,$M487,$O$3:$O487,$O487,$U$3:$U487,1,$P$3:$P487,"&gt;="&amp;EOMONTH($P487,-1)+1,$P$3:$P487,"&lt;"&amp;EOMONTH($P487,0)+1)=1,1,0),0)</f>
        <v>0</v>
      </c>
      <c r="W487" s="444">
        <f ca="1">TODAY()-Table1[[#This Row],[Change Date]]</f>
        <v>336.55138888888905</v>
      </c>
      <c r="X487" s="422">
        <f t="shared" si="81"/>
        <v>45921.45208333333</v>
      </c>
      <c r="Y487" s="476">
        <f ca="1">IF(Table1[[#This Row],[Next Stage Date]]&lt;&gt;"",Table1[[#This Row],[Next Stage Date]]-Table1[[#This Row],[Change Date]],TODAY()-Table1[[#This Row],[Change Date]])</f>
        <v>3.4722222189884633E-3</v>
      </c>
      <c r="Z487" s="476">
        <f t="shared" si="82"/>
        <v>0</v>
      </c>
      <c r="AA487" s="422">
        <f t="shared" si="83"/>
        <v>45922.352083333331</v>
      </c>
      <c r="AB487" s="422">
        <f t="shared" si="84"/>
        <v>45921.448611111111</v>
      </c>
      <c r="AC487" s="476">
        <f t="shared" si="85"/>
        <v>180.44861111111095</v>
      </c>
      <c r="AD487" s="476">
        <f t="shared" si="86"/>
        <v>0.90347222222044365</v>
      </c>
      <c r="AE487" s="476">
        <f t="shared" si="87"/>
        <v>181.35208333333139</v>
      </c>
      <c r="AF487" s="476" t="b">
        <f>IFERROR(_xlfn.XLOOKUP(Table1[[#This Row],[Opportunity ID]],'Aging Detail'!$H$14:$H$20,'Aging Detail'!$F$14:$F$20),TRUE)</f>
        <v>1</v>
      </c>
    </row>
    <row r="488" spans="1:32">
      <c r="A488" t="s">
        <v>1461</v>
      </c>
      <c r="B488" t="s">
        <v>408</v>
      </c>
      <c r="C488" t="s">
        <v>1462</v>
      </c>
      <c r="D488" t="s">
        <v>2732</v>
      </c>
      <c r="E488" t="s">
        <v>2360</v>
      </c>
      <c r="F488" t="s">
        <v>148</v>
      </c>
      <c r="G488" t="s">
        <v>148</v>
      </c>
      <c r="H488" t="s">
        <v>2105</v>
      </c>
      <c r="I488" s="422">
        <v>45890</v>
      </c>
      <c r="J488" s="422">
        <v>46350</v>
      </c>
      <c r="K488">
        <v>273000</v>
      </c>
      <c r="L488">
        <v>133000</v>
      </c>
      <c r="M488" t="s">
        <v>2361</v>
      </c>
      <c r="N488" t="s">
        <v>732</v>
      </c>
      <c r="O488" t="str">
        <f>_xlfn.IFNA(VLOOKUP(Table1[[#This Row],[Lead Source]],'helper tab'!A:B,2,FALSE),"Exclude")</f>
        <v>Alliances</v>
      </c>
      <c r="P488" s="422">
        <f t="shared" si="77"/>
        <v>45915.306250000001</v>
      </c>
      <c r="Q488">
        <f t="shared" si="78"/>
        <v>0</v>
      </c>
      <c r="R488">
        <f t="shared" si="79"/>
        <v>0</v>
      </c>
      <c r="S488">
        <f>IF(
AND($Q488=1,$M488&lt;&gt;""),
IF(
COUNTIFS(
$M$3:$M488,$M488,
$O$3:$O488,$O488,
$Q$3:$Q488,1,
$P$3:$P488,"&gt;="&amp;EOMONTH($P488,-1)+1,
$P$3:$P488,"&lt;"&amp;EOMONTH($P488,0)+1
)=1,
1,
0),
0)</f>
        <v>0</v>
      </c>
      <c r="T488">
        <f>IF(AND($R488=1,$M488&lt;&gt;""),IF(COUNTIFS($M$3:$M488,$M488,$O$3:$O488,$O488,$R$3:$R488,1,$P$3:$P488,"&gt;="&amp;EOMONTH($P488,-1)+1,$P$3:$P488,"&lt;"&amp;EOMONTH($P488,0)+1)=1,1,0),0)</f>
        <v>0</v>
      </c>
      <c r="U488">
        <f t="shared" si="80"/>
        <v>0</v>
      </c>
      <c r="V488">
        <f>IF(AND($U488=1,$M488&lt;&gt;""),IF(COUNTIFS($M$3:$M488,$M488,$O$3:$O488,$O488,$U$3:$U488,1,$P$3:$P488,"&gt;="&amp;EOMONTH($P488,-1)+1,$P$3:$P488,"&lt;"&amp;EOMONTH($P488,0)+1)=1,1,0),0)</f>
        <v>0</v>
      </c>
      <c r="W488" s="444">
        <f ca="1">TODAY()-Table1[[#This Row],[Change Date]]</f>
        <v>342.69374999999854</v>
      </c>
      <c r="X488" s="422">
        <f t="shared" si="81"/>
        <v>46029.454861111109</v>
      </c>
      <c r="Y488" s="476">
        <f ca="1">IF(Table1[[#This Row],[Next Stage Date]]&lt;&gt;"",Table1[[#This Row],[Next Stage Date]]-Table1[[#This Row],[Change Date]],TODAY()-Table1[[#This Row],[Change Date]])</f>
        <v>114.14861111110804</v>
      </c>
      <c r="Z488" s="476">
        <f t="shared" si="82"/>
        <v>0</v>
      </c>
      <c r="AA488" s="422" t="str">
        <f t="shared" si="83"/>
        <v/>
      </c>
      <c r="AB488" s="422" t="str">
        <f t="shared" si="84"/>
        <v/>
      </c>
      <c r="AC488" s="476" t="str">
        <f t="shared" si="85"/>
        <v/>
      </c>
      <c r="AD488" s="476" t="str">
        <f t="shared" si="86"/>
        <v/>
      </c>
      <c r="AE488" s="476" t="str">
        <f t="shared" si="87"/>
        <v/>
      </c>
      <c r="AF488" s="476" t="b">
        <f>IFERROR(_xlfn.XLOOKUP(Table1[[#This Row],[Opportunity ID]],'Aging Detail'!$H$14:$H$20,'Aging Detail'!$F$14:$F$20),TRUE)</f>
        <v>1</v>
      </c>
    </row>
    <row r="489" spans="1:32">
      <c r="A489" t="s">
        <v>1461</v>
      </c>
      <c r="B489" t="s">
        <v>408</v>
      </c>
      <c r="C489" t="s">
        <v>1462</v>
      </c>
      <c r="D489" t="s">
        <v>2733</v>
      </c>
      <c r="E489" t="s">
        <v>2170</v>
      </c>
      <c r="F489" t="s">
        <v>1473</v>
      </c>
      <c r="H489" t="s">
        <v>157</v>
      </c>
      <c r="I489" s="422">
        <v>45448</v>
      </c>
      <c r="J489" s="422">
        <v>46265</v>
      </c>
      <c r="K489">
        <v>261228.2</v>
      </c>
      <c r="L489">
        <v>238567.2</v>
      </c>
      <c r="M489" t="s">
        <v>2171</v>
      </c>
      <c r="N489" t="s">
        <v>1767</v>
      </c>
      <c r="O489" t="str">
        <f>_xlfn.IFNA(VLOOKUP(Table1[[#This Row],[Lead Source]],'helper tab'!A:B,2,FALSE),"Exclude")</f>
        <v>Events</v>
      </c>
      <c r="P489" s="422">
        <f t="shared" si="77"/>
        <v>45912.588888888888</v>
      </c>
      <c r="Q489">
        <f t="shared" si="78"/>
        <v>0</v>
      </c>
      <c r="R489">
        <f t="shared" si="79"/>
        <v>0</v>
      </c>
      <c r="S489">
        <f>IF(
AND($Q489=1,$M489&lt;&gt;""),
IF(
COUNTIFS(
$M$3:$M489,$M489,
$O$3:$O489,$O489,
$Q$3:$Q489,1,
$P$3:$P489,"&gt;="&amp;EOMONTH($P489,-1)+1,
$P$3:$P489,"&lt;"&amp;EOMONTH($P489,0)+1
)=1,
1,
0),
0)</f>
        <v>0</v>
      </c>
      <c r="T489">
        <f>IF(AND($R489=1,$M489&lt;&gt;""),IF(COUNTIFS($M$3:$M489,$M489,$O$3:$O489,$O489,$R$3:$R489,1,$P$3:$P489,"&gt;="&amp;EOMONTH($P489,-1)+1,$P$3:$P489,"&lt;"&amp;EOMONTH($P489,0)+1)=1,1,0),0)</f>
        <v>0</v>
      </c>
      <c r="U489">
        <f t="shared" si="80"/>
        <v>0</v>
      </c>
      <c r="V489">
        <f>IF(AND($U489=1,$M489&lt;&gt;""),IF(COUNTIFS($M$3:$M489,$M489,$O$3:$O489,$O489,$U$3:$U489,1,$P$3:$P489,"&gt;="&amp;EOMONTH($P489,-1)+1,$P$3:$P489,"&lt;"&amp;EOMONTH($P489,0)+1)=1,1,0),0)</f>
        <v>0</v>
      </c>
      <c r="W489" s="444">
        <f ca="1">TODAY()-Table1[[#This Row],[Change Date]]</f>
        <v>345.4111111111124</v>
      </c>
      <c r="X489" s="422">
        <f t="shared" si="81"/>
        <v>46091.411805555559</v>
      </c>
      <c r="Y489" s="476">
        <f ca="1">IF(Table1[[#This Row],[Next Stage Date]]&lt;&gt;"",Table1[[#This Row],[Next Stage Date]]-Table1[[#This Row],[Change Date]],TODAY()-Table1[[#This Row],[Change Date]])</f>
        <v>178.82291666667152</v>
      </c>
      <c r="Z489" s="476">
        <f t="shared" si="82"/>
        <v>0</v>
      </c>
      <c r="AA489" s="422" t="str">
        <f t="shared" si="83"/>
        <v/>
      </c>
      <c r="AB489" s="422">
        <f t="shared" si="84"/>
        <v>46091.411805555559</v>
      </c>
      <c r="AC489" s="476">
        <f t="shared" si="85"/>
        <v>643.41180555555911</v>
      </c>
      <c r="AD489" s="476" t="str">
        <f t="shared" si="86"/>
        <v/>
      </c>
      <c r="AE489" s="476" t="str">
        <f t="shared" si="87"/>
        <v/>
      </c>
      <c r="AF489" s="476" t="b">
        <f>IFERROR(_xlfn.XLOOKUP(Table1[[#This Row],[Opportunity ID]],'Aging Detail'!$H$14:$H$20,'Aging Detail'!$F$14:$F$20),TRUE)</f>
        <v>1</v>
      </c>
    </row>
    <row r="490" spans="1:32">
      <c r="A490" t="s">
        <v>1461</v>
      </c>
      <c r="B490" t="s">
        <v>462</v>
      </c>
      <c r="C490" t="s">
        <v>526</v>
      </c>
      <c r="D490" t="s">
        <v>2734</v>
      </c>
      <c r="E490" t="s">
        <v>2557</v>
      </c>
      <c r="F490" t="s">
        <v>1463</v>
      </c>
      <c r="I490" s="422">
        <v>45455</v>
      </c>
      <c r="J490" s="422">
        <v>45952</v>
      </c>
      <c r="K490">
        <v>161386</v>
      </c>
      <c r="L490">
        <v>74488</v>
      </c>
      <c r="M490" t="s">
        <v>2558</v>
      </c>
      <c r="N490" t="s">
        <v>582</v>
      </c>
      <c r="O490" t="str">
        <f>_xlfn.IFNA(VLOOKUP(Table1[[#This Row],[Lead Source]],'helper tab'!A:B,2,FALSE),"Exclude")</f>
        <v>Cold</v>
      </c>
      <c r="P490" s="422">
        <f t="shared" si="77"/>
        <v>45912.401388888888</v>
      </c>
      <c r="Q490">
        <f t="shared" si="78"/>
        <v>1</v>
      </c>
      <c r="R490">
        <f t="shared" si="79"/>
        <v>0</v>
      </c>
      <c r="S490">
        <f>IF(
AND($Q490=1,$M490&lt;&gt;""),
IF(
COUNTIFS(
$M$3:$M490,$M490,
$O$3:$O490,$O490,
$Q$3:$Q490,1,
$P$3:$P490,"&gt;="&amp;EOMONTH($P490,-1)+1,
$P$3:$P490,"&lt;"&amp;EOMONTH($P490,0)+1
)=1,
1,
0),
0)</f>
        <v>1</v>
      </c>
      <c r="T490">
        <f>IF(AND($R490=1,$M490&lt;&gt;""),IF(COUNTIFS($M$3:$M490,$M490,$O$3:$O490,$O490,$R$3:$R490,1,$P$3:$P490,"&gt;="&amp;EOMONTH($P490,-1)+1,$P$3:$P490,"&lt;"&amp;EOMONTH($P490,0)+1)=1,1,0),0)</f>
        <v>0</v>
      </c>
      <c r="U490">
        <f t="shared" si="80"/>
        <v>0</v>
      </c>
      <c r="V490">
        <f>IF(AND($U490=1,$M490&lt;&gt;""),IF(COUNTIFS($M$3:$M490,$M490,$O$3:$O490,$O490,$U$3:$U490,1,$P$3:$P490,"&gt;="&amp;EOMONTH($P490,-1)+1,$P$3:$P490,"&lt;"&amp;EOMONTH($P490,0)+1)=1,1,0),0)</f>
        <v>0</v>
      </c>
      <c r="W490" s="444">
        <f ca="1">TODAY()-Table1[[#This Row],[Change Date]]</f>
        <v>345.5986111111124</v>
      </c>
      <c r="X490" s="422">
        <f t="shared" si="81"/>
        <v>45954.354166666664</v>
      </c>
      <c r="Y490" s="476">
        <f ca="1">IF(Table1[[#This Row],[Next Stage Date]]&lt;&gt;"",Table1[[#This Row],[Next Stage Date]]-Table1[[#This Row],[Change Date]],TODAY()-Table1[[#This Row],[Change Date]])</f>
        <v>41.952777777776646</v>
      </c>
      <c r="Z490" s="476">
        <f t="shared" si="82"/>
        <v>0</v>
      </c>
      <c r="AA490" s="422">
        <f t="shared" si="83"/>
        <v>45954.354166666664</v>
      </c>
      <c r="AB490" s="422">
        <f t="shared" si="84"/>
        <v>45893.393055555556</v>
      </c>
      <c r="AC490" s="476">
        <f t="shared" si="85"/>
        <v>438.3930555555562</v>
      </c>
      <c r="AD490" s="476">
        <f t="shared" si="86"/>
        <v>60.961111111108039</v>
      </c>
      <c r="AE490" s="476">
        <f t="shared" si="87"/>
        <v>499.35416666666424</v>
      </c>
      <c r="AF490" s="476" t="b">
        <f>IFERROR(_xlfn.XLOOKUP(Table1[[#This Row],[Opportunity ID]],'Aging Detail'!$H$14:$H$20,'Aging Detail'!$F$14:$F$20),TRUE)</f>
        <v>1</v>
      </c>
    </row>
    <row r="491" spans="1:32">
      <c r="A491" t="s">
        <v>1461</v>
      </c>
      <c r="B491" t="s">
        <v>526</v>
      </c>
      <c r="C491" t="s">
        <v>563</v>
      </c>
      <c r="D491" t="s">
        <v>2735</v>
      </c>
      <c r="E491" t="s">
        <v>2736</v>
      </c>
      <c r="I491" s="422">
        <v>45573</v>
      </c>
      <c r="J491" s="422">
        <v>45912</v>
      </c>
      <c r="K491">
        <v>0</v>
      </c>
      <c r="L491">
        <v>0</v>
      </c>
      <c r="M491" t="s">
        <v>2737</v>
      </c>
      <c r="N491" t="s">
        <v>1748</v>
      </c>
      <c r="O491" t="str">
        <f>_xlfn.IFNA(VLOOKUP(Table1[[#This Row],[Lead Source]],'helper tab'!A:B,2,FALSE),"Exclude")</f>
        <v>Exclude</v>
      </c>
      <c r="P491" s="422">
        <f t="shared" si="77"/>
        <v>45912.362500000003</v>
      </c>
      <c r="Q491">
        <f t="shared" si="78"/>
        <v>0</v>
      </c>
      <c r="R491">
        <f t="shared" si="79"/>
        <v>1</v>
      </c>
      <c r="S491">
        <f>IF(
AND($Q491=1,$M491&lt;&gt;""),
IF(
COUNTIFS(
$M$3:$M491,$M491,
$O$3:$O491,$O491,
$Q$3:$Q491,1,
$P$3:$P491,"&gt;="&amp;EOMONTH($P491,-1)+1,
$P$3:$P491,"&lt;"&amp;EOMONTH($P491,0)+1
)=1,
1,
0),
0)</f>
        <v>0</v>
      </c>
      <c r="T491">
        <f>IF(AND($R491=1,$M491&lt;&gt;""),IF(COUNTIFS($M$3:$M491,$M491,$O$3:$O491,$O491,$R$3:$R491,1,$P$3:$P491,"&gt;="&amp;EOMONTH($P491,-1)+1,$P$3:$P491,"&lt;"&amp;EOMONTH($P491,0)+1)=1,1,0),0)</f>
        <v>1</v>
      </c>
      <c r="U491">
        <f t="shared" si="80"/>
        <v>0</v>
      </c>
      <c r="V491">
        <f>IF(AND($U491=1,$M491&lt;&gt;""),IF(COUNTIFS($M$3:$M491,$M491,$O$3:$O491,$O491,$U$3:$U491,1,$P$3:$P491,"&gt;="&amp;EOMONTH($P491,-1)+1,$P$3:$P491,"&lt;"&amp;EOMONTH($P491,0)+1)=1,1,0),0)</f>
        <v>0</v>
      </c>
      <c r="W491" s="444">
        <f ca="1">TODAY()-Table1[[#This Row],[Change Date]]</f>
        <v>345.63749999999709</v>
      </c>
      <c r="X491" s="422" t="str">
        <f t="shared" si="81"/>
        <v/>
      </c>
      <c r="Y491" s="476">
        <f ca="1">IF(Table1[[#This Row],[Next Stage Date]]&lt;&gt;"",Table1[[#This Row],[Next Stage Date]]-Table1[[#This Row],[Change Date]],TODAY()-Table1[[#This Row],[Change Date]])</f>
        <v>345.63749999999709</v>
      </c>
      <c r="Z491" s="476">
        <f t="shared" si="82"/>
        <v>1</v>
      </c>
      <c r="AA491" s="422">
        <f t="shared" si="83"/>
        <v>45912.362500000003</v>
      </c>
      <c r="AB491" s="422">
        <f t="shared" si="84"/>
        <v>45881.381944444445</v>
      </c>
      <c r="AC491" s="476">
        <f t="shared" si="85"/>
        <v>308.38194444444525</v>
      </c>
      <c r="AD491" s="476">
        <f t="shared" si="86"/>
        <v>30.980555555557657</v>
      </c>
      <c r="AE491" s="476">
        <f t="shared" si="87"/>
        <v>339.36250000000291</v>
      </c>
      <c r="AF491" s="476" t="b">
        <f>IFERROR(_xlfn.XLOOKUP(Table1[[#This Row],[Opportunity ID]],'Aging Detail'!$H$14:$H$20,'Aging Detail'!$F$14:$F$20),TRUE)</f>
        <v>1</v>
      </c>
    </row>
    <row r="492" spans="1:32">
      <c r="A492" t="s">
        <v>1461</v>
      </c>
      <c r="B492" t="s">
        <v>408</v>
      </c>
      <c r="C492" t="s">
        <v>1469</v>
      </c>
      <c r="D492" t="s">
        <v>2738</v>
      </c>
      <c r="E492" t="s">
        <v>2739</v>
      </c>
      <c r="F492" t="s">
        <v>1484</v>
      </c>
      <c r="I492" s="422">
        <v>45377</v>
      </c>
      <c r="J492" s="422">
        <v>45657</v>
      </c>
      <c r="L492">
        <v>0</v>
      </c>
      <c r="M492" t="s">
        <v>2740</v>
      </c>
      <c r="N492" t="s">
        <v>1600</v>
      </c>
      <c r="O492" t="str">
        <f>_xlfn.IFNA(VLOOKUP(Table1[[#This Row],[Lead Source]],'helper tab'!A:B,2,FALSE),"Exclude")</f>
        <v>Exclude</v>
      </c>
      <c r="P492" s="422">
        <f t="shared" si="77"/>
        <v>45912.351388888892</v>
      </c>
      <c r="Q492">
        <f t="shared" si="78"/>
        <v>0</v>
      </c>
      <c r="R492">
        <f t="shared" si="79"/>
        <v>0</v>
      </c>
      <c r="S492">
        <f>IF(
AND($Q492=1,$M492&lt;&gt;""),
IF(
COUNTIFS(
$M$3:$M492,$M492,
$O$3:$O492,$O492,
$Q$3:$Q492,1,
$P$3:$P492,"&gt;="&amp;EOMONTH($P492,-1)+1,
$P$3:$P492,"&lt;"&amp;EOMONTH($P492,0)+1
)=1,
1,
0),
0)</f>
        <v>0</v>
      </c>
      <c r="T492">
        <f>IF(AND($R492=1,$M492&lt;&gt;""),IF(COUNTIFS($M$3:$M492,$M492,$O$3:$O492,$O492,$R$3:$R492,1,$P$3:$P492,"&gt;="&amp;EOMONTH($P492,-1)+1,$P$3:$P492,"&lt;"&amp;EOMONTH($P492,0)+1)=1,1,0),0)</f>
        <v>0</v>
      </c>
      <c r="U492">
        <f t="shared" si="80"/>
        <v>1</v>
      </c>
      <c r="V492">
        <f>IF(AND($U492=1,$M492&lt;&gt;""),IF(COUNTIFS($M$3:$M492,$M492,$O$3:$O492,$O492,$U$3:$U492,1,$P$3:$P492,"&gt;="&amp;EOMONTH($P492,-1)+1,$P$3:$P492,"&lt;"&amp;EOMONTH($P492,0)+1)=1,1,0),0)</f>
        <v>1</v>
      </c>
      <c r="W492" s="444">
        <f ca="1">TODAY()-Table1[[#This Row],[Change Date]]</f>
        <v>345.64861111110804</v>
      </c>
      <c r="X492" s="422" t="str">
        <f t="shared" si="81"/>
        <v/>
      </c>
      <c r="Y492" s="476">
        <f ca="1">IF(Table1[[#This Row],[Next Stage Date]]&lt;&gt;"",Table1[[#This Row],[Next Stage Date]]-Table1[[#This Row],[Change Date]],TODAY()-Table1[[#This Row],[Change Date]])</f>
        <v>345.64861111110804</v>
      </c>
      <c r="Z492" s="476">
        <f t="shared" si="82"/>
        <v>1</v>
      </c>
      <c r="AA492" s="422" t="str">
        <f t="shared" si="83"/>
        <v/>
      </c>
      <c r="AB492" s="422" t="str">
        <f t="shared" si="84"/>
        <v/>
      </c>
      <c r="AC492" s="476" t="str">
        <f t="shared" si="85"/>
        <v/>
      </c>
      <c r="AD492" s="476" t="str">
        <f t="shared" si="86"/>
        <v/>
      </c>
      <c r="AE492" s="476" t="str">
        <f t="shared" si="87"/>
        <v/>
      </c>
      <c r="AF492" s="476" t="b">
        <f>IFERROR(_xlfn.XLOOKUP(Table1[[#This Row],[Opportunity ID]],'Aging Detail'!$H$14:$H$20,'Aging Detail'!$F$14:$F$20),TRUE)</f>
        <v>1</v>
      </c>
    </row>
    <row r="493" spans="1:32">
      <c r="A493" t="s">
        <v>1461</v>
      </c>
      <c r="B493" t="s">
        <v>462</v>
      </c>
      <c r="C493" t="s">
        <v>526</v>
      </c>
      <c r="D493" t="s">
        <v>2741</v>
      </c>
      <c r="E493" t="s">
        <v>2485</v>
      </c>
      <c r="F493" t="s">
        <v>1484</v>
      </c>
      <c r="I493" s="422">
        <v>45453</v>
      </c>
      <c r="J493" s="422">
        <v>45979</v>
      </c>
      <c r="K493">
        <v>420500</v>
      </c>
      <c r="L493">
        <v>196500</v>
      </c>
      <c r="M493" t="s">
        <v>2486</v>
      </c>
      <c r="N493" t="s">
        <v>1684</v>
      </c>
      <c r="O493" t="str">
        <f>_xlfn.IFNA(VLOOKUP(Table1[[#This Row],[Lead Source]],'helper tab'!A:B,2,FALSE),"Exclude")</f>
        <v>Exclude</v>
      </c>
      <c r="P493" s="422">
        <f t="shared" si="77"/>
        <v>45911.276388888888</v>
      </c>
      <c r="Q493">
        <f t="shared" si="78"/>
        <v>1</v>
      </c>
      <c r="R493">
        <f t="shared" si="79"/>
        <v>0</v>
      </c>
      <c r="S493">
        <f>IF(
AND($Q493=1,$M493&lt;&gt;""),
IF(
COUNTIFS(
$M$3:$M493,$M493,
$O$3:$O493,$O493,
$Q$3:$Q493,1,
$P$3:$P493,"&gt;="&amp;EOMONTH($P493,-1)+1,
$P$3:$P493,"&lt;"&amp;EOMONTH($P493,0)+1
)=1,
1,
0),
0)</f>
        <v>1</v>
      </c>
      <c r="T493">
        <f>IF(AND($R493=1,$M493&lt;&gt;""),IF(COUNTIFS($M$3:$M493,$M493,$O$3:$O493,$O493,$R$3:$R493,1,$P$3:$P493,"&gt;="&amp;EOMONTH($P493,-1)+1,$P$3:$P493,"&lt;"&amp;EOMONTH($P493,0)+1)=1,1,0),0)</f>
        <v>0</v>
      </c>
      <c r="U493">
        <f t="shared" si="80"/>
        <v>0</v>
      </c>
      <c r="V493">
        <f>IF(AND($U493=1,$M493&lt;&gt;""),IF(COUNTIFS($M$3:$M493,$M493,$O$3:$O493,$O493,$U$3:$U493,1,$P$3:$P493,"&gt;="&amp;EOMONTH($P493,-1)+1,$P$3:$P493,"&lt;"&amp;EOMONTH($P493,0)+1)=1,1,0),0)</f>
        <v>0</v>
      </c>
      <c r="W493" s="444">
        <f ca="1">TODAY()-Table1[[#This Row],[Change Date]]</f>
        <v>346.7236111111124</v>
      </c>
      <c r="X493" s="422">
        <f t="shared" si="81"/>
        <v>45980.329861111109</v>
      </c>
      <c r="Y493" s="476">
        <f ca="1">IF(Table1[[#This Row],[Next Stage Date]]&lt;&gt;"",Table1[[#This Row],[Next Stage Date]]-Table1[[#This Row],[Change Date]],TODAY()-Table1[[#This Row],[Change Date]])</f>
        <v>69.053472222221899</v>
      </c>
      <c r="Z493" s="476">
        <f t="shared" si="82"/>
        <v>0</v>
      </c>
      <c r="AA493" s="422">
        <f t="shared" si="83"/>
        <v>45980.329861111109</v>
      </c>
      <c r="AB493" s="422">
        <f t="shared" si="84"/>
        <v>45911.276388888888</v>
      </c>
      <c r="AC493" s="476">
        <f t="shared" si="85"/>
        <v>458.2763888888876</v>
      </c>
      <c r="AD493" s="476">
        <f t="shared" si="86"/>
        <v>69.053472222221899</v>
      </c>
      <c r="AE493" s="476">
        <f t="shared" si="87"/>
        <v>527.32986111110949</v>
      </c>
      <c r="AF493" s="476" t="b">
        <f>IFERROR(_xlfn.XLOOKUP(Table1[[#This Row],[Opportunity ID]],'Aging Detail'!$H$14:$H$20,'Aging Detail'!$F$14:$F$20),TRUE)</f>
        <v>1</v>
      </c>
    </row>
    <row r="494" spans="1:32">
      <c r="A494" t="s">
        <v>1461</v>
      </c>
      <c r="B494" t="s">
        <v>462</v>
      </c>
      <c r="C494" t="s">
        <v>526</v>
      </c>
      <c r="D494" t="s">
        <v>2741</v>
      </c>
      <c r="E494" t="s">
        <v>2482</v>
      </c>
      <c r="F494" t="s">
        <v>1471</v>
      </c>
      <c r="I494" s="422">
        <v>45684</v>
      </c>
      <c r="J494" s="422">
        <v>45979</v>
      </c>
      <c r="K494">
        <v>157200</v>
      </c>
      <c r="L494">
        <v>107200</v>
      </c>
      <c r="M494" t="s">
        <v>2483</v>
      </c>
      <c r="N494" t="s">
        <v>1684</v>
      </c>
      <c r="O494" t="str">
        <f>_xlfn.IFNA(VLOOKUP(Table1[[#This Row],[Lead Source]],'helper tab'!A:B,2,FALSE),"Exclude")</f>
        <v>Digital</v>
      </c>
      <c r="P494" s="422">
        <f t="shared" si="77"/>
        <v>45911.276388888888</v>
      </c>
      <c r="Q494">
        <f t="shared" si="78"/>
        <v>1</v>
      </c>
      <c r="R494">
        <f t="shared" si="79"/>
        <v>0</v>
      </c>
      <c r="S494">
        <f>IF(
AND($Q494=1,$M494&lt;&gt;""),
IF(
COUNTIFS(
$M$3:$M494,$M494,
$O$3:$O494,$O494,
$Q$3:$Q494,1,
$P$3:$P494,"&gt;="&amp;EOMONTH($P494,-1)+1,
$P$3:$P494,"&lt;"&amp;EOMONTH($P494,0)+1
)=1,
1,
0),
0)</f>
        <v>1</v>
      </c>
      <c r="T494">
        <f>IF(AND($R494=1,$M494&lt;&gt;""),IF(COUNTIFS($M$3:$M494,$M494,$O$3:$O494,$O494,$R$3:$R494,1,$P$3:$P494,"&gt;="&amp;EOMONTH($P494,-1)+1,$P$3:$P494,"&lt;"&amp;EOMONTH($P494,0)+1)=1,1,0),0)</f>
        <v>0</v>
      </c>
      <c r="U494">
        <f t="shared" si="80"/>
        <v>0</v>
      </c>
      <c r="V494">
        <f>IF(AND($U494=1,$M494&lt;&gt;""),IF(COUNTIFS($M$3:$M494,$M494,$O$3:$O494,$O494,$U$3:$U494,1,$P$3:$P494,"&gt;="&amp;EOMONTH($P494,-1)+1,$P$3:$P494,"&lt;"&amp;EOMONTH($P494,0)+1)=1,1,0),0)</f>
        <v>0</v>
      </c>
      <c r="W494" s="444">
        <f ca="1">TODAY()-Table1[[#This Row],[Change Date]]</f>
        <v>346.7236111111124</v>
      </c>
      <c r="X494" s="422">
        <f t="shared" si="81"/>
        <v>45980.333333333336</v>
      </c>
      <c r="Y494" s="476">
        <f ca="1">IF(Table1[[#This Row],[Next Stage Date]]&lt;&gt;"",Table1[[#This Row],[Next Stage Date]]-Table1[[#This Row],[Change Date]],TODAY()-Table1[[#This Row],[Change Date]])</f>
        <v>69.056944444448163</v>
      </c>
      <c r="Z494" s="476">
        <f t="shared" si="82"/>
        <v>0</v>
      </c>
      <c r="AA494" s="422">
        <f t="shared" si="83"/>
        <v>45980.333333333336</v>
      </c>
      <c r="AB494" s="422">
        <f t="shared" si="84"/>
        <v>45812.451388888891</v>
      </c>
      <c r="AC494" s="476">
        <f t="shared" si="85"/>
        <v>128.45138888889051</v>
      </c>
      <c r="AD494" s="476">
        <f t="shared" si="86"/>
        <v>167.88194444444525</v>
      </c>
      <c r="AE494" s="476">
        <f t="shared" si="87"/>
        <v>296.33333333333576</v>
      </c>
      <c r="AF494" s="476" t="b">
        <f>IFERROR(_xlfn.XLOOKUP(Table1[[#This Row],[Opportunity ID]],'Aging Detail'!$H$14:$H$20,'Aging Detail'!$F$14:$F$20),TRUE)</f>
        <v>1</v>
      </c>
    </row>
    <row r="495" spans="1:32">
      <c r="A495" t="s">
        <v>1461</v>
      </c>
      <c r="B495" t="s">
        <v>462</v>
      </c>
      <c r="C495" t="s">
        <v>526</v>
      </c>
      <c r="D495" t="s">
        <v>2742</v>
      </c>
      <c r="E495" t="s">
        <v>2698</v>
      </c>
      <c r="F495" t="s">
        <v>1484</v>
      </c>
      <c r="I495" s="422">
        <v>45425</v>
      </c>
      <c r="J495" s="422">
        <v>45930</v>
      </c>
      <c r="K495">
        <v>842605.92</v>
      </c>
      <c r="L495">
        <v>842605.92</v>
      </c>
      <c r="M495" t="s">
        <v>2699</v>
      </c>
      <c r="N495" t="s">
        <v>1629</v>
      </c>
      <c r="O495" t="str">
        <f>_xlfn.IFNA(VLOOKUP(Table1[[#This Row],[Lead Source]],'helper tab'!A:B,2,FALSE),"Exclude")</f>
        <v>Exclude</v>
      </c>
      <c r="P495" s="422">
        <f t="shared" si="77"/>
        <v>45911.275694444441</v>
      </c>
      <c r="Q495">
        <f t="shared" si="78"/>
        <v>1</v>
      </c>
      <c r="R495">
        <f t="shared" si="79"/>
        <v>0</v>
      </c>
      <c r="S495">
        <f>IF(
AND($Q495=1,$M495&lt;&gt;""),
IF(
COUNTIFS(
$M$3:$M495,$M495,
$O$3:$O495,$O495,
$Q$3:$Q495,1,
$P$3:$P495,"&gt;="&amp;EOMONTH($P495,-1)+1,
$P$3:$P495,"&lt;"&amp;EOMONTH($P495,0)+1
)=1,
1,
0),
0)</f>
        <v>1</v>
      </c>
      <c r="T495">
        <f>IF(AND($R495=1,$M495&lt;&gt;""),IF(COUNTIFS($M$3:$M495,$M495,$O$3:$O495,$O495,$R$3:$R495,1,$P$3:$P495,"&gt;="&amp;EOMONTH($P495,-1)+1,$P$3:$P495,"&lt;"&amp;EOMONTH($P495,0)+1)=1,1,0),0)</f>
        <v>0</v>
      </c>
      <c r="U495">
        <f t="shared" si="80"/>
        <v>0</v>
      </c>
      <c r="V495">
        <f>IF(AND($U495=1,$M495&lt;&gt;""),IF(COUNTIFS($M$3:$M495,$M495,$O$3:$O495,$O495,$U$3:$U495,1,$P$3:$P495,"&gt;="&amp;EOMONTH($P495,-1)+1,$P$3:$P495,"&lt;"&amp;EOMONTH($P495,0)+1)=1,1,0),0)</f>
        <v>0</v>
      </c>
      <c r="W495" s="444">
        <f ca="1">TODAY()-Table1[[#This Row],[Change Date]]</f>
        <v>346.72430555555911</v>
      </c>
      <c r="X495" s="422">
        <f t="shared" si="81"/>
        <v>45931.395833333336</v>
      </c>
      <c r="Y495" s="476">
        <f ca="1">IF(Table1[[#This Row],[Next Stage Date]]&lt;&gt;"",Table1[[#This Row],[Next Stage Date]]-Table1[[#This Row],[Change Date]],TODAY()-Table1[[#This Row],[Change Date]])</f>
        <v>20.120138888894871</v>
      </c>
      <c r="Z495" s="476">
        <f t="shared" si="82"/>
        <v>0</v>
      </c>
      <c r="AA495" s="422">
        <f t="shared" si="83"/>
        <v>45931.395833333336</v>
      </c>
      <c r="AB495" s="422">
        <f t="shared" si="84"/>
        <v>45891.317361111112</v>
      </c>
      <c r="AC495" s="476">
        <f t="shared" si="85"/>
        <v>466.3173611111124</v>
      </c>
      <c r="AD495" s="476">
        <f t="shared" si="86"/>
        <v>40.078472222223354</v>
      </c>
      <c r="AE495" s="476">
        <f t="shared" si="87"/>
        <v>506.39583333333576</v>
      </c>
      <c r="AF495" s="476" t="b">
        <f>IFERROR(_xlfn.XLOOKUP(Table1[[#This Row],[Opportunity ID]],'Aging Detail'!$H$14:$H$20,'Aging Detail'!$F$14:$F$20),TRUE)</f>
        <v>1</v>
      </c>
    </row>
    <row r="496" spans="1:32">
      <c r="A496" t="s">
        <v>1461</v>
      </c>
      <c r="B496" t="s">
        <v>526</v>
      </c>
      <c r="C496" t="s">
        <v>563</v>
      </c>
      <c r="D496" t="s">
        <v>2743</v>
      </c>
      <c r="E496" t="s">
        <v>2744</v>
      </c>
      <c r="I496" s="422">
        <v>45533</v>
      </c>
      <c r="J496" s="422">
        <v>45910</v>
      </c>
      <c r="K496">
        <v>44000</v>
      </c>
      <c r="L496">
        <v>0</v>
      </c>
      <c r="M496" t="s">
        <v>2745</v>
      </c>
      <c r="N496" t="s">
        <v>1625</v>
      </c>
      <c r="O496" t="str">
        <f>_xlfn.IFNA(VLOOKUP(Table1[[#This Row],[Lead Source]],'helper tab'!A:B,2,FALSE),"Exclude")</f>
        <v>Exclude</v>
      </c>
      <c r="P496" s="422">
        <f t="shared" si="77"/>
        <v>45910.397916666669</v>
      </c>
      <c r="Q496">
        <f t="shared" si="78"/>
        <v>0</v>
      </c>
      <c r="R496">
        <f t="shared" si="79"/>
        <v>1</v>
      </c>
      <c r="S496">
        <f>IF(
AND($Q496=1,$M496&lt;&gt;""),
IF(
COUNTIFS(
$M$3:$M496,$M496,
$O$3:$O496,$O496,
$Q$3:$Q496,1,
$P$3:$P496,"&gt;="&amp;EOMONTH($P496,-1)+1,
$P$3:$P496,"&lt;"&amp;EOMONTH($P496,0)+1
)=1,
1,
0),
0)</f>
        <v>0</v>
      </c>
      <c r="T496">
        <f>IF(AND($R496=1,$M496&lt;&gt;""),IF(COUNTIFS($M$3:$M496,$M496,$O$3:$O496,$O496,$R$3:$R496,1,$P$3:$P496,"&gt;="&amp;EOMONTH($P496,-1)+1,$P$3:$P496,"&lt;"&amp;EOMONTH($P496,0)+1)=1,1,0),0)</f>
        <v>1</v>
      </c>
      <c r="U496">
        <f t="shared" si="80"/>
        <v>0</v>
      </c>
      <c r="V496">
        <f>IF(AND($U496=1,$M496&lt;&gt;""),IF(COUNTIFS($M$3:$M496,$M496,$O$3:$O496,$O496,$U$3:$U496,1,$P$3:$P496,"&gt;="&amp;EOMONTH($P496,-1)+1,$P$3:$P496,"&lt;"&amp;EOMONTH($P496,0)+1)=1,1,0),0)</f>
        <v>0</v>
      </c>
      <c r="W496" s="444">
        <f ca="1">TODAY()-Table1[[#This Row],[Change Date]]</f>
        <v>347.60208333333139</v>
      </c>
      <c r="X496" s="422" t="str">
        <f t="shared" si="81"/>
        <v/>
      </c>
      <c r="Y496" s="476">
        <f ca="1">IF(Table1[[#This Row],[Next Stage Date]]&lt;&gt;"",Table1[[#This Row],[Next Stage Date]]-Table1[[#This Row],[Change Date]],TODAY()-Table1[[#This Row],[Change Date]])</f>
        <v>347.60208333333139</v>
      </c>
      <c r="Z496" s="476">
        <f t="shared" si="82"/>
        <v>1</v>
      </c>
      <c r="AA496" s="422">
        <f t="shared" si="83"/>
        <v>45910.397916666669</v>
      </c>
      <c r="AB496" s="422">
        <f t="shared" si="84"/>
        <v>45910.328472222223</v>
      </c>
      <c r="AC496" s="476">
        <f t="shared" si="85"/>
        <v>377.32847222222335</v>
      </c>
      <c r="AD496" s="476">
        <f t="shared" si="86"/>
        <v>6.9444444445252884E-2</v>
      </c>
      <c r="AE496" s="476">
        <f t="shared" si="87"/>
        <v>377.39791666666861</v>
      </c>
      <c r="AF496" s="476" t="b">
        <f>IFERROR(_xlfn.XLOOKUP(Table1[[#This Row],[Opportunity ID]],'Aging Detail'!$H$14:$H$20,'Aging Detail'!$F$14:$F$20),TRUE)</f>
        <v>1</v>
      </c>
    </row>
    <row r="497" spans="1:32">
      <c r="A497" t="s">
        <v>1461</v>
      </c>
      <c r="B497" t="s">
        <v>338</v>
      </c>
      <c r="C497" t="s">
        <v>526</v>
      </c>
      <c r="D497" t="s">
        <v>2746</v>
      </c>
      <c r="E497" t="s">
        <v>2744</v>
      </c>
      <c r="I497" s="422">
        <v>45533</v>
      </c>
      <c r="J497" s="422">
        <v>45910</v>
      </c>
      <c r="K497">
        <v>44000</v>
      </c>
      <c r="L497">
        <v>0</v>
      </c>
      <c r="M497" t="s">
        <v>2745</v>
      </c>
      <c r="N497" t="s">
        <v>1625</v>
      </c>
      <c r="O497" t="str">
        <f>_xlfn.IFNA(VLOOKUP(Table1[[#This Row],[Lead Source]],'helper tab'!A:B,2,FALSE),"Exclude")</f>
        <v>Exclude</v>
      </c>
      <c r="P497" s="422">
        <f t="shared" si="77"/>
        <v>45910.328472222223</v>
      </c>
      <c r="Q497">
        <f t="shared" si="78"/>
        <v>1</v>
      </c>
      <c r="R497">
        <f t="shared" si="79"/>
        <v>0</v>
      </c>
      <c r="S497">
        <f>IF(
AND($Q497=1,$M497&lt;&gt;""),
IF(
COUNTIFS(
$M$3:$M497,$M497,
$O$3:$O497,$O497,
$Q$3:$Q497,1,
$P$3:$P497,"&gt;="&amp;EOMONTH($P497,-1)+1,
$P$3:$P497,"&lt;"&amp;EOMONTH($P497,0)+1
)=1,
1,
0),
0)</f>
        <v>1</v>
      </c>
      <c r="T497">
        <f>IF(AND($R497=1,$M497&lt;&gt;""),IF(COUNTIFS($M$3:$M497,$M497,$O$3:$O497,$O497,$R$3:$R497,1,$P$3:$P497,"&gt;="&amp;EOMONTH($P497,-1)+1,$P$3:$P497,"&lt;"&amp;EOMONTH($P497,0)+1)=1,1,0),0)</f>
        <v>0</v>
      </c>
      <c r="U497">
        <f t="shared" si="80"/>
        <v>0</v>
      </c>
      <c r="V497">
        <f>IF(AND($U497=1,$M497&lt;&gt;""),IF(COUNTIFS($M$3:$M497,$M497,$O$3:$O497,$O497,$U$3:$U497,1,$P$3:$P497,"&gt;="&amp;EOMONTH($P497,-1)+1,$P$3:$P497,"&lt;"&amp;EOMONTH($P497,0)+1)=1,1,0),0)</f>
        <v>0</v>
      </c>
      <c r="W497" s="444">
        <f ca="1">TODAY()-Table1[[#This Row],[Change Date]]</f>
        <v>347.67152777777665</v>
      </c>
      <c r="X497" s="422">
        <f t="shared" si="81"/>
        <v>45910.397916666669</v>
      </c>
      <c r="Y497" s="476">
        <f ca="1">IF(Table1[[#This Row],[Next Stage Date]]&lt;&gt;"",Table1[[#This Row],[Next Stage Date]]-Table1[[#This Row],[Change Date]],TODAY()-Table1[[#This Row],[Change Date]])</f>
        <v>6.9444444445252884E-2</v>
      </c>
      <c r="Z497" s="476">
        <f t="shared" si="82"/>
        <v>0</v>
      </c>
      <c r="AA497" s="422">
        <f t="shared" si="83"/>
        <v>45910.397916666669</v>
      </c>
      <c r="AB497" s="422">
        <f t="shared" si="84"/>
        <v>45910.328472222223</v>
      </c>
      <c r="AC497" s="476">
        <f t="shared" si="85"/>
        <v>377.32847222222335</v>
      </c>
      <c r="AD497" s="476">
        <f t="shared" si="86"/>
        <v>6.9444444445252884E-2</v>
      </c>
      <c r="AE497" s="476">
        <f t="shared" si="87"/>
        <v>377.39791666666861</v>
      </c>
      <c r="AF497" s="476" t="b">
        <f>IFERROR(_xlfn.XLOOKUP(Table1[[#This Row],[Opportunity ID]],'Aging Detail'!$H$14:$H$20,'Aging Detail'!$F$14:$F$20),TRUE)</f>
        <v>1</v>
      </c>
    </row>
    <row r="498" spans="1:32">
      <c r="A498" t="s">
        <v>1461</v>
      </c>
      <c r="B498" t="s">
        <v>408</v>
      </c>
      <c r="C498" t="s">
        <v>1469</v>
      </c>
      <c r="D498" t="s">
        <v>2747</v>
      </c>
      <c r="E498" t="s">
        <v>2748</v>
      </c>
      <c r="F498" t="s">
        <v>148</v>
      </c>
      <c r="G498" t="s">
        <v>1932</v>
      </c>
      <c r="I498" s="422">
        <v>45265</v>
      </c>
      <c r="J498" s="422">
        <v>45910</v>
      </c>
      <c r="K498">
        <v>218000</v>
      </c>
      <c r="L498">
        <v>78000</v>
      </c>
      <c r="M498" t="s">
        <v>2749</v>
      </c>
      <c r="N498" t="s">
        <v>2750</v>
      </c>
      <c r="O498" t="str">
        <f>_xlfn.IFNA(VLOOKUP(Table1[[#This Row],[Lead Source]],'helper tab'!A:B,2,FALSE),"Exclude")</f>
        <v>Alliances</v>
      </c>
      <c r="P498" s="422">
        <f t="shared" si="77"/>
        <v>45910.297222222223</v>
      </c>
      <c r="Q498">
        <f t="shared" si="78"/>
        <v>0</v>
      </c>
      <c r="R498">
        <f t="shared" si="79"/>
        <v>0</v>
      </c>
      <c r="S498">
        <f>IF(
AND($Q498=1,$M498&lt;&gt;""),
IF(
COUNTIFS(
$M$3:$M498,$M498,
$O$3:$O498,$O498,
$Q$3:$Q498,1,
$P$3:$P498,"&gt;="&amp;EOMONTH($P498,-1)+1,
$P$3:$P498,"&lt;"&amp;EOMONTH($P498,0)+1
)=1,
1,
0),
0)</f>
        <v>0</v>
      </c>
      <c r="T498">
        <f>IF(AND($R498=1,$M498&lt;&gt;""),IF(COUNTIFS($M$3:$M498,$M498,$O$3:$O498,$O498,$R$3:$R498,1,$P$3:$P498,"&gt;="&amp;EOMONTH($P498,-1)+1,$P$3:$P498,"&lt;"&amp;EOMONTH($P498,0)+1)=1,1,0),0)</f>
        <v>0</v>
      </c>
      <c r="U498">
        <f t="shared" si="80"/>
        <v>1</v>
      </c>
      <c r="V498">
        <f>IF(AND($U498=1,$M498&lt;&gt;""),IF(COUNTIFS($M$3:$M498,$M498,$O$3:$O498,$O498,$U$3:$U498,1,$P$3:$P498,"&gt;="&amp;EOMONTH($P498,-1)+1,$P$3:$P498,"&lt;"&amp;EOMONTH($P498,0)+1)=1,1,0),0)</f>
        <v>1</v>
      </c>
      <c r="W498" s="444">
        <f ca="1">TODAY()-Table1[[#This Row],[Change Date]]</f>
        <v>347.70277777777665</v>
      </c>
      <c r="X498" s="422" t="str">
        <f t="shared" si="81"/>
        <v/>
      </c>
      <c r="Y498" s="476">
        <f ca="1">IF(Table1[[#This Row],[Next Stage Date]]&lt;&gt;"",Table1[[#This Row],[Next Stage Date]]-Table1[[#This Row],[Change Date]],TODAY()-Table1[[#This Row],[Change Date]])</f>
        <v>347.70277777777665</v>
      </c>
      <c r="Z498" s="476">
        <f t="shared" si="82"/>
        <v>1</v>
      </c>
      <c r="AA498" s="422" t="str">
        <f t="shared" si="83"/>
        <v/>
      </c>
      <c r="AB498" s="422" t="str">
        <f t="shared" si="84"/>
        <v/>
      </c>
      <c r="AC498" s="476" t="str">
        <f t="shared" si="85"/>
        <v/>
      </c>
      <c r="AD498" s="476" t="str">
        <f t="shared" si="86"/>
        <v/>
      </c>
      <c r="AE498" s="476" t="str">
        <f t="shared" si="87"/>
        <v/>
      </c>
      <c r="AF498" s="476" t="b">
        <f>IFERROR(_xlfn.XLOOKUP(Table1[[#This Row],[Opportunity ID]],'Aging Detail'!$H$14:$H$20,'Aging Detail'!$F$14:$F$20),TRUE)</f>
        <v>1</v>
      </c>
    </row>
    <row r="499" spans="1:32">
      <c r="A499" t="s">
        <v>1461</v>
      </c>
      <c r="B499" t="s">
        <v>526</v>
      </c>
      <c r="C499" t="s">
        <v>563</v>
      </c>
      <c r="D499" t="s">
        <v>2751</v>
      </c>
      <c r="E499" t="s">
        <v>2752</v>
      </c>
      <c r="F499" t="s">
        <v>148</v>
      </c>
      <c r="H499" t="s">
        <v>157</v>
      </c>
      <c r="I499" s="422">
        <v>45615</v>
      </c>
      <c r="J499" s="422">
        <v>45909</v>
      </c>
      <c r="K499">
        <v>42500</v>
      </c>
      <c r="L499">
        <v>42500</v>
      </c>
      <c r="M499" t="s">
        <v>2753</v>
      </c>
      <c r="N499" t="s">
        <v>1767</v>
      </c>
      <c r="O499" t="str">
        <f>_xlfn.IFNA(VLOOKUP(Table1[[#This Row],[Lead Source]],'helper tab'!A:B,2,FALSE),"Exclude")</f>
        <v>Alliances</v>
      </c>
      <c r="P499" s="422">
        <f t="shared" si="77"/>
        <v>45909.445138888892</v>
      </c>
      <c r="Q499">
        <f t="shared" si="78"/>
        <v>0</v>
      </c>
      <c r="R499">
        <f t="shared" si="79"/>
        <v>1</v>
      </c>
      <c r="S499">
        <f>IF(
AND($Q499=1,$M499&lt;&gt;""),
IF(
COUNTIFS(
$M$3:$M499,$M499,
$O$3:$O499,$O499,
$Q$3:$Q499,1,
$P$3:$P499,"&gt;="&amp;EOMONTH($P499,-1)+1,
$P$3:$P499,"&lt;"&amp;EOMONTH($P499,0)+1
)=1,
1,
0),
0)</f>
        <v>0</v>
      </c>
      <c r="T499">
        <f>IF(AND($R499=1,$M499&lt;&gt;""),IF(COUNTIFS($M$3:$M499,$M499,$O$3:$O499,$O499,$R$3:$R499,1,$P$3:$P499,"&gt;="&amp;EOMONTH($P499,-1)+1,$P$3:$P499,"&lt;"&amp;EOMONTH($P499,0)+1)=1,1,0),0)</f>
        <v>1</v>
      </c>
      <c r="U499">
        <f t="shared" si="80"/>
        <v>0</v>
      </c>
      <c r="V499">
        <f>IF(AND($U499=1,$M499&lt;&gt;""),IF(COUNTIFS($M$3:$M499,$M499,$O$3:$O499,$O499,$U$3:$U499,1,$P$3:$P499,"&gt;="&amp;EOMONTH($P499,-1)+1,$P$3:$P499,"&lt;"&amp;EOMONTH($P499,0)+1)=1,1,0),0)</f>
        <v>0</v>
      </c>
      <c r="W499" s="444">
        <f ca="1">TODAY()-Table1[[#This Row],[Change Date]]</f>
        <v>348.55486111110804</v>
      </c>
      <c r="X499" s="422" t="str">
        <f t="shared" si="81"/>
        <v/>
      </c>
      <c r="Y499" s="476">
        <f ca="1">IF(Table1[[#This Row],[Next Stage Date]]&lt;&gt;"",Table1[[#This Row],[Next Stage Date]]-Table1[[#This Row],[Change Date]],TODAY()-Table1[[#This Row],[Change Date]])</f>
        <v>348.55486111110804</v>
      </c>
      <c r="Z499" s="476">
        <f t="shared" si="82"/>
        <v>1</v>
      </c>
      <c r="AA499" s="422">
        <f t="shared" si="83"/>
        <v>45909.445138888892</v>
      </c>
      <c r="AB499" s="422">
        <f t="shared" si="84"/>
        <v>45898.501388888886</v>
      </c>
      <c r="AC499" s="476">
        <f t="shared" si="85"/>
        <v>283.50138888888614</v>
      </c>
      <c r="AD499" s="476">
        <f t="shared" si="86"/>
        <v>10.943750000005821</v>
      </c>
      <c r="AE499" s="476">
        <f t="shared" si="87"/>
        <v>294.44513888889196</v>
      </c>
      <c r="AF499" s="476" t="b">
        <f>IFERROR(_xlfn.XLOOKUP(Table1[[#This Row],[Opportunity ID]],'Aging Detail'!$H$14:$H$20,'Aging Detail'!$F$14:$F$20),TRUE)</f>
        <v>1</v>
      </c>
    </row>
    <row r="500" spans="1:32">
      <c r="A500" t="s">
        <v>1461</v>
      </c>
      <c r="B500" t="s">
        <v>462</v>
      </c>
      <c r="C500" t="s">
        <v>526</v>
      </c>
      <c r="D500" t="s">
        <v>2754</v>
      </c>
      <c r="E500" t="s">
        <v>2646</v>
      </c>
      <c r="F500" t="s">
        <v>1484</v>
      </c>
      <c r="I500" s="422">
        <v>45230</v>
      </c>
      <c r="J500" s="422">
        <v>45936</v>
      </c>
      <c r="K500">
        <v>671000</v>
      </c>
      <c r="L500">
        <v>188500</v>
      </c>
      <c r="M500" t="s">
        <v>2647</v>
      </c>
      <c r="N500" t="s">
        <v>2648</v>
      </c>
      <c r="O500" t="str">
        <f>_xlfn.IFNA(VLOOKUP(Table1[[#This Row],[Lead Source]],'helper tab'!A:B,2,FALSE),"Exclude")</f>
        <v>Exclude</v>
      </c>
      <c r="P500" s="422">
        <f t="shared" si="77"/>
        <v>45909.375694444447</v>
      </c>
      <c r="Q500">
        <f t="shared" si="78"/>
        <v>1</v>
      </c>
      <c r="R500">
        <f t="shared" si="79"/>
        <v>0</v>
      </c>
      <c r="S500">
        <f>IF(
AND($Q500=1,$M500&lt;&gt;""),
IF(
COUNTIFS(
$M$3:$M500,$M500,
$O$3:$O500,$O500,
$Q$3:$Q500,1,
$P$3:$P500,"&gt;="&amp;EOMONTH($P500,-1)+1,
$P$3:$P500,"&lt;"&amp;EOMONTH($P500,0)+1
)=1,
1,
0),
0)</f>
        <v>1</v>
      </c>
      <c r="T500">
        <f>IF(AND($R500=1,$M500&lt;&gt;""),IF(COUNTIFS($M$3:$M500,$M500,$O$3:$O500,$O500,$R$3:$R500,1,$P$3:$P500,"&gt;="&amp;EOMONTH($P500,-1)+1,$P$3:$P500,"&lt;"&amp;EOMONTH($P500,0)+1)=1,1,0),0)</f>
        <v>0</v>
      </c>
      <c r="U500">
        <f t="shared" si="80"/>
        <v>0</v>
      </c>
      <c r="V500">
        <f>IF(AND($U500=1,$M500&lt;&gt;""),IF(COUNTIFS($M$3:$M500,$M500,$O$3:$O500,$O500,$U$3:$U500,1,$P$3:$P500,"&gt;="&amp;EOMONTH($P500,-1)+1,$P$3:$P500,"&lt;"&amp;EOMONTH($P500,0)+1)=1,1,0),0)</f>
        <v>0</v>
      </c>
      <c r="W500" s="444">
        <f ca="1">TODAY()-Table1[[#This Row],[Change Date]]</f>
        <v>348.62430555555329</v>
      </c>
      <c r="X500" s="422">
        <f t="shared" si="81"/>
        <v>45937.37222222222</v>
      </c>
      <c r="Y500" s="476">
        <f ca="1">IF(Table1[[#This Row],[Next Stage Date]]&lt;&gt;"",Table1[[#This Row],[Next Stage Date]]-Table1[[#This Row],[Change Date]],TODAY()-Table1[[#This Row],[Change Date]])</f>
        <v>27.996527777773736</v>
      </c>
      <c r="Z500" s="476">
        <f t="shared" si="82"/>
        <v>0</v>
      </c>
      <c r="AA500" s="422">
        <f t="shared" si="83"/>
        <v>45937.37222222222</v>
      </c>
      <c r="AB500" s="422">
        <f t="shared" si="84"/>
        <v>45819.419444444444</v>
      </c>
      <c r="AC500" s="476">
        <f t="shared" si="85"/>
        <v>589.4194444444438</v>
      </c>
      <c r="AD500" s="476">
        <f t="shared" si="86"/>
        <v>117.95277777777665</v>
      </c>
      <c r="AE500" s="476">
        <f t="shared" si="87"/>
        <v>707.37222222222044</v>
      </c>
      <c r="AF500" s="476" t="b">
        <f>IFERROR(_xlfn.XLOOKUP(Table1[[#This Row],[Opportunity ID]],'Aging Detail'!$H$14:$H$20,'Aging Detail'!$F$14:$F$20),TRUE)</f>
        <v>1</v>
      </c>
    </row>
    <row r="501" spans="1:32">
      <c r="A501" t="s">
        <v>1461</v>
      </c>
      <c r="B501" t="s">
        <v>462</v>
      </c>
      <c r="C501" t="s">
        <v>526</v>
      </c>
      <c r="D501" t="s">
        <v>2755</v>
      </c>
      <c r="E501" t="s">
        <v>2752</v>
      </c>
      <c r="F501" t="s">
        <v>148</v>
      </c>
      <c r="H501" t="s">
        <v>157</v>
      </c>
      <c r="I501" s="422">
        <v>45615</v>
      </c>
      <c r="J501" s="422">
        <v>45909</v>
      </c>
      <c r="K501">
        <v>42500</v>
      </c>
      <c r="L501">
        <v>42500</v>
      </c>
      <c r="M501" t="s">
        <v>2753</v>
      </c>
      <c r="N501" t="s">
        <v>1767</v>
      </c>
      <c r="O501" t="str">
        <f>_xlfn.IFNA(VLOOKUP(Table1[[#This Row],[Lead Source]],'helper tab'!A:B,2,FALSE),"Exclude")</f>
        <v>Alliances</v>
      </c>
      <c r="P501" s="422">
        <f t="shared" si="77"/>
        <v>45909.336111111108</v>
      </c>
      <c r="Q501">
        <f t="shared" si="78"/>
        <v>1</v>
      </c>
      <c r="R501">
        <f t="shared" si="79"/>
        <v>0</v>
      </c>
      <c r="S501">
        <f>IF(
AND($Q501=1,$M501&lt;&gt;""),
IF(
COUNTIFS(
$M$3:$M512,$M501,
$O$3:$O512,$O501,
$Q$3:$Q512,1,
$P$3:$P512,"&gt;="&amp;EOMONTH($P501,-1)+1,
$P$3:$P512,"&lt;"&amp;EOMONTH($P501,0)+1
)=1,
1,
0),
0)</f>
        <v>1</v>
      </c>
      <c r="T501">
        <f>IF(AND($R501=1,$M501&lt;&gt;""),IF(COUNTIFS($M$3:$M501,$M501,$O$3:$O501,$O501,$R$3:$R501,1,$P$3:$P501,"&gt;="&amp;EOMONTH($P501,-1)+1,$P$3:$P501,"&lt;"&amp;EOMONTH($P501,0)+1)=1,1,0),0)</f>
        <v>0</v>
      </c>
      <c r="U501">
        <f t="shared" si="80"/>
        <v>0</v>
      </c>
      <c r="V501">
        <f>IF(AND($U501=1,$M501&lt;&gt;""),IF(COUNTIFS($M$3:$M501,$M501,$O$3:$O501,$O501,$U$3:$U501,1,$P$3:$P501,"&gt;="&amp;EOMONTH($P501,-1)+1,$P$3:$P501,"&lt;"&amp;EOMONTH($P501,0)+1)=1,1,0),0)</f>
        <v>0</v>
      </c>
      <c r="W501" s="444">
        <f ca="1">TODAY()-Table1[[#This Row],[Change Date]]</f>
        <v>348.66388888889196</v>
      </c>
      <c r="X501" s="422">
        <f t="shared" si="81"/>
        <v>45909.445138888892</v>
      </c>
      <c r="Y501" s="476">
        <f ca="1">IF(Table1[[#This Row],[Next Stage Date]]&lt;&gt;"",Table1[[#This Row],[Next Stage Date]]-Table1[[#This Row],[Change Date]],TODAY()-Table1[[#This Row],[Change Date]])</f>
        <v>0.10902777778392192</v>
      </c>
      <c r="Z501" s="476">
        <f t="shared" si="82"/>
        <v>0</v>
      </c>
      <c r="AA501" s="422">
        <f t="shared" si="83"/>
        <v>45909.445138888892</v>
      </c>
      <c r="AB501" s="422">
        <f t="shared" si="84"/>
        <v>45898.501388888886</v>
      </c>
      <c r="AC501" s="476">
        <f t="shared" si="85"/>
        <v>283.50138888888614</v>
      </c>
      <c r="AD501" s="476">
        <f t="shared" si="86"/>
        <v>10.943750000005821</v>
      </c>
      <c r="AE501" s="476">
        <f t="shared" si="87"/>
        <v>294.44513888889196</v>
      </c>
      <c r="AF501" s="476" t="b">
        <f>IFERROR(_xlfn.XLOOKUP(Table1[[#This Row],[Opportunity ID]],'Aging Detail'!$H$14:$H$20,'Aging Detail'!$F$14:$F$20),TRUE)</f>
        <v>1</v>
      </c>
    </row>
    <row r="502" spans="1:32">
      <c r="A502" t="s">
        <v>1461</v>
      </c>
      <c r="B502" t="s">
        <v>462</v>
      </c>
      <c r="C502" t="s">
        <v>563</v>
      </c>
      <c r="D502" t="s">
        <v>2756</v>
      </c>
      <c r="E502" t="s">
        <v>2757</v>
      </c>
      <c r="I502" s="422">
        <v>45798</v>
      </c>
      <c r="J502" s="422">
        <v>45869</v>
      </c>
      <c r="K502">
        <v>4050</v>
      </c>
      <c r="L502">
        <v>0</v>
      </c>
      <c r="M502" t="s">
        <v>2758</v>
      </c>
      <c r="N502" t="s">
        <v>1908</v>
      </c>
      <c r="O502" t="str">
        <f>_xlfn.IFNA(VLOOKUP(Table1[[#This Row],[Lead Source]],'helper tab'!A:B,2,FALSE),"Exclude")</f>
        <v>Exclude</v>
      </c>
      <c r="P502" s="422">
        <f t="shared" si="77"/>
        <v>45909.32916666667</v>
      </c>
      <c r="Q502">
        <f t="shared" si="78"/>
        <v>0</v>
      </c>
      <c r="R502">
        <f t="shared" si="79"/>
        <v>1</v>
      </c>
      <c r="S502">
        <f>IF(
AND($Q502=1,$M502&lt;&gt;""),
IF(
COUNTIFS(
$M$3:$M502,$M502,
$O$3:$O502,$O502,
$Q$3:$Q502,1,
$P$3:$P502,"&gt;="&amp;EOMONTH($P502,-1)+1,
$P$3:$P502,"&lt;"&amp;EOMONTH($P502,0)+1
)=1,
1,
0),
0)</f>
        <v>0</v>
      </c>
      <c r="T502">
        <f>IF(AND($R502=1,$M502&lt;&gt;""),IF(COUNTIFS($M$3:$M502,$M502,$O$3:$O502,$O502,$R$3:$R502,1,$P$3:$P502,"&gt;="&amp;EOMONTH($P502,-1)+1,$P$3:$P502,"&lt;"&amp;EOMONTH($P502,0)+1)=1,1,0),0)</f>
        <v>1</v>
      </c>
      <c r="U502">
        <f t="shared" si="80"/>
        <v>0</v>
      </c>
      <c r="V502">
        <f>IF(AND($U502=1,$M502&lt;&gt;""),IF(COUNTIFS($M$3:$M502,$M502,$O$3:$O502,$O502,$U$3:$U502,1,$P$3:$P502,"&gt;="&amp;EOMONTH($P502,-1)+1,$P$3:$P502,"&lt;"&amp;EOMONTH($P502,0)+1)=1,1,0),0)</f>
        <v>0</v>
      </c>
      <c r="W502" s="444">
        <f ca="1">TODAY()-Table1[[#This Row],[Change Date]]</f>
        <v>348.67083333332994</v>
      </c>
      <c r="X502" s="422" t="str">
        <f t="shared" si="81"/>
        <v/>
      </c>
      <c r="Y502" s="476">
        <f ca="1">IF(Table1[[#This Row],[Next Stage Date]]&lt;&gt;"",Table1[[#This Row],[Next Stage Date]]-Table1[[#This Row],[Change Date]],TODAY()-Table1[[#This Row],[Change Date]])</f>
        <v>348.67083333332994</v>
      </c>
      <c r="Z502" s="476">
        <f t="shared" si="82"/>
        <v>1</v>
      </c>
      <c r="AA502" s="422">
        <f t="shared" si="83"/>
        <v>45909.32916666667</v>
      </c>
      <c r="AB502" s="422">
        <f t="shared" si="84"/>
        <v>45813.226388888892</v>
      </c>
      <c r="AC502" s="476">
        <f t="shared" si="85"/>
        <v>15.226388888891961</v>
      </c>
      <c r="AD502" s="476">
        <f t="shared" si="86"/>
        <v>96.102777777778101</v>
      </c>
      <c r="AE502" s="476">
        <f t="shared" si="87"/>
        <v>111.32916666667006</v>
      </c>
      <c r="AF502" s="476" t="b">
        <f>IFERROR(_xlfn.XLOOKUP(Table1[[#This Row],[Opportunity ID]],'Aging Detail'!$H$14:$H$20,'Aging Detail'!$F$14:$F$20),TRUE)</f>
        <v>1</v>
      </c>
    </row>
    <row r="503" spans="1:32">
      <c r="A503" t="s">
        <v>1461</v>
      </c>
      <c r="B503" t="s">
        <v>462</v>
      </c>
      <c r="C503" t="s">
        <v>563</v>
      </c>
      <c r="D503" t="s">
        <v>2756</v>
      </c>
      <c r="E503" t="s">
        <v>2759</v>
      </c>
      <c r="I503" s="422">
        <v>45860</v>
      </c>
      <c r="J503" s="422">
        <v>45909</v>
      </c>
      <c r="K503">
        <v>4050</v>
      </c>
      <c r="L503">
        <v>0</v>
      </c>
      <c r="M503" t="s">
        <v>2760</v>
      </c>
      <c r="N503" t="s">
        <v>1908</v>
      </c>
      <c r="O503" t="str">
        <f>_xlfn.IFNA(VLOOKUP(Table1[[#This Row],[Lead Source]],'helper tab'!A:B,2,FALSE),"Exclude")</f>
        <v>Exclude</v>
      </c>
      <c r="P503" s="422">
        <f t="shared" si="77"/>
        <v>45909.32916666667</v>
      </c>
      <c r="Q503">
        <f t="shared" si="78"/>
        <v>0</v>
      </c>
      <c r="R503">
        <f t="shared" si="79"/>
        <v>1</v>
      </c>
      <c r="S503">
        <f>IF(
AND($Q503=1,$M503&lt;&gt;""),
IF(
COUNTIFS(
$M$3:$M503,$M503,
$O$3:$O503,$O503,
$Q$3:$Q503,1,
$P$3:$P503,"&gt;="&amp;EOMONTH($P503,-1)+1,
$P$3:$P503,"&lt;"&amp;EOMONTH($P503,0)+1
)=1,
1,
0),
0)</f>
        <v>0</v>
      </c>
      <c r="T503">
        <f>IF(AND($R503=1,$M503&lt;&gt;""),IF(COUNTIFS($M$3:$M503,$M503,$O$3:$O503,$O503,$R$3:$R503,1,$P$3:$P503,"&gt;="&amp;EOMONTH($P503,-1)+1,$P$3:$P503,"&lt;"&amp;EOMONTH($P503,0)+1)=1,1,0),0)</f>
        <v>1</v>
      </c>
      <c r="U503">
        <f t="shared" si="80"/>
        <v>0</v>
      </c>
      <c r="V503">
        <f>IF(AND($U503=1,$M503&lt;&gt;""),IF(COUNTIFS($M$3:$M503,$M503,$O$3:$O503,$O503,$U$3:$U503,1,$P$3:$P503,"&gt;="&amp;EOMONTH($P503,-1)+1,$P$3:$P503,"&lt;"&amp;EOMONTH($P503,0)+1)=1,1,0),0)</f>
        <v>0</v>
      </c>
      <c r="W503" s="444">
        <f ca="1">TODAY()-Table1[[#This Row],[Change Date]]</f>
        <v>348.67083333332994</v>
      </c>
      <c r="X503" s="422" t="str">
        <f t="shared" si="81"/>
        <v/>
      </c>
      <c r="Y503" s="476">
        <f ca="1">IF(Table1[[#This Row],[Next Stage Date]]&lt;&gt;"",Table1[[#This Row],[Next Stage Date]]-Table1[[#This Row],[Change Date]],TODAY()-Table1[[#This Row],[Change Date]])</f>
        <v>348.67083333332994</v>
      </c>
      <c r="Z503" s="476">
        <f t="shared" si="82"/>
        <v>1</v>
      </c>
      <c r="AA503" s="422">
        <f t="shared" si="83"/>
        <v>45909.32916666667</v>
      </c>
      <c r="AB503" s="422">
        <f t="shared" si="84"/>
        <v>45881.472916666666</v>
      </c>
      <c r="AC503" s="476">
        <f t="shared" si="85"/>
        <v>21.472916666665697</v>
      </c>
      <c r="AD503" s="476">
        <f t="shared" si="86"/>
        <v>27.856250000004366</v>
      </c>
      <c r="AE503" s="476">
        <f t="shared" si="87"/>
        <v>49.329166666670062</v>
      </c>
      <c r="AF503" s="476" t="b">
        <f>IFERROR(_xlfn.XLOOKUP(Table1[[#This Row],[Opportunity ID]],'Aging Detail'!$H$14:$H$20,'Aging Detail'!$F$14:$F$20),TRUE)</f>
        <v>1</v>
      </c>
    </row>
    <row r="504" spans="1:32">
      <c r="A504" t="s">
        <v>1461</v>
      </c>
      <c r="B504" t="s">
        <v>408</v>
      </c>
      <c r="C504" t="s">
        <v>1469</v>
      </c>
      <c r="D504" t="s">
        <v>2761</v>
      </c>
      <c r="E504" t="s">
        <v>2762</v>
      </c>
      <c r="I504" s="422">
        <v>45533</v>
      </c>
      <c r="J504" s="422">
        <v>46112</v>
      </c>
      <c r="K504">
        <v>95448</v>
      </c>
      <c r="L504">
        <v>95448</v>
      </c>
      <c r="M504" t="s">
        <v>2763</v>
      </c>
      <c r="N504" t="s">
        <v>2148</v>
      </c>
      <c r="O504" t="str">
        <f>_xlfn.IFNA(VLOOKUP(Table1[[#This Row],[Lead Source]],'helper tab'!A:B,2,FALSE),"Exclude")</f>
        <v>Exclude</v>
      </c>
      <c r="P504" s="422">
        <f t="shared" si="77"/>
        <v>45908.535416666666</v>
      </c>
      <c r="Q504">
        <f t="shared" si="78"/>
        <v>0</v>
      </c>
      <c r="R504">
        <f t="shared" si="79"/>
        <v>0</v>
      </c>
      <c r="S504">
        <f>IF(
AND($Q504=1,$M504&lt;&gt;""),
IF(
COUNTIFS(
$M$3:$M504,$M504,
$O$3:$O504,$O504,
$Q$3:$Q504,1,
$P$3:$P504,"&gt;="&amp;EOMONTH($P504,-1)+1,
$P$3:$P504,"&lt;"&amp;EOMONTH($P504,0)+1
)=1,
1,
0),
0)</f>
        <v>0</v>
      </c>
      <c r="T504">
        <f>IF(AND($R504=1,$M504&lt;&gt;""),IF(COUNTIFS($M$3:$M504,$M504,$O$3:$O504,$O504,$R$3:$R504,1,$P$3:$P504,"&gt;="&amp;EOMONTH($P504,-1)+1,$P$3:$P504,"&lt;"&amp;EOMONTH($P504,0)+1)=1,1,0),0)</f>
        <v>0</v>
      </c>
      <c r="U504">
        <f t="shared" si="80"/>
        <v>1</v>
      </c>
      <c r="V504">
        <f>IF(AND($U504=1,$M504&lt;&gt;""),IF(COUNTIFS($M$3:$M504,$M504,$O$3:$O504,$O504,$U$3:$U504,1,$P$3:$P504,"&gt;="&amp;EOMONTH($P504,-1)+1,$P$3:$P504,"&lt;"&amp;EOMONTH($P504,0)+1)=1,1,0),0)</f>
        <v>1</v>
      </c>
      <c r="W504" s="444">
        <f ca="1">TODAY()-Table1[[#This Row],[Change Date]]</f>
        <v>349.4645833333343</v>
      </c>
      <c r="X504" s="422" t="str">
        <f t="shared" si="81"/>
        <v/>
      </c>
      <c r="Y504" s="476">
        <f ca="1">IF(Table1[[#This Row],[Next Stage Date]]&lt;&gt;"",Table1[[#This Row],[Next Stage Date]]-Table1[[#This Row],[Change Date]],TODAY()-Table1[[#This Row],[Change Date]])</f>
        <v>349.4645833333343</v>
      </c>
      <c r="Z504" s="476">
        <f t="shared" si="82"/>
        <v>1</v>
      </c>
      <c r="AA504" s="422" t="str">
        <f t="shared" si="83"/>
        <v/>
      </c>
      <c r="AB504" s="422" t="str">
        <f t="shared" si="84"/>
        <v/>
      </c>
      <c r="AC504" s="476" t="str">
        <f t="shared" si="85"/>
        <v/>
      </c>
      <c r="AD504" s="476" t="str">
        <f t="shared" si="86"/>
        <v/>
      </c>
      <c r="AE504" s="476" t="str">
        <f t="shared" si="87"/>
        <v/>
      </c>
      <c r="AF504" s="476" t="b">
        <f>IFERROR(_xlfn.XLOOKUP(Table1[[#This Row],[Opportunity ID]],'Aging Detail'!$H$14:$H$20,'Aging Detail'!$F$14:$F$20),TRUE)</f>
        <v>1</v>
      </c>
    </row>
    <row r="505" spans="1:32">
      <c r="A505" t="s">
        <v>1461</v>
      </c>
      <c r="B505" t="s">
        <v>408</v>
      </c>
      <c r="C505" t="s">
        <v>1469</v>
      </c>
      <c r="D505" t="s">
        <v>2764</v>
      </c>
      <c r="E505" t="s">
        <v>2765</v>
      </c>
      <c r="I505" s="422">
        <v>45608</v>
      </c>
      <c r="J505" s="422">
        <v>46203</v>
      </c>
      <c r="K505">
        <v>98400</v>
      </c>
      <c r="L505">
        <v>98400</v>
      </c>
      <c r="M505" t="s">
        <v>2766</v>
      </c>
      <c r="N505" t="s">
        <v>1739</v>
      </c>
      <c r="O505" t="str">
        <f>_xlfn.IFNA(VLOOKUP(Table1[[#This Row],[Lead Source]],'helper tab'!A:B,2,FALSE),"Exclude")</f>
        <v>Exclude</v>
      </c>
      <c r="P505" s="422">
        <f t="shared" si="77"/>
        <v>45908.522916666669</v>
      </c>
      <c r="Q505">
        <f t="shared" si="78"/>
        <v>0</v>
      </c>
      <c r="R505">
        <f t="shared" si="79"/>
        <v>0</v>
      </c>
      <c r="S505">
        <f>IF(
AND($Q505=1,$M505&lt;&gt;""),
IF(
COUNTIFS(
$M$3:$M505,$M505,
$O$3:$O505,$O505,
$Q$3:$Q505,1,
$P$3:$P505,"&gt;="&amp;EOMONTH($P505,-1)+1,
$P$3:$P505,"&lt;"&amp;EOMONTH($P505,0)+1
)=1,
1,
0),
0)</f>
        <v>0</v>
      </c>
      <c r="T505">
        <f>IF(AND($R505=1,$M505&lt;&gt;""),IF(COUNTIFS($M$3:$M505,$M505,$O$3:$O505,$O505,$R$3:$R505,1,$P$3:$P505,"&gt;="&amp;EOMONTH($P505,-1)+1,$P$3:$P505,"&lt;"&amp;EOMONTH($P505,0)+1)=1,1,0),0)</f>
        <v>0</v>
      </c>
      <c r="U505">
        <f t="shared" si="80"/>
        <v>1</v>
      </c>
      <c r="V505">
        <f>IF(AND($U505=1,$M505&lt;&gt;""),IF(COUNTIFS($M$3:$M505,$M505,$O$3:$O505,$O505,$U$3:$U505,1,$P$3:$P505,"&gt;="&amp;EOMONTH($P505,-1)+1,$P$3:$P505,"&lt;"&amp;EOMONTH($P505,0)+1)=1,1,0),0)</f>
        <v>1</v>
      </c>
      <c r="W505" s="444">
        <f ca="1">TODAY()-Table1[[#This Row],[Change Date]]</f>
        <v>349.47708333333139</v>
      </c>
      <c r="X505" s="422" t="str">
        <f t="shared" si="81"/>
        <v/>
      </c>
      <c r="Y505" s="476">
        <f ca="1">IF(Table1[[#This Row],[Next Stage Date]]&lt;&gt;"",Table1[[#This Row],[Next Stage Date]]-Table1[[#This Row],[Change Date]],TODAY()-Table1[[#This Row],[Change Date]])</f>
        <v>349.47708333333139</v>
      </c>
      <c r="Z505" s="476">
        <f t="shared" si="82"/>
        <v>1</v>
      </c>
      <c r="AA505" s="422" t="str">
        <f t="shared" si="83"/>
        <v/>
      </c>
      <c r="AB505" s="422" t="str">
        <f t="shared" si="84"/>
        <v/>
      </c>
      <c r="AC505" s="476" t="str">
        <f t="shared" si="85"/>
        <v/>
      </c>
      <c r="AD505" s="476" t="str">
        <f t="shared" si="86"/>
        <v/>
      </c>
      <c r="AE505" s="476" t="str">
        <f t="shared" si="87"/>
        <v/>
      </c>
      <c r="AF505" s="476" t="b">
        <f>IFERROR(_xlfn.XLOOKUP(Table1[[#This Row],[Opportunity ID]],'Aging Detail'!$H$14:$H$20,'Aging Detail'!$F$14:$F$20),TRUE)</f>
        <v>1</v>
      </c>
    </row>
    <row r="506" spans="1:32">
      <c r="A506" t="s">
        <v>1461</v>
      </c>
      <c r="B506" t="s">
        <v>1462</v>
      </c>
      <c r="C506" t="s">
        <v>1469</v>
      </c>
      <c r="D506" t="s">
        <v>2767</v>
      </c>
      <c r="E506" t="s">
        <v>2768</v>
      </c>
      <c r="F506" t="s">
        <v>1484</v>
      </c>
      <c r="I506" s="422">
        <v>45182</v>
      </c>
      <c r="J506" s="422">
        <v>45657</v>
      </c>
      <c r="K506">
        <v>44000</v>
      </c>
      <c r="L506">
        <v>0</v>
      </c>
      <c r="M506" t="s">
        <v>2769</v>
      </c>
      <c r="N506" t="s">
        <v>1800</v>
      </c>
      <c r="O506" t="str">
        <f>_xlfn.IFNA(VLOOKUP(Table1[[#This Row],[Lead Source]],'helper tab'!A:B,2,FALSE),"Exclude")</f>
        <v>Exclude</v>
      </c>
      <c r="P506" s="422">
        <f t="shared" si="77"/>
        <v>45908.480555555558</v>
      </c>
      <c r="Q506">
        <f t="shared" si="78"/>
        <v>0</v>
      </c>
      <c r="R506">
        <f t="shared" si="79"/>
        <v>0</v>
      </c>
      <c r="S506">
        <f>IF(
AND($Q506=1,$M506&lt;&gt;""),
IF(
COUNTIFS(
$M$3:$M506,$M506,
$O$3:$O506,$O506,
$Q$3:$Q506,1,
$P$3:$P506,"&gt;="&amp;EOMONTH($P506,-1)+1,
$P$3:$P506,"&lt;"&amp;EOMONTH($P506,0)+1
)=1,
1,
0),
0)</f>
        <v>0</v>
      </c>
      <c r="T506">
        <f>IF(AND($R506=1,$M506&lt;&gt;""),IF(COUNTIFS($M$3:$M506,$M506,$O$3:$O506,$O506,$R$3:$R506,1,$P$3:$P506,"&gt;="&amp;EOMONTH($P506,-1)+1,$P$3:$P506,"&lt;"&amp;EOMONTH($P506,0)+1)=1,1,0),0)</f>
        <v>0</v>
      </c>
      <c r="U506">
        <f t="shared" si="80"/>
        <v>1</v>
      </c>
      <c r="V506">
        <f>IF(AND($U506=1,$M506&lt;&gt;""),IF(COUNTIFS($M$3:$M506,$M506,$O$3:$O506,$O506,$U$3:$U506,1,$P$3:$P506,"&gt;="&amp;EOMONTH($P506,-1)+1,$P$3:$P506,"&lt;"&amp;EOMONTH($P506,0)+1)=1,1,0),0)</f>
        <v>1</v>
      </c>
      <c r="W506" s="444">
        <f ca="1">TODAY()-Table1[[#This Row],[Change Date]]</f>
        <v>349.51944444444234</v>
      </c>
      <c r="X506" s="422" t="str">
        <f t="shared" si="81"/>
        <v/>
      </c>
      <c r="Y506" s="476">
        <f ca="1">IF(Table1[[#This Row],[Next Stage Date]]&lt;&gt;"",Table1[[#This Row],[Next Stage Date]]-Table1[[#This Row],[Change Date]],TODAY()-Table1[[#This Row],[Change Date]])</f>
        <v>349.51944444444234</v>
      </c>
      <c r="Z506" s="476">
        <f t="shared" si="82"/>
        <v>1</v>
      </c>
      <c r="AA506" s="422" t="str">
        <f t="shared" si="83"/>
        <v/>
      </c>
      <c r="AB506" s="422" t="str">
        <f t="shared" si="84"/>
        <v/>
      </c>
      <c r="AC506" s="476" t="str">
        <f t="shared" si="85"/>
        <v/>
      </c>
      <c r="AD506" s="476" t="str">
        <f t="shared" si="86"/>
        <v/>
      </c>
      <c r="AE506" s="476" t="str">
        <f t="shared" si="87"/>
        <v/>
      </c>
      <c r="AF506" s="476" t="b">
        <f>IFERROR(_xlfn.XLOOKUP(Table1[[#This Row],[Opportunity ID]],'Aging Detail'!$H$14:$H$20,'Aging Detail'!$F$14:$F$20),TRUE)</f>
        <v>1</v>
      </c>
    </row>
    <row r="507" spans="1:32">
      <c r="A507" t="s">
        <v>1461</v>
      </c>
      <c r="B507" t="s">
        <v>338</v>
      </c>
      <c r="C507" t="s">
        <v>1469</v>
      </c>
      <c r="D507" t="s">
        <v>2770</v>
      </c>
      <c r="E507" t="s">
        <v>2771</v>
      </c>
      <c r="I507" s="422">
        <v>45883</v>
      </c>
      <c r="J507" s="422">
        <v>73050</v>
      </c>
      <c r="L507">
        <v>0</v>
      </c>
      <c r="M507" t="s">
        <v>2772</v>
      </c>
      <c r="N507" t="s">
        <v>2326</v>
      </c>
      <c r="O507" t="str">
        <f>_xlfn.IFNA(VLOOKUP(Table1[[#This Row],[Lead Source]],'helper tab'!A:B,2,FALSE),"Exclude")</f>
        <v>Exclude</v>
      </c>
      <c r="P507" s="422">
        <f t="shared" si="77"/>
        <v>45905.476388888892</v>
      </c>
      <c r="Q507">
        <f t="shared" si="78"/>
        <v>0</v>
      </c>
      <c r="R507">
        <f t="shared" si="79"/>
        <v>0</v>
      </c>
      <c r="S507">
        <f>IF(
AND($Q507=1,$M507&lt;&gt;""),
IF(
COUNTIFS(
$M$3:$M507,$M507,
$O$3:$O507,$O507,
$Q$3:$Q507,1,
$P$3:$P507,"&gt;="&amp;EOMONTH($P507,-1)+1,
$P$3:$P507,"&lt;"&amp;EOMONTH($P507,0)+1
)=1,
1,
0),
0)</f>
        <v>0</v>
      </c>
      <c r="T507">
        <f>IF(AND($R507=1,$M507&lt;&gt;""),IF(COUNTIFS($M$3:$M507,$M507,$O$3:$O507,$O507,$R$3:$R507,1,$P$3:$P507,"&gt;="&amp;EOMONTH($P507,-1)+1,$P$3:$P507,"&lt;"&amp;EOMONTH($P507,0)+1)=1,1,0),0)</f>
        <v>0</v>
      </c>
      <c r="U507">
        <f t="shared" si="80"/>
        <v>1</v>
      </c>
      <c r="V507">
        <f>IF(AND($U507=1,$M507&lt;&gt;""),IF(COUNTIFS($M$3:$M507,$M507,$O$3:$O507,$O507,$U$3:$U507,1,$P$3:$P507,"&gt;="&amp;EOMONTH($P507,-1)+1,$P$3:$P507,"&lt;"&amp;EOMONTH($P507,0)+1)=1,1,0),0)</f>
        <v>1</v>
      </c>
      <c r="W507" s="444">
        <f ca="1">TODAY()-Table1[[#This Row],[Change Date]]</f>
        <v>352.52361111110804</v>
      </c>
      <c r="X507" s="422" t="str">
        <f t="shared" si="81"/>
        <v/>
      </c>
      <c r="Y507" s="476">
        <f ca="1">IF(Table1[[#This Row],[Next Stage Date]]&lt;&gt;"",Table1[[#This Row],[Next Stage Date]]-Table1[[#This Row],[Change Date]],TODAY()-Table1[[#This Row],[Change Date]])</f>
        <v>352.52361111110804</v>
      </c>
      <c r="Z507" s="476">
        <f t="shared" si="82"/>
        <v>1</v>
      </c>
      <c r="AA507" s="422" t="str">
        <f t="shared" si="83"/>
        <v/>
      </c>
      <c r="AB507" s="422" t="str">
        <f t="shared" si="84"/>
        <v/>
      </c>
      <c r="AC507" s="476" t="str">
        <f t="shared" si="85"/>
        <v/>
      </c>
      <c r="AD507" s="476" t="str">
        <f t="shared" si="86"/>
        <v/>
      </c>
      <c r="AE507" s="476" t="str">
        <f t="shared" si="87"/>
        <v/>
      </c>
      <c r="AF507" s="476" t="b">
        <f>IFERROR(_xlfn.XLOOKUP(Table1[[#This Row],[Opportunity ID]],'Aging Detail'!$H$14:$H$20,'Aging Detail'!$F$14:$F$20),TRUE)</f>
        <v>1</v>
      </c>
    </row>
    <row r="508" spans="1:32">
      <c r="A508" t="s">
        <v>1461</v>
      </c>
      <c r="B508" t="s">
        <v>338</v>
      </c>
      <c r="C508" t="s">
        <v>1469</v>
      </c>
      <c r="D508" t="s">
        <v>2773</v>
      </c>
      <c r="E508" t="s">
        <v>2774</v>
      </c>
      <c r="I508" s="422">
        <v>45883</v>
      </c>
      <c r="J508" s="422">
        <v>73050</v>
      </c>
      <c r="L508">
        <v>0</v>
      </c>
      <c r="M508" t="s">
        <v>2775</v>
      </c>
      <c r="N508" t="s">
        <v>2326</v>
      </c>
      <c r="O508" t="str">
        <f>_xlfn.IFNA(VLOOKUP(Table1[[#This Row],[Lead Source]],'helper tab'!A:B,2,FALSE),"Exclude")</f>
        <v>Exclude</v>
      </c>
      <c r="P508" s="422">
        <f t="shared" si="77"/>
        <v>45905.475694444445</v>
      </c>
      <c r="Q508">
        <f t="shared" si="78"/>
        <v>0</v>
      </c>
      <c r="R508">
        <f t="shared" si="79"/>
        <v>0</v>
      </c>
      <c r="S508">
        <f>IF(
AND($Q508=1,$M508&lt;&gt;""),
IF(
COUNTIFS(
$M$3:$M508,$M508,
$O$3:$O508,$O508,
$Q$3:$Q508,1,
$P$3:$P508,"&gt;="&amp;EOMONTH($P508,-1)+1,
$P$3:$P508,"&lt;"&amp;EOMONTH($P508,0)+1
)=1,
1,
0),
0)</f>
        <v>0</v>
      </c>
      <c r="T508">
        <f>IF(AND($R508=1,$M508&lt;&gt;""),IF(COUNTIFS($M$3:$M508,$M508,$O$3:$O508,$O508,$R$3:$R508,1,$P$3:$P508,"&gt;="&amp;EOMONTH($P508,-1)+1,$P$3:$P508,"&lt;"&amp;EOMONTH($P508,0)+1)=1,1,0),0)</f>
        <v>0</v>
      </c>
      <c r="U508">
        <f t="shared" si="80"/>
        <v>1</v>
      </c>
      <c r="V508">
        <f>IF(AND($U508=1,$M508&lt;&gt;""),IF(COUNTIFS($M$3:$M508,$M508,$O$3:$O508,$O508,$U$3:$U508,1,$P$3:$P508,"&gt;="&amp;EOMONTH($P508,-1)+1,$P$3:$P508,"&lt;"&amp;EOMONTH($P508,0)+1)=1,1,0),0)</f>
        <v>1</v>
      </c>
      <c r="W508" s="444">
        <f ca="1">TODAY()-Table1[[#This Row],[Change Date]]</f>
        <v>352.52430555555475</v>
      </c>
      <c r="X508" s="422" t="str">
        <f t="shared" si="81"/>
        <v/>
      </c>
      <c r="Y508" s="476">
        <f ca="1">IF(Table1[[#This Row],[Next Stage Date]]&lt;&gt;"",Table1[[#This Row],[Next Stage Date]]-Table1[[#This Row],[Change Date]],TODAY()-Table1[[#This Row],[Change Date]])</f>
        <v>352.52430555555475</v>
      </c>
      <c r="Z508" s="476">
        <f t="shared" si="82"/>
        <v>1</v>
      </c>
      <c r="AA508" s="422" t="str">
        <f t="shared" si="83"/>
        <v/>
      </c>
      <c r="AB508" s="422" t="str">
        <f t="shared" si="84"/>
        <v/>
      </c>
      <c r="AC508" s="476" t="str">
        <f t="shared" si="85"/>
        <v/>
      </c>
      <c r="AD508" s="476" t="str">
        <f t="shared" si="86"/>
        <v/>
      </c>
      <c r="AE508" s="476" t="str">
        <f t="shared" si="87"/>
        <v/>
      </c>
      <c r="AF508" s="476" t="b">
        <f>IFERROR(_xlfn.XLOOKUP(Table1[[#This Row],[Opportunity ID]],'Aging Detail'!$H$14:$H$20,'Aging Detail'!$F$14:$F$20),TRUE)</f>
        <v>1</v>
      </c>
    </row>
    <row r="509" spans="1:32">
      <c r="A509" t="s">
        <v>1461</v>
      </c>
      <c r="B509" t="s">
        <v>526</v>
      </c>
      <c r="C509" t="s">
        <v>563</v>
      </c>
      <c r="D509" t="s">
        <v>2776</v>
      </c>
      <c r="E509" t="s">
        <v>2777</v>
      </c>
      <c r="I509" s="422">
        <v>45897</v>
      </c>
      <c r="J509" s="422">
        <v>45905</v>
      </c>
      <c r="K509">
        <v>40370.400000000001</v>
      </c>
      <c r="L509">
        <v>13456.8</v>
      </c>
      <c r="M509" t="s">
        <v>2778</v>
      </c>
      <c r="N509" t="s">
        <v>1549</v>
      </c>
      <c r="O509" t="str">
        <f>_xlfn.IFNA(VLOOKUP(Table1[[#This Row],[Lead Source]],'helper tab'!A:B,2,FALSE),"Exclude")</f>
        <v>Exclude</v>
      </c>
      <c r="P509" s="422">
        <f t="shared" si="77"/>
        <v>45905.378472222219</v>
      </c>
      <c r="Q509">
        <f t="shared" si="78"/>
        <v>0</v>
      </c>
      <c r="R509">
        <f t="shared" si="79"/>
        <v>1</v>
      </c>
      <c r="S509">
        <f>IF(
AND($Q509=1,$M509&lt;&gt;""),
IF(
COUNTIFS(
$M$3:$M509,$M509,
$O$3:$O509,$O509,
$Q$3:$Q509,1,
$P$3:$P509,"&gt;="&amp;EOMONTH($P509,-1)+1,
$P$3:$P509,"&lt;"&amp;EOMONTH($P509,0)+1
)=1,
1,
0),
0)</f>
        <v>0</v>
      </c>
      <c r="T509">
        <f>IF(AND($R509=1,$M509&lt;&gt;""),IF(COUNTIFS($M$3:$M509,$M509,$O$3:$O509,$O509,$R$3:$R509,1,$P$3:$P509,"&gt;="&amp;EOMONTH($P509,-1)+1,$P$3:$P509,"&lt;"&amp;EOMONTH($P509,0)+1)=1,1,0),0)</f>
        <v>1</v>
      </c>
      <c r="U509">
        <f t="shared" si="80"/>
        <v>0</v>
      </c>
      <c r="V509">
        <f>IF(AND($U509=1,$M509&lt;&gt;""),IF(COUNTIFS($M$3:$M509,$M509,$O$3:$O509,$O509,$U$3:$U509,1,$P$3:$P509,"&gt;="&amp;EOMONTH($P509,-1)+1,$P$3:$P509,"&lt;"&amp;EOMONTH($P509,0)+1)=1,1,0),0)</f>
        <v>0</v>
      </c>
      <c r="W509" s="444">
        <f ca="1">TODAY()-Table1[[#This Row],[Change Date]]</f>
        <v>352.62152777778101</v>
      </c>
      <c r="X509" s="422" t="str">
        <f t="shared" si="81"/>
        <v/>
      </c>
      <c r="Y509" s="476">
        <f ca="1">IF(Table1[[#This Row],[Next Stage Date]]&lt;&gt;"",Table1[[#This Row],[Next Stage Date]]-Table1[[#This Row],[Change Date]],TODAY()-Table1[[#This Row],[Change Date]])</f>
        <v>352.62152777778101</v>
      </c>
      <c r="Z509" s="476">
        <f t="shared" si="82"/>
        <v>1</v>
      </c>
      <c r="AA509" s="422">
        <f t="shared" si="83"/>
        <v>45905.378472222219</v>
      </c>
      <c r="AB509" s="422">
        <f t="shared" si="84"/>
        <v>45902.26666666667</v>
      </c>
      <c r="AC509" s="476">
        <f t="shared" si="85"/>
        <v>5.2666666666700621</v>
      </c>
      <c r="AD509" s="476">
        <f t="shared" si="86"/>
        <v>3.1118055555489263</v>
      </c>
      <c r="AE509" s="476">
        <f t="shared" si="87"/>
        <v>8.3784722222189885</v>
      </c>
      <c r="AF509" s="476" t="b">
        <f>IFERROR(_xlfn.XLOOKUP(Table1[[#This Row],[Opportunity ID]],'Aging Detail'!$H$14:$H$20,'Aging Detail'!$F$14:$F$20),TRUE)</f>
        <v>1</v>
      </c>
    </row>
    <row r="510" spans="1:32">
      <c r="A510" t="s">
        <v>1461</v>
      </c>
      <c r="B510" t="s">
        <v>591</v>
      </c>
      <c r="C510" t="s">
        <v>1469</v>
      </c>
      <c r="D510" t="s">
        <v>2779</v>
      </c>
      <c r="E510" t="s">
        <v>2780</v>
      </c>
      <c r="F510" t="s">
        <v>148</v>
      </c>
      <c r="H510" t="s">
        <v>1698</v>
      </c>
      <c r="I510" s="422">
        <v>45834</v>
      </c>
      <c r="J510" s="422">
        <v>45895</v>
      </c>
      <c r="K510">
        <v>30000</v>
      </c>
      <c r="L510">
        <v>30000</v>
      </c>
      <c r="M510" t="s">
        <v>2781</v>
      </c>
      <c r="N510" t="s">
        <v>555</v>
      </c>
      <c r="O510" t="str">
        <f>_xlfn.IFNA(VLOOKUP(Table1[[#This Row],[Lead Source]],'helper tab'!A:B,2,FALSE),"Exclude")</f>
        <v>Alliances</v>
      </c>
      <c r="P510" s="422">
        <f t="shared" si="77"/>
        <v>45903.29791666667</v>
      </c>
      <c r="Q510">
        <f t="shared" si="78"/>
        <v>0</v>
      </c>
      <c r="R510">
        <f t="shared" si="79"/>
        <v>0</v>
      </c>
      <c r="S510">
        <f>IF(
AND($Q510=1,$M510&lt;&gt;""),
IF(
COUNTIFS(
$M$3:$M510,$M510,
$O$3:$O510,$O510,
$Q$3:$Q510,1,
$P$3:$P510,"&gt;="&amp;EOMONTH($P510,-1)+1,
$P$3:$P510,"&lt;"&amp;EOMONTH($P510,0)+1
)=1,
1,
0),
0)</f>
        <v>0</v>
      </c>
      <c r="T510">
        <f>IF(AND($R510=1,$M510&lt;&gt;""),IF(COUNTIFS($M$3:$M510,$M510,$O$3:$O510,$O510,$R$3:$R510,1,$P$3:$P510,"&gt;="&amp;EOMONTH($P510,-1)+1,$P$3:$P510,"&lt;"&amp;EOMONTH($P510,0)+1)=1,1,0),0)</f>
        <v>0</v>
      </c>
      <c r="U510">
        <f t="shared" si="80"/>
        <v>1</v>
      </c>
      <c r="V510">
        <f>IF(AND($U510=1,$M510&lt;&gt;""),IF(COUNTIFS($M$3:$M510,$M510,$O$3:$O510,$O510,$U$3:$U510,1,$P$3:$P510,"&gt;="&amp;EOMONTH($P510,-1)+1,$P$3:$P510,"&lt;"&amp;EOMONTH($P510,0)+1)=1,1,0),0)</f>
        <v>1</v>
      </c>
      <c r="W510" s="444">
        <f ca="1">TODAY()-Table1[[#This Row],[Change Date]]</f>
        <v>354.70208333332994</v>
      </c>
      <c r="X510" s="422" t="str">
        <f t="shared" si="81"/>
        <v/>
      </c>
      <c r="Y510" s="476">
        <f ca="1">IF(Table1[[#This Row],[Next Stage Date]]&lt;&gt;"",Table1[[#This Row],[Next Stage Date]]-Table1[[#This Row],[Change Date]],TODAY()-Table1[[#This Row],[Change Date]])</f>
        <v>354.70208333332994</v>
      </c>
      <c r="Z510" s="476">
        <f t="shared" si="82"/>
        <v>1</v>
      </c>
      <c r="AA510" s="422" t="str">
        <f t="shared" si="83"/>
        <v/>
      </c>
      <c r="AB510" s="422" t="str">
        <f t="shared" si="84"/>
        <v/>
      </c>
      <c r="AC510" s="476" t="str">
        <f t="shared" si="85"/>
        <v/>
      </c>
      <c r="AD510" s="476" t="str">
        <f t="shared" si="86"/>
        <v/>
      </c>
      <c r="AE510" s="476" t="str">
        <f t="shared" si="87"/>
        <v/>
      </c>
      <c r="AF510" s="476" t="b">
        <f>IFERROR(_xlfn.XLOOKUP(Table1[[#This Row],[Opportunity ID]],'Aging Detail'!$H$14:$H$20,'Aging Detail'!$F$14:$F$20),TRUE)</f>
        <v>1</v>
      </c>
    </row>
    <row r="511" spans="1:32">
      <c r="A511" t="s">
        <v>1461</v>
      </c>
      <c r="B511" t="s">
        <v>462</v>
      </c>
      <c r="C511" t="s">
        <v>563</v>
      </c>
      <c r="D511" t="s">
        <v>2782</v>
      </c>
      <c r="E511" t="s">
        <v>2783</v>
      </c>
      <c r="I511" s="422">
        <v>45769</v>
      </c>
      <c r="J511" s="422">
        <v>45884</v>
      </c>
      <c r="K511">
        <v>0</v>
      </c>
      <c r="L511">
        <v>0</v>
      </c>
      <c r="M511" t="s">
        <v>2784</v>
      </c>
      <c r="N511" t="s">
        <v>1625</v>
      </c>
      <c r="O511" t="str">
        <f>_xlfn.IFNA(VLOOKUP(Table1[[#This Row],[Lead Source]],'helper tab'!A:B,2,FALSE),"Exclude")</f>
        <v>Exclude</v>
      </c>
      <c r="P511" s="422">
        <f t="shared" si="77"/>
        <v>45902.374305555553</v>
      </c>
      <c r="Q511">
        <f t="shared" si="78"/>
        <v>0</v>
      </c>
      <c r="R511">
        <f t="shared" si="79"/>
        <v>1</v>
      </c>
      <c r="S511">
        <f>IF(
AND($Q511=1,$M511&lt;&gt;""),
IF(
COUNTIFS(
$M$3:$M511,$M511,
$O$3:$O511,$O511,
$Q$3:$Q511,1,
$P$3:$P511,"&gt;="&amp;EOMONTH($P511,-1)+1,
$P$3:$P511,"&lt;"&amp;EOMONTH($P511,0)+1
)=1,
1,
0),
0)</f>
        <v>0</v>
      </c>
      <c r="T511">
        <f>IF(AND($R511=1,$M511&lt;&gt;""),IF(COUNTIFS($M$3:$M511,$M511,$O$3:$O511,$O511,$R$3:$R511,1,$P$3:$P511,"&gt;="&amp;EOMONTH($P511,-1)+1,$P$3:$P511,"&lt;"&amp;EOMONTH($P511,0)+1)=1,1,0),0)</f>
        <v>1</v>
      </c>
      <c r="U511">
        <f t="shared" si="80"/>
        <v>0</v>
      </c>
      <c r="V511">
        <f>IF(AND($U511=1,$M511&lt;&gt;""),IF(COUNTIFS($M$3:$M511,$M511,$O$3:$O511,$O511,$U$3:$U511,1,$P$3:$P511,"&gt;="&amp;EOMONTH($P511,-1)+1,$P$3:$P511,"&lt;"&amp;EOMONTH($P511,0)+1)=1,1,0),0)</f>
        <v>0</v>
      </c>
      <c r="W511" s="444">
        <f ca="1">TODAY()-Table1[[#This Row],[Change Date]]</f>
        <v>355.62569444444671</v>
      </c>
      <c r="X511" s="422" t="str">
        <f t="shared" si="81"/>
        <v/>
      </c>
      <c r="Y511" s="476">
        <f ca="1">IF(Table1[[#This Row],[Next Stage Date]]&lt;&gt;"",Table1[[#This Row],[Next Stage Date]]-Table1[[#This Row],[Change Date]],TODAY()-Table1[[#This Row],[Change Date]])</f>
        <v>355.62569444444671</v>
      </c>
      <c r="Z511" s="476">
        <f t="shared" si="82"/>
        <v>1</v>
      </c>
      <c r="AA511" s="422">
        <f t="shared" si="83"/>
        <v>45902.374305555553</v>
      </c>
      <c r="AB511" s="422">
        <f t="shared" si="84"/>
        <v>45785.285416666666</v>
      </c>
      <c r="AC511" s="476">
        <f t="shared" si="85"/>
        <v>16.285416666665697</v>
      </c>
      <c r="AD511" s="476">
        <f t="shared" si="86"/>
        <v>117.0888888888876</v>
      </c>
      <c r="AE511" s="476">
        <f t="shared" si="87"/>
        <v>133.37430555555329</v>
      </c>
      <c r="AF511" s="476" t="b">
        <f>IFERROR(_xlfn.XLOOKUP(Table1[[#This Row],[Opportunity ID]],'Aging Detail'!$H$14:$H$20,'Aging Detail'!$F$14:$F$20),TRUE)</f>
        <v>1</v>
      </c>
    </row>
    <row r="512" spans="1:32">
      <c r="A512" t="s">
        <v>1461</v>
      </c>
      <c r="B512" t="s">
        <v>408</v>
      </c>
      <c r="C512" t="s">
        <v>526</v>
      </c>
      <c r="D512" t="s">
        <v>2785</v>
      </c>
      <c r="E512" t="s">
        <v>2777</v>
      </c>
      <c r="I512" s="422">
        <v>45897</v>
      </c>
      <c r="J512" s="422">
        <v>45905</v>
      </c>
      <c r="K512">
        <v>40370.400000000001</v>
      </c>
      <c r="L512">
        <v>13456.8</v>
      </c>
      <c r="M512" t="s">
        <v>2778</v>
      </c>
      <c r="N512" t="s">
        <v>1549</v>
      </c>
      <c r="O512" t="str">
        <f>_xlfn.IFNA(VLOOKUP(Table1[[#This Row],[Lead Source]],'helper tab'!A:B,2,FALSE),"Exclude")</f>
        <v>Exclude</v>
      </c>
      <c r="P512" s="422">
        <f t="shared" si="77"/>
        <v>45902.26666666667</v>
      </c>
      <c r="Q512">
        <f t="shared" si="78"/>
        <v>1</v>
      </c>
      <c r="R512">
        <f t="shared" si="79"/>
        <v>0</v>
      </c>
      <c r="S512">
        <f>IF(
AND($Q512=1,$M512&lt;&gt;""),
IF(
COUNTIFS(
$M$3:$M512,$M512,
$O$3:$O512,$O512,
$Q$3:$Q512,1,
$P$3:$P512,"&gt;="&amp;EOMONTH($P512,-1)+1,
$P$3:$P512,"&lt;"&amp;EOMONTH($P512,0)+1
)=1,
1,
0),
0)</f>
        <v>1</v>
      </c>
      <c r="T512">
        <f>IF(AND($R512=1,$M512&lt;&gt;""),IF(COUNTIFS($M$3:$M512,$M512,$O$3:$O512,$O512,$R$3:$R512,1,$P$3:$P512,"&gt;="&amp;EOMONTH($P512,-1)+1,$P$3:$P512,"&lt;"&amp;EOMONTH($P512,0)+1)=1,1,0),0)</f>
        <v>0</v>
      </c>
      <c r="U512">
        <f t="shared" si="80"/>
        <v>0</v>
      </c>
      <c r="V512">
        <f>IF(AND($U512=1,$M512&lt;&gt;""),IF(COUNTIFS($M$3:$M512,$M512,$O$3:$O512,$O512,$U$3:$U512,1,$P$3:$P512,"&gt;="&amp;EOMONTH($P512,-1)+1,$P$3:$P512,"&lt;"&amp;EOMONTH($P512,0)+1)=1,1,0),0)</f>
        <v>0</v>
      </c>
      <c r="W512" s="444">
        <f ca="1">TODAY()-Table1[[#This Row],[Change Date]]</f>
        <v>355.73333333332994</v>
      </c>
      <c r="X512" s="422">
        <f t="shared" si="81"/>
        <v>45905.378472222219</v>
      </c>
      <c r="Y512" s="476">
        <f ca="1">IF(Table1[[#This Row],[Next Stage Date]]&lt;&gt;"",Table1[[#This Row],[Next Stage Date]]-Table1[[#This Row],[Change Date]],TODAY()-Table1[[#This Row],[Change Date]])</f>
        <v>3.1118055555489263</v>
      </c>
      <c r="Z512" s="476">
        <f t="shared" si="82"/>
        <v>0</v>
      </c>
      <c r="AA512" s="422">
        <f t="shared" si="83"/>
        <v>45905.378472222219</v>
      </c>
      <c r="AB512" s="422">
        <f t="shared" si="84"/>
        <v>45902.26666666667</v>
      </c>
      <c r="AC512" s="476">
        <f t="shared" si="85"/>
        <v>5.2666666666700621</v>
      </c>
      <c r="AD512" s="476">
        <f t="shared" si="86"/>
        <v>3.1118055555489263</v>
      </c>
      <c r="AE512" s="476">
        <f t="shared" si="87"/>
        <v>8.3784722222189885</v>
      </c>
      <c r="AF512" s="476" t="b">
        <f>IFERROR(_xlfn.XLOOKUP(Table1[[#This Row],[Opportunity ID]],'Aging Detail'!$H$14:$H$20,'Aging Detail'!$F$14:$F$20),TRUE)</f>
        <v>1</v>
      </c>
    </row>
    <row r="513" spans="1:32">
      <c r="A513" t="s">
        <v>1461</v>
      </c>
      <c r="B513" t="s">
        <v>408</v>
      </c>
      <c r="C513" t="s">
        <v>1469</v>
      </c>
      <c r="D513" t="s">
        <v>2786</v>
      </c>
      <c r="E513" t="s">
        <v>2787</v>
      </c>
      <c r="F513" t="s">
        <v>148</v>
      </c>
      <c r="H513" t="s">
        <v>2174</v>
      </c>
      <c r="I513" s="422">
        <v>45400</v>
      </c>
      <c r="J513" s="422">
        <v>46022</v>
      </c>
      <c r="K513">
        <v>302000</v>
      </c>
      <c r="L513">
        <v>162000</v>
      </c>
      <c r="M513" t="s">
        <v>2788</v>
      </c>
      <c r="N513" t="s">
        <v>2789</v>
      </c>
      <c r="O513" t="str">
        <f>_xlfn.IFNA(VLOOKUP(Table1[[#This Row],[Lead Source]],'helper tab'!A:B,2,FALSE),"Exclude")</f>
        <v>Alliances</v>
      </c>
      <c r="P513" s="422">
        <f t="shared" si="77"/>
        <v>45901.037499999999</v>
      </c>
      <c r="Q513">
        <f t="shared" si="78"/>
        <v>0</v>
      </c>
      <c r="R513">
        <f t="shared" si="79"/>
        <v>0</v>
      </c>
      <c r="S513">
        <f>IF(
AND($Q513=1,$M513&lt;&gt;""),
IF(
COUNTIFS(
$M$3:$M513,$M513,
$O$3:$O513,$O513,
$Q$3:$Q513,1,
$P$3:$P513,"&gt;="&amp;EOMONTH($P513,-1)+1,
$P$3:$P513,"&lt;"&amp;EOMONTH($P513,0)+1
)=1,
1,
0),
0)</f>
        <v>0</v>
      </c>
      <c r="T513">
        <f>IF(AND($R513=1,$M513&lt;&gt;""),IF(COUNTIFS($M$3:$M513,$M513,$O$3:$O513,$O513,$R$3:$R513,1,$P$3:$P513,"&gt;="&amp;EOMONTH($P513,-1)+1,$P$3:$P513,"&lt;"&amp;EOMONTH($P513,0)+1)=1,1,0),0)</f>
        <v>0</v>
      </c>
      <c r="U513">
        <f t="shared" si="80"/>
        <v>1</v>
      </c>
      <c r="V513">
        <f>IF(AND($U513=1,$M513&lt;&gt;""),IF(COUNTIFS($M$3:$M513,$M513,$O$3:$O513,$O513,$U$3:$U513,1,$P$3:$P513,"&gt;="&amp;EOMONTH($P513,-1)+1,$P$3:$P513,"&lt;"&amp;EOMONTH($P513,0)+1)=1,1,0),0)</f>
        <v>1</v>
      </c>
      <c r="W513" s="444">
        <f ca="1">TODAY()-Table1[[#This Row],[Change Date]]</f>
        <v>356.96250000000146</v>
      </c>
      <c r="X513" s="422" t="str">
        <f t="shared" si="81"/>
        <v/>
      </c>
      <c r="Y513" s="476">
        <f ca="1">IF(Table1[[#This Row],[Next Stage Date]]&lt;&gt;"",Table1[[#This Row],[Next Stage Date]]-Table1[[#This Row],[Change Date]],TODAY()-Table1[[#This Row],[Change Date]])</f>
        <v>356.96250000000146</v>
      </c>
      <c r="Z513" s="476">
        <f t="shared" si="82"/>
        <v>1</v>
      </c>
      <c r="AA513" s="422" t="str">
        <f t="shared" si="83"/>
        <v/>
      </c>
      <c r="AB513" s="422" t="str">
        <f t="shared" si="84"/>
        <v/>
      </c>
      <c r="AC513" s="476" t="str">
        <f t="shared" si="85"/>
        <v/>
      </c>
      <c r="AD513" s="476" t="str">
        <f t="shared" si="86"/>
        <v/>
      </c>
      <c r="AE513" s="476" t="str">
        <f t="shared" si="87"/>
        <v/>
      </c>
      <c r="AF513" s="476" t="b">
        <f>IFERROR(_xlfn.XLOOKUP(Table1[[#This Row],[Opportunity ID]],'Aging Detail'!$H$14:$H$20,'Aging Detail'!$F$14:$F$20),TRUE)</f>
        <v>1</v>
      </c>
    </row>
    <row r="514" spans="1:32">
      <c r="A514" t="s">
        <v>1461</v>
      </c>
      <c r="B514" t="s">
        <v>408</v>
      </c>
      <c r="C514" t="s">
        <v>1469</v>
      </c>
      <c r="D514" t="s">
        <v>2790</v>
      </c>
      <c r="E514" t="s">
        <v>2791</v>
      </c>
      <c r="F514" t="s">
        <v>148</v>
      </c>
      <c r="H514" t="s">
        <v>2174</v>
      </c>
      <c r="I514" s="422">
        <v>45400</v>
      </c>
      <c r="J514" s="422">
        <v>46010</v>
      </c>
      <c r="K514">
        <v>172400</v>
      </c>
      <c r="L514">
        <v>32400</v>
      </c>
      <c r="M514" t="s">
        <v>2792</v>
      </c>
      <c r="N514" t="s">
        <v>2789</v>
      </c>
      <c r="O514" t="str">
        <f>_xlfn.IFNA(VLOOKUP(Table1[[#This Row],[Lead Source]],'helper tab'!A:B,2,FALSE),"Exclude")</f>
        <v>Alliances</v>
      </c>
      <c r="P514" s="422">
        <f t="shared" si="77"/>
        <v>45901.036805555559</v>
      </c>
      <c r="Q514">
        <f t="shared" si="78"/>
        <v>0</v>
      </c>
      <c r="R514">
        <f t="shared" si="79"/>
        <v>0</v>
      </c>
      <c r="S514">
        <f>IF(
AND($Q514=1,$M514&lt;&gt;""),
IF(
COUNTIFS(
$M$3:$M514,$M514,
$O$3:$O514,$O514,
$Q$3:$Q514,1,
$P$3:$P514,"&gt;="&amp;EOMONTH($P514,-1)+1,
$P$3:$P514,"&lt;"&amp;EOMONTH($P514,0)+1
)=1,
1,
0),
0)</f>
        <v>0</v>
      </c>
      <c r="T514">
        <f>IF(AND($R514=1,$M514&lt;&gt;""),IF(COUNTIFS($M$3:$M514,$M514,$O$3:$O514,$O514,$R$3:$R514,1,$P$3:$P514,"&gt;="&amp;EOMONTH($P514,-1)+1,$P$3:$P514,"&lt;"&amp;EOMONTH($P514,0)+1)=1,1,0),0)</f>
        <v>0</v>
      </c>
      <c r="U514">
        <f t="shared" si="80"/>
        <v>1</v>
      </c>
      <c r="V514">
        <f>IF(AND($U514=1,$M514&lt;&gt;""),IF(COUNTIFS($M$3:$M514,$M514,$O$3:$O514,$O514,$U$3:$U514,1,$P$3:$P514,"&gt;="&amp;EOMONTH($P514,-1)+1,$P$3:$P514,"&lt;"&amp;EOMONTH($P514,0)+1)=1,1,0),0)</f>
        <v>1</v>
      </c>
      <c r="W514" s="444">
        <f ca="1">TODAY()-Table1[[#This Row],[Change Date]]</f>
        <v>356.96319444444089</v>
      </c>
      <c r="X514" s="422" t="str">
        <f t="shared" si="81"/>
        <v/>
      </c>
      <c r="Y514" s="476">
        <f ca="1">IF(Table1[[#This Row],[Next Stage Date]]&lt;&gt;"",Table1[[#This Row],[Next Stage Date]]-Table1[[#This Row],[Change Date]],TODAY()-Table1[[#This Row],[Change Date]])</f>
        <v>356.96319444444089</v>
      </c>
      <c r="Z514" s="476">
        <f t="shared" si="82"/>
        <v>1</v>
      </c>
      <c r="AA514" s="422" t="str">
        <f t="shared" si="83"/>
        <v/>
      </c>
      <c r="AB514" s="422" t="str">
        <f t="shared" si="84"/>
        <v/>
      </c>
      <c r="AC514" s="476" t="str">
        <f t="shared" si="85"/>
        <v/>
      </c>
      <c r="AD514" s="476" t="str">
        <f t="shared" si="86"/>
        <v/>
      </c>
      <c r="AE514" s="476" t="str">
        <f t="shared" si="87"/>
        <v/>
      </c>
      <c r="AF514" s="476" t="b">
        <f>IFERROR(_xlfn.XLOOKUP(Table1[[#This Row],[Opportunity ID]],'Aging Detail'!$H$14:$H$20,'Aging Detail'!$F$14:$F$20),TRUE)</f>
        <v>1</v>
      </c>
    </row>
    <row r="515" spans="1:32">
      <c r="A515" t="s">
        <v>1461</v>
      </c>
      <c r="B515" t="s">
        <v>462</v>
      </c>
      <c r="C515" t="s">
        <v>1469</v>
      </c>
      <c r="D515" t="s">
        <v>2793</v>
      </c>
      <c r="E515" t="s">
        <v>2794</v>
      </c>
      <c r="F515" t="s">
        <v>148</v>
      </c>
      <c r="H515" t="s">
        <v>2174</v>
      </c>
      <c r="I515" s="422">
        <v>45265</v>
      </c>
      <c r="J515" s="422">
        <v>45931</v>
      </c>
      <c r="K515">
        <v>132600</v>
      </c>
      <c r="L515">
        <v>132600</v>
      </c>
      <c r="M515" t="s">
        <v>2795</v>
      </c>
      <c r="N515" t="s">
        <v>2305</v>
      </c>
      <c r="O515" t="str">
        <f>_xlfn.IFNA(VLOOKUP(Table1[[#This Row],[Lead Source]],'helper tab'!A:B,2,FALSE),"Exclude")</f>
        <v>Alliances</v>
      </c>
      <c r="P515" s="422">
        <f t="shared" ref="P515:P578" si="88">--SUBSTITUTE(D515,",","")</f>
        <v>45901.036111111112</v>
      </c>
      <c r="Q515">
        <f t="shared" ref="Q515:Q578" si="89">IF(OR($C515="Propose",$C515="Procure"),1,0)</f>
        <v>0</v>
      </c>
      <c r="R515">
        <f t="shared" ref="R515:R578" si="90">IF($C515="Closed Won",1,0)</f>
        <v>0</v>
      </c>
      <c r="S515">
        <f>IF(
AND($Q515=1,$M515&lt;&gt;""),
IF(
COUNTIFS(
$M$3:$M515,$M515,
$O$3:$O515,$O515,
$Q$3:$Q515,1,
$P$3:$P515,"&gt;="&amp;EOMONTH($P515,-1)+1,
$P$3:$P515,"&lt;"&amp;EOMONTH($P515,0)+1
)=1,
1,
0),
0)</f>
        <v>0</v>
      </c>
      <c r="T515">
        <f>IF(AND($R515=1,$M515&lt;&gt;""),IF(COUNTIFS($M$3:$M515,$M515,$O$3:$O515,$O515,$R$3:$R515,1,$P$3:$P515,"&gt;="&amp;EOMONTH($P515,-1)+1,$P$3:$P515,"&lt;"&amp;EOMONTH($P515,0)+1)=1,1,0),0)</f>
        <v>0</v>
      </c>
      <c r="U515">
        <f t="shared" ref="U515:U578" si="91">IF($C515="Closed Lost",1,0)</f>
        <v>1</v>
      </c>
      <c r="V515">
        <f>IF(AND($U515=1,$M515&lt;&gt;""),IF(COUNTIFS($M$3:$M515,$M515,$O$3:$O515,$O515,$U$3:$U515,1,$P$3:$P515,"&gt;="&amp;EOMONTH($P515,-1)+1,$P$3:$P515,"&lt;"&amp;EOMONTH($P515,0)+1)=1,1,0),0)</f>
        <v>1</v>
      </c>
      <c r="W515" s="444">
        <f ca="1">TODAY()-Table1[[#This Row],[Change Date]]</f>
        <v>356.9638888888876</v>
      </c>
      <c r="X515" s="422" t="str">
        <f t="shared" ref="X515:X578" si="92">IFERROR(
IF(
COUNTIFS($M:$M,$M515,$P:$P,"&gt;"&amp;$P515)=0,
"",
_xlfn.MINIFS($P:$P,$M:$M,$M515,$P:$P,"&gt;"&amp;$P515)
),
""
)</f>
        <v/>
      </c>
      <c r="Y515" s="476">
        <f ca="1">IF(Table1[[#This Row],[Next Stage Date]]&lt;&gt;"",Table1[[#This Row],[Next Stage Date]]-Table1[[#This Row],[Change Date]],TODAY()-Table1[[#This Row],[Change Date]])</f>
        <v>356.9638888888876</v>
      </c>
      <c r="Z515" s="476">
        <f t="shared" ref="Z515:Z578" si="93">IF(P515=_xlfn.MAXIFS($P:$P,$M:$M,$M515),1,0)</f>
        <v>1</v>
      </c>
      <c r="AA515" s="422" t="str">
        <f t="shared" ref="AA515:AA578" si="94">IF(
COUNTIFS($M:$M,$M515,$C:$C,"Closed Won")=0,
"",
_xlfn.MINIFS($P:$P,$M:$M,$M515,$C:$C,"Closed Won")
)</f>
        <v/>
      </c>
      <c r="AB515" s="422" t="str">
        <f t="shared" ref="AB515:AB578" si="95">IF(
COUNTIFS($M:$M,$M515,$Q:$Q,1)=0,
"",
_xlfn.MINIFS($P:$P,$M:$M,$M515,$Q:$Q,1)
)</f>
        <v/>
      </c>
      <c r="AC515" s="476" t="str">
        <f t="shared" ref="AC515:AC578" si="96">IF(AB515&lt;&gt;"",AB515-I515,"")</f>
        <v/>
      </c>
      <c r="AD515" s="476" t="str">
        <f t="shared" ref="AD515:AD578" si="97">IF(AND(AB515&lt;&gt;"",AA515&lt;&gt;""),AA515-AB515,"")</f>
        <v/>
      </c>
      <c r="AE515" s="476" t="str">
        <f t="shared" ref="AE515:AE578" si="98">IF(AA515&lt;&gt;"",AA515-I515,"")</f>
        <v/>
      </c>
      <c r="AF515" s="476" t="b">
        <f>IFERROR(_xlfn.XLOOKUP(Table1[[#This Row],[Opportunity ID]],'Aging Detail'!$H$14:$H$20,'Aging Detail'!$F$14:$F$20),TRUE)</f>
        <v>1</v>
      </c>
    </row>
    <row r="516" spans="1:32">
      <c r="A516" t="s">
        <v>1461</v>
      </c>
      <c r="B516" t="s">
        <v>1462</v>
      </c>
      <c r="C516" t="s">
        <v>462</v>
      </c>
      <c r="D516" t="s">
        <v>2796</v>
      </c>
      <c r="E516" t="s">
        <v>2752</v>
      </c>
      <c r="F516" t="s">
        <v>148</v>
      </c>
      <c r="H516" t="s">
        <v>157</v>
      </c>
      <c r="I516" s="422">
        <v>45615</v>
      </c>
      <c r="J516" s="422">
        <v>45909</v>
      </c>
      <c r="K516">
        <v>42500</v>
      </c>
      <c r="L516">
        <v>42500</v>
      </c>
      <c r="M516" t="s">
        <v>2753</v>
      </c>
      <c r="N516" t="s">
        <v>1767</v>
      </c>
      <c r="O516" t="str">
        <f>_xlfn.IFNA(VLOOKUP(Table1[[#This Row],[Lead Source]],'helper tab'!A:B,2,FALSE),"Exclude")</f>
        <v>Alliances</v>
      </c>
      <c r="P516" s="422">
        <f t="shared" si="88"/>
        <v>45898.501388888886</v>
      </c>
      <c r="Q516">
        <f t="shared" si="89"/>
        <v>1</v>
      </c>
      <c r="R516">
        <f t="shared" si="90"/>
        <v>0</v>
      </c>
      <c r="S516">
        <f>IF(
AND($Q516=1,$M516&lt;&gt;""),
IF(
COUNTIFS(
$M$3:$M516,$M516,
$O$3:$O516,$O516,
$Q$3:$Q516,1,
$P$3:$P516,"&gt;="&amp;EOMONTH($P516,-1)+1,
$P$3:$P516,"&lt;"&amp;EOMONTH($P516,0)+1
)=1,
1,
0),
0)</f>
        <v>1</v>
      </c>
      <c r="T516">
        <f>IF(AND($R516=1,$M516&lt;&gt;""),IF(COUNTIFS($M$3:$M516,$M516,$O$3:$O516,$O516,$R$3:$R516,1,$P$3:$P516,"&gt;="&amp;EOMONTH($P516,-1)+1,$P$3:$P516,"&lt;"&amp;EOMONTH($P516,0)+1)=1,1,0),0)</f>
        <v>0</v>
      </c>
      <c r="U516">
        <f t="shared" si="91"/>
        <v>0</v>
      </c>
      <c r="V516">
        <f>IF(AND($U516=1,$M516&lt;&gt;""),IF(COUNTIFS($M$3:$M516,$M516,$O$3:$O516,$O516,$U$3:$U516,1,$P$3:$P516,"&gt;="&amp;EOMONTH($P516,-1)+1,$P$3:$P516,"&lt;"&amp;EOMONTH($P516,0)+1)=1,1,0),0)</f>
        <v>0</v>
      </c>
      <c r="W516" s="444">
        <f ca="1">TODAY()-Table1[[#This Row],[Change Date]]</f>
        <v>359.49861111111386</v>
      </c>
      <c r="X516" s="422">
        <f t="shared" si="92"/>
        <v>45909.336111111108</v>
      </c>
      <c r="Y516" s="476">
        <f ca="1">IF(Table1[[#This Row],[Next Stage Date]]&lt;&gt;"",Table1[[#This Row],[Next Stage Date]]-Table1[[#This Row],[Change Date]],TODAY()-Table1[[#This Row],[Change Date]])</f>
        <v>10.834722222221899</v>
      </c>
      <c r="Z516" s="476">
        <f t="shared" si="93"/>
        <v>0</v>
      </c>
      <c r="AA516" s="422">
        <f t="shared" si="94"/>
        <v>45909.445138888892</v>
      </c>
      <c r="AB516" s="422">
        <f t="shared" si="95"/>
        <v>45898.501388888886</v>
      </c>
      <c r="AC516" s="476">
        <f t="shared" si="96"/>
        <v>283.50138888888614</v>
      </c>
      <c r="AD516" s="476">
        <f t="shared" si="97"/>
        <v>10.943750000005821</v>
      </c>
      <c r="AE516" s="476">
        <f t="shared" si="98"/>
        <v>294.44513888889196</v>
      </c>
      <c r="AF516" s="476" t="b">
        <f>IFERROR(_xlfn.XLOOKUP(Table1[[#This Row],[Opportunity ID]],'Aging Detail'!$H$14:$H$20,'Aging Detail'!$F$14:$F$20),TRUE)</f>
        <v>1</v>
      </c>
    </row>
    <row r="517" spans="1:32">
      <c r="A517" t="s">
        <v>1461</v>
      </c>
      <c r="B517" t="s">
        <v>462</v>
      </c>
      <c r="C517" t="s">
        <v>563</v>
      </c>
      <c r="D517" t="s">
        <v>2797</v>
      </c>
      <c r="E517" t="s">
        <v>2798</v>
      </c>
      <c r="I517" s="422">
        <v>45784</v>
      </c>
      <c r="J517" s="422">
        <v>45898</v>
      </c>
      <c r="K517">
        <v>6480</v>
      </c>
      <c r="L517">
        <v>0</v>
      </c>
      <c r="M517" t="s">
        <v>2799</v>
      </c>
      <c r="N517" t="s">
        <v>1691</v>
      </c>
      <c r="O517" t="str">
        <f>_xlfn.IFNA(VLOOKUP(Table1[[#This Row],[Lead Source]],'helper tab'!A:B,2,FALSE),"Exclude")</f>
        <v>Exclude</v>
      </c>
      <c r="P517" s="422">
        <f t="shared" si="88"/>
        <v>45898.459722222222</v>
      </c>
      <c r="Q517">
        <f t="shared" si="89"/>
        <v>0</v>
      </c>
      <c r="R517">
        <f t="shared" si="90"/>
        <v>1</v>
      </c>
      <c r="S517">
        <f>IF(
AND($Q517=1,$M517&lt;&gt;""),
IF(
COUNTIFS(
$M$3:$M517,$M517,
$O$3:$O517,$O517,
$Q$3:$Q517,1,
$P$3:$P517,"&gt;="&amp;EOMONTH($P517,-1)+1,
$P$3:$P517,"&lt;"&amp;EOMONTH($P517,0)+1
)=1,
1,
0),
0)</f>
        <v>0</v>
      </c>
      <c r="T517">
        <f>IF(AND($R517=1,$M517&lt;&gt;""),IF(COUNTIFS($M$3:$M517,$M517,$O$3:$O517,$O517,$R$3:$R517,1,$P$3:$P517,"&gt;="&amp;EOMONTH($P517,-1)+1,$P$3:$P517,"&lt;"&amp;EOMONTH($P517,0)+1)=1,1,0),0)</f>
        <v>1</v>
      </c>
      <c r="U517">
        <f t="shared" si="91"/>
        <v>0</v>
      </c>
      <c r="V517">
        <f>IF(AND($U517=1,$M517&lt;&gt;""),IF(COUNTIFS($M$3:$M517,$M517,$O$3:$O517,$O517,$U$3:$U517,1,$P$3:$P517,"&gt;="&amp;EOMONTH($P517,-1)+1,$P$3:$P517,"&lt;"&amp;EOMONTH($P517,0)+1)=1,1,0),0)</f>
        <v>0</v>
      </c>
      <c r="W517" s="444">
        <f ca="1">TODAY()-Table1[[#This Row],[Change Date]]</f>
        <v>359.5402777777781</v>
      </c>
      <c r="X517" s="422" t="str">
        <f t="shared" si="92"/>
        <v/>
      </c>
      <c r="Y517" s="476">
        <f ca="1">IF(Table1[[#This Row],[Next Stage Date]]&lt;&gt;"",Table1[[#This Row],[Next Stage Date]]-Table1[[#This Row],[Change Date]],TODAY()-Table1[[#This Row],[Change Date]])</f>
        <v>359.5402777777781</v>
      </c>
      <c r="Z517" s="476">
        <f t="shared" si="93"/>
        <v>1</v>
      </c>
      <c r="AA517" s="422">
        <f t="shared" si="94"/>
        <v>45898.459722222222</v>
      </c>
      <c r="AB517" s="422">
        <f t="shared" si="95"/>
        <v>45820.511111111111</v>
      </c>
      <c r="AC517" s="476">
        <f t="shared" si="96"/>
        <v>36.511111111110949</v>
      </c>
      <c r="AD517" s="476">
        <f t="shared" si="97"/>
        <v>77.948611111110949</v>
      </c>
      <c r="AE517" s="476">
        <f t="shared" si="98"/>
        <v>114.4597222222219</v>
      </c>
      <c r="AF517" s="476" t="b">
        <f>IFERROR(_xlfn.XLOOKUP(Table1[[#This Row],[Opportunity ID]],'Aging Detail'!$H$14:$H$20,'Aging Detail'!$F$14:$F$20),TRUE)</f>
        <v>1</v>
      </c>
    </row>
    <row r="518" spans="1:32">
      <c r="A518" t="s">
        <v>1461</v>
      </c>
      <c r="B518" t="s">
        <v>526</v>
      </c>
      <c r="C518" t="s">
        <v>563</v>
      </c>
      <c r="D518" t="s">
        <v>2797</v>
      </c>
      <c r="E518" t="s">
        <v>2800</v>
      </c>
      <c r="F518" t="s">
        <v>1484</v>
      </c>
      <c r="I518" s="422">
        <v>44812</v>
      </c>
      <c r="J518" s="422">
        <v>45898</v>
      </c>
      <c r="K518">
        <v>435380</v>
      </c>
      <c r="L518">
        <v>-5110</v>
      </c>
      <c r="M518" t="s">
        <v>2801</v>
      </c>
      <c r="N518" t="s">
        <v>2326</v>
      </c>
      <c r="O518" t="str">
        <f>_xlfn.IFNA(VLOOKUP(Table1[[#This Row],[Lead Source]],'helper tab'!A:B,2,FALSE),"Exclude")</f>
        <v>Exclude</v>
      </c>
      <c r="P518" s="422">
        <f t="shared" si="88"/>
        <v>45898.459722222222</v>
      </c>
      <c r="Q518">
        <f t="shared" si="89"/>
        <v>0</v>
      </c>
      <c r="R518">
        <f t="shared" si="90"/>
        <v>1</v>
      </c>
      <c r="S518">
        <f>IF(
AND($Q518=1,$M518&lt;&gt;""),
IF(
COUNTIFS(
$M$3:$M518,$M518,
$O$3:$O518,$O518,
$Q$3:$Q518,1,
$P$3:$P518,"&gt;="&amp;EOMONTH($P518,-1)+1,
$P$3:$P518,"&lt;"&amp;EOMONTH($P518,0)+1
)=1,
1,
0),
0)</f>
        <v>0</v>
      </c>
      <c r="T518">
        <f>IF(AND($R518=1,$M518&lt;&gt;""),IF(COUNTIFS($M$3:$M518,$M518,$O$3:$O518,$O518,$R$3:$R518,1,$P$3:$P518,"&gt;="&amp;EOMONTH($P518,-1)+1,$P$3:$P518,"&lt;"&amp;EOMONTH($P518,0)+1)=1,1,0),0)</f>
        <v>1</v>
      </c>
      <c r="U518">
        <f t="shared" si="91"/>
        <v>0</v>
      </c>
      <c r="V518">
        <f>IF(AND($U518=1,$M518&lt;&gt;""),IF(COUNTIFS($M$3:$M518,$M518,$O$3:$O518,$O518,$U$3:$U518,1,$P$3:$P518,"&gt;="&amp;EOMONTH($P518,-1)+1,$P$3:$P518,"&lt;"&amp;EOMONTH($P518,0)+1)=1,1,0),0)</f>
        <v>0</v>
      </c>
      <c r="W518" s="444">
        <f ca="1">TODAY()-Table1[[#This Row],[Change Date]]</f>
        <v>359.5402777777781</v>
      </c>
      <c r="X518" s="422" t="str">
        <f t="shared" si="92"/>
        <v/>
      </c>
      <c r="Y518" s="476">
        <f ca="1">IF(Table1[[#This Row],[Next Stage Date]]&lt;&gt;"",Table1[[#This Row],[Next Stage Date]]-Table1[[#This Row],[Change Date]],TODAY()-Table1[[#This Row],[Change Date]])</f>
        <v>359.5402777777781</v>
      </c>
      <c r="Z518" s="476">
        <f t="shared" si="93"/>
        <v>1</v>
      </c>
      <c r="AA518" s="422">
        <f t="shared" si="94"/>
        <v>45898.459722222222</v>
      </c>
      <c r="AB518" s="422">
        <f t="shared" si="95"/>
        <v>45891.3125</v>
      </c>
      <c r="AC518" s="476">
        <f t="shared" si="96"/>
        <v>1079.3125</v>
      </c>
      <c r="AD518" s="476">
        <f t="shared" si="97"/>
        <v>7.1472222222218988</v>
      </c>
      <c r="AE518" s="476">
        <f t="shared" si="98"/>
        <v>1086.4597222222219</v>
      </c>
      <c r="AF518" s="476" t="b">
        <f>IFERROR(_xlfn.XLOOKUP(Table1[[#This Row],[Opportunity ID]],'Aging Detail'!$H$14:$H$20,'Aging Detail'!$F$14:$F$20),TRUE)</f>
        <v>1</v>
      </c>
    </row>
    <row r="519" spans="1:32">
      <c r="A519" t="s">
        <v>1461</v>
      </c>
      <c r="B519" t="s">
        <v>526</v>
      </c>
      <c r="C519" t="s">
        <v>563</v>
      </c>
      <c r="D519" t="s">
        <v>2797</v>
      </c>
      <c r="E519" t="s">
        <v>2802</v>
      </c>
      <c r="I519" s="422">
        <v>45797</v>
      </c>
      <c r="J519" s="422">
        <v>45898</v>
      </c>
      <c r="K519">
        <v>22000</v>
      </c>
      <c r="L519">
        <v>0</v>
      </c>
      <c r="M519" t="s">
        <v>2803</v>
      </c>
      <c r="N519" t="s">
        <v>2804</v>
      </c>
      <c r="O519" t="str">
        <f>_xlfn.IFNA(VLOOKUP(Table1[[#This Row],[Lead Source]],'helper tab'!A:B,2,FALSE),"Exclude")</f>
        <v>Exclude</v>
      </c>
      <c r="P519" s="422">
        <f t="shared" si="88"/>
        <v>45898.459722222222</v>
      </c>
      <c r="Q519">
        <f t="shared" si="89"/>
        <v>0</v>
      </c>
      <c r="R519">
        <f t="shared" si="90"/>
        <v>1</v>
      </c>
      <c r="S519">
        <f>IF(
AND($Q519=1,$M519&lt;&gt;""),
IF(
COUNTIFS(
$M$3:$M519,$M519,
$O$3:$O519,$O519,
$Q$3:$Q519,1,
$P$3:$P519,"&gt;="&amp;EOMONTH($P519,-1)+1,
$P$3:$P519,"&lt;"&amp;EOMONTH($P519,0)+1
)=1,
1,
0),
0)</f>
        <v>0</v>
      </c>
      <c r="T519">
        <f>IF(AND($R519=1,$M519&lt;&gt;""),IF(COUNTIFS($M$3:$M519,$M519,$O$3:$O519,$O519,$R$3:$R519,1,$P$3:$P519,"&gt;="&amp;EOMONTH($P519,-1)+1,$P$3:$P519,"&lt;"&amp;EOMONTH($P519,0)+1)=1,1,0),0)</f>
        <v>1</v>
      </c>
      <c r="U519">
        <f t="shared" si="91"/>
        <v>0</v>
      </c>
      <c r="V519">
        <f>IF(AND($U519=1,$M519&lt;&gt;""),IF(COUNTIFS($M$3:$M519,$M519,$O$3:$O519,$O519,$U$3:$U519,1,$P$3:$P519,"&gt;="&amp;EOMONTH($P519,-1)+1,$P$3:$P519,"&lt;"&amp;EOMONTH($P519,0)+1)=1,1,0),0)</f>
        <v>0</v>
      </c>
      <c r="W519" s="444">
        <f ca="1">TODAY()-Table1[[#This Row],[Change Date]]</f>
        <v>359.5402777777781</v>
      </c>
      <c r="X519" s="422" t="str">
        <f t="shared" si="92"/>
        <v/>
      </c>
      <c r="Y519" s="476">
        <f ca="1">IF(Table1[[#This Row],[Next Stage Date]]&lt;&gt;"",Table1[[#This Row],[Next Stage Date]]-Table1[[#This Row],[Change Date]],TODAY()-Table1[[#This Row],[Change Date]])</f>
        <v>359.5402777777781</v>
      </c>
      <c r="Z519" s="476">
        <f t="shared" si="93"/>
        <v>1</v>
      </c>
      <c r="AA519" s="422">
        <f t="shared" si="94"/>
        <v>45898.459722222222</v>
      </c>
      <c r="AB519" s="422">
        <f t="shared" si="95"/>
        <v>45881.5</v>
      </c>
      <c r="AC519" s="476">
        <f t="shared" si="96"/>
        <v>84.5</v>
      </c>
      <c r="AD519" s="476">
        <f t="shared" si="97"/>
        <v>16.959722222221899</v>
      </c>
      <c r="AE519" s="476">
        <f t="shared" si="98"/>
        <v>101.4597222222219</v>
      </c>
      <c r="AF519" s="476" t="b">
        <f>IFERROR(_xlfn.XLOOKUP(Table1[[#This Row],[Opportunity ID]],'Aging Detail'!$H$14:$H$20,'Aging Detail'!$F$14:$F$20),TRUE)</f>
        <v>1</v>
      </c>
    </row>
    <row r="520" spans="1:32">
      <c r="A520" t="s">
        <v>1461</v>
      </c>
      <c r="B520" t="s">
        <v>462</v>
      </c>
      <c r="C520" t="s">
        <v>526</v>
      </c>
      <c r="D520" t="s">
        <v>2805</v>
      </c>
      <c r="E520" t="s">
        <v>2715</v>
      </c>
      <c r="I520" s="422">
        <v>45685</v>
      </c>
      <c r="J520" s="422">
        <v>45929</v>
      </c>
      <c r="K520">
        <v>16000</v>
      </c>
      <c r="L520">
        <v>0</v>
      </c>
      <c r="M520" t="s">
        <v>2716</v>
      </c>
      <c r="N520" t="s">
        <v>1684</v>
      </c>
      <c r="O520" t="str">
        <f>_xlfn.IFNA(VLOOKUP(Table1[[#This Row],[Lead Source]],'helper tab'!A:B,2,FALSE),"Exclude")</f>
        <v>Exclude</v>
      </c>
      <c r="P520" s="422">
        <f t="shared" si="88"/>
        <v>45897.348611111112</v>
      </c>
      <c r="Q520">
        <f t="shared" si="89"/>
        <v>1</v>
      </c>
      <c r="R520">
        <f t="shared" si="90"/>
        <v>0</v>
      </c>
      <c r="S520">
        <f>IF(
AND($Q520=1,$M520&lt;&gt;""),
IF(
COUNTIFS(
$M$3:$M520,$M520,
$O$3:$O520,$O520,
$Q$3:$Q520,1,
$P$3:$P520,"&gt;="&amp;EOMONTH($P520,-1)+1,
$P$3:$P520,"&lt;"&amp;EOMONTH($P520,0)+1
)=1,
1,
0),
0)</f>
        <v>1</v>
      </c>
      <c r="T520">
        <f>IF(AND($R520=1,$M520&lt;&gt;""),IF(COUNTIFS($M$3:$M520,$M520,$O$3:$O520,$O520,$R$3:$R520,1,$P$3:$P520,"&gt;="&amp;EOMONTH($P520,-1)+1,$P$3:$P520,"&lt;"&amp;EOMONTH($P520,0)+1)=1,1,0),0)</f>
        <v>0</v>
      </c>
      <c r="U520">
        <f t="shared" si="91"/>
        <v>0</v>
      </c>
      <c r="V520">
        <f>IF(AND($U520=1,$M520&lt;&gt;""),IF(COUNTIFS($M$3:$M520,$M520,$O$3:$O520,$O520,$U$3:$U520,1,$P$3:$P520,"&gt;="&amp;EOMONTH($P520,-1)+1,$P$3:$P520,"&lt;"&amp;EOMONTH($P520,0)+1)=1,1,0),0)</f>
        <v>0</v>
      </c>
      <c r="W520" s="444">
        <f ca="1">TODAY()-Table1[[#This Row],[Change Date]]</f>
        <v>360.6513888888876</v>
      </c>
      <c r="X520" s="422">
        <f t="shared" si="92"/>
        <v>45929.57916666667</v>
      </c>
      <c r="Y520" s="476">
        <f ca="1">IF(Table1[[#This Row],[Next Stage Date]]&lt;&gt;"",Table1[[#This Row],[Next Stage Date]]-Table1[[#This Row],[Change Date]],TODAY()-Table1[[#This Row],[Change Date]])</f>
        <v>32.230555555557657</v>
      </c>
      <c r="Z520" s="476">
        <f t="shared" si="93"/>
        <v>0</v>
      </c>
      <c r="AA520" s="422">
        <f t="shared" si="94"/>
        <v>45929.57916666667</v>
      </c>
      <c r="AB520" s="422">
        <f t="shared" si="95"/>
        <v>45734.572222222225</v>
      </c>
      <c r="AC520" s="476">
        <f t="shared" si="96"/>
        <v>49.572222222224809</v>
      </c>
      <c r="AD520" s="476">
        <f t="shared" si="97"/>
        <v>195.00694444444525</v>
      </c>
      <c r="AE520" s="476">
        <f t="shared" si="98"/>
        <v>244.57916666667006</v>
      </c>
      <c r="AF520" s="476" t="b">
        <f>IFERROR(_xlfn.XLOOKUP(Table1[[#This Row],[Opportunity ID]],'Aging Detail'!$H$14:$H$20,'Aging Detail'!$F$14:$F$20),TRUE)</f>
        <v>1</v>
      </c>
    </row>
    <row r="521" spans="1:32">
      <c r="A521" t="s">
        <v>1461</v>
      </c>
      <c r="B521" t="s">
        <v>408</v>
      </c>
      <c r="C521" t="s">
        <v>526</v>
      </c>
      <c r="D521" t="s">
        <v>2806</v>
      </c>
      <c r="E521" t="s">
        <v>2717</v>
      </c>
      <c r="I521" s="422">
        <v>45750</v>
      </c>
      <c r="J521" s="422">
        <v>45929</v>
      </c>
      <c r="K521">
        <v>10800</v>
      </c>
      <c r="L521">
        <v>0</v>
      </c>
      <c r="M521" t="s">
        <v>2718</v>
      </c>
      <c r="N521" t="s">
        <v>1684</v>
      </c>
      <c r="O521" t="str">
        <f>_xlfn.IFNA(VLOOKUP(Table1[[#This Row],[Lead Source]],'helper tab'!A:B,2,FALSE),"Exclude")</f>
        <v>Exclude</v>
      </c>
      <c r="P521" s="422">
        <f t="shared" si="88"/>
        <v>45897.34652777778</v>
      </c>
      <c r="Q521">
        <f t="shared" si="89"/>
        <v>1</v>
      </c>
      <c r="R521">
        <f t="shared" si="90"/>
        <v>0</v>
      </c>
      <c r="S521">
        <f>IF(
AND($Q521=1,$M521&lt;&gt;""),
IF(
COUNTIFS(
$M$3:$M521,$M521,
$O$3:$O521,$O521,
$Q$3:$Q521,1,
$P$3:$P521,"&gt;="&amp;EOMONTH($P521,-1)+1,
$P$3:$P521,"&lt;"&amp;EOMONTH($P521,0)+1
)=1,
1,
0),
0)</f>
        <v>1</v>
      </c>
      <c r="T521">
        <f>IF(AND($R521=1,$M521&lt;&gt;""),IF(COUNTIFS($M$3:$M521,$M521,$O$3:$O521,$O521,$R$3:$R521,1,$P$3:$P521,"&gt;="&amp;EOMONTH($P521,-1)+1,$P$3:$P521,"&lt;"&amp;EOMONTH($P521,0)+1)=1,1,0),0)</f>
        <v>0</v>
      </c>
      <c r="U521">
        <f t="shared" si="91"/>
        <v>0</v>
      </c>
      <c r="V521">
        <f>IF(AND($U521=1,$M521&lt;&gt;""),IF(COUNTIFS($M$3:$M521,$M521,$O$3:$O521,$O521,$U$3:$U521,1,$P$3:$P521,"&gt;="&amp;EOMONTH($P521,-1)+1,$P$3:$P521,"&lt;"&amp;EOMONTH($P521,0)+1)=1,1,0),0)</f>
        <v>0</v>
      </c>
      <c r="W521" s="444">
        <f ca="1">TODAY()-Table1[[#This Row],[Change Date]]</f>
        <v>360.65347222222044</v>
      </c>
      <c r="X521" s="422">
        <f t="shared" si="92"/>
        <v>45929.57916666667</v>
      </c>
      <c r="Y521" s="476">
        <f ca="1">IF(Table1[[#This Row],[Next Stage Date]]&lt;&gt;"",Table1[[#This Row],[Next Stage Date]]-Table1[[#This Row],[Change Date]],TODAY()-Table1[[#This Row],[Change Date]])</f>
        <v>32.232638888890506</v>
      </c>
      <c r="Z521" s="476">
        <f t="shared" si="93"/>
        <v>0</v>
      </c>
      <c r="AA521" s="422">
        <f t="shared" si="94"/>
        <v>45929.57916666667</v>
      </c>
      <c r="AB521" s="422">
        <f t="shared" si="95"/>
        <v>45897.34652777778</v>
      </c>
      <c r="AC521" s="476">
        <f t="shared" si="96"/>
        <v>147.34652777777956</v>
      </c>
      <c r="AD521" s="476">
        <f t="shared" si="97"/>
        <v>32.232638888890506</v>
      </c>
      <c r="AE521" s="476">
        <f t="shared" si="98"/>
        <v>179.57916666667006</v>
      </c>
      <c r="AF521" s="476" t="b">
        <f>IFERROR(_xlfn.XLOOKUP(Table1[[#This Row],[Opportunity ID]],'Aging Detail'!$H$14:$H$20,'Aging Detail'!$F$14:$F$20),TRUE)</f>
        <v>1</v>
      </c>
    </row>
    <row r="522" spans="1:32">
      <c r="A522" t="s">
        <v>1461</v>
      </c>
      <c r="B522" t="s">
        <v>462</v>
      </c>
      <c r="C522" t="s">
        <v>526</v>
      </c>
      <c r="D522" t="s">
        <v>2807</v>
      </c>
      <c r="E522" t="s">
        <v>2701</v>
      </c>
      <c r="F522" t="s">
        <v>1486</v>
      </c>
      <c r="I522" s="422">
        <v>45775</v>
      </c>
      <c r="J522" s="422">
        <v>45930</v>
      </c>
      <c r="K522">
        <v>85500</v>
      </c>
      <c r="L522">
        <v>85500</v>
      </c>
      <c r="M522" t="s">
        <v>2702</v>
      </c>
      <c r="N522" t="s">
        <v>1684</v>
      </c>
      <c r="O522" t="str">
        <f>_xlfn.IFNA(VLOOKUP(Table1[[#This Row],[Lead Source]],'helper tab'!A:B,2,FALSE),"Exclude")</f>
        <v>Exclude</v>
      </c>
      <c r="P522" s="422">
        <f t="shared" si="88"/>
        <v>45897.343055555553</v>
      </c>
      <c r="Q522">
        <f t="shared" si="89"/>
        <v>1</v>
      </c>
      <c r="R522">
        <f t="shared" si="90"/>
        <v>0</v>
      </c>
      <c r="S522">
        <f>IF(
AND($Q522=1,$M522&lt;&gt;""),
IF(
COUNTIFS(
$M$3:$M522,$M522,
$O$3:$O522,$O522,
$Q$3:$Q522,1,
$P$3:$P522,"&gt;="&amp;EOMONTH($P522,-1)+1,
$P$3:$P522,"&lt;"&amp;EOMONTH($P522,0)+1
)=1,
1,
0),
0)</f>
        <v>1</v>
      </c>
      <c r="T522">
        <f>IF(AND($R522=1,$M522&lt;&gt;""),IF(COUNTIFS($M$3:$M522,$M522,$O$3:$O522,$O522,$R$3:$R522,1,$P$3:$P522,"&gt;="&amp;EOMONTH($P522,-1)+1,$P$3:$P522,"&lt;"&amp;EOMONTH($P522,0)+1)=1,1,0),0)</f>
        <v>0</v>
      </c>
      <c r="U522">
        <f t="shared" si="91"/>
        <v>0</v>
      </c>
      <c r="V522">
        <f>IF(AND($U522=1,$M522&lt;&gt;""),IF(COUNTIFS($M$3:$M522,$M522,$O$3:$O522,$O522,$U$3:$U522,1,$P$3:$P522,"&gt;="&amp;EOMONTH($P522,-1)+1,$P$3:$P522,"&lt;"&amp;EOMONTH($P522,0)+1)=1,1,0),0)</f>
        <v>0</v>
      </c>
      <c r="W522" s="444">
        <f ca="1">TODAY()-Table1[[#This Row],[Change Date]]</f>
        <v>360.65694444444671</v>
      </c>
      <c r="X522" s="422">
        <f t="shared" si="92"/>
        <v>45930.52847222222</v>
      </c>
      <c r="Y522" s="476">
        <f ca="1">IF(Table1[[#This Row],[Next Stage Date]]&lt;&gt;"",Table1[[#This Row],[Next Stage Date]]-Table1[[#This Row],[Change Date]],TODAY()-Table1[[#This Row],[Change Date]])</f>
        <v>33.185416666667152</v>
      </c>
      <c r="Z522" s="476">
        <f t="shared" si="93"/>
        <v>0</v>
      </c>
      <c r="AA522" s="422">
        <f t="shared" si="94"/>
        <v>45930.52847222222</v>
      </c>
      <c r="AB522" s="422">
        <f t="shared" si="95"/>
        <v>45819.410416666666</v>
      </c>
      <c r="AC522" s="476">
        <f t="shared" si="96"/>
        <v>44.410416666665697</v>
      </c>
      <c r="AD522" s="476">
        <f t="shared" si="97"/>
        <v>111.11805555555475</v>
      </c>
      <c r="AE522" s="476">
        <f t="shared" si="98"/>
        <v>155.52847222222044</v>
      </c>
      <c r="AF522" s="476" t="b">
        <f>IFERROR(_xlfn.XLOOKUP(Table1[[#This Row],[Opportunity ID]],'Aging Detail'!$H$14:$H$20,'Aging Detail'!$F$14:$F$20),TRUE)</f>
        <v>1</v>
      </c>
    </row>
    <row r="523" spans="1:32">
      <c r="A523" t="s">
        <v>1461</v>
      </c>
      <c r="B523" t="s">
        <v>338</v>
      </c>
      <c r="C523" t="s">
        <v>1469</v>
      </c>
      <c r="D523" t="s">
        <v>2808</v>
      </c>
      <c r="E523" t="s">
        <v>2809</v>
      </c>
      <c r="I523" s="422">
        <v>45847</v>
      </c>
      <c r="J523" s="422">
        <v>73050</v>
      </c>
      <c r="L523">
        <v>0</v>
      </c>
      <c r="M523" t="s">
        <v>2810</v>
      </c>
      <c r="N523" t="s">
        <v>1604</v>
      </c>
      <c r="O523" t="str">
        <f>_xlfn.IFNA(VLOOKUP(Table1[[#This Row],[Lead Source]],'helper tab'!A:B,2,FALSE),"Exclude")</f>
        <v>Exclude</v>
      </c>
      <c r="P523" s="422">
        <f t="shared" si="88"/>
        <v>45895.59097222222</v>
      </c>
      <c r="Q523">
        <f t="shared" si="89"/>
        <v>0</v>
      </c>
      <c r="R523">
        <f t="shared" si="90"/>
        <v>0</v>
      </c>
      <c r="S523">
        <f>IF(
AND($Q523=1,$M523&lt;&gt;""),
IF(
COUNTIFS(
$M$3:$M523,$M523,
$O$3:$O523,$O523,
$Q$3:$Q523,1,
$P$3:$P523,"&gt;="&amp;EOMONTH($P523,-1)+1,
$P$3:$P523,"&lt;"&amp;EOMONTH($P523,0)+1
)=1,
1,
0),
0)</f>
        <v>0</v>
      </c>
      <c r="T523">
        <f>IF(AND($R523=1,$M523&lt;&gt;""),IF(COUNTIFS($M$3:$M523,$M523,$O$3:$O523,$O523,$R$3:$R523,1,$P$3:$P523,"&gt;="&amp;EOMONTH($P523,-1)+1,$P$3:$P523,"&lt;"&amp;EOMONTH($P523,0)+1)=1,1,0),0)</f>
        <v>0</v>
      </c>
      <c r="U523">
        <f t="shared" si="91"/>
        <v>1</v>
      </c>
      <c r="V523">
        <f>IF(AND($U523=1,$M523&lt;&gt;""),IF(COUNTIFS($M$3:$M523,$M523,$O$3:$O523,$O523,$U$3:$U523,1,$P$3:$P523,"&gt;="&amp;EOMONTH($P523,-1)+1,$P$3:$P523,"&lt;"&amp;EOMONTH($P523,0)+1)=1,1,0),0)</f>
        <v>1</v>
      </c>
      <c r="W523" s="444">
        <f ca="1">TODAY()-Table1[[#This Row],[Change Date]]</f>
        <v>362.40902777777956</v>
      </c>
      <c r="X523" s="422" t="str">
        <f t="shared" si="92"/>
        <v/>
      </c>
      <c r="Y523" s="476">
        <f ca="1">IF(Table1[[#This Row],[Next Stage Date]]&lt;&gt;"",Table1[[#This Row],[Next Stage Date]]-Table1[[#This Row],[Change Date]],TODAY()-Table1[[#This Row],[Change Date]])</f>
        <v>362.40902777777956</v>
      </c>
      <c r="Z523" s="476">
        <f t="shared" si="93"/>
        <v>1</v>
      </c>
      <c r="AA523" s="422" t="str">
        <f t="shared" si="94"/>
        <v/>
      </c>
      <c r="AB523" s="422" t="str">
        <f t="shared" si="95"/>
        <v/>
      </c>
      <c r="AC523" s="476" t="str">
        <f t="shared" si="96"/>
        <v/>
      </c>
      <c r="AD523" s="476" t="str">
        <f t="shared" si="97"/>
        <v/>
      </c>
      <c r="AE523" s="476" t="str">
        <f t="shared" si="98"/>
        <v/>
      </c>
      <c r="AF523" s="476" t="b">
        <f>IFERROR(_xlfn.XLOOKUP(Table1[[#This Row],[Opportunity ID]],'Aging Detail'!$H$14:$H$20,'Aging Detail'!$F$14:$F$20),TRUE)</f>
        <v>1</v>
      </c>
    </row>
    <row r="524" spans="1:32">
      <c r="A524" t="s">
        <v>1461</v>
      </c>
      <c r="B524" t="s">
        <v>1462</v>
      </c>
      <c r="C524" t="s">
        <v>462</v>
      </c>
      <c r="D524" t="s">
        <v>2811</v>
      </c>
      <c r="E524" t="s">
        <v>2557</v>
      </c>
      <c r="F524" t="s">
        <v>1463</v>
      </c>
      <c r="I524" s="422">
        <v>45455</v>
      </c>
      <c r="J524" s="422">
        <v>45952</v>
      </c>
      <c r="K524">
        <v>161386</v>
      </c>
      <c r="L524">
        <v>74488</v>
      </c>
      <c r="M524" t="s">
        <v>2558</v>
      </c>
      <c r="N524" t="s">
        <v>582</v>
      </c>
      <c r="O524" t="str">
        <f>_xlfn.IFNA(VLOOKUP(Table1[[#This Row],[Lead Source]],'helper tab'!A:B,2,FALSE),"Exclude")</f>
        <v>Cold</v>
      </c>
      <c r="P524" s="422">
        <f t="shared" si="88"/>
        <v>45893.393055555556</v>
      </c>
      <c r="Q524">
        <f t="shared" si="89"/>
        <v>1</v>
      </c>
      <c r="R524">
        <f t="shared" si="90"/>
        <v>0</v>
      </c>
      <c r="S524">
        <f>IF(
AND($Q524=1,$M524&lt;&gt;""),
IF(
COUNTIFS(
$M$3:$M524,$M524,
$O$3:$O524,$O524,
$Q$3:$Q524,1,
$P$3:$P524,"&gt;="&amp;EOMONTH($P524,-1)+1,
$P$3:$P524,"&lt;"&amp;EOMONTH($P524,0)+1
)=1,
1,
0),
0)</f>
        <v>1</v>
      </c>
      <c r="T524">
        <f>IF(AND($R524=1,$M524&lt;&gt;""),IF(COUNTIFS($M$3:$M524,$M524,$O$3:$O524,$O524,$R$3:$R524,1,$P$3:$P524,"&gt;="&amp;EOMONTH($P524,-1)+1,$P$3:$P524,"&lt;"&amp;EOMONTH($P524,0)+1)=1,1,0),0)</f>
        <v>0</v>
      </c>
      <c r="U524">
        <f t="shared" si="91"/>
        <v>0</v>
      </c>
      <c r="V524">
        <f>IF(AND($U524=1,$M524&lt;&gt;""),IF(COUNTIFS($M$3:$M524,$M524,$O$3:$O524,$O524,$U$3:$U524,1,$P$3:$P524,"&gt;="&amp;EOMONTH($P524,-1)+1,$P$3:$P524,"&lt;"&amp;EOMONTH($P524,0)+1)=1,1,0),0)</f>
        <v>0</v>
      </c>
      <c r="W524" s="444">
        <f ca="1">TODAY()-Table1[[#This Row],[Change Date]]</f>
        <v>364.6069444444438</v>
      </c>
      <c r="X524" s="422">
        <f t="shared" si="92"/>
        <v>45912.401388888888</v>
      </c>
      <c r="Y524" s="476">
        <f ca="1">IF(Table1[[#This Row],[Next Stage Date]]&lt;&gt;"",Table1[[#This Row],[Next Stage Date]]-Table1[[#This Row],[Change Date]],TODAY()-Table1[[#This Row],[Change Date]])</f>
        <v>19.008333333331393</v>
      </c>
      <c r="Z524" s="476">
        <f t="shared" si="93"/>
        <v>0</v>
      </c>
      <c r="AA524" s="422">
        <f t="shared" si="94"/>
        <v>45954.354166666664</v>
      </c>
      <c r="AB524" s="422">
        <f t="shared" si="95"/>
        <v>45893.393055555556</v>
      </c>
      <c r="AC524" s="476">
        <f t="shared" si="96"/>
        <v>438.3930555555562</v>
      </c>
      <c r="AD524" s="476">
        <f t="shared" si="97"/>
        <v>60.961111111108039</v>
      </c>
      <c r="AE524" s="476">
        <f t="shared" si="98"/>
        <v>499.35416666666424</v>
      </c>
      <c r="AF524" s="476" t="b">
        <f>IFERROR(_xlfn.XLOOKUP(Table1[[#This Row],[Opportunity ID]],'Aging Detail'!$H$14:$H$20,'Aging Detail'!$F$14:$F$20),TRUE)</f>
        <v>1</v>
      </c>
    </row>
    <row r="525" spans="1:32">
      <c r="A525" t="s">
        <v>1461</v>
      </c>
      <c r="B525" t="s">
        <v>338</v>
      </c>
      <c r="C525" t="s">
        <v>1469</v>
      </c>
      <c r="D525" t="s">
        <v>2812</v>
      </c>
      <c r="E525" t="s">
        <v>2813</v>
      </c>
      <c r="I525" s="422">
        <v>45744</v>
      </c>
      <c r="J525" s="422">
        <v>46022</v>
      </c>
      <c r="L525">
        <v>0</v>
      </c>
      <c r="M525" t="s">
        <v>2814</v>
      </c>
      <c r="N525" t="s">
        <v>2503</v>
      </c>
      <c r="O525" t="str">
        <f>_xlfn.IFNA(VLOOKUP(Table1[[#This Row],[Lead Source]],'helper tab'!A:B,2,FALSE),"Exclude")</f>
        <v>Exclude</v>
      </c>
      <c r="P525" s="422">
        <f t="shared" si="88"/>
        <v>45891.318749999999</v>
      </c>
      <c r="Q525">
        <f t="shared" si="89"/>
        <v>0</v>
      </c>
      <c r="R525">
        <f t="shared" si="90"/>
        <v>0</v>
      </c>
      <c r="S525">
        <f>IF(
AND($Q525=1,$M525&lt;&gt;""),
IF(
COUNTIFS(
$M$3:$M525,$M525,
$O$3:$O525,$O525,
$Q$3:$Q525,1,
$P$3:$P525,"&gt;="&amp;EOMONTH($P525,-1)+1,
$P$3:$P525,"&lt;"&amp;EOMONTH($P525,0)+1
)=1,
1,
0),
0)</f>
        <v>0</v>
      </c>
      <c r="T525">
        <f>IF(AND($R525=1,$M525&lt;&gt;""),IF(COUNTIFS($M$3:$M525,$M525,$O$3:$O525,$O525,$R$3:$R525,1,$P$3:$P525,"&gt;="&amp;EOMONTH($P525,-1)+1,$P$3:$P525,"&lt;"&amp;EOMONTH($P525,0)+1)=1,1,0),0)</f>
        <v>0</v>
      </c>
      <c r="U525">
        <f t="shared" si="91"/>
        <v>1</v>
      </c>
      <c r="V525">
        <f>IF(AND($U525=1,$M525&lt;&gt;""),IF(COUNTIFS($M$3:$M525,$M525,$O$3:$O525,$O525,$U$3:$U525,1,$P$3:$P525,"&gt;="&amp;EOMONTH($P525,-1)+1,$P$3:$P525,"&lt;"&amp;EOMONTH($P525,0)+1)=1,1,0),0)</f>
        <v>1</v>
      </c>
      <c r="W525" s="444">
        <f ca="1">TODAY()-Table1[[#This Row],[Change Date]]</f>
        <v>366.68125000000146</v>
      </c>
      <c r="X525" s="422" t="str">
        <f t="shared" si="92"/>
        <v/>
      </c>
      <c r="Y525" s="476">
        <f ca="1">IF(Table1[[#This Row],[Next Stage Date]]&lt;&gt;"",Table1[[#This Row],[Next Stage Date]]-Table1[[#This Row],[Change Date]],TODAY()-Table1[[#This Row],[Change Date]])</f>
        <v>366.68125000000146</v>
      </c>
      <c r="Z525" s="476">
        <f t="shared" si="93"/>
        <v>1</v>
      </c>
      <c r="AA525" s="422" t="str">
        <f t="shared" si="94"/>
        <v/>
      </c>
      <c r="AB525" s="422" t="str">
        <f t="shared" si="95"/>
        <v/>
      </c>
      <c r="AC525" s="476" t="str">
        <f t="shared" si="96"/>
        <v/>
      </c>
      <c r="AD525" s="476" t="str">
        <f t="shared" si="97"/>
        <v/>
      </c>
      <c r="AE525" s="476" t="str">
        <f t="shared" si="98"/>
        <v/>
      </c>
      <c r="AF525" s="476" t="b">
        <f>IFERROR(_xlfn.XLOOKUP(Table1[[#This Row],[Opportunity ID]],'Aging Detail'!$H$14:$H$20,'Aging Detail'!$F$14:$F$20),TRUE)</f>
        <v>1</v>
      </c>
    </row>
    <row r="526" spans="1:32">
      <c r="A526" t="s">
        <v>1461</v>
      </c>
      <c r="B526" t="s">
        <v>526</v>
      </c>
      <c r="C526" t="s">
        <v>1469</v>
      </c>
      <c r="D526" t="s">
        <v>2815</v>
      </c>
      <c r="E526" t="s">
        <v>2816</v>
      </c>
      <c r="I526" s="422">
        <v>45833</v>
      </c>
      <c r="J526" s="422">
        <v>45868</v>
      </c>
      <c r="K526">
        <v>37471</v>
      </c>
      <c r="L526">
        <v>37471</v>
      </c>
      <c r="M526" t="s">
        <v>2817</v>
      </c>
      <c r="N526" t="s">
        <v>1629</v>
      </c>
      <c r="O526" t="str">
        <f>_xlfn.IFNA(VLOOKUP(Table1[[#This Row],[Lead Source]],'helper tab'!A:B,2,FALSE),"Exclude")</f>
        <v>Exclude</v>
      </c>
      <c r="P526" s="422">
        <f t="shared" si="88"/>
        <v>45891.318055555559</v>
      </c>
      <c r="Q526">
        <f t="shared" si="89"/>
        <v>0</v>
      </c>
      <c r="R526">
        <f t="shared" si="90"/>
        <v>0</v>
      </c>
      <c r="S526">
        <f>IF(
AND($Q526=1,$M526&lt;&gt;""),
IF(
COUNTIFS(
$M$3:$M526,$M526,
$O$3:$O526,$O526,
$Q$3:$Q526,1,
$P$3:$P526,"&gt;="&amp;EOMONTH($P526,-1)+1,
$P$3:$P526,"&lt;"&amp;EOMONTH($P526,0)+1
)=1,
1,
0),
0)</f>
        <v>0</v>
      </c>
      <c r="T526">
        <f>IF(AND($R526=1,$M526&lt;&gt;""),IF(COUNTIFS($M$3:$M526,$M526,$O$3:$O526,$O526,$R$3:$R526,1,$P$3:$P526,"&gt;="&amp;EOMONTH($P526,-1)+1,$P$3:$P526,"&lt;"&amp;EOMONTH($P526,0)+1)=1,1,0),0)</f>
        <v>0</v>
      </c>
      <c r="U526">
        <f t="shared" si="91"/>
        <v>1</v>
      </c>
      <c r="V526">
        <f>IF(AND($U526=1,$M526&lt;&gt;""),IF(COUNTIFS($M$3:$M526,$M526,$O$3:$O526,$O526,$U$3:$U526,1,$P$3:$P526,"&gt;="&amp;EOMONTH($P526,-1)+1,$P$3:$P526,"&lt;"&amp;EOMONTH($P526,0)+1)=1,1,0),0)</f>
        <v>1</v>
      </c>
      <c r="W526" s="444">
        <f ca="1">TODAY()-Table1[[#This Row],[Change Date]]</f>
        <v>366.68194444444089</v>
      </c>
      <c r="X526" s="422" t="str">
        <f t="shared" si="92"/>
        <v/>
      </c>
      <c r="Y526" s="476">
        <f ca="1">IF(Table1[[#This Row],[Next Stage Date]]&lt;&gt;"",Table1[[#This Row],[Next Stage Date]]-Table1[[#This Row],[Change Date]],TODAY()-Table1[[#This Row],[Change Date]])</f>
        <v>366.68194444444089</v>
      </c>
      <c r="Z526" s="476">
        <f t="shared" si="93"/>
        <v>1</v>
      </c>
      <c r="AA526" s="422" t="str">
        <f t="shared" si="94"/>
        <v/>
      </c>
      <c r="AB526" s="422">
        <f t="shared" si="95"/>
        <v>45868.228472222225</v>
      </c>
      <c r="AC526" s="476">
        <f t="shared" si="96"/>
        <v>35.228472222224809</v>
      </c>
      <c r="AD526" s="476" t="str">
        <f t="shared" si="97"/>
        <v/>
      </c>
      <c r="AE526" s="476" t="str">
        <f t="shared" si="98"/>
        <v/>
      </c>
      <c r="AF526" s="476" t="b">
        <f>IFERROR(_xlfn.XLOOKUP(Table1[[#This Row],[Opportunity ID]],'Aging Detail'!$H$14:$H$20,'Aging Detail'!$F$14:$F$20),TRUE)</f>
        <v>1</v>
      </c>
    </row>
    <row r="527" spans="1:32">
      <c r="A527" t="s">
        <v>1461</v>
      </c>
      <c r="B527" t="s">
        <v>1462</v>
      </c>
      <c r="C527" t="s">
        <v>462</v>
      </c>
      <c r="D527" t="s">
        <v>2818</v>
      </c>
      <c r="E527" t="s">
        <v>2698</v>
      </c>
      <c r="F527" t="s">
        <v>1484</v>
      </c>
      <c r="I527" s="422">
        <v>45425</v>
      </c>
      <c r="J527" s="422">
        <v>45930</v>
      </c>
      <c r="K527">
        <v>842605.92</v>
      </c>
      <c r="L527">
        <v>842605.92</v>
      </c>
      <c r="M527" t="s">
        <v>2699</v>
      </c>
      <c r="N527" t="s">
        <v>1629</v>
      </c>
      <c r="O527" t="str">
        <f>_xlfn.IFNA(VLOOKUP(Table1[[#This Row],[Lead Source]],'helper tab'!A:B,2,FALSE),"Exclude")</f>
        <v>Exclude</v>
      </c>
      <c r="P527" s="422">
        <f t="shared" si="88"/>
        <v>45891.317361111112</v>
      </c>
      <c r="Q527">
        <f t="shared" si="89"/>
        <v>1</v>
      </c>
      <c r="R527">
        <f t="shared" si="90"/>
        <v>0</v>
      </c>
      <c r="S527">
        <f>IF(
AND($Q527=1,$M527&lt;&gt;""),
IF(
COUNTIFS(
$M$3:$M527,$M527,
$O$3:$O527,$O527,
$Q$3:$Q527,1,
$P$3:$P527,"&gt;="&amp;EOMONTH($P527,-1)+1,
$P$3:$P527,"&lt;"&amp;EOMONTH($P527,0)+1
)=1,
1,
0),
0)</f>
        <v>1</v>
      </c>
      <c r="T527">
        <f>IF(AND($R527=1,$M527&lt;&gt;""),IF(COUNTIFS($M$3:$M527,$M527,$O$3:$O527,$O527,$R$3:$R527,1,$P$3:$P527,"&gt;="&amp;EOMONTH($P527,-1)+1,$P$3:$P527,"&lt;"&amp;EOMONTH($P527,0)+1)=1,1,0),0)</f>
        <v>0</v>
      </c>
      <c r="U527">
        <f t="shared" si="91"/>
        <v>0</v>
      </c>
      <c r="V527">
        <f>IF(AND($U527=1,$M527&lt;&gt;""),IF(COUNTIFS($M$3:$M527,$M527,$O$3:$O527,$O527,$U$3:$U527,1,$P$3:$P527,"&gt;="&amp;EOMONTH($P527,-1)+1,$P$3:$P527,"&lt;"&amp;EOMONTH($P527,0)+1)=1,1,0),0)</f>
        <v>0</v>
      </c>
      <c r="W527" s="444">
        <f ca="1">TODAY()-Table1[[#This Row],[Change Date]]</f>
        <v>366.6826388888876</v>
      </c>
      <c r="X527" s="422">
        <f t="shared" si="92"/>
        <v>45911.275694444441</v>
      </c>
      <c r="Y527" s="476">
        <f ca="1">IF(Table1[[#This Row],[Next Stage Date]]&lt;&gt;"",Table1[[#This Row],[Next Stage Date]]-Table1[[#This Row],[Change Date]],TODAY()-Table1[[#This Row],[Change Date]])</f>
        <v>19.958333333328483</v>
      </c>
      <c r="Z527" s="476">
        <f t="shared" si="93"/>
        <v>0</v>
      </c>
      <c r="AA527" s="422">
        <f t="shared" si="94"/>
        <v>45931.395833333336</v>
      </c>
      <c r="AB527" s="422">
        <f t="shared" si="95"/>
        <v>45891.317361111112</v>
      </c>
      <c r="AC527" s="476">
        <f t="shared" si="96"/>
        <v>466.3173611111124</v>
      </c>
      <c r="AD527" s="476">
        <f t="shared" si="97"/>
        <v>40.078472222223354</v>
      </c>
      <c r="AE527" s="476">
        <f t="shared" si="98"/>
        <v>506.39583333333576</v>
      </c>
      <c r="AF527" s="476" t="b">
        <f>IFERROR(_xlfn.XLOOKUP(Table1[[#This Row],[Opportunity ID]],'Aging Detail'!$H$14:$H$20,'Aging Detail'!$F$14:$F$20),TRUE)</f>
        <v>1</v>
      </c>
    </row>
    <row r="528" spans="1:32">
      <c r="A528" t="s">
        <v>1461</v>
      </c>
      <c r="B528" t="s">
        <v>408</v>
      </c>
      <c r="C528" t="s">
        <v>1462</v>
      </c>
      <c r="D528" t="s">
        <v>2819</v>
      </c>
      <c r="E528" t="s">
        <v>2529</v>
      </c>
      <c r="F528" t="s">
        <v>1484</v>
      </c>
      <c r="I528" s="422">
        <v>45597</v>
      </c>
      <c r="J528" s="422">
        <v>45961</v>
      </c>
      <c r="K528">
        <v>1567320</v>
      </c>
      <c r="L528">
        <v>45652</v>
      </c>
      <c r="M528" t="s">
        <v>2530</v>
      </c>
      <c r="N528" t="s">
        <v>2099</v>
      </c>
      <c r="O528" t="str">
        <f>_xlfn.IFNA(VLOOKUP(Table1[[#This Row],[Lead Source]],'helper tab'!A:B,2,FALSE),"Exclude")</f>
        <v>Exclude</v>
      </c>
      <c r="P528" s="422">
        <f t="shared" si="88"/>
        <v>45891.31527777778</v>
      </c>
      <c r="Q528">
        <f t="shared" si="89"/>
        <v>0</v>
      </c>
      <c r="R528">
        <f t="shared" si="90"/>
        <v>0</v>
      </c>
      <c r="S528">
        <f>IF(
AND($Q528=1,$M528&lt;&gt;""),
IF(
COUNTIFS(
$M$3:$M528,$M528,
$O$3:$O528,$O528,
$Q$3:$Q528,1,
$P$3:$P528,"&gt;="&amp;EOMONTH($P528,-1)+1,
$P$3:$P528,"&lt;"&amp;EOMONTH($P528,0)+1
)=1,
1,
0),
0)</f>
        <v>0</v>
      </c>
      <c r="T528">
        <f>IF(AND($R528=1,$M528&lt;&gt;""),IF(COUNTIFS($M$3:$M528,$M528,$O$3:$O528,$O528,$R$3:$R528,1,$P$3:$P528,"&gt;="&amp;EOMONTH($P528,-1)+1,$P$3:$P528,"&lt;"&amp;EOMONTH($P528,0)+1)=1,1,0),0)</f>
        <v>0</v>
      </c>
      <c r="U528">
        <f t="shared" si="91"/>
        <v>0</v>
      </c>
      <c r="V528">
        <f>IF(AND($U528=1,$M528&lt;&gt;""),IF(COUNTIFS($M$3:$M528,$M528,$O$3:$O528,$O528,$U$3:$U528,1,$P$3:$P528,"&gt;="&amp;EOMONTH($P528,-1)+1,$P$3:$P528,"&lt;"&amp;EOMONTH($P528,0)+1)=1,1,0),0)</f>
        <v>0</v>
      </c>
      <c r="W528" s="444">
        <f ca="1">TODAY()-Table1[[#This Row],[Change Date]]</f>
        <v>366.68472222222044</v>
      </c>
      <c r="X528" s="422">
        <f t="shared" si="92"/>
        <v>45968.569444444445</v>
      </c>
      <c r="Y528" s="476">
        <f ca="1">IF(Table1[[#This Row],[Next Stage Date]]&lt;&gt;"",Table1[[#This Row],[Next Stage Date]]-Table1[[#This Row],[Change Date]],TODAY()-Table1[[#This Row],[Change Date]])</f>
        <v>77.254166666665697</v>
      </c>
      <c r="Z528" s="476">
        <f t="shared" si="93"/>
        <v>0</v>
      </c>
      <c r="AA528" s="422">
        <f t="shared" si="94"/>
        <v>45968.569444444445</v>
      </c>
      <c r="AB528" s="422" t="str">
        <f t="shared" si="95"/>
        <v/>
      </c>
      <c r="AC528" s="476" t="str">
        <f t="shared" si="96"/>
        <v/>
      </c>
      <c r="AD528" s="476" t="str">
        <f t="shared" si="97"/>
        <v/>
      </c>
      <c r="AE528" s="476">
        <f t="shared" si="98"/>
        <v>371.56944444444525</v>
      </c>
      <c r="AF528" s="476" t="b">
        <f>IFERROR(_xlfn.XLOOKUP(Table1[[#This Row],[Opportunity ID]],'Aging Detail'!$H$14:$H$20,'Aging Detail'!$F$14:$F$20),TRUE)</f>
        <v>1</v>
      </c>
    </row>
    <row r="529" spans="1:32">
      <c r="A529" t="s">
        <v>1461</v>
      </c>
      <c r="B529" t="s">
        <v>1462</v>
      </c>
      <c r="C529" t="s">
        <v>526</v>
      </c>
      <c r="D529" t="s">
        <v>2820</v>
      </c>
      <c r="E529" t="s">
        <v>2800</v>
      </c>
      <c r="F529" t="s">
        <v>1484</v>
      </c>
      <c r="I529" s="422">
        <v>44812</v>
      </c>
      <c r="J529" s="422">
        <v>45898</v>
      </c>
      <c r="K529">
        <v>435380</v>
      </c>
      <c r="L529">
        <v>-5110</v>
      </c>
      <c r="M529" t="s">
        <v>2801</v>
      </c>
      <c r="N529" t="s">
        <v>2326</v>
      </c>
      <c r="O529" t="str">
        <f>_xlfn.IFNA(VLOOKUP(Table1[[#This Row],[Lead Source]],'helper tab'!A:B,2,FALSE),"Exclude")</f>
        <v>Exclude</v>
      </c>
      <c r="P529" s="422">
        <f t="shared" si="88"/>
        <v>45891.3125</v>
      </c>
      <c r="Q529">
        <f t="shared" si="89"/>
        <v>1</v>
      </c>
      <c r="R529">
        <f t="shared" si="90"/>
        <v>0</v>
      </c>
      <c r="S529">
        <f>IF(
AND($Q529=1,$M529&lt;&gt;""),
IF(
COUNTIFS(
$M$3:$M529,$M529,
$O$3:$O529,$O529,
$Q$3:$Q529,1,
$P$3:$P529,"&gt;="&amp;EOMONTH($P529,-1)+1,
$P$3:$P529,"&lt;"&amp;EOMONTH($P529,0)+1
)=1,
1,
0),
0)</f>
        <v>1</v>
      </c>
      <c r="T529">
        <f>IF(AND($R529=1,$M529&lt;&gt;""),IF(COUNTIFS($M$3:$M529,$M529,$O$3:$O529,$O529,$R$3:$R529,1,$P$3:$P529,"&gt;="&amp;EOMONTH($P529,-1)+1,$P$3:$P529,"&lt;"&amp;EOMONTH($P529,0)+1)=1,1,0),0)</f>
        <v>0</v>
      </c>
      <c r="U529">
        <f t="shared" si="91"/>
        <v>0</v>
      </c>
      <c r="V529">
        <f>IF(AND($U529=1,$M529&lt;&gt;""),IF(COUNTIFS($M$3:$M529,$M529,$O$3:$O529,$O529,$U$3:$U529,1,$P$3:$P529,"&gt;="&amp;EOMONTH($P529,-1)+1,$P$3:$P529,"&lt;"&amp;EOMONTH($P529,0)+1)=1,1,0),0)</f>
        <v>0</v>
      </c>
      <c r="W529" s="444">
        <f ca="1">TODAY()-Table1[[#This Row],[Change Date]]</f>
        <v>366.6875</v>
      </c>
      <c r="X529" s="422">
        <f t="shared" si="92"/>
        <v>45898.459722222222</v>
      </c>
      <c r="Y529" s="476">
        <f ca="1">IF(Table1[[#This Row],[Next Stage Date]]&lt;&gt;"",Table1[[#This Row],[Next Stage Date]]-Table1[[#This Row],[Change Date]],TODAY()-Table1[[#This Row],[Change Date]])</f>
        <v>7.1472222222218988</v>
      </c>
      <c r="Z529" s="476">
        <f t="shared" si="93"/>
        <v>0</v>
      </c>
      <c r="AA529" s="422">
        <f t="shared" si="94"/>
        <v>45898.459722222222</v>
      </c>
      <c r="AB529" s="422">
        <f t="shared" si="95"/>
        <v>45891.3125</v>
      </c>
      <c r="AC529" s="476">
        <f t="shared" si="96"/>
        <v>1079.3125</v>
      </c>
      <c r="AD529" s="476">
        <f t="shared" si="97"/>
        <v>7.1472222222218988</v>
      </c>
      <c r="AE529" s="476">
        <f t="shared" si="98"/>
        <v>1086.4597222222219</v>
      </c>
      <c r="AF529" s="476" t="b">
        <f>IFERROR(_xlfn.XLOOKUP(Table1[[#This Row],[Opportunity ID]],'Aging Detail'!$H$14:$H$20,'Aging Detail'!$F$14:$F$20),TRUE)</f>
        <v>1</v>
      </c>
    </row>
    <row r="530" spans="1:32">
      <c r="A530" t="s">
        <v>1461</v>
      </c>
      <c r="B530" t="s">
        <v>526</v>
      </c>
      <c r="C530" t="s">
        <v>563</v>
      </c>
      <c r="D530" t="s">
        <v>2821</v>
      </c>
      <c r="E530" t="s">
        <v>2822</v>
      </c>
      <c r="F530" t="s">
        <v>1463</v>
      </c>
      <c r="H530" t="s">
        <v>1841</v>
      </c>
      <c r="I530" s="422">
        <v>45869</v>
      </c>
      <c r="J530" s="422">
        <v>45888</v>
      </c>
      <c r="K530">
        <v>137000</v>
      </c>
      <c r="L530">
        <v>137000</v>
      </c>
      <c r="M530" t="s">
        <v>2823</v>
      </c>
      <c r="N530" t="s">
        <v>2017</v>
      </c>
      <c r="O530" t="str">
        <f>_xlfn.IFNA(VLOOKUP(Table1[[#This Row],[Lead Source]],'helper tab'!A:B,2,FALSE),"Exclude")</f>
        <v>Cold</v>
      </c>
      <c r="P530" s="422">
        <f t="shared" si="88"/>
        <v>45888.390972222223</v>
      </c>
      <c r="Q530">
        <f t="shared" si="89"/>
        <v>0</v>
      </c>
      <c r="R530">
        <f t="shared" si="90"/>
        <v>1</v>
      </c>
      <c r="S530">
        <f>IF(
AND($Q530=1,$M530&lt;&gt;""),
IF(
COUNTIFS(
$M$3:$M530,$M530,
$O$3:$O530,$O530,
$Q$3:$Q530,1,
$P$3:$P530,"&gt;="&amp;EOMONTH($P530,-1)+1,
$P$3:$P530,"&lt;"&amp;EOMONTH($P530,0)+1
)=1,
1,
0),
0)</f>
        <v>0</v>
      </c>
      <c r="T530">
        <f>IF(AND($R530=1,$M530&lt;&gt;""),IF(COUNTIFS($M$3:$M530,$M530,$O$3:$O530,$O530,$R$3:$R530,1,$P$3:$P530,"&gt;="&amp;EOMONTH($P530,-1)+1,$P$3:$P530,"&lt;"&amp;EOMONTH($P530,0)+1)=1,1,0),0)</f>
        <v>1</v>
      </c>
      <c r="U530">
        <f t="shared" si="91"/>
        <v>0</v>
      </c>
      <c r="V530">
        <f>IF(AND($U530=1,$M530&lt;&gt;""),IF(COUNTIFS($M$3:$M530,$M530,$O$3:$O530,$O530,$U$3:$U530,1,$P$3:$P530,"&gt;="&amp;EOMONTH($P530,-1)+1,$P$3:$P530,"&lt;"&amp;EOMONTH($P530,0)+1)=1,1,0),0)</f>
        <v>0</v>
      </c>
      <c r="W530" s="444">
        <f ca="1">TODAY()-Table1[[#This Row],[Change Date]]</f>
        <v>369.60902777777665</v>
      </c>
      <c r="X530" s="422" t="str">
        <f t="shared" si="92"/>
        <v/>
      </c>
      <c r="Y530" s="476">
        <f ca="1">IF(Table1[[#This Row],[Next Stage Date]]&lt;&gt;"",Table1[[#This Row],[Next Stage Date]]-Table1[[#This Row],[Change Date]],TODAY()-Table1[[#This Row],[Change Date]])</f>
        <v>369.60902777777665</v>
      </c>
      <c r="Z530" s="476">
        <f t="shared" si="93"/>
        <v>1</v>
      </c>
      <c r="AA530" s="422">
        <f t="shared" si="94"/>
        <v>45888.390972222223</v>
      </c>
      <c r="AB530" s="422">
        <f t="shared" si="95"/>
        <v>45869.384027777778</v>
      </c>
      <c r="AC530" s="476">
        <f t="shared" si="96"/>
        <v>0.38402777777810115</v>
      </c>
      <c r="AD530" s="476">
        <f t="shared" si="97"/>
        <v>19.006944444445253</v>
      </c>
      <c r="AE530" s="476">
        <f t="shared" si="98"/>
        <v>19.390972222223354</v>
      </c>
      <c r="AF530" s="476" t="b">
        <f>IFERROR(_xlfn.XLOOKUP(Table1[[#This Row],[Opportunity ID]],'Aging Detail'!$H$14:$H$20,'Aging Detail'!$F$14:$F$20),TRUE)</f>
        <v>1</v>
      </c>
    </row>
    <row r="531" spans="1:32">
      <c r="A531" t="s">
        <v>1461</v>
      </c>
      <c r="B531" t="s">
        <v>408</v>
      </c>
      <c r="C531" t="s">
        <v>1462</v>
      </c>
      <c r="D531" t="s">
        <v>2824</v>
      </c>
      <c r="E531" t="s">
        <v>2557</v>
      </c>
      <c r="F531" t="s">
        <v>1463</v>
      </c>
      <c r="I531" s="422">
        <v>45455</v>
      </c>
      <c r="J531" s="422">
        <v>45952</v>
      </c>
      <c r="K531">
        <v>161386</v>
      </c>
      <c r="L531">
        <v>74488</v>
      </c>
      <c r="M531" t="s">
        <v>2558</v>
      </c>
      <c r="N531" t="s">
        <v>582</v>
      </c>
      <c r="O531" t="str">
        <f>_xlfn.IFNA(VLOOKUP(Table1[[#This Row],[Lead Source]],'helper tab'!A:B,2,FALSE),"Exclude")</f>
        <v>Cold</v>
      </c>
      <c r="P531" s="422">
        <f t="shared" si="88"/>
        <v>45886.380555555559</v>
      </c>
      <c r="Q531">
        <f t="shared" si="89"/>
        <v>0</v>
      </c>
      <c r="R531">
        <f t="shared" si="90"/>
        <v>0</v>
      </c>
      <c r="S531">
        <f>IF(
AND($Q531=1,$M531&lt;&gt;""),
IF(
COUNTIFS(
$M$3:$M531,$M531,
$O$3:$O531,$O531,
$Q$3:$Q531,1,
$P$3:$P531,"&gt;="&amp;EOMONTH($P531,-1)+1,
$P$3:$P531,"&lt;"&amp;EOMONTH($P531,0)+1
)=1,
1,
0),
0)</f>
        <v>0</v>
      </c>
      <c r="T531">
        <f>IF(AND($R531=1,$M531&lt;&gt;""),IF(COUNTIFS($M$3:$M531,$M531,$O$3:$O531,$O531,$R$3:$R531,1,$P$3:$P531,"&gt;="&amp;EOMONTH($P531,-1)+1,$P$3:$P531,"&lt;"&amp;EOMONTH($P531,0)+1)=1,1,0),0)</f>
        <v>0</v>
      </c>
      <c r="U531">
        <f t="shared" si="91"/>
        <v>0</v>
      </c>
      <c r="V531">
        <f>IF(AND($U531=1,$M531&lt;&gt;""),IF(COUNTIFS($M$3:$M531,$M531,$O$3:$O531,$O531,$U$3:$U531,1,$P$3:$P531,"&gt;="&amp;EOMONTH($P531,-1)+1,$P$3:$P531,"&lt;"&amp;EOMONTH($P531,0)+1)=1,1,0),0)</f>
        <v>0</v>
      </c>
      <c r="W531" s="444">
        <f ca="1">TODAY()-Table1[[#This Row],[Change Date]]</f>
        <v>371.61944444444089</v>
      </c>
      <c r="X531" s="422">
        <f t="shared" si="92"/>
        <v>45893.393055555556</v>
      </c>
      <c r="Y531" s="476">
        <f ca="1">IF(Table1[[#This Row],[Next Stage Date]]&lt;&gt;"",Table1[[#This Row],[Next Stage Date]]-Table1[[#This Row],[Change Date]],TODAY()-Table1[[#This Row],[Change Date]])</f>
        <v>7.0124999999970896</v>
      </c>
      <c r="Z531" s="476">
        <f t="shared" si="93"/>
        <v>0</v>
      </c>
      <c r="AA531" s="422">
        <f t="shared" si="94"/>
        <v>45954.354166666664</v>
      </c>
      <c r="AB531" s="422">
        <f t="shared" si="95"/>
        <v>45893.393055555556</v>
      </c>
      <c r="AC531" s="476">
        <f t="shared" si="96"/>
        <v>438.3930555555562</v>
      </c>
      <c r="AD531" s="476">
        <f t="shared" si="97"/>
        <v>60.961111111108039</v>
      </c>
      <c r="AE531" s="476">
        <f t="shared" si="98"/>
        <v>499.35416666666424</v>
      </c>
      <c r="AF531" s="476" t="b">
        <f>IFERROR(_xlfn.XLOOKUP(Table1[[#This Row],[Opportunity ID]],'Aging Detail'!$H$14:$H$20,'Aging Detail'!$F$14:$F$20),TRUE)</f>
        <v>1</v>
      </c>
    </row>
    <row r="532" spans="1:32">
      <c r="A532" t="s">
        <v>1461</v>
      </c>
      <c r="B532" t="s">
        <v>526</v>
      </c>
      <c r="C532" t="s">
        <v>563</v>
      </c>
      <c r="D532" t="s">
        <v>2825</v>
      </c>
      <c r="E532" t="s">
        <v>2826</v>
      </c>
      <c r="I532" s="422">
        <v>45539</v>
      </c>
      <c r="J532" s="422">
        <v>45884</v>
      </c>
      <c r="K532">
        <v>979416.6</v>
      </c>
      <c r="L532">
        <v>21288.6</v>
      </c>
      <c r="M532" t="s">
        <v>2827</v>
      </c>
      <c r="N532" t="s">
        <v>1758</v>
      </c>
      <c r="O532" t="str">
        <f>_xlfn.IFNA(VLOOKUP(Table1[[#This Row],[Lead Source]],'helper tab'!A:B,2,FALSE),"Exclude")</f>
        <v>Exclude</v>
      </c>
      <c r="P532" s="422">
        <f t="shared" si="88"/>
        <v>45884.359027777777</v>
      </c>
      <c r="Q532">
        <f t="shared" si="89"/>
        <v>0</v>
      </c>
      <c r="R532">
        <f t="shared" si="90"/>
        <v>1</v>
      </c>
      <c r="S532">
        <f>IF(
AND($Q532=1,$M532&lt;&gt;""),
IF(
COUNTIFS(
$M$3:$M532,$M532,
$O$3:$O532,$O532,
$Q$3:$Q532,1,
$P$3:$P532,"&gt;="&amp;EOMONTH($P532,-1)+1,
$P$3:$P532,"&lt;"&amp;EOMONTH($P532,0)+1
)=1,
1,
0),
0)</f>
        <v>0</v>
      </c>
      <c r="T532">
        <f>IF(AND($R532=1,$M532&lt;&gt;""),IF(COUNTIFS($M$3:$M532,$M532,$O$3:$O532,$O532,$R$3:$R532,1,$P$3:$P532,"&gt;="&amp;EOMONTH($P532,-1)+1,$P$3:$P532,"&lt;"&amp;EOMONTH($P532,0)+1)=1,1,0),0)</f>
        <v>1</v>
      </c>
      <c r="U532">
        <f t="shared" si="91"/>
        <v>0</v>
      </c>
      <c r="V532">
        <f>IF(AND($U532=1,$M532&lt;&gt;""),IF(COUNTIFS($M$3:$M532,$M532,$O$3:$O532,$O532,$U$3:$U532,1,$P$3:$P532,"&gt;="&amp;EOMONTH($P532,-1)+1,$P$3:$P532,"&lt;"&amp;EOMONTH($P532,0)+1)=1,1,0),0)</f>
        <v>0</v>
      </c>
      <c r="W532" s="444">
        <f ca="1">TODAY()-Table1[[#This Row],[Change Date]]</f>
        <v>373.64097222222335</v>
      </c>
      <c r="X532" s="422" t="str">
        <f t="shared" si="92"/>
        <v/>
      </c>
      <c r="Y532" s="476">
        <f ca="1">IF(Table1[[#This Row],[Next Stage Date]]&lt;&gt;"",Table1[[#This Row],[Next Stage Date]]-Table1[[#This Row],[Change Date]],TODAY()-Table1[[#This Row],[Change Date]])</f>
        <v>373.64097222222335</v>
      </c>
      <c r="Z532" s="476">
        <f t="shared" si="93"/>
        <v>1</v>
      </c>
      <c r="AA532" s="422">
        <f t="shared" si="94"/>
        <v>45884.359027777777</v>
      </c>
      <c r="AB532" s="422">
        <f t="shared" si="95"/>
        <v>45846.525694444441</v>
      </c>
      <c r="AC532" s="476">
        <f t="shared" si="96"/>
        <v>307.52569444444089</v>
      </c>
      <c r="AD532" s="476">
        <f t="shared" si="97"/>
        <v>37.833333333335759</v>
      </c>
      <c r="AE532" s="476">
        <f t="shared" si="98"/>
        <v>345.35902777777665</v>
      </c>
      <c r="AF532" s="476" t="b">
        <f>IFERROR(_xlfn.XLOOKUP(Table1[[#This Row],[Opportunity ID]],'Aging Detail'!$H$14:$H$20,'Aging Detail'!$F$14:$F$20),TRUE)</f>
        <v>1</v>
      </c>
    </row>
    <row r="533" spans="1:32">
      <c r="A533" t="s">
        <v>1461</v>
      </c>
      <c r="B533" t="s">
        <v>526</v>
      </c>
      <c r="C533" t="s">
        <v>563</v>
      </c>
      <c r="D533" t="s">
        <v>2828</v>
      </c>
      <c r="E533" t="s">
        <v>2829</v>
      </c>
      <c r="I533" s="422">
        <v>45811</v>
      </c>
      <c r="J533" s="422">
        <v>45884</v>
      </c>
      <c r="K533">
        <v>412181</v>
      </c>
      <c r="L533">
        <v>37471</v>
      </c>
      <c r="M533" t="s">
        <v>2830</v>
      </c>
      <c r="N533" t="s">
        <v>1629</v>
      </c>
      <c r="O533" t="str">
        <f>_xlfn.IFNA(VLOOKUP(Table1[[#This Row],[Lead Source]],'helper tab'!A:B,2,FALSE),"Exclude")</f>
        <v>Exclude</v>
      </c>
      <c r="P533" s="422">
        <f t="shared" si="88"/>
        <v>45884.304166666669</v>
      </c>
      <c r="Q533">
        <f t="shared" si="89"/>
        <v>0</v>
      </c>
      <c r="R533">
        <f t="shared" si="90"/>
        <v>1</v>
      </c>
      <c r="S533">
        <f>IF(
AND($Q533=1,$M533&lt;&gt;""),
IF(
COUNTIFS(
$M$3:$M533,$M533,
$O$3:$O533,$O533,
$Q$3:$Q533,1,
$P$3:$P533,"&gt;="&amp;EOMONTH($P533,-1)+1,
$P$3:$P533,"&lt;"&amp;EOMONTH($P533,0)+1
)=1,
1,
0),
0)</f>
        <v>0</v>
      </c>
      <c r="T533">
        <f>IF(AND($R533=1,$M533&lt;&gt;""),IF(COUNTIFS($M$3:$M533,$M533,$O$3:$O533,$O533,$R$3:$R533,1,$P$3:$P533,"&gt;="&amp;EOMONTH($P533,-1)+1,$P$3:$P533,"&lt;"&amp;EOMONTH($P533,0)+1)=1,1,0),0)</f>
        <v>1</v>
      </c>
      <c r="U533">
        <f t="shared" si="91"/>
        <v>0</v>
      </c>
      <c r="V533">
        <f>IF(AND($U533=1,$M533&lt;&gt;""),IF(COUNTIFS($M$3:$M533,$M533,$O$3:$O533,$O533,$U$3:$U533,1,$P$3:$P533,"&gt;="&amp;EOMONTH($P533,-1)+1,$P$3:$P533,"&lt;"&amp;EOMONTH($P533,0)+1)=1,1,0),0)</f>
        <v>0</v>
      </c>
      <c r="W533" s="444">
        <f ca="1">TODAY()-Table1[[#This Row],[Change Date]]</f>
        <v>373.69583333333139</v>
      </c>
      <c r="X533" s="422" t="str">
        <f t="shared" si="92"/>
        <v/>
      </c>
      <c r="Y533" s="476">
        <f ca="1">IF(Table1[[#This Row],[Next Stage Date]]&lt;&gt;"",Table1[[#This Row],[Next Stage Date]]-Table1[[#This Row],[Change Date]],TODAY()-Table1[[#This Row],[Change Date]])</f>
        <v>373.69583333333139</v>
      </c>
      <c r="Z533" s="476">
        <f t="shared" si="93"/>
        <v>1</v>
      </c>
      <c r="AA533" s="422">
        <f t="shared" si="94"/>
        <v>45884.304166666669</v>
      </c>
      <c r="AB533" s="422">
        <f t="shared" si="95"/>
        <v>45814.256249999999</v>
      </c>
      <c r="AC533" s="476">
        <f t="shared" si="96"/>
        <v>3.2562499999985448</v>
      </c>
      <c r="AD533" s="476">
        <f t="shared" si="97"/>
        <v>70.047916666670062</v>
      </c>
      <c r="AE533" s="476">
        <f t="shared" si="98"/>
        <v>73.304166666668607</v>
      </c>
      <c r="AF533" s="476" t="b">
        <f>IFERROR(_xlfn.XLOOKUP(Table1[[#This Row],[Opportunity ID]],'Aging Detail'!$H$14:$H$20,'Aging Detail'!$F$14:$F$20),TRUE)</f>
        <v>1</v>
      </c>
    </row>
    <row r="534" spans="1:32">
      <c r="A534" t="s">
        <v>1461</v>
      </c>
      <c r="B534" t="s">
        <v>1462</v>
      </c>
      <c r="C534" t="s">
        <v>462</v>
      </c>
      <c r="D534" t="s">
        <v>2831</v>
      </c>
      <c r="E534" t="s">
        <v>2608</v>
      </c>
      <c r="I534" s="422">
        <v>45868</v>
      </c>
      <c r="J534" s="422">
        <v>45945</v>
      </c>
      <c r="K534">
        <v>0</v>
      </c>
      <c r="L534">
        <v>0</v>
      </c>
      <c r="M534" t="s">
        <v>2609</v>
      </c>
      <c r="N534" t="s">
        <v>1642</v>
      </c>
      <c r="O534" t="str">
        <f>_xlfn.IFNA(VLOOKUP(Table1[[#This Row],[Lead Source]],'helper tab'!A:B,2,FALSE),"Exclude")</f>
        <v>Exclude</v>
      </c>
      <c r="P534" s="422">
        <f t="shared" si="88"/>
        <v>45883.563888888886</v>
      </c>
      <c r="Q534">
        <f t="shared" si="89"/>
        <v>1</v>
      </c>
      <c r="R534">
        <f t="shared" si="90"/>
        <v>0</v>
      </c>
      <c r="S534">
        <f>IF(
AND($Q534=1,$M534&lt;&gt;""),
IF(
COUNTIFS(
$M$3:$M534,$M534,
$O$3:$O534,$O534,
$Q$3:$Q534,1,
$P$3:$P534,"&gt;="&amp;EOMONTH($P534,-1)+1,
$P$3:$P534,"&lt;"&amp;EOMONTH($P534,0)+1
)=1,
1,
0),
0)</f>
        <v>1</v>
      </c>
      <c r="T534">
        <f>IF(AND($R534=1,$M534&lt;&gt;""),IF(COUNTIFS($M$3:$M534,$M534,$O$3:$O534,$O534,$R$3:$R534,1,$P$3:$P534,"&gt;="&amp;EOMONTH($P534,-1)+1,$P$3:$P534,"&lt;"&amp;EOMONTH($P534,0)+1)=1,1,0),0)</f>
        <v>0</v>
      </c>
      <c r="U534">
        <f t="shared" si="91"/>
        <v>0</v>
      </c>
      <c r="V534">
        <f>IF(AND($U534=1,$M534&lt;&gt;""),IF(COUNTIFS($M$3:$M534,$M534,$O$3:$O534,$O534,$U$3:$U534,1,$P$3:$P534,"&gt;="&amp;EOMONTH($P534,-1)+1,$P$3:$P534,"&lt;"&amp;EOMONTH($P534,0)+1)=1,1,0),0)</f>
        <v>0</v>
      </c>
      <c r="W534" s="444">
        <f ca="1">TODAY()-Table1[[#This Row],[Change Date]]</f>
        <v>374.43611111111386</v>
      </c>
      <c r="X534" s="422">
        <f t="shared" si="92"/>
        <v>45945.420138888891</v>
      </c>
      <c r="Y534" s="476">
        <f ca="1">IF(Table1[[#This Row],[Next Stage Date]]&lt;&gt;"",Table1[[#This Row],[Next Stage Date]]-Table1[[#This Row],[Change Date]],TODAY()-Table1[[#This Row],[Change Date]])</f>
        <v>61.856250000004366</v>
      </c>
      <c r="Z534" s="476">
        <f t="shared" si="93"/>
        <v>0</v>
      </c>
      <c r="AA534" s="422">
        <f t="shared" si="94"/>
        <v>45945.420138888891</v>
      </c>
      <c r="AB534" s="422">
        <f t="shared" si="95"/>
        <v>45883.563888888886</v>
      </c>
      <c r="AC534" s="476">
        <f t="shared" si="96"/>
        <v>15.56388888888614</v>
      </c>
      <c r="AD534" s="476">
        <f t="shared" si="97"/>
        <v>61.856250000004366</v>
      </c>
      <c r="AE534" s="476">
        <f t="shared" si="98"/>
        <v>77.420138888890506</v>
      </c>
      <c r="AF534" s="476" t="b">
        <f>IFERROR(_xlfn.XLOOKUP(Table1[[#This Row],[Opportunity ID]],'Aging Detail'!$H$14:$H$20,'Aging Detail'!$F$14:$F$20),TRUE)</f>
        <v>1</v>
      </c>
    </row>
    <row r="535" spans="1:32">
      <c r="A535" t="s">
        <v>1461</v>
      </c>
      <c r="B535" t="s">
        <v>408</v>
      </c>
      <c r="C535" t="s">
        <v>462</v>
      </c>
      <c r="D535" t="s">
        <v>2832</v>
      </c>
      <c r="E535" t="s">
        <v>2404</v>
      </c>
      <c r="F535" t="s">
        <v>148</v>
      </c>
      <c r="H535" t="s">
        <v>2287</v>
      </c>
      <c r="I535" s="422">
        <v>45845</v>
      </c>
      <c r="J535" s="422">
        <v>45968</v>
      </c>
      <c r="K535">
        <v>15000</v>
      </c>
      <c r="L535">
        <v>15000</v>
      </c>
      <c r="M535" t="s">
        <v>2405</v>
      </c>
      <c r="N535" t="s">
        <v>2406</v>
      </c>
      <c r="O535" t="str">
        <f>_xlfn.IFNA(VLOOKUP(Table1[[#This Row],[Lead Source]],'helper tab'!A:B,2,FALSE),"Exclude")</f>
        <v>Alliances</v>
      </c>
      <c r="P535" s="422">
        <f t="shared" si="88"/>
        <v>45882.256944444445</v>
      </c>
      <c r="Q535">
        <f t="shared" si="89"/>
        <v>1</v>
      </c>
      <c r="R535">
        <f t="shared" si="90"/>
        <v>0</v>
      </c>
      <c r="S535">
        <f>IF(
AND($Q535=1,$M535&lt;&gt;""),
IF(
COUNTIFS(
$M$3:$M535,$M535,
$O$3:$O535,$O535,
$Q$3:$Q535,1,
$P$3:$P535,"&gt;="&amp;EOMONTH($P535,-1)+1,
$P$3:$P535,"&lt;"&amp;EOMONTH($P535,0)+1
)=1,
1,
0),
0)</f>
        <v>1</v>
      </c>
      <c r="T535">
        <f>IF(AND($R535=1,$M535&lt;&gt;""),IF(COUNTIFS($M$3:$M535,$M535,$O$3:$O535,$O535,$R$3:$R535,1,$P$3:$P535,"&gt;="&amp;EOMONTH($P535,-1)+1,$P$3:$P535,"&lt;"&amp;EOMONTH($P535,0)+1)=1,1,0),0)</f>
        <v>0</v>
      </c>
      <c r="U535">
        <f t="shared" si="91"/>
        <v>0</v>
      </c>
      <c r="V535">
        <f>IF(AND($U535=1,$M535&lt;&gt;""),IF(COUNTIFS($M$3:$M535,$M535,$O$3:$O535,$O535,$U$3:$U535,1,$P$3:$P535,"&gt;="&amp;EOMONTH($P535,-1)+1,$P$3:$P535,"&lt;"&amp;EOMONTH($P535,0)+1)=1,1,0),0)</f>
        <v>0</v>
      </c>
      <c r="W535" s="444">
        <f ca="1">TODAY()-Table1[[#This Row],[Change Date]]</f>
        <v>375.74305555555475</v>
      </c>
      <c r="X535" s="422">
        <f t="shared" si="92"/>
        <v>45940.304861111108</v>
      </c>
      <c r="Y535" s="476">
        <f ca="1">IF(Table1[[#This Row],[Next Stage Date]]&lt;&gt;"",Table1[[#This Row],[Next Stage Date]]-Table1[[#This Row],[Change Date]],TODAY()-Table1[[#This Row],[Change Date]])</f>
        <v>58.047916666662786</v>
      </c>
      <c r="Z535" s="476">
        <f t="shared" si="93"/>
        <v>0</v>
      </c>
      <c r="AA535" s="422">
        <f t="shared" si="94"/>
        <v>46014.330555555556</v>
      </c>
      <c r="AB535" s="422">
        <f t="shared" si="95"/>
        <v>45882.256944444445</v>
      </c>
      <c r="AC535" s="476">
        <f t="shared" si="96"/>
        <v>37.256944444445253</v>
      </c>
      <c r="AD535" s="476">
        <f t="shared" si="97"/>
        <v>132.07361111111095</v>
      </c>
      <c r="AE535" s="476">
        <f t="shared" si="98"/>
        <v>169.3305555555562</v>
      </c>
      <c r="AF535" s="476" t="b">
        <f>IFERROR(_xlfn.XLOOKUP(Table1[[#This Row],[Opportunity ID]],'Aging Detail'!$H$14:$H$20,'Aging Detail'!$F$14:$F$20),TRUE)</f>
        <v>1</v>
      </c>
    </row>
    <row r="536" spans="1:32">
      <c r="A536" t="s">
        <v>1461</v>
      </c>
      <c r="B536" t="s">
        <v>408</v>
      </c>
      <c r="C536" t="s">
        <v>1469</v>
      </c>
      <c r="D536" t="s">
        <v>2832</v>
      </c>
      <c r="E536" t="s">
        <v>2833</v>
      </c>
      <c r="H536" t="s">
        <v>155</v>
      </c>
      <c r="I536" s="422">
        <v>45569</v>
      </c>
      <c r="J536" s="422">
        <v>45898</v>
      </c>
      <c r="K536">
        <v>44000</v>
      </c>
      <c r="L536">
        <v>15000</v>
      </c>
      <c r="M536" t="s">
        <v>2834</v>
      </c>
      <c r="N536" t="s">
        <v>2305</v>
      </c>
      <c r="O536" t="str">
        <f>_xlfn.IFNA(VLOOKUP(Table1[[#This Row],[Lead Source]],'helper tab'!A:B,2,FALSE),"Exclude")</f>
        <v>Exclude</v>
      </c>
      <c r="P536" s="422">
        <f t="shared" si="88"/>
        <v>45882.256944444445</v>
      </c>
      <c r="Q536">
        <f t="shared" si="89"/>
        <v>0</v>
      </c>
      <c r="R536">
        <f t="shared" si="90"/>
        <v>0</v>
      </c>
      <c r="S536">
        <f>IF(
AND($Q536=1,$M536&lt;&gt;""),
IF(
COUNTIFS(
$M$3:$M536,$M536,
$O$3:$O536,$O536,
$Q$3:$Q536,1,
$P$3:$P536,"&gt;="&amp;EOMONTH($P536,-1)+1,
$P$3:$P536,"&lt;"&amp;EOMONTH($P536,0)+1
)=1,
1,
0),
0)</f>
        <v>0</v>
      </c>
      <c r="T536">
        <f>IF(AND($R536=1,$M536&lt;&gt;""),IF(COUNTIFS($M$3:$M536,$M536,$O$3:$O536,$O536,$R$3:$R536,1,$P$3:$P536,"&gt;="&amp;EOMONTH($P536,-1)+1,$P$3:$P536,"&lt;"&amp;EOMONTH($P536,0)+1)=1,1,0),0)</f>
        <v>0</v>
      </c>
      <c r="U536">
        <f t="shared" si="91"/>
        <v>1</v>
      </c>
      <c r="V536">
        <f>IF(AND($U536=1,$M536&lt;&gt;""),IF(COUNTIFS($M$3:$M536,$M536,$O$3:$O536,$O536,$U$3:$U536,1,$P$3:$P536,"&gt;="&amp;EOMONTH($P536,-1)+1,$P$3:$P536,"&lt;"&amp;EOMONTH($P536,0)+1)=1,1,0),0)</f>
        <v>1</v>
      </c>
      <c r="W536" s="444">
        <f ca="1">TODAY()-Table1[[#This Row],[Change Date]]</f>
        <v>375.74305555555475</v>
      </c>
      <c r="X536" s="422" t="str">
        <f t="shared" si="92"/>
        <v/>
      </c>
      <c r="Y536" s="476">
        <f ca="1">IF(Table1[[#This Row],[Next Stage Date]]&lt;&gt;"",Table1[[#This Row],[Next Stage Date]]-Table1[[#This Row],[Change Date]],TODAY()-Table1[[#This Row],[Change Date]])</f>
        <v>375.74305555555475</v>
      </c>
      <c r="Z536" s="476">
        <f t="shared" si="93"/>
        <v>1</v>
      </c>
      <c r="AA536" s="422" t="str">
        <f t="shared" si="94"/>
        <v/>
      </c>
      <c r="AB536" s="422" t="str">
        <f t="shared" si="95"/>
        <v/>
      </c>
      <c r="AC536" s="476" t="str">
        <f t="shared" si="96"/>
        <v/>
      </c>
      <c r="AD536" s="476" t="str">
        <f t="shared" si="97"/>
        <v/>
      </c>
      <c r="AE536" s="476" t="str">
        <f t="shared" si="98"/>
        <v/>
      </c>
      <c r="AF536" s="476" t="b">
        <f>IFERROR(_xlfn.XLOOKUP(Table1[[#This Row],[Opportunity ID]],'Aging Detail'!$H$14:$H$20,'Aging Detail'!$F$14:$F$20),TRUE)</f>
        <v>1</v>
      </c>
    </row>
    <row r="537" spans="1:32">
      <c r="A537" t="s">
        <v>1461</v>
      </c>
      <c r="B537" t="s">
        <v>408</v>
      </c>
      <c r="C537" t="s">
        <v>526</v>
      </c>
      <c r="D537" t="s">
        <v>2835</v>
      </c>
      <c r="E537" t="s">
        <v>2802</v>
      </c>
      <c r="I537" s="422">
        <v>45797</v>
      </c>
      <c r="J537" s="422">
        <v>45898</v>
      </c>
      <c r="K537">
        <v>22000</v>
      </c>
      <c r="L537">
        <v>0</v>
      </c>
      <c r="M537" t="s">
        <v>2803</v>
      </c>
      <c r="N537" t="s">
        <v>2804</v>
      </c>
      <c r="O537" t="str">
        <f>_xlfn.IFNA(VLOOKUP(Table1[[#This Row],[Lead Source]],'helper tab'!A:B,2,FALSE),"Exclude")</f>
        <v>Exclude</v>
      </c>
      <c r="P537" s="422">
        <f t="shared" si="88"/>
        <v>45881.5</v>
      </c>
      <c r="Q537">
        <f t="shared" si="89"/>
        <v>1</v>
      </c>
      <c r="R537">
        <f t="shared" si="90"/>
        <v>0</v>
      </c>
      <c r="S537">
        <f>IF(
AND($Q537=1,$M537&lt;&gt;""),
IF(
COUNTIFS(
$M$3:$M537,$M537,
$O$3:$O537,$O537,
$Q$3:$Q537,1,
$P$3:$P537,"&gt;="&amp;EOMONTH($P537,-1)+1,
$P$3:$P537,"&lt;"&amp;EOMONTH($P537,0)+1
)=1,
1,
0),
0)</f>
        <v>1</v>
      </c>
      <c r="T537">
        <f>IF(AND($R537=1,$M537&lt;&gt;""),IF(COUNTIFS($M$3:$M537,$M537,$O$3:$O537,$O537,$R$3:$R537,1,$P$3:$P537,"&gt;="&amp;EOMONTH($P537,-1)+1,$P$3:$P537,"&lt;"&amp;EOMONTH($P537,0)+1)=1,1,0),0)</f>
        <v>0</v>
      </c>
      <c r="U537">
        <f t="shared" si="91"/>
        <v>0</v>
      </c>
      <c r="V537">
        <f>IF(AND($U537=1,$M537&lt;&gt;""),IF(COUNTIFS($M$3:$M537,$M537,$O$3:$O537,$O537,$U$3:$U537,1,$P$3:$P537,"&gt;="&amp;EOMONTH($P537,-1)+1,$P$3:$P537,"&lt;"&amp;EOMONTH($P537,0)+1)=1,1,0),0)</f>
        <v>0</v>
      </c>
      <c r="W537" s="444">
        <f ca="1">TODAY()-Table1[[#This Row],[Change Date]]</f>
        <v>376.5</v>
      </c>
      <c r="X537" s="422">
        <f t="shared" si="92"/>
        <v>45898.459722222222</v>
      </c>
      <c r="Y537" s="476">
        <f ca="1">IF(Table1[[#This Row],[Next Stage Date]]&lt;&gt;"",Table1[[#This Row],[Next Stage Date]]-Table1[[#This Row],[Change Date]],TODAY()-Table1[[#This Row],[Change Date]])</f>
        <v>16.959722222221899</v>
      </c>
      <c r="Z537" s="476">
        <f t="shared" si="93"/>
        <v>0</v>
      </c>
      <c r="AA537" s="422">
        <f t="shared" si="94"/>
        <v>45898.459722222222</v>
      </c>
      <c r="AB537" s="422">
        <f t="shared" si="95"/>
        <v>45881.5</v>
      </c>
      <c r="AC537" s="476">
        <f t="shared" si="96"/>
        <v>84.5</v>
      </c>
      <c r="AD537" s="476">
        <f t="shared" si="97"/>
        <v>16.959722222221899</v>
      </c>
      <c r="AE537" s="476">
        <f t="shared" si="98"/>
        <v>101.4597222222219</v>
      </c>
      <c r="AF537" s="476" t="b">
        <f>IFERROR(_xlfn.XLOOKUP(Table1[[#This Row],[Opportunity ID]],'Aging Detail'!$H$14:$H$20,'Aging Detail'!$F$14:$F$20),TRUE)</f>
        <v>1</v>
      </c>
    </row>
    <row r="538" spans="1:32">
      <c r="A538" t="s">
        <v>1461</v>
      </c>
      <c r="B538" t="s">
        <v>338</v>
      </c>
      <c r="C538" t="s">
        <v>462</v>
      </c>
      <c r="D538" t="s">
        <v>2836</v>
      </c>
      <c r="E538" t="s">
        <v>2539</v>
      </c>
      <c r="F538" t="s">
        <v>1465</v>
      </c>
      <c r="I538" s="422">
        <v>45867</v>
      </c>
      <c r="J538" s="422">
        <v>45961</v>
      </c>
      <c r="K538">
        <v>25000</v>
      </c>
      <c r="L538">
        <v>0</v>
      </c>
      <c r="M538" t="s">
        <v>2540</v>
      </c>
      <c r="N538" t="s">
        <v>1891</v>
      </c>
      <c r="O538" t="str">
        <f>_xlfn.IFNA(VLOOKUP(Table1[[#This Row],[Lead Source]],'helper tab'!A:B,2,FALSE),"Exclude")</f>
        <v>Exclude</v>
      </c>
      <c r="P538" s="422">
        <f t="shared" si="88"/>
        <v>45881.498611111114</v>
      </c>
      <c r="Q538">
        <f t="shared" si="89"/>
        <v>1</v>
      </c>
      <c r="R538">
        <f t="shared" si="90"/>
        <v>0</v>
      </c>
      <c r="S538">
        <f>IF(
AND($Q538=1,$M538&lt;&gt;""),
IF(
COUNTIFS(
$M$3:$M538,$M538,
$O$3:$O538,$O538,
$Q$3:$Q538,1,
$P$3:$P538,"&gt;="&amp;EOMONTH($P538,-1)+1,
$P$3:$P538,"&lt;"&amp;EOMONTH($P538,0)+1
)=1,
1,
0),
0)</f>
        <v>1</v>
      </c>
      <c r="T538">
        <f>IF(AND($R538=1,$M538&lt;&gt;""),IF(COUNTIFS($M$3:$M538,$M538,$O$3:$O538,$O538,$R$3:$R538,1,$P$3:$P538,"&gt;="&amp;EOMONTH($P538,-1)+1,$P$3:$P538,"&lt;"&amp;EOMONTH($P538,0)+1)=1,1,0),0)</f>
        <v>0</v>
      </c>
      <c r="U538">
        <f t="shared" si="91"/>
        <v>0</v>
      </c>
      <c r="V538">
        <f>IF(AND($U538=1,$M538&lt;&gt;""),IF(COUNTIFS($M$3:$M538,$M538,$O$3:$O538,$O538,$U$3:$U538,1,$P$3:$P538,"&gt;="&amp;EOMONTH($P538,-1)+1,$P$3:$P538,"&lt;"&amp;EOMONTH($P538,0)+1)=1,1,0),0)</f>
        <v>0</v>
      </c>
      <c r="W538" s="444">
        <f ca="1">TODAY()-Table1[[#This Row],[Change Date]]</f>
        <v>376.50138888888614</v>
      </c>
      <c r="X538" s="422">
        <f t="shared" si="92"/>
        <v>45945.453472222223</v>
      </c>
      <c r="Y538" s="476">
        <f ca="1">IF(Table1[[#This Row],[Next Stage Date]]&lt;&gt;"",Table1[[#This Row],[Next Stage Date]]-Table1[[#This Row],[Change Date]],TODAY()-Table1[[#This Row],[Change Date]])</f>
        <v>63.954861111109494</v>
      </c>
      <c r="Z538" s="476">
        <f t="shared" si="93"/>
        <v>0</v>
      </c>
      <c r="AA538" s="422">
        <f t="shared" si="94"/>
        <v>45961.457638888889</v>
      </c>
      <c r="AB538" s="422">
        <f t="shared" si="95"/>
        <v>45881.498611111114</v>
      </c>
      <c r="AC538" s="476">
        <f t="shared" si="96"/>
        <v>14.49861111111386</v>
      </c>
      <c r="AD538" s="476">
        <f t="shared" si="97"/>
        <v>79.959027777775191</v>
      </c>
      <c r="AE538" s="476">
        <f t="shared" si="98"/>
        <v>94.457638888889051</v>
      </c>
      <c r="AF538" s="476" t="b">
        <f>IFERROR(_xlfn.XLOOKUP(Table1[[#This Row],[Opportunity ID]],'Aging Detail'!$H$14:$H$20,'Aging Detail'!$F$14:$F$20),TRUE)</f>
        <v>1</v>
      </c>
    </row>
    <row r="539" spans="1:32">
      <c r="A539" t="s">
        <v>1461</v>
      </c>
      <c r="B539" t="s">
        <v>338</v>
      </c>
      <c r="C539" t="s">
        <v>462</v>
      </c>
      <c r="D539" t="s">
        <v>2837</v>
      </c>
      <c r="E539" t="s">
        <v>2759</v>
      </c>
      <c r="I539" s="422">
        <v>45860</v>
      </c>
      <c r="J539" s="422">
        <v>45909</v>
      </c>
      <c r="K539">
        <v>4050</v>
      </c>
      <c r="L539">
        <v>0</v>
      </c>
      <c r="M539" t="s">
        <v>2760</v>
      </c>
      <c r="N539" t="s">
        <v>1908</v>
      </c>
      <c r="O539" t="str">
        <f>_xlfn.IFNA(VLOOKUP(Table1[[#This Row],[Lead Source]],'helper tab'!A:B,2,FALSE),"Exclude")</f>
        <v>Exclude</v>
      </c>
      <c r="P539" s="422">
        <f t="shared" si="88"/>
        <v>45881.472916666666</v>
      </c>
      <c r="Q539">
        <f t="shared" si="89"/>
        <v>1</v>
      </c>
      <c r="R539">
        <f t="shared" si="90"/>
        <v>0</v>
      </c>
      <c r="S539">
        <f>IF(
AND($Q539=1,$M539&lt;&gt;""),
IF(
COUNTIFS(
$M$3:$M539,$M539,
$O$3:$O539,$O539,
$Q$3:$Q539,1,
$P$3:$P539,"&gt;="&amp;EOMONTH($P539,-1)+1,
$P$3:$P539,"&lt;"&amp;EOMONTH($P539,0)+1
)=1,
1,
0),
0)</f>
        <v>1</v>
      </c>
      <c r="T539">
        <f>IF(AND($R539=1,$M539&lt;&gt;""),IF(COUNTIFS($M$3:$M539,$M539,$O$3:$O539,$O539,$R$3:$R539,1,$P$3:$P539,"&gt;="&amp;EOMONTH($P539,-1)+1,$P$3:$P539,"&lt;"&amp;EOMONTH($P539,0)+1)=1,1,0),0)</f>
        <v>0</v>
      </c>
      <c r="U539">
        <f t="shared" si="91"/>
        <v>0</v>
      </c>
      <c r="V539">
        <f>IF(AND($U539=1,$M539&lt;&gt;""),IF(COUNTIFS($M$3:$M539,$M539,$O$3:$O539,$O539,$U$3:$U539,1,$P$3:$P539,"&gt;="&amp;EOMONTH($P539,-1)+1,$P$3:$P539,"&lt;"&amp;EOMONTH($P539,0)+1)=1,1,0),0)</f>
        <v>0</v>
      </c>
      <c r="W539" s="444">
        <f ca="1">TODAY()-Table1[[#This Row],[Change Date]]</f>
        <v>376.5270833333343</v>
      </c>
      <c r="X539" s="422">
        <f t="shared" si="92"/>
        <v>45909.32916666667</v>
      </c>
      <c r="Y539" s="476">
        <f ca="1">IF(Table1[[#This Row],[Next Stage Date]]&lt;&gt;"",Table1[[#This Row],[Next Stage Date]]-Table1[[#This Row],[Change Date]],TODAY()-Table1[[#This Row],[Change Date]])</f>
        <v>27.856250000004366</v>
      </c>
      <c r="Z539" s="476">
        <f t="shared" si="93"/>
        <v>0</v>
      </c>
      <c r="AA539" s="422">
        <f t="shared" si="94"/>
        <v>45909.32916666667</v>
      </c>
      <c r="AB539" s="422">
        <f t="shared" si="95"/>
        <v>45881.472916666666</v>
      </c>
      <c r="AC539" s="476">
        <f t="shared" si="96"/>
        <v>21.472916666665697</v>
      </c>
      <c r="AD539" s="476">
        <f t="shared" si="97"/>
        <v>27.856250000004366</v>
      </c>
      <c r="AE539" s="476">
        <f t="shared" si="98"/>
        <v>49.329166666670062</v>
      </c>
      <c r="AF539" s="476" t="b">
        <f>IFERROR(_xlfn.XLOOKUP(Table1[[#This Row],[Opportunity ID]],'Aging Detail'!$H$14:$H$20,'Aging Detail'!$F$14:$F$20),TRUE)</f>
        <v>1</v>
      </c>
    </row>
    <row r="540" spans="1:32">
      <c r="A540" t="s">
        <v>1461</v>
      </c>
      <c r="B540" t="s">
        <v>408</v>
      </c>
      <c r="C540" t="s">
        <v>526</v>
      </c>
      <c r="D540" t="s">
        <v>2838</v>
      </c>
      <c r="E540" t="s">
        <v>2736</v>
      </c>
      <c r="I540" s="422">
        <v>45573</v>
      </c>
      <c r="J540" s="422">
        <v>45912</v>
      </c>
      <c r="K540">
        <v>0</v>
      </c>
      <c r="L540">
        <v>0</v>
      </c>
      <c r="M540" t="s">
        <v>2737</v>
      </c>
      <c r="N540" t="s">
        <v>1748</v>
      </c>
      <c r="O540" t="str">
        <f>_xlfn.IFNA(VLOOKUP(Table1[[#This Row],[Lead Source]],'helper tab'!A:B,2,FALSE),"Exclude")</f>
        <v>Exclude</v>
      </c>
      <c r="P540" s="422">
        <f t="shared" si="88"/>
        <v>45881.381944444445</v>
      </c>
      <c r="Q540">
        <f t="shared" si="89"/>
        <v>1</v>
      </c>
      <c r="R540">
        <f t="shared" si="90"/>
        <v>0</v>
      </c>
      <c r="S540">
        <f>IF(
AND($Q540=1,$M540&lt;&gt;""),
IF(
COUNTIFS(
$M$3:$M540,$M540,
$O$3:$O540,$O540,
$Q$3:$Q540,1,
$P$3:$P540,"&gt;="&amp;EOMONTH($P540,-1)+1,
$P$3:$P540,"&lt;"&amp;EOMONTH($P540,0)+1
)=1,
1,
0),
0)</f>
        <v>1</v>
      </c>
      <c r="T540">
        <f>IF(AND($R540=1,$M540&lt;&gt;""),IF(COUNTIFS($M$3:$M540,$M540,$O$3:$O540,$O540,$R$3:$R540,1,$P$3:$P540,"&gt;="&amp;EOMONTH($P540,-1)+1,$P$3:$P540,"&lt;"&amp;EOMONTH($P540,0)+1)=1,1,0),0)</f>
        <v>0</v>
      </c>
      <c r="U540">
        <f t="shared" si="91"/>
        <v>0</v>
      </c>
      <c r="V540">
        <f>IF(AND($U540=1,$M540&lt;&gt;""),IF(COUNTIFS($M$3:$M540,$M540,$O$3:$O540,$O540,$U$3:$U540,1,$P$3:$P540,"&gt;="&amp;EOMONTH($P540,-1)+1,$P$3:$P540,"&lt;"&amp;EOMONTH($P540,0)+1)=1,1,0),0)</f>
        <v>0</v>
      </c>
      <c r="W540" s="444">
        <f ca="1">TODAY()-Table1[[#This Row],[Change Date]]</f>
        <v>376.61805555555475</v>
      </c>
      <c r="X540" s="422">
        <f t="shared" si="92"/>
        <v>45912.362500000003</v>
      </c>
      <c r="Y540" s="476">
        <f ca="1">IF(Table1[[#This Row],[Next Stage Date]]&lt;&gt;"",Table1[[#This Row],[Next Stage Date]]-Table1[[#This Row],[Change Date]],TODAY()-Table1[[#This Row],[Change Date]])</f>
        <v>30.980555555557657</v>
      </c>
      <c r="Z540" s="476">
        <f t="shared" si="93"/>
        <v>0</v>
      </c>
      <c r="AA540" s="422">
        <f t="shared" si="94"/>
        <v>45912.362500000003</v>
      </c>
      <c r="AB540" s="422">
        <f t="shared" si="95"/>
        <v>45881.381944444445</v>
      </c>
      <c r="AC540" s="476">
        <f t="shared" si="96"/>
        <v>308.38194444444525</v>
      </c>
      <c r="AD540" s="476">
        <f t="shared" si="97"/>
        <v>30.980555555557657</v>
      </c>
      <c r="AE540" s="476">
        <f t="shared" si="98"/>
        <v>339.36250000000291</v>
      </c>
      <c r="AF540" s="476" t="b">
        <f>IFERROR(_xlfn.XLOOKUP(Table1[[#This Row],[Opportunity ID]],'Aging Detail'!$H$14:$H$20,'Aging Detail'!$F$14:$F$20),TRUE)</f>
        <v>1</v>
      </c>
    </row>
    <row r="541" spans="1:32">
      <c r="A541" t="s">
        <v>1461</v>
      </c>
      <c r="B541" t="s">
        <v>1462</v>
      </c>
      <c r="C541" t="s">
        <v>462</v>
      </c>
      <c r="D541" t="s">
        <v>2839</v>
      </c>
      <c r="E541" t="s">
        <v>2348</v>
      </c>
      <c r="F541" t="s">
        <v>1484</v>
      </c>
      <c r="I541" s="422">
        <v>45874</v>
      </c>
      <c r="J541" s="422">
        <v>45898</v>
      </c>
      <c r="K541">
        <v>57150</v>
      </c>
      <c r="L541">
        <v>0</v>
      </c>
      <c r="M541" t="s">
        <v>2349</v>
      </c>
      <c r="N541" t="s">
        <v>1708</v>
      </c>
      <c r="O541" t="str">
        <f>_xlfn.IFNA(VLOOKUP(Table1[[#This Row],[Lead Source]],'helper tab'!A:B,2,FALSE),"Exclude")</f>
        <v>Exclude</v>
      </c>
      <c r="P541" s="422">
        <f t="shared" si="88"/>
        <v>45877.461111111108</v>
      </c>
      <c r="Q541">
        <f t="shared" si="89"/>
        <v>1</v>
      </c>
      <c r="R541">
        <f t="shared" si="90"/>
        <v>0</v>
      </c>
      <c r="S541">
        <f>IF(
AND($Q541=1,$M541&lt;&gt;""),
IF(
COUNTIFS(
$M$3:$M541,$M541,
$O$3:$O541,$O541,
$Q$3:$Q541,1,
$P$3:$P541,"&gt;="&amp;EOMONTH($P541,-1)+1,
$P$3:$P541,"&lt;"&amp;EOMONTH($P541,0)+1
)=1,
1,
0),
0)</f>
        <v>1</v>
      </c>
      <c r="T541">
        <f>IF(AND($R541=1,$M541&lt;&gt;""),IF(COUNTIFS($M$3:$M541,$M541,$O$3:$O541,$O541,$R$3:$R541,1,$P$3:$P541,"&gt;="&amp;EOMONTH($P541,-1)+1,$P$3:$P541,"&lt;"&amp;EOMONTH($P541,0)+1)=1,1,0),0)</f>
        <v>0</v>
      </c>
      <c r="U541">
        <f t="shared" si="91"/>
        <v>0</v>
      </c>
      <c r="V541">
        <f>IF(AND($U541=1,$M541&lt;&gt;""),IF(COUNTIFS($M$3:$M541,$M541,$O$3:$O541,$O541,$U$3:$U541,1,$P$3:$P541,"&gt;="&amp;EOMONTH($P541,-1)+1,$P$3:$P541,"&lt;"&amp;EOMONTH($P541,0)+1)=1,1,0),0)</f>
        <v>0</v>
      </c>
      <c r="W541" s="444">
        <f ca="1">TODAY()-Table1[[#This Row],[Change Date]]</f>
        <v>380.53888888889196</v>
      </c>
      <c r="X541" s="422">
        <f t="shared" si="92"/>
        <v>46031.352083333331</v>
      </c>
      <c r="Y541" s="476">
        <f ca="1">IF(Table1[[#This Row],[Next Stage Date]]&lt;&gt;"",Table1[[#This Row],[Next Stage Date]]-Table1[[#This Row],[Change Date]],TODAY()-Table1[[#This Row],[Change Date]])</f>
        <v>153.89097222222335</v>
      </c>
      <c r="Z541" s="476">
        <f t="shared" si="93"/>
        <v>0</v>
      </c>
      <c r="AA541" s="422" t="str">
        <f t="shared" si="94"/>
        <v/>
      </c>
      <c r="AB541" s="422">
        <f t="shared" si="95"/>
        <v>45877.461111111108</v>
      </c>
      <c r="AC541" s="476">
        <f t="shared" si="96"/>
        <v>3.461111111108039</v>
      </c>
      <c r="AD541" s="476" t="str">
        <f t="shared" si="97"/>
        <v/>
      </c>
      <c r="AE541" s="476" t="str">
        <f t="shared" si="98"/>
        <v/>
      </c>
      <c r="AF541" s="476" t="b">
        <f>IFERROR(_xlfn.XLOOKUP(Table1[[#This Row],[Opportunity ID]],'Aging Detail'!$H$14:$H$20,'Aging Detail'!$F$14:$F$20),TRUE)</f>
        <v>1</v>
      </c>
    </row>
    <row r="542" spans="1:32">
      <c r="A542" t="s">
        <v>1461</v>
      </c>
      <c r="B542" t="s">
        <v>462</v>
      </c>
      <c r="C542" t="s">
        <v>563</v>
      </c>
      <c r="D542" t="s">
        <v>2840</v>
      </c>
      <c r="E542" t="s">
        <v>2841</v>
      </c>
      <c r="I542" s="422">
        <v>45852</v>
      </c>
      <c r="J542" s="422">
        <v>45877</v>
      </c>
      <c r="L542">
        <v>0</v>
      </c>
      <c r="M542" t="s">
        <v>2842</v>
      </c>
      <c r="N542" t="s">
        <v>2239</v>
      </c>
      <c r="O542" t="str">
        <f>_xlfn.IFNA(VLOOKUP(Table1[[#This Row],[Lead Source]],'helper tab'!A:B,2,FALSE),"Exclude")</f>
        <v>Exclude</v>
      </c>
      <c r="P542" s="422">
        <f t="shared" si="88"/>
        <v>45877.444444444445</v>
      </c>
      <c r="Q542">
        <f t="shared" si="89"/>
        <v>0</v>
      </c>
      <c r="R542">
        <f t="shared" si="90"/>
        <v>1</v>
      </c>
      <c r="S542">
        <f>IF(
AND($Q542=1,$M542&lt;&gt;""),
IF(
COUNTIFS(
$M$3:$M542,$M542,
$O$3:$O542,$O542,
$Q$3:$Q542,1,
$P$3:$P542,"&gt;="&amp;EOMONTH($P542,-1)+1,
$P$3:$P542,"&lt;"&amp;EOMONTH($P542,0)+1
)=1,
1,
0),
0)</f>
        <v>0</v>
      </c>
      <c r="T542">
        <f>IF(AND($R542=1,$M542&lt;&gt;""),IF(COUNTIFS($M$3:$M542,$M542,$O$3:$O542,$O542,$R$3:$R542,1,$P$3:$P542,"&gt;="&amp;EOMONTH($P542,-1)+1,$P$3:$P542,"&lt;"&amp;EOMONTH($P542,0)+1)=1,1,0),0)</f>
        <v>1</v>
      </c>
      <c r="U542">
        <f t="shared" si="91"/>
        <v>0</v>
      </c>
      <c r="V542">
        <f>IF(AND($U542=1,$M542&lt;&gt;""),IF(COUNTIFS($M$3:$M542,$M542,$O$3:$O542,$O542,$U$3:$U542,1,$P$3:$P542,"&gt;="&amp;EOMONTH($P542,-1)+1,$P$3:$P542,"&lt;"&amp;EOMONTH($P542,0)+1)=1,1,0),0)</f>
        <v>0</v>
      </c>
      <c r="W542" s="444">
        <f ca="1">TODAY()-Table1[[#This Row],[Change Date]]</f>
        <v>380.55555555555475</v>
      </c>
      <c r="X542" s="422" t="str">
        <f t="shared" si="92"/>
        <v/>
      </c>
      <c r="Y542" s="476">
        <f ca="1">IF(Table1[[#This Row],[Next Stage Date]]&lt;&gt;"",Table1[[#This Row],[Next Stage Date]]-Table1[[#This Row],[Change Date]],TODAY()-Table1[[#This Row],[Change Date]])</f>
        <v>380.55555555555475</v>
      </c>
      <c r="Z542" s="476">
        <f t="shared" si="93"/>
        <v>1</v>
      </c>
      <c r="AA542" s="422">
        <f t="shared" si="94"/>
        <v>45877.444444444445</v>
      </c>
      <c r="AB542" s="422">
        <f t="shared" si="95"/>
        <v>45877.397222222222</v>
      </c>
      <c r="AC542" s="476">
        <f t="shared" si="96"/>
        <v>25.397222222221899</v>
      </c>
      <c r="AD542" s="476">
        <f t="shared" si="97"/>
        <v>4.7222222223354038E-2</v>
      </c>
      <c r="AE542" s="476">
        <f t="shared" si="98"/>
        <v>25.444444444445253</v>
      </c>
      <c r="AF542" s="476" t="b">
        <f>IFERROR(_xlfn.XLOOKUP(Table1[[#This Row],[Opportunity ID]],'Aging Detail'!$H$14:$H$20,'Aging Detail'!$F$14:$F$20),TRUE)</f>
        <v>1</v>
      </c>
    </row>
    <row r="543" spans="1:32">
      <c r="A543" t="s">
        <v>1461</v>
      </c>
      <c r="B543" t="s">
        <v>338</v>
      </c>
      <c r="C543" t="s">
        <v>462</v>
      </c>
      <c r="D543" t="s">
        <v>2843</v>
      </c>
      <c r="E543" t="s">
        <v>2841</v>
      </c>
      <c r="I543" s="422">
        <v>45852</v>
      </c>
      <c r="J543" s="422">
        <v>45877</v>
      </c>
      <c r="L543">
        <v>0</v>
      </c>
      <c r="M543" t="s">
        <v>2842</v>
      </c>
      <c r="N543" t="s">
        <v>2239</v>
      </c>
      <c r="O543" t="str">
        <f>_xlfn.IFNA(VLOOKUP(Table1[[#This Row],[Lead Source]],'helper tab'!A:B,2,FALSE),"Exclude")</f>
        <v>Exclude</v>
      </c>
      <c r="P543" s="422">
        <f t="shared" si="88"/>
        <v>45877.397222222222</v>
      </c>
      <c r="Q543">
        <f t="shared" si="89"/>
        <v>1</v>
      </c>
      <c r="R543">
        <f t="shared" si="90"/>
        <v>0</v>
      </c>
      <c r="S543">
        <f>IF(
AND($Q543=1,$M543&lt;&gt;""),
IF(
COUNTIFS(
$M$3:$M543,$M543,
$O$3:$O543,$O543,
$Q$3:$Q543,1,
$P$3:$P543,"&gt;="&amp;EOMONTH($P543,-1)+1,
$P$3:$P543,"&lt;"&amp;EOMONTH($P543,0)+1
)=1,
1,
0),
0)</f>
        <v>1</v>
      </c>
      <c r="T543">
        <f>IF(AND($R543=1,$M543&lt;&gt;""),IF(COUNTIFS($M$3:$M543,$M543,$O$3:$O543,$O543,$R$3:$R543,1,$P$3:$P543,"&gt;="&amp;EOMONTH($P543,-1)+1,$P$3:$P543,"&lt;"&amp;EOMONTH($P543,0)+1)=1,1,0),0)</f>
        <v>0</v>
      </c>
      <c r="U543">
        <f t="shared" si="91"/>
        <v>0</v>
      </c>
      <c r="V543">
        <f>IF(AND($U543=1,$M543&lt;&gt;""),IF(COUNTIFS($M$3:$M543,$M543,$O$3:$O543,$O543,$U$3:$U543,1,$P$3:$P543,"&gt;="&amp;EOMONTH($P543,-1)+1,$P$3:$P543,"&lt;"&amp;EOMONTH($P543,0)+1)=1,1,0),0)</f>
        <v>0</v>
      </c>
      <c r="W543" s="444">
        <f ca="1">TODAY()-Table1[[#This Row],[Change Date]]</f>
        <v>380.6027777777781</v>
      </c>
      <c r="X543" s="422">
        <f t="shared" si="92"/>
        <v>45877.444444444445</v>
      </c>
      <c r="Y543" s="476">
        <f ca="1">IF(Table1[[#This Row],[Next Stage Date]]&lt;&gt;"",Table1[[#This Row],[Next Stage Date]]-Table1[[#This Row],[Change Date]],TODAY()-Table1[[#This Row],[Change Date]])</f>
        <v>4.7222222223354038E-2</v>
      </c>
      <c r="Z543" s="476">
        <f t="shared" si="93"/>
        <v>0</v>
      </c>
      <c r="AA543" s="422">
        <f t="shared" si="94"/>
        <v>45877.444444444445</v>
      </c>
      <c r="AB543" s="422">
        <f t="shared" si="95"/>
        <v>45877.397222222222</v>
      </c>
      <c r="AC543" s="476">
        <f t="shared" si="96"/>
        <v>25.397222222221899</v>
      </c>
      <c r="AD543" s="476">
        <f t="shared" si="97"/>
        <v>4.7222222223354038E-2</v>
      </c>
      <c r="AE543" s="476">
        <f t="shared" si="98"/>
        <v>25.444444444445253</v>
      </c>
      <c r="AF543" s="476" t="b">
        <f>IFERROR(_xlfn.XLOOKUP(Table1[[#This Row],[Opportunity ID]],'Aging Detail'!$H$14:$H$20,'Aging Detail'!$F$14:$F$20),TRUE)</f>
        <v>1</v>
      </c>
    </row>
    <row r="544" spans="1:32">
      <c r="A544" t="s">
        <v>1461</v>
      </c>
      <c r="B544" t="s">
        <v>408</v>
      </c>
      <c r="C544" t="s">
        <v>1462</v>
      </c>
      <c r="D544" t="s">
        <v>2844</v>
      </c>
      <c r="E544" t="s">
        <v>2608</v>
      </c>
      <c r="I544" s="422">
        <v>45868</v>
      </c>
      <c r="J544" s="422">
        <v>45945</v>
      </c>
      <c r="K544">
        <v>0</v>
      </c>
      <c r="L544">
        <v>0</v>
      </c>
      <c r="M544" t="s">
        <v>2609</v>
      </c>
      <c r="N544" t="s">
        <v>1642</v>
      </c>
      <c r="O544" t="str">
        <f>_xlfn.IFNA(VLOOKUP(Table1[[#This Row],[Lead Source]],'helper tab'!A:B,2,FALSE),"Exclude")</f>
        <v>Exclude</v>
      </c>
      <c r="P544" s="422">
        <f t="shared" si="88"/>
        <v>45876.53125</v>
      </c>
      <c r="Q544">
        <f t="shared" si="89"/>
        <v>0</v>
      </c>
      <c r="R544">
        <f t="shared" si="90"/>
        <v>0</v>
      </c>
      <c r="S544">
        <f>IF(
AND($Q544=1,$M544&lt;&gt;""),
IF(
COUNTIFS(
$M$3:$M544,$M544,
$O$3:$O544,$O544,
$Q$3:$Q544,1,
$P$3:$P544,"&gt;="&amp;EOMONTH($P544,-1)+1,
$P$3:$P544,"&lt;"&amp;EOMONTH($P544,0)+1
)=1,
1,
0),
0)</f>
        <v>0</v>
      </c>
      <c r="T544">
        <f>IF(AND($R544=1,$M544&lt;&gt;""),IF(COUNTIFS($M$3:$M544,$M544,$O$3:$O544,$O544,$R$3:$R544,1,$P$3:$P544,"&gt;="&amp;EOMONTH($P544,-1)+1,$P$3:$P544,"&lt;"&amp;EOMONTH($P544,0)+1)=1,1,0),0)</f>
        <v>0</v>
      </c>
      <c r="U544">
        <f t="shared" si="91"/>
        <v>0</v>
      </c>
      <c r="V544">
        <f>IF(AND($U544=1,$M544&lt;&gt;""),IF(COUNTIFS($M$3:$M544,$M544,$O$3:$O544,$O544,$U$3:$U544,1,$P$3:$P544,"&gt;="&amp;EOMONTH($P544,-1)+1,$P$3:$P544,"&lt;"&amp;EOMONTH($P544,0)+1)=1,1,0),0)</f>
        <v>0</v>
      </c>
      <c r="W544" s="444">
        <f ca="1">TODAY()-Table1[[#This Row],[Change Date]]</f>
        <v>381.46875</v>
      </c>
      <c r="X544" s="422">
        <f t="shared" si="92"/>
        <v>45883.563888888886</v>
      </c>
      <c r="Y544" s="476">
        <f ca="1">IF(Table1[[#This Row],[Next Stage Date]]&lt;&gt;"",Table1[[#This Row],[Next Stage Date]]-Table1[[#This Row],[Change Date]],TODAY()-Table1[[#This Row],[Change Date]])</f>
        <v>7.0326388888861402</v>
      </c>
      <c r="Z544" s="476">
        <f t="shared" si="93"/>
        <v>0</v>
      </c>
      <c r="AA544" s="422">
        <f t="shared" si="94"/>
        <v>45945.420138888891</v>
      </c>
      <c r="AB544" s="422">
        <f t="shared" si="95"/>
        <v>45883.563888888886</v>
      </c>
      <c r="AC544" s="476">
        <f t="shared" si="96"/>
        <v>15.56388888888614</v>
      </c>
      <c r="AD544" s="476">
        <f t="shared" si="97"/>
        <v>61.856250000004366</v>
      </c>
      <c r="AE544" s="476">
        <f t="shared" si="98"/>
        <v>77.420138888890506</v>
      </c>
      <c r="AF544" s="476" t="b">
        <f>IFERROR(_xlfn.XLOOKUP(Table1[[#This Row],[Opportunity ID]],'Aging Detail'!$H$14:$H$20,'Aging Detail'!$F$14:$F$20),TRUE)</f>
        <v>1</v>
      </c>
    </row>
    <row r="545" spans="1:32">
      <c r="A545" t="s">
        <v>1461</v>
      </c>
      <c r="B545" t="s">
        <v>462</v>
      </c>
      <c r="C545" t="s">
        <v>1469</v>
      </c>
      <c r="D545" t="s">
        <v>2845</v>
      </c>
      <c r="E545" t="s">
        <v>2846</v>
      </c>
      <c r="I545" s="422">
        <v>45735</v>
      </c>
      <c r="J545" s="422">
        <v>45930</v>
      </c>
      <c r="K545">
        <v>0</v>
      </c>
      <c r="L545">
        <v>0</v>
      </c>
      <c r="M545" t="s">
        <v>2847</v>
      </c>
      <c r="N545" t="s">
        <v>1684</v>
      </c>
      <c r="O545" t="str">
        <f>_xlfn.IFNA(VLOOKUP(Table1[[#This Row],[Lead Source]],'helper tab'!A:B,2,FALSE),"Exclude")</f>
        <v>Exclude</v>
      </c>
      <c r="P545" s="422">
        <f t="shared" si="88"/>
        <v>45876.361111111109</v>
      </c>
      <c r="Q545">
        <f t="shared" si="89"/>
        <v>0</v>
      </c>
      <c r="R545">
        <f t="shared" si="90"/>
        <v>0</v>
      </c>
      <c r="S545">
        <f>IF(
AND($Q545=1,$M545&lt;&gt;""),
IF(
COUNTIFS(
$M$3:$M545,$M545,
$O$3:$O545,$O545,
$Q$3:$Q545,1,
$P$3:$P545,"&gt;="&amp;EOMONTH($P545,-1)+1,
$P$3:$P545,"&lt;"&amp;EOMONTH($P545,0)+1
)=1,
1,
0),
0)</f>
        <v>0</v>
      </c>
      <c r="T545">
        <f>IF(AND($R545=1,$M545&lt;&gt;""),IF(COUNTIFS($M$3:$M545,$M545,$O$3:$O545,$O545,$R$3:$R545,1,$P$3:$P545,"&gt;="&amp;EOMONTH($P545,-1)+1,$P$3:$P545,"&lt;"&amp;EOMONTH($P545,0)+1)=1,1,0),0)</f>
        <v>0</v>
      </c>
      <c r="U545">
        <f t="shared" si="91"/>
        <v>1</v>
      </c>
      <c r="V545">
        <f>IF(AND($U545=1,$M545&lt;&gt;""),IF(COUNTIFS($M$3:$M545,$M545,$O$3:$O545,$O545,$U$3:$U545,1,$P$3:$P545,"&gt;="&amp;EOMONTH($P545,-1)+1,$P$3:$P545,"&lt;"&amp;EOMONTH($P545,0)+1)=1,1,0),0)</f>
        <v>1</v>
      </c>
      <c r="W545" s="444">
        <f ca="1">TODAY()-Table1[[#This Row],[Change Date]]</f>
        <v>381.63888888889051</v>
      </c>
      <c r="X545" s="422" t="str">
        <f t="shared" si="92"/>
        <v/>
      </c>
      <c r="Y545" s="476">
        <f ca="1">IF(Table1[[#This Row],[Next Stage Date]]&lt;&gt;"",Table1[[#This Row],[Next Stage Date]]-Table1[[#This Row],[Change Date]],TODAY()-Table1[[#This Row],[Change Date]])</f>
        <v>381.63888888889051</v>
      </c>
      <c r="Z545" s="476">
        <f t="shared" si="93"/>
        <v>1</v>
      </c>
      <c r="AA545" s="422" t="str">
        <f t="shared" si="94"/>
        <v/>
      </c>
      <c r="AB545" s="422">
        <f t="shared" si="95"/>
        <v>45782.246527777781</v>
      </c>
      <c r="AC545" s="476">
        <f t="shared" si="96"/>
        <v>47.246527777781012</v>
      </c>
      <c r="AD545" s="476" t="str">
        <f t="shared" si="97"/>
        <v/>
      </c>
      <c r="AE545" s="476" t="str">
        <f t="shared" si="98"/>
        <v/>
      </c>
      <c r="AF545" s="476" t="b">
        <f>IFERROR(_xlfn.XLOOKUP(Table1[[#This Row],[Opportunity ID]],'Aging Detail'!$H$14:$H$20,'Aging Detail'!$F$14:$F$20),TRUE)</f>
        <v>1</v>
      </c>
    </row>
    <row r="546" spans="1:32">
      <c r="A546" t="s">
        <v>1461</v>
      </c>
      <c r="B546" t="s">
        <v>338</v>
      </c>
      <c r="C546" t="s">
        <v>563</v>
      </c>
      <c r="D546" t="s">
        <v>2848</v>
      </c>
      <c r="E546" t="s">
        <v>2849</v>
      </c>
      <c r="I546" s="422">
        <v>45813</v>
      </c>
      <c r="J546" s="422">
        <v>45876</v>
      </c>
      <c r="K546">
        <v>27750</v>
      </c>
      <c r="L546">
        <v>0</v>
      </c>
      <c r="M546" t="s">
        <v>2850</v>
      </c>
      <c r="N546" t="s">
        <v>1642</v>
      </c>
      <c r="O546" t="str">
        <f>_xlfn.IFNA(VLOOKUP(Table1[[#This Row],[Lead Source]],'helper tab'!A:B,2,FALSE),"Exclude")</f>
        <v>Exclude</v>
      </c>
      <c r="P546" s="422">
        <f t="shared" si="88"/>
        <v>45876.326388888891</v>
      </c>
      <c r="Q546">
        <f t="shared" si="89"/>
        <v>0</v>
      </c>
      <c r="R546">
        <f t="shared" si="90"/>
        <v>1</v>
      </c>
      <c r="S546">
        <f>IF(
AND($Q546=1,$M546&lt;&gt;""),
IF(
COUNTIFS(
$M$3:$M546,$M546,
$O$3:$O546,$O546,
$Q$3:$Q546,1,
$P$3:$P546,"&gt;="&amp;EOMONTH($P546,-1)+1,
$P$3:$P546,"&lt;"&amp;EOMONTH($P546,0)+1
)=1,
1,
0),
0)</f>
        <v>0</v>
      </c>
      <c r="T546">
        <f>IF(AND($R546=1,$M546&lt;&gt;""),IF(COUNTIFS($M$3:$M546,$M546,$O$3:$O546,$O546,$R$3:$R546,1,$P$3:$P546,"&gt;="&amp;EOMONTH($P546,-1)+1,$P$3:$P546,"&lt;"&amp;EOMONTH($P546,0)+1)=1,1,0),0)</f>
        <v>1</v>
      </c>
      <c r="U546">
        <f t="shared" si="91"/>
        <v>0</v>
      </c>
      <c r="V546">
        <f>IF(AND($U546=1,$M546&lt;&gt;""),IF(COUNTIFS($M$3:$M546,$M546,$O$3:$O546,$O546,$U$3:$U546,1,$P$3:$P546,"&gt;="&amp;EOMONTH($P546,-1)+1,$P$3:$P546,"&lt;"&amp;EOMONTH($P546,0)+1)=1,1,0),0)</f>
        <v>0</v>
      </c>
      <c r="W546" s="444">
        <f ca="1">TODAY()-Table1[[#This Row],[Change Date]]</f>
        <v>381.67361111110949</v>
      </c>
      <c r="X546" s="422" t="str">
        <f t="shared" si="92"/>
        <v/>
      </c>
      <c r="Y546" s="476">
        <f ca="1">IF(Table1[[#This Row],[Next Stage Date]]&lt;&gt;"",Table1[[#This Row],[Next Stage Date]]-Table1[[#This Row],[Change Date]],TODAY()-Table1[[#This Row],[Change Date]])</f>
        <v>381.67361111110949</v>
      </c>
      <c r="Z546" s="476">
        <f t="shared" si="93"/>
        <v>1</v>
      </c>
      <c r="AA546" s="422">
        <f t="shared" si="94"/>
        <v>45876.326388888891</v>
      </c>
      <c r="AB546" s="422" t="str">
        <f t="shared" si="95"/>
        <v/>
      </c>
      <c r="AC546" s="476" t="str">
        <f t="shared" si="96"/>
        <v/>
      </c>
      <c r="AD546" s="476" t="str">
        <f t="shared" si="97"/>
        <v/>
      </c>
      <c r="AE546" s="476">
        <f t="shared" si="98"/>
        <v>63.326388888890506</v>
      </c>
      <c r="AF546" s="476" t="b">
        <f>IFERROR(_xlfn.XLOOKUP(Table1[[#This Row],[Opportunity ID]],'Aging Detail'!$H$14:$H$20,'Aging Detail'!$F$14:$F$20),TRUE)</f>
        <v>1</v>
      </c>
    </row>
    <row r="547" spans="1:32">
      <c r="A547" t="s">
        <v>1461</v>
      </c>
      <c r="B547" t="s">
        <v>1462</v>
      </c>
      <c r="C547" t="s">
        <v>462</v>
      </c>
      <c r="D547" t="s">
        <v>2851</v>
      </c>
      <c r="E547" t="s">
        <v>2708</v>
      </c>
      <c r="F547" t="s">
        <v>148</v>
      </c>
      <c r="H547" t="s">
        <v>1698</v>
      </c>
      <c r="I547" s="422">
        <v>45740</v>
      </c>
      <c r="J547" s="422">
        <v>45912</v>
      </c>
      <c r="K547">
        <v>9200</v>
      </c>
      <c r="L547">
        <v>0</v>
      </c>
      <c r="M547" t="s">
        <v>2709</v>
      </c>
      <c r="N547" t="s">
        <v>2639</v>
      </c>
      <c r="O547" t="str">
        <f>_xlfn.IFNA(VLOOKUP(Table1[[#This Row],[Lead Source]],'helper tab'!A:B,2,FALSE),"Exclude")</f>
        <v>Alliances</v>
      </c>
      <c r="P547" s="422">
        <f t="shared" si="88"/>
        <v>45875.271527777775</v>
      </c>
      <c r="Q547">
        <f t="shared" si="89"/>
        <v>1</v>
      </c>
      <c r="R547">
        <f t="shared" si="90"/>
        <v>0</v>
      </c>
      <c r="S547">
        <f>IF(
AND($Q547=1,$M547&lt;&gt;""),
IF(
COUNTIFS(
$M$3:$M547,$M547,
$O$3:$O547,$O547,
$Q$3:$Q547,1,
$P$3:$P547,"&gt;="&amp;EOMONTH($P547,-1)+1,
$P$3:$P547,"&lt;"&amp;EOMONTH($P547,0)+1
)=1,
1,
0),
0)</f>
        <v>1</v>
      </c>
      <c r="T547">
        <f>IF(AND($R547=1,$M547&lt;&gt;""),IF(COUNTIFS($M$3:$M547,$M547,$O$3:$O547,$O547,$R$3:$R547,1,$P$3:$P547,"&gt;="&amp;EOMONTH($P547,-1)+1,$P$3:$P547,"&lt;"&amp;EOMONTH($P547,0)+1)=1,1,0),0)</f>
        <v>0</v>
      </c>
      <c r="U547">
        <f t="shared" si="91"/>
        <v>0</v>
      </c>
      <c r="V547">
        <f>IF(AND($U547=1,$M547&lt;&gt;""),IF(COUNTIFS($M$3:$M547,$M547,$O$3:$O547,$O547,$U$3:$U547,1,$P$3:$P547,"&gt;="&amp;EOMONTH($P547,-1)+1,$P$3:$P547,"&lt;"&amp;EOMONTH($P547,0)+1)=1,1,0),0)</f>
        <v>0</v>
      </c>
      <c r="W547" s="444">
        <f ca="1">TODAY()-Table1[[#This Row],[Change Date]]</f>
        <v>382.72847222222481</v>
      </c>
      <c r="X547" s="422">
        <f t="shared" si="92"/>
        <v>45922.35833333333</v>
      </c>
      <c r="Y547" s="476">
        <f ca="1">IF(Table1[[#This Row],[Next Stage Date]]&lt;&gt;"",Table1[[#This Row],[Next Stage Date]]-Table1[[#This Row],[Change Date]],TODAY()-Table1[[#This Row],[Change Date]])</f>
        <v>47.086805555554747</v>
      </c>
      <c r="Z547" s="476">
        <f t="shared" si="93"/>
        <v>0</v>
      </c>
      <c r="AA547" s="422">
        <f t="shared" si="94"/>
        <v>45930.372916666667</v>
      </c>
      <c r="AB547" s="422">
        <f t="shared" si="95"/>
        <v>45875.271527777775</v>
      </c>
      <c r="AC547" s="476">
        <f t="shared" si="96"/>
        <v>135.27152777777519</v>
      </c>
      <c r="AD547" s="476">
        <f t="shared" si="97"/>
        <v>55.101388888891961</v>
      </c>
      <c r="AE547" s="476">
        <f t="shared" si="98"/>
        <v>190.37291666666715</v>
      </c>
      <c r="AF547" s="476" t="b">
        <f>IFERROR(_xlfn.XLOOKUP(Table1[[#This Row],[Opportunity ID]],'Aging Detail'!$H$14:$H$20,'Aging Detail'!$F$14:$F$20),TRUE)</f>
        <v>1</v>
      </c>
    </row>
    <row r="548" spans="1:32">
      <c r="A548" t="s">
        <v>1461</v>
      </c>
      <c r="B548" t="s">
        <v>408</v>
      </c>
      <c r="C548" t="s">
        <v>462</v>
      </c>
      <c r="D548" t="s">
        <v>2852</v>
      </c>
      <c r="E548" t="s">
        <v>2853</v>
      </c>
      <c r="F548" t="s">
        <v>148</v>
      </c>
      <c r="H548" t="s">
        <v>154</v>
      </c>
      <c r="I548" s="422">
        <v>45848</v>
      </c>
      <c r="J548" s="422">
        <v>46387</v>
      </c>
      <c r="K548">
        <v>302400</v>
      </c>
      <c r="L548">
        <v>302400</v>
      </c>
      <c r="M548" t="s">
        <v>2854</v>
      </c>
      <c r="N548" t="s">
        <v>1614</v>
      </c>
      <c r="O548" t="str">
        <f>_xlfn.IFNA(VLOOKUP(Table1[[#This Row],[Lead Source]],'helper tab'!A:B,2,FALSE),"Exclude")</f>
        <v>Alliances</v>
      </c>
      <c r="P548" s="422">
        <f t="shared" si="88"/>
        <v>45874.416666666664</v>
      </c>
      <c r="Q548">
        <f t="shared" si="89"/>
        <v>1</v>
      </c>
      <c r="R548">
        <f t="shared" si="90"/>
        <v>0</v>
      </c>
      <c r="S548">
        <f>IF(
AND($Q548=1,$M548&lt;&gt;""),
IF(
COUNTIFS(
$M$3:$M548,$M548,
$O$3:$O548,$O548,
$Q$3:$Q548,1,
$P$3:$P548,"&gt;="&amp;EOMONTH($P548,-1)+1,
$P$3:$P548,"&lt;"&amp;EOMONTH($P548,0)+1
)=1,
1,
0),
0)</f>
        <v>1</v>
      </c>
      <c r="T548">
        <f>IF(AND($R548=1,$M548&lt;&gt;""),IF(COUNTIFS($M$3:$M548,$M548,$O$3:$O548,$O548,$R$3:$R548,1,$P$3:$P548,"&gt;="&amp;EOMONTH($P548,-1)+1,$P$3:$P548,"&lt;"&amp;EOMONTH($P548,0)+1)=1,1,0),0)</f>
        <v>0</v>
      </c>
      <c r="U548">
        <f t="shared" si="91"/>
        <v>0</v>
      </c>
      <c r="V548">
        <f>IF(AND($U548=1,$M548&lt;&gt;""),IF(COUNTIFS($M$3:$M548,$M548,$O$3:$O548,$O548,$U$3:$U548,1,$P$3:$P548,"&gt;="&amp;EOMONTH($P548,-1)+1,$P$3:$P548,"&lt;"&amp;EOMONTH($P548,0)+1)=1,1,0),0)</f>
        <v>0</v>
      </c>
      <c r="W548" s="444">
        <f ca="1">TODAY()-Table1[[#This Row],[Change Date]]</f>
        <v>383.58333333333576</v>
      </c>
      <c r="X548" s="422" t="str">
        <f t="shared" si="92"/>
        <v/>
      </c>
      <c r="Y548" s="476">
        <f ca="1">IF(Table1[[#This Row],[Next Stage Date]]&lt;&gt;"",Table1[[#This Row],[Next Stage Date]]-Table1[[#This Row],[Change Date]],TODAY()-Table1[[#This Row],[Change Date]])</f>
        <v>383.58333333333576</v>
      </c>
      <c r="Z548" s="476">
        <f t="shared" si="93"/>
        <v>1</v>
      </c>
      <c r="AA548" s="422" t="str">
        <f t="shared" si="94"/>
        <v/>
      </c>
      <c r="AB548" s="422">
        <f t="shared" si="95"/>
        <v>45874.416666666664</v>
      </c>
      <c r="AC548" s="476">
        <f t="shared" si="96"/>
        <v>26.416666666664241</v>
      </c>
      <c r="AD548" s="476" t="str">
        <f t="shared" si="97"/>
        <v/>
      </c>
      <c r="AE548" s="476" t="str">
        <f t="shared" si="98"/>
        <v/>
      </c>
      <c r="AF548" s="476" t="b">
        <f>IFERROR(_xlfn.XLOOKUP(Table1[[#This Row],[Opportunity ID]],'Aging Detail'!$H$14:$H$20,'Aging Detail'!$F$14:$F$20),TRUE)</f>
        <v>1</v>
      </c>
    </row>
    <row r="549" spans="1:32">
      <c r="A549" t="s">
        <v>1461</v>
      </c>
      <c r="B549" t="s">
        <v>1462</v>
      </c>
      <c r="C549" t="s">
        <v>462</v>
      </c>
      <c r="D549" t="s">
        <v>2855</v>
      </c>
      <c r="E549" t="s">
        <v>2112</v>
      </c>
      <c r="F549" t="s">
        <v>1475</v>
      </c>
      <c r="I549" s="422">
        <v>45422</v>
      </c>
      <c r="J549" s="422">
        <v>46387</v>
      </c>
      <c r="K549">
        <v>50000</v>
      </c>
      <c r="L549">
        <v>50000</v>
      </c>
      <c r="M549" t="s">
        <v>2113</v>
      </c>
      <c r="N549" t="s">
        <v>2114</v>
      </c>
      <c r="O549" t="str">
        <f>_xlfn.IFNA(VLOOKUP(Table1[[#This Row],[Lead Source]],'helper tab'!A:B,2,FALSE),"Exclude")</f>
        <v>Exclude</v>
      </c>
      <c r="P549" s="422">
        <f t="shared" si="88"/>
        <v>45870.599305555559</v>
      </c>
      <c r="Q549">
        <f t="shared" si="89"/>
        <v>1</v>
      </c>
      <c r="R549">
        <f t="shared" si="90"/>
        <v>0</v>
      </c>
      <c r="S549">
        <f>IF(
AND($Q549=1,$M549&lt;&gt;""),
IF(
COUNTIFS(
$M$3:$M549,$M549,
$O$3:$O549,$O549,
$Q$3:$Q549,1,
$P$3:$P549,"&gt;="&amp;EOMONTH($P549,-1)+1,
$P$3:$P549,"&lt;"&amp;EOMONTH($P549,0)+1
)=1,
1,
0),
0)</f>
        <v>1</v>
      </c>
      <c r="T549">
        <f>IF(AND($R549=1,$M549&lt;&gt;""),IF(COUNTIFS($M$3:$M549,$M549,$O$3:$O549,$O549,$R$3:$R549,1,$P$3:$P549,"&gt;="&amp;EOMONTH($P549,-1)+1,$P$3:$P549,"&lt;"&amp;EOMONTH($P549,0)+1)=1,1,0),0)</f>
        <v>0</v>
      </c>
      <c r="U549">
        <f t="shared" si="91"/>
        <v>0</v>
      </c>
      <c r="V549">
        <f>IF(AND($U549=1,$M549&lt;&gt;""),IF(COUNTIFS($M$3:$M549,$M549,$O$3:$O549,$O549,$U$3:$U549,1,$P$3:$P549,"&gt;="&amp;EOMONTH($P549,-1)+1,$P$3:$P549,"&lt;"&amp;EOMONTH($P549,0)+1)=1,1,0),0)</f>
        <v>0</v>
      </c>
      <c r="W549" s="444">
        <f ca="1">TODAY()-Table1[[#This Row],[Change Date]]</f>
        <v>387.40069444444089</v>
      </c>
      <c r="X549" s="422">
        <f t="shared" si="92"/>
        <v>46111.634027777778</v>
      </c>
      <c r="Y549" s="476">
        <f ca="1">IF(Table1[[#This Row],[Next Stage Date]]&lt;&gt;"",Table1[[#This Row],[Next Stage Date]]-Table1[[#This Row],[Change Date]],TODAY()-Table1[[#This Row],[Change Date]])</f>
        <v>241.03472222221899</v>
      </c>
      <c r="Z549" s="476">
        <f t="shared" si="93"/>
        <v>0</v>
      </c>
      <c r="AA549" s="422" t="str">
        <f t="shared" si="94"/>
        <v/>
      </c>
      <c r="AB549" s="422">
        <f t="shared" si="95"/>
        <v>45870.599305555559</v>
      </c>
      <c r="AC549" s="476">
        <f t="shared" si="96"/>
        <v>448.59930555555911</v>
      </c>
      <c r="AD549" s="476" t="str">
        <f t="shared" si="97"/>
        <v/>
      </c>
      <c r="AE549" s="476" t="str">
        <f t="shared" si="98"/>
        <v/>
      </c>
      <c r="AF549" s="476" t="b">
        <f>IFERROR(_xlfn.XLOOKUP(Table1[[#This Row],[Opportunity ID]],'Aging Detail'!$H$14:$H$20,'Aging Detail'!$F$14:$F$20),TRUE)</f>
        <v>1</v>
      </c>
    </row>
    <row r="550" spans="1:32">
      <c r="A550" t="s">
        <v>1461</v>
      </c>
      <c r="B550" t="s">
        <v>1462</v>
      </c>
      <c r="C550" t="s">
        <v>462</v>
      </c>
      <c r="D550" t="s">
        <v>2856</v>
      </c>
      <c r="E550" t="s">
        <v>1680</v>
      </c>
      <c r="F550" t="s">
        <v>1468</v>
      </c>
      <c r="I550" s="422">
        <v>45562</v>
      </c>
      <c r="J550" s="422">
        <v>46477</v>
      </c>
      <c r="K550">
        <v>330000</v>
      </c>
      <c r="L550">
        <v>270000</v>
      </c>
      <c r="M550" t="s">
        <v>1681</v>
      </c>
      <c r="N550" t="s">
        <v>1680</v>
      </c>
      <c r="O550" t="str">
        <f>_xlfn.IFNA(VLOOKUP(Table1[[#This Row],[Lead Source]],'helper tab'!A:B,2,FALSE),"Exclude")</f>
        <v>Events</v>
      </c>
      <c r="P550" s="422">
        <f t="shared" si="88"/>
        <v>45870.597916666666</v>
      </c>
      <c r="Q550">
        <f t="shared" si="89"/>
        <v>1</v>
      </c>
      <c r="R550">
        <f t="shared" si="90"/>
        <v>0</v>
      </c>
      <c r="S550">
        <f>IF(
AND($Q550=1,$M550&lt;&gt;""),
IF(
COUNTIFS(
$M$3:$M550,$M550,
$O$3:$O550,$O550,
$Q$3:$Q550,1,
$P$3:$P550,"&gt;="&amp;EOMONTH($P550,-1)+1,
$P$3:$P550,"&lt;"&amp;EOMONTH($P550,0)+1
)=1,
1,
0),
0)</f>
        <v>1</v>
      </c>
      <c r="T550">
        <f>IF(AND($R550=1,$M550&lt;&gt;""),IF(COUNTIFS($M$3:$M550,$M550,$O$3:$O550,$O550,$R$3:$R550,1,$P$3:$P550,"&gt;="&amp;EOMONTH($P550,-1)+1,$P$3:$P550,"&lt;"&amp;EOMONTH($P550,0)+1)=1,1,0),0)</f>
        <v>0</v>
      </c>
      <c r="U550">
        <f t="shared" si="91"/>
        <v>0</v>
      </c>
      <c r="V550">
        <f>IF(AND($U550=1,$M550&lt;&gt;""),IF(COUNTIFS($M$3:$M550,$M550,$O$3:$O550,$O550,$U$3:$U550,1,$P$3:$P550,"&gt;="&amp;EOMONTH($P550,-1)+1,$P$3:$P550,"&lt;"&amp;EOMONTH($P550,0)+1)=1,1,0),0)</f>
        <v>0</v>
      </c>
      <c r="W550" s="444">
        <f ca="1">TODAY()-Table1[[#This Row],[Change Date]]</f>
        <v>387.4020833333343</v>
      </c>
      <c r="X550" s="422">
        <f t="shared" si="92"/>
        <v>46211.54791666667</v>
      </c>
      <c r="Y550" s="476">
        <f ca="1">IF(Table1[[#This Row],[Next Stage Date]]&lt;&gt;"",Table1[[#This Row],[Next Stage Date]]-Table1[[#This Row],[Change Date]],TODAY()-Table1[[#This Row],[Change Date]])</f>
        <v>340.95000000000437</v>
      </c>
      <c r="Z550" s="476">
        <f t="shared" si="93"/>
        <v>0</v>
      </c>
      <c r="AA550" s="422" t="str">
        <f t="shared" si="94"/>
        <v/>
      </c>
      <c r="AB550" s="422">
        <f t="shared" si="95"/>
        <v>45870.597916666666</v>
      </c>
      <c r="AC550" s="476">
        <f t="shared" si="96"/>
        <v>308.5979166666657</v>
      </c>
      <c r="AD550" s="476" t="str">
        <f t="shared" si="97"/>
        <v/>
      </c>
      <c r="AE550" s="476" t="str">
        <f t="shared" si="98"/>
        <v/>
      </c>
      <c r="AF550" s="476" t="b">
        <f>IFERROR(_xlfn.XLOOKUP(Table1[[#This Row],[Opportunity ID]],'Aging Detail'!$H$14:$H$20,'Aging Detail'!$F$14:$F$20),TRUE)</f>
        <v>1</v>
      </c>
    </row>
    <row r="551" spans="1:32">
      <c r="A551" t="s">
        <v>1461</v>
      </c>
      <c r="B551" t="s">
        <v>1462</v>
      </c>
      <c r="C551" t="s">
        <v>462</v>
      </c>
      <c r="D551" t="s">
        <v>2857</v>
      </c>
      <c r="E551" t="s">
        <v>486</v>
      </c>
      <c r="F551" t="s">
        <v>404</v>
      </c>
      <c r="I551" s="422">
        <v>45716</v>
      </c>
      <c r="J551" s="422">
        <v>46325</v>
      </c>
      <c r="K551">
        <v>271200</v>
      </c>
      <c r="L551">
        <v>211200</v>
      </c>
      <c r="M551" t="s">
        <v>1754</v>
      </c>
      <c r="N551" t="s">
        <v>481</v>
      </c>
      <c r="O551" t="str">
        <f>_xlfn.IFNA(VLOOKUP(Table1[[#This Row],[Lead Source]],'helper tab'!A:B,2,FALSE),"Exclude")</f>
        <v>Digital</v>
      </c>
      <c r="P551" s="422">
        <f t="shared" si="88"/>
        <v>45870.597222222219</v>
      </c>
      <c r="Q551">
        <f t="shared" si="89"/>
        <v>1</v>
      </c>
      <c r="R551">
        <f t="shared" si="90"/>
        <v>0</v>
      </c>
      <c r="S551">
        <f>IF(
AND($Q551=1,$M551&lt;&gt;""),
IF(
COUNTIFS(
$M$3:$M551,$M551,
$O$3:$O551,$O551,
$Q$3:$Q551,1,
$P$3:$P551,"&gt;="&amp;EOMONTH($P551,-1)+1,
$P$3:$P551,"&lt;"&amp;EOMONTH($P551,0)+1
)=1,
1,
0),
0)</f>
        <v>1</v>
      </c>
      <c r="T551">
        <f>IF(AND($R551=1,$M551&lt;&gt;""),IF(COUNTIFS($M$3:$M551,$M551,$O$3:$O551,$O551,$R$3:$R551,1,$P$3:$P551,"&gt;="&amp;EOMONTH($P551,-1)+1,$P$3:$P551,"&lt;"&amp;EOMONTH($P551,0)+1)=1,1,0),0)</f>
        <v>0</v>
      </c>
      <c r="U551">
        <f t="shared" si="91"/>
        <v>0</v>
      </c>
      <c r="V551">
        <f>IF(AND($U551=1,$M551&lt;&gt;""),IF(COUNTIFS($M$3:$M551,$M551,$O$3:$O551,$O551,$U$3:$U551,1,$P$3:$P551,"&gt;="&amp;EOMONTH($P551,-1)+1,$P$3:$P551,"&lt;"&amp;EOMONTH($P551,0)+1)=1,1,0),0)</f>
        <v>0</v>
      </c>
      <c r="W551" s="444">
        <f ca="1">TODAY()-Table1[[#This Row],[Change Date]]</f>
        <v>387.40277777778101</v>
      </c>
      <c r="X551" s="422">
        <f t="shared" si="92"/>
        <v>46209.249305555553</v>
      </c>
      <c r="Y551" s="476">
        <f ca="1">IF(Table1[[#This Row],[Next Stage Date]]&lt;&gt;"",Table1[[#This Row],[Next Stage Date]]-Table1[[#This Row],[Change Date]],TODAY()-Table1[[#This Row],[Change Date]])</f>
        <v>338.6520833333343</v>
      </c>
      <c r="Z551" s="476">
        <f t="shared" si="93"/>
        <v>0</v>
      </c>
      <c r="AA551" s="422" t="str">
        <f t="shared" si="94"/>
        <v/>
      </c>
      <c r="AB551" s="422">
        <f t="shared" si="95"/>
        <v>45870.597222222219</v>
      </c>
      <c r="AC551" s="476">
        <f t="shared" si="96"/>
        <v>154.59722222221899</v>
      </c>
      <c r="AD551" s="476" t="str">
        <f t="shared" si="97"/>
        <v/>
      </c>
      <c r="AE551" s="476" t="str">
        <f t="shared" si="98"/>
        <v/>
      </c>
      <c r="AF551" s="476" t="b">
        <f>IFERROR(_xlfn.XLOOKUP(Table1[[#This Row],[Opportunity ID]],'Aging Detail'!$H$14:$H$20,'Aging Detail'!$F$14:$F$20),TRUE)</f>
        <v>1</v>
      </c>
    </row>
    <row r="552" spans="1:32">
      <c r="A552" t="s">
        <v>1461</v>
      </c>
      <c r="B552" t="s">
        <v>408</v>
      </c>
      <c r="C552" t="s">
        <v>1462</v>
      </c>
      <c r="D552" t="s">
        <v>2857</v>
      </c>
      <c r="E552" t="s">
        <v>486</v>
      </c>
      <c r="F552" t="s">
        <v>404</v>
      </c>
      <c r="I552" s="422">
        <v>45716</v>
      </c>
      <c r="J552" s="422">
        <v>46325</v>
      </c>
      <c r="K552">
        <v>271200</v>
      </c>
      <c r="L552">
        <v>211200</v>
      </c>
      <c r="M552" t="s">
        <v>1754</v>
      </c>
      <c r="N552" t="s">
        <v>481</v>
      </c>
      <c r="O552" t="str">
        <f>_xlfn.IFNA(VLOOKUP(Table1[[#This Row],[Lead Source]],'helper tab'!A:B,2,FALSE),"Exclude")</f>
        <v>Digital</v>
      </c>
      <c r="P552" s="422">
        <f t="shared" si="88"/>
        <v>45870.597222222219</v>
      </c>
      <c r="Q552">
        <f t="shared" si="89"/>
        <v>0</v>
      </c>
      <c r="R552">
        <f t="shared" si="90"/>
        <v>0</v>
      </c>
      <c r="S552">
        <f>IF(
AND($Q552=1,$M552&lt;&gt;""),
IF(
COUNTIFS(
$M$3:$M552,$M552,
$O$3:$O552,$O552,
$Q$3:$Q552,1,
$P$3:$P552,"&gt;="&amp;EOMONTH($P552,-1)+1,
$P$3:$P552,"&lt;"&amp;EOMONTH($P552,0)+1
)=1,
1,
0),
0)</f>
        <v>0</v>
      </c>
      <c r="T552">
        <f>IF(AND($R552=1,$M552&lt;&gt;""),IF(COUNTIFS($M$3:$M552,$M552,$O$3:$O552,$O552,$R$3:$R552,1,$P$3:$P552,"&gt;="&amp;EOMONTH($P552,-1)+1,$P$3:$P552,"&lt;"&amp;EOMONTH($P552,0)+1)=1,1,0),0)</f>
        <v>0</v>
      </c>
      <c r="U552">
        <f t="shared" si="91"/>
        <v>0</v>
      </c>
      <c r="V552">
        <f>IF(AND($U552=1,$M552&lt;&gt;""),IF(COUNTIFS($M$3:$M552,$M552,$O$3:$O552,$O552,$U$3:$U552,1,$P$3:$P552,"&gt;="&amp;EOMONTH($P552,-1)+1,$P$3:$P552,"&lt;"&amp;EOMONTH($P552,0)+1)=1,1,0),0)</f>
        <v>0</v>
      </c>
      <c r="W552" s="444">
        <f ca="1">TODAY()-Table1[[#This Row],[Change Date]]</f>
        <v>387.40277777778101</v>
      </c>
      <c r="X552" s="422">
        <f t="shared" si="92"/>
        <v>46209.249305555553</v>
      </c>
      <c r="Y552" s="476">
        <f ca="1">IF(Table1[[#This Row],[Next Stage Date]]&lt;&gt;"",Table1[[#This Row],[Next Stage Date]]-Table1[[#This Row],[Change Date]],TODAY()-Table1[[#This Row],[Change Date]])</f>
        <v>338.6520833333343</v>
      </c>
      <c r="Z552" s="476">
        <f t="shared" si="93"/>
        <v>0</v>
      </c>
      <c r="AA552" s="422" t="str">
        <f t="shared" si="94"/>
        <v/>
      </c>
      <c r="AB552" s="422">
        <f t="shared" si="95"/>
        <v>45870.597222222219</v>
      </c>
      <c r="AC552" s="476">
        <f t="shared" si="96"/>
        <v>154.59722222221899</v>
      </c>
      <c r="AD552" s="476" t="str">
        <f t="shared" si="97"/>
        <v/>
      </c>
      <c r="AE552" s="476" t="str">
        <f t="shared" si="98"/>
        <v/>
      </c>
      <c r="AF552" s="476" t="b">
        <f>IFERROR(_xlfn.XLOOKUP(Table1[[#This Row],[Opportunity ID]],'Aging Detail'!$H$14:$H$20,'Aging Detail'!$F$14:$F$20),TRUE)</f>
        <v>1</v>
      </c>
    </row>
    <row r="553" spans="1:32">
      <c r="A553" t="s">
        <v>1461</v>
      </c>
      <c r="B553" t="s">
        <v>1462</v>
      </c>
      <c r="C553" t="s">
        <v>462</v>
      </c>
      <c r="D553" t="s">
        <v>2858</v>
      </c>
      <c r="E553" t="s">
        <v>1669</v>
      </c>
      <c r="F553" t="s">
        <v>202</v>
      </c>
      <c r="I553" s="422">
        <v>45679</v>
      </c>
      <c r="J553" s="422">
        <v>46326</v>
      </c>
      <c r="K553">
        <v>0</v>
      </c>
      <c r="L553">
        <v>0</v>
      </c>
      <c r="M553" t="s">
        <v>1670</v>
      </c>
      <c r="N553" t="s">
        <v>481</v>
      </c>
      <c r="O553" t="str">
        <f>_xlfn.IFNA(VLOOKUP(Table1[[#This Row],[Lead Source]],'helper tab'!A:B,2,FALSE),"Exclude")</f>
        <v>Digital</v>
      </c>
      <c r="P553" s="422">
        <f t="shared" si="88"/>
        <v>45870.59652777778</v>
      </c>
      <c r="Q553">
        <f t="shared" si="89"/>
        <v>1</v>
      </c>
      <c r="R553">
        <f t="shared" si="90"/>
        <v>0</v>
      </c>
      <c r="S553">
        <f>IF(
AND($Q553=1,$M553&lt;&gt;""),
IF(
COUNTIFS(
$M$3:$M553,$M553,
$O$3:$O553,$O553,
$Q$3:$Q553,1,
$P$3:$P553,"&gt;="&amp;EOMONTH($P553,-1)+1,
$P$3:$P553,"&lt;"&amp;EOMONTH($P553,0)+1
)=1,
1,
0),
0)</f>
        <v>1</v>
      </c>
      <c r="T553">
        <f>IF(AND($R553=1,$M553&lt;&gt;""),IF(COUNTIFS($M$3:$M553,$M553,$O$3:$O553,$O553,$R$3:$R553,1,$P$3:$P553,"&gt;="&amp;EOMONTH($P553,-1)+1,$P$3:$P553,"&lt;"&amp;EOMONTH($P553,0)+1)=1,1,0),0)</f>
        <v>0</v>
      </c>
      <c r="U553">
        <f t="shared" si="91"/>
        <v>0</v>
      </c>
      <c r="V553">
        <f>IF(AND($U553=1,$M553&lt;&gt;""),IF(COUNTIFS($M$3:$M553,$M553,$O$3:$O553,$O553,$U$3:$U553,1,$P$3:$P553,"&gt;="&amp;EOMONTH($P553,-1)+1,$P$3:$P553,"&lt;"&amp;EOMONTH($P553,0)+1)=1,1,0),0)</f>
        <v>0</v>
      </c>
      <c r="W553" s="444">
        <f ca="1">TODAY()-Table1[[#This Row],[Change Date]]</f>
        <v>387.40347222222044</v>
      </c>
      <c r="X553" s="422">
        <f t="shared" si="92"/>
        <v>46211.668749999997</v>
      </c>
      <c r="Y553" s="476">
        <f ca="1">IF(Table1[[#This Row],[Next Stage Date]]&lt;&gt;"",Table1[[#This Row],[Next Stage Date]]-Table1[[#This Row],[Change Date]],TODAY()-Table1[[#This Row],[Change Date]])</f>
        <v>341.07222222221753</v>
      </c>
      <c r="Z553" s="476">
        <f t="shared" si="93"/>
        <v>0</v>
      </c>
      <c r="AA553" s="422" t="str">
        <f t="shared" si="94"/>
        <v/>
      </c>
      <c r="AB553" s="422">
        <f t="shared" si="95"/>
        <v>45870.59652777778</v>
      </c>
      <c r="AC553" s="476">
        <f t="shared" si="96"/>
        <v>191.59652777777956</v>
      </c>
      <c r="AD553" s="476" t="str">
        <f t="shared" si="97"/>
        <v/>
      </c>
      <c r="AE553" s="476" t="str">
        <f t="shared" si="98"/>
        <v/>
      </c>
      <c r="AF553" s="476" t="b">
        <f>IFERROR(_xlfn.XLOOKUP(Table1[[#This Row],[Opportunity ID]],'Aging Detail'!$H$14:$H$20,'Aging Detail'!$F$14:$F$20),TRUE)</f>
        <v>1</v>
      </c>
    </row>
    <row r="554" spans="1:32">
      <c r="A554" t="s">
        <v>1461</v>
      </c>
      <c r="B554" t="s">
        <v>338</v>
      </c>
      <c r="C554" t="s">
        <v>1469</v>
      </c>
      <c r="D554" t="s">
        <v>2859</v>
      </c>
      <c r="E554" t="s">
        <v>2860</v>
      </c>
      <c r="F554" t="s">
        <v>148</v>
      </c>
      <c r="I554" s="422">
        <v>45811</v>
      </c>
      <c r="J554" s="422">
        <v>45896</v>
      </c>
      <c r="K554">
        <v>10000</v>
      </c>
      <c r="L554">
        <v>10000</v>
      </c>
      <c r="M554" t="s">
        <v>2861</v>
      </c>
      <c r="N554" t="s">
        <v>2537</v>
      </c>
      <c r="O554" t="str">
        <f>_xlfn.IFNA(VLOOKUP(Table1[[#This Row],[Lead Source]],'helper tab'!A:B,2,FALSE),"Exclude")</f>
        <v>Alliances</v>
      </c>
      <c r="P554" s="422">
        <f t="shared" si="88"/>
        <v>45870.283333333333</v>
      </c>
      <c r="Q554">
        <f t="shared" si="89"/>
        <v>0</v>
      </c>
      <c r="R554">
        <f t="shared" si="90"/>
        <v>0</v>
      </c>
      <c r="S554">
        <f>IF(
AND($Q554=1,$M554&lt;&gt;""),
IF(
COUNTIFS(
$M$3:$M554,$M554,
$O$3:$O554,$O554,
$Q$3:$Q554,1,
$P$3:$P554,"&gt;="&amp;EOMONTH($P554,-1)+1,
$P$3:$P554,"&lt;"&amp;EOMONTH($P554,0)+1
)=1,
1,
0),
0)</f>
        <v>0</v>
      </c>
      <c r="T554">
        <f>IF(AND($R554=1,$M554&lt;&gt;""),IF(COUNTIFS($M$3:$M554,$M554,$O$3:$O554,$O554,$R$3:$R554,1,$P$3:$P554,"&gt;="&amp;EOMONTH($P554,-1)+1,$P$3:$P554,"&lt;"&amp;EOMONTH($P554,0)+1)=1,1,0),0)</f>
        <v>0</v>
      </c>
      <c r="U554">
        <f t="shared" si="91"/>
        <v>1</v>
      </c>
      <c r="V554">
        <f>IF(AND($U554=1,$M554&lt;&gt;""),IF(COUNTIFS($M$3:$M554,$M554,$O$3:$O554,$O554,$U$3:$U554,1,$P$3:$P554,"&gt;="&amp;EOMONTH($P554,-1)+1,$P$3:$P554,"&lt;"&amp;EOMONTH($P554,0)+1)=1,1,0),0)</f>
        <v>1</v>
      </c>
      <c r="W554" s="444">
        <f ca="1">TODAY()-Table1[[#This Row],[Change Date]]</f>
        <v>387.71666666666715</v>
      </c>
      <c r="X554" s="422" t="str">
        <f t="shared" si="92"/>
        <v/>
      </c>
      <c r="Y554" s="476">
        <f ca="1">IF(Table1[[#This Row],[Next Stage Date]]&lt;&gt;"",Table1[[#This Row],[Next Stage Date]]-Table1[[#This Row],[Change Date]],TODAY()-Table1[[#This Row],[Change Date]])</f>
        <v>387.71666666666715</v>
      </c>
      <c r="Z554" s="476">
        <f t="shared" si="93"/>
        <v>1</v>
      </c>
      <c r="AA554" s="422" t="str">
        <f t="shared" si="94"/>
        <v/>
      </c>
      <c r="AB554" s="422" t="str">
        <f t="shared" si="95"/>
        <v/>
      </c>
      <c r="AC554" s="476" t="str">
        <f t="shared" si="96"/>
        <v/>
      </c>
      <c r="AD554" s="476" t="str">
        <f t="shared" si="97"/>
        <v/>
      </c>
      <c r="AE554" s="476" t="str">
        <f t="shared" si="98"/>
        <v/>
      </c>
      <c r="AF554" s="476" t="b">
        <f>IFERROR(_xlfn.XLOOKUP(Table1[[#This Row],[Opportunity ID]],'Aging Detail'!$H$14:$H$20,'Aging Detail'!$F$14:$F$20),TRUE)</f>
        <v>1</v>
      </c>
    </row>
    <row r="555" spans="1:32">
      <c r="A555" t="s">
        <v>1461</v>
      </c>
      <c r="B555" t="s">
        <v>338</v>
      </c>
      <c r="C555" t="s">
        <v>1469</v>
      </c>
      <c r="D555" t="s">
        <v>2862</v>
      </c>
      <c r="E555" t="s">
        <v>2863</v>
      </c>
      <c r="I555" s="422">
        <v>45614</v>
      </c>
      <c r="J555" s="422">
        <v>45961</v>
      </c>
      <c r="K555">
        <v>0</v>
      </c>
      <c r="L555">
        <v>0</v>
      </c>
      <c r="M555" t="s">
        <v>2864</v>
      </c>
      <c r="N555" t="s">
        <v>1887</v>
      </c>
      <c r="O555" t="str">
        <f>_xlfn.IFNA(VLOOKUP(Table1[[#This Row],[Lead Source]],'helper tab'!A:B,2,FALSE),"Exclude")</f>
        <v>Exclude</v>
      </c>
      <c r="P555" s="422">
        <f t="shared" si="88"/>
        <v>45870.27847222222</v>
      </c>
      <c r="Q555">
        <f t="shared" si="89"/>
        <v>0</v>
      </c>
      <c r="R555">
        <f t="shared" si="90"/>
        <v>0</v>
      </c>
      <c r="S555">
        <f>IF(
AND($Q555=1,$M555&lt;&gt;""),
IF(
COUNTIFS(
$M$3:$M555,$M555,
$O$3:$O555,$O555,
$Q$3:$Q555,1,
$P$3:$P555,"&gt;="&amp;EOMONTH($P555,-1)+1,
$P$3:$P555,"&lt;"&amp;EOMONTH($P555,0)+1
)=1,
1,
0),
0)</f>
        <v>0</v>
      </c>
      <c r="T555">
        <f>IF(AND($R555=1,$M555&lt;&gt;""),IF(COUNTIFS($M$3:$M555,$M555,$O$3:$O555,$O555,$R$3:$R555,1,$P$3:$P555,"&gt;="&amp;EOMONTH($P555,-1)+1,$P$3:$P555,"&lt;"&amp;EOMONTH($P555,0)+1)=1,1,0),0)</f>
        <v>0</v>
      </c>
      <c r="U555">
        <f t="shared" si="91"/>
        <v>1</v>
      </c>
      <c r="V555">
        <f>IF(AND($U555=1,$M555&lt;&gt;""),IF(COUNTIFS($M$3:$M555,$M555,$O$3:$O555,$O555,$U$3:$U555,1,$P$3:$P555,"&gt;="&amp;EOMONTH($P555,-1)+1,$P$3:$P555,"&lt;"&amp;EOMONTH($P555,0)+1)=1,1,0),0)</f>
        <v>1</v>
      </c>
      <c r="W555" s="444">
        <f ca="1">TODAY()-Table1[[#This Row],[Change Date]]</f>
        <v>387.72152777777956</v>
      </c>
      <c r="X555" s="422" t="str">
        <f t="shared" si="92"/>
        <v/>
      </c>
      <c r="Y555" s="476">
        <f ca="1">IF(Table1[[#This Row],[Next Stage Date]]&lt;&gt;"",Table1[[#This Row],[Next Stage Date]]-Table1[[#This Row],[Change Date]],TODAY()-Table1[[#This Row],[Change Date]])</f>
        <v>387.72152777777956</v>
      </c>
      <c r="Z555" s="476">
        <f t="shared" si="93"/>
        <v>1</v>
      </c>
      <c r="AA555" s="422" t="str">
        <f t="shared" si="94"/>
        <v/>
      </c>
      <c r="AB555" s="422" t="str">
        <f t="shared" si="95"/>
        <v/>
      </c>
      <c r="AC555" s="476" t="str">
        <f t="shared" si="96"/>
        <v/>
      </c>
      <c r="AD555" s="476" t="str">
        <f t="shared" si="97"/>
        <v/>
      </c>
      <c r="AE555" s="476" t="str">
        <f t="shared" si="98"/>
        <v/>
      </c>
      <c r="AF555" s="476" t="b">
        <f>IFERROR(_xlfn.XLOOKUP(Table1[[#This Row],[Opportunity ID]],'Aging Detail'!$H$14:$H$20,'Aging Detail'!$F$14:$F$20),TRUE)</f>
        <v>1</v>
      </c>
    </row>
    <row r="556" spans="1:32">
      <c r="A556" t="s">
        <v>1461</v>
      </c>
      <c r="B556" t="s">
        <v>408</v>
      </c>
      <c r="C556" t="s">
        <v>1469</v>
      </c>
      <c r="D556" t="s">
        <v>2865</v>
      </c>
      <c r="E556" t="s">
        <v>2866</v>
      </c>
      <c r="F556" t="s">
        <v>1486</v>
      </c>
      <c r="I556" s="422">
        <v>45015</v>
      </c>
      <c r="J556" s="422">
        <v>46022</v>
      </c>
      <c r="K556">
        <v>0</v>
      </c>
      <c r="L556">
        <v>0</v>
      </c>
      <c r="M556" t="s">
        <v>2867</v>
      </c>
      <c r="N556" t="s">
        <v>1887</v>
      </c>
      <c r="O556" t="str">
        <f>_xlfn.IFNA(VLOOKUP(Table1[[#This Row],[Lead Source]],'helper tab'!A:B,2,FALSE),"Exclude")</f>
        <v>Exclude</v>
      </c>
      <c r="P556" s="422">
        <f t="shared" si="88"/>
        <v>45869.477777777778</v>
      </c>
      <c r="Q556">
        <f t="shared" si="89"/>
        <v>0</v>
      </c>
      <c r="R556">
        <f t="shared" si="90"/>
        <v>0</v>
      </c>
      <c r="S556">
        <f>IF(
AND($Q556=1,$M556&lt;&gt;""),
IF(
COUNTIFS(
$M$3:$M556,$M556,
$O$3:$O556,$O556,
$Q$3:$Q556,1,
$P$3:$P556,"&gt;="&amp;EOMONTH($P556,-1)+1,
$P$3:$P556,"&lt;"&amp;EOMONTH($P556,0)+1
)=1,
1,
0),
0)</f>
        <v>0</v>
      </c>
      <c r="T556">
        <f>IF(AND($R556=1,$M556&lt;&gt;""),IF(COUNTIFS($M$3:$M556,$M556,$O$3:$O556,$O556,$R$3:$R556,1,$P$3:$P556,"&gt;="&amp;EOMONTH($P556,-1)+1,$P$3:$P556,"&lt;"&amp;EOMONTH($P556,0)+1)=1,1,0),0)</f>
        <v>0</v>
      </c>
      <c r="U556">
        <f t="shared" si="91"/>
        <v>1</v>
      </c>
      <c r="V556">
        <f>IF(AND($U556=1,$M556&lt;&gt;""),IF(COUNTIFS($M$3:$M556,$M556,$O$3:$O556,$O556,$U$3:$U556,1,$P$3:$P556,"&gt;="&amp;EOMONTH($P556,-1)+1,$P$3:$P556,"&lt;"&amp;EOMONTH($P556,0)+1)=1,1,0),0)</f>
        <v>1</v>
      </c>
      <c r="W556" s="444">
        <f ca="1">TODAY()-Table1[[#This Row],[Change Date]]</f>
        <v>388.5222222222219</v>
      </c>
      <c r="X556" s="422" t="str">
        <f t="shared" si="92"/>
        <v/>
      </c>
      <c r="Y556" s="476">
        <f ca="1">IF(Table1[[#This Row],[Next Stage Date]]&lt;&gt;"",Table1[[#This Row],[Next Stage Date]]-Table1[[#This Row],[Change Date]],TODAY()-Table1[[#This Row],[Change Date]])</f>
        <v>388.5222222222219</v>
      </c>
      <c r="Z556" s="476">
        <f t="shared" si="93"/>
        <v>1</v>
      </c>
      <c r="AA556" s="422" t="str">
        <f t="shared" si="94"/>
        <v/>
      </c>
      <c r="AB556" s="422" t="str">
        <f t="shared" si="95"/>
        <v/>
      </c>
      <c r="AC556" s="476" t="str">
        <f t="shared" si="96"/>
        <v/>
      </c>
      <c r="AD556" s="476" t="str">
        <f t="shared" si="97"/>
        <v/>
      </c>
      <c r="AE556" s="476" t="str">
        <f t="shared" si="98"/>
        <v/>
      </c>
      <c r="AF556" s="476" t="b">
        <f>IFERROR(_xlfn.XLOOKUP(Table1[[#This Row],[Opportunity ID]],'Aging Detail'!$H$14:$H$20,'Aging Detail'!$F$14:$F$20),TRUE)</f>
        <v>1</v>
      </c>
    </row>
    <row r="557" spans="1:32">
      <c r="A557" t="s">
        <v>1461</v>
      </c>
      <c r="B557" t="s">
        <v>408</v>
      </c>
      <c r="C557" t="s">
        <v>462</v>
      </c>
      <c r="D557" t="s">
        <v>2868</v>
      </c>
      <c r="E557" t="s">
        <v>2869</v>
      </c>
      <c r="I557" s="422">
        <v>45685</v>
      </c>
      <c r="J557" s="422">
        <v>46387</v>
      </c>
      <c r="L557">
        <v>0</v>
      </c>
      <c r="M557" t="s">
        <v>2870</v>
      </c>
      <c r="N557" t="s">
        <v>1642</v>
      </c>
      <c r="O557" t="str">
        <f>_xlfn.IFNA(VLOOKUP(Table1[[#This Row],[Lead Source]],'helper tab'!A:B,2,FALSE),"Exclude")</f>
        <v>Exclude</v>
      </c>
      <c r="P557" s="422">
        <f t="shared" si="88"/>
        <v>45869.470833333333</v>
      </c>
      <c r="Q557">
        <f t="shared" si="89"/>
        <v>1</v>
      </c>
      <c r="R557">
        <f t="shared" si="90"/>
        <v>0</v>
      </c>
      <c r="S557">
        <f>IF(
AND($Q557=1,$M557&lt;&gt;""),
IF(
COUNTIFS(
$M$3:$M557,$M557,
$O$3:$O557,$O557,
$Q$3:$Q557,1,
$P$3:$P557,"&gt;="&amp;EOMONTH($P557,-1)+1,
$P$3:$P557,"&lt;"&amp;EOMONTH($P557,0)+1
)=1,
1,
0),
0)</f>
        <v>1</v>
      </c>
      <c r="T557">
        <f>IF(AND($R557=1,$M557&lt;&gt;""),IF(COUNTIFS($M$3:$M557,$M557,$O$3:$O557,$O557,$R$3:$R557,1,$P$3:$P557,"&gt;="&amp;EOMONTH($P557,-1)+1,$P$3:$P557,"&lt;"&amp;EOMONTH($P557,0)+1)=1,1,0),0)</f>
        <v>0</v>
      </c>
      <c r="U557">
        <f t="shared" si="91"/>
        <v>0</v>
      </c>
      <c r="V557">
        <f>IF(AND($U557=1,$M557&lt;&gt;""),IF(COUNTIFS($M$3:$M557,$M557,$O$3:$O557,$O557,$U$3:$U557,1,$P$3:$P557,"&gt;="&amp;EOMONTH($P557,-1)+1,$P$3:$P557,"&lt;"&amp;EOMONTH($P557,0)+1)=1,1,0),0)</f>
        <v>0</v>
      </c>
      <c r="W557" s="444">
        <f ca="1">TODAY()-Table1[[#This Row],[Change Date]]</f>
        <v>388.52916666666715</v>
      </c>
      <c r="X557" s="422" t="str">
        <f t="shared" si="92"/>
        <v/>
      </c>
      <c r="Y557" s="476">
        <f ca="1">IF(Table1[[#This Row],[Next Stage Date]]&lt;&gt;"",Table1[[#This Row],[Next Stage Date]]-Table1[[#This Row],[Change Date]],TODAY()-Table1[[#This Row],[Change Date]])</f>
        <v>388.52916666666715</v>
      </c>
      <c r="Z557" s="476">
        <f t="shared" si="93"/>
        <v>1</v>
      </c>
      <c r="AA557" s="422" t="str">
        <f t="shared" si="94"/>
        <v/>
      </c>
      <c r="AB557" s="422">
        <f t="shared" si="95"/>
        <v>45869.470833333333</v>
      </c>
      <c r="AC557" s="476">
        <f t="shared" si="96"/>
        <v>184.47083333333285</v>
      </c>
      <c r="AD557" s="476" t="str">
        <f t="shared" si="97"/>
        <v/>
      </c>
      <c r="AE557" s="476" t="str">
        <f t="shared" si="98"/>
        <v/>
      </c>
      <c r="AF557" s="476" t="b">
        <f>IFERROR(_xlfn.XLOOKUP(Table1[[#This Row],[Opportunity ID]],'Aging Detail'!$H$14:$H$20,'Aging Detail'!$F$14:$F$20),TRUE)</f>
        <v>1</v>
      </c>
    </row>
    <row r="558" spans="1:32">
      <c r="A558" t="s">
        <v>1461</v>
      </c>
      <c r="B558" t="s">
        <v>408</v>
      </c>
      <c r="C558" t="s">
        <v>1462</v>
      </c>
      <c r="D558" t="s">
        <v>2871</v>
      </c>
      <c r="E558" t="s">
        <v>2104</v>
      </c>
      <c r="F558" t="s">
        <v>148</v>
      </c>
      <c r="H558" t="s">
        <v>2105</v>
      </c>
      <c r="I558" s="422">
        <v>45853</v>
      </c>
      <c r="J558" s="422">
        <v>46108</v>
      </c>
      <c r="K558">
        <v>166978.4</v>
      </c>
      <c r="L558">
        <v>100478.39999999999</v>
      </c>
      <c r="M558" t="s">
        <v>2106</v>
      </c>
      <c r="N558" t="s">
        <v>2107</v>
      </c>
      <c r="O558" t="str">
        <f>_xlfn.IFNA(VLOOKUP(Table1[[#This Row],[Lead Source]],'helper tab'!A:B,2,FALSE),"Exclude")</f>
        <v>Alliances</v>
      </c>
      <c r="P558" s="422">
        <f t="shared" si="88"/>
        <v>45869.404861111114</v>
      </c>
      <c r="Q558">
        <f t="shared" si="89"/>
        <v>0</v>
      </c>
      <c r="R558">
        <f t="shared" si="90"/>
        <v>0</v>
      </c>
      <c r="S558">
        <f>IF(
AND($Q558=1,$M558&lt;&gt;""),
IF(
COUNTIFS(
$M$3:$M558,$M558,
$O$3:$O558,$O558,
$Q$3:$Q558,1,
$P$3:$P558,"&gt;="&amp;EOMONTH($P558,-1)+1,
$P$3:$P558,"&lt;"&amp;EOMONTH($P558,0)+1
)=1,
1,
0),
0)</f>
        <v>0</v>
      </c>
      <c r="T558">
        <f>IF(AND($R558=1,$M558&lt;&gt;""),IF(COUNTIFS($M$3:$M558,$M558,$O$3:$O558,$O558,$R$3:$R558,1,$P$3:$P558,"&gt;="&amp;EOMONTH($P558,-1)+1,$P$3:$P558,"&lt;"&amp;EOMONTH($P558,0)+1)=1,1,0),0)</f>
        <v>0</v>
      </c>
      <c r="U558">
        <f t="shared" si="91"/>
        <v>0</v>
      </c>
      <c r="V558">
        <f>IF(AND($U558=1,$M558&lt;&gt;""),IF(COUNTIFS($M$3:$M558,$M558,$O$3:$O558,$O558,$U$3:$U558,1,$P$3:$P558,"&gt;="&amp;EOMONTH($P558,-1)+1,$P$3:$P558,"&lt;"&amp;EOMONTH($P558,0)+1)=1,1,0),0)</f>
        <v>0</v>
      </c>
      <c r="W558" s="444">
        <f ca="1">TODAY()-Table1[[#This Row],[Change Date]]</f>
        <v>388.59513888888614</v>
      </c>
      <c r="X558" s="422">
        <f t="shared" si="92"/>
        <v>46058.530555555553</v>
      </c>
      <c r="Y558" s="476">
        <f ca="1">IF(Table1[[#This Row],[Next Stage Date]]&lt;&gt;"",Table1[[#This Row],[Next Stage Date]]-Table1[[#This Row],[Change Date]],TODAY()-Table1[[#This Row],[Change Date]])</f>
        <v>189.12569444443943</v>
      </c>
      <c r="Z558" s="476">
        <f t="shared" si="93"/>
        <v>0</v>
      </c>
      <c r="AA558" s="422">
        <f t="shared" si="94"/>
        <v>46112.43472222222</v>
      </c>
      <c r="AB558" s="422">
        <f t="shared" si="95"/>
        <v>46058.530555555553</v>
      </c>
      <c r="AC558" s="476">
        <f t="shared" si="96"/>
        <v>205.53055555555329</v>
      </c>
      <c r="AD558" s="476">
        <f t="shared" si="97"/>
        <v>53.904166666667152</v>
      </c>
      <c r="AE558" s="476">
        <f t="shared" si="98"/>
        <v>259.43472222222044</v>
      </c>
      <c r="AF558" s="476" t="b">
        <f>IFERROR(_xlfn.XLOOKUP(Table1[[#This Row],[Opportunity ID]],'Aging Detail'!$H$14:$H$20,'Aging Detail'!$F$14:$F$20),TRUE)</f>
        <v>1</v>
      </c>
    </row>
    <row r="559" spans="1:32">
      <c r="A559" t="s">
        <v>1461</v>
      </c>
      <c r="B559" t="s">
        <v>408</v>
      </c>
      <c r="C559" t="s">
        <v>1462</v>
      </c>
      <c r="D559" t="s">
        <v>2872</v>
      </c>
      <c r="E559" t="s">
        <v>2021</v>
      </c>
      <c r="F559" t="s">
        <v>1464</v>
      </c>
      <c r="I559" s="422">
        <v>45789</v>
      </c>
      <c r="J559" s="422">
        <v>46325</v>
      </c>
      <c r="K559">
        <v>1330000</v>
      </c>
      <c r="L559">
        <v>990000</v>
      </c>
      <c r="M559" t="s">
        <v>2873</v>
      </c>
      <c r="N559" t="s">
        <v>2021</v>
      </c>
      <c r="O559" t="str">
        <f>_xlfn.IFNA(VLOOKUP(Table1[[#This Row],[Lead Source]],'helper tab'!A:B,2,FALSE),"Exclude")</f>
        <v>Cold</v>
      </c>
      <c r="P559" s="422">
        <f t="shared" si="88"/>
        <v>45869.392361111109</v>
      </c>
      <c r="Q559">
        <f t="shared" si="89"/>
        <v>0</v>
      </c>
      <c r="R559">
        <f t="shared" si="90"/>
        <v>0</v>
      </c>
      <c r="S559">
        <f>IF(
AND($Q559=1,$M559&lt;&gt;""),
IF(
COUNTIFS(
$M$3:$M559,$M559,
$O$3:$O559,$O559,
$Q$3:$Q559,1,
$P$3:$P559,"&gt;="&amp;EOMONTH($P559,-1)+1,
$P$3:$P559,"&lt;"&amp;EOMONTH($P559,0)+1
)=1,
1,
0),
0)</f>
        <v>0</v>
      </c>
      <c r="T559">
        <f>IF(AND($R559=1,$M559&lt;&gt;""),IF(COUNTIFS($M$3:$M559,$M559,$O$3:$O559,$O559,$R$3:$R559,1,$P$3:$P559,"&gt;="&amp;EOMONTH($P559,-1)+1,$P$3:$P559,"&lt;"&amp;EOMONTH($P559,0)+1)=1,1,0),0)</f>
        <v>0</v>
      </c>
      <c r="U559">
        <f t="shared" si="91"/>
        <v>0</v>
      </c>
      <c r="V559">
        <f>IF(AND($U559=1,$M559&lt;&gt;""),IF(COUNTIFS($M$3:$M559,$M559,$O$3:$O559,$O559,$U$3:$U559,1,$P$3:$P559,"&gt;="&amp;EOMONTH($P559,-1)+1,$P$3:$P559,"&lt;"&amp;EOMONTH($P559,0)+1)=1,1,0),0)</f>
        <v>0</v>
      </c>
      <c r="W559" s="444">
        <f ca="1">TODAY()-Table1[[#This Row],[Change Date]]</f>
        <v>388.60763888889051</v>
      </c>
      <c r="X559" s="422" t="str">
        <f t="shared" si="92"/>
        <v/>
      </c>
      <c r="Y559" s="476">
        <f ca="1">IF(Table1[[#This Row],[Next Stage Date]]&lt;&gt;"",Table1[[#This Row],[Next Stage Date]]-Table1[[#This Row],[Change Date]],TODAY()-Table1[[#This Row],[Change Date]])</f>
        <v>388.60763888889051</v>
      </c>
      <c r="Z559" s="476">
        <f t="shared" si="93"/>
        <v>1</v>
      </c>
      <c r="AA559" s="422" t="str">
        <f t="shared" si="94"/>
        <v/>
      </c>
      <c r="AB559" s="422" t="str">
        <f t="shared" si="95"/>
        <v/>
      </c>
      <c r="AC559" s="476" t="str">
        <f t="shared" si="96"/>
        <v/>
      </c>
      <c r="AD559" s="476" t="str">
        <f t="shared" si="97"/>
        <v/>
      </c>
      <c r="AE559" s="476" t="str">
        <f t="shared" si="98"/>
        <v/>
      </c>
      <c r="AF559" s="476" t="b">
        <f>IFERROR(_xlfn.XLOOKUP(Table1[[#This Row],[Opportunity ID]],'Aging Detail'!$H$14:$H$20,'Aging Detail'!$F$14:$F$20),TRUE)</f>
        <v>1</v>
      </c>
    </row>
    <row r="560" spans="1:32">
      <c r="A560" t="s">
        <v>1461</v>
      </c>
      <c r="B560" t="s">
        <v>462</v>
      </c>
      <c r="C560" t="s">
        <v>526</v>
      </c>
      <c r="D560" t="s">
        <v>2874</v>
      </c>
      <c r="E560" t="s">
        <v>2822</v>
      </c>
      <c r="F560" t="s">
        <v>1463</v>
      </c>
      <c r="H560" t="s">
        <v>1841</v>
      </c>
      <c r="I560" s="422">
        <v>45869</v>
      </c>
      <c r="J560" s="422">
        <v>45888</v>
      </c>
      <c r="K560">
        <v>137000</v>
      </c>
      <c r="L560">
        <v>137000</v>
      </c>
      <c r="M560" t="s">
        <v>2823</v>
      </c>
      <c r="N560" t="s">
        <v>2017</v>
      </c>
      <c r="O560" t="str">
        <f>_xlfn.IFNA(VLOOKUP(Table1[[#This Row],[Lead Source]],'helper tab'!A:B,2,FALSE),"Exclude")</f>
        <v>Cold</v>
      </c>
      <c r="P560" s="422">
        <f t="shared" si="88"/>
        <v>45869.384027777778</v>
      </c>
      <c r="Q560">
        <f t="shared" si="89"/>
        <v>1</v>
      </c>
      <c r="R560">
        <f t="shared" si="90"/>
        <v>0</v>
      </c>
      <c r="S560">
        <f>IF(
AND($Q560=1,$M560&lt;&gt;""),
IF(
COUNTIFS(
$M$3:$M560,$M560,
$O$3:$O560,$O560,
$Q$3:$Q560,1,
$P$3:$P560,"&gt;="&amp;EOMONTH($P560,-1)+1,
$P$3:$P560,"&lt;"&amp;EOMONTH($P560,0)+1
)=1,
1,
0),
0)</f>
        <v>1</v>
      </c>
      <c r="T560">
        <f>IF(AND($R560=1,$M560&lt;&gt;""),IF(COUNTIFS($M$3:$M560,$M560,$O$3:$O560,$O560,$R$3:$R560,1,$P$3:$P560,"&gt;="&amp;EOMONTH($P560,-1)+1,$P$3:$P560,"&lt;"&amp;EOMONTH($P560,0)+1)=1,1,0),0)</f>
        <v>0</v>
      </c>
      <c r="U560">
        <f t="shared" si="91"/>
        <v>0</v>
      </c>
      <c r="V560">
        <f>IF(AND($U560=1,$M560&lt;&gt;""),IF(COUNTIFS($M$3:$M560,$M560,$O$3:$O560,$O560,$U$3:$U560,1,$P$3:$P560,"&gt;="&amp;EOMONTH($P560,-1)+1,$P$3:$P560,"&lt;"&amp;EOMONTH($P560,0)+1)=1,1,0),0)</f>
        <v>0</v>
      </c>
      <c r="W560" s="444">
        <f ca="1">TODAY()-Table1[[#This Row],[Change Date]]</f>
        <v>388.6159722222219</v>
      </c>
      <c r="X560" s="422">
        <f t="shared" si="92"/>
        <v>45888.390972222223</v>
      </c>
      <c r="Y560" s="476">
        <f ca="1">IF(Table1[[#This Row],[Next Stage Date]]&lt;&gt;"",Table1[[#This Row],[Next Stage Date]]-Table1[[#This Row],[Change Date]],TODAY()-Table1[[#This Row],[Change Date]])</f>
        <v>19.006944444445253</v>
      </c>
      <c r="Z560" s="476">
        <f t="shared" si="93"/>
        <v>0</v>
      </c>
      <c r="AA560" s="422">
        <f t="shared" si="94"/>
        <v>45888.390972222223</v>
      </c>
      <c r="AB560" s="422">
        <f t="shared" si="95"/>
        <v>45869.384027777778</v>
      </c>
      <c r="AC560" s="476">
        <f t="shared" si="96"/>
        <v>0.38402777777810115</v>
      </c>
      <c r="AD560" s="476">
        <f t="shared" si="97"/>
        <v>19.006944444445253</v>
      </c>
      <c r="AE560" s="476">
        <f t="shared" si="98"/>
        <v>19.390972222223354</v>
      </c>
      <c r="AF560" s="476" t="b">
        <f>IFERROR(_xlfn.XLOOKUP(Table1[[#This Row],[Opportunity ID]],'Aging Detail'!$H$14:$H$20,'Aging Detail'!$F$14:$F$20),TRUE)</f>
        <v>1</v>
      </c>
    </row>
    <row r="561" spans="1:32">
      <c r="A561" t="s">
        <v>1461</v>
      </c>
      <c r="B561" t="s">
        <v>1462</v>
      </c>
      <c r="C561" t="s">
        <v>462</v>
      </c>
      <c r="D561" t="s">
        <v>2874</v>
      </c>
      <c r="E561" t="s">
        <v>2822</v>
      </c>
      <c r="F561" t="s">
        <v>1463</v>
      </c>
      <c r="H561" t="s">
        <v>1841</v>
      </c>
      <c r="I561" s="422">
        <v>45869</v>
      </c>
      <c r="J561" s="422">
        <v>45888</v>
      </c>
      <c r="K561">
        <v>137000</v>
      </c>
      <c r="L561">
        <v>137000</v>
      </c>
      <c r="M561" t="s">
        <v>2823</v>
      </c>
      <c r="N561" t="s">
        <v>2017</v>
      </c>
      <c r="O561" t="str">
        <f>_xlfn.IFNA(VLOOKUP(Table1[[#This Row],[Lead Source]],'helper tab'!A:B,2,FALSE),"Exclude")</f>
        <v>Cold</v>
      </c>
      <c r="P561" s="422">
        <f t="shared" si="88"/>
        <v>45869.384027777778</v>
      </c>
      <c r="Q561">
        <f t="shared" si="89"/>
        <v>1</v>
      </c>
      <c r="R561">
        <f t="shared" si="90"/>
        <v>0</v>
      </c>
      <c r="S561">
        <f>IF(
AND($Q561=1,$M561&lt;&gt;""),
IF(
COUNTIFS(
$M$3:$M561,$M561,
$O$3:$O561,$O561,
$Q$3:$Q561,1,
$P$3:$P561,"&gt;="&amp;EOMONTH($P561,-1)+1,
$P$3:$P561,"&lt;"&amp;EOMONTH($P561,0)+1
)=1,
1,
0),
0)</f>
        <v>0</v>
      </c>
      <c r="T561">
        <f>IF(AND($R561=1,$M561&lt;&gt;""),IF(COUNTIFS($M$3:$M561,$M561,$O$3:$O561,$O561,$R$3:$R561,1,$P$3:$P561,"&gt;="&amp;EOMONTH($P561,-1)+1,$P$3:$P561,"&lt;"&amp;EOMONTH($P561,0)+1)=1,1,0),0)</f>
        <v>0</v>
      </c>
      <c r="U561">
        <f t="shared" si="91"/>
        <v>0</v>
      </c>
      <c r="V561">
        <f>IF(AND($U561=1,$M561&lt;&gt;""),IF(COUNTIFS($M$3:$M561,$M561,$O$3:$O561,$O561,$U$3:$U561,1,$P$3:$P561,"&gt;="&amp;EOMONTH($P561,-1)+1,$P$3:$P561,"&lt;"&amp;EOMONTH($P561,0)+1)=1,1,0),0)</f>
        <v>0</v>
      </c>
      <c r="W561" s="444">
        <f ca="1">TODAY()-Table1[[#This Row],[Change Date]]</f>
        <v>388.6159722222219</v>
      </c>
      <c r="X561" s="422">
        <f t="shared" si="92"/>
        <v>45888.390972222223</v>
      </c>
      <c r="Y561" s="476">
        <f ca="1">IF(Table1[[#This Row],[Next Stage Date]]&lt;&gt;"",Table1[[#This Row],[Next Stage Date]]-Table1[[#This Row],[Change Date]],TODAY()-Table1[[#This Row],[Change Date]])</f>
        <v>19.006944444445253</v>
      </c>
      <c r="Z561" s="476">
        <f t="shared" si="93"/>
        <v>0</v>
      </c>
      <c r="AA561" s="422">
        <f t="shared" si="94"/>
        <v>45888.390972222223</v>
      </c>
      <c r="AB561" s="422">
        <f t="shared" si="95"/>
        <v>45869.384027777778</v>
      </c>
      <c r="AC561" s="476">
        <f t="shared" si="96"/>
        <v>0.38402777777810115</v>
      </c>
      <c r="AD561" s="476">
        <f t="shared" si="97"/>
        <v>19.006944444445253</v>
      </c>
      <c r="AE561" s="476">
        <f t="shared" si="98"/>
        <v>19.390972222223354</v>
      </c>
      <c r="AF561" s="476" t="b">
        <f>IFERROR(_xlfn.XLOOKUP(Table1[[#This Row],[Opportunity ID]],'Aging Detail'!$H$14:$H$20,'Aging Detail'!$F$14:$F$20),TRUE)</f>
        <v>1</v>
      </c>
    </row>
    <row r="562" spans="1:32">
      <c r="A562" t="s">
        <v>1461</v>
      </c>
      <c r="B562" t="s">
        <v>408</v>
      </c>
      <c r="C562" t="s">
        <v>1462</v>
      </c>
      <c r="D562" t="s">
        <v>2874</v>
      </c>
      <c r="E562" t="s">
        <v>2822</v>
      </c>
      <c r="F562" t="s">
        <v>1463</v>
      </c>
      <c r="H562" t="s">
        <v>1841</v>
      </c>
      <c r="I562" s="422">
        <v>45869</v>
      </c>
      <c r="J562" s="422">
        <v>45888</v>
      </c>
      <c r="K562">
        <v>137000</v>
      </c>
      <c r="L562">
        <v>137000</v>
      </c>
      <c r="M562" t="s">
        <v>2823</v>
      </c>
      <c r="N562" t="s">
        <v>2017</v>
      </c>
      <c r="O562" t="str">
        <f>_xlfn.IFNA(VLOOKUP(Table1[[#This Row],[Lead Source]],'helper tab'!A:B,2,FALSE),"Exclude")</f>
        <v>Cold</v>
      </c>
      <c r="P562" s="422">
        <f t="shared" si="88"/>
        <v>45869.384027777778</v>
      </c>
      <c r="Q562">
        <f t="shared" si="89"/>
        <v>0</v>
      </c>
      <c r="R562">
        <f t="shared" si="90"/>
        <v>0</v>
      </c>
      <c r="S562">
        <f>IF(
AND($Q562=1,$M562&lt;&gt;""),
IF(
COUNTIFS(
$M$3:$M562,$M562,
$O$3:$O562,$O562,
$Q$3:$Q562,1,
$P$3:$P562,"&gt;="&amp;EOMONTH($P562,-1)+1,
$P$3:$P562,"&lt;"&amp;EOMONTH($P562,0)+1
)=1,
1,
0),
0)</f>
        <v>0</v>
      </c>
      <c r="T562">
        <f>IF(AND($R562=1,$M562&lt;&gt;""),IF(COUNTIFS($M$3:$M562,$M562,$O$3:$O562,$O562,$R$3:$R562,1,$P$3:$P562,"&gt;="&amp;EOMONTH($P562,-1)+1,$P$3:$P562,"&lt;"&amp;EOMONTH($P562,0)+1)=1,1,0),0)</f>
        <v>0</v>
      </c>
      <c r="U562">
        <f t="shared" si="91"/>
        <v>0</v>
      </c>
      <c r="V562">
        <f>IF(AND($U562=1,$M562&lt;&gt;""),IF(COUNTIFS($M$3:$M562,$M562,$O$3:$O562,$O562,$U$3:$U562,1,$P$3:$P562,"&gt;="&amp;EOMONTH($P562,-1)+1,$P$3:$P562,"&lt;"&amp;EOMONTH($P562,0)+1)=1,1,0),0)</f>
        <v>0</v>
      </c>
      <c r="W562" s="444">
        <f ca="1">TODAY()-Table1[[#This Row],[Change Date]]</f>
        <v>388.6159722222219</v>
      </c>
      <c r="X562" s="422">
        <f t="shared" si="92"/>
        <v>45888.390972222223</v>
      </c>
      <c r="Y562" s="476">
        <f ca="1">IF(Table1[[#This Row],[Next Stage Date]]&lt;&gt;"",Table1[[#This Row],[Next Stage Date]]-Table1[[#This Row],[Change Date]],TODAY()-Table1[[#This Row],[Change Date]])</f>
        <v>19.006944444445253</v>
      </c>
      <c r="Z562" s="476">
        <f t="shared" si="93"/>
        <v>0</v>
      </c>
      <c r="AA562" s="422">
        <f t="shared" si="94"/>
        <v>45888.390972222223</v>
      </c>
      <c r="AB562" s="422">
        <f t="shared" si="95"/>
        <v>45869.384027777778</v>
      </c>
      <c r="AC562" s="476">
        <f t="shared" si="96"/>
        <v>0.38402777777810115</v>
      </c>
      <c r="AD562" s="476">
        <f t="shared" si="97"/>
        <v>19.006944444445253</v>
      </c>
      <c r="AE562" s="476">
        <f t="shared" si="98"/>
        <v>19.390972222223354</v>
      </c>
      <c r="AF562" s="476" t="b">
        <f>IFERROR(_xlfn.XLOOKUP(Table1[[#This Row],[Opportunity ID]],'Aging Detail'!$H$14:$H$20,'Aging Detail'!$F$14:$F$20),TRUE)</f>
        <v>1</v>
      </c>
    </row>
    <row r="563" spans="1:32">
      <c r="A563" t="s">
        <v>1461</v>
      </c>
      <c r="B563" t="s">
        <v>338</v>
      </c>
      <c r="C563" t="s">
        <v>1469</v>
      </c>
      <c r="D563" t="s">
        <v>2875</v>
      </c>
      <c r="E563" t="s">
        <v>471</v>
      </c>
      <c r="F563" t="s">
        <v>470</v>
      </c>
      <c r="I563" s="422">
        <v>45632</v>
      </c>
      <c r="J563" s="422">
        <v>45997</v>
      </c>
      <c r="L563">
        <v>0</v>
      </c>
      <c r="M563" t="s">
        <v>2876</v>
      </c>
      <c r="N563" t="s">
        <v>2877</v>
      </c>
      <c r="O563" t="str">
        <f>_xlfn.IFNA(VLOOKUP(Table1[[#This Row],[Lead Source]],'helper tab'!A:B,2,FALSE),"Exclude")</f>
        <v>Digital</v>
      </c>
      <c r="P563" s="422">
        <f t="shared" si="88"/>
        <v>45868.6</v>
      </c>
      <c r="Q563">
        <f t="shared" si="89"/>
        <v>0</v>
      </c>
      <c r="R563">
        <f t="shared" si="90"/>
        <v>0</v>
      </c>
      <c r="S563">
        <f>IF(
AND($Q563=1,$M563&lt;&gt;""),
IF(
COUNTIFS(
$M$3:$M563,$M563,
$O$3:$O563,$O563,
$Q$3:$Q563,1,
$P$3:$P563,"&gt;="&amp;EOMONTH($P563,-1)+1,
$P$3:$P563,"&lt;"&amp;EOMONTH($P563,0)+1
)=1,
1,
0),
0)</f>
        <v>0</v>
      </c>
      <c r="T563">
        <f>IF(AND($R563=1,$M563&lt;&gt;""),IF(COUNTIFS($M$3:$M563,$M563,$O$3:$O563,$O563,$R$3:$R563,1,$P$3:$P563,"&gt;="&amp;EOMONTH($P563,-1)+1,$P$3:$P563,"&lt;"&amp;EOMONTH($P563,0)+1)=1,1,0),0)</f>
        <v>0</v>
      </c>
      <c r="U563">
        <f t="shared" si="91"/>
        <v>1</v>
      </c>
      <c r="V563">
        <f>IF(AND($U563=1,$M563&lt;&gt;""),IF(COUNTIFS($M$3:$M563,$M563,$O$3:$O563,$O563,$U$3:$U563,1,$P$3:$P563,"&gt;="&amp;EOMONTH($P563,-1)+1,$P$3:$P563,"&lt;"&amp;EOMONTH($P563,0)+1)=1,1,0),0)</f>
        <v>1</v>
      </c>
      <c r="W563" s="444">
        <f ca="1">TODAY()-Table1[[#This Row],[Change Date]]</f>
        <v>389.40000000000146</v>
      </c>
      <c r="X563" s="422" t="str">
        <f t="shared" si="92"/>
        <v/>
      </c>
      <c r="Y563" s="476">
        <f ca="1">IF(Table1[[#This Row],[Next Stage Date]]&lt;&gt;"",Table1[[#This Row],[Next Stage Date]]-Table1[[#This Row],[Change Date]],TODAY()-Table1[[#This Row],[Change Date]])</f>
        <v>389.40000000000146</v>
      </c>
      <c r="Z563" s="476">
        <f t="shared" si="93"/>
        <v>1</v>
      </c>
      <c r="AA563" s="422" t="str">
        <f t="shared" si="94"/>
        <v/>
      </c>
      <c r="AB563" s="422" t="str">
        <f t="shared" si="95"/>
        <v/>
      </c>
      <c r="AC563" s="476" t="str">
        <f t="shared" si="96"/>
        <v/>
      </c>
      <c r="AD563" s="476" t="str">
        <f t="shared" si="97"/>
        <v/>
      </c>
      <c r="AE563" s="476" t="str">
        <f t="shared" si="98"/>
        <v/>
      </c>
      <c r="AF563" s="476" t="b">
        <f>IFERROR(_xlfn.XLOOKUP(Table1[[#This Row],[Opportunity ID]],'Aging Detail'!$H$14:$H$20,'Aging Detail'!$F$14:$F$20),TRUE)</f>
        <v>1</v>
      </c>
    </row>
    <row r="564" spans="1:32">
      <c r="A564" t="s">
        <v>1461</v>
      </c>
      <c r="B564" t="s">
        <v>408</v>
      </c>
      <c r="C564" t="s">
        <v>1462</v>
      </c>
      <c r="D564" t="s">
        <v>2878</v>
      </c>
      <c r="E564" t="s">
        <v>2446</v>
      </c>
      <c r="F564" t="s">
        <v>148</v>
      </c>
      <c r="G564" t="s">
        <v>1562</v>
      </c>
      <c r="H564" t="s">
        <v>2447</v>
      </c>
      <c r="I564" s="422">
        <v>45618</v>
      </c>
      <c r="J564" s="422">
        <v>46072</v>
      </c>
      <c r="K564">
        <v>248232</v>
      </c>
      <c r="L564">
        <v>83232</v>
      </c>
      <c r="M564" t="s">
        <v>2448</v>
      </c>
      <c r="N564" t="s">
        <v>2449</v>
      </c>
      <c r="O564" t="str">
        <f>_xlfn.IFNA(VLOOKUP(Table1[[#This Row],[Lead Source]],'helper tab'!A:B,2,FALSE),"Exclude")</f>
        <v>Alliances</v>
      </c>
      <c r="P564" s="422">
        <f t="shared" si="88"/>
        <v>45868.579861111109</v>
      </c>
      <c r="Q564">
        <f t="shared" si="89"/>
        <v>0</v>
      </c>
      <c r="R564">
        <f t="shared" si="90"/>
        <v>0</v>
      </c>
      <c r="S564">
        <f>IF(
AND($Q564=1,$M564&lt;&gt;""),
IF(
COUNTIFS(
$M$3:$M564,$M564,
$O$3:$O564,$O564,
$Q$3:$Q564,1,
$P$3:$P564,"&gt;="&amp;EOMONTH($P564,-1)+1,
$P$3:$P564,"&lt;"&amp;EOMONTH($P564,0)+1
)=1,
1,
0),
0)</f>
        <v>0</v>
      </c>
      <c r="T564">
        <f>IF(AND($R564=1,$M564&lt;&gt;""),IF(COUNTIFS($M$3:$M564,$M564,$O$3:$O564,$O564,$R$3:$R564,1,$P$3:$P564,"&gt;="&amp;EOMONTH($P564,-1)+1,$P$3:$P564,"&lt;"&amp;EOMONTH($P564,0)+1)=1,1,0),0)</f>
        <v>0</v>
      </c>
      <c r="U564">
        <f t="shared" si="91"/>
        <v>0</v>
      </c>
      <c r="V564">
        <f>IF(AND($U564=1,$M564&lt;&gt;""),IF(COUNTIFS($M$3:$M564,$M564,$O$3:$O564,$O564,$U$3:$U564,1,$P$3:$P564,"&gt;="&amp;EOMONTH($P564,-1)+1,$P$3:$P564,"&lt;"&amp;EOMONTH($P564,0)+1)=1,1,0),0)</f>
        <v>0</v>
      </c>
      <c r="W564" s="444">
        <f ca="1">TODAY()-Table1[[#This Row],[Change Date]]</f>
        <v>389.42013888889051</v>
      </c>
      <c r="X564" s="422">
        <f t="shared" si="92"/>
        <v>45994.347222222219</v>
      </c>
      <c r="Y564" s="476">
        <f ca="1">IF(Table1[[#This Row],[Next Stage Date]]&lt;&gt;"",Table1[[#This Row],[Next Stage Date]]-Table1[[#This Row],[Change Date]],TODAY()-Table1[[#This Row],[Change Date]])</f>
        <v>125.76736111110949</v>
      </c>
      <c r="Z564" s="476">
        <f t="shared" si="93"/>
        <v>0</v>
      </c>
      <c r="AA564" s="422" t="str">
        <f t="shared" si="94"/>
        <v/>
      </c>
      <c r="AB564" s="422" t="str">
        <f t="shared" si="95"/>
        <v/>
      </c>
      <c r="AC564" s="476" t="str">
        <f t="shared" si="96"/>
        <v/>
      </c>
      <c r="AD564" s="476" t="str">
        <f t="shared" si="97"/>
        <v/>
      </c>
      <c r="AE564" s="476" t="str">
        <f t="shared" si="98"/>
        <v/>
      </c>
      <c r="AF564" s="476" t="b">
        <f>IFERROR(_xlfn.XLOOKUP(Table1[[#This Row],[Opportunity ID]],'Aging Detail'!$H$14:$H$20,'Aging Detail'!$F$14:$F$20),TRUE)</f>
        <v>1</v>
      </c>
    </row>
    <row r="565" spans="1:32">
      <c r="A565" t="s">
        <v>1461</v>
      </c>
      <c r="B565" t="s">
        <v>462</v>
      </c>
      <c r="C565" t="s">
        <v>526</v>
      </c>
      <c r="D565" t="s">
        <v>2879</v>
      </c>
      <c r="E565" t="s">
        <v>2829</v>
      </c>
      <c r="I565" s="422">
        <v>45811</v>
      </c>
      <c r="J565" s="422">
        <v>45884</v>
      </c>
      <c r="K565">
        <v>412181</v>
      </c>
      <c r="L565">
        <v>37471</v>
      </c>
      <c r="M565" t="s">
        <v>2830</v>
      </c>
      <c r="N565" t="s">
        <v>1629</v>
      </c>
      <c r="O565" t="str">
        <f>_xlfn.IFNA(VLOOKUP(Table1[[#This Row],[Lead Source]],'helper tab'!A:B,2,FALSE),"Exclude")</f>
        <v>Exclude</v>
      </c>
      <c r="P565" s="422">
        <f t="shared" si="88"/>
        <v>45868.229861111111</v>
      </c>
      <c r="Q565">
        <f t="shared" si="89"/>
        <v>1</v>
      </c>
      <c r="R565">
        <f t="shared" si="90"/>
        <v>0</v>
      </c>
      <c r="S565">
        <f>IF(
AND($Q565=1,$M565&lt;&gt;""),
IF(
COUNTIFS(
$M$3:$M565,$M565,
$O$3:$O565,$O565,
$Q$3:$Q565,1,
$P$3:$P565,"&gt;="&amp;EOMONTH($P565,-1)+1,
$P$3:$P565,"&lt;"&amp;EOMONTH($P565,0)+1
)=1,
1,
0),
0)</f>
        <v>1</v>
      </c>
      <c r="T565">
        <f>IF(AND($R565=1,$M565&lt;&gt;""),IF(COUNTIFS($M$3:$M565,$M565,$O$3:$O565,$O565,$R$3:$R565,1,$P$3:$P565,"&gt;="&amp;EOMONTH($P565,-1)+1,$P$3:$P565,"&lt;"&amp;EOMONTH($P565,0)+1)=1,1,0),0)</f>
        <v>0</v>
      </c>
      <c r="U565">
        <f t="shared" si="91"/>
        <v>0</v>
      </c>
      <c r="V565">
        <f>IF(AND($U565=1,$M565&lt;&gt;""),IF(COUNTIFS($M$3:$M565,$M565,$O$3:$O565,$O565,$U$3:$U565,1,$P$3:$P565,"&gt;="&amp;EOMONTH($P565,-1)+1,$P$3:$P565,"&lt;"&amp;EOMONTH($P565,0)+1)=1,1,0),0)</f>
        <v>0</v>
      </c>
      <c r="W565" s="444">
        <f ca="1">TODAY()-Table1[[#This Row],[Change Date]]</f>
        <v>389.77013888888905</v>
      </c>
      <c r="X565" s="422">
        <f t="shared" si="92"/>
        <v>45884.304166666669</v>
      </c>
      <c r="Y565" s="476">
        <f ca="1">IF(Table1[[#This Row],[Next Stage Date]]&lt;&gt;"",Table1[[#This Row],[Next Stage Date]]-Table1[[#This Row],[Change Date]],TODAY()-Table1[[#This Row],[Change Date]])</f>
        <v>16.074305555557657</v>
      </c>
      <c r="Z565" s="476">
        <f t="shared" si="93"/>
        <v>0</v>
      </c>
      <c r="AA565" s="422">
        <f t="shared" si="94"/>
        <v>45884.304166666669</v>
      </c>
      <c r="AB565" s="422">
        <f t="shared" si="95"/>
        <v>45814.256249999999</v>
      </c>
      <c r="AC565" s="476">
        <f t="shared" si="96"/>
        <v>3.2562499999985448</v>
      </c>
      <c r="AD565" s="476">
        <f t="shared" si="97"/>
        <v>70.047916666670062</v>
      </c>
      <c r="AE565" s="476">
        <f t="shared" si="98"/>
        <v>73.304166666668607</v>
      </c>
      <c r="AF565" s="476" t="b">
        <f>IFERROR(_xlfn.XLOOKUP(Table1[[#This Row],[Opportunity ID]],'Aging Detail'!$H$14:$H$20,'Aging Detail'!$F$14:$F$20),TRUE)</f>
        <v>1</v>
      </c>
    </row>
    <row r="566" spans="1:32">
      <c r="A566" t="s">
        <v>1461</v>
      </c>
      <c r="B566" t="s">
        <v>1462</v>
      </c>
      <c r="C566" t="s">
        <v>526</v>
      </c>
      <c r="D566" t="s">
        <v>2880</v>
      </c>
      <c r="E566" t="s">
        <v>2816</v>
      </c>
      <c r="I566" s="422">
        <v>45833</v>
      </c>
      <c r="J566" s="422">
        <v>45868</v>
      </c>
      <c r="K566">
        <v>37471</v>
      </c>
      <c r="L566">
        <v>37471</v>
      </c>
      <c r="M566" t="s">
        <v>2817</v>
      </c>
      <c r="N566" t="s">
        <v>1629</v>
      </c>
      <c r="O566" t="str">
        <f>_xlfn.IFNA(VLOOKUP(Table1[[#This Row],[Lead Source]],'helper tab'!A:B,2,FALSE),"Exclude")</f>
        <v>Exclude</v>
      </c>
      <c r="P566" s="422">
        <f t="shared" si="88"/>
        <v>45868.228472222225</v>
      </c>
      <c r="Q566">
        <f t="shared" si="89"/>
        <v>1</v>
      </c>
      <c r="R566">
        <f t="shared" si="90"/>
        <v>0</v>
      </c>
      <c r="S566">
        <f>IF(
AND($Q566=1,$M566&lt;&gt;""),
IF(
COUNTIFS(
$M$3:$M566,$M566,
$O$3:$O566,$O566,
$Q$3:$Q566,1,
$P$3:$P566,"&gt;="&amp;EOMONTH($P566,-1)+1,
$P$3:$P566,"&lt;"&amp;EOMONTH($P566,0)+1
)=1,
1,
0),
0)</f>
        <v>1</v>
      </c>
      <c r="T566">
        <f>IF(AND($R566=1,$M566&lt;&gt;""),IF(COUNTIFS($M$3:$M566,$M566,$O$3:$O566,$O566,$R$3:$R566,1,$P$3:$P566,"&gt;="&amp;EOMONTH($P566,-1)+1,$P$3:$P566,"&lt;"&amp;EOMONTH($P566,0)+1)=1,1,0),0)</f>
        <v>0</v>
      </c>
      <c r="U566">
        <f t="shared" si="91"/>
        <v>0</v>
      </c>
      <c r="V566">
        <f>IF(AND($U566=1,$M566&lt;&gt;""),IF(COUNTIFS($M$3:$M566,$M566,$O$3:$O566,$O566,$U$3:$U566,1,$P$3:$P566,"&gt;="&amp;EOMONTH($P566,-1)+1,$P$3:$P566,"&lt;"&amp;EOMONTH($P566,0)+1)=1,1,0),0)</f>
        <v>0</v>
      </c>
      <c r="W566" s="444">
        <f ca="1">TODAY()-Table1[[#This Row],[Change Date]]</f>
        <v>389.77152777777519</v>
      </c>
      <c r="X566" s="422">
        <f t="shared" si="92"/>
        <v>45891.318055555559</v>
      </c>
      <c r="Y566" s="476">
        <f ca="1">IF(Table1[[#This Row],[Next Stage Date]]&lt;&gt;"",Table1[[#This Row],[Next Stage Date]]-Table1[[#This Row],[Change Date]],TODAY()-Table1[[#This Row],[Change Date]])</f>
        <v>23.089583333334303</v>
      </c>
      <c r="Z566" s="476">
        <f t="shared" si="93"/>
        <v>0</v>
      </c>
      <c r="AA566" s="422" t="str">
        <f t="shared" si="94"/>
        <v/>
      </c>
      <c r="AB566" s="422">
        <f t="shared" si="95"/>
        <v>45868.228472222225</v>
      </c>
      <c r="AC566" s="476">
        <f t="shared" si="96"/>
        <v>35.228472222224809</v>
      </c>
      <c r="AD566" s="476" t="str">
        <f t="shared" si="97"/>
        <v/>
      </c>
      <c r="AE566" s="476" t="str">
        <f t="shared" si="98"/>
        <v/>
      </c>
      <c r="AF566" s="476" t="b">
        <f>IFERROR(_xlfn.XLOOKUP(Table1[[#This Row],[Opportunity ID]],'Aging Detail'!$H$14:$H$20,'Aging Detail'!$F$14:$F$20),TRUE)</f>
        <v>1</v>
      </c>
    </row>
    <row r="567" spans="1:32">
      <c r="A567" t="s">
        <v>1461</v>
      </c>
      <c r="B567" t="s">
        <v>462</v>
      </c>
      <c r="C567" t="s">
        <v>526</v>
      </c>
      <c r="D567" t="s">
        <v>2880</v>
      </c>
      <c r="E567" t="s">
        <v>2696</v>
      </c>
      <c r="I567" s="422">
        <v>45777</v>
      </c>
      <c r="J567" s="422">
        <v>45900</v>
      </c>
      <c r="K567">
        <v>4050</v>
      </c>
      <c r="L567">
        <v>0</v>
      </c>
      <c r="M567" t="s">
        <v>2697</v>
      </c>
      <c r="N567" t="s">
        <v>1629</v>
      </c>
      <c r="O567" t="str">
        <f>_xlfn.IFNA(VLOOKUP(Table1[[#This Row],[Lead Source]],'helper tab'!A:B,2,FALSE),"Exclude")</f>
        <v>Exclude</v>
      </c>
      <c r="P567" s="422">
        <f t="shared" si="88"/>
        <v>45868.228472222225</v>
      </c>
      <c r="Q567">
        <f t="shared" si="89"/>
        <v>1</v>
      </c>
      <c r="R567">
        <f t="shared" si="90"/>
        <v>0</v>
      </c>
      <c r="S567">
        <f>IF(
AND($Q567=1,$M567&lt;&gt;""),
IF(
COUNTIFS(
$M$3:$M567,$M567,
$O$3:$O567,$O567,
$Q$3:$Q567,1,
$P$3:$P567,"&gt;="&amp;EOMONTH($P567,-1)+1,
$P$3:$P567,"&lt;"&amp;EOMONTH($P567,0)+1
)=1,
1,
0),
0)</f>
        <v>1</v>
      </c>
      <c r="T567">
        <f>IF(AND($R567=1,$M567&lt;&gt;""),IF(COUNTIFS($M$3:$M567,$M567,$O$3:$O567,$O567,$R$3:$R567,1,$P$3:$P567,"&gt;="&amp;EOMONTH($P567,-1)+1,$P$3:$P567,"&lt;"&amp;EOMONTH($P567,0)+1)=1,1,0),0)</f>
        <v>0</v>
      </c>
      <c r="U567">
        <f t="shared" si="91"/>
        <v>0</v>
      </c>
      <c r="V567">
        <f>IF(AND($U567=1,$M567&lt;&gt;""),IF(COUNTIFS($M$3:$M567,$M567,$O$3:$O567,$O567,$U$3:$U567,1,$P$3:$P567,"&gt;="&amp;EOMONTH($P567,-1)+1,$P$3:$P567,"&lt;"&amp;EOMONTH($P567,0)+1)=1,1,0),0)</f>
        <v>0</v>
      </c>
      <c r="W567" s="444">
        <f ca="1">TODAY()-Table1[[#This Row],[Change Date]]</f>
        <v>389.77152777777519</v>
      </c>
      <c r="X567" s="422">
        <f t="shared" si="92"/>
        <v>45931.395833333336</v>
      </c>
      <c r="Y567" s="476">
        <f ca="1">IF(Table1[[#This Row],[Next Stage Date]]&lt;&gt;"",Table1[[#This Row],[Next Stage Date]]-Table1[[#This Row],[Change Date]],TODAY()-Table1[[#This Row],[Change Date]])</f>
        <v>63.167361111110949</v>
      </c>
      <c r="Z567" s="476">
        <f t="shared" si="93"/>
        <v>0</v>
      </c>
      <c r="AA567" s="422">
        <f t="shared" si="94"/>
        <v>45931.395833333336</v>
      </c>
      <c r="AB567" s="422">
        <f t="shared" si="95"/>
        <v>45868.227777777778</v>
      </c>
      <c r="AC567" s="476">
        <f t="shared" si="96"/>
        <v>91.227777777778101</v>
      </c>
      <c r="AD567" s="476">
        <f t="shared" si="97"/>
        <v>63.168055555557657</v>
      </c>
      <c r="AE567" s="476">
        <f t="shared" si="98"/>
        <v>154.39583333333576</v>
      </c>
      <c r="AF567" s="476" t="b">
        <f>IFERROR(_xlfn.XLOOKUP(Table1[[#This Row],[Opportunity ID]],'Aging Detail'!$H$14:$H$20,'Aging Detail'!$F$14:$F$20),TRUE)</f>
        <v>1</v>
      </c>
    </row>
    <row r="568" spans="1:32">
      <c r="A568" t="s">
        <v>1461</v>
      </c>
      <c r="B568" t="s">
        <v>338</v>
      </c>
      <c r="C568" t="s">
        <v>526</v>
      </c>
      <c r="D568" t="s">
        <v>2880</v>
      </c>
      <c r="E568" t="s">
        <v>2693</v>
      </c>
      <c r="I568" s="422">
        <v>45819</v>
      </c>
      <c r="J568" s="422">
        <v>45868</v>
      </c>
      <c r="K568">
        <v>4050</v>
      </c>
      <c r="L568">
        <v>0</v>
      </c>
      <c r="M568" t="s">
        <v>2694</v>
      </c>
      <c r="N568" t="s">
        <v>1629</v>
      </c>
      <c r="O568" t="str">
        <f>_xlfn.IFNA(VLOOKUP(Table1[[#This Row],[Lead Source]],'helper tab'!A:B,2,FALSE),"Exclude")</f>
        <v>Exclude</v>
      </c>
      <c r="P568" s="422">
        <f t="shared" si="88"/>
        <v>45868.228472222225</v>
      </c>
      <c r="Q568">
        <f t="shared" si="89"/>
        <v>1</v>
      </c>
      <c r="R568">
        <f t="shared" si="90"/>
        <v>0</v>
      </c>
      <c r="S568">
        <f>IF(
AND($Q568=1,$M568&lt;&gt;""),
IF(
COUNTIFS(
$M$3:$M568,$M568,
$O$3:$O568,$O568,
$Q$3:$Q568,1,
$P$3:$P568,"&gt;="&amp;EOMONTH($P568,-1)+1,
$P$3:$P568,"&lt;"&amp;EOMONTH($P568,0)+1
)=1,
1,
0),
0)</f>
        <v>1</v>
      </c>
      <c r="T568">
        <f>IF(AND($R568=1,$M568&lt;&gt;""),IF(COUNTIFS($M$3:$M568,$M568,$O$3:$O568,$O568,$R$3:$R568,1,$P$3:$P568,"&gt;="&amp;EOMONTH($P568,-1)+1,$P$3:$P568,"&lt;"&amp;EOMONTH($P568,0)+1)=1,1,0),0)</f>
        <v>0</v>
      </c>
      <c r="U568">
        <f t="shared" si="91"/>
        <v>0</v>
      </c>
      <c r="V568">
        <f>IF(AND($U568=1,$M568&lt;&gt;""),IF(COUNTIFS($M$3:$M568,$M568,$O$3:$O568,$O568,$U$3:$U568,1,$P$3:$P568,"&gt;="&amp;EOMONTH($P568,-1)+1,$P$3:$P568,"&lt;"&amp;EOMONTH($P568,0)+1)=1,1,0),0)</f>
        <v>0</v>
      </c>
      <c r="W568" s="444">
        <f ca="1">TODAY()-Table1[[#This Row],[Change Date]]</f>
        <v>389.77152777777519</v>
      </c>
      <c r="X568" s="422">
        <f t="shared" si="92"/>
        <v>45931.396527777775</v>
      </c>
      <c r="Y568" s="476">
        <f ca="1">IF(Table1[[#This Row],[Next Stage Date]]&lt;&gt;"",Table1[[#This Row],[Next Stage Date]]-Table1[[#This Row],[Change Date]],TODAY()-Table1[[#This Row],[Change Date]])</f>
        <v>63.168055555550382</v>
      </c>
      <c r="Z568" s="476">
        <f t="shared" si="93"/>
        <v>0</v>
      </c>
      <c r="AA568" s="422">
        <f t="shared" si="94"/>
        <v>45931.396527777775</v>
      </c>
      <c r="AB568" s="422">
        <f t="shared" si="95"/>
        <v>45868.228472222225</v>
      </c>
      <c r="AC568" s="476">
        <f t="shared" si="96"/>
        <v>49.228472222224809</v>
      </c>
      <c r="AD568" s="476">
        <f t="shared" si="97"/>
        <v>63.168055555550382</v>
      </c>
      <c r="AE568" s="476">
        <f t="shared" si="98"/>
        <v>112.39652777777519</v>
      </c>
      <c r="AF568" s="476" t="b">
        <f>IFERROR(_xlfn.XLOOKUP(Table1[[#This Row],[Opportunity ID]],'Aging Detail'!$H$14:$H$20,'Aging Detail'!$F$14:$F$20),TRUE)</f>
        <v>1</v>
      </c>
    </row>
    <row r="569" spans="1:32">
      <c r="A569" t="s">
        <v>1461</v>
      </c>
      <c r="B569" t="s">
        <v>338</v>
      </c>
      <c r="C569" t="s">
        <v>462</v>
      </c>
      <c r="D569" t="s">
        <v>2881</v>
      </c>
      <c r="E569" t="s">
        <v>2696</v>
      </c>
      <c r="I569" s="422">
        <v>45777</v>
      </c>
      <c r="J569" s="422">
        <v>45900</v>
      </c>
      <c r="K569">
        <v>4050</v>
      </c>
      <c r="L569">
        <v>0</v>
      </c>
      <c r="M569" t="s">
        <v>2697</v>
      </c>
      <c r="N569" t="s">
        <v>1629</v>
      </c>
      <c r="O569" t="str">
        <f>_xlfn.IFNA(VLOOKUP(Table1[[#This Row],[Lead Source]],'helper tab'!A:B,2,FALSE),"Exclude")</f>
        <v>Exclude</v>
      </c>
      <c r="P569" s="422">
        <f t="shared" si="88"/>
        <v>45868.227777777778</v>
      </c>
      <c r="Q569">
        <f t="shared" si="89"/>
        <v>1</v>
      </c>
      <c r="R569">
        <f t="shared" si="90"/>
        <v>0</v>
      </c>
      <c r="S569">
        <f>IF(
AND($Q569=1,$M569&lt;&gt;""),
IF(
COUNTIFS(
$M$3:$M569,$M569,
$O$3:$O569,$O569,
$Q$3:$Q569,1,
$P$3:$P569,"&gt;="&amp;EOMONTH($P569,-1)+1,
$P$3:$P569,"&lt;"&amp;EOMONTH($P569,0)+1
)=1,
1,
0),
0)</f>
        <v>0</v>
      </c>
      <c r="T569">
        <f>IF(AND($R569=1,$M569&lt;&gt;""),IF(COUNTIFS($M$3:$M569,$M569,$O$3:$O569,$O569,$R$3:$R569,1,$P$3:$P569,"&gt;="&amp;EOMONTH($P569,-1)+1,$P$3:$P569,"&lt;"&amp;EOMONTH($P569,0)+1)=1,1,0),0)</f>
        <v>0</v>
      </c>
      <c r="U569">
        <f t="shared" si="91"/>
        <v>0</v>
      </c>
      <c r="V569">
        <f>IF(AND($U569=1,$M569&lt;&gt;""),IF(COUNTIFS($M$3:$M569,$M569,$O$3:$O569,$O569,$U$3:$U569,1,$P$3:$P569,"&gt;="&amp;EOMONTH($P569,-1)+1,$P$3:$P569,"&lt;"&amp;EOMONTH($P569,0)+1)=1,1,0),0)</f>
        <v>0</v>
      </c>
      <c r="W569" s="444">
        <f ca="1">TODAY()-Table1[[#This Row],[Change Date]]</f>
        <v>389.7722222222219</v>
      </c>
      <c r="X569" s="422">
        <f t="shared" si="92"/>
        <v>45868.228472222225</v>
      </c>
      <c r="Y569" s="476">
        <f ca="1">IF(Table1[[#This Row],[Next Stage Date]]&lt;&gt;"",Table1[[#This Row],[Next Stage Date]]-Table1[[#This Row],[Change Date]],TODAY()-Table1[[#This Row],[Change Date]])</f>
        <v>6.944444467080757E-4</v>
      </c>
      <c r="Z569" s="476">
        <f t="shared" si="93"/>
        <v>0</v>
      </c>
      <c r="AA569" s="422">
        <f t="shared" si="94"/>
        <v>45931.395833333336</v>
      </c>
      <c r="AB569" s="422">
        <f t="shared" si="95"/>
        <v>45868.227777777778</v>
      </c>
      <c r="AC569" s="476">
        <f t="shared" si="96"/>
        <v>91.227777777778101</v>
      </c>
      <c r="AD569" s="476">
        <f t="shared" si="97"/>
        <v>63.168055555557657</v>
      </c>
      <c r="AE569" s="476">
        <f t="shared" si="98"/>
        <v>154.39583333333576</v>
      </c>
      <c r="AF569" s="476" t="b">
        <f>IFERROR(_xlfn.XLOOKUP(Table1[[#This Row],[Opportunity ID]],'Aging Detail'!$H$14:$H$20,'Aging Detail'!$F$14:$F$20),TRUE)</f>
        <v>1</v>
      </c>
    </row>
    <row r="570" spans="1:32">
      <c r="A570" t="s">
        <v>1461</v>
      </c>
      <c r="B570" t="s">
        <v>462</v>
      </c>
      <c r="C570" t="s">
        <v>1462</v>
      </c>
      <c r="D570" t="s">
        <v>2882</v>
      </c>
      <c r="E570" t="s">
        <v>2883</v>
      </c>
      <c r="F570" t="s">
        <v>148</v>
      </c>
      <c r="H570" t="s">
        <v>169</v>
      </c>
      <c r="I570" s="422">
        <v>45684</v>
      </c>
      <c r="J570" s="422">
        <v>46534</v>
      </c>
      <c r="K570">
        <v>40000</v>
      </c>
      <c r="L570">
        <v>40000</v>
      </c>
      <c r="M570" t="s">
        <v>2884</v>
      </c>
      <c r="N570" t="s">
        <v>2885</v>
      </c>
      <c r="O570" t="str">
        <f>_xlfn.IFNA(VLOOKUP(Table1[[#This Row],[Lead Source]],'helper tab'!A:B,2,FALSE),"Exclude")</f>
        <v>Alliances</v>
      </c>
      <c r="P570" s="422">
        <f t="shared" si="88"/>
        <v>45868.163888888892</v>
      </c>
      <c r="Q570">
        <f t="shared" si="89"/>
        <v>0</v>
      </c>
      <c r="R570">
        <f t="shared" si="90"/>
        <v>0</v>
      </c>
      <c r="S570">
        <f>IF(
AND($Q570=1,$M570&lt;&gt;""),
IF(
COUNTIFS(
$M$3:$M570,$M570,
$O$3:$O570,$O570,
$Q$3:$Q570,1,
$P$3:$P570,"&gt;="&amp;EOMONTH($P570,-1)+1,
$P$3:$P570,"&lt;"&amp;EOMONTH($P570,0)+1
)=1,
1,
0),
0)</f>
        <v>0</v>
      </c>
      <c r="T570">
        <f>IF(AND($R570=1,$M570&lt;&gt;""),IF(COUNTIFS($M$3:$M570,$M570,$O$3:$O570,$O570,$R$3:$R570,1,$P$3:$P570,"&gt;="&amp;EOMONTH($P570,-1)+1,$P$3:$P570,"&lt;"&amp;EOMONTH($P570,0)+1)=1,1,0),0)</f>
        <v>0</v>
      </c>
      <c r="U570">
        <f t="shared" si="91"/>
        <v>0</v>
      </c>
      <c r="V570">
        <f>IF(AND($U570=1,$M570&lt;&gt;""),IF(COUNTIFS($M$3:$M570,$M570,$O$3:$O570,$O570,$U$3:$U570,1,$P$3:$P570,"&gt;="&amp;EOMONTH($P570,-1)+1,$P$3:$P570,"&lt;"&amp;EOMONTH($P570,0)+1)=1,1,0),0)</f>
        <v>0</v>
      </c>
      <c r="W570" s="444">
        <f ca="1">TODAY()-Table1[[#This Row],[Change Date]]</f>
        <v>389.83611111110804</v>
      </c>
      <c r="X570" s="422" t="str">
        <f t="shared" si="92"/>
        <v/>
      </c>
      <c r="Y570" s="476">
        <f ca="1">IF(Table1[[#This Row],[Next Stage Date]]&lt;&gt;"",Table1[[#This Row],[Next Stage Date]]-Table1[[#This Row],[Change Date]],TODAY()-Table1[[#This Row],[Change Date]])</f>
        <v>389.83611111110804</v>
      </c>
      <c r="Z570" s="476">
        <f t="shared" si="93"/>
        <v>1</v>
      </c>
      <c r="AA570" s="422" t="str">
        <f t="shared" si="94"/>
        <v/>
      </c>
      <c r="AB570" s="422">
        <f t="shared" si="95"/>
        <v>45778.352777777778</v>
      </c>
      <c r="AC570" s="476">
        <f t="shared" si="96"/>
        <v>94.352777777778101</v>
      </c>
      <c r="AD570" s="476" t="str">
        <f t="shared" si="97"/>
        <v/>
      </c>
      <c r="AE570" s="476" t="str">
        <f t="shared" si="98"/>
        <v/>
      </c>
      <c r="AF570" s="476" t="b">
        <f>IFERROR(_xlfn.XLOOKUP(Table1[[#This Row],[Opportunity ID]],'Aging Detail'!$H$14:$H$20,'Aging Detail'!$F$14:$F$20),TRUE)</f>
        <v>1</v>
      </c>
    </row>
    <row r="571" spans="1:32">
      <c r="A571" t="s">
        <v>1461</v>
      </c>
      <c r="B571" t="s">
        <v>338</v>
      </c>
      <c r="C571" t="s">
        <v>462</v>
      </c>
      <c r="D571" t="s">
        <v>2886</v>
      </c>
      <c r="E571" t="s">
        <v>2722</v>
      </c>
      <c r="I571" s="422">
        <v>45854</v>
      </c>
      <c r="J571" s="422">
        <v>45924</v>
      </c>
      <c r="L571">
        <v>0</v>
      </c>
      <c r="M571" t="s">
        <v>2723</v>
      </c>
      <c r="N571" t="s">
        <v>2724</v>
      </c>
      <c r="O571" t="str">
        <f>_xlfn.IFNA(VLOOKUP(Table1[[#This Row],[Lead Source]],'helper tab'!A:B,2,FALSE),"Exclude")</f>
        <v>Exclude</v>
      </c>
      <c r="P571" s="422">
        <f t="shared" si="88"/>
        <v>45866.44027777778</v>
      </c>
      <c r="Q571">
        <f t="shared" si="89"/>
        <v>1</v>
      </c>
      <c r="R571">
        <f t="shared" si="90"/>
        <v>0</v>
      </c>
      <c r="S571">
        <f>IF(
AND($Q571=1,$M571&lt;&gt;""),
IF(
COUNTIFS(
$M$3:$M571,$M571,
$O$3:$O571,$O571,
$Q$3:$Q571,1,
$P$3:$P571,"&gt;="&amp;EOMONTH($P571,-1)+1,
$P$3:$P571,"&lt;"&amp;EOMONTH($P571,0)+1
)=1,
1,
0),
0)</f>
        <v>1</v>
      </c>
      <c r="T571">
        <f>IF(AND($R571=1,$M571&lt;&gt;""),IF(COUNTIFS($M$3:$M571,$M571,$O$3:$O571,$O571,$R$3:$R571,1,$P$3:$P571,"&gt;="&amp;EOMONTH($P571,-1)+1,$P$3:$P571,"&lt;"&amp;EOMONTH($P571,0)+1)=1,1,0),0)</f>
        <v>0</v>
      </c>
      <c r="U571">
        <f t="shared" si="91"/>
        <v>0</v>
      </c>
      <c r="V571">
        <f>IF(AND($U571=1,$M571&lt;&gt;""),IF(COUNTIFS($M$3:$M571,$M571,$O$3:$O571,$O571,$U$3:$U571,1,$P$3:$P571,"&gt;="&amp;EOMONTH($P571,-1)+1,$P$3:$P571,"&lt;"&amp;EOMONTH($P571,0)+1)=1,1,0),0)</f>
        <v>0</v>
      </c>
      <c r="W571" s="444">
        <f ca="1">TODAY()-Table1[[#This Row],[Change Date]]</f>
        <v>391.55972222222044</v>
      </c>
      <c r="X571" s="422">
        <f t="shared" si="92"/>
        <v>45924.474999999999</v>
      </c>
      <c r="Y571" s="476">
        <f ca="1">IF(Table1[[#This Row],[Next Stage Date]]&lt;&gt;"",Table1[[#This Row],[Next Stage Date]]-Table1[[#This Row],[Change Date]],TODAY()-Table1[[#This Row],[Change Date]])</f>
        <v>58.034722222218988</v>
      </c>
      <c r="Z571" s="476">
        <f t="shared" si="93"/>
        <v>0</v>
      </c>
      <c r="AA571" s="422">
        <f t="shared" si="94"/>
        <v>45924.474999999999</v>
      </c>
      <c r="AB571" s="422">
        <f t="shared" si="95"/>
        <v>45866.44027777778</v>
      </c>
      <c r="AC571" s="476">
        <f t="shared" si="96"/>
        <v>12.440277777779556</v>
      </c>
      <c r="AD571" s="476">
        <f t="shared" si="97"/>
        <v>58.034722222218988</v>
      </c>
      <c r="AE571" s="476">
        <f t="shared" si="98"/>
        <v>70.474999999998545</v>
      </c>
      <c r="AF571" s="476" t="b">
        <f>IFERROR(_xlfn.XLOOKUP(Table1[[#This Row],[Opportunity ID]],'Aging Detail'!$H$14:$H$20,'Aging Detail'!$F$14:$F$20),TRUE)</f>
        <v>1</v>
      </c>
    </row>
    <row r="572" spans="1:32">
      <c r="A572" t="s">
        <v>1461</v>
      </c>
      <c r="B572" t="s">
        <v>1462</v>
      </c>
      <c r="C572" t="s">
        <v>563</v>
      </c>
      <c r="D572" t="s">
        <v>2887</v>
      </c>
      <c r="E572" t="s">
        <v>2888</v>
      </c>
      <c r="F572" t="s">
        <v>1486</v>
      </c>
      <c r="I572" s="422">
        <v>45377</v>
      </c>
      <c r="J572" s="422">
        <v>45863</v>
      </c>
      <c r="K572">
        <v>22000</v>
      </c>
      <c r="L572">
        <v>0</v>
      </c>
      <c r="M572" t="s">
        <v>2889</v>
      </c>
      <c r="N572" t="s">
        <v>1549</v>
      </c>
      <c r="O572" t="str">
        <f>_xlfn.IFNA(VLOOKUP(Table1[[#This Row],[Lead Source]],'helper tab'!A:B,2,FALSE),"Exclude")</f>
        <v>Exclude</v>
      </c>
      <c r="P572" s="422">
        <f t="shared" si="88"/>
        <v>45863.628472222219</v>
      </c>
      <c r="Q572">
        <f t="shared" si="89"/>
        <v>0</v>
      </c>
      <c r="R572">
        <f t="shared" si="90"/>
        <v>1</v>
      </c>
      <c r="S572">
        <f>IF(
AND($Q572=1,$M572&lt;&gt;""),
IF(
COUNTIFS(
$M$3:$M572,$M572,
$O$3:$O572,$O572,
$Q$3:$Q572,1,
$P$3:$P572,"&gt;="&amp;EOMONTH($P572,-1)+1,
$P$3:$P572,"&lt;"&amp;EOMONTH($P572,0)+1
)=1,
1,
0),
0)</f>
        <v>0</v>
      </c>
      <c r="T572">
        <f>IF(AND($R572=1,$M572&lt;&gt;""),IF(COUNTIFS($M$3:$M572,$M572,$O$3:$O572,$O572,$R$3:$R572,1,$P$3:$P572,"&gt;="&amp;EOMONTH($P572,-1)+1,$P$3:$P572,"&lt;"&amp;EOMONTH($P572,0)+1)=1,1,0),0)</f>
        <v>1</v>
      </c>
      <c r="U572">
        <f t="shared" si="91"/>
        <v>0</v>
      </c>
      <c r="V572">
        <f>IF(AND($U572=1,$M572&lt;&gt;""),IF(COUNTIFS($M$3:$M572,$M572,$O$3:$O572,$O572,$U$3:$U572,1,$P$3:$P572,"&gt;="&amp;EOMONTH($P572,-1)+1,$P$3:$P572,"&lt;"&amp;EOMONTH($P572,0)+1)=1,1,0),0)</f>
        <v>0</v>
      </c>
      <c r="W572" s="444">
        <f ca="1">TODAY()-Table1[[#This Row],[Change Date]]</f>
        <v>394.37152777778101</v>
      </c>
      <c r="X572" s="422" t="str">
        <f t="shared" si="92"/>
        <v/>
      </c>
      <c r="Y572" s="476">
        <f ca="1">IF(Table1[[#This Row],[Next Stage Date]]&lt;&gt;"",Table1[[#This Row],[Next Stage Date]]-Table1[[#This Row],[Change Date]],TODAY()-Table1[[#This Row],[Change Date]])</f>
        <v>394.37152777778101</v>
      </c>
      <c r="Z572" s="476">
        <f t="shared" si="93"/>
        <v>1</v>
      </c>
      <c r="AA572" s="422">
        <f t="shared" si="94"/>
        <v>45863.628472222219</v>
      </c>
      <c r="AB572" s="422" t="str">
        <f t="shared" si="95"/>
        <v/>
      </c>
      <c r="AC572" s="476" t="str">
        <f t="shared" si="96"/>
        <v/>
      </c>
      <c r="AD572" s="476" t="str">
        <f t="shared" si="97"/>
        <v/>
      </c>
      <c r="AE572" s="476">
        <f t="shared" si="98"/>
        <v>486.62847222221899</v>
      </c>
      <c r="AF572" s="476" t="b">
        <f>IFERROR(_xlfn.XLOOKUP(Table1[[#This Row],[Opportunity ID]],'Aging Detail'!$H$14:$H$20,'Aging Detail'!$F$14:$F$20),TRUE)</f>
        <v>1</v>
      </c>
    </row>
    <row r="573" spans="1:32">
      <c r="A573" t="s">
        <v>1461</v>
      </c>
      <c r="B573" t="s">
        <v>462</v>
      </c>
      <c r="C573" t="s">
        <v>563</v>
      </c>
      <c r="D573" t="s">
        <v>2890</v>
      </c>
      <c r="E573" t="s">
        <v>2891</v>
      </c>
      <c r="I573" s="422">
        <v>45622</v>
      </c>
      <c r="J573" s="422">
        <v>45807</v>
      </c>
      <c r="L573">
        <v>0</v>
      </c>
      <c r="M573" t="s">
        <v>2892</v>
      </c>
      <c r="N573" t="s">
        <v>1604</v>
      </c>
      <c r="O573" t="str">
        <f>_xlfn.IFNA(VLOOKUP(Table1[[#This Row],[Lead Source]],'helper tab'!A:B,2,FALSE),"Exclude")</f>
        <v>Exclude</v>
      </c>
      <c r="P573" s="422">
        <f t="shared" si="88"/>
        <v>45863.399305555555</v>
      </c>
      <c r="Q573">
        <f t="shared" si="89"/>
        <v>0</v>
      </c>
      <c r="R573">
        <f t="shared" si="90"/>
        <v>1</v>
      </c>
      <c r="S573">
        <f>IF(
AND($Q573=1,$M573&lt;&gt;""),
IF(
COUNTIFS(
$M$3:$M573,$M573,
$O$3:$O573,$O573,
$Q$3:$Q573,1,
$P$3:$P573,"&gt;="&amp;EOMONTH($P573,-1)+1,
$P$3:$P573,"&lt;"&amp;EOMONTH($P573,0)+1
)=1,
1,
0),
0)</f>
        <v>0</v>
      </c>
      <c r="T573">
        <f>IF(AND($R573=1,$M573&lt;&gt;""),IF(COUNTIFS($M$3:$M573,$M573,$O$3:$O573,$O573,$R$3:$R573,1,$P$3:$P573,"&gt;="&amp;EOMONTH($P573,-1)+1,$P$3:$P573,"&lt;"&amp;EOMONTH($P573,0)+1)=1,1,0),0)</f>
        <v>1</v>
      </c>
      <c r="U573">
        <f t="shared" si="91"/>
        <v>0</v>
      </c>
      <c r="V573">
        <f>IF(AND($U573=1,$M573&lt;&gt;""),IF(COUNTIFS($M$3:$M573,$M573,$O$3:$O573,$O573,$U$3:$U573,1,$P$3:$P573,"&gt;="&amp;EOMONTH($P573,-1)+1,$P$3:$P573,"&lt;"&amp;EOMONTH($P573,0)+1)=1,1,0),0)</f>
        <v>0</v>
      </c>
      <c r="W573" s="444">
        <f ca="1">TODAY()-Table1[[#This Row],[Change Date]]</f>
        <v>394.60069444444525</v>
      </c>
      <c r="X573" s="422" t="str">
        <f t="shared" si="92"/>
        <v/>
      </c>
      <c r="Y573" s="476">
        <f ca="1">IF(Table1[[#This Row],[Next Stage Date]]&lt;&gt;"",Table1[[#This Row],[Next Stage Date]]-Table1[[#This Row],[Change Date]],TODAY()-Table1[[#This Row],[Change Date]])</f>
        <v>394.60069444444525</v>
      </c>
      <c r="Z573" s="476">
        <f t="shared" si="93"/>
        <v>1</v>
      </c>
      <c r="AA573" s="422">
        <f t="shared" si="94"/>
        <v>45863.399305555555</v>
      </c>
      <c r="AB573" s="422" t="str">
        <f t="shared" si="95"/>
        <v/>
      </c>
      <c r="AC573" s="476" t="str">
        <f t="shared" si="96"/>
        <v/>
      </c>
      <c r="AD573" s="476" t="str">
        <f t="shared" si="97"/>
        <v/>
      </c>
      <c r="AE573" s="476">
        <f t="shared" si="98"/>
        <v>241.39930555555475</v>
      </c>
      <c r="AF573" s="476" t="b">
        <f>IFERROR(_xlfn.XLOOKUP(Table1[[#This Row],[Opportunity ID]],'Aging Detail'!$H$14:$H$20,'Aging Detail'!$F$14:$F$20),TRUE)</f>
        <v>1</v>
      </c>
    </row>
    <row r="574" spans="1:32">
      <c r="A574" t="s">
        <v>1461</v>
      </c>
      <c r="B574" t="s">
        <v>526</v>
      </c>
      <c r="C574" t="s">
        <v>563</v>
      </c>
      <c r="D574" t="s">
        <v>2893</v>
      </c>
      <c r="E574" t="s">
        <v>2894</v>
      </c>
      <c r="F574" t="s">
        <v>148</v>
      </c>
      <c r="H574" t="s">
        <v>154</v>
      </c>
      <c r="I574" s="422">
        <v>45751</v>
      </c>
      <c r="J574" s="422">
        <v>45861</v>
      </c>
      <c r="K574">
        <v>8550</v>
      </c>
      <c r="L574">
        <v>8550</v>
      </c>
      <c r="M574" t="s">
        <v>2895</v>
      </c>
      <c r="N574" t="s">
        <v>592</v>
      </c>
      <c r="O574" t="str">
        <f>_xlfn.IFNA(VLOOKUP(Table1[[#This Row],[Lead Source]],'helper tab'!A:B,2,FALSE),"Exclude")</f>
        <v>Alliances</v>
      </c>
      <c r="P574" s="422">
        <f t="shared" si="88"/>
        <v>45861.272222222222</v>
      </c>
      <c r="Q574">
        <f t="shared" si="89"/>
        <v>0</v>
      </c>
      <c r="R574">
        <f t="shared" si="90"/>
        <v>1</v>
      </c>
      <c r="S574">
        <f>IF(
AND($Q574=1,$M574&lt;&gt;""),
IF(
COUNTIFS(
$M$3:$M574,$M574,
$O$3:$O574,$O574,
$Q$3:$Q574,1,
$P$3:$P574,"&gt;="&amp;EOMONTH($P574,-1)+1,
$P$3:$P574,"&lt;"&amp;EOMONTH($P574,0)+1
)=1,
1,
0),
0)</f>
        <v>0</v>
      </c>
      <c r="T574">
        <f>IF(AND($R574=1,$M574&lt;&gt;""),IF(COUNTIFS($M$3:$M574,$M574,$O$3:$O574,$O574,$R$3:$R574,1,$P$3:$P574,"&gt;="&amp;EOMONTH($P574,-1)+1,$P$3:$P574,"&lt;"&amp;EOMONTH($P574,0)+1)=1,1,0),0)</f>
        <v>1</v>
      </c>
      <c r="U574">
        <f t="shared" si="91"/>
        <v>0</v>
      </c>
      <c r="V574">
        <f>IF(AND($U574=1,$M574&lt;&gt;""),IF(COUNTIFS($M$3:$M574,$M574,$O$3:$O574,$O574,$U$3:$U574,1,$P$3:$P574,"&gt;="&amp;EOMONTH($P574,-1)+1,$P$3:$P574,"&lt;"&amp;EOMONTH($P574,0)+1)=1,1,0),0)</f>
        <v>0</v>
      </c>
      <c r="W574" s="444">
        <f ca="1">TODAY()-Table1[[#This Row],[Change Date]]</f>
        <v>396.7277777777781</v>
      </c>
      <c r="X574" s="422" t="str">
        <f t="shared" si="92"/>
        <v/>
      </c>
      <c r="Y574" s="476">
        <f ca="1">IF(Table1[[#This Row],[Next Stage Date]]&lt;&gt;"",Table1[[#This Row],[Next Stage Date]]-Table1[[#This Row],[Change Date]],TODAY()-Table1[[#This Row],[Change Date]])</f>
        <v>396.7277777777781</v>
      </c>
      <c r="Z574" s="476">
        <f t="shared" si="93"/>
        <v>1</v>
      </c>
      <c r="AA574" s="422">
        <f t="shared" si="94"/>
        <v>45861.272222222222</v>
      </c>
      <c r="AB574" s="422">
        <f t="shared" si="95"/>
        <v>45751.473611111112</v>
      </c>
      <c r="AC574" s="476">
        <f t="shared" si="96"/>
        <v>0.47361111111240461</v>
      </c>
      <c r="AD574" s="476">
        <f t="shared" si="97"/>
        <v>109.79861111110949</v>
      </c>
      <c r="AE574" s="476">
        <f t="shared" si="98"/>
        <v>110.2722222222219</v>
      </c>
      <c r="AF574" s="476" t="b">
        <f>IFERROR(_xlfn.XLOOKUP(Table1[[#This Row],[Opportunity ID]],'Aging Detail'!$H$14:$H$20,'Aging Detail'!$F$14:$F$20),TRUE)</f>
        <v>1</v>
      </c>
    </row>
    <row r="575" spans="1:32">
      <c r="A575" t="s">
        <v>1461</v>
      </c>
      <c r="B575" t="s">
        <v>526</v>
      </c>
      <c r="C575" t="s">
        <v>563</v>
      </c>
      <c r="D575" t="s">
        <v>2896</v>
      </c>
      <c r="E575" t="s">
        <v>566</v>
      </c>
      <c r="F575" t="s">
        <v>202</v>
      </c>
      <c r="I575" s="422">
        <v>45716</v>
      </c>
      <c r="J575" s="422">
        <v>45859</v>
      </c>
      <c r="K575">
        <v>249200</v>
      </c>
      <c r="L575">
        <v>79200</v>
      </c>
      <c r="M575" t="s">
        <v>2897</v>
      </c>
      <c r="N575" t="s">
        <v>566</v>
      </c>
      <c r="O575" t="str">
        <f>_xlfn.IFNA(VLOOKUP(Table1[[#This Row],[Lead Source]],'helper tab'!A:B,2,FALSE),"Exclude")</f>
        <v>Digital</v>
      </c>
      <c r="P575" s="422">
        <f t="shared" si="88"/>
        <v>45859.441666666666</v>
      </c>
      <c r="Q575">
        <f t="shared" si="89"/>
        <v>0</v>
      </c>
      <c r="R575">
        <f t="shared" si="90"/>
        <v>1</v>
      </c>
      <c r="S575">
        <f>IF(
AND($Q575=1,$M575&lt;&gt;""),
IF(
COUNTIFS(
$M$3:$M575,$M575,
$O$3:$O575,$O575,
$Q$3:$Q575,1,
$P$3:$P575,"&gt;="&amp;EOMONTH($P575,-1)+1,
$P$3:$P575,"&lt;"&amp;EOMONTH($P575,0)+1
)=1,
1,
0),
0)</f>
        <v>0</v>
      </c>
      <c r="T575">
        <f>IF(AND($R575=1,$M575&lt;&gt;""),IF(COUNTIFS($M$3:$M575,$M575,$O$3:$O575,$O575,$R$3:$R575,1,$P$3:$P575,"&gt;="&amp;EOMONTH($P575,-1)+1,$P$3:$P575,"&lt;"&amp;EOMONTH($P575,0)+1)=1,1,0),0)</f>
        <v>1</v>
      </c>
      <c r="U575">
        <f t="shared" si="91"/>
        <v>0</v>
      </c>
      <c r="V575">
        <f>IF(AND($U575=1,$M575&lt;&gt;""),IF(COUNTIFS($M$3:$M575,$M575,$O$3:$O575,$O575,$U$3:$U575,1,$P$3:$P575,"&gt;="&amp;EOMONTH($P575,-1)+1,$P$3:$P575,"&lt;"&amp;EOMONTH($P575,0)+1)=1,1,0),0)</f>
        <v>0</v>
      </c>
      <c r="W575" s="444">
        <f ca="1">TODAY()-Table1[[#This Row],[Change Date]]</f>
        <v>398.5583333333343</v>
      </c>
      <c r="X575" s="422" t="str">
        <f t="shared" si="92"/>
        <v/>
      </c>
      <c r="Y575" s="476">
        <f ca="1">IF(Table1[[#This Row],[Next Stage Date]]&lt;&gt;"",Table1[[#This Row],[Next Stage Date]]-Table1[[#This Row],[Change Date]],TODAY()-Table1[[#This Row],[Change Date]])</f>
        <v>398.5583333333343</v>
      </c>
      <c r="Z575" s="476">
        <f t="shared" si="93"/>
        <v>1</v>
      </c>
      <c r="AA575" s="422">
        <f t="shared" si="94"/>
        <v>45859.441666666666</v>
      </c>
      <c r="AB575" s="422">
        <f t="shared" si="95"/>
        <v>45755.602777777778</v>
      </c>
      <c r="AC575" s="476">
        <f t="shared" si="96"/>
        <v>39.602777777778101</v>
      </c>
      <c r="AD575" s="476">
        <f t="shared" si="97"/>
        <v>103.8388888888876</v>
      </c>
      <c r="AE575" s="476">
        <f t="shared" si="98"/>
        <v>143.4416666666657</v>
      </c>
      <c r="AF575" s="476" t="b">
        <f>IFERROR(_xlfn.XLOOKUP(Table1[[#This Row],[Opportunity ID]],'Aging Detail'!$H$14:$H$20,'Aging Detail'!$F$14:$F$20),TRUE)</f>
        <v>1</v>
      </c>
    </row>
    <row r="576" spans="1:32">
      <c r="A576" t="s">
        <v>1461</v>
      </c>
      <c r="B576" t="s">
        <v>1462</v>
      </c>
      <c r="C576" t="s">
        <v>462</v>
      </c>
      <c r="D576" t="s">
        <v>2898</v>
      </c>
      <c r="E576" t="s">
        <v>1862</v>
      </c>
      <c r="F576" t="s">
        <v>1464</v>
      </c>
      <c r="I576" s="422">
        <v>45694</v>
      </c>
      <c r="J576" s="422">
        <v>46185</v>
      </c>
      <c r="K576">
        <v>351578.2</v>
      </c>
      <c r="L576">
        <v>320760</v>
      </c>
      <c r="M576" t="s">
        <v>1863</v>
      </c>
      <c r="N576" t="s">
        <v>1864</v>
      </c>
      <c r="O576" t="str">
        <f>_xlfn.IFNA(VLOOKUP(Table1[[#This Row],[Lead Source]],'helper tab'!A:B,2,FALSE),"Exclude")</f>
        <v>Cold</v>
      </c>
      <c r="P576" s="422">
        <f t="shared" si="88"/>
        <v>45859.292361111111</v>
      </c>
      <c r="Q576">
        <f t="shared" si="89"/>
        <v>1</v>
      </c>
      <c r="R576">
        <f t="shared" si="90"/>
        <v>0</v>
      </c>
      <c r="S576">
        <f>IF(
AND($Q576=1,$M576&lt;&gt;""),
IF(
COUNTIFS(
$M$3:$M576,$M576,
$O$3:$O576,$O576,
$Q$3:$Q576,1,
$P$3:$P576,"&gt;="&amp;EOMONTH($P576,-1)+1,
$P$3:$P576,"&lt;"&amp;EOMONTH($P576,0)+1
)=1,
1,
0),
0)</f>
        <v>1</v>
      </c>
      <c r="T576">
        <f>IF(AND($R576=1,$M576&lt;&gt;""),IF(COUNTIFS($M$3:$M576,$M576,$O$3:$O576,$O576,$R$3:$R576,1,$P$3:$P576,"&gt;="&amp;EOMONTH($P576,-1)+1,$P$3:$P576,"&lt;"&amp;EOMONTH($P576,0)+1)=1,1,0),0)</f>
        <v>0</v>
      </c>
      <c r="U576">
        <f t="shared" si="91"/>
        <v>0</v>
      </c>
      <c r="V576">
        <f>IF(AND($U576=1,$M576&lt;&gt;""),IF(COUNTIFS($M$3:$M576,$M576,$O$3:$O576,$O576,$U$3:$U576,1,$P$3:$P576,"&gt;="&amp;EOMONTH($P576,-1)+1,$P$3:$P576,"&lt;"&amp;EOMONTH($P576,0)+1)=1,1,0),0)</f>
        <v>0</v>
      </c>
      <c r="W576" s="444">
        <f ca="1">TODAY()-Table1[[#This Row],[Change Date]]</f>
        <v>398.70763888888905</v>
      </c>
      <c r="X576" s="422">
        <f t="shared" si="92"/>
        <v>45974.606249999997</v>
      </c>
      <c r="Y576" s="476">
        <f ca="1">IF(Table1[[#This Row],[Next Stage Date]]&lt;&gt;"",Table1[[#This Row],[Next Stage Date]]-Table1[[#This Row],[Change Date]],TODAY()-Table1[[#This Row],[Change Date]])</f>
        <v>115.31388888888614</v>
      </c>
      <c r="Z576" s="476">
        <f t="shared" si="93"/>
        <v>0</v>
      </c>
      <c r="AA576" s="422" t="str">
        <f t="shared" si="94"/>
        <v/>
      </c>
      <c r="AB576" s="422">
        <f t="shared" si="95"/>
        <v>45859.292361111111</v>
      </c>
      <c r="AC576" s="476">
        <f t="shared" si="96"/>
        <v>165.29236111111095</v>
      </c>
      <c r="AD576" s="476" t="str">
        <f t="shared" si="97"/>
        <v/>
      </c>
      <c r="AE576" s="476" t="str">
        <f t="shared" si="98"/>
        <v/>
      </c>
      <c r="AF576" s="476" t="b">
        <f>IFERROR(_xlfn.XLOOKUP(Table1[[#This Row],[Opportunity ID]],'Aging Detail'!$H$14:$H$20,'Aging Detail'!$F$14:$F$20),TRUE)</f>
        <v>1</v>
      </c>
    </row>
    <row r="577" spans="1:32">
      <c r="A577" t="s">
        <v>1461</v>
      </c>
      <c r="B577" t="s">
        <v>408</v>
      </c>
      <c r="C577" t="s">
        <v>1462</v>
      </c>
      <c r="D577" t="s">
        <v>2899</v>
      </c>
      <c r="E577" t="s">
        <v>1862</v>
      </c>
      <c r="F577" t="s">
        <v>1464</v>
      </c>
      <c r="I577" s="422">
        <v>45694</v>
      </c>
      <c r="J577" s="422">
        <v>46185</v>
      </c>
      <c r="K577">
        <v>351578.2</v>
      </c>
      <c r="L577">
        <v>320760</v>
      </c>
      <c r="M577" t="s">
        <v>1863</v>
      </c>
      <c r="N577" t="s">
        <v>1864</v>
      </c>
      <c r="O577" t="str">
        <f>_xlfn.IFNA(VLOOKUP(Table1[[#This Row],[Lead Source]],'helper tab'!A:B,2,FALSE),"Exclude")</f>
        <v>Cold</v>
      </c>
      <c r="P577" s="422">
        <f t="shared" si="88"/>
        <v>45859.291666666664</v>
      </c>
      <c r="Q577">
        <f t="shared" si="89"/>
        <v>0</v>
      </c>
      <c r="R577">
        <f t="shared" si="90"/>
        <v>0</v>
      </c>
      <c r="S577">
        <f>IF(
AND($Q577=1,$M577&lt;&gt;""),
IF(
COUNTIFS(
$M$3:$M577,$M577,
$O$3:$O577,$O577,
$Q$3:$Q577,1,
$P$3:$P577,"&gt;="&amp;EOMONTH($P577,-1)+1,
$P$3:$P577,"&lt;"&amp;EOMONTH($P577,0)+1
)=1,
1,
0),
0)</f>
        <v>0</v>
      </c>
      <c r="T577">
        <f>IF(AND($R577=1,$M577&lt;&gt;""),IF(COUNTIFS($M$3:$M577,$M577,$O$3:$O577,$O577,$R$3:$R577,1,$P$3:$P577,"&gt;="&amp;EOMONTH($P577,-1)+1,$P$3:$P577,"&lt;"&amp;EOMONTH($P577,0)+1)=1,1,0),0)</f>
        <v>0</v>
      </c>
      <c r="U577">
        <f t="shared" si="91"/>
        <v>0</v>
      </c>
      <c r="V577">
        <f>IF(AND($U577=1,$M577&lt;&gt;""),IF(COUNTIFS($M$3:$M577,$M577,$O$3:$O577,$O577,$U$3:$U577,1,$P$3:$P577,"&gt;="&amp;EOMONTH($P577,-1)+1,$P$3:$P577,"&lt;"&amp;EOMONTH($P577,0)+1)=1,1,0),0)</f>
        <v>0</v>
      </c>
      <c r="W577" s="444">
        <f ca="1">TODAY()-Table1[[#This Row],[Change Date]]</f>
        <v>398.70833333333576</v>
      </c>
      <c r="X577" s="422">
        <f t="shared" si="92"/>
        <v>45859.292361111111</v>
      </c>
      <c r="Y577" s="476">
        <f ca="1">IF(Table1[[#This Row],[Next Stage Date]]&lt;&gt;"",Table1[[#This Row],[Next Stage Date]]-Table1[[#This Row],[Change Date]],TODAY()-Table1[[#This Row],[Change Date]])</f>
        <v>6.944444467080757E-4</v>
      </c>
      <c r="Z577" s="476">
        <f t="shared" si="93"/>
        <v>0</v>
      </c>
      <c r="AA577" s="422" t="str">
        <f t="shared" si="94"/>
        <v/>
      </c>
      <c r="AB577" s="422">
        <f t="shared" si="95"/>
        <v>45859.292361111111</v>
      </c>
      <c r="AC577" s="476">
        <f t="shared" si="96"/>
        <v>165.29236111111095</v>
      </c>
      <c r="AD577" s="476" t="str">
        <f t="shared" si="97"/>
        <v/>
      </c>
      <c r="AE577" s="476" t="str">
        <f t="shared" si="98"/>
        <v/>
      </c>
      <c r="AF577" s="476" t="b">
        <f>IFERROR(_xlfn.XLOOKUP(Table1[[#This Row],[Opportunity ID]],'Aging Detail'!$H$14:$H$20,'Aging Detail'!$F$14:$F$20),TRUE)</f>
        <v>1</v>
      </c>
    </row>
    <row r="578" spans="1:32">
      <c r="A578" t="s">
        <v>1461</v>
      </c>
      <c r="B578" t="s">
        <v>408</v>
      </c>
      <c r="C578" t="s">
        <v>1469</v>
      </c>
      <c r="D578" t="s">
        <v>2900</v>
      </c>
      <c r="E578" t="s">
        <v>2901</v>
      </c>
      <c r="F578" t="s">
        <v>1485</v>
      </c>
      <c r="I578" s="422">
        <v>45414</v>
      </c>
      <c r="J578" s="422">
        <v>46022</v>
      </c>
      <c r="K578">
        <v>258000</v>
      </c>
      <c r="L578">
        <v>198000</v>
      </c>
      <c r="M578" t="s">
        <v>2902</v>
      </c>
      <c r="N578" t="s">
        <v>270</v>
      </c>
      <c r="O578" t="str">
        <f>_xlfn.IFNA(VLOOKUP(Table1[[#This Row],[Lead Source]],'helper tab'!A:B,2,FALSE),"Exclude")</f>
        <v>Digital</v>
      </c>
      <c r="P578" s="422">
        <f t="shared" si="88"/>
        <v>45855.308333333334</v>
      </c>
      <c r="Q578">
        <f t="shared" si="89"/>
        <v>0</v>
      </c>
      <c r="R578">
        <f t="shared" si="90"/>
        <v>0</v>
      </c>
      <c r="S578">
        <f>IF(
AND($Q578=1,$M578&lt;&gt;""),
IF(
COUNTIFS(
$M$3:$M578,$M578,
$O$3:$O578,$O578,
$Q$3:$Q578,1,
$P$3:$P578,"&gt;="&amp;EOMONTH($P578,-1)+1,
$P$3:$P578,"&lt;"&amp;EOMONTH($P578,0)+1
)=1,
1,
0),
0)</f>
        <v>0</v>
      </c>
      <c r="T578">
        <f>IF(AND($R578=1,$M578&lt;&gt;""),IF(COUNTIFS($M$3:$M578,$M578,$O$3:$O578,$O578,$R$3:$R578,1,$P$3:$P578,"&gt;="&amp;EOMONTH($P578,-1)+1,$P$3:$P578,"&lt;"&amp;EOMONTH($P578,0)+1)=1,1,0),0)</f>
        <v>0</v>
      </c>
      <c r="U578">
        <f t="shared" si="91"/>
        <v>1</v>
      </c>
      <c r="V578">
        <f>IF(AND($U578=1,$M578&lt;&gt;""),IF(COUNTIFS($M$3:$M578,$M578,$O$3:$O578,$O578,$U$3:$U578,1,$P$3:$P578,"&gt;="&amp;EOMONTH($P578,-1)+1,$P$3:$P578,"&lt;"&amp;EOMONTH($P578,0)+1)=1,1,0),0)</f>
        <v>1</v>
      </c>
      <c r="W578" s="444">
        <f ca="1">TODAY()-Table1[[#This Row],[Change Date]]</f>
        <v>402.6916666666657</v>
      </c>
      <c r="X578" s="422" t="str">
        <f t="shared" si="92"/>
        <v/>
      </c>
      <c r="Y578" s="476">
        <f ca="1">IF(Table1[[#This Row],[Next Stage Date]]&lt;&gt;"",Table1[[#This Row],[Next Stage Date]]-Table1[[#This Row],[Change Date]],TODAY()-Table1[[#This Row],[Change Date]])</f>
        <v>402.6916666666657</v>
      </c>
      <c r="Z578" s="476">
        <f t="shared" si="93"/>
        <v>1</v>
      </c>
      <c r="AA578" s="422" t="str">
        <f t="shared" si="94"/>
        <v/>
      </c>
      <c r="AB578" s="422" t="str">
        <f t="shared" si="95"/>
        <v/>
      </c>
      <c r="AC578" s="476" t="str">
        <f t="shared" si="96"/>
        <v/>
      </c>
      <c r="AD578" s="476" t="str">
        <f t="shared" si="97"/>
        <v/>
      </c>
      <c r="AE578" s="476" t="str">
        <f t="shared" si="98"/>
        <v/>
      </c>
      <c r="AF578" s="476" t="b">
        <f>IFERROR(_xlfn.XLOOKUP(Table1[[#This Row],[Opportunity ID]],'Aging Detail'!$H$14:$H$20,'Aging Detail'!$F$14:$F$20),TRUE)</f>
        <v>1</v>
      </c>
    </row>
    <row r="579" spans="1:32">
      <c r="A579" t="s">
        <v>1461</v>
      </c>
      <c r="B579" t="s">
        <v>408</v>
      </c>
      <c r="C579" t="s">
        <v>1462</v>
      </c>
      <c r="D579" t="s">
        <v>2903</v>
      </c>
      <c r="E579" t="s">
        <v>2904</v>
      </c>
      <c r="F579" t="s">
        <v>148</v>
      </c>
      <c r="H579" t="s">
        <v>2174</v>
      </c>
      <c r="I579" s="422">
        <v>44911</v>
      </c>
      <c r="J579" s="422">
        <v>46568</v>
      </c>
      <c r="K579">
        <v>845200</v>
      </c>
      <c r="L579">
        <v>691200</v>
      </c>
      <c r="M579" t="s">
        <v>2905</v>
      </c>
      <c r="N579" t="s">
        <v>2906</v>
      </c>
      <c r="O579" t="str">
        <f>_xlfn.IFNA(VLOOKUP(Table1[[#This Row],[Lead Source]],'helper tab'!A:B,2,FALSE),"Exclude")</f>
        <v>Alliances</v>
      </c>
      <c r="P579" s="422">
        <f t="shared" ref="P579:P642" si="99">--SUBSTITUTE(D579,",","")</f>
        <v>45853.273611111108</v>
      </c>
      <c r="Q579">
        <f t="shared" ref="Q579:Q642" si="100">IF(OR($C579="Propose",$C579="Procure"),1,0)</f>
        <v>0</v>
      </c>
      <c r="R579">
        <f t="shared" ref="R579:R642" si="101">IF($C579="Closed Won",1,0)</f>
        <v>0</v>
      </c>
      <c r="S579">
        <f>IF(
AND($Q579=1,$M579&lt;&gt;""),
IF(
COUNTIFS(
$M$3:$M579,$M579,
$O$3:$O579,$O579,
$Q$3:$Q579,1,
$P$3:$P579,"&gt;="&amp;EOMONTH($P579,-1)+1,
$P$3:$P579,"&lt;"&amp;EOMONTH($P579,0)+1
)=1,
1,
0),
0)</f>
        <v>0</v>
      </c>
      <c r="T579">
        <f>IF(AND($R579=1,$M579&lt;&gt;""),IF(COUNTIFS($M$3:$M579,$M579,$O$3:$O579,$O579,$R$3:$R579,1,$P$3:$P579,"&gt;="&amp;EOMONTH($P579,-1)+1,$P$3:$P579,"&lt;"&amp;EOMONTH($P579,0)+1)=1,1,0),0)</f>
        <v>0</v>
      </c>
      <c r="U579">
        <f t="shared" ref="U579:U642" si="102">IF($C579="Closed Lost",1,0)</f>
        <v>0</v>
      </c>
      <c r="V579">
        <f>IF(AND($U579=1,$M579&lt;&gt;""),IF(COUNTIFS($M$3:$M579,$M579,$O$3:$O579,$O579,$U$3:$U579,1,$P$3:$P579,"&gt;="&amp;EOMONTH($P579,-1)+1,$P$3:$P579,"&lt;"&amp;EOMONTH($P579,0)+1)=1,1,0),0)</f>
        <v>0</v>
      </c>
      <c r="W579" s="444">
        <f ca="1">TODAY()-Table1[[#This Row],[Change Date]]</f>
        <v>404.72638888889196</v>
      </c>
      <c r="X579" s="422" t="str">
        <f t="shared" ref="X579:X642" si="103">IFERROR(
IF(
COUNTIFS($M:$M,$M579,$P:$P,"&gt;"&amp;$P579)=0,
"",
_xlfn.MINIFS($P:$P,$M:$M,$M579,$P:$P,"&gt;"&amp;$P579)
),
""
)</f>
        <v/>
      </c>
      <c r="Y579" s="476">
        <f ca="1">IF(Table1[[#This Row],[Next Stage Date]]&lt;&gt;"",Table1[[#This Row],[Next Stage Date]]-Table1[[#This Row],[Change Date]],TODAY()-Table1[[#This Row],[Change Date]])</f>
        <v>404.72638888889196</v>
      </c>
      <c r="Z579" s="476">
        <f t="shared" ref="Z579:Z642" si="104">IF(P579=_xlfn.MAXIFS($P:$P,$M:$M,$M579),1,0)</f>
        <v>1</v>
      </c>
      <c r="AA579" s="422" t="str">
        <f t="shared" ref="AA579:AA642" si="105">IF(
COUNTIFS($M:$M,$M579,$C:$C,"Closed Won")=0,
"",
_xlfn.MINIFS($P:$P,$M:$M,$M579,$C:$C,"Closed Won")
)</f>
        <v/>
      </c>
      <c r="AB579" s="422" t="str">
        <f t="shared" ref="AB579:AB642" si="106">IF(
COUNTIFS($M:$M,$M579,$Q:$Q,1)=0,
"",
_xlfn.MINIFS($P:$P,$M:$M,$M579,$Q:$Q,1)
)</f>
        <v/>
      </c>
      <c r="AC579" s="476" t="str">
        <f t="shared" ref="AC579:AC642" si="107">IF(AB579&lt;&gt;"",AB579-I579,"")</f>
        <v/>
      </c>
      <c r="AD579" s="476" t="str">
        <f t="shared" ref="AD579:AD642" si="108">IF(AND(AB579&lt;&gt;"",AA579&lt;&gt;""),AA579-AB579,"")</f>
        <v/>
      </c>
      <c r="AE579" s="476" t="str">
        <f t="shared" ref="AE579:AE642" si="109">IF(AA579&lt;&gt;"",AA579-I579,"")</f>
        <v/>
      </c>
      <c r="AF579" s="476" t="b">
        <f>IFERROR(_xlfn.XLOOKUP(Table1[[#This Row],[Opportunity ID]],'Aging Detail'!$H$14:$H$20,'Aging Detail'!$F$14:$F$20),TRUE)</f>
        <v>1</v>
      </c>
    </row>
    <row r="580" spans="1:32">
      <c r="A580" t="s">
        <v>1461</v>
      </c>
      <c r="B580" t="s">
        <v>462</v>
      </c>
      <c r="C580" t="s">
        <v>563</v>
      </c>
      <c r="D580" t="s">
        <v>2907</v>
      </c>
      <c r="E580" t="s">
        <v>2908</v>
      </c>
      <c r="I580" s="422">
        <v>45699</v>
      </c>
      <c r="J580" s="422">
        <v>45853</v>
      </c>
      <c r="K580">
        <v>21600</v>
      </c>
      <c r="L580">
        <v>0</v>
      </c>
      <c r="M580" t="s">
        <v>2909</v>
      </c>
      <c r="N580" t="s">
        <v>1524</v>
      </c>
      <c r="O580" t="str">
        <f>_xlfn.IFNA(VLOOKUP(Table1[[#This Row],[Lead Source]],'helper tab'!A:B,2,FALSE),"Exclude")</f>
        <v>Exclude</v>
      </c>
      <c r="P580" s="422">
        <f t="shared" si="99"/>
        <v>45853.238888888889</v>
      </c>
      <c r="Q580">
        <f t="shared" si="100"/>
        <v>0</v>
      </c>
      <c r="R580">
        <f t="shared" si="101"/>
        <v>1</v>
      </c>
      <c r="S580">
        <f>IF(
AND($Q580=1,$M580&lt;&gt;""),
IF(
COUNTIFS(
$M$3:$M580,$M580,
$O$3:$O580,$O580,
$Q$3:$Q580,1,
$P$3:$P580,"&gt;="&amp;EOMONTH($P580,-1)+1,
$P$3:$P580,"&lt;"&amp;EOMONTH($P580,0)+1
)=1,
1,
0),
0)</f>
        <v>0</v>
      </c>
      <c r="T580">
        <f>IF(AND($R580=1,$M580&lt;&gt;""),IF(COUNTIFS($M$3:$M580,$M580,$O$3:$O580,$O580,$R$3:$R580,1,$P$3:$P580,"&gt;="&amp;EOMONTH($P580,-1)+1,$P$3:$P580,"&lt;"&amp;EOMONTH($P580,0)+1)=1,1,0),0)</f>
        <v>1</v>
      </c>
      <c r="U580">
        <f t="shared" si="102"/>
        <v>0</v>
      </c>
      <c r="V580">
        <f>IF(AND($U580=1,$M580&lt;&gt;""),IF(COUNTIFS($M$3:$M580,$M580,$O$3:$O580,$O580,$U$3:$U580,1,$P$3:$P580,"&gt;="&amp;EOMONTH($P580,-1)+1,$P$3:$P580,"&lt;"&amp;EOMONTH($P580,0)+1)=1,1,0),0)</f>
        <v>0</v>
      </c>
      <c r="W580" s="444">
        <f ca="1">TODAY()-Table1[[#This Row],[Change Date]]</f>
        <v>404.76111111111095</v>
      </c>
      <c r="X580" s="422" t="str">
        <f t="shared" si="103"/>
        <v/>
      </c>
      <c r="Y580" s="476">
        <f ca="1">IF(Table1[[#This Row],[Next Stage Date]]&lt;&gt;"",Table1[[#This Row],[Next Stage Date]]-Table1[[#This Row],[Change Date]],TODAY()-Table1[[#This Row],[Change Date]])</f>
        <v>404.76111111111095</v>
      </c>
      <c r="Z580" s="476">
        <f t="shared" si="104"/>
        <v>1</v>
      </c>
      <c r="AA580" s="422">
        <f t="shared" si="105"/>
        <v>45853.238888888889</v>
      </c>
      <c r="AB580" s="422">
        <f t="shared" si="106"/>
        <v>45726.252083333333</v>
      </c>
      <c r="AC580" s="476">
        <f t="shared" si="107"/>
        <v>27.252083333332848</v>
      </c>
      <c r="AD580" s="476">
        <f t="shared" si="108"/>
        <v>126.9868055555562</v>
      </c>
      <c r="AE580" s="476">
        <f t="shared" si="109"/>
        <v>154.23888888888905</v>
      </c>
      <c r="AF580" s="476" t="b">
        <f>IFERROR(_xlfn.XLOOKUP(Table1[[#This Row],[Opportunity ID]],'Aging Detail'!$H$14:$H$20,'Aging Detail'!$F$14:$F$20),TRUE)</f>
        <v>1</v>
      </c>
    </row>
    <row r="581" spans="1:32">
      <c r="A581" t="s">
        <v>1461</v>
      </c>
      <c r="B581" t="s">
        <v>408</v>
      </c>
      <c r="C581" t="s">
        <v>1462</v>
      </c>
      <c r="D581" t="s">
        <v>2910</v>
      </c>
      <c r="E581" t="s">
        <v>652</v>
      </c>
      <c r="F581" t="s">
        <v>470</v>
      </c>
      <c r="I581" s="422">
        <v>45834</v>
      </c>
      <c r="J581" s="422">
        <v>46202</v>
      </c>
      <c r="K581">
        <v>342355</v>
      </c>
      <c r="L581">
        <v>90785</v>
      </c>
      <c r="M581" t="s">
        <v>1793</v>
      </c>
      <c r="N581" t="s">
        <v>647</v>
      </c>
      <c r="O581" t="str">
        <f>_xlfn.IFNA(VLOOKUP(Table1[[#This Row],[Lead Source]],'helper tab'!A:B,2,FALSE),"Exclude")</f>
        <v>Digital</v>
      </c>
      <c r="P581" s="422">
        <f t="shared" si="99"/>
        <v>45852.304166666669</v>
      </c>
      <c r="Q581">
        <f t="shared" si="100"/>
        <v>0</v>
      </c>
      <c r="R581">
        <f t="shared" si="101"/>
        <v>0</v>
      </c>
      <c r="S581">
        <f>IF(
AND($Q581=1,$M581&lt;&gt;""),
IF(
COUNTIFS(
$M$3:$M581,$M581,
$O$3:$O581,$O581,
$Q$3:$Q581,1,
$P$3:$P581,"&gt;="&amp;EOMONTH($P581,-1)+1,
$P$3:$P581,"&lt;"&amp;EOMONTH($P581,0)+1
)=1,
1,
0),
0)</f>
        <v>0</v>
      </c>
      <c r="T581">
        <f>IF(AND($R581=1,$M581&lt;&gt;""),IF(COUNTIFS($M$3:$M581,$M581,$O$3:$O581,$O581,$R$3:$R581,1,$P$3:$P581,"&gt;="&amp;EOMONTH($P581,-1)+1,$P$3:$P581,"&lt;"&amp;EOMONTH($P581,0)+1)=1,1,0),0)</f>
        <v>0</v>
      </c>
      <c r="U581">
        <f t="shared" si="102"/>
        <v>0</v>
      </c>
      <c r="V581">
        <f>IF(AND($U581=1,$M581&lt;&gt;""),IF(COUNTIFS($M$3:$M581,$M581,$O$3:$O581,$O581,$U$3:$U581,1,$P$3:$P581,"&gt;="&amp;EOMONTH($P581,-1)+1,$P$3:$P581,"&lt;"&amp;EOMONTH($P581,0)+1)=1,1,0),0)</f>
        <v>0</v>
      </c>
      <c r="W581" s="444">
        <f ca="1">TODAY()-Table1[[#This Row],[Change Date]]</f>
        <v>405.69583333333139</v>
      </c>
      <c r="X581" s="422">
        <f t="shared" si="103"/>
        <v>46055.431944444441</v>
      </c>
      <c r="Y581" s="476">
        <f ca="1">IF(Table1[[#This Row],[Next Stage Date]]&lt;&gt;"",Table1[[#This Row],[Next Stage Date]]-Table1[[#This Row],[Change Date]],TODAY()-Table1[[#This Row],[Change Date]])</f>
        <v>203.12777777777228</v>
      </c>
      <c r="Z581" s="476">
        <f t="shared" si="104"/>
        <v>0</v>
      </c>
      <c r="AA581" s="422">
        <f t="shared" si="105"/>
        <v>46203.63958333333</v>
      </c>
      <c r="AB581" s="422">
        <f t="shared" si="106"/>
        <v>46055.431944444441</v>
      </c>
      <c r="AC581" s="476">
        <f t="shared" si="107"/>
        <v>221.43194444444089</v>
      </c>
      <c r="AD581" s="476">
        <f t="shared" si="108"/>
        <v>148.20763888888905</v>
      </c>
      <c r="AE581" s="476">
        <f t="shared" si="109"/>
        <v>369.63958333332994</v>
      </c>
      <c r="AF581" s="476" t="b">
        <f>IFERROR(_xlfn.XLOOKUP(Table1[[#This Row],[Opportunity ID]],'Aging Detail'!$H$14:$H$20,'Aging Detail'!$F$14:$F$20),TRUE)</f>
        <v>1</v>
      </c>
    </row>
    <row r="582" spans="1:32">
      <c r="A582" t="s">
        <v>1461</v>
      </c>
      <c r="B582" t="s">
        <v>338</v>
      </c>
      <c r="C582" t="s">
        <v>563</v>
      </c>
      <c r="D582" t="s">
        <v>2911</v>
      </c>
      <c r="E582" t="s">
        <v>2912</v>
      </c>
      <c r="I582" s="422">
        <v>45805</v>
      </c>
      <c r="J582" s="422">
        <v>45852</v>
      </c>
      <c r="K582">
        <v>27750</v>
      </c>
      <c r="L582">
        <v>0</v>
      </c>
      <c r="M582" t="s">
        <v>2913</v>
      </c>
      <c r="N582" t="s">
        <v>1642</v>
      </c>
      <c r="O582" t="str">
        <f>_xlfn.IFNA(VLOOKUP(Table1[[#This Row],[Lead Source]],'helper tab'!A:B,2,FALSE),"Exclude")</f>
        <v>Exclude</v>
      </c>
      <c r="P582" s="422">
        <f t="shared" si="99"/>
        <v>45852.26458333333</v>
      </c>
      <c r="Q582">
        <f t="shared" si="100"/>
        <v>0</v>
      </c>
      <c r="R582">
        <f t="shared" si="101"/>
        <v>1</v>
      </c>
      <c r="S582">
        <f>IF(
AND($Q582=1,$M582&lt;&gt;""),
IF(
COUNTIFS(
$M$3:$M582,$M582,
$O$3:$O582,$O582,
$Q$3:$Q582,1,
$P$3:$P582,"&gt;="&amp;EOMONTH($P582,-1)+1,
$P$3:$P582,"&lt;"&amp;EOMONTH($P582,0)+1
)=1,
1,
0),
0)</f>
        <v>0</v>
      </c>
      <c r="T582">
        <f>IF(AND($R582=1,$M582&lt;&gt;""),IF(COUNTIFS($M$3:$M582,$M582,$O$3:$O582,$O582,$R$3:$R582,1,$P$3:$P582,"&gt;="&amp;EOMONTH($P582,-1)+1,$P$3:$P582,"&lt;"&amp;EOMONTH($P582,0)+1)=1,1,0),0)</f>
        <v>1</v>
      </c>
      <c r="U582">
        <f t="shared" si="102"/>
        <v>0</v>
      </c>
      <c r="V582">
        <f>IF(AND($U582=1,$M582&lt;&gt;""),IF(COUNTIFS($M$3:$M582,$M582,$O$3:$O582,$O582,$U$3:$U582,1,$P$3:$P582,"&gt;="&amp;EOMONTH($P582,-1)+1,$P$3:$P582,"&lt;"&amp;EOMONTH($P582,0)+1)=1,1,0),0)</f>
        <v>0</v>
      </c>
      <c r="W582" s="444">
        <f ca="1">TODAY()-Table1[[#This Row],[Change Date]]</f>
        <v>405.73541666667006</v>
      </c>
      <c r="X582" s="422" t="str">
        <f t="shared" si="103"/>
        <v/>
      </c>
      <c r="Y582" s="476">
        <f ca="1">IF(Table1[[#This Row],[Next Stage Date]]&lt;&gt;"",Table1[[#This Row],[Next Stage Date]]-Table1[[#This Row],[Change Date]],TODAY()-Table1[[#This Row],[Change Date]])</f>
        <v>405.73541666667006</v>
      </c>
      <c r="Z582" s="476">
        <f t="shared" si="104"/>
        <v>1</v>
      </c>
      <c r="AA582" s="422">
        <f t="shared" si="105"/>
        <v>45852.26458333333</v>
      </c>
      <c r="AB582" s="422" t="str">
        <f t="shared" si="106"/>
        <v/>
      </c>
      <c r="AC582" s="476" t="str">
        <f t="shared" si="107"/>
        <v/>
      </c>
      <c r="AD582" s="476" t="str">
        <f t="shared" si="108"/>
        <v/>
      </c>
      <c r="AE582" s="476">
        <f t="shared" si="109"/>
        <v>47.264583333329938</v>
      </c>
      <c r="AF582" s="476" t="b">
        <f>IFERROR(_xlfn.XLOOKUP(Table1[[#This Row],[Opportunity ID]],'Aging Detail'!$H$14:$H$20,'Aging Detail'!$F$14:$F$20),TRUE)</f>
        <v>1</v>
      </c>
    </row>
    <row r="583" spans="1:32">
      <c r="A583" t="s">
        <v>1461</v>
      </c>
      <c r="B583" t="s">
        <v>338</v>
      </c>
      <c r="C583" t="s">
        <v>563</v>
      </c>
      <c r="D583" t="s">
        <v>2914</v>
      </c>
      <c r="E583" t="s">
        <v>2915</v>
      </c>
      <c r="I583" s="422">
        <v>45833</v>
      </c>
      <c r="J583" s="422">
        <v>45849</v>
      </c>
      <c r="L583">
        <v>0</v>
      </c>
      <c r="M583" t="s">
        <v>2916</v>
      </c>
      <c r="N583" t="s">
        <v>1618</v>
      </c>
      <c r="O583" t="str">
        <f>_xlfn.IFNA(VLOOKUP(Table1[[#This Row],[Lead Source]],'helper tab'!A:B,2,FALSE),"Exclude")</f>
        <v>Exclude</v>
      </c>
      <c r="P583" s="422">
        <f t="shared" si="99"/>
        <v>45849.504861111112</v>
      </c>
      <c r="Q583">
        <f t="shared" si="100"/>
        <v>0</v>
      </c>
      <c r="R583">
        <f t="shared" si="101"/>
        <v>1</v>
      </c>
      <c r="S583">
        <f>IF(
AND($Q583=1,$M583&lt;&gt;""),
IF(
COUNTIFS(
$M$3:$M583,$M583,
$O$3:$O583,$O583,
$Q$3:$Q583,1,
$P$3:$P583,"&gt;="&amp;EOMONTH($P583,-1)+1,
$P$3:$P583,"&lt;"&amp;EOMONTH($P583,0)+1
)=1,
1,
0),
0)</f>
        <v>0</v>
      </c>
      <c r="T583">
        <f>IF(AND($R583=1,$M583&lt;&gt;""),IF(COUNTIFS($M$3:$M583,$M583,$O$3:$O583,$O583,$R$3:$R583,1,$P$3:$P583,"&gt;="&amp;EOMONTH($P583,-1)+1,$P$3:$P583,"&lt;"&amp;EOMONTH($P583,0)+1)=1,1,0),0)</f>
        <v>1</v>
      </c>
      <c r="U583">
        <f t="shared" si="102"/>
        <v>0</v>
      </c>
      <c r="V583">
        <f>IF(AND($U583=1,$M583&lt;&gt;""),IF(COUNTIFS($M$3:$M583,$M583,$O$3:$O583,$O583,$U$3:$U583,1,$P$3:$P583,"&gt;="&amp;EOMONTH($P583,-1)+1,$P$3:$P583,"&lt;"&amp;EOMONTH($P583,0)+1)=1,1,0),0)</f>
        <v>0</v>
      </c>
      <c r="W583" s="444">
        <f ca="1">TODAY()-Table1[[#This Row],[Change Date]]</f>
        <v>408.4951388888876</v>
      </c>
      <c r="X583" s="422" t="str">
        <f t="shared" si="103"/>
        <v/>
      </c>
      <c r="Y583" s="476">
        <f ca="1">IF(Table1[[#This Row],[Next Stage Date]]&lt;&gt;"",Table1[[#This Row],[Next Stage Date]]-Table1[[#This Row],[Change Date]],TODAY()-Table1[[#This Row],[Change Date]])</f>
        <v>408.4951388888876</v>
      </c>
      <c r="Z583" s="476">
        <f t="shared" si="104"/>
        <v>1</v>
      </c>
      <c r="AA583" s="422">
        <f t="shared" si="105"/>
        <v>45849.504861111112</v>
      </c>
      <c r="AB583" s="422" t="str">
        <f t="shared" si="106"/>
        <v/>
      </c>
      <c r="AC583" s="476" t="str">
        <f t="shared" si="107"/>
        <v/>
      </c>
      <c r="AD583" s="476" t="str">
        <f t="shared" si="108"/>
        <v/>
      </c>
      <c r="AE583" s="476">
        <f t="shared" si="109"/>
        <v>16.504861111112405</v>
      </c>
      <c r="AF583" s="476" t="b">
        <f>IFERROR(_xlfn.XLOOKUP(Table1[[#This Row],[Opportunity ID]],'Aging Detail'!$H$14:$H$20,'Aging Detail'!$F$14:$F$20),TRUE)</f>
        <v>1</v>
      </c>
    </row>
    <row r="584" spans="1:32">
      <c r="A584" t="s">
        <v>1461</v>
      </c>
      <c r="B584" t="s">
        <v>338</v>
      </c>
      <c r="C584" t="s">
        <v>1469</v>
      </c>
      <c r="D584" t="s">
        <v>2917</v>
      </c>
      <c r="E584" t="s">
        <v>2918</v>
      </c>
      <c r="I584" s="422">
        <v>45813</v>
      </c>
      <c r="J584" s="422">
        <v>73050</v>
      </c>
      <c r="L584">
        <v>0</v>
      </c>
      <c r="M584" t="s">
        <v>2919</v>
      </c>
      <c r="N584" t="s">
        <v>1812</v>
      </c>
      <c r="O584" t="str">
        <f>_xlfn.IFNA(VLOOKUP(Table1[[#This Row],[Lead Source]],'helper tab'!A:B,2,FALSE),"Exclude")</f>
        <v>Exclude</v>
      </c>
      <c r="P584" s="422">
        <f t="shared" si="99"/>
        <v>45847.354166666664</v>
      </c>
      <c r="Q584">
        <f t="shared" si="100"/>
        <v>0</v>
      </c>
      <c r="R584">
        <f t="shared" si="101"/>
        <v>0</v>
      </c>
      <c r="S584">
        <f>IF(
AND($Q584=1,$M584&lt;&gt;""),
IF(
COUNTIFS(
$M$3:$M584,$M584,
$O$3:$O584,$O584,
$Q$3:$Q584,1,
$P$3:$P584,"&gt;="&amp;EOMONTH($P584,-1)+1,
$P$3:$P584,"&lt;"&amp;EOMONTH($P584,0)+1
)=1,
1,
0),
0)</f>
        <v>0</v>
      </c>
      <c r="T584">
        <f>IF(AND($R584=1,$M584&lt;&gt;""),IF(COUNTIFS($M$3:$M584,$M584,$O$3:$O584,$O584,$R$3:$R584,1,$P$3:$P584,"&gt;="&amp;EOMONTH($P584,-1)+1,$P$3:$P584,"&lt;"&amp;EOMONTH($P584,0)+1)=1,1,0),0)</f>
        <v>0</v>
      </c>
      <c r="U584">
        <f t="shared" si="102"/>
        <v>1</v>
      </c>
      <c r="V584">
        <f>IF(AND($U584=1,$M584&lt;&gt;""),IF(COUNTIFS($M$3:$M584,$M584,$O$3:$O584,$O584,$U$3:$U584,1,$P$3:$P584,"&gt;="&amp;EOMONTH($P584,-1)+1,$P$3:$P584,"&lt;"&amp;EOMONTH($P584,0)+1)=1,1,0),0)</f>
        <v>1</v>
      </c>
      <c r="W584" s="444">
        <f ca="1">TODAY()-Table1[[#This Row],[Change Date]]</f>
        <v>410.64583333333576</v>
      </c>
      <c r="X584" s="422" t="str">
        <f t="shared" si="103"/>
        <v/>
      </c>
      <c r="Y584" s="476">
        <f ca="1">IF(Table1[[#This Row],[Next Stage Date]]&lt;&gt;"",Table1[[#This Row],[Next Stage Date]]-Table1[[#This Row],[Change Date]],TODAY()-Table1[[#This Row],[Change Date]])</f>
        <v>410.64583333333576</v>
      </c>
      <c r="Z584" s="476">
        <f t="shared" si="104"/>
        <v>1</v>
      </c>
      <c r="AA584" s="422" t="str">
        <f t="shared" si="105"/>
        <v/>
      </c>
      <c r="AB584" s="422" t="str">
        <f t="shared" si="106"/>
        <v/>
      </c>
      <c r="AC584" s="476" t="str">
        <f t="shared" si="107"/>
        <v/>
      </c>
      <c r="AD584" s="476" t="str">
        <f t="shared" si="108"/>
        <v/>
      </c>
      <c r="AE584" s="476" t="str">
        <f t="shared" si="109"/>
        <v/>
      </c>
      <c r="AF584" s="476" t="b">
        <f>IFERROR(_xlfn.XLOOKUP(Table1[[#This Row],[Opportunity ID]],'Aging Detail'!$H$14:$H$20,'Aging Detail'!$F$14:$F$20),TRUE)</f>
        <v>1</v>
      </c>
    </row>
    <row r="585" spans="1:32">
      <c r="A585" t="s">
        <v>1461</v>
      </c>
      <c r="B585" t="s">
        <v>462</v>
      </c>
      <c r="C585" t="s">
        <v>526</v>
      </c>
      <c r="D585" t="s">
        <v>2920</v>
      </c>
      <c r="E585" t="s">
        <v>2826</v>
      </c>
      <c r="I585" s="422">
        <v>45539</v>
      </c>
      <c r="J585" s="422">
        <v>45884</v>
      </c>
      <c r="K585">
        <v>979416.6</v>
      </c>
      <c r="L585">
        <v>21288.6</v>
      </c>
      <c r="M585" t="s">
        <v>2827</v>
      </c>
      <c r="N585" t="s">
        <v>1758</v>
      </c>
      <c r="O585" t="str">
        <f>_xlfn.IFNA(VLOOKUP(Table1[[#This Row],[Lead Source]],'helper tab'!A:B,2,FALSE),"Exclude")</f>
        <v>Exclude</v>
      </c>
      <c r="P585" s="422">
        <f t="shared" si="99"/>
        <v>45846.525694444441</v>
      </c>
      <c r="Q585">
        <f t="shared" si="100"/>
        <v>1</v>
      </c>
      <c r="R585">
        <f t="shared" si="101"/>
        <v>0</v>
      </c>
      <c r="S585">
        <f>IF(
AND($Q585=1,$M585&lt;&gt;""),
IF(
COUNTIFS(
$M$3:$M585,$M585,
$O$3:$O585,$O585,
$Q$3:$Q585,1,
$P$3:$P585,"&gt;="&amp;EOMONTH($P585,-1)+1,
$P$3:$P585,"&lt;"&amp;EOMONTH($P585,0)+1
)=1,
1,
0),
0)</f>
        <v>1</v>
      </c>
      <c r="T585">
        <f>IF(AND($R585=1,$M585&lt;&gt;""),IF(COUNTIFS($M$3:$M585,$M585,$O$3:$O585,$O585,$R$3:$R585,1,$P$3:$P585,"&gt;="&amp;EOMONTH($P585,-1)+1,$P$3:$P585,"&lt;"&amp;EOMONTH($P585,0)+1)=1,1,0),0)</f>
        <v>0</v>
      </c>
      <c r="U585">
        <f t="shared" si="102"/>
        <v>0</v>
      </c>
      <c r="V585">
        <f>IF(AND($U585=1,$M585&lt;&gt;""),IF(COUNTIFS($M$3:$M585,$M585,$O$3:$O585,$O585,$U$3:$U585,1,$P$3:$P585,"&gt;="&amp;EOMONTH($P585,-1)+1,$P$3:$P585,"&lt;"&amp;EOMONTH($P585,0)+1)=1,1,0),0)</f>
        <v>0</v>
      </c>
      <c r="W585" s="444">
        <f ca="1">TODAY()-Table1[[#This Row],[Change Date]]</f>
        <v>411.47430555555911</v>
      </c>
      <c r="X585" s="422">
        <f t="shared" si="103"/>
        <v>45884.359027777777</v>
      </c>
      <c r="Y585" s="476">
        <f ca="1">IF(Table1[[#This Row],[Next Stage Date]]&lt;&gt;"",Table1[[#This Row],[Next Stage Date]]-Table1[[#This Row],[Change Date]],TODAY()-Table1[[#This Row],[Change Date]])</f>
        <v>37.833333333335759</v>
      </c>
      <c r="Z585" s="476">
        <f t="shared" si="104"/>
        <v>0</v>
      </c>
      <c r="AA585" s="422">
        <f t="shared" si="105"/>
        <v>45884.359027777777</v>
      </c>
      <c r="AB585" s="422">
        <f t="shared" si="106"/>
        <v>45846.525694444441</v>
      </c>
      <c r="AC585" s="476">
        <f t="shared" si="107"/>
        <v>307.52569444444089</v>
      </c>
      <c r="AD585" s="476">
        <f t="shared" si="108"/>
        <v>37.833333333335759</v>
      </c>
      <c r="AE585" s="476">
        <f t="shared" si="109"/>
        <v>345.35902777777665</v>
      </c>
      <c r="AF585" s="476" t="b">
        <f>IFERROR(_xlfn.XLOOKUP(Table1[[#This Row],[Opportunity ID]],'Aging Detail'!$H$14:$H$20,'Aging Detail'!$F$14:$F$20),TRUE)</f>
        <v>1</v>
      </c>
    </row>
    <row r="586" spans="1:32">
      <c r="A586" t="s">
        <v>1461</v>
      </c>
      <c r="B586" t="s">
        <v>1462</v>
      </c>
      <c r="C586" t="s">
        <v>462</v>
      </c>
      <c r="D586" t="s">
        <v>2920</v>
      </c>
      <c r="E586" t="s">
        <v>2826</v>
      </c>
      <c r="I586" s="422">
        <v>45539</v>
      </c>
      <c r="J586" s="422">
        <v>45884</v>
      </c>
      <c r="K586">
        <v>979416.6</v>
      </c>
      <c r="L586">
        <v>21288.6</v>
      </c>
      <c r="M586" t="s">
        <v>2827</v>
      </c>
      <c r="N586" t="s">
        <v>1758</v>
      </c>
      <c r="O586" t="str">
        <f>_xlfn.IFNA(VLOOKUP(Table1[[#This Row],[Lead Source]],'helper tab'!A:B,2,FALSE),"Exclude")</f>
        <v>Exclude</v>
      </c>
      <c r="P586" s="422">
        <f t="shared" si="99"/>
        <v>45846.525694444441</v>
      </c>
      <c r="Q586">
        <f t="shared" si="100"/>
        <v>1</v>
      </c>
      <c r="R586">
        <f t="shared" si="101"/>
        <v>0</v>
      </c>
      <c r="S586">
        <f>IF(
AND($Q586=1,$M586&lt;&gt;""),
IF(
COUNTIFS(
$M$3:$M586,$M586,
$O$3:$O586,$O586,
$Q$3:$Q586,1,
$P$3:$P586,"&gt;="&amp;EOMONTH($P586,-1)+1,
$P$3:$P586,"&lt;"&amp;EOMONTH($P586,0)+1
)=1,
1,
0),
0)</f>
        <v>0</v>
      </c>
      <c r="T586">
        <f>IF(AND($R586=1,$M586&lt;&gt;""),IF(COUNTIFS($M$3:$M586,$M586,$O$3:$O586,$O586,$R$3:$R586,1,$P$3:$P586,"&gt;="&amp;EOMONTH($P586,-1)+1,$P$3:$P586,"&lt;"&amp;EOMONTH($P586,0)+1)=1,1,0),0)</f>
        <v>0</v>
      </c>
      <c r="U586">
        <f t="shared" si="102"/>
        <v>0</v>
      </c>
      <c r="V586">
        <f>IF(AND($U586=1,$M586&lt;&gt;""),IF(COUNTIFS($M$3:$M586,$M586,$O$3:$O586,$O586,$U$3:$U586,1,$P$3:$P586,"&gt;="&amp;EOMONTH($P586,-1)+1,$P$3:$P586,"&lt;"&amp;EOMONTH($P586,0)+1)=1,1,0),0)</f>
        <v>0</v>
      </c>
      <c r="W586" s="444">
        <f ca="1">TODAY()-Table1[[#This Row],[Change Date]]</f>
        <v>411.47430555555911</v>
      </c>
      <c r="X586" s="422">
        <f t="shared" si="103"/>
        <v>45884.359027777777</v>
      </c>
      <c r="Y586" s="476">
        <f ca="1">IF(Table1[[#This Row],[Next Stage Date]]&lt;&gt;"",Table1[[#This Row],[Next Stage Date]]-Table1[[#This Row],[Change Date]],TODAY()-Table1[[#This Row],[Change Date]])</f>
        <v>37.833333333335759</v>
      </c>
      <c r="Z586" s="476">
        <f t="shared" si="104"/>
        <v>0</v>
      </c>
      <c r="AA586" s="422">
        <f t="shared" si="105"/>
        <v>45884.359027777777</v>
      </c>
      <c r="AB586" s="422">
        <f t="shared" si="106"/>
        <v>45846.525694444441</v>
      </c>
      <c r="AC586" s="476">
        <f t="shared" si="107"/>
        <v>307.52569444444089</v>
      </c>
      <c r="AD586" s="476">
        <f t="shared" si="108"/>
        <v>37.833333333335759</v>
      </c>
      <c r="AE586" s="476">
        <f t="shared" si="109"/>
        <v>345.35902777777665</v>
      </c>
      <c r="AF586" s="476" t="b">
        <f>IFERROR(_xlfn.XLOOKUP(Table1[[#This Row],[Opportunity ID]],'Aging Detail'!$H$14:$H$20,'Aging Detail'!$F$14:$F$20),TRUE)</f>
        <v>1</v>
      </c>
    </row>
    <row r="587" spans="1:32">
      <c r="A587" t="s">
        <v>1461</v>
      </c>
      <c r="B587" t="s">
        <v>408</v>
      </c>
      <c r="C587" t="s">
        <v>1462</v>
      </c>
      <c r="D587" t="s">
        <v>2920</v>
      </c>
      <c r="E587" t="s">
        <v>2826</v>
      </c>
      <c r="I587" s="422">
        <v>45539</v>
      </c>
      <c r="J587" s="422">
        <v>45884</v>
      </c>
      <c r="K587">
        <v>979416.6</v>
      </c>
      <c r="L587">
        <v>21288.6</v>
      </c>
      <c r="M587" t="s">
        <v>2827</v>
      </c>
      <c r="N587" t="s">
        <v>1758</v>
      </c>
      <c r="O587" t="str">
        <f>_xlfn.IFNA(VLOOKUP(Table1[[#This Row],[Lead Source]],'helper tab'!A:B,2,FALSE),"Exclude")</f>
        <v>Exclude</v>
      </c>
      <c r="P587" s="422">
        <f t="shared" si="99"/>
        <v>45846.525694444441</v>
      </c>
      <c r="Q587">
        <f t="shared" si="100"/>
        <v>0</v>
      </c>
      <c r="R587">
        <f t="shared" si="101"/>
        <v>0</v>
      </c>
      <c r="S587">
        <f>IF(
AND($Q587=1,$M587&lt;&gt;""),
IF(
COUNTIFS(
$M$3:$M587,$M587,
$O$3:$O587,$O587,
$Q$3:$Q587,1,
$P$3:$P587,"&gt;="&amp;EOMONTH($P587,-1)+1,
$P$3:$P587,"&lt;"&amp;EOMONTH($P587,0)+1
)=1,
1,
0),
0)</f>
        <v>0</v>
      </c>
      <c r="T587">
        <f>IF(AND($R587=1,$M587&lt;&gt;""),IF(COUNTIFS($M$3:$M587,$M587,$O$3:$O587,$O587,$R$3:$R587,1,$P$3:$P587,"&gt;="&amp;EOMONTH($P587,-1)+1,$P$3:$P587,"&lt;"&amp;EOMONTH($P587,0)+1)=1,1,0),0)</f>
        <v>0</v>
      </c>
      <c r="U587">
        <f t="shared" si="102"/>
        <v>0</v>
      </c>
      <c r="V587">
        <f>IF(AND($U587=1,$M587&lt;&gt;""),IF(COUNTIFS($M$3:$M587,$M587,$O$3:$O587,$O587,$U$3:$U587,1,$P$3:$P587,"&gt;="&amp;EOMONTH($P587,-1)+1,$P$3:$P587,"&lt;"&amp;EOMONTH($P587,0)+1)=1,1,0),0)</f>
        <v>0</v>
      </c>
      <c r="W587" s="444">
        <f ca="1">TODAY()-Table1[[#This Row],[Change Date]]</f>
        <v>411.47430555555911</v>
      </c>
      <c r="X587" s="422">
        <f t="shared" si="103"/>
        <v>45884.359027777777</v>
      </c>
      <c r="Y587" s="476">
        <f ca="1">IF(Table1[[#This Row],[Next Stage Date]]&lt;&gt;"",Table1[[#This Row],[Next Stage Date]]-Table1[[#This Row],[Change Date]],TODAY()-Table1[[#This Row],[Change Date]])</f>
        <v>37.833333333335759</v>
      </c>
      <c r="Z587" s="476">
        <f t="shared" si="104"/>
        <v>0</v>
      </c>
      <c r="AA587" s="422">
        <f t="shared" si="105"/>
        <v>45884.359027777777</v>
      </c>
      <c r="AB587" s="422">
        <f t="shared" si="106"/>
        <v>45846.525694444441</v>
      </c>
      <c r="AC587" s="476">
        <f t="shared" si="107"/>
        <v>307.52569444444089</v>
      </c>
      <c r="AD587" s="476">
        <f t="shared" si="108"/>
        <v>37.833333333335759</v>
      </c>
      <c r="AE587" s="476">
        <f t="shared" si="109"/>
        <v>345.35902777777665</v>
      </c>
      <c r="AF587" s="476" t="b">
        <f>IFERROR(_xlfn.XLOOKUP(Table1[[#This Row],[Opportunity ID]],'Aging Detail'!$H$14:$H$20,'Aging Detail'!$F$14:$F$20),TRUE)</f>
        <v>1</v>
      </c>
    </row>
    <row r="588" spans="1:32">
      <c r="A588" t="s">
        <v>1461</v>
      </c>
      <c r="B588" t="s">
        <v>338</v>
      </c>
      <c r="C588" t="s">
        <v>563</v>
      </c>
      <c r="D588" t="s">
        <v>2921</v>
      </c>
      <c r="E588" t="s">
        <v>2922</v>
      </c>
      <c r="F588" t="s">
        <v>1484</v>
      </c>
      <c r="I588" s="422">
        <v>45708</v>
      </c>
      <c r="J588" s="422">
        <v>45841</v>
      </c>
      <c r="K588">
        <v>16975</v>
      </c>
      <c r="L588">
        <v>0</v>
      </c>
      <c r="M588" t="s">
        <v>2923</v>
      </c>
      <c r="N588" t="s">
        <v>1604</v>
      </c>
      <c r="O588" t="str">
        <f>_xlfn.IFNA(VLOOKUP(Table1[[#This Row],[Lead Source]],'helper tab'!A:B,2,FALSE),"Exclude")</f>
        <v>Exclude</v>
      </c>
      <c r="P588" s="422">
        <f t="shared" si="99"/>
        <v>45846.272916666669</v>
      </c>
      <c r="Q588">
        <f t="shared" si="100"/>
        <v>0</v>
      </c>
      <c r="R588">
        <f t="shared" si="101"/>
        <v>1</v>
      </c>
      <c r="S588">
        <f>IF(
AND($Q588=1,$M588&lt;&gt;""),
IF(
COUNTIFS(
$M$3:$M588,$M588,
$O$3:$O588,$O588,
$Q$3:$Q588,1,
$P$3:$P588,"&gt;="&amp;EOMONTH($P588,-1)+1,
$P$3:$P588,"&lt;"&amp;EOMONTH($P588,0)+1
)=1,
1,
0),
0)</f>
        <v>0</v>
      </c>
      <c r="T588">
        <f>IF(AND($R588=1,$M588&lt;&gt;""),IF(COUNTIFS($M$3:$M588,$M588,$O$3:$O588,$O588,$R$3:$R588,1,$P$3:$P588,"&gt;="&amp;EOMONTH($P588,-1)+1,$P$3:$P588,"&lt;"&amp;EOMONTH($P588,0)+1)=1,1,0),0)</f>
        <v>1</v>
      </c>
      <c r="U588">
        <f t="shared" si="102"/>
        <v>0</v>
      </c>
      <c r="V588">
        <f>IF(AND($U588=1,$M588&lt;&gt;""),IF(COUNTIFS($M$3:$M588,$M588,$O$3:$O588,$O588,$U$3:$U588,1,$P$3:$P588,"&gt;="&amp;EOMONTH($P588,-1)+1,$P$3:$P588,"&lt;"&amp;EOMONTH($P588,0)+1)=1,1,0),0)</f>
        <v>0</v>
      </c>
      <c r="W588" s="444">
        <f ca="1">TODAY()-Table1[[#This Row],[Change Date]]</f>
        <v>411.72708333333139</v>
      </c>
      <c r="X588" s="422" t="str">
        <f t="shared" si="103"/>
        <v/>
      </c>
      <c r="Y588" s="476">
        <f ca="1">IF(Table1[[#This Row],[Next Stage Date]]&lt;&gt;"",Table1[[#This Row],[Next Stage Date]]-Table1[[#This Row],[Change Date]],TODAY()-Table1[[#This Row],[Change Date]])</f>
        <v>411.72708333333139</v>
      </c>
      <c r="Z588" s="476">
        <f t="shared" si="104"/>
        <v>1</v>
      </c>
      <c r="AA588" s="422">
        <f t="shared" si="105"/>
        <v>45846.272916666669</v>
      </c>
      <c r="AB588" s="422" t="str">
        <f t="shared" si="106"/>
        <v/>
      </c>
      <c r="AC588" s="476" t="str">
        <f t="shared" si="107"/>
        <v/>
      </c>
      <c r="AD588" s="476" t="str">
        <f t="shared" si="108"/>
        <v/>
      </c>
      <c r="AE588" s="476">
        <f t="shared" si="109"/>
        <v>138.27291666666861</v>
      </c>
      <c r="AF588" s="476" t="b">
        <f>IFERROR(_xlfn.XLOOKUP(Table1[[#This Row],[Opportunity ID]],'Aging Detail'!$H$14:$H$20,'Aging Detail'!$F$14:$F$20),TRUE)</f>
        <v>1</v>
      </c>
    </row>
    <row r="589" spans="1:32">
      <c r="A589" t="s">
        <v>1461</v>
      </c>
      <c r="B589" t="s">
        <v>408</v>
      </c>
      <c r="C589" t="s">
        <v>1462</v>
      </c>
      <c r="D589" t="s">
        <v>2924</v>
      </c>
      <c r="E589" t="s">
        <v>1706</v>
      </c>
      <c r="F589" t="s">
        <v>1484</v>
      </c>
      <c r="I589" s="422">
        <v>45348</v>
      </c>
      <c r="J589" s="422">
        <v>46265</v>
      </c>
      <c r="K589">
        <v>0</v>
      </c>
      <c r="L589">
        <v>0</v>
      </c>
      <c r="M589" t="s">
        <v>1707</v>
      </c>
      <c r="N589" t="s">
        <v>1708</v>
      </c>
      <c r="O589" t="str">
        <f>_xlfn.IFNA(VLOOKUP(Table1[[#This Row],[Lead Source]],'helper tab'!A:B,2,FALSE),"Exclude")</f>
        <v>Exclude</v>
      </c>
      <c r="P589" s="422">
        <f t="shared" si="99"/>
        <v>45846.252083333333</v>
      </c>
      <c r="Q589">
        <f t="shared" si="100"/>
        <v>0</v>
      </c>
      <c r="R589">
        <f t="shared" si="101"/>
        <v>0</v>
      </c>
      <c r="S589">
        <f>IF(
AND($Q589=1,$M589&lt;&gt;""),
IF(
COUNTIFS(
$M$3:$M589,$M589,
$O$3:$O589,$O589,
$Q$3:$Q589,1,
$P$3:$P589,"&gt;="&amp;EOMONTH($P589,-1)+1,
$P$3:$P589,"&lt;"&amp;EOMONTH($P589,0)+1
)=1,
1,
0),
0)</f>
        <v>0</v>
      </c>
      <c r="T589">
        <f>IF(AND($R589=1,$M589&lt;&gt;""),IF(COUNTIFS($M$3:$M589,$M589,$O$3:$O589,$O589,$R$3:$R589,1,$P$3:$P589,"&gt;="&amp;EOMONTH($P589,-1)+1,$P$3:$P589,"&lt;"&amp;EOMONTH($P589,0)+1)=1,1,0),0)</f>
        <v>0</v>
      </c>
      <c r="U589">
        <f t="shared" si="102"/>
        <v>0</v>
      </c>
      <c r="V589">
        <f>IF(AND($U589=1,$M589&lt;&gt;""),IF(COUNTIFS($M$3:$M589,$M589,$O$3:$O589,$O589,$U$3:$U589,1,$P$3:$P589,"&gt;="&amp;EOMONTH($P589,-1)+1,$P$3:$P589,"&lt;"&amp;EOMONTH($P589,0)+1)=1,1,0),0)</f>
        <v>0</v>
      </c>
      <c r="W589" s="444">
        <f ca="1">TODAY()-Table1[[#This Row],[Change Date]]</f>
        <v>411.74791666666715</v>
      </c>
      <c r="X589" s="422">
        <f t="shared" si="103"/>
        <v>46210.429166666669</v>
      </c>
      <c r="Y589" s="476">
        <f ca="1">IF(Table1[[#This Row],[Next Stage Date]]&lt;&gt;"",Table1[[#This Row],[Next Stage Date]]-Table1[[#This Row],[Change Date]],TODAY()-Table1[[#This Row],[Change Date]])</f>
        <v>364.17708333333576</v>
      </c>
      <c r="Z589" s="476">
        <f t="shared" si="104"/>
        <v>0</v>
      </c>
      <c r="AA589" s="422" t="str">
        <f t="shared" si="105"/>
        <v/>
      </c>
      <c r="AB589" s="422" t="str">
        <f t="shared" si="106"/>
        <v/>
      </c>
      <c r="AC589" s="476" t="str">
        <f t="shared" si="107"/>
        <v/>
      </c>
      <c r="AD589" s="476" t="str">
        <f t="shared" si="108"/>
        <v/>
      </c>
      <c r="AE589" s="476" t="str">
        <f t="shared" si="109"/>
        <v/>
      </c>
      <c r="AF589" s="476" t="b">
        <f>IFERROR(_xlfn.XLOOKUP(Table1[[#This Row],[Opportunity ID]],'Aging Detail'!$H$14:$H$20,'Aging Detail'!$F$14:$F$20),TRUE)</f>
        <v>1</v>
      </c>
    </row>
    <row r="590" spans="1:32">
      <c r="A590" t="s">
        <v>1461</v>
      </c>
      <c r="B590" t="s">
        <v>338</v>
      </c>
      <c r="C590" t="s">
        <v>563</v>
      </c>
      <c r="D590" t="s">
        <v>2925</v>
      </c>
      <c r="E590" t="s">
        <v>2926</v>
      </c>
      <c r="I590" s="422">
        <v>45798</v>
      </c>
      <c r="J590" s="422">
        <v>45840</v>
      </c>
      <c r="K590">
        <v>18900</v>
      </c>
      <c r="L590">
        <v>0</v>
      </c>
      <c r="M590" t="s">
        <v>2927</v>
      </c>
      <c r="N590" t="s">
        <v>1800</v>
      </c>
      <c r="O590" t="str">
        <f>_xlfn.IFNA(VLOOKUP(Table1[[#This Row],[Lead Source]],'helper tab'!A:B,2,FALSE),"Exclude")</f>
        <v>Exclude</v>
      </c>
      <c r="P590" s="422">
        <f t="shared" si="99"/>
        <v>45840.448611111111</v>
      </c>
      <c r="Q590">
        <f t="shared" si="100"/>
        <v>0</v>
      </c>
      <c r="R590">
        <f t="shared" si="101"/>
        <v>1</v>
      </c>
      <c r="S590">
        <f>IF(
AND($Q590=1,$M590&lt;&gt;""),
IF(
COUNTIFS(
$M$3:$M590,$M590,
$O$3:$O590,$O590,
$Q$3:$Q590,1,
$P$3:$P590,"&gt;="&amp;EOMONTH($P590,-1)+1,
$P$3:$P590,"&lt;"&amp;EOMONTH($P590,0)+1
)=1,
1,
0),
0)</f>
        <v>0</v>
      </c>
      <c r="T590">
        <f>IF(AND($R590=1,$M590&lt;&gt;""),IF(COUNTIFS($M$3:$M590,$M590,$O$3:$O590,$O590,$R$3:$R590,1,$P$3:$P590,"&gt;="&amp;EOMONTH($P590,-1)+1,$P$3:$P590,"&lt;"&amp;EOMONTH($P590,0)+1)=1,1,0),0)</f>
        <v>1</v>
      </c>
      <c r="U590">
        <f t="shared" si="102"/>
        <v>0</v>
      </c>
      <c r="V590">
        <f>IF(AND($U590=1,$M590&lt;&gt;""),IF(COUNTIFS($M$3:$M590,$M590,$O$3:$O590,$O590,$U$3:$U590,1,$P$3:$P590,"&gt;="&amp;EOMONTH($P590,-1)+1,$P$3:$P590,"&lt;"&amp;EOMONTH($P590,0)+1)=1,1,0),0)</f>
        <v>0</v>
      </c>
      <c r="W590" s="444">
        <f ca="1">TODAY()-Table1[[#This Row],[Change Date]]</f>
        <v>417.55138888888905</v>
      </c>
      <c r="X590" s="422" t="str">
        <f t="shared" si="103"/>
        <v/>
      </c>
      <c r="Y590" s="476">
        <f ca="1">IF(Table1[[#This Row],[Next Stage Date]]&lt;&gt;"",Table1[[#This Row],[Next Stage Date]]-Table1[[#This Row],[Change Date]],TODAY()-Table1[[#This Row],[Change Date]])</f>
        <v>417.55138888888905</v>
      </c>
      <c r="Z590" s="476">
        <f t="shared" si="104"/>
        <v>1</v>
      </c>
      <c r="AA590" s="422">
        <f t="shared" si="105"/>
        <v>45840.448611111111</v>
      </c>
      <c r="AB590" s="422" t="str">
        <f t="shared" si="106"/>
        <v/>
      </c>
      <c r="AC590" s="476" t="str">
        <f t="shared" si="107"/>
        <v/>
      </c>
      <c r="AD590" s="476" t="str">
        <f t="shared" si="108"/>
        <v/>
      </c>
      <c r="AE590" s="476">
        <f t="shared" si="109"/>
        <v>42.448611111110949</v>
      </c>
      <c r="AF590" s="476" t="b">
        <f>IFERROR(_xlfn.XLOOKUP(Table1[[#This Row],[Opportunity ID]],'Aging Detail'!$H$14:$H$20,'Aging Detail'!$F$14:$F$20),TRUE)</f>
        <v>1</v>
      </c>
    </row>
    <row r="591" spans="1:32">
      <c r="A591" t="s">
        <v>1461</v>
      </c>
      <c r="B591" t="s">
        <v>408</v>
      </c>
      <c r="C591" t="s">
        <v>563</v>
      </c>
      <c r="D591" t="s">
        <v>2928</v>
      </c>
      <c r="E591" t="s">
        <v>2929</v>
      </c>
      <c r="I591" s="422">
        <v>45798</v>
      </c>
      <c r="J591" s="422">
        <v>45840</v>
      </c>
      <c r="K591">
        <v>0</v>
      </c>
      <c r="L591">
        <v>0</v>
      </c>
      <c r="M591" t="s">
        <v>2930</v>
      </c>
      <c r="N591" t="s">
        <v>1800</v>
      </c>
      <c r="O591" t="str">
        <f>_xlfn.IFNA(VLOOKUP(Table1[[#This Row],[Lead Source]],'helper tab'!A:B,2,FALSE),"Exclude")</f>
        <v>Exclude</v>
      </c>
      <c r="P591" s="422">
        <f t="shared" si="99"/>
        <v>45840.447222222225</v>
      </c>
      <c r="Q591">
        <f t="shared" si="100"/>
        <v>0</v>
      </c>
      <c r="R591">
        <f t="shared" si="101"/>
        <v>1</v>
      </c>
      <c r="S591">
        <f>IF(
AND($Q591=1,$M591&lt;&gt;""),
IF(
COUNTIFS(
$M$3:$M591,$M591,
$O$3:$O591,$O591,
$Q$3:$Q591,1,
$P$3:$P591,"&gt;="&amp;EOMONTH($P591,-1)+1,
$P$3:$P591,"&lt;"&amp;EOMONTH($P591,0)+1
)=1,
1,
0),
0)</f>
        <v>0</v>
      </c>
      <c r="T591">
        <f>IF(AND($R591=1,$M591&lt;&gt;""),IF(COUNTIFS($M$3:$M591,$M591,$O$3:$O591,$O591,$R$3:$R591,1,$P$3:$P591,"&gt;="&amp;EOMONTH($P591,-1)+1,$P$3:$P591,"&lt;"&amp;EOMONTH($P591,0)+1)=1,1,0),0)</f>
        <v>1</v>
      </c>
      <c r="U591">
        <f t="shared" si="102"/>
        <v>0</v>
      </c>
      <c r="V591">
        <f>IF(AND($U591=1,$M591&lt;&gt;""),IF(COUNTIFS($M$3:$M591,$M591,$O$3:$O591,$O591,$U$3:$U591,1,$P$3:$P591,"&gt;="&amp;EOMONTH($P591,-1)+1,$P$3:$P591,"&lt;"&amp;EOMONTH($P591,0)+1)=1,1,0),0)</f>
        <v>0</v>
      </c>
      <c r="W591" s="444">
        <f ca="1">TODAY()-Table1[[#This Row],[Change Date]]</f>
        <v>417.55277777777519</v>
      </c>
      <c r="X591" s="422" t="str">
        <f t="shared" si="103"/>
        <v/>
      </c>
      <c r="Y591" s="476">
        <f ca="1">IF(Table1[[#This Row],[Next Stage Date]]&lt;&gt;"",Table1[[#This Row],[Next Stage Date]]-Table1[[#This Row],[Change Date]],TODAY()-Table1[[#This Row],[Change Date]])</f>
        <v>417.55277777777519</v>
      </c>
      <c r="Z591" s="476">
        <f t="shared" si="104"/>
        <v>1</v>
      </c>
      <c r="AA591" s="422">
        <f t="shared" si="105"/>
        <v>45840.447222222225</v>
      </c>
      <c r="AB591" s="422" t="str">
        <f t="shared" si="106"/>
        <v/>
      </c>
      <c r="AC591" s="476" t="str">
        <f t="shared" si="107"/>
        <v/>
      </c>
      <c r="AD591" s="476" t="str">
        <f t="shared" si="108"/>
        <v/>
      </c>
      <c r="AE591" s="476">
        <f t="shared" si="109"/>
        <v>42.447222222224809</v>
      </c>
      <c r="AF591" s="476" t="b">
        <f>IFERROR(_xlfn.XLOOKUP(Table1[[#This Row],[Opportunity ID]],'Aging Detail'!$H$14:$H$20,'Aging Detail'!$F$14:$F$20),TRUE)</f>
        <v>1</v>
      </c>
    </row>
    <row r="592" spans="1:32">
      <c r="A592" t="s">
        <v>1461</v>
      </c>
      <c r="B592" t="s">
        <v>526</v>
      </c>
      <c r="C592" t="s">
        <v>563</v>
      </c>
      <c r="D592" t="s">
        <v>2931</v>
      </c>
      <c r="E592" t="s">
        <v>2932</v>
      </c>
      <c r="I592" s="422">
        <v>45202</v>
      </c>
      <c r="J592" s="422">
        <v>45838</v>
      </c>
      <c r="K592">
        <v>853500</v>
      </c>
      <c r="L592">
        <v>23100</v>
      </c>
      <c r="M592" t="s">
        <v>2933</v>
      </c>
      <c r="N592" t="s">
        <v>2148</v>
      </c>
      <c r="O592" t="str">
        <f>_xlfn.IFNA(VLOOKUP(Table1[[#This Row],[Lead Source]],'helper tab'!A:B,2,FALSE),"Exclude")</f>
        <v>Exclude</v>
      </c>
      <c r="P592" s="422">
        <f t="shared" si="99"/>
        <v>45840.259027777778</v>
      </c>
      <c r="Q592">
        <f t="shared" si="100"/>
        <v>0</v>
      </c>
      <c r="R592">
        <f t="shared" si="101"/>
        <v>1</v>
      </c>
      <c r="S592">
        <f>IF(
AND($Q592=1,$M592&lt;&gt;""),
IF(
COUNTIFS(
$M$3:$M592,$M592,
$O$3:$O592,$O592,
$Q$3:$Q592,1,
$P$3:$P592,"&gt;="&amp;EOMONTH($P592,-1)+1,
$P$3:$P592,"&lt;"&amp;EOMONTH($P592,0)+1
)=1,
1,
0),
0)</f>
        <v>0</v>
      </c>
      <c r="T592">
        <f>IF(AND($R592=1,$M592&lt;&gt;""),IF(COUNTIFS($M$3:$M592,$M592,$O$3:$O592,$O592,$R$3:$R592,1,$P$3:$P592,"&gt;="&amp;EOMONTH($P592,-1)+1,$P$3:$P592,"&lt;"&amp;EOMONTH($P592,0)+1)=1,1,0),0)</f>
        <v>1</v>
      </c>
      <c r="U592">
        <f t="shared" si="102"/>
        <v>0</v>
      </c>
      <c r="V592">
        <f>IF(AND($U592=1,$M592&lt;&gt;""),IF(COUNTIFS($M$3:$M592,$M592,$O$3:$O592,$O592,$U$3:$U592,1,$P$3:$P592,"&gt;="&amp;EOMONTH($P592,-1)+1,$P$3:$P592,"&lt;"&amp;EOMONTH($P592,0)+1)=1,1,0),0)</f>
        <v>0</v>
      </c>
      <c r="W592" s="444">
        <f ca="1">TODAY()-Table1[[#This Row],[Change Date]]</f>
        <v>417.7409722222219</v>
      </c>
      <c r="X592" s="422" t="str">
        <f t="shared" si="103"/>
        <v/>
      </c>
      <c r="Y592" s="476">
        <f ca="1">IF(Table1[[#This Row],[Next Stage Date]]&lt;&gt;"",Table1[[#This Row],[Next Stage Date]]-Table1[[#This Row],[Change Date]],TODAY()-Table1[[#This Row],[Change Date]])</f>
        <v>417.7409722222219</v>
      </c>
      <c r="Z592" s="476">
        <f t="shared" si="104"/>
        <v>1</v>
      </c>
      <c r="AA592" s="422">
        <f t="shared" si="105"/>
        <v>45840.259027777778</v>
      </c>
      <c r="AB592" s="422">
        <f t="shared" si="106"/>
        <v>45833.356944444444</v>
      </c>
      <c r="AC592" s="476">
        <f t="shared" si="107"/>
        <v>631.3569444444438</v>
      </c>
      <c r="AD592" s="476">
        <f t="shared" si="108"/>
        <v>6.9020833333343035</v>
      </c>
      <c r="AE592" s="476">
        <f t="shared" si="109"/>
        <v>638.2590277777781</v>
      </c>
      <c r="AF592" s="476" t="b">
        <f>IFERROR(_xlfn.XLOOKUP(Table1[[#This Row],[Opportunity ID]],'Aging Detail'!$H$14:$H$20,'Aging Detail'!$F$14:$F$20),TRUE)</f>
        <v>1</v>
      </c>
    </row>
    <row r="593" spans="1:32">
      <c r="A593" t="s">
        <v>1461</v>
      </c>
      <c r="B593" t="s">
        <v>526</v>
      </c>
      <c r="C593" t="s">
        <v>563</v>
      </c>
      <c r="D593" t="s">
        <v>2934</v>
      </c>
      <c r="E593" t="s">
        <v>2935</v>
      </c>
      <c r="F593" t="s">
        <v>148</v>
      </c>
      <c r="H593" t="s">
        <v>155</v>
      </c>
      <c r="I593" s="422">
        <v>45271</v>
      </c>
      <c r="J593" s="422">
        <v>45835</v>
      </c>
      <c r="K593">
        <v>979000</v>
      </c>
      <c r="L593">
        <v>445000</v>
      </c>
      <c r="M593" t="s">
        <v>2936</v>
      </c>
      <c r="N593" t="s">
        <v>2937</v>
      </c>
      <c r="O593" t="str">
        <f>_xlfn.IFNA(VLOOKUP(Table1[[#This Row],[Lead Source]],'helper tab'!A:B,2,FALSE),"Exclude")</f>
        <v>Alliances</v>
      </c>
      <c r="P593" s="422">
        <f t="shared" si="99"/>
        <v>45838.40625</v>
      </c>
      <c r="Q593">
        <f t="shared" si="100"/>
        <v>0</v>
      </c>
      <c r="R593">
        <f t="shared" si="101"/>
        <v>1</v>
      </c>
      <c r="S593">
        <f>IF(
AND($Q593=1,$M593&lt;&gt;""),
IF(
COUNTIFS(
$M$3:$M593,$M593,
$O$3:$O593,$O593,
$Q$3:$Q593,1,
$P$3:$P593,"&gt;="&amp;EOMONTH($P593,-1)+1,
$P$3:$P593,"&lt;"&amp;EOMONTH($P593,0)+1
)=1,
1,
0),
0)</f>
        <v>0</v>
      </c>
      <c r="T593">
        <f>IF(AND($R593=1,$M593&lt;&gt;""),IF(COUNTIFS($M$3:$M593,$M593,$O$3:$O593,$O593,$R$3:$R593,1,$P$3:$P593,"&gt;="&amp;EOMONTH($P593,-1)+1,$P$3:$P593,"&lt;"&amp;EOMONTH($P593,0)+1)=1,1,0),0)</f>
        <v>1</v>
      </c>
      <c r="U593">
        <f t="shared" si="102"/>
        <v>0</v>
      </c>
      <c r="V593">
        <f>IF(AND($U593=1,$M593&lt;&gt;""),IF(COUNTIFS($M$3:$M593,$M593,$O$3:$O593,$O593,$U$3:$U593,1,$P$3:$P593,"&gt;="&amp;EOMONTH($P593,-1)+1,$P$3:$P593,"&lt;"&amp;EOMONTH($P593,0)+1)=1,1,0),0)</f>
        <v>0</v>
      </c>
      <c r="W593" s="444">
        <f ca="1">TODAY()-Table1[[#This Row],[Change Date]]</f>
        <v>419.59375</v>
      </c>
      <c r="X593" s="422" t="str">
        <f t="shared" si="103"/>
        <v/>
      </c>
      <c r="Y593" s="476">
        <f ca="1">IF(Table1[[#This Row],[Next Stage Date]]&lt;&gt;"",Table1[[#This Row],[Next Stage Date]]-Table1[[#This Row],[Change Date]],TODAY()-Table1[[#This Row],[Change Date]])</f>
        <v>419.59375</v>
      </c>
      <c r="Z593" s="476">
        <f t="shared" si="104"/>
        <v>1</v>
      </c>
      <c r="AA593" s="422">
        <f t="shared" si="105"/>
        <v>45838.40625</v>
      </c>
      <c r="AB593" s="422">
        <f t="shared" si="106"/>
        <v>45838.405555555553</v>
      </c>
      <c r="AC593" s="476">
        <f t="shared" si="107"/>
        <v>567.40555555555329</v>
      </c>
      <c r="AD593" s="476">
        <f t="shared" si="108"/>
        <v>6.944444467080757E-4</v>
      </c>
      <c r="AE593" s="476">
        <f t="shared" si="109"/>
        <v>567.40625</v>
      </c>
      <c r="AF593" s="476" t="b">
        <f>IFERROR(_xlfn.XLOOKUP(Table1[[#This Row],[Opportunity ID]],'Aging Detail'!$H$14:$H$20,'Aging Detail'!$F$14:$F$20),TRUE)</f>
        <v>1</v>
      </c>
    </row>
    <row r="594" spans="1:32">
      <c r="A594" t="s">
        <v>1461</v>
      </c>
      <c r="B594" t="s">
        <v>462</v>
      </c>
      <c r="C594" t="s">
        <v>526</v>
      </c>
      <c r="D594" t="s">
        <v>2938</v>
      </c>
      <c r="E594" t="s">
        <v>2935</v>
      </c>
      <c r="F594" t="s">
        <v>148</v>
      </c>
      <c r="H594" t="s">
        <v>155</v>
      </c>
      <c r="I594" s="422">
        <v>45271</v>
      </c>
      <c r="J594" s="422">
        <v>45835</v>
      </c>
      <c r="K594">
        <v>979000</v>
      </c>
      <c r="L594">
        <v>445000</v>
      </c>
      <c r="M594" t="s">
        <v>2936</v>
      </c>
      <c r="N594" t="s">
        <v>2937</v>
      </c>
      <c r="O594" t="str">
        <f>_xlfn.IFNA(VLOOKUP(Table1[[#This Row],[Lead Source]],'helper tab'!A:B,2,FALSE),"Exclude")</f>
        <v>Alliances</v>
      </c>
      <c r="P594" s="422">
        <f t="shared" si="99"/>
        <v>45838.405555555553</v>
      </c>
      <c r="Q594">
        <f t="shared" si="100"/>
        <v>1</v>
      </c>
      <c r="R594">
        <f t="shared" si="101"/>
        <v>0</v>
      </c>
      <c r="S594">
        <f>IF(
AND($Q594=1,$M594&lt;&gt;""),
IF(
COUNTIFS(
$M$3:$M594,$M594,
$O$3:$O594,$O594,
$Q$3:$Q594,1,
$P$3:$P594,"&gt;="&amp;EOMONTH($P594,-1)+1,
$P$3:$P594,"&lt;"&amp;EOMONTH($P594,0)+1
)=1,
1,
0),
0)</f>
        <v>1</v>
      </c>
      <c r="T594">
        <f>IF(AND($R594=1,$M594&lt;&gt;""),IF(COUNTIFS($M$3:$M594,$M594,$O$3:$O594,$O594,$R$3:$R594,1,$P$3:$P594,"&gt;="&amp;EOMONTH($P594,-1)+1,$P$3:$P594,"&lt;"&amp;EOMONTH($P594,0)+1)=1,1,0),0)</f>
        <v>0</v>
      </c>
      <c r="U594">
        <f t="shared" si="102"/>
        <v>0</v>
      </c>
      <c r="V594">
        <f>IF(AND($U594=1,$M594&lt;&gt;""),IF(COUNTIFS($M$3:$M594,$M594,$O$3:$O594,$O594,$U$3:$U594,1,$P$3:$P594,"&gt;="&amp;EOMONTH($P594,-1)+1,$P$3:$P594,"&lt;"&amp;EOMONTH($P594,0)+1)=1,1,0),0)</f>
        <v>0</v>
      </c>
      <c r="W594" s="444">
        <f ca="1">TODAY()-Table1[[#This Row],[Change Date]]</f>
        <v>419.59444444444671</v>
      </c>
      <c r="X594" s="422">
        <f t="shared" si="103"/>
        <v>45838.40625</v>
      </c>
      <c r="Y594" s="476">
        <f ca="1">IF(Table1[[#This Row],[Next Stage Date]]&lt;&gt;"",Table1[[#This Row],[Next Stage Date]]-Table1[[#This Row],[Change Date]],TODAY()-Table1[[#This Row],[Change Date]])</f>
        <v>6.944444467080757E-4</v>
      </c>
      <c r="Z594" s="476">
        <f t="shared" si="104"/>
        <v>0</v>
      </c>
      <c r="AA594" s="422">
        <f t="shared" si="105"/>
        <v>45838.40625</v>
      </c>
      <c r="AB594" s="422">
        <f t="shared" si="106"/>
        <v>45838.405555555553</v>
      </c>
      <c r="AC594" s="476">
        <f t="shared" si="107"/>
        <v>567.40555555555329</v>
      </c>
      <c r="AD594" s="476">
        <f t="shared" si="108"/>
        <v>6.944444467080757E-4</v>
      </c>
      <c r="AE594" s="476">
        <f t="shared" si="109"/>
        <v>567.40625</v>
      </c>
      <c r="AF594" s="476" t="b">
        <f>IFERROR(_xlfn.XLOOKUP(Table1[[#This Row],[Opportunity ID]],'Aging Detail'!$H$14:$H$20,'Aging Detail'!$F$14:$F$20),TRUE)</f>
        <v>1</v>
      </c>
    </row>
    <row r="595" spans="1:32">
      <c r="A595" t="s">
        <v>1461</v>
      </c>
      <c r="B595" t="s">
        <v>408</v>
      </c>
      <c r="C595" t="s">
        <v>1469</v>
      </c>
      <c r="D595" t="s">
        <v>2939</v>
      </c>
      <c r="E595" t="s">
        <v>2940</v>
      </c>
      <c r="F595" t="s">
        <v>1473</v>
      </c>
      <c r="I595" s="422">
        <v>45463</v>
      </c>
      <c r="J595" s="422">
        <v>46235</v>
      </c>
      <c r="K595">
        <v>385360</v>
      </c>
      <c r="L595">
        <v>385360</v>
      </c>
      <c r="M595" t="s">
        <v>2941</v>
      </c>
      <c r="N595" t="s">
        <v>2099</v>
      </c>
      <c r="O595" t="str">
        <f>_xlfn.IFNA(VLOOKUP(Table1[[#This Row],[Lead Source]],'helper tab'!A:B,2,FALSE),"Exclude")</f>
        <v>Events</v>
      </c>
      <c r="P595" s="422">
        <f t="shared" si="99"/>
        <v>45838.395138888889</v>
      </c>
      <c r="Q595">
        <f t="shared" si="100"/>
        <v>0</v>
      </c>
      <c r="R595">
        <f t="shared" si="101"/>
        <v>0</v>
      </c>
      <c r="S595">
        <f>IF(
AND($Q595=1,$M595&lt;&gt;""),
IF(
COUNTIFS(
$M$3:$M595,$M595,
$O$3:$O595,$O595,
$Q$3:$Q595,1,
$P$3:$P595,"&gt;="&amp;EOMONTH($P595,-1)+1,
$P$3:$P595,"&lt;"&amp;EOMONTH($P595,0)+1
)=1,
1,
0),
0)</f>
        <v>0</v>
      </c>
      <c r="T595">
        <f>IF(AND($R595=1,$M595&lt;&gt;""),IF(COUNTIFS($M$3:$M595,$M595,$O$3:$O595,$O595,$R$3:$R595,1,$P$3:$P595,"&gt;="&amp;EOMONTH($P595,-1)+1,$P$3:$P595,"&lt;"&amp;EOMONTH($P595,0)+1)=1,1,0),0)</f>
        <v>0</v>
      </c>
      <c r="U595">
        <f t="shared" si="102"/>
        <v>1</v>
      </c>
      <c r="V595">
        <f>IF(AND($U595=1,$M595&lt;&gt;""),IF(COUNTIFS($M$3:$M595,$M595,$O$3:$O595,$O595,$U$3:$U595,1,$P$3:$P595,"&gt;="&amp;EOMONTH($P595,-1)+1,$P$3:$P595,"&lt;"&amp;EOMONTH($P595,0)+1)=1,1,0),0)</f>
        <v>1</v>
      </c>
      <c r="W595" s="444">
        <f ca="1">TODAY()-Table1[[#This Row],[Change Date]]</f>
        <v>419.60486111111095</v>
      </c>
      <c r="X595" s="422" t="str">
        <f t="shared" si="103"/>
        <v/>
      </c>
      <c r="Y595" s="476">
        <f ca="1">IF(Table1[[#This Row],[Next Stage Date]]&lt;&gt;"",Table1[[#This Row],[Next Stage Date]]-Table1[[#This Row],[Change Date]],TODAY()-Table1[[#This Row],[Change Date]])</f>
        <v>419.60486111111095</v>
      </c>
      <c r="Z595" s="476">
        <f t="shared" si="104"/>
        <v>1</v>
      </c>
      <c r="AA595" s="422" t="str">
        <f t="shared" si="105"/>
        <v/>
      </c>
      <c r="AB595" s="422" t="str">
        <f t="shared" si="106"/>
        <v/>
      </c>
      <c r="AC595" s="476" t="str">
        <f t="shared" si="107"/>
        <v/>
      </c>
      <c r="AD595" s="476" t="str">
        <f t="shared" si="108"/>
        <v/>
      </c>
      <c r="AE595" s="476" t="str">
        <f t="shared" si="109"/>
        <v/>
      </c>
      <c r="AF595" s="476" t="b">
        <f>IFERROR(_xlfn.XLOOKUP(Table1[[#This Row],[Opportunity ID]],'Aging Detail'!$H$14:$H$20,'Aging Detail'!$F$14:$F$20),TRUE)</f>
        <v>1</v>
      </c>
    </row>
    <row r="596" spans="1:32">
      <c r="A596" t="s">
        <v>1461</v>
      </c>
      <c r="B596" t="s">
        <v>408</v>
      </c>
      <c r="C596" t="s">
        <v>1469</v>
      </c>
      <c r="D596" t="s">
        <v>2939</v>
      </c>
      <c r="E596" t="s">
        <v>2942</v>
      </c>
      <c r="F596" t="s">
        <v>1484</v>
      </c>
      <c r="I596" s="422">
        <v>45215</v>
      </c>
      <c r="J596" s="422">
        <v>46237</v>
      </c>
      <c r="K596">
        <v>208000</v>
      </c>
      <c r="L596">
        <v>208000</v>
      </c>
      <c r="M596" t="s">
        <v>2943</v>
      </c>
      <c r="N596" t="s">
        <v>2099</v>
      </c>
      <c r="O596" t="str">
        <f>_xlfn.IFNA(VLOOKUP(Table1[[#This Row],[Lead Source]],'helper tab'!A:B,2,FALSE),"Exclude")</f>
        <v>Exclude</v>
      </c>
      <c r="P596" s="422">
        <f t="shared" si="99"/>
        <v>45838.395138888889</v>
      </c>
      <c r="Q596">
        <f t="shared" si="100"/>
        <v>0</v>
      </c>
      <c r="R596">
        <f t="shared" si="101"/>
        <v>0</v>
      </c>
      <c r="S596">
        <f>IF(
AND($Q596=1,$M596&lt;&gt;""),
IF(
COUNTIFS(
$M$3:$M596,$M596,
$O$3:$O596,$O596,
$Q$3:$Q596,1,
$P$3:$P596,"&gt;="&amp;EOMONTH($P596,-1)+1,
$P$3:$P596,"&lt;"&amp;EOMONTH($P596,0)+1
)=1,
1,
0),
0)</f>
        <v>0</v>
      </c>
      <c r="T596">
        <f>IF(AND($R596=1,$M596&lt;&gt;""),IF(COUNTIFS($M$3:$M596,$M596,$O$3:$O596,$O596,$R$3:$R596,1,$P$3:$P596,"&gt;="&amp;EOMONTH($P596,-1)+1,$P$3:$P596,"&lt;"&amp;EOMONTH($P596,0)+1)=1,1,0),0)</f>
        <v>0</v>
      </c>
      <c r="U596">
        <f t="shared" si="102"/>
        <v>1</v>
      </c>
      <c r="V596">
        <f>IF(AND($U596=1,$M596&lt;&gt;""),IF(COUNTIFS($M$3:$M596,$M596,$O$3:$O596,$O596,$U$3:$U596,1,$P$3:$P596,"&gt;="&amp;EOMONTH($P596,-1)+1,$P$3:$P596,"&lt;"&amp;EOMONTH($P596,0)+1)=1,1,0),0)</f>
        <v>1</v>
      </c>
      <c r="W596" s="444">
        <f ca="1">TODAY()-Table1[[#This Row],[Change Date]]</f>
        <v>419.60486111111095</v>
      </c>
      <c r="X596" s="422" t="str">
        <f t="shared" si="103"/>
        <v/>
      </c>
      <c r="Y596" s="476">
        <f ca="1">IF(Table1[[#This Row],[Next Stage Date]]&lt;&gt;"",Table1[[#This Row],[Next Stage Date]]-Table1[[#This Row],[Change Date]],TODAY()-Table1[[#This Row],[Change Date]])</f>
        <v>419.60486111111095</v>
      </c>
      <c r="Z596" s="476">
        <f t="shared" si="104"/>
        <v>1</v>
      </c>
      <c r="AA596" s="422" t="str">
        <f t="shared" si="105"/>
        <v/>
      </c>
      <c r="AB596" s="422" t="str">
        <f t="shared" si="106"/>
        <v/>
      </c>
      <c r="AC596" s="476" t="str">
        <f t="shared" si="107"/>
        <v/>
      </c>
      <c r="AD596" s="476" t="str">
        <f t="shared" si="108"/>
        <v/>
      </c>
      <c r="AE596" s="476" t="str">
        <f t="shared" si="109"/>
        <v/>
      </c>
      <c r="AF596" s="476" t="b">
        <f>IFERROR(_xlfn.XLOOKUP(Table1[[#This Row],[Opportunity ID]],'Aging Detail'!$H$14:$H$20,'Aging Detail'!$F$14:$F$20),TRUE)</f>
        <v>1</v>
      </c>
    </row>
    <row r="597" spans="1:32">
      <c r="A597" t="s">
        <v>1461</v>
      </c>
      <c r="B597" t="s">
        <v>1462</v>
      </c>
      <c r="C597" t="s">
        <v>1469</v>
      </c>
      <c r="D597" t="s">
        <v>2944</v>
      </c>
      <c r="E597" t="s">
        <v>2945</v>
      </c>
      <c r="F597" t="s">
        <v>1484</v>
      </c>
      <c r="I597" s="422">
        <v>45223</v>
      </c>
      <c r="J597" s="422">
        <v>46112</v>
      </c>
      <c r="K597">
        <v>20000</v>
      </c>
      <c r="L597">
        <v>20000</v>
      </c>
      <c r="M597" t="s">
        <v>2946</v>
      </c>
      <c r="N597" t="s">
        <v>2099</v>
      </c>
      <c r="O597" t="str">
        <f>_xlfn.IFNA(VLOOKUP(Table1[[#This Row],[Lead Source]],'helper tab'!A:B,2,FALSE),"Exclude")</f>
        <v>Exclude</v>
      </c>
      <c r="P597" s="422">
        <f t="shared" si="99"/>
        <v>45838.394444444442</v>
      </c>
      <c r="Q597">
        <f t="shared" si="100"/>
        <v>0</v>
      </c>
      <c r="R597">
        <f t="shared" si="101"/>
        <v>0</v>
      </c>
      <c r="S597">
        <f>IF(
AND($Q597=1,$M597&lt;&gt;""),
IF(
COUNTIFS(
$M$3:$M597,$M597,
$O$3:$O597,$O597,
$Q$3:$Q597,1,
$P$3:$P597,"&gt;="&amp;EOMONTH($P597,-1)+1,
$P$3:$P597,"&lt;"&amp;EOMONTH($P597,0)+1
)=1,
1,
0),
0)</f>
        <v>0</v>
      </c>
      <c r="T597">
        <f>IF(AND($R597=1,$M597&lt;&gt;""),IF(COUNTIFS($M$3:$M597,$M597,$O$3:$O597,$O597,$R$3:$R597,1,$P$3:$P597,"&gt;="&amp;EOMONTH($P597,-1)+1,$P$3:$P597,"&lt;"&amp;EOMONTH($P597,0)+1)=1,1,0),0)</f>
        <v>0</v>
      </c>
      <c r="U597">
        <f t="shared" si="102"/>
        <v>1</v>
      </c>
      <c r="V597">
        <f>IF(AND($U597=1,$M597&lt;&gt;""),IF(COUNTIFS($M$3:$M597,$M597,$O$3:$O597,$O597,$U$3:$U597,1,$P$3:$P597,"&gt;="&amp;EOMONTH($P597,-1)+1,$P$3:$P597,"&lt;"&amp;EOMONTH($P597,0)+1)=1,1,0),0)</f>
        <v>1</v>
      </c>
      <c r="W597" s="444">
        <f ca="1">TODAY()-Table1[[#This Row],[Change Date]]</f>
        <v>419.60555555555766</v>
      </c>
      <c r="X597" s="422" t="str">
        <f t="shared" si="103"/>
        <v/>
      </c>
      <c r="Y597" s="476">
        <f ca="1">IF(Table1[[#This Row],[Next Stage Date]]&lt;&gt;"",Table1[[#This Row],[Next Stage Date]]-Table1[[#This Row],[Change Date]],TODAY()-Table1[[#This Row],[Change Date]])</f>
        <v>419.60555555555766</v>
      </c>
      <c r="Z597" s="476">
        <f t="shared" si="104"/>
        <v>1</v>
      </c>
      <c r="AA597" s="422" t="str">
        <f t="shared" si="105"/>
        <v/>
      </c>
      <c r="AB597" s="422" t="str">
        <f t="shared" si="106"/>
        <v/>
      </c>
      <c r="AC597" s="476" t="str">
        <f t="shared" si="107"/>
        <v/>
      </c>
      <c r="AD597" s="476" t="str">
        <f t="shared" si="108"/>
        <v/>
      </c>
      <c r="AE597" s="476" t="str">
        <f t="shared" si="109"/>
        <v/>
      </c>
      <c r="AF597" s="476" t="b">
        <f>IFERROR(_xlfn.XLOOKUP(Table1[[#This Row],[Opportunity ID]],'Aging Detail'!$H$14:$H$20,'Aging Detail'!$F$14:$F$20),TRUE)</f>
        <v>1</v>
      </c>
    </row>
    <row r="598" spans="1:32">
      <c r="A598" t="s">
        <v>1461</v>
      </c>
      <c r="B598" t="s">
        <v>408</v>
      </c>
      <c r="C598" t="s">
        <v>1469</v>
      </c>
      <c r="D598" t="s">
        <v>2947</v>
      </c>
      <c r="E598" t="s">
        <v>2948</v>
      </c>
      <c r="F598" t="s">
        <v>1484</v>
      </c>
      <c r="I598" s="422">
        <v>44924</v>
      </c>
      <c r="J598" s="422">
        <v>46022</v>
      </c>
      <c r="K598">
        <v>50000</v>
      </c>
      <c r="L598">
        <v>50000</v>
      </c>
      <c r="M598" t="s">
        <v>2949</v>
      </c>
      <c r="N598" t="s">
        <v>1593</v>
      </c>
      <c r="O598" t="str">
        <f>_xlfn.IFNA(VLOOKUP(Table1[[#This Row],[Lead Source]],'helper tab'!A:B,2,FALSE),"Exclude")</f>
        <v>Exclude</v>
      </c>
      <c r="P598" s="422">
        <f t="shared" si="99"/>
        <v>45838.393750000003</v>
      </c>
      <c r="Q598">
        <f t="shared" si="100"/>
        <v>0</v>
      </c>
      <c r="R598">
        <f t="shared" si="101"/>
        <v>0</v>
      </c>
      <c r="S598">
        <f>IF(
AND($Q598=1,$M598&lt;&gt;""),
IF(
COUNTIFS(
$M$3:$M598,$M598,
$O$3:$O598,$O598,
$Q$3:$Q598,1,
$P$3:$P598,"&gt;="&amp;EOMONTH($P598,-1)+1,
$P$3:$P598,"&lt;"&amp;EOMONTH($P598,0)+1
)=1,
1,
0),
0)</f>
        <v>0</v>
      </c>
      <c r="T598">
        <f>IF(AND($R598=1,$M598&lt;&gt;""),IF(COUNTIFS($M$3:$M598,$M598,$O$3:$O598,$O598,$R$3:$R598,1,$P$3:$P598,"&gt;="&amp;EOMONTH($P598,-1)+1,$P$3:$P598,"&lt;"&amp;EOMONTH($P598,0)+1)=1,1,0),0)</f>
        <v>0</v>
      </c>
      <c r="U598">
        <f t="shared" si="102"/>
        <v>1</v>
      </c>
      <c r="V598">
        <f>IF(AND($U598=1,$M598&lt;&gt;""),IF(COUNTIFS($M$3:$M598,$M598,$O$3:$O598,$O598,$U$3:$U598,1,$P$3:$P598,"&gt;="&amp;EOMONTH($P598,-1)+1,$P$3:$P598,"&lt;"&amp;EOMONTH($P598,0)+1)=1,1,0),0)</f>
        <v>1</v>
      </c>
      <c r="W598" s="444">
        <f ca="1">TODAY()-Table1[[#This Row],[Change Date]]</f>
        <v>419.60624999999709</v>
      </c>
      <c r="X598" s="422" t="str">
        <f t="shared" si="103"/>
        <v/>
      </c>
      <c r="Y598" s="476">
        <f ca="1">IF(Table1[[#This Row],[Next Stage Date]]&lt;&gt;"",Table1[[#This Row],[Next Stage Date]]-Table1[[#This Row],[Change Date]],TODAY()-Table1[[#This Row],[Change Date]])</f>
        <v>419.60624999999709</v>
      </c>
      <c r="Z598" s="476">
        <f t="shared" si="104"/>
        <v>1</v>
      </c>
      <c r="AA598" s="422" t="str">
        <f t="shared" si="105"/>
        <v/>
      </c>
      <c r="AB598" s="422" t="str">
        <f t="shared" si="106"/>
        <v/>
      </c>
      <c r="AC598" s="476" t="str">
        <f t="shared" si="107"/>
        <v/>
      </c>
      <c r="AD598" s="476" t="str">
        <f t="shared" si="108"/>
        <v/>
      </c>
      <c r="AE598" s="476" t="str">
        <f t="shared" si="109"/>
        <v/>
      </c>
      <c r="AF598" s="476" t="b">
        <f>IFERROR(_xlfn.XLOOKUP(Table1[[#This Row],[Opportunity ID]],'Aging Detail'!$H$14:$H$20,'Aging Detail'!$F$14:$F$20),TRUE)</f>
        <v>1</v>
      </c>
    </row>
    <row r="599" spans="1:32">
      <c r="A599" t="s">
        <v>1461</v>
      </c>
      <c r="B599" t="s">
        <v>526</v>
      </c>
      <c r="C599" t="s">
        <v>563</v>
      </c>
      <c r="D599" t="s">
        <v>2950</v>
      </c>
      <c r="E599" t="s">
        <v>2951</v>
      </c>
      <c r="F599" t="s">
        <v>1465</v>
      </c>
      <c r="I599" s="422">
        <v>45757</v>
      </c>
      <c r="J599" s="422">
        <v>45835</v>
      </c>
      <c r="K599">
        <v>108000</v>
      </c>
      <c r="L599">
        <v>108000</v>
      </c>
      <c r="M599" t="s">
        <v>2952</v>
      </c>
      <c r="N599" t="s">
        <v>1568</v>
      </c>
      <c r="O599" t="str">
        <f>_xlfn.IFNA(VLOOKUP(Table1[[#This Row],[Lead Source]],'helper tab'!A:B,2,FALSE),"Exclude")</f>
        <v>Exclude</v>
      </c>
      <c r="P599" s="422">
        <f t="shared" si="99"/>
        <v>45835.404861111114</v>
      </c>
      <c r="Q599">
        <f t="shared" si="100"/>
        <v>0</v>
      </c>
      <c r="R599">
        <f t="shared" si="101"/>
        <v>1</v>
      </c>
      <c r="S599">
        <f>IF(
AND($Q599=1,$M599&lt;&gt;""),
IF(
COUNTIFS(
$M$3:$M599,$M599,
$O$3:$O599,$O599,
$Q$3:$Q599,1,
$P$3:$P599,"&gt;="&amp;EOMONTH($P599,-1)+1,
$P$3:$P599,"&lt;"&amp;EOMONTH($P599,0)+1
)=1,
1,
0),
0)</f>
        <v>0</v>
      </c>
      <c r="T599">
        <f>IF(AND($R599=1,$M599&lt;&gt;""),IF(COUNTIFS($M$3:$M599,$M599,$O$3:$O599,$O599,$R$3:$R599,1,$P$3:$P599,"&gt;="&amp;EOMONTH($P599,-1)+1,$P$3:$P599,"&lt;"&amp;EOMONTH($P599,0)+1)=1,1,0),0)</f>
        <v>1</v>
      </c>
      <c r="U599">
        <f t="shared" si="102"/>
        <v>0</v>
      </c>
      <c r="V599">
        <f>IF(AND($U599=1,$M599&lt;&gt;""),IF(COUNTIFS($M$3:$M599,$M599,$O$3:$O599,$O599,$U$3:$U599,1,$P$3:$P599,"&gt;="&amp;EOMONTH($P599,-1)+1,$P$3:$P599,"&lt;"&amp;EOMONTH($P599,0)+1)=1,1,0),0)</f>
        <v>0</v>
      </c>
      <c r="W599" s="444">
        <f ca="1">TODAY()-Table1[[#This Row],[Change Date]]</f>
        <v>422.59513888888614</v>
      </c>
      <c r="X599" s="422" t="str">
        <f t="shared" si="103"/>
        <v/>
      </c>
      <c r="Y599" s="476">
        <f ca="1">IF(Table1[[#This Row],[Next Stage Date]]&lt;&gt;"",Table1[[#This Row],[Next Stage Date]]-Table1[[#This Row],[Change Date]],TODAY()-Table1[[#This Row],[Change Date]])</f>
        <v>422.59513888888614</v>
      </c>
      <c r="Z599" s="476">
        <f t="shared" si="104"/>
        <v>1</v>
      </c>
      <c r="AA599" s="422">
        <f t="shared" si="105"/>
        <v>45835.404861111114</v>
      </c>
      <c r="AB599" s="422">
        <f t="shared" si="106"/>
        <v>45758.356249999997</v>
      </c>
      <c r="AC599" s="476">
        <f t="shared" si="107"/>
        <v>1.3562499999970896</v>
      </c>
      <c r="AD599" s="476">
        <f t="shared" si="108"/>
        <v>77.04861111111677</v>
      </c>
      <c r="AE599" s="476">
        <f t="shared" si="109"/>
        <v>78.40486111111386</v>
      </c>
      <c r="AF599" s="476" t="b">
        <f>IFERROR(_xlfn.XLOOKUP(Table1[[#This Row],[Opportunity ID]],'Aging Detail'!$H$14:$H$20,'Aging Detail'!$F$14:$F$20),TRUE)</f>
        <v>1</v>
      </c>
    </row>
    <row r="600" spans="1:32">
      <c r="A600" t="s">
        <v>1461</v>
      </c>
      <c r="B600" t="s">
        <v>338</v>
      </c>
      <c r="C600" t="s">
        <v>1469</v>
      </c>
      <c r="D600" t="s">
        <v>2953</v>
      </c>
      <c r="E600" t="s">
        <v>2954</v>
      </c>
      <c r="I600" s="422">
        <v>45748</v>
      </c>
      <c r="J600" s="422">
        <v>46022</v>
      </c>
      <c r="L600">
        <v>0</v>
      </c>
      <c r="M600" t="s">
        <v>2955</v>
      </c>
      <c r="N600" t="s">
        <v>1708</v>
      </c>
      <c r="O600" t="str">
        <f>_xlfn.IFNA(VLOOKUP(Table1[[#This Row],[Lead Source]],'helper tab'!A:B,2,FALSE),"Exclude")</f>
        <v>Exclude</v>
      </c>
      <c r="P600" s="422">
        <f t="shared" si="99"/>
        <v>45835.254166666666</v>
      </c>
      <c r="Q600">
        <f t="shared" si="100"/>
        <v>0</v>
      </c>
      <c r="R600">
        <f t="shared" si="101"/>
        <v>0</v>
      </c>
      <c r="S600">
        <f>IF(
AND($Q600=1,$M600&lt;&gt;""),
IF(
COUNTIFS(
$M$3:$M600,$M600,
$O$3:$O600,$O600,
$Q$3:$Q600,1,
$P$3:$P600,"&gt;="&amp;EOMONTH($P600,-1)+1,
$P$3:$P600,"&lt;"&amp;EOMONTH($P600,0)+1
)=1,
1,
0),
0)</f>
        <v>0</v>
      </c>
      <c r="T600">
        <f>IF(AND($R600=1,$M600&lt;&gt;""),IF(COUNTIFS($M$3:$M600,$M600,$O$3:$O600,$O600,$R$3:$R600,1,$P$3:$P600,"&gt;="&amp;EOMONTH($P600,-1)+1,$P$3:$P600,"&lt;"&amp;EOMONTH($P600,0)+1)=1,1,0),0)</f>
        <v>0</v>
      </c>
      <c r="U600">
        <f t="shared" si="102"/>
        <v>1</v>
      </c>
      <c r="V600">
        <f>IF(AND($U600=1,$M600&lt;&gt;""),IF(COUNTIFS($M$3:$M600,$M600,$O$3:$O600,$O600,$U$3:$U600,1,$P$3:$P600,"&gt;="&amp;EOMONTH($P600,-1)+1,$P$3:$P600,"&lt;"&amp;EOMONTH($P600,0)+1)=1,1,0),0)</f>
        <v>1</v>
      </c>
      <c r="W600" s="444">
        <f ca="1">TODAY()-Table1[[#This Row],[Change Date]]</f>
        <v>422.7458333333343</v>
      </c>
      <c r="X600" s="422" t="str">
        <f t="shared" si="103"/>
        <v/>
      </c>
      <c r="Y600" s="476">
        <f ca="1">IF(Table1[[#This Row],[Next Stage Date]]&lt;&gt;"",Table1[[#This Row],[Next Stage Date]]-Table1[[#This Row],[Change Date]],TODAY()-Table1[[#This Row],[Change Date]])</f>
        <v>422.7458333333343</v>
      </c>
      <c r="Z600" s="476">
        <f t="shared" si="104"/>
        <v>1</v>
      </c>
      <c r="AA600" s="422" t="str">
        <f t="shared" si="105"/>
        <v/>
      </c>
      <c r="AB600" s="422" t="str">
        <f t="shared" si="106"/>
        <v/>
      </c>
      <c r="AC600" s="476" t="str">
        <f t="shared" si="107"/>
        <v/>
      </c>
      <c r="AD600" s="476" t="str">
        <f t="shared" si="108"/>
        <v/>
      </c>
      <c r="AE600" s="476" t="str">
        <f t="shared" si="109"/>
        <v/>
      </c>
      <c r="AF600" s="476" t="b">
        <f>IFERROR(_xlfn.XLOOKUP(Table1[[#This Row],[Opportunity ID]],'Aging Detail'!$H$14:$H$20,'Aging Detail'!$F$14:$F$20),TRUE)</f>
        <v>1</v>
      </c>
    </row>
    <row r="601" spans="1:32">
      <c r="A601" t="s">
        <v>1461</v>
      </c>
      <c r="B601" t="s">
        <v>591</v>
      </c>
      <c r="C601" t="s">
        <v>1469</v>
      </c>
      <c r="D601" t="s">
        <v>2956</v>
      </c>
      <c r="E601" t="s">
        <v>2957</v>
      </c>
      <c r="F601" t="s">
        <v>1471</v>
      </c>
      <c r="I601" s="422">
        <v>45681</v>
      </c>
      <c r="J601" s="422">
        <v>45870</v>
      </c>
      <c r="K601">
        <v>50000</v>
      </c>
      <c r="L601">
        <v>0</v>
      </c>
      <c r="M601" t="s">
        <v>2958</v>
      </c>
      <c r="N601" t="s">
        <v>1684</v>
      </c>
      <c r="O601" t="str">
        <f>_xlfn.IFNA(VLOOKUP(Table1[[#This Row],[Lead Source]],'helper tab'!A:B,2,FALSE),"Exclude")</f>
        <v>Digital</v>
      </c>
      <c r="P601" s="422">
        <f t="shared" si="99"/>
        <v>45835.244444444441</v>
      </c>
      <c r="Q601">
        <f t="shared" si="100"/>
        <v>0</v>
      </c>
      <c r="R601">
        <f t="shared" si="101"/>
        <v>0</v>
      </c>
      <c r="S601">
        <f>IF(
AND($Q601=1,$M601&lt;&gt;""),
IF(
COUNTIFS(
$M$3:$M601,$M601,
$O$3:$O601,$O601,
$Q$3:$Q601,1,
$P$3:$P601,"&gt;="&amp;EOMONTH($P601,-1)+1,
$P$3:$P601,"&lt;"&amp;EOMONTH($P601,0)+1
)=1,
1,
0),
0)</f>
        <v>0</v>
      </c>
      <c r="T601">
        <f>IF(AND($R601=1,$M601&lt;&gt;""),IF(COUNTIFS($M$3:$M601,$M601,$O$3:$O601,$O601,$R$3:$R601,1,$P$3:$P601,"&gt;="&amp;EOMONTH($P601,-1)+1,$P$3:$P601,"&lt;"&amp;EOMONTH($P601,0)+1)=1,1,0),0)</f>
        <v>0</v>
      </c>
      <c r="U601">
        <f t="shared" si="102"/>
        <v>1</v>
      </c>
      <c r="V601">
        <f>IF(AND($U601=1,$M601&lt;&gt;""),IF(COUNTIFS($M$3:$M601,$M601,$O$3:$O601,$O601,$U$3:$U601,1,$P$3:$P601,"&gt;="&amp;EOMONTH($P601,-1)+1,$P$3:$P601,"&lt;"&amp;EOMONTH($P601,0)+1)=1,1,0),0)</f>
        <v>1</v>
      </c>
      <c r="W601" s="444">
        <f ca="1">TODAY()-Table1[[#This Row],[Change Date]]</f>
        <v>422.75555555555911</v>
      </c>
      <c r="X601" s="422" t="str">
        <f t="shared" si="103"/>
        <v/>
      </c>
      <c r="Y601" s="476">
        <f ca="1">IF(Table1[[#This Row],[Next Stage Date]]&lt;&gt;"",Table1[[#This Row],[Next Stage Date]]-Table1[[#This Row],[Change Date]],TODAY()-Table1[[#This Row],[Change Date]])</f>
        <v>422.75555555555911</v>
      </c>
      <c r="Z601" s="476">
        <f t="shared" si="104"/>
        <v>1</v>
      </c>
      <c r="AA601" s="422" t="str">
        <f t="shared" si="105"/>
        <v/>
      </c>
      <c r="AB601" s="422" t="str">
        <f t="shared" si="106"/>
        <v/>
      </c>
      <c r="AC601" s="476" t="str">
        <f t="shared" si="107"/>
        <v/>
      </c>
      <c r="AD601" s="476" t="str">
        <f t="shared" si="108"/>
        <v/>
      </c>
      <c r="AE601" s="476" t="str">
        <f t="shared" si="109"/>
        <v/>
      </c>
      <c r="AF601" s="476" t="b">
        <f>IFERROR(_xlfn.XLOOKUP(Table1[[#This Row],[Opportunity ID]],'Aging Detail'!$H$14:$H$20,'Aging Detail'!$F$14:$F$20),TRUE)</f>
        <v>1</v>
      </c>
    </row>
    <row r="602" spans="1:32">
      <c r="A602" t="s">
        <v>1461</v>
      </c>
      <c r="B602" t="s">
        <v>526</v>
      </c>
      <c r="C602" t="s">
        <v>563</v>
      </c>
      <c r="D602" t="s">
        <v>2959</v>
      </c>
      <c r="E602" t="s">
        <v>2960</v>
      </c>
      <c r="F602" t="s">
        <v>1465</v>
      </c>
      <c r="I602" s="422">
        <v>45649</v>
      </c>
      <c r="J602" s="422">
        <v>45834</v>
      </c>
      <c r="K602">
        <v>50000</v>
      </c>
      <c r="L602">
        <v>50000</v>
      </c>
      <c r="M602" t="s">
        <v>2961</v>
      </c>
      <c r="N602" t="s">
        <v>1678</v>
      </c>
      <c r="O602" t="str">
        <f>_xlfn.IFNA(VLOOKUP(Table1[[#This Row],[Lead Source]],'helper tab'!A:B,2,FALSE),"Exclude")</f>
        <v>Exclude</v>
      </c>
      <c r="P602" s="422">
        <f t="shared" si="99"/>
        <v>45834.428472222222</v>
      </c>
      <c r="Q602">
        <f t="shared" si="100"/>
        <v>0</v>
      </c>
      <c r="R602">
        <f t="shared" si="101"/>
        <v>1</v>
      </c>
      <c r="S602">
        <f>IF(
AND($Q602=1,$M602&lt;&gt;""),
IF(
COUNTIFS(
$M$3:$M888,$M602,
$O$3:$O888,$O602,
$Q$3:$Q888,1,
$P$3:$P888,"&gt;="&amp;EOMONTH($P602,-1)+1,
$P$3:$P888,"&lt;"&amp;EOMONTH($P602,0)+1
)=1,
1,
0),
0)</f>
        <v>0</v>
      </c>
      <c r="T602">
        <f>IF(AND($R602=1,$M602&lt;&gt;""),IF(COUNTIFS($M$3:$M602,$M602,$O$3:$O602,$O602,$R$3:$R602,1,$P$3:$P602,"&gt;="&amp;EOMONTH($P602,-1)+1,$P$3:$P602,"&lt;"&amp;EOMONTH($P602,0)+1)=1,1,0),0)</f>
        <v>1</v>
      </c>
      <c r="U602">
        <f t="shared" si="102"/>
        <v>0</v>
      </c>
      <c r="V602">
        <f>IF(AND($U602=1,$M602&lt;&gt;""),IF(COUNTIFS($M$3:$M602,$M602,$O$3:$O602,$O602,$U$3:$U602,1,$P$3:$P602,"&gt;="&amp;EOMONTH($P602,-1)+1,$P$3:$P602,"&lt;"&amp;EOMONTH($P602,0)+1)=1,1,0),0)</f>
        <v>0</v>
      </c>
      <c r="W602" s="444">
        <f ca="1">TODAY()-Table1[[#This Row],[Change Date]]</f>
        <v>423.5715277777781</v>
      </c>
      <c r="X602" s="422" t="str">
        <f t="shared" si="103"/>
        <v/>
      </c>
      <c r="Y602" s="476">
        <f ca="1">IF(Table1[[#This Row],[Next Stage Date]]&lt;&gt;"",Table1[[#This Row],[Next Stage Date]]-Table1[[#This Row],[Change Date]],TODAY()-Table1[[#This Row],[Change Date]])</f>
        <v>423.5715277777781</v>
      </c>
      <c r="Z602" s="476">
        <f t="shared" si="104"/>
        <v>1</v>
      </c>
      <c r="AA602" s="422">
        <f t="shared" si="105"/>
        <v>45834.428472222222</v>
      </c>
      <c r="AB602" s="422">
        <f t="shared" si="106"/>
        <v>45691.38958333333</v>
      </c>
      <c r="AC602" s="476">
        <f t="shared" si="107"/>
        <v>42.389583333329938</v>
      </c>
      <c r="AD602" s="476">
        <f t="shared" si="108"/>
        <v>143.03888888889196</v>
      </c>
      <c r="AE602" s="476">
        <f t="shared" si="109"/>
        <v>185.4284722222219</v>
      </c>
      <c r="AF602" s="476" t="b">
        <f>IFERROR(_xlfn.XLOOKUP(Table1[[#This Row],[Opportunity ID]],'Aging Detail'!$H$14:$H$20,'Aging Detail'!$F$14:$F$20),TRUE)</f>
        <v>1</v>
      </c>
    </row>
    <row r="603" spans="1:32">
      <c r="A603" t="s">
        <v>1461</v>
      </c>
      <c r="B603" t="s">
        <v>526</v>
      </c>
      <c r="C603" t="s">
        <v>563</v>
      </c>
      <c r="D603" t="s">
        <v>2962</v>
      </c>
      <c r="E603" t="s">
        <v>562</v>
      </c>
      <c r="F603" t="s">
        <v>148</v>
      </c>
      <c r="G603" t="s">
        <v>470</v>
      </c>
      <c r="H603" t="s">
        <v>1698</v>
      </c>
      <c r="I603" s="422">
        <v>45664</v>
      </c>
      <c r="J603" s="422">
        <v>45834</v>
      </c>
      <c r="K603">
        <v>30000</v>
      </c>
      <c r="L603">
        <v>30000</v>
      </c>
      <c r="M603" t="s">
        <v>2963</v>
      </c>
      <c r="N603" t="s">
        <v>555</v>
      </c>
      <c r="O603" t="str">
        <f>_xlfn.IFNA(VLOOKUP(Table1[[#This Row],[Lead Source]],'helper tab'!A:B,2,FALSE),"Exclude")</f>
        <v>Alliances</v>
      </c>
      <c r="P603" s="422">
        <f t="shared" si="99"/>
        <v>45834.386805555558</v>
      </c>
      <c r="Q603">
        <f t="shared" si="100"/>
        <v>0</v>
      </c>
      <c r="R603">
        <f t="shared" si="101"/>
        <v>1</v>
      </c>
      <c r="S603">
        <f>IF(
AND($Q603=1,$M603&lt;&gt;""),
IF(
COUNTIFS(
$M$3:$M603,$M603,
$O$3:$O603,$O603,
$Q$3:$Q603,1,
$P$3:$P603,"&gt;="&amp;EOMONTH($P603,-1)+1,
$P$3:$P603,"&lt;"&amp;EOMONTH($P603,0)+1
)=1,
1,
0),
0)</f>
        <v>0</v>
      </c>
      <c r="T603">
        <f>IF(AND($R603=1,$M603&lt;&gt;""),IF(COUNTIFS($M$3:$M603,$M603,$O$3:$O603,$O603,$R$3:$R603,1,$P$3:$P603,"&gt;="&amp;EOMONTH($P603,-1)+1,$P$3:$P603,"&lt;"&amp;EOMONTH($P603,0)+1)=1,1,0),0)</f>
        <v>1</v>
      </c>
      <c r="U603">
        <f t="shared" si="102"/>
        <v>0</v>
      </c>
      <c r="V603">
        <f>IF(AND($U603=1,$M603&lt;&gt;""),IF(COUNTIFS($M$3:$M603,$M603,$O$3:$O603,$O603,$U$3:$U603,1,$P$3:$P603,"&gt;="&amp;EOMONTH($P603,-1)+1,$P$3:$P603,"&lt;"&amp;EOMONTH($P603,0)+1)=1,1,0),0)</f>
        <v>0</v>
      </c>
      <c r="W603" s="444">
        <f ca="1">TODAY()-Table1[[#This Row],[Change Date]]</f>
        <v>423.61319444444234</v>
      </c>
      <c r="X603" s="422" t="str">
        <f t="shared" si="103"/>
        <v/>
      </c>
      <c r="Y603" s="476">
        <f ca="1">IF(Table1[[#This Row],[Next Stage Date]]&lt;&gt;"",Table1[[#This Row],[Next Stage Date]]-Table1[[#This Row],[Change Date]],TODAY()-Table1[[#This Row],[Change Date]])</f>
        <v>423.61319444444234</v>
      </c>
      <c r="Z603" s="476">
        <f t="shared" si="104"/>
        <v>1</v>
      </c>
      <c r="AA603" s="422">
        <f t="shared" si="105"/>
        <v>45834.386805555558</v>
      </c>
      <c r="AB603" s="422">
        <f t="shared" si="106"/>
        <v>45758.370138888888</v>
      </c>
      <c r="AC603" s="476">
        <f t="shared" si="107"/>
        <v>94.370138888887595</v>
      </c>
      <c r="AD603" s="476">
        <f t="shared" si="108"/>
        <v>76.016666666670062</v>
      </c>
      <c r="AE603" s="476">
        <f t="shared" si="109"/>
        <v>170.38680555555766</v>
      </c>
      <c r="AF603" s="476" t="b">
        <f>IFERROR(_xlfn.XLOOKUP(Table1[[#This Row],[Opportunity ID]],'Aging Detail'!$H$14:$H$20,'Aging Detail'!$F$14:$F$20),TRUE)</f>
        <v>1</v>
      </c>
    </row>
    <row r="604" spans="1:32">
      <c r="A604" t="s">
        <v>1461</v>
      </c>
      <c r="B604" t="s">
        <v>462</v>
      </c>
      <c r="C604" t="s">
        <v>563</v>
      </c>
      <c r="D604" t="s">
        <v>2964</v>
      </c>
      <c r="E604" t="s">
        <v>2965</v>
      </c>
      <c r="I604" s="422">
        <v>45363</v>
      </c>
      <c r="J604" s="422">
        <v>45777</v>
      </c>
      <c r="K604">
        <v>612000</v>
      </c>
      <c r="L604">
        <v>0</v>
      </c>
      <c r="M604" t="s">
        <v>2966</v>
      </c>
      <c r="N604" t="s">
        <v>1748</v>
      </c>
      <c r="O604" t="str">
        <f>_xlfn.IFNA(VLOOKUP(Table1[[#This Row],[Lead Source]],'helper tab'!A:B,2,FALSE),"Exclude")</f>
        <v>Exclude</v>
      </c>
      <c r="P604" s="422">
        <f t="shared" si="99"/>
        <v>45834.192361111112</v>
      </c>
      <c r="Q604">
        <f t="shared" si="100"/>
        <v>0</v>
      </c>
      <c r="R604">
        <f t="shared" si="101"/>
        <v>1</v>
      </c>
      <c r="S604">
        <f>IF(
AND($Q604=1,$M604&lt;&gt;""),
IF(
COUNTIFS(
$M$3:$M604,$M604,
$O$3:$O604,$O604,
$Q$3:$Q604,1,
$P$3:$P604,"&gt;="&amp;EOMONTH($P604,-1)+1,
$P$3:$P604,"&lt;"&amp;EOMONTH($P604,0)+1
)=1,
1,
0),
0)</f>
        <v>0</v>
      </c>
      <c r="T604">
        <f>IF(AND($R604=1,$M604&lt;&gt;""),IF(COUNTIFS($M$3:$M604,$M604,$O$3:$O604,$O604,$R$3:$R604,1,$P$3:$P604,"&gt;="&amp;EOMONTH($P604,-1)+1,$P$3:$P604,"&lt;"&amp;EOMONTH($P604,0)+1)=1,1,0),0)</f>
        <v>1</v>
      </c>
      <c r="U604">
        <f t="shared" si="102"/>
        <v>0</v>
      </c>
      <c r="V604">
        <f>IF(AND($U604=1,$M604&lt;&gt;""),IF(COUNTIFS($M$3:$M604,$M604,$O$3:$O604,$O604,$U$3:$U604,1,$P$3:$P604,"&gt;="&amp;EOMONTH($P604,-1)+1,$P$3:$P604,"&lt;"&amp;EOMONTH($P604,0)+1)=1,1,0),0)</f>
        <v>0</v>
      </c>
      <c r="W604" s="444">
        <f ca="1">TODAY()-Table1[[#This Row],[Change Date]]</f>
        <v>423.8076388888876</v>
      </c>
      <c r="X604" s="422" t="str">
        <f t="shared" si="103"/>
        <v/>
      </c>
      <c r="Y604" s="476">
        <f ca="1">IF(Table1[[#This Row],[Next Stage Date]]&lt;&gt;"",Table1[[#This Row],[Next Stage Date]]-Table1[[#This Row],[Change Date]],TODAY()-Table1[[#This Row],[Change Date]])</f>
        <v>423.8076388888876</v>
      </c>
      <c r="Z604" s="476">
        <f t="shared" si="104"/>
        <v>1</v>
      </c>
      <c r="AA604" s="422">
        <f t="shared" si="105"/>
        <v>45834.192361111112</v>
      </c>
      <c r="AB604" s="422">
        <f t="shared" si="106"/>
        <v>45756.553472222222</v>
      </c>
      <c r="AC604" s="476">
        <f t="shared" si="107"/>
        <v>393.5534722222219</v>
      </c>
      <c r="AD604" s="476">
        <f t="shared" si="108"/>
        <v>77.638888888890506</v>
      </c>
      <c r="AE604" s="476">
        <f t="shared" si="109"/>
        <v>471.1923611111124</v>
      </c>
      <c r="AF604" s="476" t="b">
        <f>IFERROR(_xlfn.XLOOKUP(Table1[[#This Row],[Opportunity ID]],'Aging Detail'!$H$14:$H$20,'Aging Detail'!$F$14:$F$20),TRUE)</f>
        <v>1</v>
      </c>
    </row>
    <row r="605" spans="1:32">
      <c r="A605" t="s">
        <v>1461</v>
      </c>
      <c r="B605" t="s">
        <v>1462</v>
      </c>
      <c r="C605" t="s">
        <v>526</v>
      </c>
      <c r="D605" t="s">
        <v>2967</v>
      </c>
      <c r="E605" t="s">
        <v>2932</v>
      </c>
      <c r="I605" s="422">
        <v>45202</v>
      </c>
      <c r="J605" s="422">
        <v>45838</v>
      </c>
      <c r="K605">
        <v>853500</v>
      </c>
      <c r="L605">
        <v>23100</v>
      </c>
      <c r="M605" t="s">
        <v>2933</v>
      </c>
      <c r="N605" t="s">
        <v>2148</v>
      </c>
      <c r="O605" t="str">
        <f>_xlfn.IFNA(VLOOKUP(Table1[[#This Row],[Lead Source]],'helper tab'!A:B,2,FALSE),"Exclude")</f>
        <v>Exclude</v>
      </c>
      <c r="P605" s="422">
        <f t="shared" si="99"/>
        <v>45833.356944444444</v>
      </c>
      <c r="Q605">
        <f t="shared" si="100"/>
        <v>1</v>
      </c>
      <c r="R605">
        <f t="shared" si="101"/>
        <v>0</v>
      </c>
      <c r="S605">
        <f>IF(
AND($Q605=1,$M605&lt;&gt;""),
IF(
COUNTIFS(
$M$3:$M605,$M605,
$O$3:$O605,$O605,
$Q$3:$Q605,1,
$P$3:$P605,"&gt;="&amp;EOMONTH($P605,-1)+1,
$P$3:$P605,"&lt;"&amp;EOMONTH($P605,0)+1
)=1,
1,
0),
0)</f>
        <v>1</v>
      </c>
      <c r="T605">
        <f>IF(AND($R605=1,$M605&lt;&gt;""),IF(COUNTIFS($M$3:$M605,$M605,$O$3:$O605,$O605,$R$3:$R605,1,$P$3:$P605,"&gt;="&amp;EOMONTH($P605,-1)+1,$P$3:$P605,"&lt;"&amp;EOMONTH($P605,0)+1)=1,1,0),0)</f>
        <v>0</v>
      </c>
      <c r="U605">
        <f t="shared" si="102"/>
        <v>0</v>
      </c>
      <c r="V605">
        <f>IF(AND($U605=1,$M605&lt;&gt;""),IF(COUNTIFS($M$3:$M605,$M605,$O$3:$O605,$O605,$U$3:$U605,1,$P$3:$P605,"&gt;="&amp;EOMONTH($P605,-1)+1,$P$3:$P605,"&lt;"&amp;EOMONTH($P605,0)+1)=1,1,0),0)</f>
        <v>0</v>
      </c>
      <c r="W605" s="444">
        <f ca="1">TODAY()-Table1[[#This Row],[Change Date]]</f>
        <v>424.6430555555562</v>
      </c>
      <c r="X605" s="422">
        <f t="shared" si="103"/>
        <v>45840.259027777778</v>
      </c>
      <c r="Y605" s="476">
        <f ca="1">IF(Table1[[#This Row],[Next Stage Date]]&lt;&gt;"",Table1[[#This Row],[Next Stage Date]]-Table1[[#This Row],[Change Date]],TODAY()-Table1[[#This Row],[Change Date]])</f>
        <v>6.9020833333343035</v>
      </c>
      <c r="Z605" s="476">
        <f t="shared" si="104"/>
        <v>0</v>
      </c>
      <c r="AA605" s="422">
        <f t="shared" si="105"/>
        <v>45840.259027777778</v>
      </c>
      <c r="AB605" s="422">
        <f t="shared" si="106"/>
        <v>45833.356944444444</v>
      </c>
      <c r="AC605" s="476">
        <f t="shared" si="107"/>
        <v>631.3569444444438</v>
      </c>
      <c r="AD605" s="476">
        <f t="shared" si="108"/>
        <v>6.9020833333343035</v>
      </c>
      <c r="AE605" s="476">
        <f t="shared" si="109"/>
        <v>638.2590277777781</v>
      </c>
      <c r="AF605" s="476" t="b">
        <f>IFERROR(_xlfn.XLOOKUP(Table1[[#This Row],[Opportunity ID]],'Aging Detail'!$H$14:$H$20,'Aging Detail'!$F$14:$F$20),TRUE)</f>
        <v>1</v>
      </c>
    </row>
    <row r="606" spans="1:32">
      <c r="A606" t="s">
        <v>1461</v>
      </c>
      <c r="B606" t="s">
        <v>462</v>
      </c>
      <c r="C606" t="s">
        <v>526</v>
      </c>
      <c r="D606" t="s">
        <v>2968</v>
      </c>
      <c r="E606" t="s">
        <v>2536</v>
      </c>
      <c r="F606" t="s">
        <v>148</v>
      </c>
      <c r="I606" s="422">
        <v>45188</v>
      </c>
      <c r="J606" s="422">
        <v>45961</v>
      </c>
      <c r="K606">
        <v>798720</v>
      </c>
      <c r="L606">
        <v>249600</v>
      </c>
      <c r="M606" t="s">
        <v>95</v>
      </c>
      <c r="N606" t="s">
        <v>2537</v>
      </c>
      <c r="O606" t="str">
        <f>_xlfn.IFNA(VLOOKUP(Table1[[#This Row],[Lead Source]],'helper tab'!A:B,2,FALSE),"Exclude")</f>
        <v>Alliances</v>
      </c>
      <c r="P606" s="422">
        <f t="shared" si="99"/>
        <v>45832.591666666667</v>
      </c>
      <c r="Q606">
        <f t="shared" si="100"/>
        <v>1</v>
      </c>
      <c r="R606">
        <f t="shared" si="101"/>
        <v>0</v>
      </c>
      <c r="S606">
        <f>IF(
AND($Q606=1,$M606&lt;&gt;""),
IF(
COUNTIFS(
$M$3:$M606,$M606,
$O$3:$O606,$O606,
$Q$3:$Q606,1,
$P$3:$P606,"&gt;="&amp;EOMONTH($P606,-1)+1,
$P$3:$P606,"&lt;"&amp;EOMONTH($P606,0)+1
)=1,
1,
0),
0)</f>
        <v>1</v>
      </c>
      <c r="T606">
        <f>IF(AND($R606=1,$M606&lt;&gt;""),IF(COUNTIFS($M$3:$M606,$M606,$O$3:$O606,$O606,$R$3:$R606,1,$P$3:$P606,"&gt;="&amp;EOMONTH($P606,-1)+1,$P$3:$P606,"&lt;"&amp;EOMONTH($P606,0)+1)=1,1,0),0)</f>
        <v>0</v>
      </c>
      <c r="U606">
        <f t="shared" si="102"/>
        <v>0</v>
      </c>
      <c r="V606">
        <f>IF(AND($U606=1,$M606&lt;&gt;""),IF(COUNTIFS($M$3:$M606,$M606,$O$3:$O606,$O606,$U$3:$U606,1,$P$3:$P606,"&gt;="&amp;EOMONTH($P606,-1)+1,$P$3:$P606,"&lt;"&amp;EOMONTH($P606,0)+1)=1,1,0),0)</f>
        <v>0</v>
      </c>
      <c r="W606" s="444">
        <f ca="1">TODAY()-Table1[[#This Row],[Change Date]]</f>
        <v>425.40833333333285</v>
      </c>
      <c r="X606" s="422">
        <f t="shared" si="103"/>
        <v>45961.478472222225</v>
      </c>
      <c r="Y606" s="476">
        <f ca="1">IF(Table1[[#This Row],[Next Stage Date]]&lt;&gt;"",Table1[[#This Row],[Next Stage Date]]-Table1[[#This Row],[Change Date]],TODAY()-Table1[[#This Row],[Change Date]])</f>
        <v>128.88680555555766</v>
      </c>
      <c r="Z606" s="476">
        <f t="shared" si="104"/>
        <v>0</v>
      </c>
      <c r="AA606" s="422">
        <f t="shared" si="105"/>
        <v>45961.478472222225</v>
      </c>
      <c r="AB606" s="422">
        <f t="shared" si="106"/>
        <v>45786.50277777778</v>
      </c>
      <c r="AC606" s="476">
        <f t="shared" si="107"/>
        <v>598.50277777777956</v>
      </c>
      <c r="AD606" s="476">
        <f t="shared" si="108"/>
        <v>174.97569444444525</v>
      </c>
      <c r="AE606" s="476">
        <f t="shared" si="109"/>
        <v>773.47847222222481</v>
      </c>
      <c r="AF606" s="476" t="b">
        <f>IFERROR(_xlfn.XLOOKUP(Table1[[#This Row],[Opportunity ID]],'Aging Detail'!$H$14:$H$20,'Aging Detail'!$F$14:$F$20),TRUE)</f>
        <v>1</v>
      </c>
    </row>
    <row r="607" spans="1:32">
      <c r="A607" t="s">
        <v>1461</v>
      </c>
      <c r="B607" t="s">
        <v>462</v>
      </c>
      <c r="C607" t="s">
        <v>526</v>
      </c>
      <c r="D607" t="s">
        <v>2969</v>
      </c>
      <c r="E607" t="s">
        <v>562</v>
      </c>
      <c r="F607" t="s">
        <v>148</v>
      </c>
      <c r="G607" t="s">
        <v>470</v>
      </c>
      <c r="H607" t="s">
        <v>1698</v>
      </c>
      <c r="I607" s="422">
        <v>45664</v>
      </c>
      <c r="J607" s="422">
        <v>45834</v>
      </c>
      <c r="K607">
        <v>30000</v>
      </c>
      <c r="L607">
        <v>30000</v>
      </c>
      <c r="M607" t="s">
        <v>2963</v>
      </c>
      <c r="N607" t="s">
        <v>555</v>
      </c>
      <c r="O607" t="str">
        <f>_xlfn.IFNA(VLOOKUP(Table1[[#This Row],[Lead Source]],'helper tab'!A:B,2,FALSE),"Exclude")</f>
        <v>Alliances</v>
      </c>
      <c r="P607" s="422">
        <f t="shared" si="99"/>
        <v>45831.553472222222</v>
      </c>
      <c r="Q607">
        <f t="shared" si="100"/>
        <v>1</v>
      </c>
      <c r="R607">
        <f t="shared" si="101"/>
        <v>0</v>
      </c>
      <c r="S607">
        <f>IF(
AND($Q607=1,$M607&lt;&gt;""),
IF(
COUNTIFS(
$M$3:$M607,$M607,
$O$3:$O607,$O607,
$Q$3:$Q607,1,
$P$3:$P607,"&gt;="&amp;EOMONTH($P607,-1)+1,
$P$3:$P607,"&lt;"&amp;EOMONTH($P607,0)+1
)=1,
1,
0),
0)</f>
        <v>1</v>
      </c>
      <c r="T607">
        <f>IF(AND($R607=1,$M607&lt;&gt;""),IF(COUNTIFS($M$3:$M607,$M607,$O$3:$O607,$O607,$R$3:$R607,1,$P$3:$P607,"&gt;="&amp;EOMONTH($P607,-1)+1,$P$3:$P607,"&lt;"&amp;EOMONTH($P607,0)+1)=1,1,0),0)</f>
        <v>0</v>
      </c>
      <c r="U607">
        <f t="shared" si="102"/>
        <v>0</v>
      </c>
      <c r="V607">
        <f>IF(AND($U607=1,$M607&lt;&gt;""),IF(COUNTIFS($M$3:$M607,$M607,$O$3:$O607,$O607,$U$3:$U607,1,$P$3:$P607,"&gt;="&amp;EOMONTH($P607,-1)+1,$P$3:$P607,"&lt;"&amp;EOMONTH($P607,0)+1)=1,1,0),0)</f>
        <v>0</v>
      </c>
      <c r="W607" s="444">
        <f ca="1">TODAY()-Table1[[#This Row],[Change Date]]</f>
        <v>426.4465277777781</v>
      </c>
      <c r="X607" s="422">
        <f t="shared" si="103"/>
        <v>45834.386805555558</v>
      </c>
      <c r="Y607" s="476">
        <f ca="1">IF(Table1[[#This Row],[Next Stage Date]]&lt;&gt;"",Table1[[#This Row],[Next Stage Date]]-Table1[[#This Row],[Change Date]],TODAY()-Table1[[#This Row],[Change Date]])</f>
        <v>2.8333333333357587</v>
      </c>
      <c r="Z607" s="476">
        <f t="shared" si="104"/>
        <v>0</v>
      </c>
      <c r="AA607" s="422">
        <f t="shared" si="105"/>
        <v>45834.386805555558</v>
      </c>
      <c r="AB607" s="422">
        <f t="shared" si="106"/>
        <v>45758.370138888888</v>
      </c>
      <c r="AC607" s="476">
        <f t="shared" si="107"/>
        <v>94.370138888887595</v>
      </c>
      <c r="AD607" s="476">
        <f t="shared" si="108"/>
        <v>76.016666666670062</v>
      </c>
      <c r="AE607" s="476">
        <f t="shared" si="109"/>
        <v>170.38680555555766</v>
      </c>
      <c r="AF607" s="476" t="b">
        <f>IFERROR(_xlfn.XLOOKUP(Table1[[#This Row],[Opportunity ID]],'Aging Detail'!$H$14:$H$20,'Aging Detail'!$F$14:$F$20),TRUE)</f>
        <v>1</v>
      </c>
    </row>
    <row r="608" spans="1:32">
      <c r="A608" t="s">
        <v>1461</v>
      </c>
      <c r="B608" t="s">
        <v>408</v>
      </c>
      <c r="C608" t="s">
        <v>1462</v>
      </c>
      <c r="D608" t="s">
        <v>2970</v>
      </c>
      <c r="E608" t="s">
        <v>1981</v>
      </c>
      <c r="I608" s="422">
        <v>45786</v>
      </c>
      <c r="J608" s="422">
        <v>46386</v>
      </c>
      <c r="K608">
        <v>50000</v>
      </c>
      <c r="L608">
        <v>50000</v>
      </c>
      <c r="M608" t="s">
        <v>1982</v>
      </c>
      <c r="N608" t="s">
        <v>1532</v>
      </c>
      <c r="O608" t="str">
        <f>_xlfn.IFNA(VLOOKUP(Table1[[#This Row],[Lead Source]],'helper tab'!A:B,2,FALSE),"Exclude")</f>
        <v>Exclude</v>
      </c>
      <c r="P608" s="422">
        <f t="shared" si="99"/>
        <v>45825.36041666667</v>
      </c>
      <c r="Q608">
        <f t="shared" si="100"/>
        <v>0</v>
      </c>
      <c r="R608">
        <f t="shared" si="101"/>
        <v>0</v>
      </c>
      <c r="S608">
        <f>IF(
AND($Q608=1,$M608&lt;&gt;""),
IF(
COUNTIFS(
$M$3:$M608,$M608,
$O$3:$O608,$O608,
$Q$3:$Q608,1,
$P$3:$P608,"&gt;="&amp;EOMONTH($P608,-1)+1,
$P$3:$P608,"&lt;"&amp;EOMONTH($P608,0)+1
)=1,
1,
0),
0)</f>
        <v>0</v>
      </c>
      <c r="T608">
        <f>IF(AND($R608=1,$M608&lt;&gt;""),IF(COUNTIFS($M$3:$M608,$M608,$O$3:$O608,$O608,$R$3:$R608,1,$P$3:$P608,"&gt;="&amp;EOMONTH($P608,-1)+1,$P$3:$P608,"&lt;"&amp;EOMONTH($P608,0)+1)=1,1,0),0)</f>
        <v>0</v>
      </c>
      <c r="U608">
        <f t="shared" si="102"/>
        <v>0</v>
      </c>
      <c r="V608">
        <f>IF(AND($U608=1,$M608&lt;&gt;""),IF(COUNTIFS($M$3:$M608,$M608,$O$3:$O608,$O608,$U$3:$U608,1,$P$3:$P608,"&gt;="&amp;EOMONTH($P608,-1)+1,$P$3:$P608,"&lt;"&amp;EOMONTH($P608,0)+1)=1,1,0),0)</f>
        <v>0</v>
      </c>
      <c r="W608" s="444">
        <f ca="1">TODAY()-Table1[[#This Row],[Change Date]]</f>
        <v>432.63958333332994</v>
      </c>
      <c r="X608" s="422">
        <f t="shared" si="103"/>
        <v>46147.79583333333</v>
      </c>
      <c r="Y608" s="476">
        <f ca="1">IF(Table1[[#This Row],[Next Stage Date]]&lt;&gt;"",Table1[[#This Row],[Next Stage Date]]-Table1[[#This Row],[Change Date]],TODAY()-Table1[[#This Row],[Change Date]])</f>
        <v>322.43541666665988</v>
      </c>
      <c r="Z608" s="476">
        <f t="shared" si="104"/>
        <v>0</v>
      </c>
      <c r="AA608" s="422" t="str">
        <f t="shared" si="105"/>
        <v/>
      </c>
      <c r="AB608" s="422" t="str">
        <f t="shared" si="106"/>
        <v/>
      </c>
      <c r="AC608" s="476" t="str">
        <f t="shared" si="107"/>
        <v/>
      </c>
      <c r="AD608" s="476" t="str">
        <f t="shared" si="108"/>
        <v/>
      </c>
      <c r="AE608" s="476" t="str">
        <f t="shared" si="109"/>
        <v/>
      </c>
      <c r="AF608" s="476" t="b">
        <f>IFERROR(_xlfn.XLOOKUP(Table1[[#This Row],[Opportunity ID]],'Aging Detail'!$H$14:$H$20,'Aging Detail'!$F$14:$F$20),TRUE)</f>
        <v>1</v>
      </c>
    </row>
    <row r="609" spans="1:32">
      <c r="A609" t="s">
        <v>1461</v>
      </c>
      <c r="B609" t="s">
        <v>408</v>
      </c>
      <c r="C609" t="s">
        <v>1469</v>
      </c>
      <c r="D609" t="s">
        <v>2971</v>
      </c>
      <c r="E609" t="s">
        <v>2972</v>
      </c>
      <c r="F609" t="s">
        <v>1484</v>
      </c>
      <c r="I609" s="422">
        <v>45415</v>
      </c>
      <c r="J609" s="422">
        <v>46112</v>
      </c>
      <c r="K609">
        <v>1237500</v>
      </c>
      <c r="L609">
        <v>1237500</v>
      </c>
      <c r="M609" t="s">
        <v>2973</v>
      </c>
      <c r="N609" t="s">
        <v>1532</v>
      </c>
      <c r="O609" t="str">
        <f>_xlfn.IFNA(VLOOKUP(Table1[[#This Row],[Lead Source]],'helper tab'!A:B,2,FALSE),"Exclude")</f>
        <v>Exclude</v>
      </c>
      <c r="P609" s="422">
        <f t="shared" si="99"/>
        <v>45825.359027777777</v>
      </c>
      <c r="Q609">
        <f t="shared" si="100"/>
        <v>0</v>
      </c>
      <c r="R609">
        <f t="shared" si="101"/>
        <v>0</v>
      </c>
      <c r="S609">
        <f>IF(
AND($Q609=1,$M609&lt;&gt;""),
IF(
COUNTIFS(
$M$3:$M609,$M609,
$O$3:$O609,$O609,
$Q$3:$Q609,1,
$P$3:$P609,"&gt;="&amp;EOMONTH($P609,-1)+1,
$P$3:$P609,"&lt;"&amp;EOMONTH($P609,0)+1
)=1,
1,
0),
0)</f>
        <v>0</v>
      </c>
      <c r="T609">
        <f>IF(AND($R609=1,$M609&lt;&gt;""),IF(COUNTIFS($M$3:$M609,$M609,$O$3:$O609,$O609,$R$3:$R609,1,$P$3:$P609,"&gt;="&amp;EOMONTH($P609,-1)+1,$P$3:$P609,"&lt;"&amp;EOMONTH($P609,0)+1)=1,1,0),0)</f>
        <v>0</v>
      </c>
      <c r="U609">
        <f t="shared" si="102"/>
        <v>1</v>
      </c>
      <c r="V609">
        <f>IF(AND($U609=1,$M609&lt;&gt;""),IF(COUNTIFS($M$3:$M609,$M609,$O$3:$O609,$O609,$U$3:$U609,1,$P$3:$P609,"&gt;="&amp;EOMONTH($P609,-1)+1,$P$3:$P609,"&lt;"&amp;EOMONTH($P609,0)+1)=1,1,0),0)</f>
        <v>1</v>
      </c>
      <c r="W609" s="444">
        <f ca="1">TODAY()-Table1[[#This Row],[Change Date]]</f>
        <v>432.64097222222335</v>
      </c>
      <c r="X609" s="422" t="str">
        <f t="shared" si="103"/>
        <v/>
      </c>
      <c r="Y609" s="476">
        <f ca="1">IF(Table1[[#This Row],[Next Stage Date]]&lt;&gt;"",Table1[[#This Row],[Next Stage Date]]-Table1[[#This Row],[Change Date]],TODAY()-Table1[[#This Row],[Change Date]])</f>
        <v>432.64097222222335</v>
      </c>
      <c r="Z609" s="476">
        <f t="shared" si="104"/>
        <v>1</v>
      </c>
      <c r="AA609" s="422" t="str">
        <f t="shared" si="105"/>
        <v/>
      </c>
      <c r="AB609" s="422" t="str">
        <f t="shared" si="106"/>
        <v/>
      </c>
      <c r="AC609" s="476" t="str">
        <f t="shared" si="107"/>
        <v/>
      </c>
      <c r="AD609" s="476" t="str">
        <f t="shared" si="108"/>
        <v/>
      </c>
      <c r="AE609" s="476" t="str">
        <f t="shared" si="109"/>
        <v/>
      </c>
      <c r="AF609" s="476" t="b">
        <f>IFERROR(_xlfn.XLOOKUP(Table1[[#This Row],[Opportunity ID]],'Aging Detail'!$H$14:$H$20,'Aging Detail'!$F$14:$F$20),TRUE)</f>
        <v>1</v>
      </c>
    </row>
    <row r="610" spans="1:32">
      <c r="A610" t="s">
        <v>1461</v>
      </c>
      <c r="B610" t="s">
        <v>408</v>
      </c>
      <c r="C610" t="s">
        <v>1469</v>
      </c>
      <c r="D610" t="s">
        <v>2974</v>
      </c>
      <c r="E610" t="s">
        <v>2975</v>
      </c>
      <c r="I610" s="422">
        <v>45672</v>
      </c>
      <c r="J610" s="422">
        <v>46022</v>
      </c>
      <c r="K610">
        <v>0</v>
      </c>
      <c r="L610">
        <v>0</v>
      </c>
      <c r="M610" t="s">
        <v>2976</v>
      </c>
      <c r="N610" t="s">
        <v>1908</v>
      </c>
      <c r="O610" t="str">
        <f>_xlfn.IFNA(VLOOKUP(Table1[[#This Row],[Lead Source]],'helper tab'!A:B,2,FALSE),"Exclude")</f>
        <v>Exclude</v>
      </c>
      <c r="P610" s="422">
        <f t="shared" si="99"/>
        <v>45825.291666666664</v>
      </c>
      <c r="Q610">
        <f t="shared" si="100"/>
        <v>0</v>
      </c>
      <c r="R610">
        <f t="shared" si="101"/>
        <v>0</v>
      </c>
      <c r="S610">
        <f>IF(
AND($Q610=1,$M610&lt;&gt;""),
IF(
COUNTIFS(
$M$3:$M610,$M610,
$O$3:$O610,$O610,
$Q$3:$Q610,1,
$P$3:$P610,"&gt;="&amp;EOMONTH($P610,-1)+1,
$P$3:$P610,"&lt;"&amp;EOMONTH($P610,0)+1
)=1,
1,
0),
0)</f>
        <v>0</v>
      </c>
      <c r="T610">
        <f>IF(AND($R610=1,$M610&lt;&gt;""),IF(COUNTIFS($M$3:$M610,$M610,$O$3:$O610,$O610,$R$3:$R610,1,$P$3:$P610,"&gt;="&amp;EOMONTH($P610,-1)+1,$P$3:$P610,"&lt;"&amp;EOMONTH($P610,0)+1)=1,1,0),0)</f>
        <v>0</v>
      </c>
      <c r="U610">
        <f t="shared" si="102"/>
        <v>1</v>
      </c>
      <c r="V610">
        <f>IF(AND($U610=1,$M610&lt;&gt;""),IF(COUNTIFS($M$3:$M610,$M610,$O$3:$O610,$O610,$U$3:$U610,1,$P$3:$P610,"&gt;="&amp;EOMONTH($P610,-1)+1,$P$3:$P610,"&lt;"&amp;EOMONTH($P610,0)+1)=1,1,0),0)</f>
        <v>1</v>
      </c>
      <c r="W610" s="444">
        <f ca="1">TODAY()-Table1[[#This Row],[Change Date]]</f>
        <v>432.70833333333576</v>
      </c>
      <c r="X610" s="422" t="str">
        <f t="shared" si="103"/>
        <v/>
      </c>
      <c r="Y610" s="476">
        <f ca="1">IF(Table1[[#This Row],[Next Stage Date]]&lt;&gt;"",Table1[[#This Row],[Next Stage Date]]-Table1[[#This Row],[Change Date]],TODAY()-Table1[[#This Row],[Change Date]])</f>
        <v>432.70833333333576</v>
      </c>
      <c r="Z610" s="476">
        <f t="shared" si="104"/>
        <v>1</v>
      </c>
      <c r="AA610" s="422" t="str">
        <f t="shared" si="105"/>
        <v/>
      </c>
      <c r="AB610" s="422" t="str">
        <f t="shared" si="106"/>
        <v/>
      </c>
      <c r="AC610" s="476" t="str">
        <f t="shared" si="107"/>
        <v/>
      </c>
      <c r="AD610" s="476" t="str">
        <f t="shared" si="108"/>
        <v/>
      </c>
      <c r="AE610" s="476" t="str">
        <f t="shared" si="109"/>
        <v/>
      </c>
      <c r="AF610" s="476" t="b">
        <f>IFERROR(_xlfn.XLOOKUP(Table1[[#This Row],[Opportunity ID]],'Aging Detail'!$H$14:$H$20,'Aging Detail'!$F$14:$F$20),TRUE)</f>
        <v>1</v>
      </c>
    </row>
    <row r="611" spans="1:32">
      <c r="A611" t="s">
        <v>1461</v>
      </c>
      <c r="B611" t="s">
        <v>338</v>
      </c>
      <c r="C611" t="s">
        <v>462</v>
      </c>
      <c r="D611" t="s">
        <v>2977</v>
      </c>
      <c r="E611" t="s">
        <v>2616</v>
      </c>
      <c r="I611" s="422">
        <v>45763</v>
      </c>
      <c r="J611" s="422">
        <v>45930</v>
      </c>
      <c r="K611">
        <v>22500</v>
      </c>
      <c r="L611">
        <v>0</v>
      </c>
      <c r="M611" t="s">
        <v>2617</v>
      </c>
      <c r="N611" t="s">
        <v>1541</v>
      </c>
      <c r="O611" t="str">
        <f>_xlfn.IFNA(VLOOKUP(Table1[[#This Row],[Lead Source]],'helper tab'!A:B,2,FALSE),"Exclude")</f>
        <v>Exclude</v>
      </c>
      <c r="P611" s="422">
        <f t="shared" si="99"/>
        <v>45820.51666666667</v>
      </c>
      <c r="Q611">
        <f t="shared" si="100"/>
        <v>1</v>
      </c>
      <c r="R611">
        <f t="shared" si="101"/>
        <v>0</v>
      </c>
      <c r="S611">
        <f>IF(
AND($Q611=1,$M611&lt;&gt;""),
IF(
COUNTIFS(
$M$3:$M611,$M611,
$O$3:$O611,$O611,
$Q$3:$Q611,1,
$P$3:$P611,"&gt;="&amp;EOMONTH($P611,-1)+1,
$P$3:$P611,"&lt;"&amp;EOMONTH($P611,0)+1
)=1,
1,
0),
0)</f>
        <v>1</v>
      </c>
      <c r="T611">
        <f>IF(AND($R611=1,$M611&lt;&gt;""),IF(COUNTIFS($M$3:$M611,$M611,$O$3:$O611,$O611,$R$3:$R611,1,$P$3:$P611,"&gt;="&amp;EOMONTH($P611,-1)+1,$P$3:$P611,"&lt;"&amp;EOMONTH($P611,0)+1)=1,1,0),0)</f>
        <v>0</v>
      </c>
      <c r="U611">
        <f t="shared" si="102"/>
        <v>0</v>
      </c>
      <c r="V611">
        <f>IF(AND($U611=1,$M611&lt;&gt;""),IF(COUNTIFS($M$3:$M611,$M611,$O$3:$O611,$O611,$U$3:$U611,1,$P$3:$P611,"&gt;="&amp;EOMONTH($P611,-1)+1,$P$3:$P611,"&lt;"&amp;EOMONTH($P611,0)+1)=1,1,0),0)</f>
        <v>0</v>
      </c>
      <c r="W611" s="444">
        <f ca="1">TODAY()-Table1[[#This Row],[Change Date]]</f>
        <v>437.48333333332994</v>
      </c>
      <c r="X611" s="422">
        <f t="shared" si="103"/>
        <v>45944.378472222219</v>
      </c>
      <c r="Y611" s="476">
        <f ca="1">IF(Table1[[#This Row],[Next Stage Date]]&lt;&gt;"",Table1[[#This Row],[Next Stage Date]]-Table1[[#This Row],[Change Date]],TODAY()-Table1[[#This Row],[Change Date]])</f>
        <v>123.86180555554893</v>
      </c>
      <c r="Z611" s="476">
        <f t="shared" si="104"/>
        <v>0</v>
      </c>
      <c r="AA611" s="422" t="str">
        <f t="shared" si="105"/>
        <v/>
      </c>
      <c r="AB611" s="422">
        <f t="shared" si="106"/>
        <v>45820.51666666667</v>
      </c>
      <c r="AC611" s="476">
        <f t="shared" si="107"/>
        <v>57.516666666670062</v>
      </c>
      <c r="AD611" s="476" t="str">
        <f t="shared" si="108"/>
        <v/>
      </c>
      <c r="AE611" s="476" t="str">
        <f t="shared" si="109"/>
        <v/>
      </c>
      <c r="AF611" s="476" t="b">
        <f>IFERROR(_xlfn.XLOOKUP(Table1[[#This Row],[Opportunity ID]],'Aging Detail'!$H$14:$H$20,'Aging Detail'!$F$14:$F$20),TRUE)</f>
        <v>1</v>
      </c>
    </row>
    <row r="612" spans="1:32">
      <c r="A612" t="s">
        <v>1461</v>
      </c>
      <c r="B612" t="s">
        <v>338</v>
      </c>
      <c r="C612" t="s">
        <v>1469</v>
      </c>
      <c r="D612" t="s">
        <v>2978</v>
      </c>
      <c r="E612" t="s">
        <v>2979</v>
      </c>
      <c r="I612" s="422">
        <v>45819</v>
      </c>
      <c r="J612" s="422">
        <v>73050</v>
      </c>
      <c r="L612">
        <v>0</v>
      </c>
      <c r="M612" t="s">
        <v>2980</v>
      </c>
      <c r="N612" t="s">
        <v>1629</v>
      </c>
      <c r="O612" t="str">
        <f>_xlfn.IFNA(VLOOKUP(Table1[[#This Row],[Lead Source]],'helper tab'!A:B,2,FALSE),"Exclude")</f>
        <v>Exclude</v>
      </c>
      <c r="P612" s="422">
        <f t="shared" si="99"/>
        <v>45820.512499999997</v>
      </c>
      <c r="Q612">
        <f t="shared" si="100"/>
        <v>0</v>
      </c>
      <c r="R612">
        <f t="shared" si="101"/>
        <v>0</v>
      </c>
      <c r="S612">
        <f>IF(
AND($Q612=1,$M612&lt;&gt;""),
IF(
COUNTIFS(
$M$3:$M612,$M612,
$O$3:$O612,$O612,
$Q$3:$Q612,1,
$P$3:$P612,"&gt;="&amp;EOMONTH($P612,-1)+1,
$P$3:$P612,"&lt;"&amp;EOMONTH($P612,0)+1
)=1,
1,
0),
0)</f>
        <v>0</v>
      </c>
      <c r="T612">
        <f>IF(AND($R612=1,$M612&lt;&gt;""),IF(COUNTIFS($M$3:$M612,$M612,$O$3:$O612,$O612,$R$3:$R612,1,$P$3:$P612,"&gt;="&amp;EOMONTH($P612,-1)+1,$P$3:$P612,"&lt;"&amp;EOMONTH($P612,0)+1)=1,1,0),0)</f>
        <v>0</v>
      </c>
      <c r="U612">
        <f t="shared" si="102"/>
        <v>1</v>
      </c>
      <c r="V612">
        <f>IF(AND($U612=1,$M612&lt;&gt;""),IF(COUNTIFS($M$3:$M612,$M612,$O$3:$O612,$O612,$U$3:$U612,1,$P$3:$P612,"&gt;="&amp;EOMONTH($P612,-1)+1,$P$3:$P612,"&lt;"&amp;EOMONTH($P612,0)+1)=1,1,0),0)</f>
        <v>1</v>
      </c>
      <c r="W612" s="444">
        <f ca="1">TODAY()-Table1[[#This Row],[Change Date]]</f>
        <v>437.48750000000291</v>
      </c>
      <c r="X612" s="422" t="str">
        <f t="shared" si="103"/>
        <v/>
      </c>
      <c r="Y612" s="476">
        <f ca="1">IF(Table1[[#This Row],[Next Stage Date]]&lt;&gt;"",Table1[[#This Row],[Next Stage Date]]-Table1[[#This Row],[Change Date]],TODAY()-Table1[[#This Row],[Change Date]])</f>
        <v>437.48750000000291</v>
      </c>
      <c r="Z612" s="476">
        <f t="shared" si="104"/>
        <v>1</v>
      </c>
      <c r="AA612" s="422" t="str">
        <f t="shared" si="105"/>
        <v/>
      </c>
      <c r="AB612" s="422" t="str">
        <f t="shared" si="106"/>
        <v/>
      </c>
      <c r="AC612" s="476" t="str">
        <f t="shared" si="107"/>
        <v/>
      </c>
      <c r="AD612" s="476" t="str">
        <f t="shared" si="108"/>
        <v/>
      </c>
      <c r="AE612" s="476" t="str">
        <f t="shared" si="109"/>
        <v/>
      </c>
      <c r="AF612" s="476" t="b">
        <f>IFERROR(_xlfn.XLOOKUP(Table1[[#This Row],[Opportunity ID]],'Aging Detail'!$H$14:$H$20,'Aging Detail'!$F$14:$F$20),TRUE)</f>
        <v>1</v>
      </c>
    </row>
    <row r="613" spans="1:32">
      <c r="A613" t="s">
        <v>1461</v>
      </c>
      <c r="B613" t="s">
        <v>338</v>
      </c>
      <c r="C613" t="s">
        <v>462</v>
      </c>
      <c r="D613" t="s">
        <v>2981</v>
      </c>
      <c r="E613" t="s">
        <v>2798</v>
      </c>
      <c r="I613" s="422">
        <v>45784</v>
      </c>
      <c r="J613" s="422">
        <v>45898</v>
      </c>
      <c r="K613">
        <v>6480</v>
      </c>
      <c r="L613">
        <v>0</v>
      </c>
      <c r="M613" t="s">
        <v>2799</v>
      </c>
      <c r="N613" t="s">
        <v>1691</v>
      </c>
      <c r="O613" t="str">
        <f>_xlfn.IFNA(VLOOKUP(Table1[[#This Row],[Lead Source]],'helper tab'!A:B,2,FALSE),"Exclude")</f>
        <v>Exclude</v>
      </c>
      <c r="P613" s="422">
        <f t="shared" si="99"/>
        <v>45820.511111111111</v>
      </c>
      <c r="Q613">
        <f t="shared" si="100"/>
        <v>1</v>
      </c>
      <c r="R613">
        <f t="shared" si="101"/>
        <v>0</v>
      </c>
      <c r="S613">
        <f>IF(
AND($Q613=1,$M613&lt;&gt;""),
IF(
COUNTIFS(
$M$3:$M613,$M613,
$O$3:$O613,$O613,
$Q$3:$Q613,1,
$P$3:$P613,"&gt;="&amp;EOMONTH($P613,-1)+1,
$P$3:$P613,"&lt;"&amp;EOMONTH($P613,0)+1
)=1,
1,
0),
0)</f>
        <v>1</v>
      </c>
      <c r="T613">
        <f>IF(AND($R613=1,$M613&lt;&gt;""),IF(COUNTIFS($M$3:$M613,$M613,$O$3:$O613,$O613,$R$3:$R613,1,$P$3:$P613,"&gt;="&amp;EOMONTH($P613,-1)+1,$P$3:$P613,"&lt;"&amp;EOMONTH($P613,0)+1)=1,1,0),0)</f>
        <v>0</v>
      </c>
      <c r="U613">
        <f t="shared" si="102"/>
        <v>0</v>
      </c>
      <c r="V613">
        <f>IF(AND($U613=1,$M613&lt;&gt;""),IF(COUNTIFS($M$3:$M613,$M613,$O$3:$O613,$O613,$U$3:$U613,1,$P$3:$P613,"&gt;="&amp;EOMONTH($P613,-1)+1,$P$3:$P613,"&lt;"&amp;EOMONTH($P613,0)+1)=1,1,0),0)</f>
        <v>0</v>
      </c>
      <c r="W613" s="444">
        <f ca="1">TODAY()-Table1[[#This Row],[Change Date]]</f>
        <v>437.48888888888905</v>
      </c>
      <c r="X613" s="422">
        <f t="shared" si="103"/>
        <v>45898.459722222222</v>
      </c>
      <c r="Y613" s="476">
        <f ca="1">IF(Table1[[#This Row],[Next Stage Date]]&lt;&gt;"",Table1[[#This Row],[Next Stage Date]]-Table1[[#This Row],[Change Date]],TODAY()-Table1[[#This Row],[Change Date]])</f>
        <v>77.948611111110949</v>
      </c>
      <c r="Z613" s="476">
        <f t="shared" si="104"/>
        <v>0</v>
      </c>
      <c r="AA613" s="422">
        <f t="shared" si="105"/>
        <v>45898.459722222222</v>
      </c>
      <c r="AB613" s="422">
        <f t="shared" si="106"/>
        <v>45820.511111111111</v>
      </c>
      <c r="AC613" s="476">
        <f t="shared" si="107"/>
        <v>36.511111111110949</v>
      </c>
      <c r="AD613" s="476">
        <f t="shared" si="108"/>
        <v>77.948611111110949</v>
      </c>
      <c r="AE613" s="476">
        <f t="shared" si="109"/>
        <v>114.4597222222219</v>
      </c>
      <c r="AF613" s="476" t="b">
        <f>IFERROR(_xlfn.XLOOKUP(Table1[[#This Row],[Opportunity ID]],'Aging Detail'!$H$14:$H$20,'Aging Detail'!$F$14:$F$20),TRUE)</f>
        <v>1</v>
      </c>
    </row>
    <row r="614" spans="1:32">
      <c r="A614" t="s">
        <v>1461</v>
      </c>
      <c r="B614" t="s">
        <v>1462</v>
      </c>
      <c r="C614" t="s">
        <v>1469</v>
      </c>
      <c r="D614" t="s">
        <v>2982</v>
      </c>
      <c r="E614" t="s">
        <v>2983</v>
      </c>
      <c r="F614" t="s">
        <v>1484</v>
      </c>
      <c r="I614" s="422">
        <v>45044</v>
      </c>
      <c r="J614" s="422">
        <v>46022</v>
      </c>
      <c r="K614">
        <v>184800</v>
      </c>
      <c r="L614">
        <v>184800</v>
      </c>
      <c r="M614" t="s">
        <v>2984</v>
      </c>
      <c r="N614" t="s">
        <v>1629</v>
      </c>
      <c r="O614" t="str">
        <f>_xlfn.IFNA(VLOOKUP(Table1[[#This Row],[Lead Source]],'helper tab'!A:B,2,FALSE),"Exclude")</f>
        <v>Exclude</v>
      </c>
      <c r="P614" s="422">
        <f t="shared" si="99"/>
        <v>45820.376388888886</v>
      </c>
      <c r="Q614">
        <f t="shared" si="100"/>
        <v>0</v>
      </c>
      <c r="R614">
        <f t="shared" si="101"/>
        <v>0</v>
      </c>
      <c r="S614">
        <f>IF(
AND($Q614=1,$M614&lt;&gt;""),
IF(
COUNTIFS(
$M$3:$M614,$M614,
$O$3:$O614,$O614,
$Q$3:$Q614,1,
$P$3:$P614,"&gt;="&amp;EOMONTH($P614,-1)+1,
$P$3:$P614,"&lt;"&amp;EOMONTH($P614,0)+1
)=1,
1,
0),
0)</f>
        <v>0</v>
      </c>
      <c r="T614">
        <f>IF(AND($R614=1,$M614&lt;&gt;""),IF(COUNTIFS($M$3:$M614,$M614,$O$3:$O614,$O614,$R$3:$R614,1,$P$3:$P614,"&gt;="&amp;EOMONTH($P614,-1)+1,$P$3:$P614,"&lt;"&amp;EOMONTH($P614,0)+1)=1,1,0),0)</f>
        <v>0</v>
      </c>
      <c r="U614">
        <f t="shared" si="102"/>
        <v>1</v>
      </c>
      <c r="V614">
        <f>IF(AND($U614=1,$M614&lt;&gt;""),IF(COUNTIFS($M$3:$M614,$M614,$O$3:$O614,$O614,$U$3:$U614,1,$P$3:$P614,"&gt;="&amp;EOMONTH($P614,-1)+1,$P$3:$P614,"&lt;"&amp;EOMONTH($P614,0)+1)=1,1,0),0)</f>
        <v>1</v>
      </c>
      <c r="W614" s="444">
        <f ca="1">TODAY()-Table1[[#This Row],[Change Date]]</f>
        <v>437.62361111111386</v>
      </c>
      <c r="X614" s="422" t="str">
        <f t="shared" si="103"/>
        <v/>
      </c>
      <c r="Y614" s="476">
        <f ca="1">IF(Table1[[#This Row],[Next Stage Date]]&lt;&gt;"",Table1[[#This Row],[Next Stage Date]]-Table1[[#This Row],[Change Date]],TODAY()-Table1[[#This Row],[Change Date]])</f>
        <v>437.62361111111386</v>
      </c>
      <c r="Z614" s="476">
        <f t="shared" si="104"/>
        <v>1</v>
      </c>
      <c r="AA614" s="422" t="str">
        <f t="shared" si="105"/>
        <v/>
      </c>
      <c r="AB614" s="422" t="str">
        <f t="shared" si="106"/>
        <v/>
      </c>
      <c r="AC614" s="476" t="str">
        <f t="shared" si="107"/>
        <v/>
      </c>
      <c r="AD614" s="476" t="str">
        <f t="shared" si="108"/>
        <v/>
      </c>
      <c r="AE614" s="476" t="str">
        <f t="shared" si="109"/>
        <v/>
      </c>
      <c r="AF614" s="476" t="b">
        <f>IFERROR(_xlfn.XLOOKUP(Table1[[#This Row],[Opportunity ID]],'Aging Detail'!$H$14:$H$20,'Aging Detail'!$F$14:$F$20),TRUE)</f>
        <v>1</v>
      </c>
    </row>
    <row r="615" spans="1:32">
      <c r="A615" t="s">
        <v>1461</v>
      </c>
      <c r="B615" t="s">
        <v>1462</v>
      </c>
      <c r="C615" t="s">
        <v>462</v>
      </c>
      <c r="D615" t="s">
        <v>2985</v>
      </c>
      <c r="E615" t="s">
        <v>2646</v>
      </c>
      <c r="F615" t="s">
        <v>1484</v>
      </c>
      <c r="I615" s="422">
        <v>45230</v>
      </c>
      <c r="J615" s="422">
        <v>45936</v>
      </c>
      <c r="K615">
        <v>671000</v>
      </c>
      <c r="L615">
        <v>188500</v>
      </c>
      <c r="M615" t="s">
        <v>2647</v>
      </c>
      <c r="N615" t="s">
        <v>2648</v>
      </c>
      <c r="O615" t="str">
        <f>_xlfn.IFNA(VLOOKUP(Table1[[#This Row],[Lead Source]],'helper tab'!A:B,2,FALSE),"Exclude")</f>
        <v>Exclude</v>
      </c>
      <c r="P615" s="422">
        <f t="shared" si="99"/>
        <v>45819.419444444444</v>
      </c>
      <c r="Q615">
        <f t="shared" si="100"/>
        <v>1</v>
      </c>
      <c r="R615">
        <f t="shared" si="101"/>
        <v>0</v>
      </c>
      <c r="S615">
        <f>IF(
AND($Q615=1,$M615&lt;&gt;""),
IF(
COUNTIFS(
$M$3:$M615,$M615,
$O$3:$O615,$O615,
$Q$3:$Q615,1,
$P$3:$P615,"&gt;="&amp;EOMONTH($P615,-1)+1,
$P$3:$P615,"&lt;"&amp;EOMONTH($P615,0)+1
)=1,
1,
0),
0)</f>
        <v>1</v>
      </c>
      <c r="T615">
        <f>IF(AND($R615=1,$M615&lt;&gt;""),IF(COUNTIFS($M$3:$M615,$M615,$O$3:$O615,$O615,$R$3:$R615,1,$P$3:$P615,"&gt;="&amp;EOMONTH($P615,-1)+1,$P$3:$P615,"&lt;"&amp;EOMONTH($P615,0)+1)=1,1,0),0)</f>
        <v>0</v>
      </c>
      <c r="U615">
        <f t="shared" si="102"/>
        <v>0</v>
      </c>
      <c r="V615">
        <f>IF(AND($U615=1,$M615&lt;&gt;""),IF(COUNTIFS($M$3:$M615,$M615,$O$3:$O615,$O615,$U$3:$U615,1,$P$3:$P615,"&gt;="&amp;EOMONTH($P615,-1)+1,$P$3:$P615,"&lt;"&amp;EOMONTH($P615,0)+1)=1,1,0),0)</f>
        <v>0</v>
      </c>
      <c r="W615" s="444">
        <f ca="1">TODAY()-Table1[[#This Row],[Change Date]]</f>
        <v>438.5805555555562</v>
      </c>
      <c r="X615" s="422">
        <f t="shared" si="103"/>
        <v>45909.375694444447</v>
      </c>
      <c r="Y615" s="476">
        <f ca="1">IF(Table1[[#This Row],[Next Stage Date]]&lt;&gt;"",Table1[[#This Row],[Next Stage Date]]-Table1[[#This Row],[Change Date]],TODAY()-Table1[[#This Row],[Change Date]])</f>
        <v>89.95625000000291</v>
      </c>
      <c r="Z615" s="476">
        <f t="shared" si="104"/>
        <v>0</v>
      </c>
      <c r="AA615" s="422">
        <f t="shared" si="105"/>
        <v>45937.37222222222</v>
      </c>
      <c r="AB615" s="422">
        <f t="shared" si="106"/>
        <v>45819.419444444444</v>
      </c>
      <c r="AC615" s="476">
        <f t="shared" si="107"/>
        <v>589.4194444444438</v>
      </c>
      <c r="AD615" s="476">
        <f t="shared" si="108"/>
        <v>117.95277777777665</v>
      </c>
      <c r="AE615" s="476">
        <f t="shared" si="109"/>
        <v>707.37222222222044</v>
      </c>
      <c r="AF615" s="476" t="b">
        <f>IFERROR(_xlfn.XLOOKUP(Table1[[#This Row],[Opportunity ID]],'Aging Detail'!$H$14:$H$20,'Aging Detail'!$F$14:$F$20),TRUE)</f>
        <v>1</v>
      </c>
    </row>
    <row r="616" spans="1:32">
      <c r="A616" t="s">
        <v>1461</v>
      </c>
      <c r="B616" t="s">
        <v>338</v>
      </c>
      <c r="C616" t="s">
        <v>462</v>
      </c>
      <c r="D616" t="s">
        <v>2986</v>
      </c>
      <c r="E616" t="s">
        <v>2701</v>
      </c>
      <c r="F616" t="s">
        <v>1486</v>
      </c>
      <c r="I616" s="422">
        <v>45775</v>
      </c>
      <c r="J616" s="422">
        <v>45930</v>
      </c>
      <c r="K616">
        <v>85500</v>
      </c>
      <c r="L616">
        <v>85500</v>
      </c>
      <c r="M616" t="s">
        <v>2702</v>
      </c>
      <c r="N616" t="s">
        <v>1684</v>
      </c>
      <c r="O616" t="str">
        <f>_xlfn.IFNA(VLOOKUP(Table1[[#This Row],[Lead Source]],'helper tab'!A:B,2,FALSE),"Exclude")</f>
        <v>Exclude</v>
      </c>
      <c r="P616" s="422">
        <f t="shared" si="99"/>
        <v>45819.410416666666</v>
      </c>
      <c r="Q616">
        <f t="shared" si="100"/>
        <v>1</v>
      </c>
      <c r="R616">
        <f t="shared" si="101"/>
        <v>0</v>
      </c>
      <c r="S616">
        <f>IF(
AND($Q616=1,$M616&lt;&gt;""),
IF(
COUNTIFS(
$M$3:$M616,$M616,
$O$3:$O616,$O616,
$Q$3:$Q616,1,
$P$3:$P616,"&gt;="&amp;EOMONTH($P616,-1)+1,
$P$3:$P616,"&lt;"&amp;EOMONTH($P616,0)+1
)=1,
1,
0),
0)</f>
        <v>1</v>
      </c>
      <c r="T616">
        <f>IF(AND($R616=1,$M616&lt;&gt;""),IF(COUNTIFS($M$3:$M616,$M616,$O$3:$O616,$O616,$R$3:$R616,1,$P$3:$P616,"&gt;="&amp;EOMONTH($P616,-1)+1,$P$3:$P616,"&lt;"&amp;EOMONTH($P616,0)+1)=1,1,0),0)</f>
        <v>0</v>
      </c>
      <c r="U616">
        <f t="shared" si="102"/>
        <v>0</v>
      </c>
      <c r="V616">
        <f>IF(AND($U616=1,$M616&lt;&gt;""),IF(COUNTIFS($M$3:$M616,$M616,$O$3:$O616,$O616,$U$3:$U616,1,$P$3:$P616,"&gt;="&amp;EOMONTH($P616,-1)+1,$P$3:$P616,"&lt;"&amp;EOMONTH($P616,0)+1)=1,1,0),0)</f>
        <v>0</v>
      </c>
      <c r="W616" s="444">
        <f ca="1">TODAY()-Table1[[#This Row],[Change Date]]</f>
        <v>438.5895833333343</v>
      </c>
      <c r="X616" s="422">
        <f t="shared" si="103"/>
        <v>45897.343055555553</v>
      </c>
      <c r="Y616" s="476">
        <f ca="1">IF(Table1[[#This Row],[Next Stage Date]]&lt;&gt;"",Table1[[#This Row],[Next Stage Date]]-Table1[[#This Row],[Change Date]],TODAY()-Table1[[#This Row],[Change Date]])</f>
        <v>77.932638888887595</v>
      </c>
      <c r="Z616" s="476">
        <f t="shared" si="104"/>
        <v>0</v>
      </c>
      <c r="AA616" s="422">
        <f t="shared" si="105"/>
        <v>45930.52847222222</v>
      </c>
      <c r="AB616" s="422">
        <f t="shared" si="106"/>
        <v>45819.410416666666</v>
      </c>
      <c r="AC616" s="476">
        <f t="shared" si="107"/>
        <v>44.410416666665697</v>
      </c>
      <c r="AD616" s="476">
        <f t="shared" si="108"/>
        <v>111.11805555555475</v>
      </c>
      <c r="AE616" s="476">
        <f t="shared" si="109"/>
        <v>155.52847222222044</v>
      </c>
      <c r="AF616" s="476" t="b">
        <f>IFERROR(_xlfn.XLOOKUP(Table1[[#This Row],[Opportunity ID]],'Aging Detail'!$H$14:$H$20,'Aging Detail'!$F$14:$F$20),TRUE)</f>
        <v>1</v>
      </c>
    </row>
    <row r="617" spans="1:32">
      <c r="A617" t="s">
        <v>1461</v>
      </c>
      <c r="B617" t="s">
        <v>338</v>
      </c>
      <c r="C617" t="s">
        <v>1469</v>
      </c>
      <c r="D617" t="s">
        <v>2987</v>
      </c>
      <c r="E617" t="s">
        <v>2988</v>
      </c>
      <c r="I617" s="422">
        <v>45804</v>
      </c>
      <c r="J617" s="422">
        <v>45869</v>
      </c>
      <c r="L617">
        <v>0</v>
      </c>
      <c r="M617" t="s">
        <v>2989</v>
      </c>
      <c r="N617" t="s">
        <v>1739</v>
      </c>
      <c r="O617" t="str">
        <f>_xlfn.IFNA(VLOOKUP(Table1[[#This Row],[Lead Source]],'helper tab'!A:B,2,FALSE),"Exclude")</f>
        <v>Exclude</v>
      </c>
      <c r="P617" s="422">
        <f t="shared" si="99"/>
        <v>45817.44027777778</v>
      </c>
      <c r="Q617">
        <f t="shared" si="100"/>
        <v>0</v>
      </c>
      <c r="R617">
        <f t="shared" si="101"/>
        <v>0</v>
      </c>
      <c r="S617">
        <f>IF(
AND($Q617=1,$M617&lt;&gt;""),
IF(
COUNTIFS(
$M$3:$M1143,$M617,
$O$3:$O1143,$O617,
$Q$3:$Q1143,1,
$P$3:$P1143,"&gt;="&amp;EOMONTH($P617,-1)+1,
$P$3:$P1143,"&lt;"&amp;EOMONTH($P617,0)+1
)=1,
1,
0),
0)</f>
        <v>0</v>
      </c>
      <c r="T617">
        <f>IF(AND($R617=1,$M617&lt;&gt;""),IF(COUNTIFS($M$3:$M617,$M617,$O$3:$O617,$O617,$R$3:$R617,1,$P$3:$P617,"&gt;="&amp;EOMONTH($P617,-1)+1,$P$3:$P617,"&lt;"&amp;EOMONTH($P617,0)+1)=1,1,0),0)</f>
        <v>0</v>
      </c>
      <c r="U617">
        <f t="shared" si="102"/>
        <v>1</v>
      </c>
      <c r="V617">
        <f>IF(AND($U617=1,$M617&lt;&gt;""),IF(COUNTIFS($M$3:$M617,$M617,$O$3:$O617,$O617,$U$3:$U617,1,$P$3:$P617,"&gt;="&amp;EOMONTH($P617,-1)+1,$P$3:$P617,"&lt;"&amp;EOMONTH($P617,0)+1)=1,1,0),0)</f>
        <v>1</v>
      </c>
      <c r="W617" s="444">
        <f ca="1">TODAY()-Table1[[#This Row],[Change Date]]</f>
        <v>440.55972222222044</v>
      </c>
      <c r="X617" s="422" t="str">
        <f t="shared" si="103"/>
        <v/>
      </c>
      <c r="Y617" s="476">
        <f ca="1">IF(Table1[[#This Row],[Next Stage Date]]&lt;&gt;"",Table1[[#This Row],[Next Stage Date]]-Table1[[#This Row],[Change Date]],TODAY()-Table1[[#This Row],[Change Date]])</f>
        <v>440.55972222222044</v>
      </c>
      <c r="Z617" s="476">
        <f t="shared" si="104"/>
        <v>1</v>
      </c>
      <c r="AA617" s="422" t="str">
        <f t="shared" si="105"/>
        <v/>
      </c>
      <c r="AB617" s="422" t="str">
        <f t="shared" si="106"/>
        <v/>
      </c>
      <c r="AC617" s="476" t="str">
        <f t="shared" si="107"/>
        <v/>
      </c>
      <c r="AD617" s="476" t="str">
        <f t="shared" si="108"/>
        <v/>
      </c>
      <c r="AE617" s="476" t="str">
        <f t="shared" si="109"/>
        <v/>
      </c>
      <c r="AF617" s="476" t="b">
        <f>IFERROR(_xlfn.XLOOKUP(Table1[[#This Row],[Opportunity ID]],'Aging Detail'!$H$14:$H$20,'Aging Detail'!$F$14:$F$20),TRUE)</f>
        <v>1</v>
      </c>
    </row>
    <row r="618" spans="1:32">
      <c r="A618" t="s">
        <v>1461</v>
      </c>
      <c r="B618" t="s">
        <v>526</v>
      </c>
      <c r="C618" t="s">
        <v>563</v>
      </c>
      <c r="D618" t="s">
        <v>2990</v>
      </c>
      <c r="E618" t="s">
        <v>2991</v>
      </c>
      <c r="I618" s="422">
        <v>45432</v>
      </c>
      <c r="J618" s="422">
        <v>45814</v>
      </c>
      <c r="K618">
        <v>1076559.75</v>
      </c>
      <c r="L618">
        <v>0</v>
      </c>
      <c r="M618" t="s">
        <v>2992</v>
      </c>
      <c r="N618" t="s">
        <v>2301</v>
      </c>
      <c r="O618" t="str">
        <f>_xlfn.IFNA(VLOOKUP(Table1[[#This Row],[Lead Source]],'helper tab'!A:B,2,FALSE),"Exclude")</f>
        <v>Exclude</v>
      </c>
      <c r="P618" s="422">
        <f t="shared" si="99"/>
        <v>45817.432638888888</v>
      </c>
      <c r="Q618">
        <f t="shared" si="100"/>
        <v>0</v>
      </c>
      <c r="R618">
        <f t="shared" si="101"/>
        <v>1</v>
      </c>
      <c r="S618">
        <f>IF(
AND($Q618=1,$M618&lt;&gt;""),
IF(
COUNTIFS(
$M$3:$M618,$M618,
$O$3:$O618,$O618,
$Q$3:$Q618,1,
$P$3:$P618,"&gt;="&amp;EOMONTH($P618,-1)+1,
$P$3:$P618,"&lt;"&amp;EOMONTH($P618,0)+1
)=1,
1,
0),
0)</f>
        <v>0</v>
      </c>
      <c r="T618">
        <f>IF(AND($R618=1,$M618&lt;&gt;""),IF(COUNTIFS($M$3:$M618,$M618,$O$3:$O618,$O618,$R$3:$R618,1,$P$3:$P618,"&gt;="&amp;EOMONTH($P618,-1)+1,$P$3:$P618,"&lt;"&amp;EOMONTH($P618,0)+1)=1,1,0),0)</f>
        <v>1</v>
      </c>
      <c r="U618">
        <f t="shared" si="102"/>
        <v>0</v>
      </c>
      <c r="V618">
        <f>IF(AND($U618=1,$M618&lt;&gt;""),IF(COUNTIFS($M$3:$M618,$M618,$O$3:$O618,$O618,$U$3:$U618,1,$P$3:$P618,"&gt;="&amp;EOMONTH($P618,-1)+1,$P$3:$P618,"&lt;"&amp;EOMONTH($P618,0)+1)=1,1,0),0)</f>
        <v>0</v>
      </c>
      <c r="W618" s="444">
        <f ca="1">TODAY()-Table1[[#This Row],[Change Date]]</f>
        <v>440.5673611111124</v>
      </c>
      <c r="X618" s="422" t="str">
        <f t="shared" si="103"/>
        <v/>
      </c>
      <c r="Y618" s="476">
        <f ca="1">IF(Table1[[#This Row],[Next Stage Date]]&lt;&gt;"",Table1[[#This Row],[Next Stage Date]]-Table1[[#This Row],[Change Date]],TODAY()-Table1[[#This Row],[Change Date]])</f>
        <v>440.5673611111124</v>
      </c>
      <c r="Z618" s="476">
        <f t="shared" si="104"/>
        <v>1</v>
      </c>
      <c r="AA618" s="422">
        <f t="shared" si="105"/>
        <v>45817.432638888888</v>
      </c>
      <c r="AB618" s="422">
        <f t="shared" si="106"/>
        <v>45719.244444444441</v>
      </c>
      <c r="AC618" s="476">
        <f t="shared" si="107"/>
        <v>287.24444444444089</v>
      </c>
      <c r="AD618" s="476">
        <f t="shared" si="108"/>
        <v>98.188194444446708</v>
      </c>
      <c r="AE618" s="476">
        <f t="shared" si="109"/>
        <v>385.4326388888876</v>
      </c>
      <c r="AF618" s="476" t="b">
        <f>IFERROR(_xlfn.XLOOKUP(Table1[[#This Row],[Opportunity ID]],'Aging Detail'!$H$14:$H$20,'Aging Detail'!$F$14:$F$20),TRUE)</f>
        <v>1</v>
      </c>
    </row>
    <row r="619" spans="1:32">
      <c r="A619" t="s">
        <v>1461</v>
      </c>
      <c r="B619" t="s">
        <v>408</v>
      </c>
      <c r="C619" t="s">
        <v>563</v>
      </c>
      <c r="D619" t="s">
        <v>2993</v>
      </c>
      <c r="E619" t="s">
        <v>2994</v>
      </c>
      <c r="I619" s="422">
        <v>45726</v>
      </c>
      <c r="J619" s="422">
        <v>45817</v>
      </c>
      <c r="K619">
        <v>3375</v>
      </c>
      <c r="L619">
        <v>0</v>
      </c>
      <c r="M619" t="s">
        <v>2995</v>
      </c>
      <c r="N619" t="s">
        <v>2996</v>
      </c>
      <c r="O619" t="str">
        <f>_xlfn.IFNA(VLOOKUP(Table1[[#This Row],[Lead Source]],'helper tab'!A:B,2,FALSE),"Exclude")</f>
        <v>Exclude</v>
      </c>
      <c r="P619" s="422">
        <f t="shared" si="99"/>
        <v>45817.429166666669</v>
      </c>
      <c r="Q619">
        <f t="shared" si="100"/>
        <v>0</v>
      </c>
      <c r="R619">
        <f t="shared" si="101"/>
        <v>1</v>
      </c>
      <c r="S619">
        <f>IF(
AND($Q619=1,$M619&lt;&gt;""),
IF(
COUNTIFS(
$M$3:$M619,$M619,
$O$3:$O619,$O619,
$Q$3:$Q619,1,
$P$3:$P619,"&gt;="&amp;EOMONTH($P619,-1)+1,
$P$3:$P619,"&lt;"&amp;EOMONTH($P619,0)+1
)=1,
1,
0),
0)</f>
        <v>0</v>
      </c>
      <c r="T619">
        <f>IF(AND($R619=1,$M619&lt;&gt;""),IF(COUNTIFS($M$3:$M619,$M619,$O$3:$O619,$O619,$R$3:$R619,1,$P$3:$P619,"&gt;="&amp;EOMONTH($P619,-1)+1,$P$3:$P619,"&lt;"&amp;EOMONTH($P619,0)+1)=1,1,0),0)</f>
        <v>1</v>
      </c>
      <c r="U619">
        <f t="shared" si="102"/>
        <v>0</v>
      </c>
      <c r="V619">
        <f>IF(AND($U619=1,$M619&lt;&gt;""),IF(COUNTIFS($M$3:$M619,$M619,$O$3:$O619,$O619,$U$3:$U619,1,$P$3:$P619,"&gt;="&amp;EOMONTH($P619,-1)+1,$P$3:$P619,"&lt;"&amp;EOMONTH($P619,0)+1)=1,1,0),0)</f>
        <v>0</v>
      </c>
      <c r="W619" s="444">
        <f ca="1">TODAY()-Table1[[#This Row],[Change Date]]</f>
        <v>440.57083333333139</v>
      </c>
      <c r="X619" s="422" t="str">
        <f t="shared" si="103"/>
        <v/>
      </c>
      <c r="Y619" s="476">
        <f ca="1">IF(Table1[[#This Row],[Next Stage Date]]&lt;&gt;"",Table1[[#This Row],[Next Stage Date]]-Table1[[#This Row],[Change Date]],TODAY()-Table1[[#This Row],[Change Date]])</f>
        <v>440.57083333333139</v>
      </c>
      <c r="Z619" s="476">
        <f t="shared" si="104"/>
        <v>1</v>
      </c>
      <c r="AA619" s="422">
        <f t="shared" si="105"/>
        <v>45817.429166666669</v>
      </c>
      <c r="AB619" s="422" t="str">
        <f t="shared" si="106"/>
        <v/>
      </c>
      <c r="AC619" s="476" t="str">
        <f t="shared" si="107"/>
        <v/>
      </c>
      <c r="AD619" s="476" t="str">
        <f t="shared" si="108"/>
        <v/>
      </c>
      <c r="AE619" s="476">
        <f t="shared" si="109"/>
        <v>91.429166666668607</v>
      </c>
      <c r="AF619" s="476" t="b">
        <f>IFERROR(_xlfn.XLOOKUP(Table1[[#This Row],[Opportunity ID]],'Aging Detail'!$H$14:$H$20,'Aging Detail'!$F$14:$F$20),TRUE)</f>
        <v>1</v>
      </c>
    </row>
    <row r="620" spans="1:32">
      <c r="A620" t="s">
        <v>1461</v>
      </c>
      <c r="B620" t="s">
        <v>338</v>
      </c>
      <c r="C620" t="s">
        <v>462</v>
      </c>
      <c r="D620" t="s">
        <v>2997</v>
      </c>
      <c r="E620" t="s">
        <v>2829</v>
      </c>
      <c r="I620" s="422">
        <v>45811</v>
      </c>
      <c r="J620" s="422">
        <v>45884</v>
      </c>
      <c r="K620">
        <v>412181</v>
      </c>
      <c r="L620">
        <v>37471</v>
      </c>
      <c r="M620" t="s">
        <v>2830</v>
      </c>
      <c r="N620" t="s">
        <v>1629</v>
      </c>
      <c r="O620" t="str">
        <f>_xlfn.IFNA(VLOOKUP(Table1[[#This Row],[Lead Source]],'helper tab'!A:B,2,FALSE),"Exclude")</f>
        <v>Exclude</v>
      </c>
      <c r="P620" s="422">
        <f t="shared" si="99"/>
        <v>45814.256249999999</v>
      </c>
      <c r="Q620">
        <f t="shared" si="100"/>
        <v>1</v>
      </c>
      <c r="R620">
        <f t="shared" si="101"/>
        <v>0</v>
      </c>
      <c r="S620">
        <f>IF(
AND($Q620=1,$M620&lt;&gt;""),
IF(
COUNTIFS(
$M$3:$M620,$M620,
$O$3:$O620,$O620,
$Q$3:$Q620,1,
$P$3:$P620,"&gt;="&amp;EOMONTH($P620,-1)+1,
$P$3:$P620,"&lt;"&amp;EOMONTH($P620,0)+1
)=1,
1,
0),
0)</f>
        <v>1</v>
      </c>
      <c r="T620">
        <f>IF(AND($R620=1,$M620&lt;&gt;""),IF(COUNTIFS($M$3:$M620,$M620,$O$3:$O620,$O620,$R$3:$R620,1,$P$3:$P620,"&gt;="&amp;EOMONTH($P620,-1)+1,$P$3:$P620,"&lt;"&amp;EOMONTH($P620,0)+1)=1,1,0),0)</f>
        <v>0</v>
      </c>
      <c r="U620">
        <f t="shared" si="102"/>
        <v>0</v>
      </c>
      <c r="V620">
        <f>IF(AND($U620=1,$M620&lt;&gt;""),IF(COUNTIFS($M$3:$M620,$M620,$O$3:$O620,$O620,$U$3:$U620,1,$P$3:$P620,"&gt;="&amp;EOMONTH($P620,-1)+1,$P$3:$P620,"&lt;"&amp;EOMONTH($P620,0)+1)=1,1,0),0)</f>
        <v>0</v>
      </c>
      <c r="W620" s="444">
        <f ca="1">TODAY()-Table1[[#This Row],[Change Date]]</f>
        <v>443.74375000000146</v>
      </c>
      <c r="X620" s="422">
        <f t="shared" si="103"/>
        <v>45868.229861111111</v>
      </c>
      <c r="Y620" s="476">
        <f ca="1">IF(Table1[[#This Row],[Next Stage Date]]&lt;&gt;"",Table1[[#This Row],[Next Stage Date]]-Table1[[#This Row],[Change Date]],TODAY()-Table1[[#This Row],[Change Date]])</f>
        <v>53.973611111112405</v>
      </c>
      <c r="Z620" s="476">
        <f t="shared" si="104"/>
        <v>0</v>
      </c>
      <c r="AA620" s="422">
        <f t="shared" si="105"/>
        <v>45884.304166666669</v>
      </c>
      <c r="AB620" s="422">
        <f t="shared" si="106"/>
        <v>45814.256249999999</v>
      </c>
      <c r="AC620" s="476">
        <f t="shared" si="107"/>
        <v>3.2562499999985448</v>
      </c>
      <c r="AD620" s="476">
        <f t="shared" si="108"/>
        <v>70.047916666670062</v>
      </c>
      <c r="AE620" s="476">
        <f t="shared" si="109"/>
        <v>73.304166666668607</v>
      </c>
      <c r="AF620" s="476" t="b">
        <f>IFERROR(_xlfn.XLOOKUP(Table1[[#This Row],[Opportunity ID]],'Aging Detail'!$H$14:$H$20,'Aging Detail'!$F$14:$F$20),TRUE)</f>
        <v>1</v>
      </c>
    </row>
    <row r="621" spans="1:32">
      <c r="A621" t="s">
        <v>1461</v>
      </c>
      <c r="B621" t="s">
        <v>408</v>
      </c>
      <c r="C621" t="s">
        <v>1469</v>
      </c>
      <c r="D621" t="s">
        <v>2998</v>
      </c>
      <c r="E621" t="s">
        <v>2999</v>
      </c>
      <c r="I621" s="422">
        <v>45783</v>
      </c>
      <c r="J621" s="422">
        <v>45838</v>
      </c>
      <c r="L621">
        <v>0</v>
      </c>
      <c r="M621" t="s">
        <v>3000</v>
      </c>
      <c r="N621" t="s">
        <v>1625</v>
      </c>
      <c r="O621" t="str">
        <f>_xlfn.IFNA(VLOOKUP(Table1[[#This Row],[Lead Source]],'helper tab'!A:B,2,FALSE),"Exclude")</f>
        <v>Exclude</v>
      </c>
      <c r="P621" s="422">
        <f t="shared" si="99"/>
        <v>45813.540972222225</v>
      </c>
      <c r="Q621">
        <f t="shared" si="100"/>
        <v>0</v>
      </c>
      <c r="R621">
        <f t="shared" si="101"/>
        <v>0</v>
      </c>
      <c r="S621">
        <f>IF(
AND($Q621=1,$M621&lt;&gt;""),
IF(
COUNTIFS(
$M$3:$M621,$M621,
$O$3:$O621,$O621,
$Q$3:$Q621,1,
$P$3:$P621,"&gt;="&amp;EOMONTH($P621,-1)+1,
$P$3:$P621,"&lt;"&amp;EOMONTH($P621,0)+1
)=1,
1,
0),
0)</f>
        <v>0</v>
      </c>
      <c r="T621">
        <f>IF(AND($R621=1,$M621&lt;&gt;""),IF(COUNTIFS($M$3:$M621,$M621,$O$3:$O621,$O621,$R$3:$R621,1,$P$3:$P621,"&gt;="&amp;EOMONTH($P621,-1)+1,$P$3:$P621,"&lt;"&amp;EOMONTH($P621,0)+1)=1,1,0),0)</f>
        <v>0</v>
      </c>
      <c r="U621">
        <f t="shared" si="102"/>
        <v>1</v>
      </c>
      <c r="V621">
        <f>IF(AND($U621=1,$M621&lt;&gt;""),IF(COUNTIFS($M$3:$M621,$M621,$O$3:$O621,$O621,$U$3:$U621,1,$P$3:$P621,"&gt;="&amp;EOMONTH($P621,-1)+1,$P$3:$P621,"&lt;"&amp;EOMONTH($P621,0)+1)=1,1,0),0)</f>
        <v>1</v>
      </c>
      <c r="W621" s="444">
        <f ca="1">TODAY()-Table1[[#This Row],[Change Date]]</f>
        <v>444.45902777777519</v>
      </c>
      <c r="X621" s="422" t="str">
        <f t="shared" si="103"/>
        <v/>
      </c>
      <c r="Y621" s="476">
        <f ca="1">IF(Table1[[#This Row],[Next Stage Date]]&lt;&gt;"",Table1[[#This Row],[Next Stage Date]]-Table1[[#This Row],[Change Date]],TODAY()-Table1[[#This Row],[Change Date]])</f>
        <v>444.45902777777519</v>
      </c>
      <c r="Z621" s="476">
        <f t="shared" si="104"/>
        <v>1</v>
      </c>
      <c r="AA621" s="422" t="str">
        <f t="shared" si="105"/>
        <v/>
      </c>
      <c r="AB621" s="422" t="str">
        <f t="shared" si="106"/>
        <v/>
      </c>
      <c r="AC621" s="476" t="str">
        <f t="shared" si="107"/>
        <v/>
      </c>
      <c r="AD621" s="476" t="str">
        <f t="shared" si="108"/>
        <v/>
      </c>
      <c r="AE621" s="476" t="str">
        <f t="shared" si="109"/>
        <v/>
      </c>
      <c r="AF621" s="476" t="b">
        <f>IFERROR(_xlfn.XLOOKUP(Table1[[#This Row],[Opportunity ID]],'Aging Detail'!$H$14:$H$20,'Aging Detail'!$F$14:$F$20),TRUE)</f>
        <v>1</v>
      </c>
    </row>
    <row r="622" spans="1:32">
      <c r="A622" t="s">
        <v>1461</v>
      </c>
      <c r="B622" t="s">
        <v>338</v>
      </c>
      <c r="C622" t="s">
        <v>462</v>
      </c>
      <c r="D622" t="s">
        <v>3001</v>
      </c>
      <c r="E622" t="s">
        <v>2757</v>
      </c>
      <c r="I622" s="422">
        <v>45798</v>
      </c>
      <c r="J622" s="422">
        <v>45869</v>
      </c>
      <c r="K622">
        <v>4050</v>
      </c>
      <c r="L622">
        <v>0</v>
      </c>
      <c r="M622" t="s">
        <v>2758</v>
      </c>
      <c r="N622" t="s">
        <v>1908</v>
      </c>
      <c r="O622" t="str">
        <f>_xlfn.IFNA(VLOOKUP(Table1[[#This Row],[Lead Source]],'helper tab'!A:B,2,FALSE),"Exclude")</f>
        <v>Exclude</v>
      </c>
      <c r="P622" s="422">
        <f t="shared" si="99"/>
        <v>45813.226388888892</v>
      </c>
      <c r="Q622">
        <f t="shared" si="100"/>
        <v>1</v>
      </c>
      <c r="R622">
        <f t="shared" si="101"/>
        <v>0</v>
      </c>
      <c r="S622">
        <f>IF(
AND($Q622=1,$M622&lt;&gt;""),
IF(
COUNTIFS(
$M$3:$M622,$M622,
$O$3:$O622,$O622,
$Q$3:$Q622,1,
$P$3:$P622,"&gt;="&amp;EOMONTH($P622,-1)+1,
$P$3:$P622,"&lt;"&amp;EOMONTH($P622,0)+1
)=1,
1,
0),
0)</f>
        <v>1</v>
      </c>
      <c r="T622">
        <f>IF(AND($R622=1,$M622&lt;&gt;""),IF(COUNTIFS($M$3:$M622,$M622,$O$3:$O622,$O622,$R$3:$R622,1,$P$3:$P622,"&gt;="&amp;EOMONTH($P622,-1)+1,$P$3:$P622,"&lt;"&amp;EOMONTH($P622,0)+1)=1,1,0),0)</f>
        <v>0</v>
      </c>
      <c r="U622">
        <f t="shared" si="102"/>
        <v>0</v>
      </c>
      <c r="V622">
        <f>IF(AND($U622=1,$M622&lt;&gt;""),IF(COUNTIFS($M$3:$M622,$M622,$O$3:$O622,$O622,$U$3:$U622,1,$P$3:$P622,"&gt;="&amp;EOMONTH($P622,-1)+1,$P$3:$P622,"&lt;"&amp;EOMONTH($P622,0)+1)=1,1,0),0)</f>
        <v>0</v>
      </c>
      <c r="W622" s="444">
        <f ca="1">TODAY()-Table1[[#This Row],[Change Date]]</f>
        <v>444.77361111110804</v>
      </c>
      <c r="X622" s="422">
        <f t="shared" si="103"/>
        <v>45909.32916666667</v>
      </c>
      <c r="Y622" s="476">
        <f ca="1">IF(Table1[[#This Row],[Next Stage Date]]&lt;&gt;"",Table1[[#This Row],[Next Stage Date]]-Table1[[#This Row],[Change Date]],TODAY()-Table1[[#This Row],[Change Date]])</f>
        <v>96.102777777778101</v>
      </c>
      <c r="Z622" s="476">
        <f t="shared" si="104"/>
        <v>0</v>
      </c>
      <c r="AA622" s="422">
        <f t="shared" si="105"/>
        <v>45909.32916666667</v>
      </c>
      <c r="AB622" s="422">
        <f t="shared" si="106"/>
        <v>45813.226388888892</v>
      </c>
      <c r="AC622" s="476">
        <f t="shared" si="107"/>
        <v>15.226388888891961</v>
      </c>
      <c r="AD622" s="476">
        <f t="shared" si="108"/>
        <v>96.102777777778101</v>
      </c>
      <c r="AE622" s="476">
        <f t="shared" si="109"/>
        <v>111.32916666667006</v>
      </c>
      <c r="AF622" s="476" t="b">
        <f>IFERROR(_xlfn.XLOOKUP(Table1[[#This Row],[Opportunity ID]],'Aging Detail'!$H$14:$H$20,'Aging Detail'!$F$14:$F$20),TRUE)</f>
        <v>1</v>
      </c>
    </row>
    <row r="623" spans="1:32">
      <c r="A623" t="s">
        <v>1461</v>
      </c>
      <c r="B623" t="s">
        <v>1462</v>
      </c>
      <c r="C623" t="s">
        <v>462</v>
      </c>
      <c r="D623" t="s">
        <v>3002</v>
      </c>
      <c r="E623" t="s">
        <v>2482</v>
      </c>
      <c r="F623" t="s">
        <v>1471</v>
      </c>
      <c r="I623" s="422">
        <v>45684</v>
      </c>
      <c r="J623" s="422">
        <v>45979</v>
      </c>
      <c r="K623">
        <v>157200</v>
      </c>
      <c r="L623">
        <v>107200</v>
      </c>
      <c r="M623" t="s">
        <v>2483</v>
      </c>
      <c r="N623" t="s">
        <v>1684</v>
      </c>
      <c r="O623" t="str">
        <f>_xlfn.IFNA(VLOOKUP(Table1[[#This Row],[Lead Source]],'helper tab'!A:B,2,FALSE),"Exclude")</f>
        <v>Digital</v>
      </c>
      <c r="P623" s="422">
        <f t="shared" si="99"/>
        <v>45812.451388888891</v>
      </c>
      <c r="Q623">
        <f t="shared" si="100"/>
        <v>1</v>
      </c>
      <c r="R623">
        <f t="shared" si="101"/>
        <v>0</v>
      </c>
      <c r="S623">
        <f>IF(
AND($Q623=1,$M623&lt;&gt;""),
IF(
COUNTIFS(
$M$3:$M623,$M623,
$O$3:$O623,$O623,
$Q$3:$Q623,1,
$P$3:$P623,"&gt;="&amp;EOMONTH($P623,-1)+1,
$P$3:$P623,"&lt;"&amp;EOMONTH($P623,0)+1
)=1,
1,
0),
0)</f>
        <v>1</v>
      </c>
      <c r="T623">
        <f>IF(AND($R623=1,$M623&lt;&gt;""),IF(COUNTIFS($M$3:$M623,$M623,$O$3:$O623,$O623,$R$3:$R623,1,$P$3:$P623,"&gt;="&amp;EOMONTH($P623,-1)+1,$P$3:$P623,"&lt;"&amp;EOMONTH($P623,0)+1)=1,1,0),0)</f>
        <v>0</v>
      </c>
      <c r="U623">
        <f t="shared" si="102"/>
        <v>0</v>
      </c>
      <c r="V623">
        <f>IF(AND($U623=1,$M623&lt;&gt;""),IF(COUNTIFS($M$3:$M623,$M623,$O$3:$O623,$O623,$U$3:$U623,1,$P$3:$P623,"&gt;="&amp;EOMONTH($P623,-1)+1,$P$3:$P623,"&lt;"&amp;EOMONTH($P623,0)+1)=1,1,0),0)</f>
        <v>0</v>
      </c>
      <c r="W623" s="444">
        <f ca="1">TODAY()-Table1[[#This Row],[Change Date]]</f>
        <v>445.54861111110949</v>
      </c>
      <c r="X623" s="422">
        <f t="shared" si="103"/>
        <v>45911.276388888888</v>
      </c>
      <c r="Y623" s="476">
        <f ca="1">IF(Table1[[#This Row],[Next Stage Date]]&lt;&gt;"",Table1[[#This Row],[Next Stage Date]]-Table1[[#This Row],[Change Date]],TODAY()-Table1[[#This Row],[Change Date]])</f>
        <v>98.82499999999709</v>
      </c>
      <c r="Z623" s="476">
        <f t="shared" si="104"/>
        <v>0</v>
      </c>
      <c r="AA623" s="422">
        <f t="shared" si="105"/>
        <v>45980.333333333336</v>
      </c>
      <c r="AB623" s="422">
        <f t="shared" si="106"/>
        <v>45812.451388888891</v>
      </c>
      <c r="AC623" s="476">
        <f t="shared" si="107"/>
        <v>128.45138888889051</v>
      </c>
      <c r="AD623" s="476">
        <f t="shared" si="108"/>
        <v>167.88194444444525</v>
      </c>
      <c r="AE623" s="476">
        <f t="shared" si="109"/>
        <v>296.33333333333576</v>
      </c>
      <c r="AF623" s="476" t="b">
        <f>IFERROR(_xlfn.XLOOKUP(Table1[[#This Row],[Opportunity ID]],'Aging Detail'!$H$14:$H$20,'Aging Detail'!$F$14:$F$20),TRUE)</f>
        <v>1</v>
      </c>
    </row>
    <row r="624" spans="1:32">
      <c r="A624" t="s">
        <v>1461</v>
      </c>
      <c r="B624" t="s">
        <v>408</v>
      </c>
      <c r="C624" t="s">
        <v>1469</v>
      </c>
      <c r="D624" t="s">
        <v>3003</v>
      </c>
      <c r="E624" t="s">
        <v>3004</v>
      </c>
      <c r="F624" t="s">
        <v>1486</v>
      </c>
      <c r="I624" s="422">
        <v>45054</v>
      </c>
      <c r="J624" s="422">
        <v>46022</v>
      </c>
      <c r="K624">
        <v>50000</v>
      </c>
      <c r="L624">
        <v>50000</v>
      </c>
      <c r="M624" t="s">
        <v>3005</v>
      </c>
      <c r="N624" t="s">
        <v>3006</v>
      </c>
      <c r="O624" t="str">
        <f>_xlfn.IFNA(VLOOKUP(Table1[[#This Row],[Lead Source]],'helper tab'!A:B,2,FALSE),"Exclude")</f>
        <v>Exclude</v>
      </c>
      <c r="P624" s="422">
        <f t="shared" si="99"/>
        <v>45812.373611111114</v>
      </c>
      <c r="Q624">
        <f t="shared" si="100"/>
        <v>0</v>
      </c>
      <c r="R624">
        <f t="shared" si="101"/>
        <v>0</v>
      </c>
      <c r="S624">
        <f>IF(
AND($Q624=1,$M624&lt;&gt;""),
IF(
COUNTIFS(
$M$3:$M624,$M624,
$O$3:$O624,$O624,
$Q$3:$Q624,1,
$P$3:$P624,"&gt;="&amp;EOMONTH($P624,-1)+1,
$P$3:$P624,"&lt;"&amp;EOMONTH($P624,0)+1
)=1,
1,
0),
0)</f>
        <v>0</v>
      </c>
      <c r="T624">
        <f>IF(AND($R624=1,$M624&lt;&gt;""),IF(COUNTIFS($M$3:$M624,$M624,$O$3:$O624,$O624,$R$3:$R624,1,$P$3:$P624,"&gt;="&amp;EOMONTH($P624,-1)+1,$P$3:$P624,"&lt;"&amp;EOMONTH($P624,0)+1)=1,1,0),0)</f>
        <v>0</v>
      </c>
      <c r="U624">
        <f t="shared" si="102"/>
        <v>1</v>
      </c>
      <c r="V624">
        <f>IF(AND($U624=1,$M624&lt;&gt;""),IF(COUNTIFS($M$3:$M624,$M624,$O$3:$O624,$O624,$U$3:$U624,1,$P$3:$P624,"&gt;="&amp;EOMONTH($P624,-1)+1,$P$3:$P624,"&lt;"&amp;EOMONTH($P624,0)+1)=1,1,0),0)</f>
        <v>1</v>
      </c>
      <c r="W624" s="444">
        <f ca="1">TODAY()-Table1[[#This Row],[Change Date]]</f>
        <v>445.62638888888614</v>
      </c>
      <c r="X624" s="422" t="str">
        <f t="shared" si="103"/>
        <v/>
      </c>
      <c r="Y624" s="476">
        <f ca="1">IF(Table1[[#This Row],[Next Stage Date]]&lt;&gt;"",Table1[[#This Row],[Next Stage Date]]-Table1[[#This Row],[Change Date]],TODAY()-Table1[[#This Row],[Change Date]])</f>
        <v>445.62638888888614</v>
      </c>
      <c r="Z624" s="476">
        <f t="shared" si="104"/>
        <v>1</v>
      </c>
      <c r="AA624" s="422" t="str">
        <f t="shared" si="105"/>
        <v/>
      </c>
      <c r="AB624" s="422" t="str">
        <f t="shared" si="106"/>
        <v/>
      </c>
      <c r="AC624" s="476" t="str">
        <f t="shared" si="107"/>
        <v/>
      </c>
      <c r="AD624" s="476" t="str">
        <f t="shared" si="108"/>
        <v/>
      </c>
      <c r="AE624" s="476" t="str">
        <f t="shared" si="109"/>
        <v/>
      </c>
      <c r="AF624" s="476" t="b">
        <f>IFERROR(_xlfn.XLOOKUP(Table1[[#This Row],[Opportunity ID]],'Aging Detail'!$H$14:$H$20,'Aging Detail'!$F$14:$F$20),TRUE)</f>
        <v>1</v>
      </c>
    </row>
    <row r="625" spans="1:32">
      <c r="A625" t="s">
        <v>1461</v>
      </c>
      <c r="B625" t="s">
        <v>462</v>
      </c>
      <c r="C625" t="s">
        <v>563</v>
      </c>
      <c r="D625" t="s">
        <v>3007</v>
      </c>
      <c r="E625" t="s">
        <v>3008</v>
      </c>
      <c r="I625" s="422">
        <v>45684</v>
      </c>
      <c r="J625" s="422">
        <v>45812</v>
      </c>
      <c r="K625">
        <v>125100</v>
      </c>
      <c r="L625">
        <v>16700</v>
      </c>
      <c r="M625" t="s">
        <v>3009</v>
      </c>
      <c r="N625" t="s">
        <v>1549</v>
      </c>
      <c r="O625" t="str">
        <f>_xlfn.IFNA(VLOOKUP(Table1[[#This Row],[Lead Source]],'helper tab'!A:B,2,FALSE),"Exclude")</f>
        <v>Exclude</v>
      </c>
      <c r="P625" s="422">
        <f t="shared" si="99"/>
        <v>45812.318749999999</v>
      </c>
      <c r="Q625">
        <f t="shared" si="100"/>
        <v>0</v>
      </c>
      <c r="R625">
        <f t="shared" si="101"/>
        <v>1</v>
      </c>
      <c r="S625">
        <f>IF(
AND($Q625=1,$M625&lt;&gt;""),
IF(
COUNTIFS(
$M$3:$M625,$M625,
$O$3:$O625,$O625,
$Q$3:$Q625,1,
$P$3:$P625,"&gt;="&amp;EOMONTH($P625,-1)+1,
$P$3:$P625,"&lt;"&amp;EOMONTH($P625,0)+1
)=1,
1,
0),
0)</f>
        <v>0</v>
      </c>
      <c r="T625">
        <f>IF(AND($R625=1,$M625&lt;&gt;""),IF(COUNTIFS($M$3:$M625,$M625,$O$3:$O625,$O625,$R$3:$R625,1,$P$3:$P625,"&gt;="&amp;EOMONTH($P625,-1)+1,$P$3:$P625,"&lt;"&amp;EOMONTH($P625,0)+1)=1,1,0),0)</f>
        <v>1</v>
      </c>
      <c r="U625">
        <f t="shared" si="102"/>
        <v>0</v>
      </c>
      <c r="V625">
        <f>IF(AND($U625=1,$M625&lt;&gt;""),IF(COUNTIFS($M$3:$M625,$M625,$O$3:$O625,$O625,$U$3:$U625,1,$P$3:$P625,"&gt;="&amp;EOMONTH($P625,-1)+1,$P$3:$P625,"&lt;"&amp;EOMONTH($P625,0)+1)=1,1,0),0)</f>
        <v>0</v>
      </c>
      <c r="W625" s="444">
        <f ca="1">TODAY()-Table1[[#This Row],[Change Date]]</f>
        <v>445.68125000000146</v>
      </c>
      <c r="X625" s="422" t="str">
        <f t="shared" si="103"/>
        <v/>
      </c>
      <c r="Y625" s="476">
        <f ca="1">IF(Table1[[#This Row],[Next Stage Date]]&lt;&gt;"",Table1[[#This Row],[Next Stage Date]]-Table1[[#This Row],[Change Date]],TODAY()-Table1[[#This Row],[Change Date]])</f>
        <v>445.68125000000146</v>
      </c>
      <c r="Z625" s="476">
        <f t="shared" si="104"/>
        <v>1</v>
      </c>
      <c r="AA625" s="422">
        <f t="shared" si="105"/>
        <v>45812.318749999999</v>
      </c>
      <c r="AB625" s="422">
        <f t="shared" si="106"/>
        <v>45811.379861111112</v>
      </c>
      <c r="AC625" s="476">
        <f t="shared" si="107"/>
        <v>127.3798611111124</v>
      </c>
      <c r="AD625" s="476">
        <f t="shared" si="108"/>
        <v>0.93888888888614019</v>
      </c>
      <c r="AE625" s="476">
        <f t="shared" si="109"/>
        <v>128.31874999999854</v>
      </c>
      <c r="AF625" s="476" t="b">
        <f>IFERROR(_xlfn.XLOOKUP(Table1[[#This Row],[Opportunity ID]],'Aging Detail'!$H$14:$H$20,'Aging Detail'!$F$14:$F$20),TRUE)</f>
        <v>1</v>
      </c>
    </row>
    <row r="626" spans="1:32">
      <c r="A626" t="s">
        <v>1461</v>
      </c>
      <c r="B626" t="s">
        <v>1462</v>
      </c>
      <c r="C626" t="s">
        <v>462</v>
      </c>
      <c r="D626" t="s">
        <v>3010</v>
      </c>
      <c r="E626" t="s">
        <v>3008</v>
      </c>
      <c r="I626" s="422">
        <v>45684</v>
      </c>
      <c r="J626" s="422">
        <v>45812</v>
      </c>
      <c r="K626">
        <v>125100</v>
      </c>
      <c r="L626">
        <v>16700</v>
      </c>
      <c r="M626" t="s">
        <v>3009</v>
      </c>
      <c r="N626" t="s">
        <v>1549</v>
      </c>
      <c r="O626" t="str">
        <f>_xlfn.IFNA(VLOOKUP(Table1[[#This Row],[Lead Source]],'helper tab'!A:B,2,FALSE),"Exclude")</f>
        <v>Exclude</v>
      </c>
      <c r="P626" s="422">
        <f t="shared" si="99"/>
        <v>45811.379861111112</v>
      </c>
      <c r="Q626">
        <f t="shared" si="100"/>
        <v>1</v>
      </c>
      <c r="R626">
        <f t="shared" si="101"/>
        <v>0</v>
      </c>
      <c r="S626">
        <f>IF(
AND($Q626=1,$M626&lt;&gt;""),
IF(
COUNTIFS(
$M$3:$M626,$M626,
$O$3:$O626,$O626,
$Q$3:$Q626,1,
$P$3:$P626,"&gt;="&amp;EOMONTH($P626,-1)+1,
$P$3:$P626,"&lt;"&amp;EOMONTH($P626,0)+1
)=1,
1,
0),
0)</f>
        <v>1</v>
      </c>
      <c r="T626">
        <f>IF(AND($R626=1,$M626&lt;&gt;""),IF(COUNTIFS($M$3:$M626,$M626,$O$3:$O626,$O626,$R$3:$R626,1,$P$3:$P626,"&gt;="&amp;EOMONTH($P626,-1)+1,$P$3:$P626,"&lt;"&amp;EOMONTH($P626,0)+1)=1,1,0),0)</f>
        <v>0</v>
      </c>
      <c r="U626">
        <f t="shared" si="102"/>
        <v>0</v>
      </c>
      <c r="V626">
        <f>IF(AND($U626=1,$M626&lt;&gt;""),IF(COUNTIFS($M$3:$M626,$M626,$O$3:$O626,$O626,$U$3:$U626,1,$P$3:$P626,"&gt;="&amp;EOMONTH($P626,-1)+1,$P$3:$P626,"&lt;"&amp;EOMONTH($P626,0)+1)=1,1,0),0)</f>
        <v>0</v>
      </c>
      <c r="W626" s="444">
        <f ca="1">TODAY()-Table1[[#This Row],[Change Date]]</f>
        <v>446.6201388888876</v>
      </c>
      <c r="X626" s="422">
        <f t="shared" si="103"/>
        <v>45812.318749999999</v>
      </c>
      <c r="Y626" s="476">
        <f ca="1">IF(Table1[[#This Row],[Next Stage Date]]&lt;&gt;"",Table1[[#This Row],[Next Stage Date]]-Table1[[#This Row],[Change Date]],TODAY()-Table1[[#This Row],[Change Date]])</f>
        <v>0.93888888888614019</v>
      </c>
      <c r="Z626" s="476">
        <f t="shared" si="104"/>
        <v>0</v>
      </c>
      <c r="AA626" s="422">
        <f t="shared" si="105"/>
        <v>45812.318749999999</v>
      </c>
      <c r="AB626" s="422">
        <f t="shared" si="106"/>
        <v>45811.379861111112</v>
      </c>
      <c r="AC626" s="476">
        <f t="shared" si="107"/>
        <v>127.3798611111124</v>
      </c>
      <c r="AD626" s="476">
        <f t="shared" si="108"/>
        <v>0.93888888888614019</v>
      </c>
      <c r="AE626" s="476">
        <f t="shared" si="109"/>
        <v>128.31874999999854</v>
      </c>
      <c r="AF626" s="476" t="b">
        <f>IFERROR(_xlfn.XLOOKUP(Table1[[#This Row],[Opportunity ID]],'Aging Detail'!$H$14:$H$20,'Aging Detail'!$F$14:$F$20),TRUE)</f>
        <v>1</v>
      </c>
    </row>
    <row r="627" spans="1:32">
      <c r="A627" t="s">
        <v>1461</v>
      </c>
      <c r="B627" t="s">
        <v>526</v>
      </c>
      <c r="C627" t="s">
        <v>563</v>
      </c>
      <c r="D627" t="s">
        <v>3011</v>
      </c>
      <c r="E627" t="s">
        <v>3012</v>
      </c>
      <c r="F627" t="s">
        <v>148</v>
      </c>
      <c r="I627" s="422">
        <v>45554</v>
      </c>
      <c r="J627" s="422">
        <v>45811</v>
      </c>
      <c r="K627">
        <v>50000</v>
      </c>
      <c r="L627">
        <v>50000</v>
      </c>
      <c r="M627" t="s">
        <v>3013</v>
      </c>
      <c r="N627" t="s">
        <v>1752</v>
      </c>
      <c r="O627" t="str">
        <f>_xlfn.IFNA(VLOOKUP(Table1[[#This Row],[Lead Source]],'helper tab'!A:B,2,FALSE),"Exclude")</f>
        <v>Alliances</v>
      </c>
      <c r="P627" s="422">
        <f t="shared" si="99"/>
        <v>45811.305555555555</v>
      </c>
      <c r="Q627">
        <f t="shared" si="100"/>
        <v>0</v>
      </c>
      <c r="R627">
        <f t="shared" si="101"/>
        <v>1</v>
      </c>
      <c r="S627">
        <f>IF(
AND($Q627=1,$M627&lt;&gt;""),
IF(
COUNTIFS(
$M$3:$M627,$M627,
$O$3:$O627,$O627,
$Q$3:$Q627,1,
$P$3:$P627,"&gt;="&amp;EOMONTH($P627,-1)+1,
$P$3:$P627,"&lt;"&amp;EOMONTH($P627,0)+1
)=1,
1,
0),
0)</f>
        <v>0</v>
      </c>
      <c r="T627">
        <f>IF(AND($R627=1,$M627&lt;&gt;""),IF(COUNTIFS($M$3:$M627,$M627,$O$3:$O627,$O627,$R$3:$R627,1,$P$3:$P627,"&gt;="&amp;EOMONTH($P627,-1)+1,$P$3:$P627,"&lt;"&amp;EOMONTH($P627,0)+1)=1,1,0),0)</f>
        <v>1</v>
      </c>
      <c r="U627">
        <f t="shared" si="102"/>
        <v>0</v>
      </c>
      <c r="V627">
        <f>IF(AND($U627=1,$M627&lt;&gt;""),IF(COUNTIFS($M$3:$M627,$M627,$O$3:$O627,$O627,$U$3:$U627,1,$P$3:$P627,"&gt;="&amp;EOMONTH($P627,-1)+1,$P$3:$P627,"&lt;"&amp;EOMONTH($P627,0)+1)=1,1,0),0)</f>
        <v>0</v>
      </c>
      <c r="W627" s="444">
        <f ca="1">TODAY()-Table1[[#This Row],[Change Date]]</f>
        <v>446.69444444444525</v>
      </c>
      <c r="X627" s="422" t="str">
        <f t="shared" si="103"/>
        <v/>
      </c>
      <c r="Y627" s="476">
        <f ca="1">IF(Table1[[#This Row],[Next Stage Date]]&lt;&gt;"",Table1[[#This Row],[Next Stage Date]]-Table1[[#This Row],[Change Date]],TODAY()-Table1[[#This Row],[Change Date]])</f>
        <v>446.69444444444525</v>
      </c>
      <c r="Z627" s="476">
        <f t="shared" si="104"/>
        <v>1</v>
      </c>
      <c r="AA627" s="422">
        <f t="shared" si="105"/>
        <v>45811.305555555555</v>
      </c>
      <c r="AB627" s="422">
        <f t="shared" si="106"/>
        <v>45744.474305555559</v>
      </c>
      <c r="AC627" s="476">
        <f t="shared" si="107"/>
        <v>190.47430555555911</v>
      </c>
      <c r="AD627" s="476">
        <f t="shared" si="108"/>
        <v>66.831249999995634</v>
      </c>
      <c r="AE627" s="476">
        <f t="shared" si="109"/>
        <v>257.30555555555475</v>
      </c>
      <c r="AF627" s="476" t="b">
        <f>IFERROR(_xlfn.XLOOKUP(Table1[[#This Row],[Opportunity ID]],'Aging Detail'!$H$14:$H$20,'Aging Detail'!$F$14:$F$20),TRUE)</f>
        <v>1</v>
      </c>
    </row>
    <row r="628" spans="1:32">
      <c r="A628" t="s">
        <v>1461</v>
      </c>
      <c r="B628" t="s">
        <v>408</v>
      </c>
      <c r="C628" t="s">
        <v>1469</v>
      </c>
      <c r="D628" t="s">
        <v>3014</v>
      </c>
      <c r="E628" t="s">
        <v>3015</v>
      </c>
      <c r="F628" t="s">
        <v>1485</v>
      </c>
      <c r="I628" s="422">
        <v>45324</v>
      </c>
      <c r="J628" s="422">
        <v>46022</v>
      </c>
      <c r="K628">
        <v>0</v>
      </c>
      <c r="L628">
        <v>0</v>
      </c>
      <c r="M628" t="s">
        <v>3016</v>
      </c>
      <c r="N628" t="s">
        <v>2148</v>
      </c>
      <c r="O628" t="str">
        <f>_xlfn.IFNA(VLOOKUP(Table1[[#This Row],[Lead Source]],'helper tab'!A:B,2,FALSE),"Exclude")</f>
        <v>Digital</v>
      </c>
      <c r="P628" s="422">
        <f t="shared" si="99"/>
        <v>45807.540277777778</v>
      </c>
      <c r="Q628">
        <f t="shared" si="100"/>
        <v>0</v>
      </c>
      <c r="R628">
        <f t="shared" si="101"/>
        <v>0</v>
      </c>
      <c r="S628">
        <f>IF(
AND($Q628=1,$M628&lt;&gt;""),
IF(
COUNTIFS(
$M$3:$M628,$M628,
$O$3:$O628,$O628,
$Q$3:$Q628,1,
$P$3:$P628,"&gt;="&amp;EOMONTH($P628,-1)+1,
$P$3:$P628,"&lt;"&amp;EOMONTH($P628,0)+1
)=1,
1,
0),
0)</f>
        <v>0</v>
      </c>
      <c r="T628">
        <f>IF(AND($R628=1,$M628&lt;&gt;""),IF(COUNTIFS($M$3:$M628,$M628,$O$3:$O628,$O628,$R$3:$R628,1,$P$3:$P628,"&gt;="&amp;EOMONTH($P628,-1)+1,$P$3:$P628,"&lt;"&amp;EOMONTH($P628,0)+1)=1,1,0),0)</f>
        <v>0</v>
      </c>
      <c r="U628">
        <f t="shared" si="102"/>
        <v>1</v>
      </c>
      <c r="V628">
        <f>IF(AND($U628=1,$M628&lt;&gt;""),IF(COUNTIFS($M$3:$M628,$M628,$O$3:$O628,$O628,$U$3:$U628,1,$P$3:$P628,"&gt;="&amp;EOMONTH($P628,-1)+1,$P$3:$P628,"&lt;"&amp;EOMONTH($P628,0)+1)=1,1,0),0)</f>
        <v>1</v>
      </c>
      <c r="W628" s="444">
        <f ca="1">TODAY()-Table1[[#This Row],[Change Date]]</f>
        <v>450.4597222222219</v>
      </c>
      <c r="X628" s="422" t="str">
        <f t="shared" si="103"/>
        <v/>
      </c>
      <c r="Y628" s="476">
        <f ca="1">IF(Table1[[#This Row],[Next Stage Date]]&lt;&gt;"",Table1[[#This Row],[Next Stage Date]]-Table1[[#This Row],[Change Date]],TODAY()-Table1[[#This Row],[Change Date]])</f>
        <v>450.4597222222219</v>
      </c>
      <c r="Z628" s="476">
        <f t="shared" si="104"/>
        <v>1</v>
      </c>
      <c r="AA628" s="422" t="str">
        <f t="shared" si="105"/>
        <v/>
      </c>
      <c r="AB628" s="422" t="str">
        <f t="shared" si="106"/>
        <v/>
      </c>
      <c r="AC628" s="476" t="str">
        <f t="shared" si="107"/>
        <v/>
      </c>
      <c r="AD628" s="476" t="str">
        <f t="shared" si="108"/>
        <v/>
      </c>
      <c r="AE628" s="476" t="str">
        <f t="shared" si="109"/>
        <v/>
      </c>
      <c r="AF628" s="476" t="b">
        <f>IFERROR(_xlfn.XLOOKUP(Table1[[#This Row],[Opportunity ID]],'Aging Detail'!$H$14:$H$20,'Aging Detail'!$F$14:$F$20),TRUE)</f>
        <v>1</v>
      </c>
    </row>
    <row r="629" spans="1:32">
      <c r="A629" t="s">
        <v>1461</v>
      </c>
      <c r="B629" t="s">
        <v>1462</v>
      </c>
      <c r="C629" t="s">
        <v>563</v>
      </c>
      <c r="D629" t="s">
        <v>3017</v>
      </c>
      <c r="E629" t="s">
        <v>3018</v>
      </c>
      <c r="I629" s="422">
        <v>45590</v>
      </c>
      <c r="J629" s="422">
        <v>45807</v>
      </c>
      <c r="K629">
        <v>30000</v>
      </c>
      <c r="L629">
        <v>0</v>
      </c>
      <c r="M629" t="s">
        <v>3019</v>
      </c>
      <c r="N629" t="s">
        <v>1642</v>
      </c>
      <c r="O629" t="str">
        <f>_xlfn.IFNA(VLOOKUP(Table1[[#This Row],[Lead Source]],'helper tab'!A:B,2,FALSE),"Exclude")</f>
        <v>Exclude</v>
      </c>
      <c r="P629" s="422">
        <f t="shared" si="99"/>
        <v>45807.470833333333</v>
      </c>
      <c r="Q629">
        <f t="shared" si="100"/>
        <v>0</v>
      </c>
      <c r="R629">
        <f t="shared" si="101"/>
        <v>1</v>
      </c>
      <c r="S629">
        <f>IF(
AND($Q629=1,$M629&lt;&gt;""),
IF(
COUNTIFS(
$M$3:$M629,$M629,
$O$3:$O629,$O629,
$Q$3:$Q629,1,
$P$3:$P629,"&gt;="&amp;EOMONTH($P629,-1)+1,
$P$3:$P629,"&lt;"&amp;EOMONTH($P629,0)+1
)=1,
1,
0),
0)</f>
        <v>0</v>
      </c>
      <c r="T629">
        <f>IF(AND($R629=1,$M629&lt;&gt;""),IF(COUNTIFS($M$3:$M629,$M629,$O$3:$O629,$O629,$R$3:$R629,1,$P$3:$P629,"&gt;="&amp;EOMONTH($P629,-1)+1,$P$3:$P629,"&lt;"&amp;EOMONTH($P629,0)+1)=1,1,0),0)</f>
        <v>1</v>
      </c>
      <c r="U629">
        <f t="shared" si="102"/>
        <v>0</v>
      </c>
      <c r="V629">
        <f>IF(AND($U629=1,$M629&lt;&gt;""),IF(COUNTIFS($M$3:$M629,$M629,$O$3:$O629,$O629,$U$3:$U629,1,$P$3:$P629,"&gt;="&amp;EOMONTH($P629,-1)+1,$P$3:$P629,"&lt;"&amp;EOMONTH($P629,0)+1)=1,1,0),0)</f>
        <v>0</v>
      </c>
      <c r="W629" s="444">
        <f ca="1">TODAY()-Table1[[#This Row],[Change Date]]</f>
        <v>450.52916666666715</v>
      </c>
      <c r="X629" s="422" t="str">
        <f t="shared" si="103"/>
        <v/>
      </c>
      <c r="Y629" s="476">
        <f ca="1">IF(Table1[[#This Row],[Next Stage Date]]&lt;&gt;"",Table1[[#This Row],[Next Stage Date]]-Table1[[#This Row],[Change Date]],TODAY()-Table1[[#This Row],[Change Date]])</f>
        <v>450.52916666666715</v>
      </c>
      <c r="Z629" s="476">
        <f t="shared" si="104"/>
        <v>1</v>
      </c>
      <c r="AA629" s="422">
        <f t="shared" si="105"/>
        <v>45807.470833333333</v>
      </c>
      <c r="AB629" s="422" t="str">
        <f t="shared" si="106"/>
        <v/>
      </c>
      <c r="AC629" s="476" t="str">
        <f t="shared" si="107"/>
        <v/>
      </c>
      <c r="AD629" s="476" t="str">
        <f t="shared" si="108"/>
        <v/>
      </c>
      <c r="AE629" s="476">
        <f t="shared" si="109"/>
        <v>217.47083333333285</v>
      </c>
      <c r="AF629" s="476" t="b">
        <f>IFERROR(_xlfn.XLOOKUP(Table1[[#This Row],[Opportunity ID]],'Aging Detail'!$H$14:$H$20,'Aging Detail'!$F$14:$F$20),TRUE)</f>
        <v>1</v>
      </c>
    </row>
    <row r="630" spans="1:32">
      <c r="A630" t="s">
        <v>1461</v>
      </c>
      <c r="B630" t="s">
        <v>462</v>
      </c>
      <c r="C630" t="s">
        <v>526</v>
      </c>
      <c r="D630" t="s">
        <v>3020</v>
      </c>
      <c r="E630" t="s">
        <v>566</v>
      </c>
      <c r="F630" t="s">
        <v>202</v>
      </c>
      <c r="I630" s="422">
        <v>45716</v>
      </c>
      <c r="J630" s="422">
        <v>45859</v>
      </c>
      <c r="K630">
        <v>249200</v>
      </c>
      <c r="L630">
        <v>79200</v>
      </c>
      <c r="M630" t="s">
        <v>2897</v>
      </c>
      <c r="N630" t="s">
        <v>566</v>
      </c>
      <c r="O630" t="str">
        <f>_xlfn.IFNA(VLOOKUP(Table1[[#This Row],[Lead Source]],'helper tab'!A:B,2,FALSE),"Exclude")</f>
        <v>Digital</v>
      </c>
      <c r="P630" s="422">
        <f t="shared" si="99"/>
        <v>45807.377083333333</v>
      </c>
      <c r="Q630">
        <f t="shared" si="100"/>
        <v>1</v>
      </c>
      <c r="R630">
        <f t="shared" si="101"/>
        <v>0</v>
      </c>
      <c r="S630">
        <f>IF(
AND($Q630=1,$M630&lt;&gt;""),
IF(
COUNTIFS(
$M$3:$M630,$M630,
$O$3:$O630,$O630,
$Q$3:$Q630,1,
$P$3:$P630,"&gt;="&amp;EOMONTH($P630,-1)+1,
$P$3:$P630,"&lt;"&amp;EOMONTH($P630,0)+1
)=1,
1,
0),
0)</f>
        <v>1</v>
      </c>
      <c r="T630">
        <f>IF(AND($R630=1,$M630&lt;&gt;""),IF(COUNTIFS($M$3:$M630,$M630,$O$3:$O630,$O630,$R$3:$R630,1,$P$3:$P630,"&gt;="&amp;EOMONTH($P630,-1)+1,$P$3:$P630,"&lt;"&amp;EOMONTH($P630,0)+1)=1,1,0),0)</f>
        <v>0</v>
      </c>
      <c r="U630">
        <f t="shared" si="102"/>
        <v>0</v>
      </c>
      <c r="V630">
        <f>IF(AND($U630=1,$M630&lt;&gt;""),IF(COUNTIFS($M$3:$M630,$M630,$O$3:$O630,$O630,$U$3:$U630,1,$P$3:$P630,"&gt;="&amp;EOMONTH($P630,-1)+1,$P$3:$P630,"&lt;"&amp;EOMONTH($P630,0)+1)=1,1,0),0)</f>
        <v>0</v>
      </c>
      <c r="W630" s="444">
        <f ca="1">TODAY()-Table1[[#This Row],[Change Date]]</f>
        <v>450.62291666666715</v>
      </c>
      <c r="X630" s="422">
        <f t="shared" si="103"/>
        <v>45859.441666666666</v>
      </c>
      <c r="Y630" s="476">
        <f ca="1">IF(Table1[[#This Row],[Next Stage Date]]&lt;&gt;"",Table1[[#This Row],[Next Stage Date]]-Table1[[#This Row],[Change Date]],TODAY()-Table1[[#This Row],[Change Date]])</f>
        <v>52.064583333332848</v>
      </c>
      <c r="Z630" s="476">
        <f t="shared" si="104"/>
        <v>0</v>
      </c>
      <c r="AA630" s="422">
        <f t="shared" si="105"/>
        <v>45859.441666666666</v>
      </c>
      <c r="AB630" s="422">
        <f t="shared" si="106"/>
        <v>45755.602777777778</v>
      </c>
      <c r="AC630" s="476">
        <f t="shared" si="107"/>
        <v>39.602777777778101</v>
      </c>
      <c r="AD630" s="476">
        <f t="shared" si="108"/>
        <v>103.8388888888876</v>
      </c>
      <c r="AE630" s="476">
        <f t="shared" si="109"/>
        <v>143.4416666666657</v>
      </c>
      <c r="AF630" s="476" t="b">
        <f>IFERROR(_xlfn.XLOOKUP(Table1[[#This Row],[Opportunity ID]],'Aging Detail'!$H$14:$H$20,'Aging Detail'!$F$14:$F$20),TRUE)</f>
        <v>1</v>
      </c>
    </row>
    <row r="631" spans="1:32">
      <c r="A631" t="s">
        <v>1461</v>
      </c>
      <c r="B631" t="s">
        <v>526</v>
      </c>
      <c r="C631" t="s">
        <v>563</v>
      </c>
      <c r="D631" t="s">
        <v>3021</v>
      </c>
      <c r="E631" t="s">
        <v>3022</v>
      </c>
      <c r="F631" t="s">
        <v>1484</v>
      </c>
      <c r="I631" s="422">
        <v>44895</v>
      </c>
      <c r="J631" s="422">
        <v>45806</v>
      </c>
      <c r="K631">
        <v>0</v>
      </c>
      <c r="L631">
        <v>0</v>
      </c>
      <c r="M631" t="s">
        <v>3023</v>
      </c>
      <c r="N631" t="s">
        <v>1618</v>
      </c>
      <c r="O631" t="str">
        <f>_xlfn.IFNA(VLOOKUP(Table1[[#This Row],[Lead Source]],'helper tab'!A:B,2,FALSE),"Exclude")</f>
        <v>Exclude</v>
      </c>
      <c r="P631" s="422">
        <f t="shared" si="99"/>
        <v>45806.263888888891</v>
      </c>
      <c r="Q631">
        <f t="shared" si="100"/>
        <v>0</v>
      </c>
      <c r="R631">
        <f t="shared" si="101"/>
        <v>1</v>
      </c>
      <c r="S631">
        <f>IF(
AND($Q631=1,$M631&lt;&gt;""),
IF(
COUNTIFS(
$M$3:$M631,$M631,
$O$3:$O631,$O631,
$Q$3:$Q631,1,
$P$3:$P631,"&gt;="&amp;EOMONTH($P631,-1)+1,
$P$3:$P631,"&lt;"&amp;EOMONTH($P631,0)+1
)=1,
1,
0),
0)</f>
        <v>0</v>
      </c>
      <c r="T631">
        <f>IF(AND($R631=1,$M631&lt;&gt;""),IF(COUNTIFS($M$3:$M631,$M631,$O$3:$O631,$O631,$R$3:$R631,1,$P$3:$P631,"&gt;="&amp;EOMONTH($P631,-1)+1,$P$3:$P631,"&lt;"&amp;EOMONTH($P631,0)+1)=1,1,0),0)</f>
        <v>1</v>
      </c>
      <c r="U631">
        <f t="shared" si="102"/>
        <v>0</v>
      </c>
      <c r="V631">
        <f>IF(AND($U631=1,$M631&lt;&gt;""),IF(COUNTIFS($M$3:$M631,$M631,$O$3:$O631,$O631,$U$3:$U631,1,$P$3:$P631,"&gt;="&amp;EOMONTH($P631,-1)+1,$P$3:$P631,"&lt;"&amp;EOMONTH($P631,0)+1)=1,1,0),0)</f>
        <v>0</v>
      </c>
      <c r="W631" s="444">
        <f ca="1">TODAY()-Table1[[#This Row],[Change Date]]</f>
        <v>451.73611111110949</v>
      </c>
      <c r="X631" s="422" t="str">
        <f t="shared" si="103"/>
        <v/>
      </c>
      <c r="Y631" s="476">
        <f ca="1">IF(Table1[[#This Row],[Next Stage Date]]&lt;&gt;"",Table1[[#This Row],[Next Stage Date]]-Table1[[#This Row],[Change Date]],TODAY()-Table1[[#This Row],[Change Date]])</f>
        <v>451.73611111110949</v>
      </c>
      <c r="Z631" s="476">
        <f t="shared" si="104"/>
        <v>1</v>
      </c>
      <c r="AA631" s="422">
        <f t="shared" si="105"/>
        <v>45770.198611111111</v>
      </c>
      <c r="AB631" s="422">
        <f t="shared" si="106"/>
        <v>45770.343055555553</v>
      </c>
      <c r="AC631" s="476">
        <f t="shared" si="107"/>
        <v>875.34305555555329</v>
      </c>
      <c r="AD631" s="476">
        <f t="shared" si="108"/>
        <v>-0.1444444444423425</v>
      </c>
      <c r="AE631" s="476">
        <f t="shared" si="109"/>
        <v>875.19861111111095</v>
      </c>
      <c r="AF631" s="476" t="b">
        <f>IFERROR(_xlfn.XLOOKUP(Table1[[#This Row],[Opportunity ID]],'Aging Detail'!$H$14:$H$20,'Aging Detail'!$F$14:$F$20),TRUE)</f>
        <v>1</v>
      </c>
    </row>
    <row r="632" spans="1:32">
      <c r="A632" t="s">
        <v>1461</v>
      </c>
      <c r="B632" t="s">
        <v>1469</v>
      </c>
      <c r="C632" t="s">
        <v>462</v>
      </c>
      <c r="D632" t="s">
        <v>3024</v>
      </c>
      <c r="E632" t="s">
        <v>2613</v>
      </c>
      <c r="F632" t="s">
        <v>1484</v>
      </c>
      <c r="I632" s="422">
        <v>45419</v>
      </c>
      <c r="J632" s="422">
        <v>45944</v>
      </c>
      <c r="L632">
        <v>0</v>
      </c>
      <c r="M632" t="s">
        <v>2614</v>
      </c>
      <c r="N632" t="s">
        <v>1708</v>
      </c>
      <c r="O632" t="str">
        <f>_xlfn.IFNA(VLOOKUP(Table1[[#This Row],[Lead Source]],'helper tab'!A:B,2,FALSE),"Exclude")</f>
        <v>Exclude</v>
      </c>
      <c r="P632" s="422">
        <f t="shared" si="99"/>
        <v>45805.460416666669</v>
      </c>
      <c r="Q632">
        <f t="shared" si="100"/>
        <v>1</v>
      </c>
      <c r="R632">
        <f t="shared" si="101"/>
        <v>0</v>
      </c>
      <c r="S632">
        <f>IF(
AND($Q632=1,$M632&lt;&gt;""),
IF(
COUNTIFS(
$M$3:$M632,$M632,
$O$3:$O632,$O632,
$Q$3:$Q632,1,
$P$3:$P632,"&gt;="&amp;EOMONTH($P632,-1)+1,
$P$3:$P632,"&lt;"&amp;EOMONTH($P632,0)+1
)=1,
1,
0),
0)</f>
        <v>1</v>
      </c>
      <c r="T632">
        <f>IF(AND($R632=1,$M632&lt;&gt;""),IF(COUNTIFS($M$3:$M632,$M632,$O$3:$O632,$O632,$R$3:$R632,1,$P$3:$P632,"&gt;="&amp;EOMONTH($P632,-1)+1,$P$3:$P632,"&lt;"&amp;EOMONTH($P632,0)+1)=1,1,0),0)</f>
        <v>0</v>
      </c>
      <c r="U632">
        <f t="shared" si="102"/>
        <v>0</v>
      </c>
      <c r="V632">
        <f>IF(AND($U632=1,$M632&lt;&gt;""),IF(COUNTIFS($M$3:$M632,$M632,$O$3:$O632,$O632,$U$3:$U632,1,$P$3:$P632,"&gt;="&amp;EOMONTH($P632,-1)+1,$P$3:$P632,"&lt;"&amp;EOMONTH($P632,0)+1)=1,1,0),0)</f>
        <v>0</v>
      </c>
      <c r="W632" s="444">
        <f ca="1">TODAY()-Table1[[#This Row],[Change Date]]</f>
        <v>452.53958333333139</v>
      </c>
      <c r="X632" s="422">
        <f t="shared" si="103"/>
        <v>45944.399305555555</v>
      </c>
      <c r="Y632" s="476">
        <f ca="1">IF(Table1[[#This Row],[Next Stage Date]]&lt;&gt;"",Table1[[#This Row],[Next Stage Date]]-Table1[[#This Row],[Change Date]],TODAY()-Table1[[#This Row],[Change Date]])</f>
        <v>138.93888888888614</v>
      </c>
      <c r="Z632" s="476">
        <f t="shared" si="104"/>
        <v>0</v>
      </c>
      <c r="AA632" s="422">
        <f t="shared" si="105"/>
        <v>45944.399305555555</v>
      </c>
      <c r="AB632" s="422">
        <f t="shared" si="106"/>
        <v>45805.460416666669</v>
      </c>
      <c r="AC632" s="476">
        <f t="shared" si="107"/>
        <v>386.46041666666861</v>
      </c>
      <c r="AD632" s="476">
        <f t="shared" si="108"/>
        <v>138.93888888888614</v>
      </c>
      <c r="AE632" s="476">
        <f t="shared" si="109"/>
        <v>525.39930555555475</v>
      </c>
      <c r="AF632" s="476" t="b">
        <f>IFERROR(_xlfn.XLOOKUP(Table1[[#This Row],[Opportunity ID]],'Aging Detail'!$H$14:$H$20,'Aging Detail'!$F$14:$F$20),TRUE)</f>
        <v>1</v>
      </c>
    </row>
    <row r="633" spans="1:32">
      <c r="A633" t="s">
        <v>1461</v>
      </c>
      <c r="B633" t="s">
        <v>338</v>
      </c>
      <c r="C633" t="s">
        <v>1469</v>
      </c>
      <c r="D633" t="s">
        <v>3025</v>
      </c>
      <c r="E633" t="s">
        <v>3026</v>
      </c>
      <c r="F633" t="s">
        <v>1486</v>
      </c>
      <c r="I633" s="422">
        <v>45317</v>
      </c>
      <c r="J633" s="422">
        <v>45804</v>
      </c>
      <c r="L633">
        <v>0</v>
      </c>
      <c r="M633" t="s">
        <v>3027</v>
      </c>
      <c r="N633" t="s">
        <v>2555</v>
      </c>
      <c r="O633" t="str">
        <f>_xlfn.IFNA(VLOOKUP(Table1[[#This Row],[Lead Source]],'helper tab'!A:B,2,FALSE),"Exclude")</f>
        <v>Exclude</v>
      </c>
      <c r="P633" s="422">
        <f t="shared" si="99"/>
        <v>45804.277777777781</v>
      </c>
      <c r="Q633">
        <f t="shared" si="100"/>
        <v>0</v>
      </c>
      <c r="R633">
        <f t="shared" si="101"/>
        <v>0</v>
      </c>
      <c r="S633">
        <f>IF(
AND($Q633=1,$M633&lt;&gt;""),
IF(
COUNTIFS(
$M$3:$M633,$M633,
$O$3:$O633,$O633,
$Q$3:$Q633,1,
$P$3:$P633,"&gt;="&amp;EOMONTH($P633,-1)+1,
$P$3:$P633,"&lt;"&amp;EOMONTH($P633,0)+1
)=1,
1,
0),
0)</f>
        <v>0</v>
      </c>
      <c r="T633">
        <f>IF(AND($R633=1,$M633&lt;&gt;""),IF(COUNTIFS($M$3:$M633,$M633,$O$3:$O633,$O633,$R$3:$R633,1,$P$3:$P633,"&gt;="&amp;EOMONTH($P633,-1)+1,$P$3:$P633,"&lt;"&amp;EOMONTH($P633,0)+1)=1,1,0),0)</f>
        <v>0</v>
      </c>
      <c r="U633">
        <f t="shared" si="102"/>
        <v>1</v>
      </c>
      <c r="V633">
        <f>IF(AND($U633=1,$M633&lt;&gt;""),IF(COUNTIFS($M$3:$M633,$M633,$O$3:$O633,$O633,$U$3:$U633,1,$P$3:$P633,"&gt;="&amp;EOMONTH($P633,-1)+1,$P$3:$P633,"&lt;"&amp;EOMONTH($P633,0)+1)=1,1,0),0)</f>
        <v>1</v>
      </c>
      <c r="W633" s="444">
        <f ca="1">TODAY()-Table1[[#This Row],[Change Date]]</f>
        <v>453.72222222221899</v>
      </c>
      <c r="X633" s="422" t="str">
        <f t="shared" si="103"/>
        <v/>
      </c>
      <c r="Y633" s="476">
        <f ca="1">IF(Table1[[#This Row],[Next Stage Date]]&lt;&gt;"",Table1[[#This Row],[Next Stage Date]]-Table1[[#This Row],[Change Date]],TODAY()-Table1[[#This Row],[Change Date]])</f>
        <v>453.72222222221899</v>
      </c>
      <c r="Z633" s="476">
        <f t="shared" si="104"/>
        <v>1</v>
      </c>
      <c r="AA633" s="422" t="str">
        <f t="shared" si="105"/>
        <v/>
      </c>
      <c r="AB633" s="422" t="str">
        <f t="shared" si="106"/>
        <v/>
      </c>
      <c r="AC633" s="476" t="str">
        <f t="shared" si="107"/>
        <v/>
      </c>
      <c r="AD633" s="476" t="str">
        <f t="shared" si="108"/>
        <v/>
      </c>
      <c r="AE633" s="476" t="str">
        <f t="shared" si="109"/>
        <v/>
      </c>
      <c r="AF633" s="476" t="b">
        <f>IFERROR(_xlfn.XLOOKUP(Table1[[#This Row],[Opportunity ID]],'Aging Detail'!$H$14:$H$20,'Aging Detail'!$F$14:$F$20),TRUE)</f>
        <v>1</v>
      </c>
    </row>
    <row r="634" spans="1:32">
      <c r="A634" t="s">
        <v>1461</v>
      </c>
      <c r="B634" t="s">
        <v>408</v>
      </c>
      <c r="C634" t="s">
        <v>1462</v>
      </c>
      <c r="D634" t="s">
        <v>3028</v>
      </c>
      <c r="E634" t="s">
        <v>3029</v>
      </c>
      <c r="F634" t="s">
        <v>1465</v>
      </c>
      <c r="I634" s="422">
        <v>45789</v>
      </c>
      <c r="J634" s="422">
        <v>46717</v>
      </c>
      <c r="K634">
        <v>312000</v>
      </c>
      <c r="L634">
        <v>216000</v>
      </c>
      <c r="M634" t="s">
        <v>3030</v>
      </c>
      <c r="N634" t="s">
        <v>1568</v>
      </c>
      <c r="O634" t="str">
        <f>_xlfn.IFNA(VLOOKUP(Table1[[#This Row],[Lead Source]],'helper tab'!A:B,2,FALSE),"Exclude")</f>
        <v>Exclude</v>
      </c>
      <c r="P634" s="422">
        <f t="shared" si="99"/>
        <v>45799.288888888892</v>
      </c>
      <c r="Q634">
        <f t="shared" si="100"/>
        <v>0</v>
      </c>
      <c r="R634">
        <f t="shared" si="101"/>
        <v>0</v>
      </c>
      <c r="S634">
        <f>IF(
AND($Q634=1,$M634&lt;&gt;""),
IF(
COUNTIFS(
$M$3:$M634,$M634,
$O$3:$O634,$O634,
$Q$3:$Q634,1,
$P$3:$P634,"&gt;="&amp;EOMONTH($P634,-1)+1,
$P$3:$P634,"&lt;"&amp;EOMONTH($P634,0)+1
)=1,
1,
0),
0)</f>
        <v>0</v>
      </c>
      <c r="T634">
        <f>IF(AND($R634=1,$M634&lt;&gt;""),IF(COUNTIFS($M$3:$M634,$M634,$O$3:$O634,$O634,$R$3:$R634,1,$P$3:$P634,"&gt;="&amp;EOMONTH($P634,-1)+1,$P$3:$P634,"&lt;"&amp;EOMONTH($P634,0)+1)=1,1,0),0)</f>
        <v>0</v>
      </c>
      <c r="U634">
        <f t="shared" si="102"/>
        <v>0</v>
      </c>
      <c r="V634">
        <f>IF(AND($U634=1,$M634&lt;&gt;""),IF(COUNTIFS($M$3:$M634,$M634,$O$3:$O634,$O634,$U$3:$U634,1,$P$3:$P634,"&gt;="&amp;EOMONTH($P634,-1)+1,$P$3:$P634,"&lt;"&amp;EOMONTH($P634,0)+1)=1,1,0),0)</f>
        <v>0</v>
      </c>
      <c r="W634" s="444">
        <f ca="1">TODAY()-Table1[[#This Row],[Change Date]]</f>
        <v>458.71111111110804</v>
      </c>
      <c r="X634" s="422" t="str">
        <f t="shared" si="103"/>
        <v/>
      </c>
      <c r="Y634" s="476">
        <f ca="1">IF(Table1[[#This Row],[Next Stage Date]]&lt;&gt;"",Table1[[#This Row],[Next Stage Date]]-Table1[[#This Row],[Change Date]],TODAY()-Table1[[#This Row],[Change Date]])</f>
        <v>458.71111111110804</v>
      </c>
      <c r="Z634" s="476">
        <f t="shared" si="104"/>
        <v>1</v>
      </c>
      <c r="AA634" s="422" t="str">
        <f t="shared" si="105"/>
        <v/>
      </c>
      <c r="AB634" s="422" t="str">
        <f t="shared" si="106"/>
        <v/>
      </c>
      <c r="AC634" s="476" t="str">
        <f t="shared" si="107"/>
        <v/>
      </c>
      <c r="AD634" s="476" t="str">
        <f t="shared" si="108"/>
        <v/>
      </c>
      <c r="AE634" s="476" t="str">
        <f t="shared" si="109"/>
        <v/>
      </c>
      <c r="AF634" s="476" t="b">
        <f>IFERROR(_xlfn.XLOOKUP(Table1[[#This Row],[Opportunity ID]],'Aging Detail'!$H$14:$H$20,'Aging Detail'!$F$14:$F$20),TRUE)</f>
        <v>1</v>
      </c>
    </row>
    <row r="635" spans="1:32">
      <c r="A635" t="s">
        <v>1461</v>
      </c>
      <c r="B635" t="s">
        <v>526</v>
      </c>
      <c r="C635" t="s">
        <v>563</v>
      </c>
      <c r="D635" t="s">
        <v>3031</v>
      </c>
      <c r="E635" t="s">
        <v>3032</v>
      </c>
      <c r="F635" t="s">
        <v>1465</v>
      </c>
      <c r="I635" s="422">
        <v>45775</v>
      </c>
      <c r="J635" s="422">
        <v>45798</v>
      </c>
      <c r="K635">
        <v>18000</v>
      </c>
      <c r="L635">
        <v>0</v>
      </c>
      <c r="M635" t="s">
        <v>3033</v>
      </c>
      <c r="N635" t="s">
        <v>1568</v>
      </c>
      <c r="O635" t="str">
        <f>_xlfn.IFNA(VLOOKUP(Table1[[#This Row],[Lead Source]],'helper tab'!A:B,2,FALSE),"Exclude")</f>
        <v>Exclude</v>
      </c>
      <c r="P635" s="422">
        <f t="shared" si="99"/>
        <v>45798.34375</v>
      </c>
      <c r="Q635">
        <f t="shared" si="100"/>
        <v>0</v>
      </c>
      <c r="R635">
        <f t="shared" si="101"/>
        <v>1</v>
      </c>
      <c r="S635">
        <f>IF(
AND($Q635=1,$M635&lt;&gt;""),
IF(
COUNTIFS(
$M$3:$M635,$M635,
$O$3:$O635,$O635,
$Q$3:$Q635,1,
$P$3:$P635,"&gt;="&amp;EOMONTH($P635,-1)+1,
$P$3:$P635,"&lt;"&amp;EOMONTH($P635,0)+1
)=1,
1,
0),
0)</f>
        <v>0</v>
      </c>
      <c r="T635">
        <f>IF(AND($R635=1,$M635&lt;&gt;""),IF(COUNTIFS($M$3:$M635,$M635,$O$3:$O635,$O635,$R$3:$R635,1,$P$3:$P635,"&gt;="&amp;EOMONTH($P635,-1)+1,$P$3:$P635,"&lt;"&amp;EOMONTH($P635,0)+1)=1,1,0),0)</f>
        <v>1</v>
      </c>
      <c r="U635">
        <f t="shared" si="102"/>
        <v>0</v>
      </c>
      <c r="V635">
        <f>IF(AND($U635=1,$M635&lt;&gt;""),IF(COUNTIFS($M$3:$M635,$M635,$O$3:$O635,$O635,$U$3:$U635,1,$P$3:$P635,"&gt;="&amp;EOMONTH($P635,-1)+1,$P$3:$P635,"&lt;"&amp;EOMONTH($P635,0)+1)=1,1,0),0)</f>
        <v>0</v>
      </c>
      <c r="W635" s="444">
        <f ca="1">TODAY()-Table1[[#This Row],[Change Date]]</f>
        <v>459.65625</v>
      </c>
      <c r="X635" s="422" t="str">
        <f t="shared" si="103"/>
        <v/>
      </c>
      <c r="Y635" s="476">
        <f ca="1">IF(Table1[[#This Row],[Next Stage Date]]&lt;&gt;"",Table1[[#This Row],[Next Stage Date]]-Table1[[#This Row],[Change Date]],TODAY()-Table1[[#This Row],[Change Date]])</f>
        <v>459.65625</v>
      </c>
      <c r="Z635" s="476">
        <f t="shared" si="104"/>
        <v>1</v>
      </c>
      <c r="AA635" s="422">
        <f t="shared" si="105"/>
        <v>45798.34375</v>
      </c>
      <c r="AB635" s="422">
        <f t="shared" si="106"/>
        <v>45775.321527777778</v>
      </c>
      <c r="AC635" s="476">
        <f t="shared" si="107"/>
        <v>0.32152777777810115</v>
      </c>
      <c r="AD635" s="476">
        <f t="shared" si="108"/>
        <v>23.022222222221899</v>
      </c>
      <c r="AE635" s="476">
        <f t="shared" si="109"/>
        <v>23.34375</v>
      </c>
      <c r="AF635" s="476" t="b">
        <f>IFERROR(_xlfn.XLOOKUP(Table1[[#This Row],[Opportunity ID]],'Aging Detail'!$H$14:$H$20,'Aging Detail'!$F$14:$F$20),TRUE)</f>
        <v>1</v>
      </c>
    </row>
    <row r="636" spans="1:32">
      <c r="A636" t="s">
        <v>1461</v>
      </c>
      <c r="B636" t="s">
        <v>1462</v>
      </c>
      <c r="C636" t="s">
        <v>462</v>
      </c>
      <c r="D636" t="s">
        <v>3034</v>
      </c>
      <c r="E636" t="s">
        <v>2129</v>
      </c>
      <c r="F636" t="s">
        <v>1481</v>
      </c>
      <c r="I636" s="422">
        <v>45363</v>
      </c>
      <c r="J636" s="422">
        <v>46220</v>
      </c>
      <c r="K636">
        <v>1252920</v>
      </c>
      <c r="L636">
        <v>997920</v>
      </c>
      <c r="M636" t="s">
        <v>2130</v>
      </c>
      <c r="N636" t="s">
        <v>143</v>
      </c>
      <c r="O636" t="str">
        <f>_xlfn.IFNA(VLOOKUP(Table1[[#This Row],[Lead Source]],'helper tab'!A:B,2,FALSE),"Exclude")</f>
        <v>Cold</v>
      </c>
      <c r="P636" s="422">
        <f t="shared" si="99"/>
        <v>45798.319444444445</v>
      </c>
      <c r="Q636">
        <f t="shared" si="100"/>
        <v>1</v>
      </c>
      <c r="R636">
        <f t="shared" si="101"/>
        <v>0</v>
      </c>
      <c r="S636">
        <f>IF(
AND($Q636=1,$M636&lt;&gt;""),
IF(
COUNTIFS(
$M$3:$M636,$M636,
$O$3:$O636,$O636,
$Q$3:$Q636,1,
$P$3:$P636,"&gt;="&amp;EOMONTH($P636,-1)+1,
$P$3:$P636,"&lt;"&amp;EOMONTH($P636,0)+1
)=1,
1,
0),
0)</f>
        <v>1</v>
      </c>
      <c r="T636">
        <f>IF(AND($R636=1,$M636&lt;&gt;""),IF(COUNTIFS($M$3:$M636,$M636,$O$3:$O636,$O636,$R$3:$R636,1,$P$3:$P636,"&gt;="&amp;EOMONTH($P636,-1)+1,$P$3:$P636,"&lt;"&amp;EOMONTH($P636,0)+1)=1,1,0),0)</f>
        <v>0</v>
      </c>
      <c r="U636">
        <f t="shared" si="102"/>
        <v>0</v>
      </c>
      <c r="V636">
        <f>IF(AND($U636=1,$M636&lt;&gt;""),IF(COUNTIFS($M$3:$M636,$M636,$O$3:$O636,$O636,$U$3:$U636,1,$P$3:$P636,"&gt;="&amp;EOMONTH($P636,-1)+1,$P$3:$P636,"&lt;"&amp;EOMONTH($P636,0)+1)=1,1,0),0)</f>
        <v>0</v>
      </c>
      <c r="W636" s="444">
        <f ca="1">TODAY()-Table1[[#This Row],[Change Date]]</f>
        <v>459.68055555555475</v>
      </c>
      <c r="X636" s="422">
        <f t="shared" si="103"/>
        <v>46108.497916666667</v>
      </c>
      <c r="Y636" s="476">
        <f ca="1">IF(Table1[[#This Row],[Next Stage Date]]&lt;&gt;"",Table1[[#This Row],[Next Stage Date]]-Table1[[#This Row],[Change Date]],TODAY()-Table1[[#This Row],[Change Date]])</f>
        <v>310.1784722222219</v>
      </c>
      <c r="Z636" s="476">
        <f t="shared" si="104"/>
        <v>0</v>
      </c>
      <c r="AA636" s="422" t="str">
        <f t="shared" si="105"/>
        <v/>
      </c>
      <c r="AB636" s="422">
        <f t="shared" si="106"/>
        <v>45798.319444444445</v>
      </c>
      <c r="AC636" s="476">
        <f t="shared" si="107"/>
        <v>435.31944444444525</v>
      </c>
      <c r="AD636" s="476" t="str">
        <f t="shared" si="108"/>
        <v/>
      </c>
      <c r="AE636" s="476" t="str">
        <f t="shared" si="109"/>
        <v/>
      </c>
      <c r="AF636" s="476" t="b">
        <f>IFERROR(_xlfn.XLOOKUP(Table1[[#This Row],[Opportunity ID]],'Aging Detail'!$H$14:$H$20,'Aging Detail'!$F$14:$F$20),TRUE)</f>
        <v>1</v>
      </c>
    </row>
    <row r="637" spans="1:32">
      <c r="A637" t="s">
        <v>1461</v>
      </c>
      <c r="B637" t="s">
        <v>1462</v>
      </c>
      <c r="C637" t="s">
        <v>1469</v>
      </c>
      <c r="D637" t="s">
        <v>3035</v>
      </c>
      <c r="E637" t="s">
        <v>3036</v>
      </c>
      <c r="I637" s="422">
        <v>45791</v>
      </c>
      <c r="J637" s="422">
        <v>45800</v>
      </c>
      <c r="L637">
        <v>0</v>
      </c>
      <c r="M637" t="s">
        <v>3037</v>
      </c>
      <c r="N637" t="s">
        <v>2239</v>
      </c>
      <c r="O637" t="str">
        <f>_xlfn.IFNA(VLOOKUP(Table1[[#This Row],[Lead Source]],'helper tab'!A:B,2,FALSE),"Exclude")</f>
        <v>Exclude</v>
      </c>
      <c r="P637" s="422">
        <f t="shared" si="99"/>
        <v>45798.220138888886</v>
      </c>
      <c r="Q637">
        <f t="shared" si="100"/>
        <v>0</v>
      </c>
      <c r="R637">
        <f t="shared" si="101"/>
        <v>0</v>
      </c>
      <c r="S637">
        <f>IF(
AND($Q637=1,$M637&lt;&gt;""),
IF(
COUNTIFS(
$M$3:$M637,$M637,
$O$3:$O637,$O637,
$Q$3:$Q637,1,
$P$3:$P637,"&gt;="&amp;EOMONTH($P637,-1)+1,
$P$3:$P637,"&lt;"&amp;EOMONTH($P637,0)+1
)=1,
1,
0),
0)</f>
        <v>0</v>
      </c>
      <c r="T637">
        <f>IF(AND($R637=1,$M637&lt;&gt;""),IF(COUNTIFS($M$3:$M637,$M637,$O$3:$O637,$O637,$R$3:$R637,1,$P$3:$P637,"&gt;="&amp;EOMONTH($P637,-1)+1,$P$3:$P637,"&lt;"&amp;EOMONTH($P637,0)+1)=1,1,0),0)</f>
        <v>0</v>
      </c>
      <c r="U637">
        <f t="shared" si="102"/>
        <v>1</v>
      </c>
      <c r="V637">
        <f>IF(AND($U637=1,$M637&lt;&gt;""),IF(COUNTIFS($M$3:$M637,$M637,$O$3:$O637,$O637,$U$3:$U637,1,$P$3:$P637,"&gt;="&amp;EOMONTH($P637,-1)+1,$P$3:$P637,"&lt;"&amp;EOMONTH($P637,0)+1)=1,1,0),0)</f>
        <v>1</v>
      </c>
      <c r="W637" s="444">
        <f ca="1">TODAY()-Table1[[#This Row],[Change Date]]</f>
        <v>459.77986111111386</v>
      </c>
      <c r="X637" s="422" t="str">
        <f t="shared" si="103"/>
        <v/>
      </c>
      <c r="Y637" s="476">
        <f ca="1">IF(Table1[[#This Row],[Next Stage Date]]&lt;&gt;"",Table1[[#This Row],[Next Stage Date]]-Table1[[#This Row],[Change Date]],TODAY()-Table1[[#This Row],[Change Date]])</f>
        <v>459.77986111111386</v>
      </c>
      <c r="Z637" s="476">
        <f t="shared" si="104"/>
        <v>1</v>
      </c>
      <c r="AA637" s="422" t="str">
        <f t="shared" si="105"/>
        <v/>
      </c>
      <c r="AB637" s="422" t="str">
        <f t="shared" si="106"/>
        <v/>
      </c>
      <c r="AC637" s="476" t="str">
        <f t="shared" si="107"/>
        <v/>
      </c>
      <c r="AD637" s="476" t="str">
        <f t="shared" si="108"/>
        <v/>
      </c>
      <c r="AE637" s="476" t="str">
        <f t="shared" si="109"/>
        <v/>
      </c>
      <c r="AF637" s="476" t="b">
        <f>IFERROR(_xlfn.XLOOKUP(Table1[[#This Row],[Opportunity ID]],'Aging Detail'!$H$14:$H$20,'Aging Detail'!$F$14:$F$20),TRUE)</f>
        <v>1</v>
      </c>
    </row>
    <row r="638" spans="1:32">
      <c r="A638" t="s">
        <v>1461</v>
      </c>
      <c r="B638" t="s">
        <v>338</v>
      </c>
      <c r="C638" t="s">
        <v>1469</v>
      </c>
      <c r="D638" t="s">
        <v>3038</v>
      </c>
      <c r="E638" t="s">
        <v>3039</v>
      </c>
      <c r="I638" s="422">
        <v>45519</v>
      </c>
      <c r="J638" s="422">
        <v>73050</v>
      </c>
      <c r="L638">
        <v>0</v>
      </c>
      <c r="M638" t="s">
        <v>3040</v>
      </c>
      <c r="N638" t="s">
        <v>1634</v>
      </c>
      <c r="O638" t="str">
        <f>_xlfn.IFNA(VLOOKUP(Table1[[#This Row],[Lead Source]],'helper tab'!A:B,2,FALSE),"Exclude")</f>
        <v>Exclude</v>
      </c>
      <c r="P638" s="422">
        <f t="shared" si="99"/>
        <v>45798.216666666667</v>
      </c>
      <c r="Q638">
        <f t="shared" si="100"/>
        <v>0</v>
      </c>
      <c r="R638">
        <f t="shared" si="101"/>
        <v>0</v>
      </c>
      <c r="S638">
        <f>IF(
AND($Q638=1,$M638&lt;&gt;""),
IF(
COUNTIFS(
$M$3:$M638,$M638,
$O$3:$O638,$O638,
$Q$3:$Q638,1,
$P$3:$P638,"&gt;="&amp;EOMONTH($P638,-1)+1,
$P$3:$P638,"&lt;"&amp;EOMONTH($P638,0)+1
)=1,
1,
0),
0)</f>
        <v>0</v>
      </c>
      <c r="T638">
        <f>IF(AND($R638=1,$M638&lt;&gt;""),IF(COUNTIFS($M$3:$M638,$M638,$O$3:$O638,$O638,$R$3:$R638,1,$P$3:$P638,"&gt;="&amp;EOMONTH($P638,-1)+1,$P$3:$P638,"&lt;"&amp;EOMONTH($P638,0)+1)=1,1,0),0)</f>
        <v>0</v>
      </c>
      <c r="U638">
        <f t="shared" si="102"/>
        <v>1</v>
      </c>
      <c r="V638">
        <f>IF(AND($U638=1,$M638&lt;&gt;""),IF(COUNTIFS($M$3:$M638,$M638,$O$3:$O638,$O638,$U$3:$U638,1,$P$3:$P638,"&gt;="&amp;EOMONTH($P638,-1)+1,$P$3:$P638,"&lt;"&amp;EOMONTH($P638,0)+1)=1,1,0),0)</f>
        <v>1</v>
      </c>
      <c r="W638" s="444">
        <f ca="1">TODAY()-Table1[[#This Row],[Change Date]]</f>
        <v>459.78333333333285</v>
      </c>
      <c r="X638" s="422" t="str">
        <f t="shared" si="103"/>
        <v/>
      </c>
      <c r="Y638" s="476">
        <f ca="1">IF(Table1[[#This Row],[Next Stage Date]]&lt;&gt;"",Table1[[#This Row],[Next Stage Date]]-Table1[[#This Row],[Change Date]],TODAY()-Table1[[#This Row],[Change Date]])</f>
        <v>459.78333333333285</v>
      </c>
      <c r="Z638" s="476">
        <f t="shared" si="104"/>
        <v>1</v>
      </c>
      <c r="AA638" s="422" t="str">
        <f t="shared" si="105"/>
        <v/>
      </c>
      <c r="AB638" s="422" t="str">
        <f t="shared" si="106"/>
        <v/>
      </c>
      <c r="AC638" s="476" t="str">
        <f t="shared" si="107"/>
        <v/>
      </c>
      <c r="AD638" s="476" t="str">
        <f t="shared" si="108"/>
        <v/>
      </c>
      <c r="AE638" s="476" t="str">
        <f t="shared" si="109"/>
        <v/>
      </c>
      <c r="AF638" s="476" t="b">
        <f>IFERROR(_xlfn.XLOOKUP(Table1[[#This Row],[Opportunity ID]],'Aging Detail'!$H$14:$H$20,'Aging Detail'!$F$14:$F$20),TRUE)</f>
        <v>1</v>
      </c>
    </row>
    <row r="639" spans="1:32">
      <c r="A639" t="s">
        <v>1461</v>
      </c>
      <c r="B639" t="s">
        <v>1462</v>
      </c>
      <c r="C639" t="s">
        <v>462</v>
      </c>
      <c r="D639" t="s">
        <v>3041</v>
      </c>
      <c r="E639" t="s">
        <v>2400</v>
      </c>
      <c r="F639" t="s">
        <v>148</v>
      </c>
      <c r="I639" s="422">
        <v>45765</v>
      </c>
      <c r="J639" s="422">
        <v>46006</v>
      </c>
      <c r="K639">
        <v>168144</v>
      </c>
      <c r="L639">
        <v>123144</v>
      </c>
      <c r="M639" t="s">
        <v>97</v>
      </c>
      <c r="N639" t="s">
        <v>1788</v>
      </c>
      <c r="O639" t="str">
        <f>_xlfn.IFNA(VLOOKUP(Table1[[#This Row],[Lead Source]],'helper tab'!A:B,2,FALSE),"Exclude")</f>
        <v>Alliances</v>
      </c>
      <c r="P639" s="422">
        <f t="shared" si="99"/>
        <v>45793.539583333331</v>
      </c>
      <c r="Q639">
        <f t="shared" si="100"/>
        <v>1</v>
      </c>
      <c r="R639">
        <f t="shared" si="101"/>
        <v>0</v>
      </c>
      <c r="S639">
        <f>IF(
AND($Q639=1,$M639&lt;&gt;""),
IF(
COUNTIFS(
$M$3:$M639,$M639,
$O$3:$O639,$O639,
$Q$3:$Q639,1,
$P$3:$P639,"&gt;="&amp;EOMONTH($P639,-1)+1,
$P$3:$P639,"&lt;"&amp;EOMONTH($P639,0)+1
)=1,
1,
0),
0)</f>
        <v>1</v>
      </c>
      <c r="T639">
        <f>IF(AND($R639=1,$M639&lt;&gt;""),IF(COUNTIFS($M$3:$M639,$M639,$O$3:$O639,$O639,$R$3:$R639,1,$P$3:$P639,"&gt;="&amp;EOMONTH($P639,-1)+1,$P$3:$P639,"&lt;"&amp;EOMONTH($P639,0)+1)=1,1,0),0)</f>
        <v>0</v>
      </c>
      <c r="U639">
        <f t="shared" si="102"/>
        <v>0</v>
      </c>
      <c r="V639">
        <f>IF(AND($U639=1,$M639&lt;&gt;""),IF(COUNTIFS($M$3:$M639,$M639,$O$3:$O639,$O639,$U$3:$U639,1,$P$3:$P639,"&gt;="&amp;EOMONTH($P639,-1)+1,$P$3:$P639,"&lt;"&amp;EOMONTH($P639,0)+1)=1,1,0),0)</f>
        <v>0</v>
      </c>
      <c r="W639" s="444">
        <f ca="1">TODAY()-Table1[[#This Row],[Change Date]]</f>
        <v>464.46041666666861</v>
      </c>
      <c r="X639" s="422">
        <f t="shared" si="103"/>
        <v>45979.501388888886</v>
      </c>
      <c r="Y639" s="476">
        <f ca="1">IF(Table1[[#This Row],[Next Stage Date]]&lt;&gt;"",Table1[[#This Row],[Next Stage Date]]-Table1[[#This Row],[Change Date]],TODAY()-Table1[[#This Row],[Change Date]])</f>
        <v>185.96180555555475</v>
      </c>
      <c r="Z639" s="476">
        <f t="shared" si="104"/>
        <v>0</v>
      </c>
      <c r="AA639" s="422">
        <f t="shared" si="105"/>
        <v>46020.424305555556</v>
      </c>
      <c r="AB639" s="422">
        <f t="shared" si="106"/>
        <v>45793.539583333331</v>
      </c>
      <c r="AC639" s="476">
        <f t="shared" si="107"/>
        <v>28.539583333331393</v>
      </c>
      <c r="AD639" s="476">
        <f t="shared" si="108"/>
        <v>226.88472222222481</v>
      </c>
      <c r="AE639" s="476">
        <f t="shared" si="109"/>
        <v>255.4243055555562</v>
      </c>
      <c r="AF639" s="476" t="b">
        <f>IFERROR(_xlfn.XLOOKUP(Table1[[#This Row],[Opportunity ID]],'Aging Detail'!$H$14:$H$20,'Aging Detail'!$F$14:$F$20),TRUE)</f>
        <v>1</v>
      </c>
    </row>
    <row r="640" spans="1:32">
      <c r="A640" t="s">
        <v>1461</v>
      </c>
      <c r="B640" t="s">
        <v>408</v>
      </c>
      <c r="C640" t="s">
        <v>1462</v>
      </c>
      <c r="D640" t="s">
        <v>3042</v>
      </c>
      <c r="E640" t="s">
        <v>2400</v>
      </c>
      <c r="F640" t="s">
        <v>148</v>
      </c>
      <c r="I640" s="422">
        <v>45765</v>
      </c>
      <c r="J640" s="422">
        <v>46006</v>
      </c>
      <c r="K640">
        <v>168144</v>
      </c>
      <c r="L640">
        <v>123144</v>
      </c>
      <c r="M640" t="s">
        <v>97</v>
      </c>
      <c r="N640" t="s">
        <v>1788</v>
      </c>
      <c r="O640" t="str">
        <f>_xlfn.IFNA(VLOOKUP(Table1[[#This Row],[Lead Source]],'helper tab'!A:B,2,FALSE),"Exclude")</f>
        <v>Alliances</v>
      </c>
      <c r="P640" s="422">
        <f t="shared" si="99"/>
        <v>45793.538888888892</v>
      </c>
      <c r="Q640">
        <f t="shared" si="100"/>
        <v>0</v>
      </c>
      <c r="R640">
        <f t="shared" si="101"/>
        <v>0</v>
      </c>
      <c r="S640">
        <f>IF(
AND($Q640=1,$M640&lt;&gt;""),
IF(
COUNTIFS(
$M$3:$M640,$M640,
$O$3:$O640,$O640,
$Q$3:$Q640,1,
$P$3:$P640,"&gt;="&amp;EOMONTH($P640,-1)+1,
$P$3:$P640,"&lt;"&amp;EOMONTH($P640,0)+1
)=1,
1,
0),
0)</f>
        <v>0</v>
      </c>
      <c r="T640">
        <f>IF(AND($R640=1,$M640&lt;&gt;""),IF(COUNTIFS($M$3:$M640,$M640,$O$3:$O640,$O640,$R$3:$R640,1,$P$3:$P640,"&gt;="&amp;EOMONTH($P640,-1)+1,$P$3:$P640,"&lt;"&amp;EOMONTH($P640,0)+1)=1,1,0),0)</f>
        <v>0</v>
      </c>
      <c r="U640">
        <f t="shared" si="102"/>
        <v>0</v>
      </c>
      <c r="V640">
        <f>IF(AND($U640=1,$M640&lt;&gt;""),IF(COUNTIFS($M$3:$M640,$M640,$O$3:$O640,$O640,$U$3:$U640,1,$P$3:$P640,"&gt;="&amp;EOMONTH($P640,-1)+1,$P$3:$P640,"&lt;"&amp;EOMONTH($P640,0)+1)=1,1,0),0)</f>
        <v>0</v>
      </c>
      <c r="W640" s="444">
        <f ca="1">TODAY()-Table1[[#This Row],[Change Date]]</f>
        <v>464.46111111110804</v>
      </c>
      <c r="X640" s="422">
        <f t="shared" si="103"/>
        <v>45793.539583333331</v>
      </c>
      <c r="Y640" s="476">
        <f ca="1">IF(Table1[[#This Row],[Next Stage Date]]&lt;&gt;"",Table1[[#This Row],[Next Stage Date]]-Table1[[#This Row],[Change Date]],TODAY()-Table1[[#This Row],[Change Date]])</f>
        <v>6.9444443943211809E-4</v>
      </c>
      <c r="Z640" s="476">
        <f t="shared" si="104"/>
        <v>0</v>
      </c>
      <c r="AA640" s="422">
        <f t="shared" si="105"/>
        <v>46020.424305555556</v>
      </c>
      <c r="AB640" s="422">
        <f t="shared" si="106"/>
        <v>45793.539583333331</v>
      </c>
      <c r="AC640" s="476">
        <f t="shared" si="107"/>
        <v>28.539583333331393</v>
      </c>
      <c r="AD640" s="476">
        <f t="shared" si="108"/>
        <v>226.88472222222481</v>
      </c>
      <c r="AE640" s="476">
        <f t="shared" si="109"/>
        <v>255.4243055555562</v>
      </c>
      <c r="AF640" s="476" t="b">
        <f>IFERROR(_xlfn.XLOOKUP(Table1[[#This Row],[Opportunity ID]],'Aging Detail'!$H$14:$H$20,'Aging Detail'!$F$14:$F$20),TRUE)</f>
        <v>1</v>
      </c>
    </row>
    <row r="641" spans="1:32">
      <c r="A641" t="s">
        <v>1461</v>
      </c>
      <c r="B641" t="s">
        <v>526</v>
      </c>
      <c r="C641" t="s">
        <v>563</v>
      </c>
      <c r="D641" t="s">
        <v>3043</v>
      </c>
      <c r="E641" t="s">
        <v>3044</v>
      </c>
      <c r="I641" s="422">
        <v>45733</v>
      </c>
      <c r="J641" s="422">
        <v>45777</v>
      </c>
      <c r="K641">
        <v>0</v>
      </c>
      <c r="L641">
        <v>0</v>
      </c>
      <c r="M641" t="s">
        <v>3045</v>
      </c>
      <c r="N641" t="s">
        <v>1748</v>
      </c>
      <c r="O641" t="str">
        <f>_xlfn.IFNA(VLOOKUP(Table1[[#This Row],[Lead Source]],'helper tab'!A:B,2,FALSE),"Exclude")</f>
        <v>Exclude</v>
      </c>
      <c r="P641" s="422">
        <f t="shared" si="99"/>
        <v>45793.29791666667</v>
      </c>
      <c r="Q641">
        <f t="shared" si="100"/>
        <v>0</v>
      </c>
      <c r="R641">
        <f t="shared" si="101"/>
        <v>1</v>
      </c>
      <c r="S641">
        <f>IF(
AND($Q641=1,$M641&lt;&gt;""),
IF(
COUNTIFS(
$M$3:$M641,$M641,
$O$3:$O641,$O641,
$Q$3:$Q641,1,
$P$3:$P641,"&gt;="&amp;EOMONTH($P641,-1)+1,
$P$3:$P641,"&lt;"&amp;EOMONTH($P641,0)+1
)=1,
1,
0),
0)</f>
        <v>0</v>
      </c>
      <c r="T641">
        <f>IF(AND($R641=1,$M641&lt;&gt;""),IF(COUNTIFS($M$3:$M641,$M641,$O$3:$O641,$O641,$R$3:$R641,1,$P$3:$P641,"&gt;="&amp;EOMONTH($P641,-1)+1,$P$3:$P641,"&lt;"&amp;EOMONTH($P641,0)+1)=1,1,0),0)</f>
        <v>1</v>
      </c>
      <c r="U641">
        <f t="shared" si="102"/>
        <v>0</v>
      </c>
      <c r="V641">
        <f>IF(AND($U641=1,$M641&lt;&gt;""),IF(COUNTIFS($M$3:$M641,$M641,$O$3:$O641,$O641,$U$3:$U641,1,$P$3:$P641,"&gt;="&amp;EOMONTH($P641,-1)+1,$P$3:$P641,"&lt;"&amp;EOMONTH($P641,0)+1)=1,1,0),0)</f>
        <v>0</v>
      </c>
      <c r="W641" s="444">
        <f ca="1">TODAY()-Table1[[#This Row],[Change Date]]</f>
        <v>464.70208333332994</v>
      </c>
      <c r="X641" s="422" t="str">
        <f t="shared" si="103"/>
        <v/>
      </c>
      <c r="Y641" s="476">
        <f ca="1">IF(Table1[[#This Row],[Next Stage Date]]&lt;&gt;"",Table1[[#This Row],[Next Stage Date]]-Table1[[#This Row],[Change Date]],TODAY()-Table1[[#This Row],[Change Date]])</f>
        <v>464.70208333332994</v>
      </c>
      <c r="Z641" s="476">
        <f t="shared" si="104"/>
        <v>1</v>
      </c>
      <c r="AA641" s="422">
        <f t="shared" si="105"/>
        <v>45793.29791666667</v>
      </c>
      <c r="AB641" s="422">
        <f t="shared" si="106"/>
        <v>45750.250694444447</v>
      </c>
      <c r="AC641" s="476">
        <f t="shared" si="107"/>
        <v>17.250694444446708</v>
      </c>
      <c r="AD641" s="476">
        <f t="shared" si="108"/>
        <v>43.047222222223354</v>
      </c>
      <c r="AE641" s="476">
        <f t="shared" si="109"/>
        <v>60.297916666670062</v>
      </c>
      <c r="AF641" s="476" t="b">
        <f>IFERROR(_xlfn.XLOOKUP(Table1[[#This Row],[Opportunity ID]],'Aging Detail'!$H$14:$H$20,'Aging Detail'!$F$14:$F$20),TRUE)</f>
        <v>1</v>
      </c>
    </row>
    <row r="642" spans="1:32">
      <c r="A642" t="s">
        <v>1461</v>
      </c>
      <c r="B642" t="s">
        <v>462</v>
      </c>
      <c r="C642" t="s">
        <v>526</v>
      </c>
      <c r="D642" t="s">
        <v>3043</v>
      </c>
      <c r="E642" t="s">
        <v>3044</v>
      </c>
      <c r="I642" s="422">
        <v>45733</v>
      </c>
      <c r="J642" s="422">
        <v>45777</v>
      </c>
      <c r="K642">
        <v>0</v>
      </c>
      <c r="L642">
        <v>0</v>
      </c>
      <c r="M642" t="s">
        <v>3045</v>
      </c>
      <c r="N642" t="s">
        <v>1748</v>
      </c>
      <c r="O642" t="str">
        <f>_xlfn.IFNA(VLOOKUP(Table1[[#This Row],[Lead Source]],'helper tab'!A:B,2,FALSE),"Exclude")</f>
        <v>Exclude</v>
      </c>
      <c r="P642" s="422">
        <f t="shared" si="99"/>
        <v>45793.29791666667</v>
      </c>
      <c r="Q642">
        <f t="shared" si="100"/>
        <v>1</v>
      </c>
      <c r="R642">
        <f t="shared" si="101"/>
        <v>0</v>
      </c>
      <c r="S642">
        <f>IF(
AND($Q642=1,$M642&lt;&gt;""),
IF(
COUNTIFS(
$M$3:$M642,$M642,
$O$3:$O642,$O642,
$Q$3:$Q642,1,
$P$3:$P642,"&gt;="&amp;EOMONTH($P642,-1)+1,
$P$3:$P642,"&lt;"&amp;EOMONTH($P642,0)+1
)=1,
1,
0),
0)</f>
        <v>1</v>
      </c>
      <c r="T642">
        <f>IF(AND($R642=1,$M642&lt;&gt;""),IF(COUNTIFS($M$3:$M642,$M642,$O$3:$O642,$O642,$R$3:$R642,1,$P$3:$P642,"&gt;="&amp;EOMONTH($P642,-1)+1,$P$3:$P642,"&lt;"&amp;EOMONTH($P642,0)+1)=1,1,0),0)</f>
        <v>0</v>
      </c>
      <c r="U642">
        <f t="shared" si="102"/>
        <v>0</v>
      </c>
      <c r="V642">
        <f>IF(AND($U642=1,$M642&lt;&gt;""),IF(COUNTIFS($M$3:$M642,$M642,$O$3:$O642,$O642,$U$3:$U642,1,$P$3:$P642,"&gt;="&amp;EOMONTH($P642,-1)+1,$P$3:$P642,"&lt;"&amp;EOMONTH($P642,0)+1)=1,1,0),0)</f>
        <v>0</v>
      </c>
      <c r="W642" s="444">
        <f ca="1">TODAY()-Table1[[#This Row],[Change Date]]</f>
        <v>464.70208333332994</v>
      </c>
      <c r="X642" s="422" t="str">
        <f t="shared" si="103"/>
        <v/>
      </c>
      <c r="Y642" s="476">
        <f ca="1">IF(Table1[[#This Row],[Next Stage Date]]&lt;&gt;"",Table1[[#This Row],[Next Stage Date]]-Table1[[#This Row],[Change Date]],TODAY()-Table1[[#This Row],[Change Date]])</f>
        <v>464.70208333332994</v>
      </c>
      <c r="Z642" s="476">
        <f t="shared" si="104"/>
        <v>1</v>
      </c>
      <c r="AA642" s="422">
        <f t="shared" si="105"/>
        <v>45793.29791666667</v>
      </c>
      <c r="AB642" s="422">
        <f t="shared" si="106"/>
        <v>45750.250694444447</v>
      </c>
      <c r="AC642" s="476">
        <f t="shared" si="107"/>
        <v>17.250694444446708</v>
      </c>
      <c r="AD642" s="476">
        <f t="shared" si="108"/>
        <v>43.047222222223354</v>
      </c>
      <c r="AE642" s="476">
        <f t="shared" si="109"/>
        <v>60.297916666670062</v>
      </c>
      <c r="AF642" s="476" t="b">
        <f>IFERROR(_xlfn.XLOOKUP(Table1[[#This Row],[Opportunity ID]],'Aging Detail'!$H$14:$H$20,'Aging Detail'!$F$14:$F$20),TRUE)</f>
        <v>1</v>
      </c>
    </row>
    <row r="643" spans="1:32">
      <c r="A643" t="s">
        <v>1461</v>
      </c>
      <c r="B643" t="s">
        <v>462</v>
      </c>
      <c r="C643" t="s">
        <v>563</v>
      </c>
      <c r="D643" t="s">
        <v>3043</v>
      </c>
      <c r="E643" t="s">
        <v>3046</v>
      </c>
      <c r="I643" s="422">
        <v>45714</v>
      </c>
      <c r="J643" s="422">
        <v>45777</v>
      </c>
      <c r="K643">
        <v>0</v>
      </c>
      <c r="L643">
        <v>0</v>
      </c>
      <c r="M643" t="s">
        <v>3047</v>
      </c>
      <c r="N643" t="s">
        <v>1748</v>
      </c>
      <c r="O643" t="str">
        <f>_xlfn.IFNA(VLOOKUP(Table1[[#This Row],[Lead Source]],'helper tab'!A:B,2,FALSE),"Exclude")</f>
        <v>Exclude</v>
      </c>
      <c r="P643" s="422">
        <f t="shared" ref="P643:P706" si="110">--SUBSTITUTE(D643,",","")</f>
        <v>45793.29791666667</v>
      </c>
      <c r="Q643">
        <f t="shared" ref="Q643:Q706" si="111">IF(OR($C643="Propose",$C643="Procure"),1,0)</f>
        <v>0</v>
      </c>
      <c r="R643">
        <f t="shared" ref="R643:R706" si="112">IF($C643="Closed Won",1,0)</f>
        <v>1</v>
      </c>
      <c r="S643">
        <f>IF(
AND($Q643=1,$M643&lt;&gt;""),
IF(
COUNTIFS(
$M$3:$M643,$M643,
$O$3:$O643,$O643,
$Q$3:$Q643,1,
$P$3:$P643,"&gt;="&amp;EOMONTH($P643,-1)+1,
$P$3:$P643,"&lt;"&amp;EOMONTH($P643,0)+1
)=1,
1,
0),
0)</f>
        <v>0</v>
      </c>
      <c r="T643">
        <f>IF(AND($R643=1,$M643&lt;&gt;""),IF(COUNTIFS($M$3:$M643,$M643,$O$3:$O643,$O643,$R$3:$R643,1,$P$3:$P643,"&gt;="&amp;EOMONTH($P643,-1)+1,$P$3:$P643,"&lt;"&amp;EOMONTH($P643,0)+1)=1,1,0),0)</f>
        <v>1</v>
      </c>
      <c r="U643">
        <f t="shared" ref="U643:U706" si="113">IF($C643="Closed Lost",1,0)</f>
        <v>0</v>
      </c>
      <c r="V643">
        <f>IF(AND($U643=1,$M643&lt;&gt;""),IF(COUNTIFS($M$3:$M643,$M643,$O$3:$O643,$O643,$U$3:$U643,1,$P$3:$P643,"&gt;="&amp;EOMONTH($P643,-1)+1,$P$3:$P643,"&lt;"&amp;EOMONTH($P643,0)+1)=1,1,0),0)</f>
        <v>0</v>
      </c>
      <c r="W643" s="444">
        <f ca="1">TODAY()-Table1[[#This Row],[Change Date]]</f>
        <v>464.70208333332994</v>
      </c>
      <c r="X643" s="422" t="str">
        <f t="shared" ref="X643:X706" si="114">IFERROR(
IF(
COUNTIFS($M:$M,$M643,$P:$P,"&gt;"&amp;$P643)=0,
"",
_xlfn.MINIFS($P:$P,$M:$M,$M643,$P:$P,"&gt;"&amp;$P643)
),
""
)</f>
        <v/>
      </c>
      <c r="Y643" s="476">
        <f ca="1">IF(Table1[[#This Row],[Next Stage Date]]&lt;&gt;"",Table1[[#This Row],[Next Stage Date]]-Table1[[#This Row],[Change Date]],TODAY()-Table1[[#This Row],[Change Date]])</f>
        <v>464.70208333332994</v>
      </c>
      <c r="Z643" s="476">
        <f t="shared" ref="Z643:Z706" si="115">IF(P643=_xlfn.MAXIFS($P:$P,$M:$M,$M643),1,0)</f>
        <v>1</v>
      </c>
      <c r="AA643" s="422">
        <f t="shared" ref="AA643:AA706" si="116">IF(
COUNTIFS($M:$M,$M643,$C:$C,"Closed Won")=0,
"",
_xlfn.MINIFS($P:$P,$M:$M,$M643,$C:$C,"Closed Won")
)</f>
        <v>45793.29791666667</v>
      </c>
      <c r="AB643" s="422">
        <f t="shared" ref="AB643:AB706" si="117">IF(
COUNTIFS($M:$M,$M643,$Q:$Q,1)=0,
"",
_xlfn.MINIFS($P:$P,$M:$M,$M643,$Q:$Q,1)
)</f>
        <v>45750.253472222219</v>
      </c>
      <c r="AC643" s="476">
        <f t="shared" ref="AC643:AC706" si="118">IF(AB643&lt;&gt;"",AB643-I643,"")</f>
        <v>36.253472222218988</v>
      </c>
      <c r="AD643" s="476">
        <f t="shared" ref="AD643:AD706" si="119">IF(AND(AB643&lt;&gt;"",AA643&lt;&gt;""),AA643-AB643,"")</f>
        <v>43.044444444451074</v>
      </c>
      <c r="AE643" s="476">
        <f t="shared" ref="AE643:AE706" si="120">IF(AA643&lt;&gt;"",AA643-I643,"")</f>
        <v>79.297916666670062</v>
      </c>
      <c r="AF643" s="476" t="b">
        <f>IFERROR(_xlfn.XLOOKUP(Table1[[#This Row],[Opportunity ID]],'Aging Detail'!$H$14:$H$20,'Aging Detail'!$F$14:$F$20),TRUE)</f>
        <v>1</v>
      </c>
    </row>
    <row r="644" spans="1:32">
      <c r="A644" t="s">
        <v>1461</v>
      </c>
      <c r="B644" t="s">
        <v>462</v>
      </c>
      <c r="C644" t="s">
        <v>563</v>
      </c>
      <c r="D644" t="s">
        <v>3043</v>
      </c>
      <c r="E644" t="s">
        <v>3048</v>
      </c>
      <c r="I644" s="422">
        <v>45727</v>
      </c>
      <c r="J644" s="422">
        <v>45793</v>
      </c>
      <c r="L644">
        <v>0</v>
      </c>
      <c r="M644" t="s">
        <v>3049</v>
      </c>
      <c r="N644" t="s">
        <v>1831</v>
      </c>
      <c r="O644" t="str">
        <f>_xlfn.IFNA(VLOOKUP(Table1[[#This Row],[Lead Source]],'helper tab'!A:B,2,FALSE),"Exclude")</f>
        <v>Exclude</v>
      </c>
      <c r="P644" s="422">
        <f t="shared" si="110"/>
        <v>45793.29791666667</v>
      </c>
      <c r="Q644">
        <f t="shared" si="111"/>
        <v>0</v>
      </c>
      <c r="R644">
        <f t="shared" si="112"/>
        <v>1</v>
      </c>
      <c r="S644">
        <f>IF(
AND($Q644=1,$M644&lt;&gt;""),
IF(
COUNTIFS(
$M$3:$M644,$M644,
$O$3:$O644,$O644,
$Q$3:$Q644,1,
$P$3:$P644,"&gt;="&amp;EOMONTH($P644,-1)+1,
$P$3:$P644,"&lt;"&amp;EOMONTH($P644,0)+1
)=1,
1,
0),
0)</f>
        <v>0</v>
      </c>
      <c r="T644">
        <f>IF(AND($R644=1,$M644&lt;&gt;""),IF(COUNTIFS($M$3:$M644,$M644,$O$3:$O644,$O644,$R$3:$R644,1,$P$3:$P644,"&gt;="&amp;EOMONTH($P644,-1)+1,$P$3:$P644,"&lt;"&amp;EOMONTH($P644,0)+1)=1,1,0),0)</f>
        <v>1</v>
      </c>
      <c r="U644">
        <f t="shared" si="113"/>
        <v>0</v>
      </c>
      <c r="V644">
        <f>IF(AND($U644=1,$M644&lt;&gt;""),IF(COUNTIFS($M$3:$M644,$M644,$O$3:$O644,$O644,$U$3:$U644,1,$P$3:$P644,"&gt;="&amp;EOMONTH($P644,-1)+1,$P$3:$P644,"&lt;"&amp;EOMONTH($P644,0)+1)=1,1,0),0)</f>
        <v>0</v>
      </c>
      <c r="W644" s="444">
        <f ca="1">TODAY()-Table1[[#This Row],[Change Date]]</f>
        <v>464.70208333332994</v>
      </c>
      <c r="X644" s="422" t="str">
        <f t="shared" si="114"/>
        <v/>
      </c>
      <c r="Y644" s="476">
        <f ca="1">IF(Table1[[#This Row],[Next Stage Date]]&lt;&gt;"",Table1[[#This Row],[Next Stage Date]]-Table1[[#This Row],[Change Date]],TODAY()-Table1[[#This Row],[Change Date]])</f>
        <v>464.70208333332994</v>
      </c>
      <c r="Z644" s="476">
        <f t="shared" si="115"/>
        <v>1</v>
      </c>
      <c r="AA644" s="422">
        <f t="shared" si="116"/>
        <v>45793.29791666667</v>
      </c>
      <c r="AB644" s="422">
        <f t="shared" si="117"/>
        <v>45791.009027777778</v>
      </c>
      <c r="AC644" s="476">
        <f t="shared" si="118"/>
        <v>64.009027777778101</v>
      </c>
      <c r="AD644" s="476">
        <f t="shared" si="119"/>
        <v>2.288888888891961</v>
      </c>
      <c r="AE644" s="476">
        <f t="shared" si="120"/>
        <v>66.297916666670062</v>
      </c>
      <c r="AF644" s="476" t="b">
        <f>IFERROR(_xlfn.XLOOKUP(Table1[[#This Row],[Opportunity ID]],'Aging Detail'!$H$14:$H$20,'Aging Detail'!$F$14:$F$20),TRUE)</f>
        <v>1</v>
      </c>
    </row>
    <row r="645" spans="1:32">
      <c r="A645" t="s">
        <v>1461</v>
      </c>
      <c r="B645" t="s">
        <v>1462</v>
      </c>
      <c r="C645" t="s">
        <v>563</v>
      </c>
      <c r="D645" t="s">
        <v>3050</v>
      </c>
      <c r="E645" t="s">
        <v>3051</v>
      </c>
      <c r="F645" t="s">
        <v>1484</v>
      </c>
      <c r="I645" s="422">
        <v>45426</v>
      </c>
      <c r="J645" s="422">
        <v>45777</v>
      </c>
      <c r="K645">
        <v>857372</v>
      </c>
      <c r="L645">
        <v>-305292</v>
      </c>
      <c r="M645" t="s">
        <v>3052</v>
      </c>
      <c r="N645" t="s">
        <v>1618</v>
      </c>
      <c r="O645" t="str">
        <f>_xlfn.IFNA(VLOOKUP(Table1[[#This Row],[Lead Source]],'helper tab'!A:B,2,FALSE),"Exclude")</f>
        <v>Exclude</v>
      </c>
      <c r="P645" s="422">
        <f t="shared" si="110"/>
        <v>45793.236805555556</v>
      </c>
      <c r="Q645">
        <f t="shared" si="111"/>
        <v>0</v>
      </c>
      <c r="R645">
        <f t="shared" si="112"/>
        <v>1</v>
      </c>
      <c r="S645">
        <f>IF(
AND($Q645=1,$M645&lt;&gt;""),
IF(
COUNTIFS(
$M$3:$M645,$M645,
$O$3:$O645,$O645,
$Q$3:$Q645,1,
$P$3:$P645,"&gt;="&amp;EOMONTH($P645,-1)+1,
$P$3:$P645,"&lt;"&amp;EOMONTH($P645,0)+1
)=1,
1,
0),
0)</f>
        <v>0</v>
      </c>
      <c r="T645">
        <f>IF(AND($R645=1,$M645&lt;&gt;""),IF(COUNTIFS($M$3:$M645,$M645,$O$3:$O645,$O645,$R$3:$R645,1,$P$3:$P645,"&gt;="&amp;EOMONTH($P645,-1)+1,$P$3:$P645,"&lt;"&amp;EOMONTH($P645,0)+1)=1,1,0),0)</f>
        <v>1</v>
      </c>
      <c r="U645">
        <f t="shared" si="113"/>
        <v>0</v>
      </c>
      <c r="V645">
        <f>IF(AND($U645=1,$M645&lt;&gt;""),IF(COUNTIFS($M$3:$M645,$M645,$O$3:$O645,$O645,$U$3:$U645,1,$P$3:$P645,"&gt;="&amp;EOMONTH($P645,-1)+1,$P$3:$P645,"&lt;"&amp;EOMONTH($P645,0)+1)=1,1,0),0)</f>
        <v>0</v>
      </c>
      <c r="W645" s="444">
        <f ca="1">TODAY()-Table1[[#This Row],[Change Date]]</f>
        <v>464.7631944444438</v>
      </c>
      <c r="X645" s="422" t="str">
        <f t="shared" si="114"/>
        <v/>
      </c>
      <c r="Y645" s="476">
        <f ca="1">IF(Table1[[#This Row],[Next Stage Date]]&lt;&gt;"",Table1[[#This Row],[Next Stage Date]]-Table1[[#This Row],[Change Date]],TODAY()-Table1[[#This Row],[Change Date]])</f>
        <v>464.7631944444438</v>
      </c>
      <c r="Z645" s="476">
        <f t="shared" si="115"/>
        <v>1</v>
      </c>
      <c r="AA645" s="422">
        <f t="shared" si="116"/>
        <v>45793.236805555556</v>
      </c>
      <c r="AB645" s="422" t="str">
        <f t="shared" si="117"/>
        <v/>
      </c>
      <c r="AC645" s="476" t="str">
        <f t="shared" si="118"/>
        <v/>
      </c>
      <c r="AD645" s="476" t="str">
        <f t="shared" si="119"/>
        <v/>
      </c>
      <c r="AE645" s="476">
        <f t="shared" si="120"/>
        <v>367.2368055555562</v>
      </c>
      <c r="AF645" s="476" t="b">
        <f>IFERROR(_xlfn.XLOOKUP(Table1[[#This Row],[Opportunity ID]],'Aging Detail'!$H$14:$H$20,'Aging Detail'!$F$14:$F$20),TRUE)</f>
        <v>1</v>
      </c>
    </row>
    <row r="646" spans="1:32">
      <c r="A646" t="s">
        <v>1461</v>
      </c>
      <c r="B646" t="s">
        <v>338</v>
      </c>
      <c r="C646" t="s">
        <v>1462</v>
      </c>
      <c r="D646" t="s">
        <v>3053</v>
      </c>
      <c r="E646" t="s">
        <v>2572</v>
      </c>
      <c r="I646" s="422">
        <v>45748</v>
      </c>
      <c r="J646" s="422">
        <v>45952</v>
      </c>
      <c r="K646">
        <v>0</v>
      </c>
      <c r="L646">
        <v>0</v>
      </c>
      <c r="M646" t="s">
        <v>2573</v>
      </c>
      <c r="N646" t="s">
        <v>2239</v>
      </c>
      <c r="O646" t="str">
        <f>_xlfn.IFNA(VLOOKUP(Table1[[#This Row],[Lead Source]],'helper tab'!A:B,2,FALSE),"Exclude")</f>
        <v>Exclude</v>
      </c>
      <c r="P646" s="422">
        <f t="shared" si="110"/>
        <v>45791.011111111111</v>
      </c>
      <c r="Q646">
        <f t="shared" si="111"/>
        <v>0</v>
      </c>
      <c r="R646">
        <f t="shared" si="112"/>
        <v>0</v>
      </c>
      <c r="S646">
        <f>IF(
AND($Q646=1,$M646&lt;&gt;""),
IF(
COUNTIFS(
$M$3:$M646,$M646,
$O$3:$O646,$O646,
$Q$3:$Q646,1,
$P$3:$P646,"&gt;="&amp;EOMONTH($P646,-1)+1,
$P$3:$P646,"&lt;"&amp;EOMONTH($P646,0)+1
)=1,
1,
0),
0)</f>
        <v>0</v>
      </c>
      <c r="T646">
        <f>IF(AND($R646=1,$M646&lt;&gt;""),IF(COUNTIFS($M$3:$M646,$M646,$O$3:$O646,$O646,$R$3:$R646,1,$P$3:$P646,"&gt;="&amp;EOMONTH($P646,-1)+1,$P$3:$P646,"&lt;"&amp;EOMONTH($P646,0)+1)=1,1,0),0)</f>
        <v>0</v>
      </c>
      <c r="U646">
        <f t="shared" si="113"/>
        <v>0</v>
      </c>
      <c r="V646">
        <f>IF(AND($U646=1,$M646&lt;&gt;""),IF(COUNTIFS($M$3:$M646,$M646,$O$3:$O646,$O646,$U$3:$U646,1,$P$3:$P646,"&gt;="&amp;EOMONTH($P646,-1)+1,$P$3:$P646,"&lt;"&amp;EOMONTH($P646,0)+1)=1,1,0),0)</f>
        <v>0</v>
      </c>
      <c r="W646" s="444">
        <f ca="1">TODAY()-Table1[[#This Row],[Change Date]]</f>
        <v>466.98888888888905</v>
      </c>
      <c r="X646" s="422">
        <f t="shared" si="114"/>
        <v>45952.549305555556</v>
      </c>
      <c r="Y646" s="476">
        <f ca="1">IF(Table1[[#This Row],[Next Stage Date]]&lt;&gt;"",Table1[[#This Row],[Next Stage Date]]-Table1[[#This Row],[Change Date]],TODAY()-Table1[[#This Row],[Change Date]])</f>
        <v>161.53819444444525</v>
      </c>
      <c r="Z646" s="476">
        <f t="shared" si="115"/>
        <v>0</v>
      </c>
      <c r="AA646" s="422">
        <f t="shared" si="116"/>
        <v>45952.549305555556</v>
      </c>
      <c r="AB646" s="422" t="str">
        <f t="shared" si="117"/>
        <v/>
      </c>
      <c r="AC646" s="476" t="str">
        <f t="shared" si="118"/>
        <v/>
      </c>
      <c r="AD646" s="476" t="str">
        <f t="shared" si="119"/>
        <v/>
      </c>
      <c r="AE646" s="476">
        <f t="shared" si="120"/>
        <v>204.5493055555562</v>
      </c>
      <c r="AF646" s="476" t="b">
        <f>IFERROR(_xlfn.XLOOKUP(Table1[[#This Row],[Opportunity ID]],'Aging Detail'!$H$14:$H$20,'Aging Detail'!$F$14:$F$20),TRUE)</f>
        <v>1</v>
      </c>
    </row>
    <row r="647" spans="1:32">
      <c r="A647" t="s">
        <v>1461</v>
      </c>
      <c r="B647" t="s">
        <v>338</v>
      </c>
      <c r="C647" t="s">
        <v>462</v>
      </c>
      <c r="D647" t="s">
        <v>3054</v>
      </c>
      <c r="E647" t="s">
        <v>3048</v>
      </c>
      <c r="I647" s="422">
        <v>45727</v>
      </c>
      <c r="J647" s="422">
        <v>45793</v>
      </c>
      <c r="L647">
        <v>0</v>
      </c>
      <c r="M647" t="s">
        <v>3049</v>
      </c>
      <c r="N647" t="s">
        <v>1831</v>
      </c>
      <c r="O647" t="str">
        <f>_xlfn.IFNA(VLOOKUP(Table1[[#This Row],[Lead Source]],'helper tab'!A:B,2,FALSE),"Exclude")</f>
        <v>Exclude</v>
      </c>
      <c r="P647" s="422">
        <f t="shared" si="110"/>
        <v>45791.009027777778</v>
      </c>
      <c r="Q647">
        <f t="shared" si="111"/>
        <v>1</v>
      </c>
      <c r="R647">
        <f t="shared" si="112"/>
        <v>0</v>
      </c>
      <c r="S647">
        <f>IF(
AND($Q647=1,$M647&lt;&gt;""),
IF(
COUNTIFS(
$M$3:$M647,$M647,
$O$3:$O647,$O647,
$Q$3:$Q647,1,
$P$3:$P647,"&gt;="&amp;EOMONTH($P647,-1)+1,
$P$3:$P647,"&lt;"&amp;EOMONTH($P647,0)+1
)=1,
1,
0),
0)</f>
        <v>1</v>
      </c>
      <c r="T647">
        <f>IF(AND($R647=1,$M647&lt;&gt;""),IF(COUNTIFS($M$3:$M647,$M647,$O$3:$O647,$O647,$R$3:$R647,1,$P$3:$P647,"&gt;="&amp;EOMONTH($P647,-1)+1,$P$3:$P647,"&lt;"&amp;EOMONTH($P647,0)+1)=1,1,0),0)</f>
        <v>0</v>
      </c>
      <c r="U647">
        <f t="shared" si="113"/>
        <v>0</v>
      </c>
      <c r="V647">
        <f>IF(AND($U647=1,$M647&lt;&gt;""),IF(COUNTIFS($M$3:$M647,$M647,$O$3:$O647,$O647,$U$3:$U647,1,$P$3:$P647,"&gt;="&amp;EOMONTH($P647,-1)+1,$P$3:$P647,"&lt;"&amp;EOMONTH($P647,0)+1)=1,1,0),0)</f>
        <v>0</v>
      </c>
      <c r="W647" s="444">
        <f ca="1">TODAY()-Table1[[#This Row],[Change Date]]</f>
        <v>466.9909722222219</v>
      </c>
      <c r="X647" s="422">
        <f t="shared" si="114"/>
        <v>45793.29791666667</v>
      </c>
      <c r="Y647" s="476">
        <f ca="1">IF(Table1[[#This Row],[Next Stage Date]]&lt;&gt;"",Table1[[#This Row],[Next Stage Date]]-Table1[[#This Row],[Change Date]],TODAY()-Table1[[#This Row],[Change Date]])</f>
        <v>2.288888888891961</v>
      </c>
      <c r="Z647" s="476">
        <f t="shared" si="115"/>
        <v>0</v>
      </c>
      <c r="AA647" s="422">
        <f t="shared" si="116"/>
        <v>45793.29791666667</v>
      </c>
      <c r="AB647" s="422">
        <f t="shared" si="117"/>
        <v>45791.009027777778</v>
      </c>
      <c r="AC647" s="476">
        <f t="shared" si="118"/>
        <v>64.009027777778101</v>
      </c>
      <c r="AD647" s="476">
        <f t="shared" si="119"/>
        <v>2.288888888891961</v>
      </c>
      <c r="AE647" s="476">
        <f t="shared" si="120"/>
        <v>66.297916666670062</v>
      </c>
      <c r="AF647" s="476" t="b">
        <f>IFERROR(_xlfn.XLOOKUP(Table1[[#This Row],[Opportunity ID]],'Aging Detail'!$H$14:$H$20,'Aging Detail'!$F$14:$F$20),TRUE)</f>
        <v>1</v>
      </c>
    </row>
    <row r="648" spans="1:32">
      <c r="A648" t="s">
        <v>1461</v>
      </c>
      <c r="B648" t="s">
        <v>1462</v>
      </c>
      <c r="C648" t="s">
        <v>1469</v>
      </c>
      <c r="D648" t="s">
        <v>3055</v>
      </c>
      <c r="E648" t="s">
        <v>3056</v>
      </c>
      <c r="I648" s="422">
        <v>45751</v>
      </c>
      <c r="J648" s="422">
        <v>45807</v>
      </c>
      <c r="L648">
        <v>0</v>
      </c>
      <c r="M648" t="s">
        <v>3057</v>
      </c>
      <c r="N648" t="s">
        <v>2239</v>
      </c>
      <c r="O648" t="str">
        <f>_xlfn.IFNA(VLOOKUP(Table1[[#This Row],[Lead Source]],'helper tab'!A:B,2,FALSE),"Exclude")</f>
        <v>Exclude</v>
      </c>
      <c r="P648" s="422">
        <f t="shared" si="110"/>
        <v>45791.006944444445</v>
      </c>
      <c r="Q648">
        <f t="shared" si="111"/>
        <v>0</v>
      </c>
      <c r="R648">
        <f t="shared" si="112"/>
        <v>0</v>
      </c>
      <c r="S648">
        <f>IF(
AND($Q648=1,$M648&lt;&gt;""),
IF(
COUNTIFS(
$M$3:$M648,$M648,
$O$3:$O648,$O648,
$Q$3:$Q648,1,
$P$3:$P648,"&gt;="&amp;EOMONTH($P648,-1)+1,
$P$3:$P648,"&lt;"&amp;EOMONTH($P648,0)+1
)=1,
1,
0),
0)</f>
        <v>0</v>
      </c>
      <c r="T648">
        <f>IF(AND($R648=1,$M648&lt;&gt;""),IF(COUNTIFS($M$3:$M648,$M648,$O$3:$O648,$O648,$R$3:$R648,1,$P$3:$P648,"&gt;="&amp;EOMONTH($P648,-1)+1,$P$3:$P648,"&lt;"&amp;EOMONTH($P648,0)+1)=1,1,0),0)</f>
        <v>0</v>
      </c>
      <c r="U648">
        <f t="shared" si="113"/>
        <v>1</v>
      </c>
      <c r="V648">
        <f>IF(AND($U648=1,$M648&lt;&gt;""),IF(COUNTIFS($M$3:$M648,$M648,$O$3:$O648,$O648,$U$3:$U648,1,$P$3:$P648,"&gt;="&amp;EOMONTH($P648,-1)+1,$P$3:$P648,"&lt;"&amp;EOMONTH($P648,0)+1)=1,1,0),0)</f>
        <v>1</v>
      </c>
      <c r="W648" s="444">
        <f ca="1">TODAY()-Table1[[#This Row],[Change Date]]</f>
        <v>466.99305555555475</v>
      </c>
      <c r="X648" s="422" t="str">
        <f t="shared" si="114"/>
        <v/>
      </c>
      <c r="Y648" s="476">
        <f ca="1">IF(Table1[[#This Row],[Next Stage Date]]&lt;&gt;"",Table1[[#This Row],[Next Stage Date]]-Table1[[#This Row],[Change Date]],TODAY()-Table1[[#This Row],[Change Date]])</f>
        <v>466.99305555555475</v>
      </c>
      <c r="Z648" s="476">
        <f t="shared" si="115"/>
        <v>1</v>
      </c>
      <c r="AA648" s="422" t="str">
        <f t="shared" si="116"/>
        <v/>
      </c>
      <c r="AB648" s="422" t="str">
        <f t="shared" si="117"/>
        <v/>
      </c>
      <c r="AC648" s="476" t="str">
        <f t="shared" si="118"/>
        <v/>
      </c>
      <c r="AD648" s="476" t="str">
        <f t="shared" si="119"/>
        <v/>
      </c>
      <c r="AE648" s="476" t="str">
        <f t="shared" si="120"/>
        <v/>
      </c>
      <c r="AF648" s="476" t="b">
        <f>IFERROR(_xlfn.XLOOKUP(Table1[[#This Row],[Opportunity ID]],'Aging Detail'!$H$14:$H$20,'Aging Detail'!$F$14:$F$20),TRUE)</f>
        <v>1</v>
      </c>
    </row>
    <row r="649" spans="1:32">
      <c r="A649" t="s">
        <v>1461</v>
      </c>
      <c r="B649" t="s">
        <v>408</v>
      </c>
      <c r="C649" t="s">
        <v>1462</v>
      </c>
      <c r="D649" t="s">
        <v>3058</v>
      </c>
      <c r="E649" t="s">
        <v>2514</v>
      </c>
      <c r="H649" t="s">
        <v>2515</v>
      </c>
      <c r="I649" s="422">
        <v>45680</v>
      </c>
      <c r="J649" s="422">
        <v>46173</v>
      </c>
      <c r="K649">
        <v>480000</v>
      </c>
      <c r="L649">
        <v>480000</v>
      </c>
      <c r="M649" t="s">
        <v>2516</v>
      </c>
      <c r="N649" t="s">
        <v>1691</v>
      </c>
      <c r="O649" t="str">
        <f>_xlfn.IFNA(VLOOKUP(Table1[[#This Row],[Lead Source]],'helper tab'!A:B,2,FALSE),"Exclude")</f>
        <v>Exclude</v>
      </c>
      <c r="P649" s="422">
        <f t="shared" si="110"/>
        <v>45790.286111111112</v>
      </c>
      <c r="Q649">
        <f t="shared" si="111"/>
        <v>0</v>
      </c>
      <c r="R649">
        <f t="shared" si="112"/>
        <v>0</v>
      </c>
      <c r="S649">
        <f>IF(
AND($Q649=1,$M649&lt;&gt;""),
IF(
COUNTIFS(
$M$3:$M649,$M649,
$O$3:$O649,$O649,
$Q$3:$Q649,1,
$P$3:$P649,"&gt;="&amp;EOMONTH($P649,-1)+1,
$P$3:$P649,"&lt;"&amp;EOMONTH($P649,0)+1
)=1,
1,
0),
0)</f>
        <v>0</v>
      </c>
      <c r="T649">
        <f>IF(AND($R649=1,$M649&lt;&gt;""),IF(COUNTIFS($M$3:$M649,$M649,$O$3:$O649,$O649,$R$3:$R649,1,$P$3:$P649,"&gt;="&amp;EOMONTH($P649,-1)+1,$P$3:$P649,"&lt;"&amp;EOMONTH($P649,0)+1)=1,1,0),0)</f>
        <v>0</v>
      </c>
      <c r="U649">
        <f t="shared" si="113"/>
        <v>0</v>
      </c>
      <c r="V649">
        <f>IF(AND($U649=1,$M649&lt;&gt;""),IF(COUNTIFS($M$3:$M649,$M649,$O$3:$O649,$O649,$U$3:$U649,1,$P$3:$P649,"&gt;="&amp;EOMONTH($P649,-1)+1,$P$3:$P649,"&lt;"&amp;EOMONTH($P649,0)+1)=1,1,0),0)</f>
        <v>0</v>
      </c>
      <c r="W649" s="444">
        <f ca="1">TODAY()-Table1[[#This Row],[Change Date]]</f>
        <v>467.7138888888876</v>
      </c>
      <c r="X649" s="422">
        <f t="shared" si="114"/>
        <v>45971.408333333333</v>
      </c>
      <c r="Y649" s="476">
        <f ca="1">IF(Table1[[#This Row],[Next Stage Date]]&lt;&gt;"",Table1[[#This Row],[Next Stage Date]]-Table1[[#This Row],[Change Date]],TODAY()-Table1[[#This Row],[Change Date]])</f>
        <v>181.12222222222044</v>
      </c>
      <c r="Z649" s="476">
        <f t="shared" si="115"/>
        <v>0</v>
      </c>
      <c r="AA649" s="422" t="str">
        <f t="shared" si="116"/>
        <v/>
      </c>
      <c r="AB649" s="422" t="str">
        <f t="shared" si="117"/>
        <v/>
      </c>
      <c r="AC649" s="476" t="str">
        <f t="shared" si="118"/>
        <v/>
      </c>
      <c r="AD649" s="476" t="str">
        <f t="shared" si="119"/>
        <v/>
      </c>
      <c r="AE649" s="476" t="str">
        <f t="shared" si="120"/>
        <v/>
      </c>
      <c r="AF649" s="476" t="b">
        <f>IFERROR(_xlfn.XLOOKUP(Table1[[#This Row],[Opportunity ID]],'Aging Detail'!$H$14:$H$20,'Aging Detail'!$F$14:$F$20),TRUE)</f>
        <v>1</v>
      </c>
    </row>
    <row r="650" spans="1:32">
      <c r="A650" t="s">
        <v>1461</v>
      </c>
      <c r="B650" t="s">
        <v>1462</v>
      </c>
      <c r="C650" t="s">
        <v>1469</v>
      </c>
      <c r="D650" t="s">
        <v>3059</v>
      </c>
      <c r="E650" t="s">
        <v>3060</v>
      </c>
      <c r="I650" s="422">
        <v>45611</v>
      </c>
      <c r="J650" s="422">
        <v>45840</v>
      </c>
      <c r="K650">
        <v>0</v>
      </c>
      <c r="L650">
        <v>0</v>
      </c>
      <c r="M650" t="s">
        <v>3061</v>
      </c>
      <c r="N650" t="s">
        <v>1691</v>
      </c>
      <c r="O650" t="str">
        <f>_xlfn.IFNA(VLOOKUP(Table1[[#This Row],[Lead Source]],'helper tab'!A:B,2,FALSE),"Exclude")</f>
        <v>Exclude</v>
      </c>
      <c r="P650" s="422">
        <f t="shared" si="110"/>
        <v>45790.282638888886</v>
      </c>
      <c r="Q650">
        <f t="shared" si="111"/>
        <v>0</v>
      </c>
      <c r="R650">
        <f t="shared" si="112"/>
        <v>0</v>
      </c>
      <c r="S650">
        <f>IF(
AND($Q650=1,$M650&lt;&gt;""),
IF(
COUNTIFS(
$M$3:$M650,$M650,
$O$3:$O650,$O650,
$Q$3:$Q650,1,
$P$3:$P650,"&gt;="&amp;EOMONTH($P650,-1)+1,
$P$3:$P650,"&lt;"&amp;EOMONTH($P650,0)+1
)=1,
1,
0),
0)</f>
        <v>0</v>
      </c>
      <c r="T650">
        <f>IF(AND($R650=1,$M650&lt;&gt;""),IF(COUNTIFS($M$3:$M650,$M650,$O$3:$O650,$O650,$R$3:$R650,1,$P$3:$P650,"&gt;="&amp;EOMONTH($P650,-1)+1,$P$3:$P650,"&lt;"&amp;EOMONTH($P650,0)+1)=1,1,0),0)</f>
        <v>0</v>
      </c>
      <c r="U650">
        <f t="shared" si="113"/>
        <v>1</v>
      </c>
      <c r="V650">
        <f>IF(AND($U650=1,$M650&lt;&gt;""),IF(COUNTIFS($M$3:$M650,$M650,$O$3:$O650,$O650,$U$3:$U650,1,$P$3:$P650,"&gt;="&amp;EOMONTH($P650,-1)+1,$P$3:$P650,"&lt;"&amp;EOMONTH($P650,0)+1)=1,1,0),0)</f>
        <v>1</v>
      </c>
      <c r="W650" s="444">
        <f ca="1">TODAY()-Table1[[#This Row],[Change Date]]</f>
        <v>467.71736111111386</v>
      </c>
      <c r="X650" s="422" t="str">
        <f t="shared" si="114"/>
        <v/>
      </c>
      <c r="Y650" s="476">
        <f ca="1">IF(Table1[[#This Row],[Next Stage Date]]&lt;&gt;"",Table1[[#This Row],[Next Stage Date]]-Table1[[#This Row],[Change Date]],TODAY()-Table1[[#This Row],[Change Date]])</f>
        <v>467.71736111111386</v>
      </c>
      <c r="Z650" s="476">
        <f t="shared" si="115"/>
        <v>1</v>
      </c>
      <c r="AA650" s="422" t="str">
        <f t="shared" si="116"/>
        <v/>
      </c>
      <c r="AB650" s="422" t="str">
        <f t="shared" si="117"/>
        <v/>
      </c>
      <c r="AC650" s="476" t="str">
        <f t="shared" si="118"/>
        <v/>
      </c>
      <c r="AD650" s="476" t="str">
        <f t="shared" si="119"/>
        <v/>
      </c>
      <c r="AE650" s="476" t="str">
        <f t="shared" si="120"/>
        <v/>
      </c>
      <c r="AF650" s="476" t="b">
        <f>IFERROR(_xlfn.XLOOKUP(Table1[[#This Row],[Opportunity ID]],'Aging Detail'!$H$14:$H$20,'Aging Detail'!$F$14:$F$20),TRUE)</f>
        <v>1</v>
      </c>
    </row>
    <row r="651" spans="1:32">
      <c r="A651" t="s">
        <v>1461</v>
      </c>
      <c r="B651" t="s">
        <v>1462</v>
      </c>
      <c r="C651" t="s">
        <v>1469</v>
      </c>
      <c r="D651" t="s">
        <v>3062</v>
      </c>
      <c r="E651" t="s">
        <v>3063</v>
      </c>
      <c r="F651" t="s">
        <v>1463</v>
      </c>
      <c r="I651" s="422">
        <v>45068</v>
      </c>
      <c r="J651" s="422">
        <v>45930</v>
      </c>
      <c r="K651">
        <v>900000</v>
      </c>
      <c r="L651">
        <v>600000</v>
      </c>
      <c r="M651" t="s">
        <v>3064</v>
      </c>
      <c r="N651" t="s">
        <v>3063</v>
      </c>
      <c r="O651" t="str">
        <f>_xlfn.IFNA(VLOOKUP(Table1[[#This Row],[Lead Source]],'helper tab'!A:B,2,FALSE),"Exclude")</f>
        <v>Cold</v>
      </c>
      <c r="P651" s="422">
        <f t="shared" si="110"/>
        <v>45789.427083333336</v>
      </c>
      <c r="Q651">
        <f t="shared" si="111"/>
        <v>0</v>
      </c>
      <c r="R651">
        <f t="shared" si="112"/>
        <v>0</v>
      </c>
      <c r="S651">
        <f>IF(
AND($Q651=1,$M651&lt;&gt;""),
IF(
COUNTIFS(
$M$3:$M651,$M651,
$O$3:$O651,$O651,
$Q$3:$Q651,1,
$P$3:$P651,"&gt;="&amp;EOMONTH($P651,-1)+1,
$P$3:$P651,"&lt;"&amp;EOMONTH($P651,0)+1
)=1,
1,
0),
0)</f>
        <v>0</v>
      </c>
      <c r="T651">
        <f>IF(AND($R651=1,$M651&lt;&gt;""),IF(COUNTIFS($M$3:$M651,$M651,$O$3:$O651,$O651,$R$3:$R651,1,$P$3:$P651,"&gt;="&amp;EOMONTH($P651,-1)+1,$P$3:$P651,"&lt;"&amp;EOMONTH($P651,0)+1)=1,1,0),0)</f>
        <v>0</v>
      </c>
      <c r="U651">
        <f t="shared" si="113"/>
        <v>1</v>
      </c>
      <c r="V651">
        <f>IF(AND($U651=1,$M651&lt;&gt;""),IF(COUNTIFS($M$3:$M651,$M651,$O$3:$O651,$O651,$U$3:$U651,1,$P$3:$P651,"&gt;="&amp;EOMONTH($P651,-1)+1,$P$3:$P651,"&lt;"&amp;EOMONTH($P651,0)+1)=1,1,0),0)</f>
        <v>1</v>
      </c>
      <c r="W651" s="444">
        <f ca="1">TODAY()-Table1[[#This Row],[Change Date]]</f>
        <v>468.57291666666424</v>
      </c>
      <c r="X651" s="422" t="str">
        <f t="shared" si="114"/>
        <v/>
      </c>
      <c r="Y651" s="476">
        <f ca="1">IF(Table1[[#This Row],[Next Stage Date]]&lt;&gt;"",Table1[[#This Row],[Next Stage Date]]-Table1[[#This Row],[Change Date]],TODAY()-Table1[[#This Row],[Change Date]])</f>
        <v>468.57291666666424</v>
      </c>
      <c r="Z651" s="476">
        <f t="shared" si="115"/>
        <v>1</v>
      </c>
      <c r="AA651" s="422" t="str">
        <f t="shared" si="116"/>
        <v/>
      </c>
      <c r="AB651" s="422" t="str">
        <f t="shared" si="117"/>
        <v/>
      </c>
      <c r="AC651" s="476" t="str">
        <f t="shared" si="118"/>
        <v/>
      </c>
      <c r="AD651" s="476" t="str">
        <f t="shared" si="119"/>
        <v/>
      </c>
      <c r="AE651" s="476" t="str">
        <f t="shared" si="120"/>
        <v/>
      </c>
      <c r="AF651" s="476" t="b">
        <f>IFERROR(_xlfn.XLOOKUP(Table1[[#This Row],[Opportunity ID]],'Aging Detail'!$H$14:$H$20,'Aging Detail'!$F$14:$F$20),TRUE)</f>
        <v>1</v>
      </c>
    </row>
    <row r="652" spans="1:32">
      <c r="A652" t="s">
        <v>1461</v>
      </c>
      <c r="B652" t="s">
        <v>408</v>
      </c>
      <c r="C652" t="s">
        <v>563</v>
      </c>
      <c r="D652" t="s">
        <v>3065</v>
      </c>
      <c r="E652" t="s">
        <v>3066</v>
      </c>
      <c r="I652" s="422">
        <v>45709</v>
      </c>
      <c r="J652" s="422">
        <v>45786</v>
      </c>
      <c r="K652">
        <v>0</v>
      </c>
      <c r="L652">
        <v>0</v>
      </c>
      <c r="M652" t="s">
        <v>3067</v>
      </c>
      <c r="N652" t="s">
        <v>1739</v>
      </c>
      <c r="O652" t="str">
        <f>_xlfn.IFNA(VLOOKUP(Table1[[#This Row],[Lead Source]],'helper tab'!A:B,2,FALSE),"Exclude")</f>
        <v>Exclude</v>
      </c>
      <c r="P652" s="422">
        <f t="shared" si="110"/>
        <v>45786.566666666666</v>
      </c>
      <c r="Q652">
        <f t="shared" si="111"/>
        <v>0</v>
      </c>
      <c r="R652">
        <f t="shared" si="112"/>
        <v>1</v>
      </c>
      <c r="S652">
        <f>IF(
AND($Q652=1,$M652&lt;&gt;""),
IF(
COUNTIFS(
$M$3:$M652,$M652,
$O$3:$O652,$O652,
$Q$3:$Q652,1,
$P$3:$P652,"&gt;="&amp;EOMONTH($P652,-1)+1,
$P$3:$P652,"&lt;"&amp;EOMONTH($P652,0)+1
)=1,
1,
0),
0)</f>
        <v>0</v>
      </c>
      <c r="T652">
        <f>IF(AND($R652=1,$M652&lt;&gt;""),IF(COUNTIFS($M$3:$M652,$M652,$O$3:$O652,$O652,$R$3:$R652,1,$P$3:$P652,"&gt;="&amp;EOMONTH($P652,-1)+1,$P$3:$P652,"&lt;"&amp;EOMONTH($P652,0)+1)=1,1,0),0)</f>
        <v>1</v>
      </c>
      <c r="U652">
        <f t="shared" si="113"/>
        <v>0</v>
      </c>
      <c r="V652">
        <f>IF(AND($U652=1,$M652&lt;&gt;""),IF(COUNTIFS($M$3:$M652,$M652,$O$3:$O652,$O652,$U$3:$U652,1,$P$3:$P652,"&gt;="&amp;EOMONTH($P652,-1)+1,$P$3:$P652,"&lt;"&amp;EOMONTH($P652,0)+1)=1,1,0),0)</f>
        <v>0</v>
      </c>
      <c r="W652" s="444">
        <f ca="1">TODAY()-Table1[[#This Row],[Change Date]]</f>
        <v>471.4333333333343</v>
      </c>
      <c r="X652" s="422" t="str">
        <f t="shared" si="114"/>
        <v/>
      </c>
      <c r="Y652" s="476">
        <f ca="1">IF(Table1[[#This Row],[Next Stage Date]]&lt;&gt;"",Table1[[#This Row],[Next Stage Date]]-Table1[[#This Row],[Change Date]],TODAY()-Table1[[#This Row],[Change Date]])</f>
        <v>471.4333333333343</v>
      </c>
      <c r="Z652" s="476">
        <f t="shared" si="115"/>
        <v>1</v>
      </c>
      <c r="AA652" s="422">
        <f t="shared" si="116"/>
        <v>45786.566666666666</v>
      </c>
      <c r="AB652" s="422" t="str">
        <f t="shared" si="117"/>
        <v/>
      </c>
      <c r="AC652" s="476" t="str">
        <f t="shared" si="118"/>
        <v/>
      </c>
      <c r="AD652" s="476" t="str">
        <f t="shared" si="119"/>
        <v/>
      </c>
      <c r="AE652" s="476">
        <f t="shared" si="120"/>
        <v>77.566666666665697</v>
      </c>
      <c r="AF652" s="476" t="b">
        <f>IFERROR(_xlfn.XLOOKUP(Table1[[#This Row],[Opportunity ID]],'Aging Detail'!$H$14:$H$20,'Aging Detail'!$F$14:$F$20),TRUE)</f>
        <v>1</v>
      </c>
    </row>
    <row r="653" spans="1:32">
      <c r="A653" t="s">
        <v>1461</v>
      </c>
      <c r="B653" t="s">
        <v>462</v>
      </c>
      <c r="C653" t="s">
        <v>526</v>
      </c>
      <c r="D653" t="s">
        <v>3068</v>
      </c>
      <c r="E653" t="s">
        <v>3012</v>
      </c>
      <c r="F653" t="s">
        <v>148</v>
      </c>
      <c r="I653" s="422">
        <v>45554</v>
      </c>
      <c r="J653" s="422">
        <v>45811</v>
      </c>
      <c r="K653">
        <v>50000</v>
      </c>
      <c r="L653">
        <v>50000</v>
      </c>
      <c r="M653" t="s">
        <v>3013</v>
      </c>
      <c r="N653" t="s">
        <v>1752</v>
      </c>
      <c r="O653" t="str">
        <f>_xlfn.IFNA(VLOOKUP(Table1[[#This Row],[Lead Source]],'helper tab'!A:B,2,FALSE),"Exclude")</f>
        <v>Alliances</v>
      </c>
      <c r="P653" s="422">
        <f t="shared" si="110"/>
        <v>45786.505555555559</v>
      </c>
      <c r="Q653">
        <f t="shared" si="111"/>
        <v>1</v>
      </c>
      <c r="R653">
        <f t="shared" si="112"/>
        <v>0</v>
      </c>
      <c r="S653">
        <f>IF(
AND($Q653=1,$M653&lt;&gt;""),
IF(
COUNTIFS(
$M$3:$M653,$M653,
$O$3:$O653,$O653,
$Q$3:$Q653,1,
$P$3:$P653,"&gt;="&amp;EOMONTH($P653,-1)+1,
$P$3:$P653,"&lt;"&amp;EOMONTH($P653,0)+1
)=1,
1,
0),
0)</f>
        <v>1</v>
      </c>
      <c r="T653">
        <f>IF(AND($R653=1,$M653&lt;&gt;""),IF(COUNTIFS($M$3:$M653,$M653,$O$3:$O653,$O653,$R$3:$R653,1,$P$3:$P653,"&gt;="&amp;EOMONTH($P653,-1)+1,$P$3:$P653,"&lt;"&amp;EOMONTH($P653,0)+1)=1,1,0),0)</f>
        <v>0</v>
      </c>
      <c r="U653">
        <f t="shared" si="113"/>
        <v>0</v>
      </c>
      <c r="V653">
        <f>IF(AND($U653=1,$M653&lt;&gt;""),IF(COUNTIFS($M$3:$M653,$M653,$O$3:$O653,$O653,$U$3:$U653,1,$P$3:$P653,"&gt;="&amp;EOMONTH($P653,-1)+1,$P$3:$P653,"&lt;"&amp;EOMONTH($P653,0)+1)=1,1,0),0)</f>
        <v>0</v>
      </c>
      <c r="W653" s="444">
        <f ca="1">TODAY()-Table1[[#This Row],[Change Date]]</f>
        <v>471.49444444444089</v>
      </c>
      <c r="X653" s="422">
        <f t="shared" si="114"/>
        <v>45811.305555555555</v>
      </c>
      <c r="Y653" s="476">
        <f ca="1">IF(Table1[[#This Row],[Next Stage Date]]&lt;&gt;"",Table1[[#This Row],[Next Stage Date]]-Table1[[#This Row],[Change Date]],TODAY()-Table1[[#This Row],[Change Date]])</f>
        <v>24.799999999995634</v>
      </c>
      <c r="Z653" s="476">
        <f t="shared" si="115"/>
        <v>0</v>
      </c>
      <c r="AA653" s="422">
        <f t="shared" si="116"/>
        <v>45811.305555555555</v>
      </c>
      <c r="AB653" s="422">
        <f t="shared" si="117"/>
        <v>45744.474305555559</v>
      </c>
      <c r="AC653" s="476">
        <f t="shared" si="118"/>
        <v>190.47430555555911</v>
      </c>
      <c r="AD653" s="476">
        <f t="shared" si="119"/>
        <v>66.831249999995634</v>
      </c>
      <c r="AE653" s="476">
        <f t="shared" si="120"/>
        <v>257.30555555555475</v>
      </c>
      <c r="AF653" s="476" t="b">
        <f>IFERROR(_xlfn.XLOOKUP(Table1[[#This Row],[Opportunity ID]],'Aging Detail'!$H$14:$H$20,'Aging Detail'!$F$14:$F$20),TRUE)</f>
        <v>1</v>
      </c>
    </row>
    <row r="654" spans="1:32">
      <c r="A654" t="s">
        <v>1461</v>
      </c>
      <c r="B654" t="s">
        <v>1462</v>
      </c>
      <c r="C654" t="s">
        <v>462</v>
      </c>
      <c r="D654" t="s">
        <v>3069</v>
      </c>
      <c r="E654" t="s">
        <v>2536</v>
      </c>
      <c r="F654" t="s">
        <v>148</v>
      </c>
      <c r="I654" s="422">
        <v>45188</v>
      </c>
      <c r="J654" s="422">
        <v>45961</v>
      </c>
      <c r="K654">
        <v>798720</v>
      </c>
      <c r="L654">
        <v>249600</v>
      </c>
      <c r="M654" t="s">
        <v>95</v>
      </c>
      <c r="N654" t="s">
        <v>2537</v>
      </c>
      <c r="O654" t="str">
        <f>_xlfn.IFNA(VLOOKUP(Table1[[#This Row],[Lead Source]],'helper tab'!A:B,2,FALSE),"Exclude")</f>
        <v>Alliances</v>
      </c>
      <c r="P654" s="422">
        <f t="shared" si="110"/>
        <v>45786.50277777778</v>
      </c>
      <c r="Q654">
        <f t="shared" si="111"/>
        <v>1</v>
      </c>
      <c r="R654">
        <f t="shared" si="112"/>
        <v>0</v>
      </c>
      <c r="S654">
        <f>IF(
AND($Q654=1,$M654&lt;&gt;""),
IF(
COUNTIFS(
$M$3:$M654,$M654,
$O$3:$O654,$O654,
$Q$3:$Q654,1,
$P$3:$P654,"&gt;="&amp;EOMONTH($P654,-1)+1,
$P$3:$P654,"&lt;"&amp;EOMONTH($P654,0)+1
)=1,
1,
0),
0)</f>
        <v>1</v>
      </c>
      <c r="T654">
        <f>IF(AND($R654=1,$M654&lt;&gt;""),IF(COUNTIFS($M$3:$M654,$M654,$O$3:$O654,$O654,$R$3:$R654,1,$P$3:$P654,"&gt;="&amp;EOMONTH($P654,-1)+1,$P$3:$P654,"&lt;"&amp;EOMONTH($P654,0)+1)=1,1,0),0)</f>
        <v>0</v>
      </c>
      <c r="U654">
        <f t="shared" si="113"/>
        <v>0</v>
      </c>
      <c r="V654">
        <f>IF(AND($U654=1,$M654&lt;&gt;""),IF(COUNTIFS($M$3:$M654,$M654,$O$3:$O654,$O654,$U$3:$U654,1,$P$3:$P654,"&gt;="&amp;EOMONTH($P654,-1)+1,$P$3:$P654,"&lt;"&amp;EOMONTH($P654,0)+1)=1,1,0),0)</f>
        <v>0</v>
      </c>
      <c r="W654" s="444">
        <f ca="1">TODAY()-Table1[[#This Row],[Change Date]]</f>
        <v>471.49722222222044</v>
      </c>
      <c r="X654" s="422">
        <f t="shared" si="114"/>
        <v>45832.591666666667</v>
      </c>
      <c r="Y654" s="476">
        <f ca="1">IF(Table1[[#This Row],[Next Stage Date]]&lt;&gt;"",Table1[[#This Row],[Next Stage Date]]-Table1[[#This Row],[Change Date]],TODAY()-Table1[[#This Row],[Change Date]])</f>
        <v>46.088888888887595</v>
      </c>
      <c r="Z654" s="476">
        <f t="shared" si="115"/>
        <v>0</v>
      </c>
      <c r="AA654" s="422">
        <f t="shared" si="116"/>
        <v>45961.478472222225</v>
      </c>
      <c r="AB654" s="422">
        <f t="shared" si="117"/>
        <v>45786.50277777778</v>
      </c>
      <c r="AC654" s="476">
        <f t="shared" si="118"/>
        <v>598.50277777777956</v>
      </c>
      <c r="AD654" s="476">
        <f t="shared" si="119"/>
        <v>174.97569444444525</v>
      </c>
      <c r="AE654" s="476">
        <f t="shared" si="120"/>
        <v>773.47847222222481</v>
      </c>
      <c r="AF654" s="476" t="b">
        <f>IFERROR(_xlfn.XLOOKUP(Table1[[#This Row],[Opportunity ID]],'Aging Detail'!$H$14:$H$20,'Aging Detail'!$F$14:$F$20),TRUE)</f>
        <v>1</v>
      </c>
    </row>
    <row r="655" spans="1:32">
      <c r="A655" t="s">
        <v>1461</v>
      </c>
      <c r="B655" t="s">
        <v>408</v>
      </c>
      <c r="C655" t="s">
        <v>563</v>
      </c>
      <c r="D655" t="s">
        <v>3070</v>
      </c>
      <c r="E655" t="s">
        <v>3071</v>
      </c>
      <c r="I655" s="422">
        <v>45680</v>
      </c>
      <c r="J655" s="422">
        <v>45786</v>
      </c>
      <c r="K655">
        <v>415400</v>
      </c>
      <c r="L655">
        <v>0</v>
      </c>
      <c r="M655" t="s">
        <v>3072</v>
      </c>
      <c r="N655" t="s">
        <v>1831</v>
      </c>
      <c r="O655" t="str">
        <f>_xlfn.IFNA(VLOOKUP(Table1[[#This Row],[Lead Source]],'helper tab'!A:B,2,FALSE),"Exclude")</f>
        <v>Exclude</v>
      </c>
      <c r="P655" s="422">
        <f t="shared" si="110"/>
        <v>45786.490277777775</v>
      </c>
      <c r="Q655">
        <f t="shared" si="111"/>
        <v>0</v>
      </c>
      <c r="R655">
        <f t="shared" si="112"/>
        <v>1</v>
      </c>
      <c r="S655">
        <f>IF(
AND($Q655=1,$M655&lt;&gt;""),
IF(
COUNTIFS(
$M$3:$M655,$M655,
$O$3:$O655,$O655,
$Q$3:$Q655,1,
$P$3:$P655,"&gt;="&amp;EOMONTH($P655,-1)+1,
$P$3:$P655,"&lt;"&amp;EOMONTH($P655,0)+1
)=1,
1,
0),
0)</f>
        <v>0</v>
      </c>
      <c r="T655">
        <f>IF(AND($R655=1,$M655&lt;&gt;""),IF(COUNTIFS($M$3:$M655,$M655,$O$3:$O655,$O655,$R$3:$R655,1,$P$3:$P655,"&gt;="&amp;EOMONTH($P655,-1)+1,$P$3:$P655,"&lt;"&amp;EOMONTH($P655,0)+1)=1,1,0),0)</f>
        <v>1</v>
      </c>
      <c r="U655">
        <f t="shared" si="113"/>
        <v>0</v>
      </c>
      <c r="V655">
        <f>IF(AND($U655=1,$M655&lt;&gt;""),IF(COUNTIFS($M$3:$M655,$M655,$O$3:$O655,$O655,$U$3:$U655,1,$P$3:$P655,"&gt;="&amp;EOMONTH($P655,-1)+1,$P$3:$P655,"&lt;"&amp;EOMONTH($P655,0)+1)=1,1,0),0)</f>
        <v>0</v>
      </c>
      <c r="W655" s="444">
        <f ca="1">TODAY()-Table1[[#This Row],[Change Date]]</f>
        <v>471.50972222222481</v>
      </c>
      <c r="X655" s="422" t="str">
        <f t="shared" si="114"/>
        <v/>
      </c>
      <c r="Y655" s="476">
        <f ca="1">IF(Table1[[#This Row],[Next Stage Date]]&lt;&gt;"",Table1[[#This Row],[Next Stage Date]]-Table1[[#This Row],[Change Date]],TODAY()-Table1[[#This Row],[Change Date]])</f>
        <v>471.50972222222481</v>
      </c>
      <c r="Z655" s="476">
        <f t="shared" si="115"/>
        <v>1</v>
      </c>
      <c r="AA655" s="422">
        <f t="shared" si="116"/>
        <v>45786.490277777775</v>
      </c>
      <c r="AB655" s="422" t="str">
        <f t="shared" si="117"/>
        <v/>
      </c>
      <c r="AC655" s="476" t="str">
        <f t="shared" si="118"/>
        <v/>
      </c>
      <c r="AD655" s="476" t="str">
        <f t="shared" si="119"/>
        <v/>
      </c>
      <c r="AE655" s="476">
        <f t="shared" si="120"/>
        <v>106.49027777777519</v>
      </c>
      <c r="AF655" s="476" t="b">
        <f>IFERROR(_xlfn.XLOOKUP(Table1[[#This Row],[Opportunity ID]],'Aging Detail'!$H$14:$H$20,'Aging Detail'!$F$14:$F$20),TRUE)</f>
        <v>1</v>
      </c>
    </row>
    <row r="656" spans="1:32">
      <c r="A656" t="s">
        <v>1461</v>
      </c>
      <c r="B656" t="s">
        <v>338</v>
      </c>
      <c r="C656" t="s">
        <v>1469</v>
      </c>
      <c r="D656" t="s">
        <v>3073</v>
      </c>
      <c r="E656" t="s">
        <v>3074</v>
      </c>
      <c r="F656" t="s">
        <v>1463</v>
      </c>
      <c r="I656" s="422">
        <v>44977</v>
      </c>
      <c r="J656" s="422">
        <v>46022</v>
      </c>
      <c r="K656">
        <v>537600</v>
      </c>
      <c r="L656">
        <v>237600</v>
      </c>
      <c r="M656" t="s">
        <v>3075</v>
      </c>
      <c r="N656" t="s">
        <v>3074</v>
      </c>
      <c r="O656" t="str">
        <f>_xlfn.IFNA(VLOOKUP(Table1[[#This Row],[Lead Source]],'helper tab'!A:B,2,FALSE),"Exclude")</f>
        <v>Cold</v>
      </c>
      <c r="P656" s="422">
        <f t="shared" si="110"/>
        <v>45786.438194444447</v>
      </c>
      <c r="Q656">
        <f t="shared" si="111"/>
        <v>0</v>
      </c>
      <c r="R656">
        <f t="shared" si="112"/>
        <v>0</v>
      </c>
      <c r="S656">
        <f>IF(
AND($Q656=1,$M656&lt;&gt;""),
IF(
COUNTIFS(
$M$3:$M656,$M656,
$O$3:$O656,$O656,
$Q$3:$Q656,1,
$P$3:$P656,"&gt;="&amp;EOMONTH($P656,-1)+1,
$P$3:$P656,"&lt;"&amp;EOMONTH($P656,0)+1
)=1,
1,
0),
0)</f>
        <v>0</v>
      </c>
      <c r="T656">
        <f>IF(AND($R656=1,$M656&lt;&gt;""),IF(COUNTIFS($M$3:$M656,$M656,$O$3:$O656,$O656,$R$3:$R656,1,$P$3:$P656,"&gt;="&amp;EOMONTH($P656,-1)+1,$P$3:$P656,"&lt;"&amp;EOMONTH($P656,0)+1)=1,1,0),0)</f>
        <v>0</v>
      </c>
      <c r="U656">
        <f t="shared" si="113"/>
        <v>1</v>
      </c>
      <c r="V656">
        <f>IF(AND($U656=1,$M656&lt;&gt;""),IF(COUNTIFS($M$3:$M656,$M656,$O$3:$O656,$O656,$U$3:$U656,1,$P$3:$P656,"&gt;="&amp;EOMONTH($P656,-1)+1,$P$3:$P656,"&lt;"&amp;EOMONTH($P656,0)+1)=1,1,0),0)</f>
        <v>1</v>
      </c>
      <c r="W656" s="444">
        <f ca="1">TODAY()-Table1[[#This Row],[Change Date]]</f>
        <v>471.56180555555329</v>
      </c>
      <c r="X656" s="422" t="str">
        <f t="shared" si="114"/>
        <v/>
      </c>
      <c r="Y656" s="476">
        <f ca="1">IF(Table1[[#This Row],[Next Stage Date]]&lt;&gt;"",Table1[[#This Row],[Next Stage Date]]-Table1[[#This Row],[Change Date]],TODAY()-Table1[[#This Row],[Change Date]])</f>
        <v>471.56180555555329</v>
      </c>
      <c r="Z656" s="476">
        <f t="shared" si="115"/>
        <v>1</v>
      </c>
      <c r="AA656" s="422" t="str">
        <f t="shared" si="116"/>
        <v/>
      </c>
      <c r="AB656" s="422" t="str">
        <f t="shared" si="117"/>
        <v/>
      </c>
      <c r="AC656" s="476" t="str">
        <f t="shared" si="118"/>
        <v/>
      </c>
      <c r="AD656" s="476" t="str">
        <f t="shared" si="119"/>
        <v/>
      </c>
      <c r="AE656" s="476" t="str">
        <f t="shared" si="120"/>
        <v/>
      </c>
      <c r="AF656" s="476" t="b">
        <f>IFERROR(_xlfn.XLOOKUP(Table1[[#This Row],[Opportunity ID]],'Aging Detail'!$H$14:$H$20,'Aging Detail'!$F$14:$F$20),TRUE)</f>
        <v>1</v>
      </c>
    </row>
    <row r="657" spans="1:32">
      <c r="A657" t="s">
        <v>1461</v>
      </c>
      <c r="B657" t="s">
        <v>338</v>
      </c>
      <c r="C657" t="s">
        <v>1469</v>
      </c>
      <c r="D657" t="s">
        <v>3076</v>
      </c>
      <c r="E657" t="s">
        <v>156</v>
      </c>
      <c r="F657" t="s">
        <v>1478</v>
      </c>
      <c r="G657" t="s">
        <v>1478</v>
      </c>
      <c r="I657" s="422">
        <v>45736</v>
      </c>
      <c r="J657" s="422">
        <v>45747</v>
      </c>
      <c r="L657">
        <v>0</v>
      </c>
      <c r="M657" t="s">
        <v>3077</v>
      </c>
      <c r="N657" t="s">
        <v>1873</v>
      </c>
      <c r="O657" t="str">
        <f>_xlfn.IFNA(VLOOKUP(Table1[[#This Row],[Lead Source]],'helper tab'!A:B,2,FALSE),"Exclude")</f>
        <v>Digital</v>
      </c>
      <c r="P657" s="422">
        <f t="shared" si="110"/>
        <v>45785.299305555556</v>
      </c>
      <c r="Q657">
        <f t="shared" si="111"/>
        <v>0</v>
      </c>
      <c r="R657">
        <f t="shared" si="112"/>
        <v>0</v>
      </c>
      <c r="S657">
        <f>IF(
AND($Q657=1,$M657&lt;&gt;""),
IF(
COUNTIFS(
$M$3:$M657,$M657,
$O$3:$O657,$O657,
$Q$3:$Q657,1,
$P$3:$P657,"&gt;="&amp;EOMONTH($P657,-1)+1,
$P$3:$P657,"&lt;"&amp;EOMONTH($P657,0)+1
)=1,
1,
0),
0)</f>
        <v>0</v>
      </c>
      <c r="T657">
        <f>IF(AND($R657=1,$M657&lt;&gt;""),IF(COUNTIFS($M$3:$M657,$M657,$O$3:$O657,$O657,$R$3:$R657,1,$P$3:$P657,"&gt;="&amp;EOMONTH($P657,-1)+1,$P$3:$P657,"&lt;"&amp;EOMONTH($P657,0)+1)=1,1,0),0)</f>
        <v>0</v>
      </c>
      <c r="U657">
        <f t="shared" si="113"/>
        <v>1</v>
      </c>
      <c r="V657">
        <f>IF(AND($U657=1,$M657&lt;&gt;""),IF(COUNTIFS($M$3:$M657,$M657,$O$3:$O657,$O657,$U$3:$U657,1,$P$3:$P657,"&gt;="&amp;EOMONTH($P657,-1)+1,$P$3:$P657,"&lt;"&amp;EOMONTH($P657,0)+1)=1,1,0),0)</f>
        <v>1</v>
      </c>
      <c r="W657" s="444">
        <f ca="1">TODAY()-Table1[[#This Row],[Change Date]]</f>
        <v>472.7006944444438</v>
      </c>
      <c r="X657" s="422" t="str">
        <f t="shared" si="114"/>
        <v/>
      </c>
      <c r="Y657" s="476">
        <f ca="1">IF(Table1[[#This Row],[Next Stage Date]]&lt;&gt;"",Table1[[#This Row],[Next Stage Date]]-Table1[[#This Row],[Change Date]],TODAY()-Table1[[#This Row],[Change Date]])</f>
        <v>472.7006944444438</v>
      </c>
      <c r="Z657" s="476">
        <f t="shared" si="115"/>
        <v>1</v>
      </c>
      <c r="AA657" s="422" t="str">
        <f t="shared" si="116"/>
        <v/>
      </c>
      <c r="AB657" s="422" t="str">
        <f t="shared" si="117"/>
        <v/>
      </c>
      <c r="AC657" s="476" t="str">
        <f t="shared" si="118"/>
        <v/>
      </c>
      <c r="AD657" s="476" t="str">
        <f t="shared" si="119"/>
        <v/>
      </c>
      <c r="AE657" s="476" t="str">
        <f t="shared" si="120"/>
        <v/>
      </c>
      <c r="AF657" s="476" t="b">
        <f>IFERROR(_xlfn.XLOOKUP(Table1[[#This Row],[Opportunity ID]],'Aging Detail'!$H$14:$H$20,'Aging Detail'!$F$14:$F$20),TRUE)</f>
        <v>1</v>
      </c>
    </row>
    <row r="658" spans="1:32">
      <c r="A658" t="s">
        <v>1461</v>
      </c>
      <c r="B658" t="s">
        <v>338</v>
      </c>
      <c r="C658" t="s">
        <v>462</v>
      </c>
      <c r="D658" t="s">
        <v>3078</v>
      </c>
      <c r="E658" t="s">
        <v>2783</v>
      </c>
      <c r="I658" s="422">
        <v>45769</v>
      </c>
      <c r="J658" s="422">
        <v>45884</v>
      </c>
      <c r="K658">
        <v>0</v>
      </c>
      <c r="L658">
        <v>0</v>
      </c>
      <c r="M658" t="s">
        <v>2784</v>
      </c>
      <c r="N658" t="s">
        <v>1625</v>
      </c>
      <c r="O658" t="str">
        <f>_xlfn.IFNA(VLOOKUP(Table1[[#This Row],[Lead Source]],'helper tab'!A:B,2,FALSE),"Exclude")</f>
        <v>Exclude</v>
      </c>
      <c r="P658" s="422">
        <f t="shared" si="110"/>
        <v>45785.285416666666</v>
      </c>
      <c r="Q658">
        <f t="shared" si="111"/>
        <v>1</v>
      </c>
      <c r="R658">
        <f t="shared" si="112"/>
        <v>0</v>
      </c>
      <c r="S658">
        <f>IF(
AND($Q658=1,$M658&lt;&gt;""),
IF(
COUNTIFS(
$M$3:$M658,$M658,
$O$3:$O658,$O658,
$Q$3:$Q658,1,
$P$3:$P658,"&gt;="&amp;EOMONTH($P658,-1)+1,
$P$3:$P658,"&lt;"&amp;EOMONTH($P658,0)+1
)=1,
1,
0),
0)</f>
        <v>1</v>
      </c>
      <c r="T658">
        <f>IF(AND($R658=1,$M658&lt;&gt;""),IF(COUNTIFS($M$3:$M658,$M658,$O$3:$O658,$O658,$R$3:$R658,1,$P$3:$P658,"&gt;="&amp;EOMONTH($P658,-1)+1,$P$3:$P658,"&lt;"&amp;EOMONTH($P658,0)+1)=1,1,0),0)</f>
        <v>0</v>
      </c>
      <c r="U658">
        <f t="shared" si="113"/>
        <v>0</v>
      </c>
      <c r="V658">
        <f>IF(AND($U658=1,$M658&lt;&gt;""),IF(COUNTIFS($M$3:$M658,$M658,$O$3:$O658,$O658,$U$3:$U658,1,$P$3:$P658,"&gt;="&amp;EOMONTH($P658,-1)+1,$P$3:$P658,"&lt;"&amp;EOMONTH($P658,0)+1)=1,1,0),0)</f>
        <v>0</v>
      </c>
      <c r="W658" s="444">
        <f ca="1">TODAY()-Table1[[#This Row],[Change Date]]</f>
        <v>472.7145833333343</v>
      </c>
      <c r="X658" s="422">
        <f t="shared" si="114"/>
        <v>45902.374305555553</v>
      </c>
      <c r="Y658" s="476">
        <f ca="1">IF(Table1[[#This Row],[Next Stage Date]]&lt;&gt;"",Table1[[#This Row],[Next Stage Date]]-Table1[[#This Row],[Change Date]],TODAY()-Table1[[#This Row],[Change Date]])</f>
        <v>117.0888888888876</v>
      </c>
      <c r="Z658" s="476">
        <f t="shared" si="115"/>
        <v>0</v>
      </c>
      <c r="AA658" s="422">
        <f t="shared" si="116"/>
        <v>45902.374305555553</v>
      </c>
      <c r="AB658" s="422">
        <f t="shared" si="117"/>
        <v>45785.285416666666</v>
      </c>
      <c r="AC658" s="476">
        <f t="shared" si="118"/>
        <v>16.285416666665697</v>
      </c>
      <c r="AD658" s="476">
        <f t="shared" si="119"/>
        <v>117.0888888888876</v>
      </c>
      <c r="AE658" s="476">
        <f t="shared" si="120"/>
        <v>133.37430555555329</v>
      </c>
      <c r="AF658" s="476" t="b">
        <f>IFERROR(_xlfn.XLOOKUP(Table1[[#This Row],[Opportunity ID]],'Aging Detail'!$H$14:$H$20,'Aging Detail'!$F$14:$F$20),TRUE)</f>
        <v>1</v>
      </c>
    </row>
    <row r="659" spans="1:32">
      <c r="A659" t="s">
        <v>1461</v>
      </c>
      <c r="B659" t="s">
        <v>408</v>
      </c>
      <c r="C659" t="s">
        <v>1469</v>
      </c>
      <c r="D659" t="s">
        <v>3079</v>
      </c>
      <c r="E659" t="s">
        <v>3080</v>
      </c>
      <c r="F659" t="s">
        <v>1473</v>
      </c>
      <c r="I659" s="422">
        <v>45369</v>
      </c>
      <c r="J659" s="422">
        <v>46022</v>
      </c>
      <c r="K659">
        <v>204000</v>
      </c>
      <c r="L659">
        <v>99000</v>
      </c>
      <c r="M659" t="s">
        <v>3081</v>
      </c>
      <c r="N659" t="s">
        <v>3082</v>
      </c>
      <c r="O659" t="str">
        <f>_xlfn.IFNA(VLOOKUP(Table1[[#This Row],[Lead Source]],'helper tab'!A:B,2,FALSE),"Exclude")</f>
        <v>Events</v>
      </c>
      <c r="P659" s="422">
        <f t="shared" si="110"/>
        <v>45782.745138888888</v>
      </c>
      <c r="Q659">
        <f t="shared" si="111"/>
        <v>0</v>
      </c>
      <c r="R659">
        <f t="shared" si="112"/>
        <v>0</v>
      </c>
      <c r="S659">
        <f>IF(
AND($Q659=1,$M659&lt;&gt;""),
IF(
COUNTIFS(
$M$3:$M659,$M659,
$O$3:$O659,$O659,
$Q$3:$Q659,1,
$P$3:$P659,"&gt;="&amp;EOMONTH($P659,-1)+1,
$P$3:$P659,"&lt;"&amp;EOMONTH($P659,0)+1
)=1,
1,
0),
0)</f>
        <v>0</v>
      </c>
      <c r="T659">
        <f>IF(AND($R659=1,$M659&lt;&gt;""),IF(COUNTIFS($M$3:$M659,$M659,$O$3:$O659,$O659,$R$3:$R659,1,$P$3:$P659,"&gt;="&amp;EOMONTH($P659,-1)+1,$P$3:$P659,"&lt;"&amp;EOMONTH($P659,0)+1)=1,1,0),0)</f>
        <v>0</v>
      </c>
      <c r="U659">
        <f t="shared" si="113"/>
        <v>1</v>
      </c>
      <c r="V659">
        <f>IF(AND($U659=1,$M659&lt;&gt;""),IF(COUNTIFS($M$3:$M659,$M659,$O$3:$O659,$O659,$U$3:$U659,1,$P$3:$P659,"&gt;="&amp;EOMONTH($P659,-1)+1,$P$3:$P659,"&lt;"&amp;EOMONTH($P659,0)+1)=1,1,0),0)</f>
        <v>1</v>
      </c>
      <c r="W659" s="444">
        <f ca="1">TODAY()-Table1[[#This Row],[Change Date]]</f>
        <v>475.2548611111124</v>
      </c>
      <c r="X659" s="422" t="str">
        <f t="shared" si="114"/>
        <v/>
      </c>
      <c r="Y659" s="476">
        <f ca="1">IF(Table1[[#This Row],[Next Stage Date]]&lt;&gt;"",Table1[[#This Row],[Next Stage Date]]-Table1[[#This Row],[Change Date]],TODAY()-Table1[[#This Row],[Change Date]])</f>
        <v>475.2548611111124</v>
      </c>
      <c r="Z659" s="476">
        <f t="shared" si="115"/>
        <v>1</v>
      </c>
      <c r="AA659" s="422" t="str">
        <f t="shared" si="116"/>
        <v/>
      </c>
      <c r="AB659" s="422" t="str">
        <f t="shared" si="117"/>
        <v/>
      </c>
      <c r="AC659" s="476" t="str">
        <f t="shared" si="118"/>
        <v/>
      </c>
      <c r="AD659" s="476" t="str">
        <f t="shared" si="119"/>
        <v/>
      </c>
      <c r="AE659" s="476" t="str">
        <f t="shared" si="120"/>
        <v/>
      </c>
      <c r="AF659" s="476" t="b">
        <f>IFERROR(_xlfn.XLOOKUP(Table1[[#This Row],[Opportunity ID]],'Aging Detail'!$H$14:$H$20,'Aging Detail'!$F$14:$F$20),TRUE)</f>
        <v>1</v>
      </c>
    </row>
    <row r="660" spans="1:32">
      <c r="A660" t="s">
        <v>1461</v>
      </c>
      <c r="B660" t="s">
        <v>408</v>
      </c>
      <c r="C660" t="s">
        <v>1469</v>
      </c>
      <c r="D660" t="s">
        <v>3083</v>
      </c>
      <c r="E660" t="s">
        <v>3084</v>
      </c>
      <c r="F660" t="s">
        <v>1483</v>
      </c>
      <c r="I660" s="422">
        <v>45447</v>
      </c>
      <c r="J660" s="422">
        <v>46022</v>
      </c>
      <c r="K660">
        <v>50000</v>
      </c>
      <c r="L660">
        <v>50000</v>
      </c>
      <c r="M660" t="s">
        <v>3085</v>
      </c>
      <c r="N660" t="s">
        <v>3086</v>
      </c>
      <c r="O660" t="str">
        <f>_xlfn.IFNA(VLOOKUP(Table1[[#This Row],[Lead Source]],'helper tab'!A:B,2,FALSE),"Exclude")</f>
        <v>Cold</v>
      </c>
      <c r="P660" s="422">
        <f t="shared" si="110"/>
        <v>45782.731249999997</v>
      </c>
      <c r="Q660">
        <f t="shared" si="111"/>
        <v>0</v>
      </c>
      <c r="R660">
        <f t="shared" si="112"/>
        <v>0</v>
      </c>
      <c r="S660">
        <f>IF(
AND($Q660=1,$M660&lt;&gt;""),
IF(
COUNTIFS(
$M$3:$M660,$M660,
$O$3:$O660,$O660,
$Q$3:$Q660,1,
$P$3:$P660,"&gt;="&amp;EOMONTH($P660,-1)+1,
$P$3:$P660,"&lt;"&amp;EOMONTH($P660,0)+1
)=1,
1,
0),
0)</f>
        <v>0</v>
      </c>
      <c r="T660">
        <f>IF(AND($R660=1,$M660&lt;&gt;""),IF(COUNTIFS($M$3:$M660,$M660,$O$3:$O660,$O660,$R$3:$R660,1,$P$3:$P660,"&gt;="&amp;EOMONTH($P660,-1)+1,$P$3:$P660,"&lt;"&amp;EOMONTH($P660,0)+1)=1,1,0),0)</f>
        <v>0</v>
      </c>
      <c r="U660">
        <f t="shared" si="113"/>
        <v>1</v>
      </c>
      <c r="V660">
        <f>IF(AND($U660=1,$M660&lt;&gt;""),IF(COUNTIFS($M$3:$M660,$M660,$O$3:$O660,$O660,$U$3:$U660,1,$P$3:$P660,"&gt;="&amp;EOMONTH($P660,-1)+1,$P$3:$P660,"&lt;"&amp;EOMONTH($P660,0)+1)=1,1,0),0)</f>
        <v>1</v>
      </c>
      <c r="W660" s="444">
        <f ca="1">TODAY()-Table1[[#This Row],[Change Date]]</f>
        <v>475.26875000000291</v>
      </c>
      <c r="X660" s="422" t="str">
        <f t="shared" si="114"/>
        <v/>
      </c>
      <c r="Y660" s="476">
        <f ca="1">IF(Table1[[#This Row],[Next Stage Date]]&lt;&gt;"",Table1[[#This Row],[Next Stage Date]]-Table1[[#This Row],[Change Date]],TODAY()-Table1[[#This Row],[Change Date]])</f>
        <v>475.26875000000291</v>
      </c>
      <c r="Z660" s="476">
        <f t="shared" si="115"/>
        <v>1</v>
      </c>
      <c r="AA660" s="422" t="str">
        <f t="shared" si="116"/>
        <v/>
      </c>
      <c r="AB660" s="422" t="str">
        <f t="shared" si="117"/>
        <v/>
      </c>
      <c r="AC660" s="476" t="str">
        <f t="shared" si="118"/>
        <v/>
      </c>
      <c r="AD660" s="476" t="str">
        <f t="shared" si="119"/>
        <v/>
      </c>
      <c r="AE660" s="476" t="str">
        <f t="shared" si="120"/>
        <v/>
      </c>
      <c r="AF660" s="476" t="b">
        <f>IFERROR(_xlfn.XLOOKUP(Table1[[#This Row],[Opportunity ID]],'Aging Detail'!$H$14:$H$20,'Aging Detail'!$F$14:$F$20),TRUE)</f>
        <v>1</v>
      </c>
    </row>
    <row r="661" spans="1:32">
      <c r="A661" t="s">
        <v>1461</v>
      </c>
      <c r="B661" t="s">
        <v>1462</v>
      </c>
      <c r="C661" t="s">
        <v>1469</v>
      </c>
      <c r="D661" t="s">
        <v>3087</v>
      </c>
      <c r="E661" t="s">
        <v>3088</v>
      </c>
      <c r="I661" s="422">
        <v>45541</v>
      </c>
      <c r="J661" s="422">
        <v>45900</v>
      </c>
      <c r="K661">
        <v>301800</v>
      </c>
      <c r="L661">
        <v>223800</v>
      </c>
      <c r="M661" t="s">
        <v>3089</v>
      </c>
      <c r="N661" t="s">
        <v>1758</v>
      </c>
      <c r="O661" t="str">
        <f>_xlfn.IFNA(VLOOKUP(Table1[[#This Row],[Lead Source]],'helper tab'!A:B,2,FALSE),"Exclude")</f>
        <v>Exclude</v>
      </c>
      <c r="P661" s="422">
        <f t="shared" si="110"/>
        <v>45782.710416666669</v>
      </c>
      <c r="Q661">
        <f t="shared" si="111"/>
        <v>0</v>
      </c>
      <c r="R661">
        <f t="shared" si="112"/>
        <v>0</v>
      </c>
      <c r="S661">
        <f>IF(
AND($Q661=1,$M661&lt;&gt;""),
IF(
COUNTIFS(
$M$3:$M661,$M661,
$O$3:$O661,$O661,
$Q$3:$Q661,1,
$P$3:$P661,"&gt;="&amp;EOMONTH($P661,-1)+1,
$P$3:$P661,"&lt;"&amp;EOMONTH($P661,0)+1
)=1,
1,
0),
0)</f>
        <v>0</v>
      </c>
      <c r="T661">
        <f>IF(AND($R661=1,$M661&lt;&gt;""),IF(COUNTIFS($M$3:$M661,$M661,$O$3:$O661,$O661,$R$3:$R661,1,$P$3:$P661,"&gt;="&amp;EOMONTH($P661,-1)+1,$P$3:$P661,"&lt;"&amp;EOMONTH($P661,0)+1)=1,1,0),0)</f>
        <v>0</v>
      </c>
      <c r="U661">
        <f t="shared" si="113"/>
        <v>1</v>
      </c>
      <c r="V661">
        <f>IF(AND($U661=1,$M661&lt;&gt;""),IF(COUNTIFS($M$3:$M661,$M661,$O$3:$O661,$O661,$U$3:$U661,1,$P$3:$P661,"&gt;="&amp;EOMONTH($P661,-1)+1,$P$3:$P661,"&lt;"&amp;EOMONTH($P661,0)+1)=1,1,0),0)</f>
        <v>1</v>
      </c>
      <c r="W661" s="444">
        <f ca="1">TODAY()-Table1[[#This Row],[Change Date]]</f>
        <v>475.28958333333139</v>
      </c>
      <c r="X661" s="422" t="str">
        <f t="shared" si="114"/>
        <v/>
      </c>
      <c r="Y661" s="476">
        <f ca="1">IF(Table1[[#This Row],[Next Stage Date]]&lt;&gt;"",Table1[[#This Row],[Next Stage Date]]-Table1[[#This Row],[Change Date]],TODAY()-Table1[[#This Row],[Change Date]])</f>
        <v>475.28958333333139</v>
      </c>
      <c r="Z661" s="476">
        <f t="shared" si="115"/>
        <v>1</v>
      </c>
      <c r="AA661" s="422" t="str">
        <f t="shared" si="116"/>
        <v/>
      </c>
      <c r="AB661" s="422" t="str">
        <f t="shared" si="117"/>
        <v/>
      </c>
      <c r="AC661" s="476" t="str">
        <f t="shared" si="118"/>
        <v/>
      </c>
      <c r="AD661" s="476" t="str">
        <f t="shared" si="119"/>
        <v/>
      </c>
      <c r="AE661" s="476" t="str">
        <f t="shared" si="120"/>
        <v/>
      </c>
      <c r="AF661" s="476" t="b">
        <f>IFERROR(_xlfn.XLOOKUP(Table1[[#This Row],[Opportunity ID]],'Aging Detail'!$H$14:$H$20,'Aging Detail'!$F$14:$F$20),TRUE)</f>
        <v>1</v>
      </c>
    </row>
    <row r="662" spans="1:32">
      <c r="A662" t="s">
        <v>1461</v>
      </c>
      <c r="B662" t="s">
        <v>338</v>
      </c>
      <c r="C662" t="s">
        <v>1469</v>
      </c>
      <c r="D662" t="s">
        <v>3090</v>
      </c>
      <c r="E662" t="s">
        <v>3091</v>
      </c>
      <c r="F662" t="s">
        <v>1486</v>
      </c>
      <c r="I662" s="422">
        <v>45419</v>
      </c>
      <c r="J662" s="422">
        <v>45808</v>
      </c>
      <c r="K662">
        <v>360096</v>
      </c>
      <c r="L662">
        <v>0</v>
      </c>
      <c r="M662" t="s">
        <v>3092</v>
      </c>
      <c r="N662" t="s">
        <v>3093</v>
      </c>
      <c r="O662" t="str">
        <f>_xlfn.IFNA(VLOOKUP(Table1[[#This Row],[Lead Source]],'helper tab'!A:B,2,FALSE),"Exclude")</f>
        <v>Exclude</v>
      </c>
      <c r="P662" s="422">
        <f t="shared" si="110"/>
        <v>45782.319444444445</v>
      </c>
      <c r="Q662">
        <f t="shared" si="111"/>
        <v>0</v>
      </c>
      <c r="R662">
        <f t="shared" si="112"/>
        <v>0</v>
      </c>
      <c r="S662">
        <f>IF(
AND($Q662=1,$M662&lt;&gt;""),
IF(
COUNTIFS(
$M$3:$M662,$M662,
$O$3:$O662,$O662,
$Q$3:$Q662,1,
$P$3:$P662,"&gt;="&amp;EOMONTH($P662,-1)+1,
$P$3:$P662,"&lt;"&amp;EOMONTH($P662,0)+1
)=1,
1,
0),
0)</f>
        <v>0</v>
      </c>
      <c r="T662">
        <f>IF(AND($R662=1,$M662&lt;&gt;""),IF(COUNTIFS($M$3:$M662,$M662,$O$3:$O662,$O662,$R$3:$R662,1,$P$3:$P662,"&gt;="&amp;EOMONTH($P662,-1)+1,$P$3:$P662,"&lt;"&amp;EOMONTH($P662,0)+1)=1,1,0),0)</f>
        <v>0</v>
      </c>
      <c r="U662">
        <f t="shared" si="113"/>
        <v>1</v>
      </c>
      <c r="V662">
        <f>IF(AND($U662=1,$M662&lt;&gt;""),IF(COUNTIFS($M$3:$M662,$M662,$O$3:$O662,$O662,$U$3:$U662,1,$P$3:$P662,"&gt;="&amp;EOMONTH($P662,-1)+1,$P$3:$P662,"&lt;"&amp;EOMONTH($P662,0)+1)=1,1,0),0)</f>
        <v>1</v>
      </c>
      <c r="W662" s="444">
        <f ca="1">TODAY()-Table1[[#This Row],[Change Date]]</f>
        <v>475.68055555555475</v>
      </c>
      <c r="X662" s="422" t="str">
        <f t="shared" si="114"/>
        <v/>
      </c>
      <c r="Y662" s="476">
        <f ca="1">IF(Table1[[#This Row],[Next Stage Date]]&lt;&gt;"",Table1[[#This Row],[Next Stage Date]]-Table1[[#This Row],[Change Date]],TODAY()-Table1[[#This Row],[Change Date]])</f>
        <v>475.68055555555475</v>
      </c>
      <c r="Z662" s="476">
        <f t="shared" si="115"/>
        <v>1</v>
      </c>
      <c r="AA662" s="422" t="str">
        <f t="shared" si="116"/>
        <v/>
      </c>
      <c r="AB662" s="422" t="str">
        <f t="shared" si="117"/>
        <v/>
      </c>
      <c r="AC662" s="476" t="str">
        <f t="shared" si="118"/>
        <v/>
      </c>
      <c r="AD662" s="476" t="str">
        <f t="shared" si="119"/>
        <v/>
      </c>
      <c r="AE662" s="476" t="str">
        <f t="shared" si="120"/>
        <v/>
      </c>
      <c r="AF662" s="476" t="b">
        <f>IFERROR(_xlfn.XLOOKUP(Table1[[#This Row],[Opportunity ID]],'Aging Detail'!$H$14:$H$20,'Aging Detail'!$F$14:$F$20),TRUE)</f>
        <v>1</v>
      </c>
    </row>
    <row r="663" spans="1:32">
      <c r="A663" t="s">
        <v>1461</v>
      </c>
      <c r="B663" t="s">
        <v>1462</v>
      </c>
      <c r="C663" t="s">
        <v>462</v>
      </c>
      <c r="D663" t="s">
        <v>3094</v>
      </c>
      <c r="E663" t="s">
        <v>2250</v>
      </c>
      <c r="H663" t="s">
        <v>154</v>
      </c>
      <c r="I663" s="422">
        <v>45678</v>
      </c>
      <c r="J663" s="422">
        <v>46387</v>
      </c>
      <c r="K663">
        <v>0</v>
      </c>
      <c r="L663">
        <v>0</v>
      </c>
      <c r="M663" t="s">
        <v>2251</v>
      </c>
      <c r="N663" t="s">
        <v>1614</v>
      </c>
      <c r="O663" t="str">
        <f>_xlfn.IFNA(VLOOKUP(Table1[[#This Row],[Lead Source]],'helper tab'!A:B,2,FALSE),"Exclude")</f>
        <v>Exclude</v>
      </c>
      <c r="P663" s="422">
        <f t="shared" si="110"/>
        <v>45782.24722222222</v>
      </c>
      <c r="Q663">
        <f t="shared" si="111"/>
        <v>1</v>
      </c>
      <c r="R663">
        <f t="shared" si="112"/>
        <v>0</v>
      </c>
      <c r="S663">
        <f>IF(
AND($Q663=1,$M663&lt;&gt;""),
IF(
COUNTIFS(
$M$3:$M663,$M663,
$O$3:$O663,$O663,
$Q$3:$Q663,1,
$P$3:$P663,"&gt;="&amp;EOMONTH($P663,-1)+1,
$P$3:$P663,"&lt;"&amp;EOMONTH($P663,0)+1
)=1,
1,
0),
0)</f>
        <v>1</v>
      </c>
      <c r="T663">
        <f>IF(AND($R663=1,$M663&lt;&gt;""),IF(COUNTIFS($M$3:$M663,$M663,$O$3:$O663,$O663,$R$3:$R663,1,$P$3:$P663,"&gt;="&amp;EOMONTH($P663,-1)+1,$P$3:$P663,"&lt;"&amp;EOMONTH($P663,0)+1)=1,1,0),0)</f>
        <v>0</v>
      </c>
      <c r="U663">
        <f t="shared" si="113"/>
        <v>0</v>
      </c>
      <c r="V663">
        <f>IF(AND($U663=1,$M663&lt;&gt;""),IF(COUNTIFS($M$3:$M663,$M663,$O$3:$O663,$O663,$U$3:$U663,1,$P$3:$P663,"&gt;="&amp;EOMONTH($P663,-1)+1,$P$3:$P663,"&lt;"&amp;EOMONTH($P663,0)+1)=1,1,0),0)</f>
        <v>0</v>
      </c>
      <c r="W663" s="444">
        <f ca="1">TODAY()-Table1[[#This Row],[Change Date]]</f>
        <v>475.75277777777956</v>
      </c>
      <c r="X663" s="422">
        <f t="shared" si="114"/>
        <v>46059.365972222222</v>
      </c>
      <c r="Y663" s="476">
        <f ca="1">IF(Table1[[#This Row],[Next Stage Date]]&lt;&gt;"",Table1[[#This Row],[Next Stage Date]]-Table1[[#This Row],[Change Date]],TODAY()-Table1[[#This Row],[Change Date]])</f>
        <v>277.11875000000146</v>
      </c>
      <c r="Z663" s="476">
        <f t="shared" si="115"/>
        <v>0</v>
      </c>
      <c r="AA663" s="422" t="str">
        <f t="shared" si="116"/>
        <v/>
      </c>
      <c r="AB663" s="422">
        <f t="shared" si="117"/>
        <v>45782.24722222222</v>
      </c>
      <c r="AC663" s="476">
        <f t="shared" si="118"/>
        <v>104.24722222222044</v>
      </c>
      <c r="AD663" s="476" t="str">
        <f t="shared" si="119"/>
        <v/>
      </c>
      <c r="AE663" s="476" t="str">
        <f t="shared" si="120"/>
        <v/>
      </c>
      <c r="AF663" s="476" t="b">
        <f>IFERROR(_xlfn.XLOOKUP(Table1[[#This Row],[Opportunity ID]],'Aging Detail'!$H$14:$H$20,'Aging Detail'!$F$14:$F$20),TRUE)</f>
        <v>1</v>
      </c>
    </row>
    <row r="664" spans="1:32">
      <c r="A664" t="s">
        <v>1461</v>
      </c>
      <c r="B664" t="s">
        <v>1462</v>
      </c>
      <c r="C664" t="s">
        <v>462</v>
      </c>
      <c r="D664" t="s">
        <v>3095</v>
      </c>
      <c r="E664" t="s">
        <v>1859</v>
      </c>
      <c r="I664" s="422">
        <v>45698</v>
      </c>
      <c r="J664" s="422">
        <v>46472</v>
      </c>
      <c r="K664">
        <v>0</v>
      </c>
      <c r="L664">
        <v>0</v>
      </c>
      <c r="M664" t="s">
        <v>1860</v>
      </c>
      <c r="N664" t="s">
        <v>1625</v>
      </c>
      <c r="O664" t="str">
        <f>_xlfn.IFNA(VLOOKUP(Table1[[#This Row],[Lead Source]],'helper tab'!A:B,2,FALSE),"Exclude")</f>
        <v>Exclude</v>
      </c>
      <c r="P664" s="422">
        <f t="shared" si="110"/>
        <v>45782.246527777781</v>
      </c>
      <c r="Q664">
        <f t="shared" si="111"/>
        <v>1</v>
      </c>
      <c r="R664">
        <f t="shared" si="112"/>
        <v>0</v>
      </c>
      <c r="S664">
        <f>IF(
AND($Q664=1,$M664&lt;&gt;""),
IF(
COUNTIFS(
$M$3:$M664,$M664,
$O$3:$O664,$O664,
$Q$3:$Q664,1,
$P$3:$P664,"&gt;="&amp;EOMONTH($P664,-1)+1,
$P$3:$P664,"&lt;"&amp;EOMONTH($P664,0)+1
)=1,
1,
0),
0)</f>
        <v>1</v>
      </c>
      <c r="T664">
        <f>IF(AND($R664=1,$M664&lt;&gt;""),IF(COUNTIFS($M$3:$M664,$M664,$O$3:$O664,$O664,$R$3:$R664,1,$P$3:$P664,"&gt;="&amp;EOMONTH($P664,-1)+1,$P$3:$P664,"&lt;"&amp;EOMONTH($P664,0)+1)=1,1,0),0)</f>
        <v>0</v>
      </c>
      <c r="U664">
        <f t="shared" si="113"/>
        <v>0</v>
      </c>
      <c r="V664">
        <f>IF(AND($U664=1,$M664&lt;&gt;""),IF(COUNTIFS($M$3:$M664,$M664,$O$3:$O664,$O664,$U$3:$U664,1,$P$3:$P664,"&gt;="&amp;EOMONTH($P664,-1)+1,$P$3:$P664,"&lt;"&amp;EOMONTH($P664,0)+1)=1,1,0),0)</f>
        <v>0</v>
      </c>
      <c r="W664" s="444">
        <f ca="1">TODAY()-Table1[[#This Row],[Change Date]]</f>
        <v>475.75347222221899</v>
      </c>
      <c r="X664" s="422">
        <f t="shared" si="114"/>
        <v>46190.479861111111</v>
      </c>
      <c r="Y664" s="476">
        <f ca="1">IF(Table1[[#This Row],[Next Stage Date]]&lt;&gt;"",Table1[[#This Row],[Next Stage Date]]-Table1[[#This Row],[Change Date]],TODAY()-Table1[[#This Row],[Change Date]])</f>
        <v>408.23333333332994</v>
      </c>
      <c r="Z664" s="476">
        <f t="shared" si="115"/>
        <v>0</v>
      </c>
      <c r="AA664" s="422" t="str">
        <f t="shared" si="116"/>
        <v/>
      </c>
      <c r="AB664" s="422">
        <f t="shared" si="117"/>
        <v>45782.246527777781</v>
      </c>
      <c r="AC664" s="476">
        <f t="shared" si="118"/>
        <v>84.246527777781012</v>
      </c>
      <c r="AD664" s="476" t="str">
        <f t="shared" si="119"/>
        <v/>
      </c>
      <c r="AE664" s="476" t="str">
        <f t="shared" si="120"/>
        <v/>
      </c>
      <c r="AF664" s="476" t="b">
        <f>IFERROR(_xlfn.XLOOKUP(Table1[[#This Row],[Opportunity ID]],'Aging Detail'!$H$14:$H$20,'Aging Detail'!$F$14:$F$20),TRUE)</f>
        <v>1</v>
      </c>
    </row>
    <row r="665" spans="1:32">
      <c r="A665" t="s">
        <v>1461</v>
      </c>
      <c r="B665" t="s">
        <v>1462</v>
      </c>
      <c r="C665" t="s">
        <v>462</v>
      </c>
      <c r="D665" t="s">
        <v>3095</v>
      </c>
      <c r="E665" t="s">
        <v>2846</v>
      </c>
      <c r="I665" s="422">
        <v>45735</v>
      </c>
      <c r="J665" s="422">
        <v>45930</v>
      </c>
      <c r="K665">
        <v>0</v>
      </c>
      <c r="L665">
        <v>0</v>
      </c>
      <c r="M665" t="s">
        <v>2847</v>
      </c>
      <c r="N665" t="s">
        <v>1684</v>
      </c>
      <c r="O665" t="str">
        <f>_xlfn.IFNA(VLOOKUP(Table1[[#This Row],[Lead Source]],'helper tab'!A:B,2,FALSE),"Exclude")</f>
        <v>Exclude</v>
      </c>
      <c r="P665" s="422">
        <f t="shared" si="110"/>
        <v>45782.246527777781</v>
      </c>
      <c r="Q665">
        <f t="shared" si="111"/>
        <v>1</v>
      </c>
      <c r="R665">
        <f t="shared" si="112"/>
        <v>0</v>
      </c>
      <c r="S665">
        <f>IF(
AND($Q665=1,$M665&lt;&gt;""),
IF(
COUNTIFS(
$M$3:$M665,$M665,
$O$3:$O665,$O665,
$Q$3:$Q665,1,
$P$3:$P665,"&gt;="&amp;EOMONTH($P665,-1)+1,
$P$3:$P665,"&lt;"&amp;EOMONTH($P665,0)+1
)=1,
1,
0),
0)</f>
        <v>1</v>
      </c>
      <c r="T665">
        <f>IF(AND($R665=1,$M665&lt;&gt;""),IF(COUNTIFS($M$3:$M665,$M665,$O$3:$O665,$O665,$R$3:$R665,1,$P$3:$P665,"&gt;="&amp;EOMONTH($P665,-1)+1,$P$3:$P665,"&lt;"&amp;EOMONTH($P665,0)+1)=1,1,0),0)</f>
        <v>0</v>
      </c>
      <c r="U665">
        <f t="shared" si="113"/>
        <v>0</v>
      </c>
      <c r="V665">
        <f>IF(AND($U665=1,$M665&lt;&gt;""),IF(COUNTIFS($M$3:$M665,$M665,$O$3:$O665,$O665,$U$3:$U665,1,$P$3:$P665,"&gt;="&amp;EOMONTH($P665,-1)+1,$P$3:$P665,"&lt;"&amp;EOMONTH($P665,0)+1)=1,1,0),0)</f>
        <v>0</v>
      </c>
      <c r="W665" s="444">
        <f ca="1">TODAY()-Table1[[#This Row],[Change Date]]</f>
        <v>475.75347222221899</v>
      </c>
      <c r="X665" s="422">
        <f t="shared" si="114"/>
        <v>45876.361111111109</v>
      </c>
      <c r="Y665" s="476">
        <f ca="1">IF(Table1[[#This Row],[Next Stage Date]]&lt;&gt;"",Table1[[#This Row],[Next Stage Date]]-Table1[[#This Row],[Change Date]],TODAY()-Table1[[#This Row],[Change Date]])</f>
        <v>94.114583333328483</v>
      </c>
      <c r="Z665" s="476">
        <f t="shared" si="115"/>
        <v>0</v>
      </c>
      <c r="AA665" s="422" t="str">
        <f t="shared" si="116"/>
        <v/>
      </c>
      <c r="AB665" s="422">
        <f t="shared" si="117"/>
        <v>45782.246527777781</v>
      </c>
      <c r="AC665" s="476">
        <f t="shared" si="118"/>
        <v>47.246527777781012</v>
      </c>
      <c r="AD665" s="476" t="str">
        <f t="shared" si="119"/>
        <v/>
      </c>
      <c r="AE665" s="476" t="str">
        <f t="shared" si="120"/>
        <v/>
      </c>
      <c r="AF665" s="476" t="b">
        <f>IFERROR(_xlfn.XLOOKUP(Table1[[#This Row],[Opportunity ID]],'Aging Detail'!$H$14:$H$20,'Aging Detail'!$F$14:$F$20),TRUE)</f>
        <v>1</v>
      </c>
    </row>
    <row r="666" spans="1:32">
      <c r="A666" t="s">
        <v>1461</v>
      </c>
      <c r="B666" t="s">
        <v>1462</v>
      </c>
      <c r="C666" t="s">
        <v>462</v>
      </c>
      <c r="D666" t="s">
        <v>3096</v>
      </c>
      <c r="E666" t="s">
        <v>2421</v>
      </c>
      <c r="F666" t="s">
        <v>1465</v>
      </c>
      <c r="I666" s="422">
        <v>45691</v>
      </c>
      <c r="J666" s="422">
        <v>46530</v>
      </c>
      <c r="K666">
        <v>276948.8</v>
      </c>
      <c r="L666">
        <v>136948.79999999999</v>
      </c>
      <c r="M666" t="s">
        <v>2422</v>
      </c>
      <c r="N666" t="s">
        <v>2423</v>
      </c>
      <c r="O666" t="str">
        <f>_xlfn.IFNA(VLOOKUP(Table1[[#This Row],[Lead Source]],'helper tab'!A:B,2,FALSE),"Exclude")</f>
        <v>Exclude</v>
      </c>
      <c r="P666" s="422">
        <f t="shared" si="110"/>
        <v>45779.170138888891</v>
      </c>
      <c r="Q666">
        <f t="shared" si="111"/>
        <v>1</v>
      </c>
      <c r="R666">
        <f t="shared" si="112"/>
        <v>0</v>
      </c>
      <c r="S666">
        <f>IF(
AND($Q666=1,$M666&lt;&gt;""),
IF(
COUNTIFS(
$M$3:$M666,$M666,
$O$3:$O666,$O666,
$Q$3:$Q666,1,
$P$3:$P666,"&gt;="&amp;EOMONTH($P666,-1)+1,
$P$3:$P666,"&lt;"&amp;EOMONTH($P666,0)+1
)=1,
1,
0),
0)</f>
        <v>1</v>
      </c>
      <c r="T666">
        <f>IF(AND($R666=1,$M666&lt;&gt;""),IF(COUNTIFS($M$3:$M666,$M666,$O$3:$O666,$O666,$R$3:$R666,1,$P$3:$P666,"&gt;="&amp;EOMONTH($P666,-1)+1,$P$3:$P666,"&lt;"&amp;EOMONTH($P666,0)+1)=1,1,0),0)</f>
        <v>0</v>
      </c>
      <c r="U666">
        <f t="shared" si="113"/>
        <v>0</v>
      </c>
      <c r="V666">
        <f>IF(AND($U666=1,$M666&lt;&gt;""),IF(COUNTIFS($M$3:$M666,$M666,$O$3:$O666,$O666,$U$3:$U666,1,$P$3:$P666,"&gt;="&amp;EOMONTH($P666,-1)+1,$P$3:$P666,"&lt;"&amp;EOMONTH($P666,0)+1)=1,1,0),0)</f>
        <v>0</v>
      </c>
      <c r="W666" s="444">
        <f ca="1">TODAY()-Table1[[#This Row],[Change Date]]</f>
        <v>478.82986111110949</v>
      </c>
      <c r="X666" s="422">
        <f t="shared" si="114"/>
        <v>45999.228472222225</v>
      </c>
      <c r="Y666" s="476">
        <f ca="1">IF(Table1[[#This Row],[Next Stage Date]]&lt;&gt;"",Table1[[#This Row],[Next Stage Date]]-Table1[[#This Row],[Change Date]],TODAY()-Table1[[#This Row],[Change Date]])</f>
        <v>220.0583333333343</v>
      </c>
      <c r="Z666" s="476">
        <f t="shared" si="115"/>
        <v>0</v>
      </c>
      <c r="AA666" s="422" t="str">
        <f t="shared" si="116"/>
        <v/>
      </c>
      <c r="AB666" s="422">
        <f t="shared" si="117"/>
        <v>45779.170138888891</v>
      </c>
      <c r="AC666" s="476">
        <f t="shared" si="118"/>
        <v>88.170138888890506</v>
      </c>
      <c r="AD666" s="476" t="str">
        <f t="shared" si="119"/>
        <v/>
      </c>
      <c r="AE666" s="476" t="str">
        <f t="shared" si="120"/>
        <v/>
      </c>
      <c r="AF666" s="476" t="b">
        <f>IFERROR(_xlfn.XLOOKUP(Table1[[#This Row],[Opportunity ID]],'Aging Detail'!$H$14:$H$20,'Aging Detail'!$F$14:$F$20),TRUE)</f>
        <v>1</v>
      </c>
    </row>
    <row r="667" spans="1:32">
      <c r="A667" t="s">
        <v>1461</v>
      </c>
      <c r="B667" t="s">
        <v>408</v>
      </c>
      <c r="C667" t="s">
        <v>1462</v>
      </c>
      <c r="D667" t="s">
        <v>3097</v>
      </c>
      <c r="E667" t="s">
        <v>2653</v>
      </c>
      <c r="F667" t="s">
        <v>1468</v>
      </c>
      <c r="I667" s="422">
        <v>45734</v>
      </c>
      <c r="J667" s="422">
        <v>46203</v>
      </c>
      <c r="K667">
        <v>245600</v>
      </c>
      <c r="L667">
        <v>105600</v>
      </c>
      <c r="M667" t="s">
        <v>2654</v>
      </c>
      <c r="N667" t="s">
        <v>2653</v>
      </c>
      <c r="O667" t="str">
        <f>_xlfn.IFNA(VLOOKUP(Table1[[#This Row],[Lead Source]],'helper tab'!A:B,2,FALSE),"Exclude")</f>
        <v>Events</v>
      </c>
      <c r="P667" s="422">
        <f t="shared" si="110"/>
        <v>45778.594444444447</v>
      </c>
      <c r="Q667">
        <f t="shared" si="111"/>
        <v>0</v>
      </c>
      <c r="R667">
        <f t="shared" si="112"/>
        <v>0</v>
      </c>
      <c r="S667">
        <f>IF(
AND($Q667=1,$M667&lt;&gt;""),
IF(
COUNTIFS(
$M$3:$M667,$M667,
$O$3:$O667,$O667,
$Q$3:$Q667,1,
$P$3:$P667,"&gt;="&amp;EOMONTH($P667,-1)+1,
$P$3:$P667,"&lt;"&amp;EOMONTH($P667,0)+1
)=1,
1,
0),
0)</f>
        <v>0</v>
      </c>
      <c r="T667">
        <f>IF(AND($R667=1,$M667&lt;&gt;""),IF(COUNTIFS($M$3:$M667,$M667,$O$3:$O667,$O667,$R$3:$R667,1,$P$3:$P667,"&gt;="&amp;EOMONTH($P667,-1)+1,$P$3:$P667,"&lt;"&amp;EOMONTH($P667,0)+1)=1,1,0),0)</f>
        <v>0</v>
      </c>
      <c r="U667">
        <f t="shared" si="113"/>
        <v>0</v>
      </c>
      <c r="V667">
        <f>IF(AND($U667=1,$M667&lt;&gt;""),IF(COUNTIFS($M$3:$M667,$M667,$O$3:$O667,$O667,$U$3:$U667,1,$P$3:$P667,"&gt;="&amp;EOMONTH($P667,-1)+1,$P$3:$P667,"&lt;"&amp;EOMONTH($P667,0)+1)=1,1,0),0)</f>
        <v>0</v>
      </c>
      <c r="W667" s="444">
        <f ca="1">TODAY()-Table1[[#This Row],[Change Date]]</f>
        <v>479.40555555555329</v>
      </c>
      <c r="X667" s="422">
        <f t="shared" si="114"/>
        <v>45936.48333333333</v>
      </c>
      <c r="Y667" s="476">
        <f ca="1">IF(Table1[[#This Row],[Next Stage Date]]&lt;&gt;"",Table1[[#This Row],[Next Stage Date]]-Table1[[#This Row],[Change Date]],TODAY()-Table1[[#This Row],[Change Date]])</f>
        <v>157.88888888888323</v>
      </c>
      <c r="Z667" s="476">
        <f t="shared" si="115"/>
        <v>0</v>
      </c>
      <c r="AA667" s="422" t="str">
        <f t="shared" si="116"/>
        <v/>
      </c>
      <c r="AB667" s="422" t="str">
        <f t="shared" si="117"/>
        <v/>
      </c>
      <c r="AC667" s="476" t="str">
        <f t="shared" si="118"/>
        <v/>
      </c>
      <c r="AD667" s="476" t="str">
        <f t="shared" si="119"/>
        <v/>
      </c>
      <c r="AE667" s="476" t="str">
        <f t="shared" si="120"/>
        <v/>
      </c>
      <c r="AF667" s="476" t="b">
        <f>IFERROR(_xlfn.XLOOKUP(Table1[[#This Row],[Opportunity ID]],'Aging Detail'!$H$14:$H$20,'Aging Detail'!$F$14:$F$20),TRUE)</f>
        <v>1</v>
      </c>
    </row>
    <row r="668" spans="1:32">
      <c r="A668" t="s">
        <v>1461</v>
      </c>
      <c r="B668" t="s">
        <v>1462</v>
      </c>
      <c r="C668" t="s">
        <v>462</v>
      </c>
      <c r="D668" t="s">
        <v>3098</v>
      </c>
      <c r="E668" t="s">
        <v>2883</v>
      </c>
      <c r="F668" t="s">
        <v>148</v>
      </c>
      <c r="H668" t="s">
        <v>169</v>
      </c>
      <c r="I668" s="422">
        <v>45684</v>
      </c>
      <c r="J668" s="422">
        <v>46534</v>
      </c>
      <c r="K668">
        <v>40000</v>
      </c>
      <c r="L668">
        <v>40000</v>
      </c>
      <c r="M668" t="s">
        <v>2884</v>
      </c>
      <c r="N668" t="s">
        <v>2885</v>
      </c>
      <c r="O668" t="str">
        <f>_xlfn.IFNA(VLOOKUP(Table1[[#This Row],[Lead Source]],'helper tab'!A:B,2,FALSE),"Exclude")</f>
        <v>Alliances</v>
      </c>
      <c r="P668" s="422">
        <f t="shared" si="110"/>
        <v>45778.352777777778</v>
      </c>
      <c r="Q668">
        <f t="shared" si="111"/>
        <v>1</v>
      </c>
      <c r="R668">
        <f t="shared" si="112"/>
        <v>0</v>
      </c>
      <c r="S668">
        <f>IF(
AND($Q668=1,$M668&lt;&gt;""),
IF(
COUNTIFS(
$M$3:$M668,$M668,
$O$3:$O668,$O668,
$Q$3:$Q668,1,
$P$3:$P668,"&gt;="&amp;EOMONTH($P668,-1)+1,
$P$3:$P668,"&lt;"&amp;EOMONTH($P668,0)+1
)=1,
1,
0),
0)</f>
        <v>1</v>
      </c>
      <c r="T668">
        <f>IF(AND($R668=1,$M668&lt;&gt;""),IF(COUNTIFS($M$3:$M668,$M668,$O$3:$O668,$O668,$R$3:$R668,1,$P$3:$P668,"&gt;="&amp;EOMONTH($P668,-1)+1,$P$3:$P668,"&lt;"&amp;EOMONTH($P668,0)+1)=1,1,0),0)</f>
        <v>0</v>
      </c>
      <c r="U668">
        <f t="shared" si="113"/>
        <v>0</v>
      </c>
      <c r="V668">
        <f>IF(AND($U668=1,$M668&lt;&gt;""),IF(COUNTIFS($M$3:$M668,$M668,$O$3:$O668,$O668,$U$3:$U668,1,$P$3:$P668,"&gt;="&amp;EOMONTH($P668,-1)+1,$P$3:$P668,"&lt;"&amp;EOMONTH($P668,0)+1)=1,1,0),0)</f>
        <v>0</v>
      </c>
      <c r="W668" s="444">
        <f ca="1">TODAY()-Table1[[#This Row],[Change Date]]</f>
        <v>479.6472222222219</v>
      </c>
      <c r="X668" s="422">
        <f t="shared" si="114"/>
        <v>45868.163888888892</v>
      </c>
      <c r="Y668" s="476">
        <f ca="1">IF(Table1[[#This Row],[Next Stage Date]]&lt;&gt;"",Table1[[#This Row],[Next Stage Date]]-Table1[[#This Row],[Change Date]],TODAY()-Table1[[#This Row],[Change Date]])</f>
        <v>89.81111111111386</v>
      </c>
      <c r="Z668" s="476">
        <f t="shared" si="115"/>
        <v>0</v>
      </c>
      <c r="AA668" s="422" t="str">
        <f t="shared" si="116"/>
        <v/>
      </c>
      <c r="AB668" s="422">
        <f t="shared" si="117"/>
        <v>45778.352777777778</v>
      </c>
      <c r="AC668" s="476">
        <f t="shared" si="118"/>
        <v>94.352777777778101</v>
      </c>
      <c r="AD668" s="476" t="str">
        <f t="shared" si="119"/>
        <v/>
      </c>
      <c r="AE668" s="476" t="str">
        <f t="shared" si="120"/>
        <v/>
      </c>
      <c r="AF668" s="476" t="b">
        <f>IFERROR(_xlfn.XLOOKUP(Table1[[#This Row],[Opportunity ID]],'Aging Detail'!$H$14:$H$20,'Aging Detail'!$F$14:$F$20),TRUE)</f>
        <v>1</v>
      </c>
    </row>
    <row r="669" spans="1:32">
      <c r="A669" t="s">
        <v>1461</v>
      </c>
      <c r="B669" t="s">
        <v>526</v>
      </c>
      <c r="C669" t="s">
        <v>563</v>
      </c>
      <c r="D669" t="s">
        <v>3099</v>
      </c>
      <c r="E669" t="s">
        <v>3032</v>
      </c>
      <c r="F669" t="s">
        <v>1465</v>
      </c>
      <c r="I669" s="422">
        <v>45775</v>
      </c>
      <c r="J669" s="422">
        <v>45776</v>
      </c>
      <c r="K669">
        <v>18000</v>
      </c>
      <c r="L669">
        <v>0</v>
      </c>
      <c r="M669" t="s">
        <v>3100</v>
      </c>
      <c r="N669" t="s">
        <v>1568</v>
      </c>
      <c r="O669" t="str">
        <f>_xlfn.IFNA(VLOOKUP(Table1[[#This Row],[Lead Source]],'helper tab'!A:B,2,FALSE),"Exclude")</f>
        <v>Exclude</v>
      </c>
      <c r="P669" s="422">
        <f t="shared" si="110"/>
        <v>45776.310416666667</v>
      </c>
      <c r="Q669">
        <f t="shared" si="111"/>
        <v>0</v>
      </c>
      <c r="R669">
        <f t="shared" si="112"/>
        <v>1</v>
      </c>
      <c r="S669">
        <f>IF(
AND($Q669=1,$M669&lt;&gt;""),
IF(
COUNTIFS(
$M$3:$M669,$M669,
$O$3:$O669,$O669,
$Q$3:$Q669,1,
$P$3:$P669,"&gt;="&amp;EOMONTH($P669,-1)+1,
$P$3:$P669,"&lt;"&amp;EOMONTH($P669,0)+1
)=1,
1,
0),
0)</f>
        <v>0</v>
      </c>
      <c r="T669">
        <f>IF(AND($R669=1,$M669&lt;&gt;""),IF(COUNTIFS($M$3:$M669,$M669,$O$3:$O669,$O669,$R$3:$R669,1,$P$3:$P669,"&gt;="&amp;EOMONTH($P669,-1)+1,$P$3:$P669,"&lt;"&amp;EOMONTH($P669,0)+1)=1,1,0),0)</f>
        <v>1</v>
      </c>
      <c r="U669">
        <f t="shared" si="113"/>
        <v>0</v>
      </c>
      <c r="V669">
        <f>IF(AND($U669=1,$M669&lt;&gt;""),IF(COUNTIFS($M$3:$M669,$M669,$O$3:$O669,$O669,$U$3:$U669,1,$P$3:$P669,"&gt;="&amp;EOMONTH($P669,-1)+1,$P$3:$P669,"&lt;"&amp;EOMONTH($P669,0)+1)=1,1,0),0)</f>
        <v>0</v>
      </c>
      <c r="W669" s="444">
        <f ca="1">TODAY()-Table1[[#This Row],[Change Date]]</f>
        <v>481.68958333333285</v>
      </c>
      <c r="X669" s="422" t="str">
        <f t="shared" si="114"/>
        <v/>
      </c>
      <c r="Y669" s="476">
        <f ca="1">IF(Table1[[#This Row],[Next Stage Date]]&lt;&gt;"",Table1[[#This Row],[Next Stage Date]]-Table1[[#This Row],[Change Date]],TODAY()-Table1[[#This Row],[Change Date]])</f>
        <v>481.68958333333285</v>
      </c>
      <c r="Z669" s="476">
        <f t="shared" si="115"/>
        <v>1</v>
      </c>
      <c r="AA669" s="422">
        <f t="shared" si="116"/>
        <v>45776.310416666667</v>
      </c>
      <c r="AB669" s="422">
        <f t="shared" si="117"/>
        <v>45775.319444444445</v>
      </c>
      <c r="AC669" s="476">
        <f t="shared" si="118"/>
        <v>0.31944444444525288</v>
      </c>
      <c r="AD669" s="476">
        <f t="shared" si="119"/>
        <v>0.99097222222189885</v>
      </c>
      <c r="AE669" s="476">
        <f t="shared" si="120"/>
        <v>1.3104166666671517</v>
      </c>
      <c r="AF669" s="476" t="b">
        <f>IFERROR(_xlfn.XLOOKUP(Table1[[#This Row],[Opportunity ID]],'Aging Detail'!$H$14:$H$20,'Aging Detail'!$F$14:$F$20),TRUE)</f>
        <v>1</v>
      </c>
    </row>
    <row r="670" spans="1:32">
      <c r="A670" t="s">
        <v>1461</v>
      </c>
      <c r="B670" t="s">
        <v>462</v>
      </c>
      <c r="C670" t="s">
        <v>526</v>
      </c>
      <c r="D670" t="s">
        <v>3101</v>
      </c>
      <c r="E670" t="s">
        <v>3032</v>
      </c>
      <c r="F670" t="s">
        <v>1465</v>
      </c>
      <c r="I670" s="422">
        <v>45775</v>
      </c>
      <c r="J670" s="422">
        <v>45798</v>
      </c>
      <c r="K670">
        <v>18000</v>
      </c>
      <c r="L670">
        <v>0</v>
      </c>
      <c r="M670" t="s">
        <v>3033</v>
      </c>
      <c r="N670" t="s">
        <v>1568</v>
      </c>
      <c r="O670" t="str">
        <f>_xlfn.IFNA(VLOOKUP(Table1[[#This Row],[Lead Source]],'helper tab'!A:B,2,FALSE),"Exclude")</f>
        <v>Exclude</v>
      </c>
      <c r="P670" s="422">
        <f t="shared" si="110"/>
        <v>45775.321527777778</v>
      </c>
      <c r="Q670">
        <f t="shared" si="111"/>
        <v>1</v>
      </c>
      <c r="R670">
        <f t="shared" si="112"/>
        <v>0</v>
      </c>
      <c r="S670">
        <f>IF(
AND($Q670=1,$M670&lt;&gt;""),
IF(
COUNTIFS(
$M$3:$M670,$M670,
$O$3:$O670,$O670,
$Q$3:$Q670,1,
$P$3:$P670,"&gt;="&amp;EOMONTH($P670,-1)+1,
$P$3:$P670,"&lt;"&amp;EOMONTH($P670,0)+1
)=1,
1,
0),
0)</f>
        <v>1</v>
      </c>
      <c r="T670">
        <f>IF(AND($R670=1,$M670&lt;&gt;""),IF(COUNTIFS($M$3:$M670,$M670,$O$3:$O670,$O670,$R$3:$R670,1,$P$3:$P670,"&gt;="&amp;EOMONTH($P670,-1)+1,$P$3:$P670,"&lt;"&amp;EOMONTH($P670,0)+1)=1,1,0),0)</f>
        <v>0</v>
      </c>
      <c r="U670">
        <f t="shared" si="113"/>
        <v>0</v>
      </c>
      <c r="V670">
        <f>IF(AND($U670=1,$M670&lt;&gt;""),IF(COUNTIFS($M$3:$M670,$M670,$O$3:$O670,$O670,$U$3:$U670,1,$P$3:$P670,"&gt;="&amp;EOMONTH($P670,-1)+1,$P$3:$P670,"&lt;"&amp;EOMONTH($P670,0)+1)=1,1,0),0)</f>
        <v>0</v>
      </c>
      <c r="W670" s="444">
        <f ca="1">TODAY()-Table1[[#This Row],[Change Date]]</f>
        <v>482.6784722222219</v>
      </c>
      <c r="X670" s="422">
        <f t="shared" si="114"/>
        <v>45798.34375</v>
      </c>
      <c r="Y670" s="476">
        <f ca="1">IF(Table1[[#This Row],[Next Stage Date]]&lt;&gt;"",Table1[[#This Row],[Next Stage Date]]-Table1[[#This Row],[Change Date]],TODAY()-Table1[[#This Row],[Change Date]])</f>
        <v>23.022222222221899</v>
      </c>
      <c r="Z670" s="476">
        <f t="shared" si="115"/>
        <v>0</v>
      </c>
      <c r="AA670" s="422">
        <f t="shared" si="116"/>
        <v>45798.34375</v>
      </c>
      <c r="AB670" s="422">
        <f t="shared" si="117"/>
        <v>45775.321527777778</v>
      </c>
      <c r="AC670" s="476">
        <f t="shared" si="118"/>
        <v>0.32152777777810115</v>
      </c>
      <c r="AD670" s="476">
        <f t="shared" si="119"/>
        <v>23.022222222221899</v>
      </c>
      <c r="AE670" s="476">
        <f t="shared" si="120"/>
        <v>23.34375</v>
      </c>
      <c r="AF670" s="476" t="b">
        <f>IFERROR(_xlfn.XLOOKUP(Table1[[#This Row],[Opportunity ID]],'Aging Detail'!$H$14:$H$20,'Aging Detail'!$F$14:$F$20),TRUE)</f>
        <v>1</v>
      </c>
    </row>
    <row r="671" spans="1:32">
      <c r="A671" t="s">
        <v>1461</v>
      </c>
      <c r="B671" t="s">
        <v>1462</v>
      </c>
      <c r="C671" t="s">
        <v>462</v>
      </c>
      <c r="D671" t="s">
        <v>3101</v>
      </c>
      <c r="E671" t="s">
        <v>3032</v>
      </c>
      <c r="F671" t="s">
        <v>1465</v>
      </c>
      <c r="I671" s="422">
        <v>45775</v>
      </c>
      <c r="J671" s="422">
        <v>45798</v>
      </c>
      <c r="K671">
        <v>18000</v>
      </c>
      <c r="L671">
        <v>0</v>
      </c>
      <c r="M671" t="s">
        <v>3033</v>
      </c>
      <c r="N671" t="s">
        <v>1568</v>
      </c>
      <c r="O671" t="str">
        <f>_xlfn.IFNA(VLOOKUP(Table1[[#This Row],[Lead Source]],'helper tab'!A:B,2,FALSE),"Exclude")</f>
        <v>Exclude</v>
      </c>
      <c r="P671" s="422">
        <f t="shared" si="110"/>
        <v>45775.321527777778</v>
      </c>
      <c r="Q671">
        <f t="shared" si="111"/>
        <v>1</v>
      </c>
      <c r="R671">
        <f t="shared" si="112"/>
        <v>0</v>
      </c>
      <c r="S671">
        <f>IF(
AND($Q671=1,$M671&lt;&gt;""),
IF(
COUNTIFS(
$M$3:$M671,$M671,
$O$3:$O671,$O671,
$Q$3:$Q671,1,
$P$3:$P671,"&gt;="&amp;EOMONTH($P671,-1)+1,
$P$3:$P671,"&lt;"&amp;EOMONTH($P671,0)+1
)=1,
1,
0),
0)</f>
        <v>0</v>
      </c>
      <c r="T671">
        <f>IF(AND($R671=1,$M671&lt;&gt;""),IF(COUNTIFS($M$3:$M671,$M671,$O$3:$O671,$O671,$R$3:$R671,1,$P$3:$P671,"&gt;="&amp;EOMONTH($P671,-1)+1,$P$3:$P671,"&lt;"&amp;EOMONTH($P671,0)+1)=1,1,0),0)</f>
        <v>0</v>
      </c>
      <c r="U671">
        <f t="shared" si="113"/>
        <v>0</v>
      </c>
      <c r="V671">
        <f>IF(AND($U671=1,$M671&lt;&gt;""),IF(COUNTIFS($M$3:$M671,$M671,$O$3:$O671,$O671,$U$3:$U671,1,$P$3:$P671,"&gt;="&amp;EOMONTH($P671,-1)+1,$P$3:$P671,"&lt;"&amp;EOMONTH($P671,0)+1)=1,1,0),0)</f>
        <v>0</v>
      </c>
      <c r="W671" s="444">
        <f ca="1">TODAY()-Table1[[#This Row],[Change Date]]</f>
        <v>482.6784722222219</v>
      </c>
      <c r="X671" s="422">
        <f t="shared" si="114"/>
        <v>45798.34375</v>
      </c>
      <c r="Y671" s="476">
        <f ca="1">IF(Table1[[#This Row],[Next Stage Date]]&lt;&gt;"",Table1[[#This Row],[Next Stage Date]]-Table1[[#This Row],[Change Date]],TODAY()-Table1[[#This Row],[Change Date]])</f>
        <v>23.022222222221899</v>
      </c>
      <c r="Z671" s="476">
        <f t="shared" si="115"/>
        <v>0</v>
      </c>
      <c r="AA671" s="422">
        <f t="shared" si="116"/>
        <v>45798.34375</v>
      </c>
      <c r="AB671" s="422">
        <f t="shared" si="117"/>
        <v>45775.321527777778</v>
      </c>
      <c r="AC671" s="476">
        <f t="shared" si="118"/>
        <v>0.32152777777810115</v>
      </c>
      <c r="AD671" s="476">
        <f t="shared" si="119"/>
        <v>23.022222222221899</v>
      </c>
      <c r="AE671" s="476">
        <f t="shared" si="120"/>
        <v>23.34375</v>
      </c>
      <c r="AF671" s="476" t="b">
        <f>IFERROR(_xlfn.XLOOKUP(Table1[[#This Row],[Opportunity ID]],'Aging Detail'!$H$14:$H$20,'Aging Detail'!$F$14:$F$20),TRUE)</f>
        <v>1</v>
      </c>
    </row>
    <row r="672" spans="1:32">
      <c r="A672" t="s">
        <v>1461</v>
      </c>
      <c r="B672" t="s">
        <v>408</v>
      </c>
      <c r="C672" t="s">
        <v>1462</v>
      </c>
      <c r="D672" t="s">
        <v>3102</v>
      </c>
      <c r="E672" t="s">
        <v>3032</v>
      </c>
      <c r="F672" t="s">
        <v>1465</v>
      </c>
      <c r="I672" s="422">
        <v>45775</v>
      </c>
      <c r="J672" s="422">
        <v>45798</v>
      </c>
      <c r="K672">
        <v>18000</v>
      </c>
      <c r="L672">
        <v>0</v>
      </c>
      <c r="M672" t="s">
        <v>3033</v>
      </c>
      <c r="N672" t="s">
        <v>1568</v>
      </c>
      <c r="O672" t="str">
        <f>_xlfn.IFNA(VLOOKUP(Table1[[#This Row],[Lead Source]],'helper tab'!A:B,2,FALSE),"Exclude")</f>
        <v>Exclude</v>
      </c>
      <c r="P672" s="422">
        <f t="shared" si="110"/>
        <v>45775.320833333331</v>
      </c>
      <c r="Q672">
        <f t="shared" si="111"/>
        <v>0</v>
      </c>
      <c r="R672">
        <f t="shared" si="112"/>
        <v>0</v>
      </c>
      <c r="S672">
        <f>IF(
AND($Q672=1,$M672&lt;&gt;""),
IF(
COUNTIFS(
$M$3:$M672,$M672,
$O$3:$O672,$O672,
$Q$3:$Q672,1,
$P$3:$P672,"&gt;="&amp;EOMONTH($P672,-1)+1,
$P$3:$P672,"&lt;"&amp;EOMONTH($P672,0)+1
)=1,
1,
0),
0)</f>
        <v>0</v>
      </c>
      <c r="T672">
        <f>IF(AND($R672=1,$M672&lt;&gt;""),IF(COUNTIFS($M$3:$M672,$M672,$O$3:$O672,$O672,$R$3:$R672,1,$P$3:$P672,"&gt;="&amp;EOMONTH($P672,-1)+1,$P$3:$P672,"&lt;"&amp;EOMONTH($P672,0)+1)=1,1,0),0)</f>
        <v>0</v>
      </c>
      <c r="U672">
        <f t="shared" si="113"/>
        <v>0</v>
      </c>
      <c r="V672">
        <f>IF(AND($U672=1,$M672&lt;&gt;""),IF(COUNTIFS($M$3:$M672,$M672,$O$3:$O672,$O672,$U$3:$U672,1,$P$3:$P672,"&gt;="&amp;EOMONTH($P672,-1)+1,$P$3:$P672,"&lt;"&amp;EOMONTH($P672,0)+1)=1,1,0),0)</f>
        <v>0</v>
      </c>
      <c r="W672" s="444">
        <f ca="1">TODAY()-Table1[[#This Row],[Change Date]]</f>
        <v>482.67916666666861</v>
      </c>
      <c r="X672" s="422">
        <f t="shared" si="114"/>
        <v>45775.321527777778</v>
      </c>
      <c r="Y672" s="476">
        <f ca="1">IF(Table1[[#This Row],[Next Stage Date]]&lt;&gt;"",Table1[[#This Row],[Next Stage Date]]-Table1[[#This Row],[Change Date]],TODAY()-Table1[[#This Row],[Change Date]])</f>
        <v>6.944444467080757E-4</v>
      </c>
      <c r="Z672" s="476">
        <f t="shared" si="115"/>
        <v>0</v>
      </c>
      <c r="AA672" s="422">
        <f t="shared" si="116"/>
        <v>45798.34375</v>
      </c>
      <c r="AB672" s="422">
        <f t="shared" si="117"/>
        <v>45775.321527777778</v>
      </c>
      <c r="AC672" s="476">
        <f t="shared" si="118"/>
        <v>0.32152777777810115</v>
      </c>
      <c r="AD672" s="476">
        <f t="shared" si="119"/>
        <v>23.022222222221899</v>
      </c>
      <c r="AE672" s="476">
        <f t="shared" si="120"/>
        <v>23.34375</v>
      </c>
      <c r="AF672" s="476" t="b">
        <f>IFERROR(_xlfn.XLOOKUP(Table1[[#This Row],[Opportunity ID]],'Aging Detail'!$H$14:$H$20,'Aging Detail'!$F$14:$F$20),TRUE)</f>
        <v>1</v>
      </c>
    </row>
    <row r="673" spans="1:32">
      <c r="A673" t="s">
        <v>1461</v>
      </c>
      <c r="B673" t="s">
        <v>462</v>
      </c>
      <c r="C673" t="s">
        <v>526</v>
      </c>
      <c r="D673" t="s">
        <v>3103</v>
      </c>
      <c r="E673" t="s">
        <v>3032</v>
      </c>
      <c r="F673" t="s">
        <v>1465</v>
      </c>
      <c r="I673" s="422">
        <v>45775</v>
      </c>
      <c r="J673" s="422">
        <v>45776</v>
      </c>
      <c r="K673">
        <v>18000</v>
      </c>
      <c r="L673">
        <v>0</v>
      </c>
      <c r="M673" t="s">
        <v>3100</v>
      </c>
      <c r="N673" t="s">
        <v>1568</v>
      </c>
      <c r="O673" t="str">
        <f>_xlfn.IFNA(VLOOKUP(Table1[[#This Row],[Lead Source]],'helper tab'!A:B,2,FALSE),"Exclude")</f>
        <v>Exclude</v>
      </c>
      <c r="P673" s="422">
        <f t="shared" si="110"/>
        <v>45775.319444444445</v>
      </c>
      <c r="Q673">
        <f t="shared" si="111"/>
        <v>1</v>
      </c>
      <c r="R673">
        <f t="shared" si="112"/>
        <v>0</v>
      </c>
      <c r="S673">
        <f>IF(
AND($Q673=1,$M673&lt;&gt;""),
IF(
COUNTIFS(
$M$3:$M673,$M673,
$O$3:$O673,$O673,
$Q$3:$Q673,1,
$P$3:$P673,"&gt;="&amp;EOMONTH($P673,-1)+1,
$P$3:$P673,"&lt;"&amp;EOMONTH($P673,0)+1
)=1,
1,
0),
0)</f>
        <v>1</v>
      </c>
      <c r="T673">
        <f>IF(AND($R673=1,$M673&lt;&gt;""),IF(COUNTIFS($M$3:$M673,$M673,$O$3:$O673,$O673,$R$3:$R673,1,$P$3:$P673,"&gt;="&amp;EOMONTH($P673,-1)+1,$P$3:$P673,"&lt;"&amp;EOMONTH($P673,0)+1)=1,1,0),0)</f>
        <v>0</v>
      </c>
      <c r="U673">
        <f t="shared" si="113"/>
        <v>0</v>
      </c>
      <c r="V673">
        <f>IF(AND($U673=1,$M673&lt;&gt;""),IF(COUNTIFS($M$3:$M673,$M673,$O$3:$O673,$O673,$U$3:$U673,1,$P$3:$P673,"&gt;="&amp;EOMONTH($P673,-1)+1,$P$3:$P673,"&lt;"&amp;EOMONTH($P673,0)+1)=1,1,0),0)</f>
        <v>0</v>
      </c>
      <c r="W673" s="444">
        <f ca="1">TODAY()-Table1[[#This Row],[Change Date]]</f>
        <v>482.68055555555475</v>
      </c>
      <c r="X673" s="422">
        <f t="shared" si="114"/>
        <v>45776.310416666667</v>
      </c>
      <c r="Y673" s="476">
        <f ca="1">IF(Table1[[#This Row],[Next Stage Date]]&lt;&gt;"",Table1[[#This Row],[Next Stage Date]]-Table1[[#This Row],[Change Date]],TODAY()-Table1[[#This Row],[Change Date]])</f>
        <v>0.99097222222189885</v>
      </c>
      <c r="Z673" s="476">
        <f t="shared" si="115"/>
        <v>0</v>
      </c>
      <c r="AA673" s="422">
        <f t="shared" si="116"/>
        <v>45776.310416666667</v>
      </c>
      <c r="AB673" s="422">
        <f t="shared" si="117"/>
        <v>45775.319444444445</v>
      </c>
      <c r="AC673" s="476">
        <f t="shared" si="118"/>
        <v>0.31944444444525288</v>
      </c>
      <c r="AD673" s="476">
        <f t="shared" si="119"/>
        <v>0.99097222222189885</v>
      </c>
      <c r="AE673" s="476">
        <f t="shared" si="120"/>
        <v>1.3104166666671517</v>
      </c>
      <c r="AF673" s="476" t="b">
        <f>IFERROR(_xlfn.XLOOKUP(Table1[[#This Row],[Opportunity ID]],'Aging Detail'!$H$14:$H$20,'Aging Detail'!$F$14:$F$20),TRUE)</f>
        <v>1</v>
      </c>
    </row>
    <row r="674" spans="1:32">
      <c r="A674" t="s">
        <v>1461</v>
      </c>
      <c r="B674" t="s">
        <v>1462</v>
      </c>
      <c r="C674" t="s">
        <v>462</v>
      </c>
      <c r="D674" t="s">
        <v>3103</v>
      </c>
      <c r="E674" t="s">
        <v>3032</v>
      </c>
      <c r="F674" t="s">
        <v>1465</v>
      </c>
      <c r="I674" s="422">
        <v>45775</v>
      </c>
      <c r="J674" s="422">
        <v>45776</v>
      </c>
      <c r="K674">
        <v>18000</v>
      </c>
      <c r="L674">
        <v>0</v>
      </c>
      <c r="M674" t="s">
        <v>3100</v>
      </c>
      <c r="N674" t="s">
        <v>1568</v>
      </c>
      <c r="O674" t="str">
        <f>_xlfn.IFNA(VLOOKUP(Table1[[#This Row],[Lead Source]],'helper tab'!A:B,2,FALSE),"Exclude")</f>
        <v>Exclude</v>
      </c>
      <c r="P674" s="422">
        <f t="shared" si="110"/>
        <v>45775.319444444445</v>
      </c>
      <c r="Q674">
        <f t="shared" si="111"/>
        <v>1</v>
      </c>
      <c r="R674">
        <f t="shared" si="112"/>
        <v>0</v>
      </c>
      <c r="S674">
        <f>IF(
AND($Q674=1,$M674&lt;&gt;""),
IF(
COUNTIFS(
$M$3:$M674,$M674,
$O$3:$O674,$O674,
$Q$3:$Q674,1,
$P$3:$P674,"&gt;="&amp;EOMONTH($P674,-1)+1,
$P$3:$P674,"&lt;"&amp;EOMONTH($P674,0)+1
)=1,
1,
0),
0)</f>
        <v>0</v>
      </c>
      <c r="T674">
        <f>IF(AND($R674=1,$M674&lt;&gt;""),IF(COUNTIFS($M$3:$M674,$M674,$O$3:$O674,$O674,$R$3:$R674,1,$P$3:$P674,"&gt;="&amp;EOMONTH($P674,-1)+1,$P$3:$P674,"&lt;"&amp;EOMONTH($P674,0)+1)=1,1,0),0)</f>
        <v>0</v>
      </c>
      <c r="U674">
        <f t="shared" si="113"/>
        <v>0</v>
      </c>
      <c r="V674">
        <f>IF(AND($U674=1,$M674&lt;&gt;""),IF(COUNTIFS($M$3:$M674,$M674,$O$3:$O674,$O674,$U$3:$U674,1,$P$3:$P674,"&gt;="&amp;EOMONTH($P674,-1)+1,$P$3:$P674,"&lt;"&amp;EOMONTH($P674,0)+1)=1,1,0),0)</f>
        <v>0</v>
      </c>
      <c r="W674" s="444">
        <f ca="1">TODAY()-Table1[[#This Row],[Change Date]]</f>
        <v>482.68055555555475</v>
      </c>
      <c r="X674" s="422">
        <f t="shared" si="114"/>
        <v>45776.310416666667</v>
      </c>
      <c r="Y674" s="476">
        <f ca="1">IF(Table1[[#This Row],[Next Stage Date]]&lt;&gt;"",Table1[[#This Row],[Next Stage Date]]-Table1[[#This Row],[Change Date]],TODAY()-Table1[[#This Row],[Change Date]])</f>
        <v>0.99097222222189885</v>
      </c>
      <c r="Z674" s="476">
        <f t="shared" si="115"/>
        <v>0</v>
      </c>
      <c r="AA674" s="422">
        <f t="shared" si="116"/>
        <v>45776.310416666667</v>
      </c>
      <c r="AB674" s="422">
        <f t="shared" si="117"/>
        <v>45775.319444444445</v>
      </c>
      <c r="AC674" s="476">
        <f t="shared" si="118"/>
        <v>0.31944444444525288</v>
      </c>
      <c r="AD674" s="476">
        <f t="shared" si="119"/>
        <v>0.99097222222189885</v>
      </c>
      <c r="AE674" s="476">
        <f t="shared" si="120"/>
        <v>1.3104166666671517</v>
      </c>
      <c r="AF674" s="476" t="b">
        <f>IFERROR(_xlfn.XLOOKUP(Table1[[#This Row],[Opportunity ID]],'Aging Detail'!$H$14:$H$20,'Aging Detail'!$F$14:$F$20),TRUE)</f>
        <v>1</v>
      </c>
    </row>
    <row r="675" spans="1:32">
      <c r="A675" t="s">
        <v>1461</v>
      </c>
      <c r="B675" t="s">
        <v>408</v>
      </c>
      <c r="C675" t="s">
        <v>1462</v>
      </c>
      <c r="D675" t="s">
        <v>3103</v>
      </c>
      <c r="E675" t="s">
        <v>3032</v>
      </c>
      <c r="F675" t="s">
        <v>1465</v>
      </c>
      <c r="I675" s="422">
        <v>45775</v>
      </c>
      <c r="J675" s="422">
        <v>45776</v>
      </c>
      <c r="K675">
        <v>18000</v>
      </c>
      <c r="L675">
        <v>0</v>
      </c>
      <c r="M675" t="s">
        <v>3100</v>
      </c>
      <c r="N675" t="s">
        <v>1568</v>
      </c>
      <c r="O675" t="str">
        <f>_xlfn.IFNA(VLOOKUP(Table1[[#This Row],[Lead Source]],'helper tab'!A:B,2,FALSE),"Exclude")</f>
        <v>Exclude</v>
      </c>
      <c r="P675" s="422">
        <f t="shared" si="110"/>
        <v>45775.319444444445</v>
      </c>
      <c r="Q675">
        <f t="shared" si="111"/>
        <v>0</v>
      </c>
      <c r="R675">
        <f t="shared" si="112"/>
        <v>0</v>
      </c>
      <c r="S675">
        <f>IF(
AND($Q675=1,$M675&lt;&gt;""),
IF(
COUNTIFS(
$M$3:$M675,$M675,
$O$3:$O675,$O675,
$Q$3:$Q675,1,
$P$3:$P675,"&gt;="&amp;EOMONTH($P675,-1)+1,
$P$3:$P675,"&lt;"&amp;EOMONTH($P675,0)+1
)=1,
1,
0),
0)</f>
        <v>0</v>
      </c>
      <c r="T675">
        <f>IF(AND($R675=1,$M675&lt;&gt;""),IF(COUNTIFS($M$3:$M675,$M675,$O$3:$O675,$O675,$R$3:$R675,1,$P$3:$P675,"&gt;="&amp;EOMONTH($P675,-1)+1,$P$3:$P675,"&lt;"&amp;EOMONTH($P675,0)+1)=1,1,0),0)</f>
        <v>0</v>
      </c>
      <c r="U675">
        <f t="shared" si="113"/>
        <v>0</v>
      </c>
      <c r="V675">
        <f>IF(AND($U675=1,$M675&lt;&gt;""),IF(COUNTIFS($M$3:$M675,$M675,$O$3:$O675,$O675,$U$3:$U675,1,$P$3:$P675,"&gt;="&amp;EOMONTH($P675,-1)+1,$P$3:$P675,"&lt;"&amp;EOMONTH($P675,0)+1)=1,1,0),0)</f>
        <v>0</v>
      </c>
      <c r="W675" s="444">
        <f ca="1">TODAY()-Table1[[#This Row],[Change Date]]</f>
        <v>482.68055555555475</v>
      </c>
      <c r="X675" s="422">
        <f t="shared" si="114"/>
        <v>45776.310416666667</v>
      </c>
      <c r="Y675" s="476">
        <f ca="1">IF(Table1[[#This Row],[Next Stage Date]]&lt;&gt;"",Table1[[#This Row],[Next Stage Date]]-Table1[[#This Row],[Change Date]],TODAY()-Table1[[#This Row],[Change Date]])</f>
        <v>0.99097222222189885</v>
      </c>
      <c r="Z675" s="476">
        <f t="shared" si="115"/>
        <v>0</v>
      </c>
      <c r="AA675" s="422">
        <f t="shared" si="116"/>
        <v>45776.310416666667</v>
      </c>
      <c r="AB675" s="422">
        <f t="shared" si="117"/>
        <v>45775.319444444445</v>
      </c>
      <c r="AC675" s="476">
        <f t="shared" si="118"/>
        <v>0.31944444444525288</v>
      </c>
      <c r="AD675" s="476">
        <f t="shared" si="119"/>
        <v>0.99097222222189885</v>
      </c>
      <c r="AE675" s="476">
        <f t="shared" si="120"/>
        <v>1.3104166666671517</v>
      </c>
      <c r="AF675" s="476" t="b">
        <f>IFERROR(_xlfn.XLOOKUP(Table1[[#This Row],[Opportunity ID]],'Aging Detail'!$H$14:$H$20,'Aging Detail'!$F$14:$F$20),TRUE)</f>
        <v>1</v>
      </c>
    </row>
    <row r="676" spans="1:32">
      <c r="A676" t="s">
        <v>1461</v>
      </c>
      <c r="B676" t="s">
        <v>526</v>
      </c>
      <c r="C676" t="s">
        <v>1462</v>
      </c>
      <c r="D676" t="s">
        <v>3104</v>
      </c>
      <c r="E676" t="s">
        <v>2332</v>
      </c>
      <c r="F676" t="s">
        <v>148</v>
      </c>
      <c r="H676" t="s">
        <v>157</v>
      </c>
      <c r="I676" s="422">
        <v>45464</v>
      </c>
      <c r="J676" s="422">
        <v>46203</v>
      </c>
      <c r="K676">
        <v>179600</v>
      </c>
      <c r="L676">
        <v>129600</v>
      </c>
      <c r="M676" t="s">
        <v>2333</v>
      </c>
      <c r="N676" t="s">
        <v>2334</v>
      </c>
      <c r="O676" t="str">
        <f>_xlfn.IFNA(VLOOKUP(Table1[[#This Row],[Lead Source]],'helper tab'!A:B,2,FALSE),"Exclude")</f>
        <v>Alliances</v>
      </c>
      <c r="P676" s="422">
        <f t="shared" si="110"/>
        <v>45771.138194444444</v>
      </c>
      <c r="Q676">
        <f t="shared" si="111"/>
        <v>0</v>
      </c>
      <c r="R676">
        <f t="shared" si="112"/>
        <v>0</v>
      </c>
      <c r="S676">
        <f>IF(
AND($Q676=1,$M676&lt;&gt;""),
IF(
COUNTIFS(
$M$3:$M676,$M676,
$O$3:$O676,$O676,
$Q$3:$Q676,1,
$P$3:$P676,"&gt;="&amp;EOMONTH($P676,-1)+1,
$P$3:$P676,"&lt;"&amp;EOMONTH($P676,0)+1
)=1,
1,
0),
0)</f>
        <v>0</v>
      </c>
      <c r="T676">
        <f>IF(AND($R676=1,$M676&lt;&gt;""),IF(COUNTIFS($M$3:$M676,$M676,$O$3:$O676,$O676,$R$3:$R676,1,$P$3:$P676,"&gt;="&amp;EOMONTH($P676,-1)+1,$P$3:$P676,"&lt;"&amp;EOMONTH($P676,0)+1)=1,1,0),0)</f>
        <v>0</v>
      </c>
      <c r="U676">
        <f t="shared" si="113"/>
        <v>0</v>
      </c>
      <c r="V676">
        <f>IF(AND($U676=1,$M676&lt;&gt;""),IF(COUNTIFS($M$3:$M676,$M676,$O$3:$O676,$O676,$U$3:$U676,1,$P$3:$P676,"&gt;="&amp;EOMONTH($P676,-1)+1,$P$3:$P676,"&lt;"&amp;EOMONTH($P676,0)+1)=1,1,0),0)</f>
        <v>0</v>
      </c>
      <c r="W676" s="444">
        <f ca="1">TODAY()-Table1[[#This Row],[Change Date]]</f>
        <v>486.8618055555562</v>
      </c>
      <c r="X676" s="422">
        <f t="shared" si="114"/>
        <v>46038.210416666669</v>
      </c>
      <c r="Y676" s="476">
        <f ca="1">IF(Table1[[#This Row],[Next Stage Date]]&lt;&gt;"",Table1[[#This Row],[Next Stage Date]]-Table1[[#This Row],[Change Date]],TODAY()-Table1[[#This Row],[Change Date]])</f>
        <v>267.07222222222481</v>
      </c>
      <c r="Z676" s="476">
        <f t="shared" si="115"/>
        <v>0</v>
      </c>
      <c r="AA676" s="422" t="str">
        <f t="shared" si="116"/>
        <v/>
      </c>
      <c r="AB676" s="422">
        <f t="shared" si="117"/>
        <v>45691.176388888889</v>
      </c>
      <c r="AC676" s="476">
        <f t="shared" si="118"/>
        <v>227.17638888888905</v>
      </c>
      <c r="AD676" s="476" t="str">
        <f t="shared" si="119"/>
        <v/>
      </c>
      <c r="AE676" s="476" t="str">
        <f t="shared" si="120"/>
        <v/>
      </c>
      <c r="AF676" s="476" t="b">
        <f>IFERROR(_xlfn.XLOOKUP(Table1[[#This Row],[Opportunity ID]],'Aging Detail'!$H$14:$H$20,'Aging Detail'!$F$14:$F$20),TRUE)</f>
        <v>1</v>
      </c>
    </row>
    <row r="677" spans="1:32">
      <c r="A677" t="s">
        <v>1461</v>
      </c>
      <c r="B677" t="s">
        <v>563</v>
      </c>
      <c r="C677" t="s">
        <v>526</v>
      </c>
      <c r="D677" t="s">
        <v>3105</v>
      </c>
      <c r="E677" t="s">
        <v>3022</v>
      </c>
      <c r="F677" t="s">
        <v>1484</v>
      </c>
      <c r="I677" s="422">
        <v>44895</v>
      </c>
      <c r="J677" s="422">
        <v>45806</v>
      </c>
      <c r="K677">
        <v>0</v>
      </c>
      <c r="L677">
        <v>0</v>
      </c>
      <c r="M677" t="s">
        <v>3023</v>
      </c>
      <c r="N677" t="s">
        <v>1618</v>
      </c>
      <c r="O677" t="str">
        <f>_xlfn.IFNA(VLOOKUP(Table1[[#This Row],[Lead Source]],'helper tab'!A:B,2,FALSE),"Exclude")</f>
        <v>Exclude</v>
      </c>
      <c r="P677" s="422">
        <f t="shared" si="110"/>
        <v>45770.343055555553</v>
      </c>
      <c r="Q677">
        <f t="shared" si="111"/>
        <v>1</v>
      </c>
      <c r="R677">
        <f t="shared" si="112"/>
        <v>0</v>
      </c>
      <c r="S677">
        <f>IF(
AND($Q677=1,$M677&lt;&gt;""),
IF(
COUNTIFS(
$M$3:$M677,$M677,
$O$3:$O677,$O677,
$Q$3:$Q677,1,
$P$3:$P677,"&gt;="&amp;EOMONTH($P677,-1)+1,
$P$3:$P677,"&lt;"&amp;EOMONTH($P677,0)+1
)=1,
1,
0),
0)</f>
        <v>1</v>
      </c>
      <c r="T677">
        <f>IF(AND($R677=1,$M677&lt;&gt;""),IF(COUNTIFS($M$3:$M677,$M677,$O$3:$O677,$O677,$R$3:$R677,1,$P$3:$P677,"&gt;="&amp;EOMONTH($P677,-1)+1,$P$3:$P677,"&lt;"&amp;EOMONTH($P677,0)+1)=1,1,0),0)</f>
        <v>0</v>
      </c>
      <c r="U677">
        <f t="shared" si="113"/>
        <v>0</v>
      </c>
      <c r="V677">
        <f>IF(AND($U677=1,$M677&lt;&gt;""),IF(COUNTIFS($M$3:$M677,$M677,$O$3:$O677,$O677,$U$3:$U677,1,$P$3:$P677,"&gt;="&amp;EOMONTH($P677,-1)+1,$P$3:$P677,"&lt;"&amp;EOMONTH($P677,0)+1)=1,1,0),0)</f>
        <v>0</v>
      </c>
      <c r="W677" s="444">
        <f ca="1">TODAY()-Table1[[#This Row],[Change Date]]</f>
        <v>487.65694444444671</v>
      </c>
      <c r="X677" s="422">
        <f t="shared" si="114"/>
        <v>45806.263888888891</v>
      </c>
      <c r="Y677" s="476">
        <f ca="1">IF(Table1[[#This Row],[Next Stage Date]]&lt;&gt;"",Table1[[#This Row],[Next Stage Date]]-Table1[[#This Row],[Change Date]],TODAY()-Table1[[#This Row],[Change Date]])</f>
        <v>35.920833333337214</v>
      </c>
      <c r="Z677" s="476">
        <f t="shared" si="115"/>
        <v>0</v>
      </c>
      <c r="AA677" s="422">
        <f t="shared" si="116"/>
        <v>45770.198611111111</v>
      </c>
      <c r="AB677" s="422">
        <f t="shared" si="117"/>
        <v>45770.343055555553</v>
      </c>
      <c r="AC677" s="476">
        <f t="shared" si="118"/>
        <v>875.34305555555329</v>
      </c>
      <c r="AD677" s="476">
        <f t="shared" si="119"/>
        <v>-0.1444444444423425</v>
      </c>
      <c r="AE677" s="476">
        <f t="shared" si="120"/>
        <v>875.19861111111095</v>
      </c>
      <c r="AF677" s="476" t="b">
        <f>IFERROR(_xlfn.XLOOKUP(Table1[[#This Row],[Opportunity ID]],'Aging Detail'!$H$14:$H$20,'Aging Detail'!$F$14:$F$20),TRUE)</f>
        <v>1</v>
      </c>
    </row>
    <row r="678" spans="1:32">
      <c r="A678" t="s">
        <v>1461</v>
      </c>
      <c r="B678" t="s">
        <v>462</v>
      </c>
      <c r="C678" t="s">
        <v>563</v>
      </c>
      <c r="D678" t="s">
        <v>3106</v>
      </c>
      <c r="E678" t="s">
        <v>3107</v>
      </c>
      <c r="I678" s="422">
        <v>45631</v>
      </c>
      <c r="J678" s="422">
        <v>45770</v>
      </c>
      <c r="K678">
        <v>0</v>
      </c>
      <c r="L678">
        <v>0</v>
      </c>
      <c r="M678" t="s">
        <v>3108</v>
      </c>
      <c r="N678" t="s">
        <v>1618</v>
      </c>
      <c r="O678" t="str">
        <f>_xlfn.IFNA(VLOOKUP(Table1[[#This Row],[Lead Source]],'helper tab'!A:B,2,FALSE),"Exclude")</f>
        <v>Exclude</v>
      </c>
      <c r="P678" s="422">
        <f t="shared" si="110"/>
        <v>45770.342361111114</v>
      </c>
      <c r="Q678">
        <f t="shared" si="111"/>
        <v>0</v>
      </c>
      <c r="R678">
        <f t="shared" si="112"/>
        <v>1</v>
      </c>
      <c r="S678">
        <f>IF(
AND($Q678=1,$M678&lt;&gt;""),
IF(
COUNTIFS(
$M$3:$M678,$M678,
$O$3:$O678,$O678,
$Q$3:$Q678,1,
$P$3:$P678,"&gt;="&amp;EOMONTH($P678,-1)+1,
$P$3:$P678,"&lt;"&amp;EOMONTH($P678,0)+1
)=1,
1,
0),
0)</f>
        <v>0</v>
      </c>
      <c r="T678">
        <f>IF(AND($R678=1,$M678&lt;&gt;""),IF(COUNTIFS($M$3:$M678,$M678,$O$3:$O678,$O678,$R$3:$R678,1,$P$3:$P678,"&gt;="&amp;EOMONTH($P678,-1)+1,$P$3:$P678,"&lt;"&amp;EOMONTH($P678,0)+1)=1,1,0),0)</f>
        <v>1</v>
      </c>
      <c r="U678">
        <f t="shared" si="113"/>
        <v>0</v>
      </c>
      <c r="V678">
        <f>IF(AND($U678=1,$M678&lt;&gt;""),IF(COUNTIFS($M$3:$M678,$M678,$O$3:$O678,$O678,$U$3:$U678,1,$P$3:$P678,"&gt;="&amp;EOMONTH($P678,-1)+1,$P$3:$P678,"&lt;"&amp;EOMONTH($P678,0)+1)=1,1,0),0)</f>
        <v>0</v>
      </c>
      <c r="W678" s="444">
        <f ca="1">TODAY()-Table1[[#This Row],[Change Date]]</f>
        <v>487.65763888888614</v>
      </c>
      <c r="X678" s="422" t="str">
        <f t="shared" si="114"/>
        <v/>
      </c>
      <c r="Y678" s="476">
        <f ca="1">IF(Table1[[#This Row],[Next Stage Date]]&lt;&gt;"",Table1[[#This Row],[Next Stage Date]]-Table1[[#This Row],[Change Date]],TODAY()-Table1[[#This Row],[Change Date]])</f>
        <v>487.65763888888614</v>
      </c>
      <c r="Z678" s="476">
        <f t="shared" si="115"/>
        <v>1</v>
      </c>
      <c r="AA678" s="422">
        <f t="shared" si="116"/>
        <v>45770.342361111114</v>
      </c>
      <c r="AB678" s="422">
        <f t="shared" si="117"/>
        <v>45734.500694444447</v>
      </c>
      <c r="AC678" s="476">
        <f t="shared" si="118"/>
        <v>103.50069444444671</v>
      </c>
      <c r="AD678" s="476">
        <f t="shared" si="119"/>
        <v>35.841666666667152</v>
      </c>
      <c r="AE678" s="476">
        <f t="shared" si="120"/>
        <v>139.34236111111386</v>
      </c>
      <c r="AF678" s="476" t="b">
        <f>IFERROR(_xlfn.XLOOKUP(Table1[[#This Row],[Opportunity ID]],'Aging Detail'!$H$14:$H$20,'Aging Detail'!$F$14:$F$20),TRUE)</f>
        <v>1</v>
      </c>
    </row>
    <row r="679" spans="1:32">
      <c r="A679" t="s">
        <v>1461</v>
      </c>
      <c r="B679" t="s">
        <v>526</v>
      </c>
      <c r="C679" t="s">
        <v>563</v>
      </c>
      <c r="D679" t="s">
        <v>3109</v>
      </c>
      <c r="E679" t="s">
        <v>3110</v>
      </c>
      <c r="F679" t="s">
        <v>148</v>
      </c>
      <c r="H679" t="s">
        <v>154</v>
      </c>
      <c r="I679" s="422">
        <v>45313</v>
      </c>
      <c r="J679" s="422">
        <v>45770</v>
      </c>
      <c r="K679">
        <v>214000</v>
      </c>
      <c r="L679">
        <v>73000</v>
      </c>
      <c r="M679" t="s">
        <v>3111</v>
      </c>
      <c r="N679" t="s">
        <v>592</v>
      </c>
      <c r="O679" t="str">
        <f>_xlfn.IFNA(VLOOKUP(Table1[[#This Row],[Lead Source]],'helper tab'!A:B,2,FALSE),"Exclude")</f>
        <v>Alliances</v>
      </c>
      <c r="P679" s="422">
        <f t="shared" si="110"/>
        <v>45770.268055555556</v>
      </c>
      <c r="Q679">
        <f t="shared" si="111"/>
        <v>0</v>
      </c>
      <c r="R679">
        <f t="shared" si="112"/>
        <v>1</v>
      </c>
      <c r="S679">
        <f>IF(
AND($Q679=1,$M679&lt;&gt;""),
IF(
COUNTIFS(
$M$3:$M679,$M679,
$O$3:$O679,$O679,
$Q$3:$Q679,1,
$P$3:$P679,"&gt;="&amp;EOMONTH($P679,-1)+1,
$P$3:$P679,"&lt;"&amp;EOMONTH($P679,0)+1
)=1,
1,
0),
0)</f>
        <v>0</v>
      </c>
      <c r="T679">
        <f>IF(AND($R679=1,$M679&lt;&gt;""),IF(COUNTIFS($M$3:$M679,$M679,$O$3:$O679,$O679,$R$3:$R679,1,$P$3:$P679,"&gt;="&amp;EOMONTH($P679,-1)+1,$P$3:$P679,"&lt;"&amp;EOMONTH($P679,0)+1)=1,1,0),0)</f>
        <v>1</v>
      </c>
      <c r="U679">
        <f t="shared" si="113"/>
        <v>0</v>
      </c>
      <c r="V679">
        <f>IF(AND($U679=1,$M679&lt;&gt;""),IF(COUNTIFS($M$3:$M679,$M679,$O$3:$O679,$O679,$U$3:$U679,1,$P$3:$P679,"&gt;="&amp;EOMONTH($P679,-1)+1,$P$3:$P679,"&lt;"&amp;EOMONTH($P679,0)+1)=1,1,0),0)</f>
        <v>0</v>
      </c>
      <c r="W679" s="444">
        <f ca="1">TODAY()-Table1[[#This Row],[Change Date]]</f>
        <v>487.7319444444438</v>
      </c>
      <c r="X679" s="422" t="str">
        <f t="shared" si="114"/>
        <v/>
      </c>
      <c r="Y679" s="476">
        <f ca="1">IF(Table1[[#This Row],[Next Stage Date]]&lt;&gt;"",Table1[[#This Row],[Next Stage Date]]-Table1[[#This Row],[Change Date]],TODAY()-Table1[[#This Row],[Change Date]])</f>
        <v>487.7319444444438</v>
      </c>
      <c r="Z679" s="476">
        <f t="shared" si="115"/>
        <v>1</v>
      </c>
      <c r="AA679" s="422">
        <f t="shared" si="116"/>
        <v>45770.268055555556</v>
      </c>
      <c r="AB679" s="422">
        <f t="shared" si="117"/>
        <v>45695.325694444444</v>
      </c>
      <c r="AC679" s="476">
        <f t="shared" si="118"/>
        <v>382.3256944444438</v>
      </c>
      <c r="AD679" s="476">
        <f t="shared" si="119"/>
        <v>74.942361111112405</v>
      </c>
      <c r="AE679" s="476">
        <f t="shared" si="120"/>
        <v>457.2680555555562</v>
      </c>
      <c r="AF679" s="476" t="b">
        <f>IFERROR(_xlfn.XLOOKUP(Table1[[#This Row],[Opportunity ID]],'Aging Detail'!$H$14:$H$20,'Aging Detail'!$F$14:$F$20),TRUE)</f>
        <v>1</v>
      </c>
    </row>
    <row r="680" spans="1:32">
      <c r="A680" t="s">
        <v>1461</v>
      </c>
      <c r="B680" t="s">
        <v>526</v>
      </c>
      <c r="C680" t="s">
        <v>563</v>
      </c>
      <c r="D680" t="s">
        <v>3112</v>
      </c>
      <c r="E680" t="s">
        <v>3022</v>
      </c>
      <c r="F680" t="s">
        <v>1484</v>
      </c>
      <c r="I680" s="422">
        <v>44895</v>
      </c>
      <c r="J680" s="422">
        <v>45806</v>
      </c>
      <c r="K680">
        <v>0</v>
      </c>
      <c r="L680">
        <v>0</v>
      </c>
      <c r="M680" t="s">
        <v>3023</v>
      </c>
      <c r="N680" t="s">
        <v>1618</v>
      </c>
      <c r="O680" t="str">
        <f>_xlfn.IFNA(VLOOKUP(Table1[[#This Row],[Lead Source]],'helper tab'!A:B,2,FALSE),"Exclude")</f>
        <v>Exclude</v>
      </c>
      <c r="P680" s="422">
        <f t="shared" si="110"/>
        <v>45770.198611111111</v>
      </c>
      <c r="Q680">
        <f t="shared" si="111"/>
        <v>0</v>
      </c>
      <c r="R680">
        <f t="shared" si="112"/>
        <v>1</v>
      </c>
      <c r="S680">
        <f>IF(
AND($Q680=1,$M680&lt;&gt;""),
IF(
COUNTIFS(
$M$3:$M680,$M680,
$O$3:$O680,$O680,
$Q$3:$Q680,1,
$P$3:$P680,"&gt;="&amp;EOMONTH($P680,-1)+1,
$P$3:$P680,"&lt;"&amp;EOMONTH($P680,0)+1
)=1,
1,
0),
0)</f>
        <v>0</v>
      </c>
      <c r="T680">
        <f>IF(AND($R680=1,$M680&lt;&gt;""),IF(COUNTIFS($M$3:$M680,$M680,$O$3:$O680,$O680,$R$3:$R680,1,$P$3:$P680,"&gt;="&amp;EOMONTH($P680,-1)+1,$P$3:$P680,"&lt;"&amp;EOMONTH($P680,0)+1)=1,1,0),0)</f>
        <v>1</v>
      </c>
      <c r="U680">
        <f t="shared" si="113"/>
        <v>0</v>
      </c>
      <c r="V680">
        <f>IF(AND($U680=1,$M680&lt;&gt;""),IF(COUNTIFS($M$3:$M680,$M680,$O$3:$O680,$O680,$U$3:$U680,1,$P$3:$P680,"&gt;="&amp;EOMONTH($P680,-1)+1,$P$3:$P680,"&lt;"&amp;EOMONTH($P680,0)+1)=1,1,0),0)</f>
        <v>0</v>
      </c>
      <c r="W680" s="444">
        <f ca="1">TODAY()-Table1[[#This Row],[Change Date]]</f>
        <v>487.80138888888905</v>
      </c>
      <c r="X680" s="422">
        <f t="shared" si="114"/>
        <v>45770.343055555553</v>
      </c>
      <c r="Y680" s="476">
        <f ca="1">IF(Table1[[#This Row],[Next Stage Date]]&lt;&gt;"",Table1[[#This Row],[Next Stage Date]]-Table1[[#This Row],[Change Date]],TODAY()-Table1[[#This Row],[Change Date]])</f>
        <v>0.1444444444423425</v>
      </c>
      <c r="Z680" s="476">
        <f t="shared" si="115"/>
        <v>0</v>
      </c>
      <c r="AA680" s="422">
        <f t="shared" si="116"/>
        <v>45770.198611111111</v>
      </c>
      <c r="AB680" s="422">
        <f t="shared" si="117"/>
        <v>45770.343055555553</v>
      </c>
      <c r="AC680" s="476">
        <f t="shared" si="118"/>
        <v>875.34305555555329</v>
      </c>
      <c r="AD680" s="476">
        <f t="shared" si="119"/>
        <v>-0.1444444444423425</v>
      </c>
      <c r="AE680" s="476">
        <f t="shared" si="120"/>
        <v>875.19861111111095</v>
      </c>
      <c r="AF680" s="476" t="b">
        <f>IFERROR(_xlfn.XLOOKUP(Table1[[#This Row],[Opportunity ID]],'Aging Detail'!$H$14:$H$20,'Aging Detail'!$F$14:$F$20),TRUE)</f>
        <v>1</v>
      </c>
    </row>
    <row r="681" spans="1:32">
      <c r="A681" t="s">
        <v>1461</v>
      </c>
      <c r="B681" t="s">
        <v>408</v>
      </c>
      <c r="C681" t="s">
        <v>563</v>
      </c>
      <c r="D681" t="s">
        <v>3113</v>
      </c>
      <c r="E681" t="s">
        <v>3114</v>
      </c>
      <c r="I681" s="422">
        <v>45755</v>
      </c>
      <c r="J681" s="422">
        <v>45769</v>
      </c>
      <c r="K681">
        <v>14850</v>
      </c>
      <c r="L681">
        <v>0</v>
      </c>
      <c r="M681" t="s">
        <v>3115</v>
      </c>
      <c r="N681" t="s">
        <v>1800</v>
      </c>
      <c r="O681" t="str">
        <f>_xlfn.IFNA(VLOOKUP(Table1[[#This Row],[Lead Source]],'helper tab'!A:B,2,FALSE),"Exclude")</f>
        <v>Exclude</v>
      </c>
      <c r="P681" s="422">
        <f t="shared" si="110"/>
        <v>45769.5625</v>
      </c>
      <c r="Q681">
        <f t="shared" si="111"/>
        <v>0</v>
      </c>
      <c r="R681">
        <f t="shared" si="112"/>
        <v>1</v>
      </c>
      <c r="S681">
        <f>IF(
AND($Q681=1,$M681&lt;&gt;""),
IF(
COUNTIFS(
$M$3:$M681,$M681,
$O$3:$O681,$O681,
$Q$3:$Q681,1,
$P$3:$P681,"&gt;="&amp;EOMONTH($P681,-1)+1,
$P$3:$P681,"&lt;"&amp;EOMONTH($P681,0)+1
)=1,
1,
0),
0)</f>
        <v>0</v>
      </c>
      <c r="T681">
        <f>IF(AND($R681=1,$M681&lt;&gt;""),IF(COUNTIFS($M$3:$M681,$M681,$O$3:$O681,$O681,$R$3:$R681,1,$P$3:$P681,"&gt;="&amp;EOMONTH($P681,-1)+1,$P$3:$P681,"&lt;"&amp;EOMONTH($P681,0)+1)=1,1,0),0)</f>
        <v>1</v>
      </c>
      <c r="U681">
        <f t="shared" si="113"/>
        <v>0</v>
      </c>
      <c r="V681">
        <f>IF(AND($U681=1,$M681&lt;&gt;""),IF(COUNTIFS($M$3:$M681,$M681,$O$3:$O681,$O681,$U$3:$U681,1,$P$3:$P681,"&gt;="&amp;EOMONTH($P681,-1)+1,$P$3:$P681,"&lt;"&amp;EOMONTH($P681,0)+1)=1,1,0),0)</f>
        <v>0</v>
      </c>
      <c r="W681" s="444">
        <f ca="1">TODAY()-Table1[[#This Row],[Change Date]]</f>
        <v>488.4375</v>
      </c>
      <c r="X681" s="422" t="str">
        <f t="shared" si="114"/>
        <v/>
      </c>
      <c r="Y681" s="476">
        <f ca="1">IF(Table1[[#This Row],[Next Stage Date]]&lt;&gt;"",Table1[[#This Row],[Next Stage Date]]-Table1[[#This Row],[Change Date]],TODAY()-Table1[[#This Row],[Change Date]])</f>
        <v>488.4375</v>
      </c>
      <c r="Z681" s="476">
        <f t="shared" si="115"/>
        <v>1</v>
      </c>
      <c r="AA681" s="422">
        <f t="shared" si="116"/>
        <v>45769.5625</v>
      </c>
      <c r="AB681" s="422" t="str">
        <f t="shared" si="117"/>
        <v/>
      </c>
      <c r="AC681" s="476" t="str">
        <f t="shared" si="118"/>
        <v/>
      </c>
      <c r="AD681" s="476" t="str">
        <f t="shared" si="119"/>
        <v/>
      </c>
      <c r="AE681" s="476">
        <f t="shared" si="120"/>
        <v>14.5625</v>
      </c>
      <c r="AF681" s="476" t="b">
        <f>IFERROR(_xlfn.XLOOKUP(Table1[[#This Row],[Opportunity ID]],'Aging Detail'!$H$14:$H$20,'Aging Detail'!$F$14:$F$20),TRUE)</f>
        <v>1</v>
      </c>
    </row>
    <row r="682" spans="1:32">
      <c r="A682" t="s">
        <v>1461</v>
      </c>
      <c r="B682" t="s">
        <v>408</v>
      </c>
      <c r="C682" t="s">
        <v>563</v>
      </c>
      <c r="D682" t="s">
        <v>3116</v>
      </c>
      <c r="E682" t="s">
        <v>3117</v>
      </c>
      <c r="I682" s="422">
        <v>45726</v>
      </c>
      <c r="J682" s="422">
        <v>45747</v>
      </c>
      <c r="K682">
        <v>4500</v>
      </c>
      <c r="L682">
        <v>0</v>
      </c>
      <c r="M682" t="s">
        <v>3118</v>
      </c>
      <c r="N682" t="s">
        <v>1608</v>
      </c>
      <c r="O682" t="str">
        <f>_xlfn.IFNA(VLOOKUP(Table1[[#This Row],[Lead Source]],'helper tab'!A:B,2,FALSE),"Exclude")</f>
        <v>Exclude</v>
      </c>
      <c r="P682" s="422">
        <f t="shared" si="110"/>
        <v>45768.599305555559</v>
      </c>
      <c r="Q682">
        <f t="shared" si="111"/>
        <v>0</v>
      </c>
      <c r="R682">
        <f t="shared" si="112"/>
        <v>1</v>
      </c>
      <c r="S682">
        <f>IF(
AND($Q682=1,$M682&lt;&gt;""),
IF(
COUNTIFS(
$M$3:$M682,$M682,
$O$3:$O682,$O682,
$Q$3:$Q682,1,
$P$3:$P682,"&gt;="&amp;EOMONTH($P682,-1)+1,
$P$3:$P682,"&lt;"&amp;EOMONTH($P682,0)+1
)=1,
1,
0),
0)</f>
        <v>0</v>
      </c>
      <c r="T682">
        <f>IF(AND($R682=1,$M682&lt;&gt;""),IF(COUNTIFS($M$3:$M682,$M682,$O$3:$O682,$O682,$R$3:$R682,1,$P$3:$P682,"&gt;="&amp;EOMONTH($P682,-1)+1,$P$3:$P682,"&lt;"&amp;EOMONTH($P682,0)+1)=1,1,0),0)</f>
        <v>1</v>
      </c>
      <c r="U682">
        <f t="shared" si="113"/>
        <v>0</v>
      </c>
      <c r="V682">
        <f>IF(AND($U682=1,$M682&lt;&gt;""),IF(COUNTIFS($M$3:$M682,$M682,$O$3:$O682,$O682,$U$3:$U682,1,$P$3:$P682,"&gt;="&amp;EOMONTH($P682,-1)+1,$P$3:$P682,"&lt;"&amp;EOMONTH($P682,0)+1)=1,1,0),0)</f>
        <v>0</v>
      </c>
      <c r="W682" s="444">
        <f ca="1">TODAY()-Table1[[#This Row],[Change Date]]</f>
        <v>489.40069444444089</v>
      </c>
      <c r="X682" s="422" t="str">
        <f t="shared" si="114"/>
        <v/>
      </c>
      <c r="Y682" s="476">
        <f ca="1">IF(Table1[[#This Row],[Next Stage Date]]&lt;&gt;"",Table1[[#This Row],[Next Stage Date]]-Table1[[#This Row],[Change Date]],TODAY()-Table1[[#This Row],[Change Date]])</f>
        <v>489.40069444444089</v>
      </c>
      <c r="Z682" s="476">
        <f t="shared" si="115"/>
        <v>1</v>
      </c>
      <c r="AA682" s="422">
        <f t="shared" si="116"/>
        <v>45768.599305555559</v>
      </c>
      <c r="AB682" s="422" t="str">
        <f t="shared" si="117"/>
        <v/>
      </c>
      <c r="AC682" s="476" t="str">
        <f t="shared" si="118"/>
        <v/>
      </c>
      <c r="AD682" s="476" t="str">
        <f t="shared" si="119"/>
        <v/>
      </c>
      <c r="AE682" s="476">
        <f t="shared" si="120"/>
        <v>42.599305555559113</v>
      </c>
      <c r="AF682" s="476" t="b">
        <f>IFERROR(_xlfn.XLOOKUP(Table1[[#This Row],[Opportunity ID]],'Aging Detail'!$H$14:$H$20,'Aging Detail'!$F$14:$F$20),TRUE)</f>
        <v>1</v>
      </c>
    </row>
    <row r="683" spans="1:32">
      <c r="A683" t="s">
        <v>1461</v>
      </c>
      <c r="B683" t="s">
        <v>526</v>
      </c>
      <c r="C683" t="s">
        <v>563</v>
      </c>
      <c r="D683" t="s">
        <v>3119</v>
      </c>
      <c r="E683" t="s">
        <v>3120</v>
      </c>
      <c r="I683" s="422">
        <v>45674</v>
      </c>
      <c r="J683" s="422">
        <v>45765</v>
      </c>
      <c r="K683">
        <v>0</v>
      </c>
      <c r="L683">
        <v>0</v>
      </c>
      <c r="M683" t="s">
        <v>3121</v>
      </c>
      <c r="N683" t="s">
        <v>1823</v>
      </c>
      <c r="O683" t="str">
        <f>_xlfn.IFNA(VLOOKUP(Table1[[#This Row],[Lead Source]],'helper tab'!A:B,2,FALSE),"Exclude")</f>
        <v>Exclude</v>
      </c>
      <c r="P683" s="422">
        <f t="shared" si="110"/>
        <v>45765.196527777778</v>
      </c>
      <c r="Q683">
        <f t="shared" si="111"/>
        <v>0</v>
      </c>
      <c r="R683">
        <f t="shared" si="112"/>
        <v>1</v>
      </c>
      <c r="S683">
        <f>IF(
AND($Q683=1,$M683&lt;&gt;""),
IF(
COUNTIFS(
$M$3:$M683,$M683,
$O$3:$O683,$O683,
$Q$3:$Q683,1,
$P$3:$P683,"&gt;="&amp;EOMONTH($P683,-1)+1,
$P$3:$P683,"&lt;"&amp;EOMONTH($P683,0)+1
)=1,
1,
0),
0)</f>
        <v>0</v>
      </c>
      <c r="T683">
        <f>IF(AND($R683=1,$M683&lt;&gt;""),IF(COUNTIFS($M$3:$M683,$M683,$O$3:$O683,$O683,$R$3:$R683,1,$P$3:$P683,"&gt;="&amp;EOMONTH($P683,-1)+1,$P$3:$P683,"&lt;"&amp;EOMONTH($P683,0)+1)=1,1,0),0)</f>
        <v>1</v>
      </c>
      <c r="U683">
        <f t="shared" si="113"/>
        <v>0</v>
      </c>
      <c r="V683">
        <f>IF(AND($U683=1,$M683&lt;&gt;""),IF(COUNTIFS($M$3:$M683,$M683,$O$3:$O683,$O683,$U$3:$U683,1,$P$3:$P683,"&gt;="&amp;EOMONTH($P683,-1)+1,$P$3:$P683,"&lt;"&amp;EOMONTH($P683,0)+1)=1,1,0),0)</f>
        <v>0</v>
      </c>
      <c r="W683" s="444">
        <f ca="1">TODAY()-Table1[[#This Row],[Change Date]]</f>
        <v>492.8034722222219</v>
      </c>
      <c r="X683" s="422" t="str">
        <f t="shared" si="114"/>
        <v/>
      </c>
      <c r="Y683" s="476">
        <f ca="1">IF(Table1[[#This Row],[Next Stage Date]]&lt;&gt;"",Table1[[#This Row],[Next Stage Date]]-Table1[[#This Row],[Change Date]],TODAY()-Table1[[#This Row],[Change Date]])</f>
        <v>492.8034722222219</v>
      </c>
      <c r="Z683" s="476">
        <f t="shared" si="115"/>
        <v>1</v>
      </c>
      <c r="AA683" s="422">
        <f t="shared" si="116"/>
        <v>45765.196527777778</v>
      </c>
      <c r="AB683" s="422">
        <f t="shared" si="117"/>
        <v>45692.49722222222</v>
      </c>
      <c r="AC683" s="476">
        <f t="shared" si="118"/>
        <v>18.497222222220444</v>
      </c>
      <c r="AD683" s="476">
        <f t="shared" si="119"/>
        <v>72.699305555557657</v>
      </c>
      <c r="AE683" s="476">
        <f t="shared" si="120"/>
        <v>91.196527777778101</v>
      </c>
      <c r="AF683" s="476" t="b">
        <f>IFERROR(_xlfn.XLOOKUP(Table1[[#This Row],[Opportunity ID]],'Aging Detail'!$H$14:$H$20,'Aging Detail'!$F$14:$F$20),TRUE)</f>
        <v>1</v>
      </c>
    </row>
    <row r="684" spans="1:32">
      <c r="A684" t="s">
        <v>1461</v>
      </c>
      <c r="B684" t="s">
        <v>408</v>
      </c>
      <c r="C684" t="s">
        <v>1462</v>
      </c>
      <c r="D684" t="s">
        <v>3122</v>
      </c>
      <c r="E684" t="s">
        <v>1669</v>
      </c>
      <c r="F684" t="s">
        <v>202</v>
      </c>
      <c r="I684" s="422">
        <v>45679</v>
      </c>
      <c r="J684" s="422">
        <v>46326</v>
      </c>
      <c r="K684">
        <v>0</v>
      </c>
      <c r="L684">
        <v>0</v>
      </c>
      <c r="M684" t="s">
        <v>1670</v>
      </c>
      <c r="N684" t="s">
        <v>481</v>
      </c>
      <c r="O684" t="str">
        <f>_xlfn.IFNA(VLOOKUP(Table1[[#This Row],[Lead Source]],'helper tab'!A:B,2,FALSE),"Exclude")</f>
        <v>Digital</v>
      </c>
      <c r="P684" s="422">
        <f t="shared" si="110"/>
        <v>45763.505555555559</v>
      </c>
      <c r="Q684">
        <f t="shared" si="111"/>
        <v>0</v>
      </c>
      <c r="R684">
        <f t="shared" si="112"/>
        <v>0</v>
      </c>
      <c r="S684">
        <f>IF(
AND($Q684=1,$M684&lt;&gt;""),
IF(
COUNTIFS(
$M$3:$M684,$M684,
$O$3:$O684,$O684,
$Q$3:$Q684,1,
$P$3:$P684,"&gt;="&amp;EOMONTH($P684,-1)+1,
$P$3:$P684,"&lt;"&amp;EOMONTH($P684,0)+1
)=1,
1,
0),
0)</f>
        <v>0</v>
      </c>
      <c r="T684">
        <f>IF(AND($R684=1,$M684&lt;&gt;""),IF(COUNTIFS($M$3:$M684,$M684,$O$3:$O684,$O684,$R$3:$R684,1,$P$3:$P684,"&gt;="&amp;EOMONTH($P684,-1)+1,$P$3:$P684,"&lt;"&amp;EOMONTH($P684,0)+1)=1,1,0),0)</f>
        <v>0</v>
      </c>
      <c r="U684">
        <f t="shared" si="113"/>
        <v>0</v>
      </c>
      <c r="V684">
        <f>IF(AND($U684=1,$M684&lt;&gt;""),IF(COUNTIFS($M$3:$M684,$M684,$O$3:$O684,$O684,$U$3:$U684,1,$P$3:$P684,"&gt;="&amp;EOMONTH($P684,-1)+1,$P$3:$P684,"&lt;"&amp;EOMONTH($P684,0)+1)=1,1,0),0)</f>
        <v>0</v>
      </c>
      <c r="W684" s="444">
        <f ca="1">TODAY()-Table1[[#This Row],[Change Date]]</f>
        <v>494.49444444444089</v>
      </c>
      <c r="X684" s="422">
        <f t="shared" si="114"/>
        <v>45870.59652777778</v>
      </c>
      <c r="Y684" s="476">
        <f ca="1">IF(Table1[[#This Row],[Next Stage Date]]&lt;&gt;"",Table1[[#This Row],[Next Stage Date]]-Table1[[#This Row],[Change Date]],TODAY()-Table1[[#This Row],[Change Date]])</f>
        <v>107.09097222222044</v>
      </c>
      <c r="Z684" s="476">
        <f t="shared" si="115"/>
        <v>0</v>
      </c>
      <c r="AA684" s="422" t="str">
        <f t="shared" si="116"/>
        <v/>
      </c>
      <c r="AB684" s="422">
        <f t="shared" si="117"/>
        <v>45870.59652777778</v>
      </c>
      <c r="AC684" s="476">
        <f t="shared" si="118"/>
        <v>191.59652777777956</v>
      </c>
      <c r="AD684" s="476" t="str">
        <f t="shared" si="119"/>
        <v/>
      </c>
      <c r="AE684" s="476" t="str">
        <f t="shared" si="120"/>
        <v/>
      </c>
      <c r="AF684" s="476" t="b">
        <f>IFERROR(_xlfn.XLOOKUP(Table1[[#This Row],[Opportunity ID]],'Aging Detail'!$H$14:$H$20,'Aging Detail'!$F$14:$F$20),TRUE)</f>
        <v>1</v>
      </c>
    </row>
    <row r="685" spans="1:32">
      <c r="A685" t="s">
        <v>1461</v>
      </c>
      <c r="B685" t="s">
        <v>462</v>
      </c>
      <c r="C685" t="s">
        <v>563</v>
      </c>
      <c r="D685" t="s">
        <v>3123</v>
      </c>
      <c r="E685" t="s">
        <v>3124</v>
      </c>
      <c r="I685" s="422">
        <v>45530</v>
      </c>
      <c r="J685" s="422">
        <v>45747</v>
      </c>
      <c r="K685">
        <v>44000</v>
      </c>
      <c r="L685">
        <v>0</v>
      </c>
      <c r="M685" t="s">
        <v>3125</v>
      </c>
      <c r="N685" t="s">
        <v>1739</v>
      </c>
      <c r="O685" t="str">
        <f>_xlfn.IFNA(VLOOKUP(Table1[[#This Row],[Lead Source]],'helper tab'!A:B,2,FALSE),"Exclude")</f>
        <v>Exclude</v>
      </c>
      <c r="P685" s="422">
        <f t="shared" si="110"/>
        <v>45758.461111111108</v>
      </c>
      <c r="Q685">
        <f t="shared" si="111"/>
        <v>0</v>
      </c>
      <c r="R685">
        <f t="shared" si="112"/>
        <v>1</v>
      </c>
      <c r="S685">
        <f>IF(
AND($Q685=1,$M685&lt;&gt;""),
IF(
COUNTIFS(
$M$3:$M685,$M685,
$O$3:$O685,$O685,
$Q$3:$Q685,1,
$P$3:$P685,"&gt;="&amp;EOMONTH($P685,-1)+1,
$P$3:$P685,"&lt;"&amp;EOMONTH($P685,0)+1
)=1,
1,
0),
0)</f>
        <v>0</v>
      </c>
      <c r="T685">
        <f>IF(AND($R685=1,$M685&lt;&gt;""),IF(COUNTIFS($M$3:$M685,$M685,$O$3:$O685,$O685,$R$3:$R685,1,$P$3:$P685,"&gt;="&amp;EOMONTH($P685,-1)+1,$P$3:$P685,"&lt;"&amp;EOMONTH($P685,0)+1)=1,1,0),0)</f>
        <v>1</v>
      </c>
      <c r="U685">
        <f t="shared" si="113"/>
        <v>0</v>
      </c>
      <c r="V685">
        <f>IF(AND($U685=1,$M685&lt;&gt;""),IF(COUNTIFS($M$3:$M685,$M685,$O$3:$O685,$O685,$U$3:$U685,1,$P$3:$P685,"&gt;="&amp;EOMONTH($P685,-1)+1,$P$3:$P685,"&lt;"&amp;EOMONTH($P685,0)+1)=1,1,0),0)</f>
        <v>0</v>
      </c>
      <c r="W685" s="444">
        <f ca="1">TODAY()-Table1[[#This Row],[Change Date]]</f>
        <v>499.53888888889196</v>
      </c>
      <c r="X685" s="422" t="str">
        <f t="shared" si="114"/>
        <v/>
      </c>
      <c r="Y685" s="476">
        <f ca="1">IF(Table1[[#This Row],[Next Stage Date]]&lt;&gt;"",Table1[[#This Row],[Next Stage Date]]-Table1[[#This Row],[Change Date]],TODAY()-Table1[[#This Row],[Change Date]])</f>
        <v>499.53888888889196</v>
      </c>
      <c r="Z685" s="476">
        <f t="shared" si="115"/>
        <v>1</v>
      </c>
      <c r="AA685" s="422">
        <f t="shared" si="116"/>
        <v>45758.461111111108</v>
      </c>
      <c r="AB685" s="422">
        <f t="shared" si="117"/>
        <v>45691.626388888886</v>
      </c>
      <c r="AC685" s="476">
        <f t="shared" si="118"/>
        <v>161.62638888888614</v>
      </c>
      <c r="AD685" s="476">
        <f t="shared" si="119"/>
        <v>66.834722222221899</v>
      </c>
      <c r="AE685" s="476">
        <f t="shared" si="120"/>
        <v>228.46111111110804</v>
      </c>
      <c r="AF685" s="476" t="b">
        <f>IFERROR(_xlfn.XLOOKUP(Table1[[#This Row],[Opportunity ID]],'Aging Detail'!$H$14:$H$20,'Aging Detail'!$F$14:$F$20),TRUE)</f>
        <v>1</v>
      </c>
    </row>
    <row r="686" spans="1:32">
      <c r="A686" t="s">
        <v>1461</v>
      </c>
      <c r="B686" t="s">
        <v>1462</v>
      </c>
      <c r="C686" t="s">
        <v>462</v>
      </c>
      <c r="D686" t="s">
        <v>3126</v>
      </c>
      <c r="E686" t="s">
        <v>562</v>
      </c>
      <c r="F686" t="s">
        <v>148</v>
      </c>
      <c r="G686" t="s">
        <v>470</v>
      </c>
      <c r="H686" t="s">
        <v>1698</v>
      </c>
      <c r="I686" s="422">
        <v>45664</v>
      </c>
      <c r="J686" s="422">
        <v>45834</v>
      </c>
      <c r="K686">
        <v>30000</v>
      </c>
      <c r="L686">
        <v>30000</v>
      </c>
      <c r="M686" t="s">
        <v>2963</v>
      </c>
      <c r="N686" t="s">
        <v>555</v>
      </c>
      <c r="O686" t="str">
        <f>_xlfn.IFNA(VLOOKUP(Table1[[#This Row],[Lead Source]],'helper tab'!A:B,2,FALSE),"Exclude")</f>
        <v>Alliances</v>
      </c>
      <c r="P686" s="422">
        <f t="shared" si="110"/>
        <v>45758.370138888888</v>
      </c>
      <c r="Q686">
        <f t="shared" si="111"/>
        <v>1</v>
      </c>
      <c r="R686">
        <f t="shared" si="112"/>
        <v>0</v>
      </c>
      <c r="S686">
        <f>IF(
AND($Q686=1,$M686&lt;&gt;""),
IF(
COUNTIFS(
$M$3:$M686,$M686,
$O$3:$O686,$O686,
$Q$3:$Q686,1,
$P$3:$P686,"&gt;="&amp;EOMONTH($P686,-1)+1,
$P$3:$P686,"&lt;"&amp;EOMONTH($P686,0)+1
)=1,
1,
0),
0)</f>
        <v>1</v>
      </c>
      <c r="T686">
        <f>IF(AND($R686=1,$M686&lt;&gt;""),IF(COUNTIFS($M$3:$M686,$M686,$O$3:$O686,$O686,$R$3:$R686,1,$P$3:$P686,"&gt;="&amp;EOMONTH($P686,-1)+1,$P$3:$P686,"&lt;"&amp;EOMONTH($P686,0)+1)=1,1,0),0)</f>
        <v>0</v>
      </c>
      <c r="U686">
        <f t="shared" si="113"/>
        <v>0</v>
      </c>
      <c r="V686">
        <f>IF(AND($U686=1,$M686&lt;&gt;""),IF(COUNTIFS($M$3:$M686,$M686,$O$3:$O686,$O686,$U$3:$U686,1,$P$3:$P686,"&gt;="&amp;EOMONTH($P686,-1)+1,$P$3:$P686,"&lt;"&amp;EOMONTH($P686,0)+1)=1,1,0),0)</f>
        <v>0</v>
      </c>
      <c r="W686" s="444">
        <f ca="1">TODAY()-Table1[[#This Row],[Change Date]]</f>
        <v>499.6298611111124</v>
      </c>
      <c r="X686" s="422">
        <f t="shared" si="114"/>
        <v>45831.553472222222</v>
      </c>
      <c r="Y686" s="476">
        <f ca="1">IF(Table1[[#This Row],[Next Stage Date]]&lt;&gt;"",Table1[[#This Row],[Next Stage Date]]-Table1[[#This Row],[Change Date]],TODAY()-Table1[[#This Row],[Change Date]])</f>
        <v>73.183333333334303</v>
      </c>
      <c r="Z686" s="476">
        <f t="shared" si="115"/>
        <v>0</v>
      </c>
      <c r="AA686" s="422">
        <f t="shared" si="116"/>
        <v>45834.386805555558</v>
      </c>
      <c r="AB686" s="422">
        <f t="shared" si="117"/>
        <v>45758.370138888888</v>
      </c>
      <c r="AC686" s="476">
        <f t="shared" si="118"/>
        <v>94.370138888887595</v>
      </c>
      <c r="AD686" s="476">
        <f t="shared" si="119"/>
        <v>76.016666666670062</v>
      </c>
      <c r="AE686" s="476">
        <f t="shared" si="120"/>
        <v>170.38680555555766</v>
      </c>
      <c r="AF686" s="476" t="b">
        <f>IFERROR(_xlfn.XLOOKUP(Table1[[#This Row],[Opportunity ID]],'Aging Detail'!$H$14:$H$20,'Aging Detail'!$F$14:$F$20),TRUE)</f>
        <v>1</v>
      </c>
    </row>
    <row r="687" spans="1:32">
      <c r="A687" t="s">
        <v>1461</v>
      </c>
      <c r="B687" t="s">
        <v>408</v>
      </c>
      <c r="C687" t="s">
        <v>1462</v>
      </c>
      <c r="D687" t="s">
        <v>3126</v>
      </c>
      <c r="E687" t="s">
        <v>562</v>
      </c>
      <c r="F687" t="s">
        <v>148</v>
      </c>
      <c r="G687" t="s">
        <v>470</v>
      </c>
      <c r="H687" t="s">
        <v>1698</v>
      </c>
      <c r="I687" s="422">
        <v>45664</v>
      </c>
      <c r="J687" s="422">
        <v>45834</v>
      </c>
      <c r="K687">
        <v>30000</v>
      </c>
      <c r="L687">
        <v>30000</v>
      </c>
      <c r="M687" t="s">
        <v>2963</v>
      </c>
      <c r="N687" t="s">
        <v>555</v>
      </c>
      <c r="O687" t="str">
        <f>_xlfn.IFNA(VLOOKUP(Table1[[#This Row],[Lead Source]],'helper tab'!A:B,2,FALSE),"Exclude")</f>
        <v>Alliances</v>
      </c>
      <c r="P687" s="422">
        <f t="shared" si="110"/>
        <v>45758.370138888888</v>
      </c>
      <c r="Q687">
        <f t="shared" si="111"/>
        <v>0</v>
      </c>
      <c r="R687">
        <f t="shared" si="112"/>
        <v>0</v>
      </c>
      <c r="S687">
        <f>IF(
AND($Q687=1,$M687&lt;&gt;""),
IF(
COUNTIFS(
$M$3:$M687,$M687,
$O$3:$O687,$O687,
$Q$3:$Q687,1,
$P$3:$P687,"&gt;="&amp;EOMONTH($P687,-1)+1,
$P$3:$P687,"&lt;"&amp;EOMONTH($P687,0)+1
)=1,
1,
0),
0)</f>
        <v>0</v>
      </c>
      <c r="T687">
        <f>IF(AND($R687=1,$M687&lt;&gt;""),IF(COUNTIFS($M$3:$M687,$M687,$O$3:$O687,$O687,$R$3:$R687,1,$P$3:$P687,"&gt;="&amp;EOMONTH($P687,-1)+1,$P$3:$P687,"&lt;"&amp;EOMONTH($P687,0)+1)=1,1,0),0)</f>
        <v>0</v>
      </c>
      <c r="U687">
        <f t="shared" si="113"/>
        <v>0</v>
      </c>
      <c r="V687">
        <f>IF(AND($U687=1,$M687&lt;&gt;""),IF(COUNTIFS($M$3:$M687,$M687,$O$3:$O687,$O687,$U$3:$U687,1,$P$3:$P687,"&gt;="&amp;EOMONTH($P687,-1)+1,$P$3:$P687,"&lt;"&amp;EOMONTH($P687,0)+1)=1,1,0),0)</f>
        <v>0</v>
      </c>
      <c r="W687" s="444">
        <f ca="1">TODAY()-Table1[[#This Row],[Change Date]]</f>
        <v>499.6298611111124</v>
      </c>
      <c r="X687" s="422">
        <f t="shared" si="114"/>
        <v>45831.553472222222</v>
      </c>
      <c r="Y687" s="476">
        <f ca="1">IF(Table1[[#This Row],[Next Stage Date]]&lt;&gt;"",Table1[[#This Row],[Next Stage Date]]-Table1[[#This Row],[Change Date]],TODAY()-Table1[[#This Row],[Change Date]])</f>
        <v>73.183333333334303</v>
      </c>
      <c r="Z687" s="476">
        <f t="shared" si="115"/>
        <v>0</v>
      </c>
      <c r="AA687" s="422">
        <f t="shared" si="116"/>
        <v>45834.386805555558</v>
      </c>
      <c r="AB687" s="422">
        <f t="shared" si="117"/>
        <v>45758.370138888888</v>
      </c>
      <c r="AC687" s="476">
        <f t="shared" si="118"/>
        <v>94.370138888887595</v>
      </c>
      <c r="AD687" s="476">
        <f t="shared" si="119"/>
        <v>76.016666666670062</v>
      </c>
      <c r="AE687" s="476">
        <f t="shared" si="120"/>
        <v>170.38680555555766</v>
      </c>
      <c r="AF687" s="476" t="b">
        <f>IFERROR(_xlfn.XLOOKUP(Table1[[#This Row],[Opportunity ID]],'Aging Detail'!$H$14:$H$20,'Aging Detail'!$F$14:$F$20),TRUE)</f>
        <v>1</v>
      </c>
    </row>
    <row r="688" spans="1:32">
      <c r="A688" t="s">
        <v>1461</v>
      </c>
      <c r="B688" t="s">
        <v>462</v>
      </c>
      <c r="C688" t="s">
        <v>526</v>
      </c>
      <c r="D688" t="s">
        <v>3127</v>
      </c>
      <c r="E688" t="s">
        <v>2951</v>
      </c>
      <c r="F688" t="s">
        <v>1465</v>
      </c>
      <c r="I688" s="422">
        <v>45757</v>
      </c>
      <c r="J688" s="422">
        <v>45835</v>
      </c>
      <c r="K688">
        <v>108000</v>
      </c>
      <c r="L688">
        <v>108000</v>
      </c>
      <c r="M688" t="s">
        <v>2952</v>
      </c>
      <c r="N688" t="s">
        <v>1568</v>
      </c>
      <c r="O688" t="str">
        <f>_xlfn.IFNA(VLOOKUP(Table1[[#This Row],[Lead Source]],'helper tab'!A:B,2,FALSE),"Exclude")</f>
        <v>Exclude</v>
      </c>
      <c r="P688" s="422">
        <f t="shared" si="110"/>
        <v>45758.356249999997</v>
      </c>
      <c r="Q688">
        <f t="shared" si="111"/>
        <v>1</v>
      </c>
      <c r="R688">
        <f t="shared" si="112"/>
        <v>0</v>
      </c>
      <c r="S688">
        <f>IF(
AND($Q688=1,$M688&lt;&gt;""),
IF(
COUNTIFS(
$M$3:$M688,$M688,
$O$3:$O688,$O688,
$Q$3:$Q688,1,
$P$3:$P688,"&gt;="&amp;EOMONTH($P688,-1)+1,
$P$3:$P688,"&lt;"&amp;EOMONTH($P688,0)+1
)=1,
1,
0),
0)</f>
        <v>1</v>
      </c>
      <c r="T688">
        <f>IF(AND($R688=1,$M688&lt;&gt;""),IF(COUNTIFS($M$3:$M688,$M688,$O$3:$O688,$O688,$R$3:$R688,1,$P$3:$P688,"&gt;="&amp;EOMONTH($P688,-1)+1,$P$3:$P688,"&lt;"&amp;EOMONTH($P688,0)+1)=1,1,0),0)</f>
        <v>0</v>
      </c>
      <c r="U688">
        <f t="shared" si="113"/>
        <v>0</v>
      </c>
      <c r="V688">
        <f>IF(AND($U688=1,$M688&lt;&gt;""),IF(COUNTIFS($M$3:$M688,$M688,$O$3:$O688,$O688,$U$3:$U688,1,$P$3:$P688,"&gt;="&amp;EOMONTH($P688,-1)+1,$P$3:$P688,"&lt;"&amp;EOMONTH($P688,0)+1)=1,1,0),0)</f>
        <v>0</v>
      </c>
      <c r="W688" s="444">
        <f ca="1">TODAY()-Table1[[#This Row],[Change Date]]</f>
        <v>499.64375000000291</v>
      </c>
      <c r="X688" s="422">
        <f t="shared" si="114"/>
        <v>45835.404861111114</v>
      </c>
      <c r="Y688" s="476">
        <f ca="1">IF(Table1[[#This Row],[Next Stage Date]]&lt;&gt;"",Table1[[#This Row],[Next Stage Date]]-Table1[[#This Row],[Change Date]],TODAY()-Table1[[#This Row],[Change Date]])</f>
        <v>77.04861111111677</v>
      </c>
      <c r="Z688" s="476">
        <f t="shared" si="115"/>
        <v>0</v>
      </c>
      <c r="AA688" s="422">
        <f t="shared" si="116"/>
        <v>45835.404861111114</v>
      </c>
      <c r="AB688" s="422">
        <f t="shared" si="117"/>
        <v>45758.356249999997</v>
      </c>
      <c r="AC688" s="476">
        <f t="shared" si="118"/>
        <v>1.3562499999970896</v>
      </c>
      <c r="AD688" s="476">
        <f t="shared" si="119"/>
        <v>77.04861111111677</v>
      </c>
      <c r="AE688" s="476">
        <f t="shared" si="120"/>
        <v>78.40486111111386</v>
      </c>
      <c r="AF688" s="476" t="b">
        <f>IFERROR(_xlfn.XLOOKUP(Table1[[#This Row],[Opportunity ID]],'Aging Detail'!$H$14:$H$20,'Aging Detail'!$F$14:$F$20),TRUE)</f>
        <v>1</v>
      </c>
    </row>
    <row r="689" spans="1:32">
      <c r="A689" t="s">
        <v>1461</v>
      </c>
      <c r="B689" t="s">
        <v>1462</v>
      </c>
      <c r="C689" t="s">
        <v>462</v>
      </c>
      <c r="D689" t="s">
        <v>3127</v>
      </c>
      <c r="E689" t="s">
        <v>2951</v>
      </c>
      <c r="F689" t="s">
        <v>1465</v>
      </c>
      <c r="I689" s="422">
        <v>45757</v>
      </c>
      <c r="J689" s="422">
        <v>45835</v>
      </c>
      <c r="K689">
        <v>108000</v>
      </c>
      <c r="L689">
        <v>108000</v>
      </c>
      <c r="M689" t="s">
        <v>2952</v>
      </c>
      <c r="N689" t="s">
        <v>1568</v>
      </c>
      <c r="O689" t="str">
        <f>_xlfn.IFNA(VLOOKUP(Table1[[#This Row],[Lead Source]],'helper tab'!A:B,2,FALSE),"Exclude")</f>
        <v>Exclude</v>
      </c>
      <c r="P689" s="422">
        <f t="shared" si="110"/>
        <v>45758.356249999997</v>
      </c>
      <c r="Q689">
        <f t="shared" si="111"/>
        <v>1</v>
      </c>
      <c r="R689">
        <f t="shared" si="112"/>
        <v>0</v>
      </c>
      <c r="S689">
        <f>IF(
AND($Q689=1,$M689&lt;&gt;""),
IF(
COUNTIFS(
$M$3:$M689,$M689,
$O$3:$O689,$O689,
$Q$3:$Q689,1,
$P$3:$P689,"&gt;="&amp;EOMONTH($P689,-1)+1,
$P$3:$P689,"&lt;"&amp;EOMONTH($P689,0)+1
)=1,
1,
0),
0)</f>
        <v>0</v>
      </c>
      <c r="T689">
        <f>IF(AND($R689=1,$M689&lt;&gt;""),IF(COUNTIFS($M$3:$M689,$M689,$O$3:$O689,$O689,$R$3:$R689,1,$P$3:$P689,"&gt;="&amp;EOMONTH($P689,-1)+1,$P$3:$P689,"&lt;"&amp;EOMONTH($P689,0)+1)=1,1,0),0)</f>
        <v>0</v>
      </c>
      <c r="U689">
        <f t="shared" si="113"/>
        <v>0</v>
      </c>
      <c r="V689">
        <f>IF(AND($U689=1,$M689&lt;&gt;""),IF(COUNTIFS($M$3:$M689,$M689,$O$3:$O689,$O689,$U$3:$U689,1,$P$3:$P689,"&gt;="&amp;EOMONTH($P689,-1)+1,$P$3:$P689,"&lt;"&amp;EOMONTH($P689,0)+1)=1,1,0),0)</f>
        <v>0</v>
      </c>
      <c r="W689" s="444">
        <f ca="1">TODAY()-Table1[[#This Row],[Change Date]]</f>
        <v>499.64375000000291</v>
      </c>
      <c r="X689" s="422">
        <f t="shared" si="114"/>
        <v>45835.404861111114</v>
      </c>
      <c r="Y689" s="476">
        <f ca="1">IF(Table1[[#This Row],[Next Stage Date]]&lt;&gt;"",Table1[[#This Row],[Next Stage Date]]-Table1[[#This Row],[Change Date]],TODAY()-Table1[[#This Row],[Change Date]])</f>
        <v>77.04861111111677</v>
      </c>
      <c r="Z689" s="476">
        <f t="shared" si="115"/>
        <v>0</v>
      </c>
      <c r="AA689" s="422">
        <f t="shared" si="116"/>
        <v>45835.404861111114</v>
      </c>
      <c r="AB689" s="422">
        <f t="shared" si="117"/>
        <v>45758.356249999997</v>
      </c>
      <c r="AC689" s="476">
        <f t="shared" si="118"/>
        <v>1.3562499999970896</v>
      </c>
      <c r="AD689" s="476">
        <f t="shared" si="119"/>
        <v>77.04861111111677</v>
      </c>
      <c r="AE689" s="476">
        <f t="shared" si="120"/>
        <v>78.40486111111386</v>
      </c>
      <c r="AF689" s="476" t="b">
        <f>IFERROR(_xlfn.XLOOKUP(Table1[[#This Row],[Opportunity ID]],'Aging Detail'!$H$14:$H$20,'Aging Detail'!$F$14:$F$20),TRUE)</f>
        <v>1</v>
      </c>
    </row>
    <row r="690" spans="1:32">
      <c r="A690" t="s">
        <v>1461</v>
      </c>
      <c r="B690" t="s">
        <v>408</v>
      </c>
      <c r="C690" t="s">
        <v>1462</v>
      </c>
      <c r="D690" t="s">
        <v>3127</v>
      </c>
      <c r="E690" t="s">
        <v>2951</v>
      </c>
      <c r="F690" t="s">
        <v>1465</v>
      </c>
      <c r="I690" s="422">
        <v>45757</v>
      </c>
      <c r="J690" s="422">
        <v>45835</v>
      </c>
      <c r="K690">
        <v>108000</v>
      </c>
      <c r="L690">
        <v>108000</v>
      </c>
      <c r="M690" t="s">
        <v>2952</v>
      </c>
      <c r="N690" t="s">
        <v>1568</v>
      </c>
      <c r="O690" t="str">
        <f>_xlfn.IFNA(VLOOKUP(Table1[[#This Row],[Lead Source]],'helper tab'!A:B,2,FALSE),"Exclude")</f>
        <v>Exclude</v>
      </c>
      <c r="P690" s="422">
        <f t="shared" si="110"/>
        <v>45758.356249999997</v>
      </c>
      <c r="Q690">
        <f t="shared" si="111"/>
        <v>0</v>
      </c>
      <c r="R690">
        <f t="shared" si="112"/>
        <v>0</v>
      </c>
      <c r="S690">
        <f>IF(
AND($Q690=1,$M690&lt;&gt;""),
IF(
COUNTIFS(
$M$3:$M690,$M690,
$O$3:$O690,$O690,
$Q$3:$Q690,1,
$P$3:$P690,"&gt;="&amp;EOMONTH($P690,-1)+1,
$P$3:$P690,"&lt;"&amp;EOMONTH($P690,0)+1
)=1,
1,
0),
0)</f>
        <v>0</v>
      </c>
      <c r="T690">
        <f>IF(AND($R690=1,$M690&lt;&gt;""),IF(COUNTIFS($M$3:$M690,$M690,$O$3:$O690,$O690,$R$3:$R690,1,$P$3:$P690,"&gt;="&amp;EOMONTH($P690,-1)+1,$P$3:$P690,"&lt;"&amp;EOMONTH($P690,0)+1)=1,1,0),0)</f>
        <v>0</v>
      </c>
      <c r="U690">
        <f t="shared" si="113"/>
        <v>0</v>
      </c>
      <c r="V690">
        <f>IF(AND($U690=1,$M690&lt;&gt;""),IF(COUNTIFS($M$3:$M690,$M690,$O$3:$O690,$O690,$U$3:$U690,1,$P$3:$P690,"&gt;="&amp;EOMONTH($P690,-1)+1,$P$3:$P690,"&lt;"&amp;EOMONTH($P690,0)+1)=1,1,0),0)</f>
        <v>0</v>
      </c>
      <c r="W690" s="444">
        <f ca="1">TODAY()-Table1[[#This Row],[Change Date]]</f>
        <v>499.64375000000291</v>
      </c>
      <c r="X690" s="422">
        <f t="shared" si="114"/>
        <v>45835.404861111114</v>
      </c>
      <c r="Y690" s="476">
        <f ca="1">IF(Table1[[#This Row],[Next Stage Date]]&lt;&gt;"",Table1[[#This Row],[Next Stage Date]]-Table1[[#This Row],[Change Date]],TODAY()-Table1[[#This Row],[Change Date]])</f>
        <v>77.04861111111677</v>
      </c>
      <c r="Z690" s="476">
        <f t="shared" si="115"/>
        <v>0</v>
      </c>
      <c r="AA690" s="422">
        <f t="shared" si="116"/>
        <v>45835.404861111114</v>
      </c>
      <c r="AB690" s="422">
        <f t="shared" si="117"/>
        <v>45758.356249999997</v>
      </c>
      <c r="AC690" s="476">
        <f t="shared" si="118"/>
        <v>1.3562499999970896</v>
      </c>
      <c r="AD690" s="476">
        <f t="shared" si="119"/>
        <v>77.04861111111677</v>
      </c>
      <c r="AE690" s="476">
        <f t="shared" si="120"/>
        <v>78.40486111111386</v>
      </c>
      <c r="AF690" s="476" t="b">
        <f>IFERROR(_xlfn.XLOOKUP(Table1[[#This Row],[Opportunity ID]],'Aging Detail'!$H$14:$H$20,'Aging Detail'!$F$14:$F$20),TRUE)</f>
        <v>1</v>
      </c>
    </row>
    <row r="691" spans="1:32">
      <c r="A691" t="s">
        <v>1461</v>
      </c>
      <c r="B691" t="s">
        <v>338</v>
      </c>
      <c r="C691" t="s">
        <v>1469</v>
      </c>
      <c r="D691" t="s">
        <v>3128</v>
      </c>
      <c r="E691" t="s">
        <v>3129</v>
      </c>
      <c r="F691" t="s">
        <v>1463</v>
      </c>
      <c r="I691" s="422">
        <v>44862</v>
      </c>
      <c r="J691" s="422">
        <v>46022</v>
      </c>
      <c r="K691">
        <v>656400</v>
      </c>
      <c r="L691">
        <v>356400</v>
      </c>
      <c r="M691" t="s">
        <v>3130</v>
      </c>
      <c r="N691" t="s">
        <v>3131</v>
      </c>
      <c r="O691" t="str">
        <f>_xlfn.IFNA(VLOOKUP(Table1[[#This Row],[Lead Source]],'helper tab'!A:B,2,FALSE),"Exclude")</f>
        <v>Cold</v>
      </c>
      <c r="P691" s="422">
        <f t="shared" si="110"/>
        <v>45757.550694444442</v>
      </c>
      <c r="Q691">
        <f t="shared" si="111"/>
        <v>0</v>
      </c>
      <c r="R691">
        <f t="shared" si="112"/>
        <v>0</v>
      </c>
      <c r="S691">
        <f>IF(
AND($Q691=1,$M691&lt;&gt;""),
IF(
COUNTIFS(
$M$3:$M691,$M691,
$O$3:$O691,$O691,
$Q$3:$Q691,1,
$P$3:$P691,"&gt;="&amp;EOMONTH($P691,-1)+1,
$P$3:$P691,"&lt;"&amp;EOMONTH($P691,0)+1
)=1,
1,
0),
0)</f>
        <v>0</v>
      </c>
      <c r="T691">
        <f>IF(AND($R691=1,$M691&lt;&gt;""),IF(COUNTIFS($M$3:$M691,$M691,$O$3:$O691,$O691,$R$3:$R691,1,$P$3:$P691,"&gt;="&amp;EOMONTH($P691,-1)+1,$P$3:$P691,"&lt;"&amp;EOMONTH($P691,0)+1)=1,1,0),0)</f>
        <v>0</v>
      </c>
      <c r="U691">
        <f t="shared" si="113"/>
        <v>1</v>
      </c>
      <c r="V691">
        <f>IF(AND($U691=1,$M691&lt;&gt;""),IF(COUNTIFS($M$3:$M691,$M691,$O$3:$O691,$O691,$U$3:$U691,1,$P$3:$P691,"&gt;="&amp;EOMONTH($P691,-1)+1,$P$3:$P691,"&lt;"&amp;EOMONTH($P691,0)+1)=1,1,0),0)</f>
        <v>1</v>
      </c>
      <c r="W691" s="444">
        <f ca="1">TODAY()-Table1[[#This Row],[Change Date]]</f>
        <v>500.44930555555766</v>
      </c>
      <c r="X691" s="422" t="str">
        <f t="shared" si="114"/>
        <v/>
      </c>
      <c r="Y691" s="476">
        <f ca="1">IF(Table1[[#This Row],[Next Stage Date]]&lt;&gt;"",Table1[[#This Row],[Next Stage Date]]-Table1[[#This Row],[Change Date]],TODAY()-Table1[[#This Row],[Change Date]])</f>
        <v>500.44930555555766</v>
      </c>
      <c r="Z691" s="476">
        <f t="shared" si="115"/>
        <v>1</v>
      </c>
      <c r="AA691" s="422" t="str">
        <f t="shared" si="116"/>
        <v/>
      </c>
      <c r="AB691" s="422" t="str">
        <f t="shared" si="117"/>
        <v/>
      </c>
      <c r="AC691" s="476" t="str">
        <f t="shared" si="118"/>
        <v/>
      </c>
      <c r="AD691" s="476" t="str">
        <f t="shared" si="119"/>
        <v/>
      </c>
      <c r="AE691" s="476" t="str">
        <f t="shared" si="120"/>
        <v/>
      </c>
      <c r="AF691" s="476" t="b">
        <f>IFERROR(_xlfn.XLOOKUP(Table1[[#This Row],[Opportunity ID]],'Aging Detail'!$H$14:$H$20,'Aging Detail'!$F$14:$F$20),TRUE)</f>
        <v>1</v>
      </c>
    </row>
    <row r="692" spans="1:32">
      <c r="A692" t="s">
        <v>1461</v>
      </c>
      <c r="B692" t="s">
        <v>526</v>
      </c>
      <c r="C692" t="s">
        <v>563</v>
      </c>
      <c r="D692" t="s">
        <v>3132</v>
      </c>
      <c r="E692" t="s">
        <v>3133</v>
      </c>
      <c r="I692" s="422">
        <v>45706</v>
      </c>
      <c r="J692" s="422">
        <v>45757</v>
      </c>
      <c r="K692">
        <v>55000</v>
      </c>
      <c r="L692">
        <v>0</v>
      </c>
      <c r="M692" t="s">
        <v>3134</v>
      </c>
      <c r="N692" t="s">
        <v>1812</v>
      </c>
      <c r="O692" t="str">
        <f>_xlfn.IFNA(VLOOKUP(Table1[[#This Row],[Lead Source]],'helper tab'!A:B,2,FALSE),"Exclude")</f>
        <v>Exclude</v>
      </c>
      <c r="P692" s="422">
        <f t="shared" si="110"/>
        <v>45757.474999999999</v>
      </c>
      <c r="Q692">
        <f t="shared" si="111"/>
        <v>0</v>
      </c>
      <c r="R692">
        <f t="shared" si="112"/>
        <v>1</v>
      </c>
      <c r="S692">
        <f>IF(
AND($Q692=1,$M692&lt;&gt;""),
IF(
COUNTIFS(
$M$3:$M692,$M692,
$O$3:$O692,$O692,
$Q$3:$Q692,1,
$P$3:$P692,"&gt;="&amp;EOMONTH($P692,-1)+1,
$P$3:$P692,"&lt;"&amp;EOMONTH($P692,0)+1
)=1,
1,
0),
0)</f>
        <v>0</v>
      </c>
      <c r="T692">
        <f>IF(AND($R692=1,$M692&lt;&gt;""),IF(COUNTIFS($M$3:$M692,$M692,$O$3:$O692,$O692,$R$3:$R692,1,$P$3:$P692,"&gt;="&amp;EOMONTH($P692,-1)+1,$P$3:$P692,"&lt;"&amp;EOMONTH($P692,0)+1)=1,1,0),0)</f>
        <v>1</v>
      </c>
      <c r="U692">
        <f t="shared" si="113"/>
        <v>0</v>
      </c>
      <c r="V692">
        <f>IF(AND($U692=1,$M692&lt;&gt;""),IF(COUNTIFS($M$3:$M692,$M692,$O$3:$O692,$O692,$U$3:$U692,1,$P$3:$P692,"&gt;="&amp;EOMONTH($P692,-1)+1,$P$3:$P692,"&lt;"&amp;EOMONTH($P692,0)+1)=1,1,0),0)</f>
        <v>0</v>
      </c>
      <c r="W692" s="444">
        <f ca="1">TODAY()-Table1[[#This Row],[Change Date]]</f>
        <v>500.52500000000146</v>
      </c>
      <c r="X692" s="422" t="str">
        <f t="shared" si="114"/>
        <v/>
      </c>
      <c r="Y692" s="476">
        <f ca="1">IF(Table1[[#This Row],[Next Stage Date]]&lt;&gt;"",Table1[[#This Row],[Next Stage Date]]-Table1[[#This Row],[Change Date]],TODAY()-Table1[[#This Row],[Change Date]])</f>
        <v>500.52500000000146</v>
      </c>
      <c r="Z692" s="476">
        <f t="shared" si="115"/>
        <v>1</v>
      </c>
      <c r="AA692" s="422">
        <f t="shared" si="116"/>
        <v>45757.474999999999</v>
      </c>
      <c r="AB692" s="422">
        <f t="shared" si="117"/>
        <v>45757.446527777778</v>
      </c>
      <c r="AC692" s="476">
        <f t="shared" si="118"/>
        <v>51.446527777778101</v>
      </c>
      <c r="AD692" s="476">
        <f t="shared" si="119"/>
        <v>2.8472222220443655E-2</v>
      </c>
      <c r="AE692" s="476">
        <f t="shared" si="120"/>
        <v>51.474999999998545</v>
      </c>
      <c r="AF692" s="476" t="b">
        <f>IFERROR(_xlfn.XLOOKUP(Table1[[#This Row],[Opportunity ID]],'Aging Detail'!$H$14:$H$20,'Aging Detail'!$F$14:$F$20),TRUE)</f>
        <v>1</v>
      </c>
    </row>
    <row r="693" spans="1:32">
      <c r="A693" t="s">
        <v>1461</v>
      </c>
      <c r="B693" t="s">
        <v>408</v>
      </c>
      <c r="C693" t="s">
        <v>526</v>
      </c>
      <c r="D693" t="s">
        <v>3135</v>
      </c>
      <c r="E693" t="s">
        <v>3133</v>
      </c>
      <c r="I693" s="422">
        <v>45706</v>
      </c>
      <c r="J693" s="422">
        <v>45757</v>
      </c>
      <c r="K693">
        <v>55000</v>
      </c>
      <c r="L693">
        <v>0</v>
      </c>
      <c r="M693" t="s">
        <v>3134</v>
      </c>
      <c r="N693" t="s">
        <v>1812</v>
      </c>
      <c r="O693" t="str">
        <f>_xlfn.IFNA(VLOOKUP(Table1[[#This Row],[Lead Source]],'helper tab'!A:B,2,FALSE),"Exclude")</f>
        <v>Exclude</v>
      </c>
      <c r="P693" s="422">
        <f t="shared" si="110"/>
        <v>45757.446527777778</v>
      </c>
      <c r="Q693">
        <f t="shared" si="111"/>
        <v>1</v>
      </c>
      <c r="R693">
        <f t="shared" si="112"/>
        <v>0</v>
      </c>
      <c r="S693">
        <f>IF(
AND($Q693=1,$M693&lt;&gt;""),
IF(
COUNTIFS(
$M$3:$M693,$M693,
$O$3:$O693,$O693,
$Q$3:$Q693,1,
$P$3:$P693,"&gt;="&amp;EOMONTH($P693,-1)+1,
$P$3:$P693,"&lt;"&amp;EOMONTH($P693,0)+1
)=1,
1,
0),
0)</f>
        <v>1</v>
      </c>
      <c r="T693">
        <f>IF(AND($R693=1,$M693&lt;&gt;""),IF(COUNTIFS($M$3:$M693,$M693,$O$3:$O693,$O693,$R$3:$R693,1,$P$3:$P693,"&gt;="&amp;EOMONTH($P693,-1)+1,$P$3:$P693,"&lt;"&amp;EOMONTH($P693,0)+1)=1,1,0),0)</f>
        <v>0</v>
      </c>
      <c r="U693">
        <f t="shared" si="113"/>
        <v>0</v>
      </c>
      <c r="V693">
        <f>IF(AND($U693=1,$M693&lt;&gt;""),IF(COUNTIFS($M$3:$M693,$M693,$O$3:$O693,$O693,$U$3:$U693,1,$P$3:$P693,"&gt;="&amp;EOMONTH($P693,-1)+1,$P$3:$P693,"&lt;"&amp;EOMONTH($P693,0)+1)=1,1,0),0)</f>
        <v>0</v>
      </c>
      <c r="W693" s="444">
        <f ca="1">TODAY()-Table1[[#This Row],[Change Date]]</f>
        <v>500.5534722222219</v>
      </c>
      <c r="X693" s="422">
        <f t="shared" si="114"/>
        <v>45757.474999999999</v>
      </c>
      <c r="Y693" s="476">
        <f ca="1">IF(Table1[[#This Row],[Next Stage Date]]&lt;&gt;"",Table1[[#This Row],[Next Stage Date]]-Table1[[#This Row],[Change Date]],TODAY()-Table1[[#This Row],[Change Date]])</f>
        <v>2.8472222220443655E-2</v>
      </c>
      <c r="Z693" s="476">
        <f t="shared" si="115"/>
        <v>0</v>
      </c>
      <c r="AA693" s="422">
        <f t="shared" si="116"/>
        <v>45757.474999999999</v>
      </c>
      <c r="AB693" s="422">
        <f t="shared" si="117"/>
        <v>45757.446527777778</v>
      </c>
      <c r="AC693" s="476">
        <f t="shared" si="118"/>
        <v>51.446527777778101</v>
      </c>
      <c r="AD693" s="476">
        <f t="shared" si="119"/>
        <v>2.8472222220443655E-2</v>
      </c>
      <c r="AE693" s="476">
        <f t="shared" si="120"/>
        <v>51.474999999998545</v>
      </c>
      <c r="AF693" s="476" t="b">
        <f>IFERROR(_xlfn.XLOOKUP(Table1[[#This Row],[Opportunity ID]],'Aging Detail'!$H$14:$H$20,'Aging Detail'!$F$14:$F$20),TRUE)</f>
        <v>1</v>
      </c>
    </row>
    <row r="694" spans="1:32">
      <c r="A694" t="s">
        <v>1461</v>
      </c>
      <c r="B694" t="s">
        <v>1462</v>
      </c>
      <c r="C694" t="s">
        <v>462</v>
      </c>
      <c r="D694" t="s">
        <v>3136</v>
      </c>
      <c r="E694" t="s">
        <v>2965</v>
      </c>
      <c r="I694" s="422">
        <v>45363</v>
      </c>
      <c r="J694" s="422">
        <v>45777</v>
      </c>
      <c r="K694">
        <v>612000</v>
      </c>
      <c r="L694">
        <v>0</v>
      </c>
      <c r="M694" t="s">
        <v>2966</v>
      </c>
      <c r="N694" t="s">
        <v>1748</v>
      </c>
      <c r="O694" t="str">
        <f>_xlfn.IFNA(VLOOKUP(Table1[[#This Row],[Lead Source]],'helper tab'!A:B,2,FALSE),"Exclude")</f>
        <v>Exclude</v>
      </c>
      <c r="P694" s="422">
        <f t="shared" si="110"/>
        <v>45756.553472222222</v>
      </c>
      <c r="Q694">
        <f t="shared" si="111"/>
        <v>1</v>
      </c>
      <c r="R694">
        <f t="shared" si="112"/>
        <v>0</v>
      </c>
      <c r="S694">
        <f>IF(
AND($Q694=1,$M694&lt;&gt;""),
IF(
COUNTIFS(
$M$3:$M694,$M694,
$O$3:$O694,$O694,
$Q$3:$Q694,1,
$P$3:$P694,"&gt;="&amp;EOMONTH($P694,-1)+1,
$P$3:$P694,"&lt;"&amp;EOMONTH($P694,0)+1
)=1,
1,
0),
0)</f>
        <v>1</v>
      </c>
      <c r="T694">
        <f>IF(AND($R694=1,$M694&lt;&gt;""),IF(COUNTIFS($M$3:$M694,$M694,$O$3:$O694,$O694,$R$3:$R694,1,$P$3:$P694,"&gt;="&amp;EOMONTH($P694,-1)+1,$P$3:$P694,"&lt;"&amp;EOMONTH($P694,0)+1)=1,1,0),0)</f>
        <v>0</v>
      </c>
      <c r="U694">
        <f t="shared" si="113"/>
        <v>0</v>
      </c>
      <c r="V694">
        <f>IF(AND($U694=1,$M694&lt;&gt;""),IF(COUNTIFS($M$3:$M694,$M694,$O$3:$O694,$O694,$U$3:$U694,1,$P$3:$P694,"&gt;="&amp;EOMONTH($P694,-1)+1,$P$3:$P694,"&lt;"&amp;EOMONTH($P694,0)+1)=1,1,0),0)</f>
        <v>0</v>
      </c>
      <c r="W694" s="444">
        <f ca="1">TODAY()-Table1[[#This Row],[Change Date]]</f>
        <v>501.4465277777781</v>
      </c>
      <c r="X694" s="422">
        <f t="shared" si="114"/>
        <v>45834.192361111112</v>
      </c>
      <c r="Y694" s="476">
        <f ca="1">IF(Table1[[#This Row],[Next Stage Date]]&lt;&gt;"",Table1[[#This Row],[Next Stage Date]]-Table1[[#This Row],[Change Date]],TODAY()-Table1[[#This Row],[Change Date]])</f>
        <v>77.638888888890506</v>
      </c>
      <c r="Z694" s="476">
        <f t="shared" si="115"/>
        <v>0</v>
      </c>
      <c r="AA694" s="422">
        <f t="shared" si="116"/>
        <v>45834.192361111112</v>
      </c>
      <c r="AB694" s="422">
        <f t="shared" si="117"/>
        <v>45756.553472222222</v>
      </c>
      <c r="AC694" s="476">
        <f t="shared" si="118"/>
        <v>393.5534722222219</v>
      </c>
      <c r="AD694" s="476">
        <f t="shared" si="119"/>
        <v>77.638888888890506</v>
      </c>
      <c r="AE694" s="476">
        <f t="shared" si="120"/>
        <v>471.1923611111124</v>
      </c>
      <c r="AF694" s="476" t="b">
        <f>IFERROR(_xlfn.XLOOKUP(Table1[[#This Row],[Opportunity ID]],'Aging Detail'!$H$14:$H$20,'Aging Detail'!$F$14:$F$20),TRUE)</f>
        <v>1</v>
      </c>
    </row>
    <row r="695" spans="1:32">
      <c r="A695" t="s">
        <v>1461</v>
      </c>
      <c r="B695" t="s">
        <v>1462</v>
      </c>
      <c r="C695" t="s">
        <v>1469</v>
      </c>
      <c r="D695" t="s">
        <v>3137</v>
      </c>
      <c r="E695" t="s">
        <v>3138</v>
      </c>
      <c r="F695" t="s">
        <v>1484</v>
      </c>
      <c r="I695" s="422">
        <v>45429</v>
      </c>
      <c r="J695" s="422">
        <v>45747</v>
      </c>
      <c r="L695">
        <v>0</v>
      </c>
      <c r="M695" t="s">
        <v>3139</v>
      </c>
      <c r="N695" t="s">
        <v>1634</v>
      </c>
      <c r="O695" t="str">
        <f>_xlfn.IFNA(VLOOKUP(Table1[[#This Row],[Lead Source]],'helper tab'!A:B,2,FALSE),"Exclude")</f>
        <v>Exclude</v>
      </c>
      <c r="P695" s="422">
        <f t="shared" si="110"/>
        <v>45756.307638888888</v>
      </c>
      <c r="Q695">
        <f t="shared" si="111"/>
        <v>0</v>
      </c>
      <c r="R695">
        <f t="shared" si="112"/>
        <v>0</v>
      </c>
      <c r="S695">
        <f>IF(
AND($Q695=1,$M695&lt;&gt;""),
IF(
COUNTIFS(
$M$3:$M695,$M695,
$O$3:$O695,$O695,
$Q$3:$Q695,1,
$P$3:$P695,"&gt;="&amp;EOMONTH($P695,-1)+1,
$P$3:$P695,"&lt;"&amp;EOMONTH($P695,0)+1
)=1,
1,
0),
0)</f>
        <v>0</v>
      </c>
      <c r="T695">
        <f>IF(AND($R695=1,$M695&lt;&gt;""),IF(COUNTIFS($M$3:$M695,$M695,$O$3:$O695,$O695,$R$3:$R695,1,$P$3:$P695,"&gt;="&amp;EOMONTH($P695,-1)+1,$P$3:$P695,"&lt;"&amp;EOMONTH($P695,0)+1)=1,1,0),0)</f>
        <v>0</v>
      </c>
      <c r="U695">
        <f t="shared" si="113"/>
        <v>1</v>
      </c>
      <c r="V695">
        <f>IF(AND($U695=1,$M695&lt;&gt;""),IF(COUNTIFS($M$3:$M695,$M695,$O$3:$O695,$O695,$U$3:$U695,1,$P$3:$P695,"&gt;="&amp;EOMONTH($P695,-1)+1,$P$3:$P695,"&lt;"&amp;EOMONTH($P695,0)+1)=1,1,0),0)</f>
        <v>1</v>
      </c>
      <c r="W695" s="444">
        <f ca="1">TODAY()-Table1[[#This Row],[Change Date]]</f>
        <v>501.6923611111124</v>
      </c>
      <c r="X695" s="422" t="str">
        <f t="shared" si="114"/>
        <v/>
      </c>
      <c r="Y695" s="476">
        <f ca="1">IF(Table1[[#This Row],[Next Stage Date]]&lt;&gt;"",Table1[[#This Row],[Next Stage Date]]-Table1[[#This Row],[Change Date]],TODAY()-Table1[[#This Row],[Change Date]])</f>
        <v>501.6923611111124</v>
      </c>
      <c r="Z695" s="476">
        <f t="shared" si="115"/>
        <v>1</v>
      </c>
      <c r="AA695" s="422" t="str">
        <f t="shared" si="116"/>
        <v/>
      </c>
      <c r="AB695" s="422" t="str">
        <f t="shared" si="117"/>
        <v/>
      </c>
      <c r="AC695" s="476" t="str">
        <f t="shared" si="118"/>
        <v/>
      </c>
      <c r="AD695" s="476" t="str">
        <f t="shared" si="119"/>
        <v/>
      </c>
      <c r="AE695" s="476" t="str">
        <f t="shared" si="120"/>
        <v/>
      </c>
      <c r="AF695" s="476" t="b">
        <f>IFERROR(_xlfn.XLOOKUP(Table1[[#This Row],[Opportunity ID]],'Aging Detail'!$H$14:$H$20,'Aging Detail'!$F$14:$F$20),TRUE)</f>
        <v>1</v>
      </c>
    </row>
    <row r="696" spans="1:32">
      <c r="A696" t="s">
        <v>1461</v>
      </c>
      <c r="B696" t="s">
        <v>1462</v>
      </c>
      <c r="C696" t="s">
        <v>462</v>
      </c>
      <c r="D696" t="s">
        <v>3140</v>
      </c>
      <c r="E696" t="s">
        <v>566</v>
      </c>
      <c r="F696" t="s">
        <v>202</v>
      </c>
      <c r="I696" s="422">
        <v>45716</v>
      </c>
      <c r="J696" s="422">
        <v>45859</v>
      </c>
      <c r="K696">
        <v>249200</v>
      </c>
      <c r="L696">
        <v>79200</v>
      </c>
      <c r="M696" t="s">
        <v>2897</v>
      </c>
      <c r="N696" t="s">
        <v>566</v>
      </c>
      <c r="O696" t="str">
        <f>_xlfn.IFNA(VLOOKUP(Table1[[#This Row],[Lead Source]],'helper tab'!A:B,2,FALSE),"Exclude")</f>
        <v>Digital</v>
      </c>
      <c r="P696" s="422">
        <f t="shared" si="110"/>
        <v>45755.602777777778</v>
      </c>
      <c r="Q696">
        <f t="shared" si="111"/>
        <v>1</v>
      </c>
      <c r="R696">
        <f t="shared" si="112"/>
        <v>0</v>
      </c>
      <c r="S696">
        <f>IF(
AND($Q696=1,$M696&lt;&gt;""),
IF(
COUNTIFS(
$M$3:$M696,$M696,
$O$3:$O696,$O696,
$Q$3:$Q696,1,
$P$3:$P696,"&gt;="&amp;EOMONTH($P696,-1)+1,
$P$3:$P696,"&lt;"&amp;EOMONTH($P696,0)+1
)=1,
1,
0),
0)</f>
        <v>1</v>
      </c>
      <c r="T696">
        <f>IF(AND($R696=1,$M696&lt;&gt;""),IF(COUNTIFS($M$3:$M696,$M696,$O$3:$O696,$O696,$R$3:$R696,1,$P$3:$P696,"&gt;="&amp;EOMONTH($P696,-1)+1,$P$3:$P696,"&lt;"&amp;EOMONTH($P696,0)+1)=1,1,0),0)</f>
        <v>0</v>
      </c>
      <c r="U696">
        <f t="shared" si="113"/>
        <v>0</v>
      </c>
      <c r="V696">
        <f>IF(AND($U696=1,$M696&lt;&gt;""),IF(COUNTIFS($M$3:$M696,$M696,$O$3:$O696,$O696,$U$3:$U696,1,$P$3:$P696,"&gt;="&amp;EOMONTH($P696,-1)+1,$P$3:$P696,"&lt;"&amp;EOMONTH($P696,0)+1)=1,1,0),0)</f>
        <v>0</v>
      </c>
      <c r="W696" s="444">
        <f ca="1">TODAY()-Table1[[#This Row],[Change Date]]</f>
        <v>502.3972222222219</v>
      </c>
      <c r="X696" s="422">
        <f t="shared" si="114"/>
        <v>45807.377083333333</v>
      </c>
      <c r="Y696" s="476">
        <f ca="1">IF(Table1[[#This Row],[Next Stage Date]]&lt;&gt;"",Table1[[#This Row],[Next Stage Date]]-Table1[[#This Row],[Change Date]],TODAY()-Table1[[#This Row],[Change Date]])</f>
        <v>51.774305555554747</v>
      </c>
      <c r="Z696" s="476">
        <f t="shared" si="115"/>
        <v>0</v>
      </c>
      <c r="AA696" s="422">
        <f t="shared" si="116"/>
        <v>45859.441666666666</v>
      </c>
      <c r="AB696" s="422">
        <f t="shared" si="117"/>
        <v>45755.602777777778</v>
      </c>
      <c r="AC696" s="476">
        <f t="shared" si="118"/>
        <v>39.602777777778101</v>
      </c>
      <c r="AD696" s="476">
        <f t="shared" si="119"/>
        <v>103.8388888888876</v>
      </c>
      <c r="AE696" s="476">
        <f t="shared" si="120"/>
        <v>143.4416666666657</v>
      </c>
      <c r="AF696" s="476" t="b">
        <f>IFERROR(_xlfn.XLOOKUP(Table1[[#This Row],[Opportunity ID]],'Aging Detail'!$H$14:$H$20,'Aging Detail'!$F$14:$F$20),TRUE)</f>
        <v>1</v>
      </c>
    </row>
    <row r="697" spans="1:32">
      <c r="A697" t="s">
        <v>1461</v>
      </c>
      <c r="B697" t="s">
        <v>408</v>
      </c>
      <c r="C697" t="s">
        <v>1462</v>
      </c>
      <c r="D697" t="s">
        <v>3141</v>
      </c>
      <c r="E697" t="s">
        <v>566</v>
      </c>
      <c r="F697" t="s">
        <v>202</v>
      </c>
      <c r="I697" s="422">
        <v>45716</v>
      </c>
      <c r="J697" s="422">
        <v>45859</v>
      </c>
      <c r="K697">
        <v>249200</v>
      </c>
      <c r="L697">
        <v>79200</v>
      </c>
      <c r="M697" t="s">
        <v>2897</v>
      </c>
      <c r="N697" t="s">
        <v>566</v>
      </c>
      <c r="O697" t="str">
        <f>_xlfn.IFNA(VLOOKUP(Table1[[#This Row],[Lead Source]],'helper tab'!A:B,2,FALSE),"Exclude")</f>
        <v>Digital</v>
      </c>
      <c r="P697" s="422">
        <f t="shared" si="110"/>
        <v>45755.595833333333</v>
      </c>
      <c r="Q697">
        <f t="shared" si="111"/>
        <v>0</v>
      </c>
      <c r="R697">
        <f t="shared" si="112"/>
        <v>0</v>
      </c>
      <c r="S697">
        <f>IF(
AND($Q697=1,$M697&lt;&gt;""),
IF(
COUNTIFS(
$M$3:$M697,$M697,
$O$3:$O697,$O697,
$Q$3:$Q697,1,
$P$3:$P697,"&gt;="&amp;EOMONTH($P697,-1)+1,
$P$3:$P697,"&lt;"&amp;EOMONTH($P697,0)+1
)=1,
1,
0),
0)</f>
        <v>0</v>
      </c>
      <c r="T697">
        <f>IF(AND($R697=1,$M697&lt;&gt;""),IF(COUNTIFS($M$3:$M697,$M697,$O$3:$O697,$O697,$R$3:$R697,1,$P$3:$P697,"&gt;="&amp;EOMONTH($P697,-1)+1,$P$3:$P697,"&lt;"&amp;EOMONTH($P697,0)+1)=1,1,0),0)</f>
        <v>0</v>
      </c>
      <c r="U697">
        <f t="shared" si="113"/>
        <v>0</v>
      </c>
      <c r="V697">
        <f>IF(AND($U697=1,$M697&lt;&gt;""),IF(COUNTIFS($M$3:$M697,$M697,$O$3:$O697,$O697,$U$3:$U697,1,$P$3:$P697,"&gt;="&amp;EOMONTH($P697,-1)+1,$P$3:$P697,"&lt;"&amp;EOMONTH($P697,0)+1)=1,1,0),0)</f>
        <v>0</v>
      </c>
      <c r="W697" s="444">
        <f ca="1">TODAY()-Table1[[#This Row],[Change Date]]</f>
        <v>502.40416666666715</v>
      </c>
      <c r="X697" s="422">
        <f t="shared" si="114"/>
        <v>45755.602777777778</v>
      </c>
      <c r="Y697" s="476">
        <f ca="1">IF(Table1[[#This Row],[Next Stage Date]]&lt;&gt;"",Table1[[#This Row],[Next Stage Date]]-Table1[[#This Row],[Change Date]],TODAY()-Table1[[#This Row],[Change Date]])</f>
        <v>6.9444444452528842E-3</v>
      </c>
      <c r="Z697" s="476">
        <f t="shared" si="115"/>
        <v>0</v>
      </c>
      <c r="AA697" s="422">
        <f t="shared" si="116"/>
        <v>45859.441666666666</v>
      </c>
      <c r="AB697" s="422">
        <f t="shared" si="117"/>
        <v>45755.602777777778</v>
      </c>
      <c r="AC697" s="476">
        <f t="shared" si="118"/>
        <v>39.602777777778101</v>
      </c>
      <c r="AD697" s="476">
        <f t="shared" si="119"/>
        <v>103.8388888888876</v>
      </c>
      <c r="AE697" s="476">
        <f t="shared" si="120"/>
        <v>143.4416666666657</v>
      </c>
      <c r="AF697" s="476" t="b">
        <f>IFERROR(_xlfn.XLOOKUP(Table1[[#This Row],[Opportunity ID]],'Aging Detail'!$H$14:$H$20,'Aging Detail'!$F$14:$F$20),TRUE)</f>
        <v>1</v>
      </c>
    </row>
    <row r="698" spans="1:32">
      <c r="A698" t="s">
        <v>1461</v>
      </c>
      <c r="B698" t="s">
        <v>408</v>
      </c>
      <c r="C698" t="s">
        <v>1469</v>
      </c>
      <c r="D698" t="s">
        <v>3142</v>
      </c>
      <c r="E698" t="s">
        <v>3143</v>
      </c>
      <c r="I698" s="422">
        <v>45363</v>
      </c>
      <c r="J698" s="422">
        <v>46387</v>
      </c>
      <c r="K698">
        <v>7212510</v>
      </c>
      <c r="L698">
        <v>238493.74</v>
      </c>
      <c r="M698" t="s">
        <v>3144</v>
      </c>
      <c r="N698" t="s">
        <v>2239</v>
      </c>
      <c r="O698" t="str">
        <f>_xlfn.IFNA(VLOOKUP(Table1[[#This Row],[Lead Source]],'helper tab'!A:B,2,FALSE),"Exclude")</f>
        <v>Exclude</v>
      </c>
      <c r="P698" s="422">
        <f t="shared" si="110"/>
        <v>45755.586111111108</v>
      </c>
      <c r="Q698">
        <f t="shared" si="111"/>
        <v>0</v>
      </c>
      <c r="R698">
        <f t="shared" si="112"/>
        <v>0</v>
      </c>
      <c r="S698">
        <f>IF(
AND($Q698=1,$M698&lt;&gt;""),
IF(
COUNTIFS(
$M$3:$M698,$M698,
$O$3:$O698,$O698,
$Q$3:$Q698,1,
$P$3:$P698,"&gt;="&amp;EOMONTH($P698,-1)+1,
$P$3:$P698,"&lt;"&amp;EOMONTH($P698,0)+1
)=1,
1,
0),
0)</f>
        <v>0</v>
      </c>
      <c r="T698">
        <f>IF(AND($R698=1,$M698&lt;&gt;""),IF(COUNTIFS($M$3:$M698,$M698,$O$3:$O698,$O698,$R$3:$R698,1,$P$3:$P698,"&gt;="&amp;EOMONTH($P698,-1)+1,$P$3:$P698,"&lt;"&amp;EOMONTH($P698,0)+1)=1,1,0),0)</f>
        <v>0</v>
      </c>
      <c r="U698">
        <f t="shared" si="113"/>
        <v>1</v>
      </c>
      <c r="V698">
        <f>IF(AND($U698=1,$M698&lt;&gt;""),IF(COUNTIFS($M$3:$M698,$M698,$O$3:$O698,$O698,$U$3:$U698,1,$P$3:$P698,"&gt;="&amp;EOMONTH($P698,-1)+1,$P$3:$P698,"&lt;"&amp;EOMONTH($P698,0)+1)=1,1,0),0)</f>
        <v>1</v>
      </c>
      <c r="W698" s="444">
        <f ca="1">TODAY()-Table1[[#This Row],[Change Date]]</f>
        <v>502.41388888889196</v>
      </c>
      <c r="X698" s="422" t="str">
        <f t="shared" si="114"/>
        <v/>
      </c>
      <c r="Y698" s="476">
        <f ca="1">IF(Table1[[#This Row],[Next Stage Date]]&lt;&gt;"",Table1[[#This Row],[Next Stage Date]]-Table1[[#This Row],[Change Date]],TODAY()-Table1[[#This Row],[Change Date]])</f>
        <v>502.41388888889196</v>
      </c>
      <c r="Z698" s="476">
        <f t="shared" si="115"/>
        <v>1</v>
      </c>
      <c r="AA698" s="422" t="str">
        <f t="shared" si="116"/>
        <v/>
      </c>
      <c r="AB698" s="422" t="str">
        <f t="shared" si="117"/>
        <v/>
      </c>
      <c r="AC698" s="476" t="str">
        <f t="shared" si="118"/>
        <v/>
      </c>
      <c r="AD698" s="476" t="str">
        <f t="shared" si="119"/>
        <v/>
      </c>
      <c r="AE698" s="476" t="str">
        <f t="shared" si="120"/>
        <v/>
      </c>
      <c r="AF698" s="476" t="b">
        <f>IFERROR(_xlfn.XLOOKUP(Table1[[#This Row],[Opportunity ID]],'Aging Detail'!$H$14:$H$20,'Aging Detail'!$F$14:$F$20),TRUE)</f>
        <v>1</v>
      </c>
    </row>
    <row r="699" spans="1:32">
      <c r="A699" t="s">
        <v>1461</v>
      </c>
      <c r="B699" t="s">
        <v>338</v>
      </c>
      <c r="C699" t="s">
        <v>563</v>
      </c>
      <c r="D699" t="s">
        <v>3145</v>
      </c>
      <c r="E699" t="s">
        <v>3146</v>
      </c>
      <c r="F699" t="s">
        <v>1484</v>
      </c>
      <c r="I699" s="422">
        <v>45510</v>
      </c>
      <c r="J699" s="422">
        <v>45755</v>
      </c>
      <c r="L699">
        <v>0</v>
      </c>
      <c r="M699" t="s">
        <v>3147</v>
      </c>
      <c r="N699" t="s">
        <v>1604</v>
      </c>
      <c r="O699" t="str">
        <f>_xlfn.IFNA(VLOOKUP(Table1[[#This Row],[Lead Source]],'helper tab'!A:B,2,FALSE),"Exclude")</f>
        <v>Exclude</v>
      </c>
      <c r="P699" s="422">
        <f t="shared" si="110"/>
        <v>45755.484722222223</v>
      </c>
      <c r="Q699">
        <f t="shared" si="111"/>
        <v>0</v>
      </c>
      <c r="R699">
        <f t="shared" si="112"/>
        <v>1</v>
      </c>
      <c r="S699">
        <f>IF(
AND($Q699=1,$M699&lt;&gt;""),
IF(
COUNTIFS(
$M$3:$M699,$M699,
$O$3:$O699,$O699,
$Q$3:$Q699,1,
$P$3:$P699,"&gt;="&amp;EOMONTH($P699,-1)+1,
$P$3:$P699,"&lt;"&amp;EOMONTH($P699,0)+1
)=1,
1,
0),
0)</f>
        <v>0</v>
      </c>
      <c r="T699">
        <f>IF(AND($R699=1,$M699&lt;&gt;""),IF(COUNTIFS($M$3:$M699,$M699,$O$3:$O699,$O699,$R$3:$R699,1,$P$3:$P699,"&gt;="&amp;EOMONTH($P699,-1)+1,$P$3:$P699,"&lt;"&amp;EOMONTH($P699,0)+1)=1,1,0),0)</f>
        <v>1</v>
      </c>
      <c r="U699">
        <f t="shared" si="113"/>
        <v>0</v>
      </c>
      <c r="V699">
        <f>IF(AND($U699=1,$M699&lt;&gt;""),IF(COUNTIFS($M$3:$M699,$M699,$O$3:$O699,$O699,$U$3:$U699,1,$P$3:$P699,"&gt;="&amp;EOMONTH($P699,-1)+1,$P$3:$P699,"&lt;"&amp;EOMONTH($P699,0)+1)=1,1,0),0)</f>
        <v>0</v>
      </c>
      <c r="W699" s="444">
        <f ca="1">TODAY()-Table1[[#This Row],[Change Date]]</f>
        <v>502.51527777777665</v>
      </c>
      <c r="X699" s="422" t="str">
        <f t="shared" si="114"/>
        <v/>
      </c>
      <c r="Y699" s="476">
        <f ca="1">IF(Table1[[#This Row],[Next Stage Date]]&lt;&gt;"",Table1[[#This Row],[Next Stage Date]]-Table1[[#This Row],[Change Date]],TODAY()-Table1[[#This Row],[Change Date]])</f>
        <v>502.51527777777665</v>
      </c>
      <c r="Z699" s="476">
        <f t="shared" si="115"/>
        <v>1</v>
      </c>
      <c r="AA699" s="422">
        <f t="shared" si="116"/>
        <v>45755.484722222223</v>
      </c>
      <c r="AB699" s="422" t="str">
        <f t="shared" si="117"/>
        <v/>
      </c>
      <c r="AC699" s="476" t="str">
        <f t="shared" si="118"/>
        <v/>
      </c>
      <c r="AD699" s="476" t="str">
        <f t="shared" si="119"/>
        <v/>
      </c>
      <c r="AE699" s="476">
        <f t="shared" si="120"/>
        <v>245.48472222222335</v>
      </c>
      <c r="AF699" s="476" t="b">
        <f>IFERROR(_xlfn.XLOOKUP(Table1[[#This Row],[Opportunity ID]],'Aging Detail'!$H$14:$H$20,'Aging Detail'!$F$14:$F$20),TRUE)</f>
        <v>1</v>
      </c>
    </row>
    <row r="700" spans="1:32">
      <c r="A700" t="s">
        <v>1461</v>
      </c>
      <c r="B700" t="s">
        <v>462</v>
      </c>
      <c r="C700" t="s">
        <v>526</v>
      </c>
      <c r="D700" t="s">
        <v>3148</v>
      </c>
      <c r="E700" t="s">
        <v>2894</v>
      </c>
      <c r="F700" t="s">
        <v>148</v>
      </c>
      <c r="H700" t="s">
        <v>154</v>
      </c>
      <c r="I700" s="422">
        <v>45751</v>
      </c>
      <c r="J700" s="422">
        <v>45861</v>
      </c>
      <c r="K700">
        <v>8550</v>
      </c>
      <c r="L700">
        <v>8550</v>
      </c>
      <c r="M700" t="s">
        <v>2895</v>
      </c>
      <c r="N700" t="s">
        <v>592</v>
      </c>
      <c r="O700" t="str">
        <f>_xlfn.IFNA(VLOOKUP(Table1[[#This Row],[Lead Source]],'helper tab'!A:B,2,FALSE),"Exclude")</f>
        <v>Alliances</v>
      </c>
      <c r="P700" s="422">
        <f t="shared" si="110"/>
        <v>45751.473611111112</v>
      </c>
      <c r="Q700">
        <f t="shared" si="111"/>
        <v>1</v>
      </c>
      <c r="R700">
        <f t="shared" si="112"/>
        <v>0</v>
      </c>
      <c r="S700">
        <f>IF(
AND($Q700=1,$M700&lt;&gt;""),
IF(
COUNTIFS(
$M$3:$M700,$M700,
$O$3:$O700,$O700,
$Q$3:$Q700,1,
$P$3:$P700,"&gt;="&amp;EOMONTH($P700,-1)+1,
$P$3:$P700,"&lt;"&amp;EOMONTH($P700,0)+1
)=1,
1,
0),
0)</f>
        <v>1</v>
      </c>
      <c r="T700">
        <f>IF(AND($R700=1,$M700&lt;&gt;""),IF(COUNTIFS($M$3:$M700,$M700,$O$3:$O700,$O700,$R$3:$R700,1,$P$3:$P700,"&gt;="&amp;EOMONTH($P700,-1)+1,$P$3:$P700,"&lt;"&amp;EOMONTH($P700,0)+1)=1,1,0),0)</f>
        <v>0</v>
      </c>
      <c r="U700">
        <f t="shared" si="113"/>
        <v>0</v>
      </c>
      <c r="V700">
        <f>IF(AND($U700=1,$M700&lt;&gt;""),IF(COUNTIFS($M$3:$M700,$M700,$O$3:$O700,$O700,$U$3:$U700,1,$P$3:$P700,"&gt;="&amp;EOMONTH($P700,-1)+1,$P$3:$P700,"&lt;"&amp;EOMONTH($P700,0)+1)=1,1,0),0)</f>
        <v>0</v>
      </c>
      <c r="W700" s="444">
        <f ca="1">TODAY()-Table1[[#This Row],[Change Date]]</f>
        <v>506.5263888888876</v>
      </c>
      <c r="X700" s="422">
        <f t="shared" si="114"/>
        <v>45861.272222222222</v>
      </c>
      <c r="Y700" s="476">
        <f ca="1">IF(Table1[[#This Row],[Next Stage Date]]&lt;&gt;"",Table1[[#This Row],[Next Stage Date]]-Table1[[#This Row],[Change Date]],TODAY()-Table1[[#This Row],[Change Date]])</f>
        <v>109.79861111110949</v>
      </c>
      <c r="Z700" s="476">
        <f t="shared" si="115"/>
        <v>0</v>
      </c>
      <c r="AA700" s="422">
        <f t="shared" si="116"/>
        <v>45861.272222222222</v>
      </c>
      <c r="AB700" s="422">
        <f t="shared" si="117"/>
        <v>45751.473611111112</v>
      </c>
      <c r="AC700" s="476">
        <f t="shared" si="118"/>
        <v>0.47361111111240461</v>
      </c>
      <c r="AD700" s="476">
        <f t="shared" si="119"/>
        <v>109.79861111110949</v>
      </c>
      <c r="AE700" s="476">
        <f t="shared" si="120"/>
        <v>110.2722222222219</v>
      </c>
      <c r="AF700" s="476" t="b">
        <f>IFERROR(_xlfn.XLOOKUP(Table1[[#This Row],[Opportunity ID]],'Aging Detail'!$H$14:$H$20,'Aging Detail'!$F$14:$F$20),TRUE)</f>
        <v>1</v>
      </c>
    </row>
    <row r="701" spans="1:32">
      <c r="A701" t="s">
        <v>1461</v>
      </c>
      <c r="B701" t="s">
        <v>1462</v>
      </c>
      <c r="C701" t="s">
        <v>462</v>
      </c>
      <c r="D701" t="s">
        <v>3148</v>
      </c>
      <c r="E701" t="s">
        <v>2894</v>
      </c>
      <c r="F701" t="s">
        <v>148</v>
      </c>
      <c r="H701" t="s">
        <v>154</v>
      </c>
      <c r="I701" s="422">
        <v>45751</v>
      </c>
      <c r="J701" s="422">
        <v>45861</v>
      </c>
      <c r="K701">
        <v>8550</v>
      </c>
      <c r="L701">
        <v>8550</v>
      </c>
      <c r="M701" t="s">
        <v>2895</v>
      </c>
      <c r="N701" t="s">
        <v>592</v>
      </c>
      <c r="O701" t="str">
        <f>_xlfn.IFNA(VLOOKUP(Table1[[#This Row],[Lead Source]],'helper tab'!A:B,2,FALSE),"Exclude")</f>
        <v>Alliances</v>
      </c>
      <c r="P701" s="422">
        <f t="shared" si="110"/>
        <v>45751.473611111112</v>
      </c>
      <c r="Q701">
        <f t="shared" si="111"/>
        <v>1</v>
      </c>
      <c r="R701">
        <f t="shared" si="112"/>
        <v>0</v>
      </c>
      <c r="S701">
        <f>IF(
AND($Q701=1,$M701&lt;&gt;""),
IF(
COUNTIFS(
$M$3:$M701,$M701,
$O$3:$O701,$O701,
$Q$3:$Q701,1,
$P$3:$P701,"&gt;="&amp;EOMONTH($P701,-1)+1,
$P$3:$P701,"&lt;"&amp;EOMONTH($P701,0)+1
)=1,
1,
0),
0)</f>
        <v>0</v>
      </c>
      <c r="T701">
        <f>IF(AND($R701=1,$M701&lt;&gt;""),IF(COUNTIFS($M$3:$M701,$M701,$O$3:$O701,$O701,$R$3:$R701,1,$P$3:$P701,"&gt;="&amp;EOMONTH($P701,-1)+1,$P$3:$P701,"&lt;"&amp;EOMONTH($P701,0)+1)=1,1,0),0)</f>
        <v>0</v>
      </c>
      <c r="U701">
        <f t="shared" si="113"/>
        <v>0</v>
      </c>
      <c r="V701">
        <f>IF(AND($U701=1,$M701&lt;&gt;""),IF(COUNTIFS($M$3:$M701,$M701,$O$3:$O701,$O701,$U$3:$U701,1,$P$3:$P701,"&gt;="&amp;EOMONTH($P701,-1)+1,$P$3:$P701,"&lt;"&amp;EOMONTH($P701,0)+1)=1,1,0),0)</f>
        <v>0</v>
      </c>
      <c r="W701" s="444">
        <f ca="1">TODAY()-Table1[[#This Row],[Change Date]]</f>
        <v>506.5263888888876</v>
      </c>
      <c r="X701" s="422">
        <f t="shared" si="114"/>
        <v>45861.272222222222</v>
      </c>
      <c r="Y701" s="476">
        <f ca="1">IF(Table1[[#This Row],[Next Stage Date]]&lt;&gt;"",Table1[[#This Row],[Next Stage Date]]-Table1[[#This Row],[Change Date]],TODAY()-Table1[[#This Row],[Change Date]])</f>
        <v>109.79861111110949</v>
      </c>
      <c r="Z701" s="476">
        <f t="shared" si="115"/>
        <v>0</v>
      </c>
      <c r="AA701" s="422">
        <f t="shared" si="116"/>
        <v>45861.272222222222</v>
      </c>
      <c r="AB701" s="422">
        <f t="shared" si="117"/>
        <v>45751.473611111112</v>
      </c>
      <c r="AC701" s="476">
        <f t="shared" si="118"/>
        <v>0.47361111111240461</v>
      </c>
      <c r="AD701" s="476">
        <f t="shared" si="119"/>
        <v>109.79861111110949</v>
      </c>
      <c r="AE701" s="476">
        <f t="shared" si="120"/>
        <v>110.2722222222219</v>
      </c>
      <c r="AF701" s="476" t="b">
        <f>IFERROR(_xlfn.XLOOKUP(Table1[[#This Row],[Opportunity ID]],'Aging Detail'!$H$14:$H$20,'Aging Detail'!$F$14:$F$20),TRUE)</f>
        <v>1</v>
      </c>
    </row>
    <row r="702" spans="1:32">
      <c r="A702" t="s">
        <v>1461</v>
      </c>
      <c r="B702" t="s">
        <v>408</v>
      </c>
      <c r="C702" t="s">
        <v>1462</v>
      </c>
      <c r="D702" t="s">
        <v>3148</v>
      </c>
      <c r="E702" t="s">
        <v>2894</v>
      </c>
      <c r="F702" t="s">
        <v>148</v>
      </c>
      <c r="H702" t="s">
        <v>154</v>
      </c>
      <c r="I702" s="422">
        <v>45751</v>
      </c>
      <c r="J702" s="422">
        <v>45861</v>
      </c>
      <c r="K702">
        <v>8550</v>
      </c>
      <c r="L702">
        <v>8550</v>
      </c>
      <c r="M702" t="s">
        <v>2895</v>
      </c>
      <c r="N702" t="s">
        <v>592</v>
      </c>
      <c r="O702" t="str">
        <f>_xlfn.IFNA(VLOOKUP(Table1[[#This Row],[Lead Source]],'helper tab'!A:B,2,FALSE),"Exclude")</f>
        <v>Alliances</v>
      </c>
      <c r="P702" s="422">
        <f t="shared" si="110"/>
        <v>45751.473611111112</v>
      </c>
      <c r="Q702">
        <f t="shared" si="111"/>
        <v>0</v>
      </c>
      <c r="R702">
        <f t="shared" si="112"/>
        <v>0</v>
      </c>
      <c r="S702">
        <f>IF(
AND($Q702=1,$M702&lt;&gt;""),
IF(
COUNTIFS(
$M$3:$M702,$M702,
$O$3:$O702,$O702,
$Q$3:$Q702,1,
$P$3:$P702,"&gt;="&amp;EOMONTH($P702,-1)+1,
$P$3:$P702,"&lt;"&amp;EOMONTH($P702,0)+1
)=1,
1,
0),
0)</f>
        <v>0</v>
      </c>
      <c r="T702">
        <f>IF(AND($R702=1,$M702&lt;&gt;""),IF(COUNTIFS($M$3:$M702,$M702,$O$3:$O702,$O702,$R$3:$R702,1,$P$3:$P702,"&gt;="&amp;EOMONTH($P702,-1)+1,$P$3:$P702,"&lt;"&amp;EOMONTH($P702,0)+1)=1,1,0),0)</f>
        <v>0</v>
      </c>
      <c r="U702">
        <f t="shared" si="113"/>
        <v>0</v>
      </c>
      <c r="V702">
        <f>IF(AND($U702=1,$M702&lt;&gt;""),IF(COUNTIFS($M$3:$M702,$M702,$O$3:$O702,$O702,$U$3:$U702,1,$P$3:$P702,"&gt;="&amp;EOMONTH($P702,-1)+1,$P$3:$P702,"&lt;"&amp;EOMONTH($P702,0)+1)=1,1,0),0)</f>
        <v>0</v>
      </c>
      <c r="W702" s="444">
        <f ca="1">TODAY()-Table1[[#This Row],[Change Date]]</f>
        <v>506.5263888888876</v>
      </c>
      <c r="X702" s="422">
        <f t="shared" si="114"/>
        <v>45861.272222222222</v>
      </c>
      <c r="Y702" s="476">
        <f ca="1">IF(Table1[[#This Row],[Next Stage Date]]&lt;&gt;"",Table1[[#This Row],[Next Stage Date]]-Table1[[#This Row],[Change Date]],TODAY()-Table1[[#This Row],[Change Date]])</f>
        <v>109.79861111110949</v>
      </c>
      <c r="Z702" s="476">
        <f t="shared" si="115"/>
        <v>0</v>
      </c>
      <c r="AA702" s="422">
        <f t="shared" si="116"/>
        <v>45861.272222222222</v>
      </c>
      <c r="AB702" s="422">
        <f t="shared" si="117"/>
        <v>45751.473611111112</v>
      </c>
      <c r="AC702" s="476">
        <f t="shared" si="118"/>
        <v>0.47361111111240461</v>
      </c>
      <c r="AD702" s="476">
        <f t="shared" si="119"/>
        <v>109.79861111110949</v>
      </c>
      <c r="AE702" s="476">
        <f t="shared" si="120"/>
        <v>110.2722222222219</v>
      </c>
      <c r="AF702" s="476" t="b">
        <f>IFERROR(_xlfn.XLOOKUP(Table1[[#This Row],[Opportunity ID]],'Aging Detail'!$H$14:$H$20,'Aging Detail'!$F$14:$F$20),TRUE)</f>
        <v>1</v>
      </c>
    </row>
    <row r="703" spans="1:32">
      <c r="A703" t="s">
        <v>1461</v>
      </c>
      <c r="B703" t="s">
        <v>408</v>
      </c>
      <c r="C703" t="s">
        <v>462</v>
      </c>
      <c r="D703" t="s">
        <v>3149</v>
      </c>
      <c r="E703" t="s">
        <v>3046</v>
      </c>
      <c r="I703" s="422">
        <v>45714</v>
      </c>
      <c r="J703" s="422">
        <v>45777</v>
      </c>
      <c r="K703">
        <v>0</v>
      </c>
      <c r="L703">
        <v>0</v>
      </c>
      <c r="M703" t="s">
        <v>3047</v>
      </c>
      <c r="N703" t="s">
        <v>1748</v>
      </c>
      <c r="O703" t="str">
        <f>_xlfn.IFNA(VLOOKUP(Table1[[#This Row],[Lead Source]],'helper tab'!A:B,2,FALSE),"Exclude")</f>
        <v>Exclude</v>
      </c>
      <c r="P703" s="422">
        <f t="shared" si="110"/>
        <v>45750.253472222219</v>
      </c>
      <c r="Q703">
        <f t="shared" si="111"/>
        <v>1</v>
      </c>
      <c r="R703">
        <f t="shared" si="112"/>
        <v>0</v>
      </c>
      <c r="S703">
        <f>IF(
AND($Q703=1,$M703&lt;&gt;""),
IF(
COUNTIFS(
$M$3:$M703,$M703,
$O$3:$O703,$O703,
$Q$3:$Q703,1,
$P$3:$P703,"&gt;="&amp;EOMONTH($P703,-1)+1,
$P$3:$P703,"&lt;"&amp;EOMONTH($P703,0)+1
)=1,
1,
0),
0)</f>
        <v>1</v>
      </c>
      <c r="T703">
        <f>IF(AND($R703=1,$M703&lt;&gt;""),IF(COUNTIFS($M$3:$M703,$M703,$O$3:$O703,$O703,$R$3:$R703,1,$P$3:$P703,"&gt;="&amp;EOMONTH($P703,-1)+1,$P$3:$P703,"&lt;"&amp;EOMONTH($P703,0)+1)=1,1,0),0)</f>
        <v>0</v>
      </c>
      <c r="U703">
        <f t="shared" si="113"/>
        <v>0</v>
      </c>
      <c r="V703">
        <f>IF(AND($U703=1,$M703&lt;&gt;""),IF(COUNTIFS($M$3:$M703,$M703,$O$3:$O703,$O703,$U$3:$U703,1,$P$3:$P703,"&gt;="&amp;EOMONTH($P703,-1)+1,$P$3:$P703,"&lt;"&amp;EOMONTH($P703,0)+1)=1,1,0),0)</f>
        <v>0</v>
      </c>
      <c r="W703" s="444">
        <f ca="1">TODAY()-Table1[[#This Row],[Change Date]]</f>
        <v>507.74652777778101</v>
      </c>
      <c r="X703" s="422">
        <f t="shared" si="114"/>
        <v>45793.29791666667</v>
      </c>
      <c r="Y703" s="476">
        <f ca="1">IF(Table1[[#This Row],[Next Stage Date]]&lt;&gt;"",Table1[[#This Row],[Next Stage Date]]-Table1[[#This Row],[Change Date]],TODAY()-Table1[[#This Row],[Change Date]])</f>
        <v>43.044444444451074</v>
      </c>
      <c r="Z703" s="476">
        <f t="shared" si="115"/>
        <v>0</v>
      </c>
      <c r="AA703" s="422">
        <f t="shared" si="116"/>
        <v>45793.29791666667</v>
      </c>
      <c r="AB703" s="422">
        <f t="shared" si="117"/>
        <v>45750.253472222219</v>
      </c>
      <c r="AC703" s="476">
        <f t="shared" si="118"/>
        <v>36.253472222218988</v>
      </c>
      <c r="AD703" s="476">
        <f t="shared" si="119"/>
        <v>43.044444444451074</v>
      </c>
      <c r="AE703" s="476">
        <f t="shared" si="120"/>
        <v>79.297916666670062</v>
      </c>
      <c r="AF703" s="476" t="b">
        <f>IFERROR(_xlfn.XLOOKUP(Table1[[#This Row],[Opportunity ID]],'Aging Detail'!$H$14:$H$20,'Aging Detail'!$F$14:$F$20),TRUE)</f>
        <v>1</v>
      </c>
    </row>
    <row r="704" spans="1:32">
      <c r="A704" t="s">
        <v>1461</v>
      </c>
      <c r="B704" t="s">
        <v>338</v>
      </c>
      <c r="C704" t="s">
        <v>462</v>
      </c>
      <c r="D704" t="s">
        <v>3150</v>
      </c>
      <c r="E704" t="s">
        <v>3044</v>
      </c>
      <c r="I704" s="422">
        <v>45733</v>
      </c>
      <c r="J704" s="422">
        <v>45777</v>
      </c>
      <c r="K704">
        <v>0</v>
      </c>
      <c r="L704">
        <v>0</v>
      </c>
      <c r="M704" t="s">
        <v>3045</v>
      </c>
      <c r="N704" t="s">
        <v>1748</v>
      </c>
      <c r="O704" t="str">
        <f>_xlfn.IFNA(VLOOKUP(Table1[[#This Row],[Lead Source]],'helper tab'!A:B,2,FALSE),"Exclude")</f>
        <v>Exclude</v>
      </c>
      <c r="P704" s="422">
        <f t="shared" si="110"/>
        <v>45750.250694444447</v>
      </c>
      <c r="Q704">
        <f t="shared" si="111"/>
        <v>1</v>
      </c>
      <c r="R704">
        <f t="shared" si="112"/>
        <v>0</v>
      </c>
      <c r="S704">
        <f>IF(
AND($Q704=1,$M704&lt;&gt;""),
IF(
COUNTIFS(
$M$3:$M704,$M704,
$O$3:$O704,$O704,
$Q$3:$Q704,1,
$P$3:$P704,"&gt;="&amp;EOMONTH($P704,-1)+1,
$P$3:$P704,"&lt;"&amp;EOMONTH($P704,0)+1
)=1,
1,
0),
0)</f>
        <v>1</v>
      </c>
      <c r="T704">
        <f>IF(AND($R704=1,$M704&lt;&gt;""),IF(COUNTIFS($M$3:$M704,$M704,$O$3:$O704,$O704,$R$3:$R704,1,$P$3:$P704,"&gt;="&amp;EOMONTH($P704,-1)+1,$P$3:$P704,"&lt;"&amp;EOMONTH($P704,0)+1)=1,1,0),0)</f>
        <v>0</v>
      </c>
      <c r="U704">
        <f t="shared" si="113"/>
        <v>0</v>
      </c>
      <c r="V704">
        <f>IF(AND($U704=1,$M704&lt;&gt;""),IF(COUNTIFS($M$3:$M704,$M704,$O$3:$O704,$O704,$U$3:$U704,1,$P$3:$P704,"&gt;="&amp;EOMONTH($P704,-1)+1,$P$3:$P704,"&lt;"&amp;EOMONTH($P704,0)+1)=1,1,0),0)</f>
        <v>0</v>
      </c>
      <c r="W704" s="444">
        <f ca="1">TODAY()-Table1[[#This Row],[Change Date]]</f>
        <v>507.74930555555329</v>
      </c>
      <c r="X704" s="422">
        <f t="shared" si="114"/>
        <v>45793.29791666667</v>
      </c>
      <c r="Y704" s="476">
        <f ca="1">IF(Table1[[#This Row],[Next Stage Date]]&lt;&gt;"",Table1[[#This Row],[Next Stage Date]]-Table1[[#This Row],[Change Date]],TODAY()-Table1[[#This Row],[Change Date]])</f>
        <v>43.047222222223354</v>
      </c>
      <c r="Z704" s="476">
        <f t="shared" si="115"/>
        <v>0</v>
      </c>
      <c r="AA704" s="422">
        <f t="shared" si="116"/>
        <v>45793.29791666667</v>
      </c>
      <c r="AB704" s="422">
        <f t="shared" si="117"/>
        <v>45750.250694444447</v>
      </c>
      <c r="AC704" s="476">
        <f t="shared" si="118"/>
        <v>17.250694444446708</v>
      </c>
      <c r="AD704" s="476">
        <f t="shared" si="119"/>
        <v>43.047222222223354</v>
      </c>
      <c r="AE704" s="476">
        <f t="shared" si="120"/>
        <v>60.297916666670062</v>
      </c>
      <c r="AF704" s="476" t="b">
        <f>IFERROR(_xlfn.XLOOKUP(Table1[[#This Row],[Opportunity ID]],'Aging Detail'!$H$14:$H$20,'Aging Detail'!$F$14:$F$20),TRUE)</f>
        <v>1</v>
      </c>
    </row>
    <row r="705" spans="1:32">
      <c r="A705" t="s">
        <v>1461</v>
      </c>
      <c r="B705" t="s">
        <v>408</v>
      </c>
      <c r="C705" t="s">
        <v>1462</v>
      </c>
      <c r="D705" t="s">
        <v>3151</v>
      </c>
      <c r="E705" t="s">
        <v>3152</v>
      </c>
      <c r="F705" t="s">
        <v>1481</v>
      </c>
      <c r="I705" s="422">
        <v>45534</v>
      </c>
      <c r="J705" s="422">
        <v>46367</v>
      </c>
      <c r="K705">
        <v>1580000</v>
      </c>
      <c r="L705">
        <v>1320000</v>
      </c>
      <c r="M705" t="s">
        <v>3153</v>
      </c>
      <c r="N705" t="s">
        <v>2297</v>
      </c>
      <c r="O705" t="str">
        <f>_xlfn.IFNA(VLOOKUP(Table1[[#This Row],[Lead Source]],'helper tab'!A:B,2,FALSE),"Exclude")</f>
        <v>Cold</v>
      </c>
      <c r="P705" s="422">
        <f t="shared" si="110"/>
        <v>45749.309027777781</v>
      </c>
      <c r="Q705">
        <f t="shared" si="111"/>
        <v>0</v>
      </c>
      <c r="R705">
        <f t="shared" si="112"/>
        <v>0</v>
      </c>
      <c r="S705">
        <f>IF(
AND($Q705=1,$M705&lt;&gt;""),
IF(
COUNTIFS(
$M$3:$M705,$M705,
$O$3:$O705,$O705,
$Q$3:$Q705,1,
$P$3:$P705,"&gt;="&amp;EOMONTH($P705,-1)+1,
$P$3:$P705,"&lt;"&amp;EOMONTH($P705,0)+1
)=1,
1,
0),
0)</f>
        <v>0</v>
      </c>
      <c r="T705">
        <f>IF(AND($R705=1,$M705&lt;&gt;""),IF(COUNTIFS($M$3:$M705,$M705,$O$3:$O705,$O705,$R$3:$R705,1,$P$3:$P705,"&gt;="&amp;EOMONTH($P705,-1)+1,$P$3:$P705,"&lt;"&amp;EOMONTH($P705,0)+1)=1,1,0),0)</f>
        <v>0</v>
      </c>
      <c r="U705">
        <f t="shared" si="113"/>
        <v>0</v>
      </c>
      <c r="V705">
        <f>IF(AND($U705=1,$M705&lt;&gt;""),IF(COUNTIFS($M$3:$M705,$M705,$O$3:$O705,$O705,$U$3:$U705,1,$P$3:$P705,"&gt;="&amp;EOMONTH($P705,-1)+1,$P$3:$P705,"&lt;"&amp;EOMONTH($P705,0)+1)=1,1,0),0)</f>
        <v>0</v>
      </c>
      <c r="W705" s="444">
        <f ca="1">TODAY()-Table1[[#This Row],[Change Date]]</f>
        <v>508.69097222221899</v>
      </c>
      <c r="X705" s="422" t="str">
        <f t="shared" si="114"/>
        <v/>
      </c>
      <c r="Y705" s="476">
        <f ca="1">IF(Table1[[#This Row],[Next Stage Date]]&lt;&gt;"",Table1[[#This Row],[Next Stage Date]]-Table1[[#This Row],[Change Date]],TODAY()-Table1[[#This Row],[Change Date]])</f>
        <v>508.69097222221899</v>
      </c>
      <c r="Z705" s="476">
        <f t="shared" si="115"/>
        <v>1</v>
      </c>
      <c r="AA705" s="422" t="str">
        <f t="shared" si="116"/>
        <v/>
      </c>
      <c r="AB705" s="422" t="str">
        <f t="shared" si="117"/>
        <v/>
      </c>
      <c r="AC705" s="476" t="str">
        <f t="shared" si="118"/>
        <v/>
      </c>
      <c r="AD705" s="476" t="str">
        <f t="shared" si="119"/>
        <v/>
      </c>
      <c r="AE705" s="476" t="str">
        <f t="shared" si="120"/>
        <v/>
      </c>
      <c r="AF705" s="476" t="b">
        <f>IFERROR(_xlfn.XLOOKUP(Table1[[#This Row],[Opportunity ID]],'Aging Detail'!$H$14:$H$20,'Aging Detail'!$F$14:$F$20),TRUE)</f>
        <v>1</v>
      </c>
    </row>
    <row r="706" spans="1:32">
      <c r="A706" t="s">
        <v>1461</v>
      </c>
      <c r="B706" t="s">
        <v>408</v>
      </c>
      <c r="C706" t="s">
        <v>1462</v>
      </c>
      <c r="D706" t="s">
        <v>3154</v>
      </c>
      <c r="E706" t="s">
        <v>2932</v>
      </c>
      <c r="I706" s="422">
        <v>45202</v>
      </c>
      <c r="J706" s="422">
        <v>45838</v>
      </c>
      <c r="K706">
        <v>853500</v>
      </c>
      <c r="L706">
        <v>23100</v>
      </c>
      <c r="M706" t="s">
        <v>2933</v>
      </c>
      <c r="N706" t="s">
        <v>2148</v>
      </c>
      <c r="O706" t="str">
        <f>_xlfn.IFNA(VLOOKUP(Table1[[#This Row],[Lead Source]],'helper tab'!A:B,2,FALSE),"Exclude")</f>
        <v>Exclude</v>
      </c>
      <c r="P706" s="422">
        <f t="shared" si="110"/>
        <v>45748.502083333333</v>
      </c>
      <c r="Q706">
        <f t="shared" si="111"/>
        <v>0</v>
      </c>
      <c r="R706">
        <f t="shared" si="112"/>
        <v>0</v>
      </c>
      <c r="S706">
        <f>IF(
AND($Q706=1,$M706&lt;&gt;""),
IF(
COUNTIFS(
$M$3:$M706,$M706,
$O$3:$O706,$O706,
$Q$3:$Q706,1,
$P$3:$P706,"&gt;="&amp;EOMONTH($P706,-1)+1,
$P$3:$P706,"&lt;"&amp;EOMONTH($P706,0)+1
)=1,
1,
0),
0)</f>
        <v>0</v>
      </c>
      <c r="T706">
        <f>IF(AND($R706=1,$M706&lt;&gt;""),IF(COUNTIFS($M$3:$M706,$M706,$O$3:$O706,$O706,$R$3:$R706,1,$P$3:$P706,"&gt;="&amp;EOMONTH($P706,-1)+1,$P$3:$P706,"&lt;"&amp;EOMONTH($P706,0)+1)=1,1,0),0)</f>
        <v>0</v>
      </c>
      <c r="U706">
        <f t="shared" si="113"/>
        <v>0</v>
      </c>
      <c r="V706">
        <f>IF(AND($U706=1,$M706&lt;&gt;""),IF(COUNTIFS($M$3:$M706,$M706,$O$3:$O706,$O706,$U$3:$U706,1,$P$3:$P706,"&gt;="&amp;EOMONTH($P706,-1)+1,$P$3:$P706,"&lt;"&amp;EOMONTH($P706,0)+1)=1,1,0),0)</f>
        <v>0</v>
      </c>
      <c r="W706" s="444">
        <f ca="1">TODAY()-Table1[[#This Row],[Change Date]]</f>
        <v>509.49791666666715</v>
      </c>
      <c r="X706" s="422">
        <f t="shared" si="114"/>
        <v>45833.356944444444</v>
      </c>
      <c r="Y706" s="476">
        <f ca="1">IF(Table1[[#This Row],[Next Stage Date]]&lt;&gt;"",Table1[[#This Row],[Next Stage Date]]-Table1[[#This Row],[Change Date]],TODAY()-Table1[[#This Row],[Change Date]])</f>
        <v>84.854861111110949</v>
      </c>
      <c r="Z706" s="476">
        <f t="shared" si="115"/>
        <v>0</v>
      </c>
      <c r="AA706" s="422">
        <f t="shared" si="116"/>
        <v>45840.259027777778</v>
      </c>
      <c r="AB706" s="422">
        <f t="shared" si="117"/>
        <v>45833.356944444444</v>
      </c>
      <c r="AC706" s="476">
        <f t="shared" si="118"/>
        <v>631.3569444444438</v>
      </c>
      <c r="AD706" s="476">
        <f t="shared" si="119"/>
        <v>6.9020833333343035</v>
      </c>
      <c r="AE706" s="476">
        <f t="shared" si="120"/>
        <v>638.2590277777781</v>
      </c>
      <c r="AF706" s="476" t="b">
        <f>IFERROR(_xlfn.XLOOKUP(Table1[[#This Row],[Opportunity ID]],'Aging Detail'!$H$14:$H$20,'Aging Detail'!$F$14:$F$20),TRUE)</f>
        <v>1</v>
      </c>
    </row>
    <row r="707" spans="1:32">
      <c r="A707" t="s">
        <v>1461</v>
      </c>
      <c r="B707" t="s">
        <v>408</v>
      </c>
      <c r="C707" t="s">
        <v>1469</v>
      </c>
      <c r="D707" t="s">
        <v>3155</v>
      </c>
      <c r="E707" t="s">
        <v>3156</v>
      </c>
      <c r="F707" t="s">
        <v>1484</v>
      </c>
      <c r="H707" t="s">
        <v>154</v>
      </c>
      <c r="I707" s="422">
        <v>44944</v>
      </c>
      <c r="J707" s="422">
        <v>45747</v>
      </c>
      <c r="L707">
        <v>0</v>
      </c>
      <c r="M707" t="s">
        <v>3157</v>
      </c>
      <c r="N707" t="s">
        <v>1614</v>
      </c>
      <c r="O707" t="str">
        <f>_xlfn.IFNA(VLOOKUP(Table1[[#This Row],[Lead Source]],'helper tab'!A:B,2,FALSE),"Exclude")</f>
        <v>Exclude</v>
      </c>
      <c r="P707" s="422">
        <f t="shared" ref="P707:P772" si="121">--SUBSTITUTE(D707,",","")</f>
        <v>45747.580555555556</v>
      </c>
      <c r="Q707">
        <f t="shared" ref="Q707:Q772" si="122">IF(OR($C707="Propose",$C707="Procure"),1,0)</f>
        <v>0</v>
      </c>
      <c r="R707">
        <f t="shared" ref="R707:R772" si="123">IF($C707="Closed Won",1,0)</f>
        <v>0</v>
      </c>
      <c r="S707">
        <f>IF(
AND($Q707=1,$M707&lt;&gt;""),
IF(
COUNTIFS(
$M$3:$M707,$M707,
$O$3:$O707,$O707,
$Q$3:$Q707,1,
$P$3:$P707,"&gt;="&amp;EOMONTH($P707,-1)+1,
$P$3:$P707,"&lt;"&amp;EOMONTH($P707,0)+1
)=1,
1,
0),
0)</f>
        <v>0</v>
      </c>
      <c r="T707">
        <f>IF(AND($R707=1,$M707&lt;&gt;""),IF(COUNTIFS($M$3:$M707,$M707,$O$3:$O707,$O707,$R$3:$R707,1,$P$3:$P707,"&gt;="&amp;EOMONTH($P707,-1)+1,$P$3:$P707,"&lt;"&amp;EOMONTH($P707,0)+1)=1,1,0),0)</f>
        <v>0</v>
      </c>
      <c r="U707">
        <f t="shared" ref="U707:U772" si="124">IF($C707="Closed Lost",1,0)</f>
        <v>1</v>
      </c>
      <c r="V707">
        <f>IF(AND($U707=1,$M707&lt;&gt;""),IF(COUNTIFS($M$3:$M707,$M707,$O$3:$O707,$O707,$U$3:$U707,1,$P$3:$P707,"&gt;="&amp;EOMONTH($P707,-1)+1,$P$3:$P707,"&lt;"&amp;EOMONTH($P707,0)+1)=1,1,0),0)</f>
        <v>1</v>
      </c>
      <c r="W707" s="444">
        <f ca="1">TODAY()-Table1[[#This Row],[Change Date]]</f>
        <v>510.4194444444438</v>
      </c>
      <c r="X707" s="422" t="str">
        <f t="shared" ref="X707:X772" si="125">IFERROR(
IF(
COUNTIFS($M:$M,$M707,$P:$P,"&gt;"&amp;$P707)=0,
"",
_xlfn.MINIFS($P:$P,$M:$M,$M707,$P:$P,"&gt;"&amp;$P707)
),
""
)</f>
        <v/>
      </c>
      <c r="Y707" s="476">
        <f ca="1">IF(Table1[[#This Row],[Next Stage Date]]&lt;&gt;"",Table1[[#This Row],[Next Stage Date]]-Table1[[#This Row],[Change Date]],TODAY()-Table1[[#This Row],[Change Date]])</f>
        <v>510.4194444444438</v>
      </c>
      <c r="Z707" s="476">
        <f t="shared" ref="Z707:Z772" si="126">IF(P707=_xlfn.MAXIFS($P:$P,$M:$M,$M707),1,0)</f>
        <v>1</v>
      </c>
      <c r="AA707" s="422" t="str">
        <f t="shared" ref="AA707:AA772" si="127">IF(
COUNTIFS($M:$M,$M707,$C:$C,"Closed Won")=0,
"",
_xlfn.MINIFS($P:$P,$M:$M,$M707,$C:$C,"Closed Won")
)</f>
        <v/>
      </c>
      <c r="AB707" s="422" t="str">
        <f t="shared" ref="AB707:AB772" si="128">IF(
COUNTIFS($M:$M,$M707,$Q:$Q,1)=0,
"",
_xlfn.MINIFS($P:$P,$M:$M,$M707,$Q:$Q,1)
)</f>
        <v/>
      </c>
      <c r="AC707" s="476" t="str">
        <f t="shared" ref="AC707:AC770" si="129">IF(AB707&lt;&gt;"",AB707-I707,"")</f>
        <v/>
      </c>
      <c r="AD707" s="476" t="str">
        <f t="shared" ref="AD707:AD772" si="130">IF(AND(AB707&lt;&gt;"",AA707&lt;&gt;""),AA707-AB707,"")</f>
        <v/>
      </c>
      <c r="AE707" s="476" t="str">
        <f t="shared" ref="AE707:AE772" si="131">IF(AA707&lt;&gt;"",AA707-I707,"")</f>
        <v/>
      </c>
      <c r="AF707" s="476" t="b">
        <f>IFERROR(_xlfn.XLOOKUP(Table1[[#This Row],[Opportunity ID]],'Aging Detail'!$H$14:$H$20,'Aging Detail'!$F$14:$F$20),TRUE)</f>
        <v>1</v>
      </c>
    </row>
    <row r="708" spans="1:32">
      <c r="A708" t="s">
        <v>1461</v>
      </c>
      <c r="B708" t="s">
        <v>338</v>
      </c>
      <c r="C708" t="s">
        <v>1469</v>
      </c>
      <c r="D708" t="s">
        <v>3158</v>
      </c>
      <c r="E708" t="s">
        <v>2975</v>
      </c>
      <c r="I708" s="422">
        <v>45672</v>
      </c>
      <c r="J708" s="422">
        <v>46022</v>
      </c>
      <c r="K708">
        <v>0</v>
      </c>
      <c r="L708">
        <v>0</v>
      </c>
      <c r="M708" t="s">
        <v>2976</v>
      </c>
      <c r="N708" t="s">
        <v>1908</v>
      </c>
      <c r="O708" t="str">
        <f>_xlfn.IFNA(VLOOKUP(Table1[[#This Row],[Lead Source]],'helper tab'!A:B,2,FALSE),"Exclude")</f>
        <v>Exclude</v>
      </c>
      <c r="P708" s="422">
        <f t="shared" si="121"/>
        <v>45747.56527777778</v>
      </c>
      <c r="Q708">
        <f t="shared" si="122"/>
        <v>0</v>
      </c>
      <c r="R708">
        <f t="shared" si="123"/>
        <v>0</v>
      </c>
      <c r="S708">
        <f>IF(
AND($Q708=1,$M708&lt;&gt;""),
IF(
COUNTIFS(
$M$3:$M708,$M708,
$O$3:$O708,$O708,
$Q$3:$Q708,1,
$P$3:$P708,"&gt;="&amp;EOMONTH($P708,-1)+1,
$P$3:$P708,"&lt;"&amp;EOMONTH($P708,0)+1
)=1,
1,
0),
0)</f>
        <v>0</v>
      </c>
      <c r="T708">
        <f>IF(AND($R708=1,$M708&lt;&gt;""),IF(COUNTIFS($M$3:$M708,$M708,$O$3:$O708,$O708,$R$3:$R708,1,$P$3:$P708,"&gt;="&amp;EOMONTH($P708,-1)+1,$P$3:$P708,"&lt;"&amp;EOMONTH($P708,0)+1)=1,1,0),0)</f>
        <v>0</v>
      </c>
      <c r="U708">
        <f t="shared" si="124"/>
        <v>1</v>
      </c>
      <c r="V708">
        <f>IF(AND($U708=1,$M708&lt;&gt;""),IF(COUNTIFS($M$3:$M708,$M708,$O$3:$O708,$O708,$U$3:$U708,1,$P$3:$P708,"&gt;="&amp;EOMONTH($P708,-1)+1,$P$3:$P708,"&lt;"&amp;EOMONTH($P708,0)+1)=1,1,0),0)</f>
        <v>1</v>
      </c>
      <c r="W708" s="444">
        <f ca="1">TODAY()-Table1[[#This Row],[Change Date]]</f>
        <v>510.43472222222044</v>
      </c>
      <c r="X708" s="422">
        <f t="shared" si="125"/>
        <v>45825.291666666664</v>
      </c>
      <c r="Y708" s="476">
        <f ca="1">IF(Table1[[#This Row],[Next Stage Date]]&lt;&gt;"",Table1[[#This Row],[Next Stage Date]]-Table1[[#This Row],[Change Date]],TODAY()-Table1[[#This Row],[Change Date]])</f>
        <v>77.726388888884685</v>
      </c>
      <c r="Z708" s="476">
        <f t="shared" si="126"/>
        <v>0</v>
      </c>
      <c r="AA708" s="422" t="str">
        <f t="shared" si="127"/>
        <v/>
      </c>
      <c r="AB708" s="422" t="str">
        <f t="shared" si="128"/>
        <v/>
      </c>
      <c r="AC708" s="476" t="str">
        <f t="shared" si="129"/>
        <v/>
      </c>
      <c r="AD708" s="476" t="str">
        <f t="shared" si="130"/>
        <v/>
      </c>
      <c r="AE708" s="476" t="str">
        <f t="shared" si="131"/>
        <v/>
      </c>
      <c r="AF708" s="476" t="b">
        <f>IFERROR(_xlfn.XLOOKUP(Table1[[#This Row],[Opportunity ID]],'Aging Detail'!$H$14:$H$20,'Aging Detail'!$F$14:$F$20),TRUE)</f>
        <v>1</v>
      </c>
    </row>
    <row r="709" spans="1:32">
      <c r="A709" t="s">
        <v>1461</v>
      </c>
      <c r="B709" t="s">
        <v>408</v>
      </c>
      <c r="C709" t="s">
        <v>1469</v>
      </c>
      <c r="D709" t="s">
        <v>3159</v>
      </c>
      <c r="E709" t="s">
        <v>3160</v>
      </c>
      <c r="I709" s="422">
        <v>45528</v>
      </c>
      <c r="J709" s="422">
        <v>45992</v>
      </c>
      <c r="K709">
        <v>825000</v>
      </c>
      <c r="L709">
        <v>825000</v>
      </c>
      <c r="M709" t="s">
        <v>3161</v>
      </c>
      <c r="N709" t="s">
        <v>1691</v>
      </c>
      <c r="O709" t="str">
        <f>_xlfn.IFNA(VLOOKUP(Table1[[#This Row],[Lead Source]],'helper tab'!A:B,2,FALSE),"Exclude")</f>
        <v>Exclude</v>
      </c>
      <c r="P709" s="422">
        <f t="shared" si="121"/>
        <v>45747.564583333333</v>
      </c>
      <c r="Q709">
        <f t="shared" si="122"/>
        <v>0</v>
      </c>
      <c r="R709">
        <f t="shared" si="123"/>
        <v>0</v>
      </c>
      <c r="S709">
        <f>IF(
AND($Q709=1,$M709&lt;&gt;""),
IF(
COUNTIFS(
$M$3:$M709,$M709,
$O$3:$O709,$O709,
$Q$3:$Q709,1,
$P$3:$P709,"&gt;="&amp;EOMONTH($P709,-1)+1,
$P$3:$P709,"&lt;"&amp;EOMONTH($P709,0)+1
)=1,
1,
0),
0)</f>
        <v>0</v>
      </c>
      <c r="T709">
        <f>IF(AND($R709=1,$M709&lt;&gt;""),IF(COUNTIFS($M$3:$M709,$M709,$O$3:$O709,$O709,$R$3:$R709,1,$P$3:$P709,"&gt;="&amp;EOMONTH($P709,-1)+1,$P$3:$P709,"&lt;"&amp;EOMONTH($P709,0)+1)=1,1,0),0)</f>
        <v>0</v>
      </c>
      <c r="U709">
        <f t="shared" si="124"/>
        <v>1</v>
      </c>
      <c r="V709">
        <f>IF(AND($U709=1,$M709&lt;&gt;""),IF(COUNTIFS($M$3:$M709,$M709,$O$3:$O709,$O709,$U$3:$U709,1,$P$3:$P709,"&gt;="&amp;EOMONTH($P709,-1)+1,$P$3:$P709,"&lt;"&amp;EOMONTH($P709,0)+1)=1,1,0),0)</f>
        <v>1</v>
      </c>
      <c r="W709" s="444">
        <f ca="1">TODAY()-Table1[[#This Row],[Change Date]]</f>
        <v>510.43541666666715</v>
      </c>
      <c r="X709" s="422" t="str">
        <f t="shared" si="125"/>
        <v/>
      </c>
      <c r="Y709" s="476">
        <f ca="1">IF(Table1[[#This Row],[Next Stage Date]]&lt;&gt;"",Table1[[#This Row],[Next Stage Date]]-Table1[[#This Row],[Change Date]],TODAY()-Table1[[#This Row],[Change Date]])</f>
        <v>510.43541666666715</v>
      </c>
      <c r="Z709" s="476">
        <f t="shared" si="126"/>
        <v>1</v>
      </c>
      <c r="AA709" s="422" t="str">
        <f t="shared" si="127"/>
        <v/>
      </c>
      <c r="AB709" s="422" t="str">
        <f t="shared" si="128"/>
        <v/>
      </c>
      <c r="AC709" s="476" t="str">
        <f t="shared" si="129"/>
        <v/>
      </c>
      <c r="AD709" s="476" t="str">
        <f t="shared" si="130"/>
        <v/>
      </c>
      <c r="AE709" s="476" t="str">
        <f t="shared" si="131"/>
        <v/>
      </c>
      <c r="AF709" s="476" t="b">
        <f>IFERROR(_xlfn.XLOOKUP(Table1[[#This Row],[Opportunity ID]],'Aging Detail'!$H$14:$H$20,'Aging Detail'!$F$14:$F$20),TRUE)</f>
        <v>1</v>
      </c>
    </row>
    <row r="710" spans="1:32">
      <c r="A710" t="s">
        <v>1461</v>
      </c>
      <c r="B710" t="s">
        <v>526</v>
      </c>
      <c r="C710" t="s">
        <v>563</v>
      </c>
      <c r="D710" t="s">
        <v>3162</v>
      </c>
      <c r="E710" t="s">
        <v>3163</v>
      </c>
      <c r="I710" s="422">
        <v>45679</v>
      </c>
      <c r="J710" s="422">
        <v>45747</v>
      </c>
      <c r="K710">
        <v>243264</v>
      </c>
      <c r="L710">
        <v>243264</v>
      </c>
      <c r="M710" t="s">
        <v>3164</v>
      </c>
      <c r="N710" t="s">
        <v>1708</v>
      </c>
      <c r="O710" t="str">
        <f>_xlfn.IFNA(VLOOKUP(Table1[[#This Row],[Lead Source]],'helper tab'!A:B,2,FALSE),"Exclude")</f>
        <v>Exclude</v>
      </c>
      <c r="P710" s="422">
        <f t="shared" si="121"/>
        <v>45747.547222222223</v>
      </c>
      <c r="Q710">
        <f t="shared" si="122"/>
        <v>0</v>
      </c>
      <c r="R710">
        <f t="shared" si="123"/>
        <v>1</v>
      </c>
      <c r="S710">
        <f>IF(
AND($Q710=1,$M710&lt;&gt;""),
IF(
COUNTIFS(
$M$3:$M710,$M710,
$O$3:$O710,$O710,
$Q$3:$Q710,1,
$P$3:$P710,"&gt;="&amp;EOMONTH($P710,-1)+1,
$P$3:$P710,"&lt;"&amp;EOMONTH($P710,0)+1
)=1,
1,
0),
0)</f>
        <v>0</v>
      </c>
      <c r="T710">
        <f>IF(AND($R710=1,$M710&lt;&gt;""),IF(COUNTIFS($M$3:$M710,$M710,$O$3:$O710,$O710,$R$3:$R710,1,$P$3:$P710,"&gt;="&amp;EOMONTH($P710,-1)+1,$P$3:$P710,"&lt;"&amp;EOMONTH($P710,0)+1)=1,1,0),0)</f>
        <v>1</v>
      </c>
      <c r="U710">
        <f t="shared" si="124"/>
        <v>0</v>
      </c>
      <c r="V710">
        <f>IF(AND($U710=1,$M710&lt;&gt;""),IF(COUNTIFS($M$3:$M710,$M710,$O$3:$O710,$O710,$U$3:$U710,1,$P$3:$P710,"&gt;="&amp;EOMONTH($P710,-1)+1,$P$3:$P710,"&lt;"&amp;EOMONTH($P710,0)+1)=1,1,0),0)</f>
        <v>0</v>
      </c>
      <c r="W710" s="444">
        <f ca="1">TODAY()-Table1[[#This Row],[Change Date]]</f>
        <v>510.45277777777665</v>
      </c>
      <c r="X710" s="422" t="str">
        <f t="shared" si="125"/>
        <v/>
      </c>
      <c r="Y710" s="476">
        <f ca="1">IF(Table1[[#This Row],[Next Stage Date]]&lt;&gt;"",Table1[[#This Row],[Next Stage Date]]-Table1[[#This Row],[Change Date]],TODAY()-Table1[[#This Row],[Change Date]])</f>
        <v>510.45277777777665</v>
      </c>
      <c r="Z710" s="476">
        <f t="shared" si="126"/>
        <v>1</v>
      </c>
      <c r="AA710" s="422">
        <f t="shared" si="127"/>
        <v>45747.547222222223</v>
      </c>
      <c r="AB710" s="422">
        <f t="shared" si="128"/>
        <v>45740.232638888891</v>
      </c>
      <c r="AC710" s="476">
        <f t="shared" si="129"/>
        <v>61.232638888890506</v>
      </c>
      <c r="AD710" s="476">
        <f t="shared" si="130"/>
        <v>7.3145833333328483</v>
      </c>
      <c r="AE710" s="476">
        <f t="shared" si="131"/>
        <v>68.547222222223354</v>
      </c>
      <c r="AF710" s="476" t="b">
        <f>IFERROR(_xlfn.XLOOKUP(Table1[[#This Row],[Opportunity ID]],'Aging Detail'!$H$14:$H$20,'Aging Detail'!$F$14:$F$20),TRUE)</f>
        <v>1</v>
      </c>
    </row>
    <row r="711" spans="1:32">
      <c r="A711" t="s">
        <v>1461</v>
      </c>
      <c r="B711" t="s">
        <v>408</v>
      </c>
      <c r="C711" t="s">
        <v>1469</v>
      </c>
      <c r="D711" t="s">
        <v>3165</v>
      </c>
      <c r="E711" t="s">
        <v>3166</v>
      </c>
      <c r="F711" t="s">
        <v>1483</v>
      </c>
      <c r="I711" s="422">
        <v>45433</v>
      </c>
      <c r="J711" s="422">
        <v>46022</v>
      </c>
      <c r="K711">
        <v>775600</v>
      </c>
      <c r="L711">
        <v>435600</v>
      </c>
      <c r="M711" t="s">
        <v>3167</v>
      </c>
      <c r="N711" t="s">
        <v>3168</v>
      </c>
      <c r="O711" t="str">
        <f>_xlfn.IFNA(VLOOKUP(Table1[[#This Row],[Lead Source]],'helper tab'!A:B,2,FALSE),"Exclude")</f>
        <v>Cold</v>
      </c>
      <c r="P711" s="422">
        <f t="shared" si="121"/>
        <v>45747.524305555555</v>
      </c>
      <c r="Q711">
        <f t="shared" si="122"/>
        <v>0</v>
      </c>
      <c r="R711">
        <f t="shared" si="123"/>
        <v>0</v>
      </c>
      <c r="S711">
        <f>IF(
AND($Q711=1,$M711&lt;&gt;""),
IF(
COUNTIFS(
$M$3:$M711,$M711,
$O$3:$O711,$O711,
$Q$3:$Q711,1,
$P$3:$P711,"&gt;="&amp;EOMONTH($P711,-1)+1,
$P$3:$P711,"&lt;"&amp;EOMONTH($P711,0)+1
)=1,
1,
0),
0)</f>
        <v>0</v>
      </c>
      <c r="T711">
        <f>IF(AND($R711=1,$M711&lt;&gt;""),IF(COUNTIFS($M$3:$M711,$M711,$O$3:$O711,$O711,$R$3:$R711,1,$P$3:$P711,"&gt;="&amp;EOMONTH($P711,-1)+1,$P$3:$P711,"&lt;"&amp;EOMONTH($P711,0)+1)=1,1,0),0)</f>
        <v>0</v>
      </c>
      <c r="U711">
        <f t="shared" si="124"/>
        <v>1</v>
      </c>
      <c r="V711">
        <f>IF(AND($U711=1,$M711&lt;&gt;""),IF(COUNTIFS($M$3:$M711,$M711,$O$3:$O711,$O711,$U$3:$U711,1,$P$3:$P711,"&gt;="&amp;EOMONTH($P711,-1)+1,$P$3:$P711,"&lt;"&amp;EOMONTH($P711,0)+1)=1,1,0),0)</f>
        <v>1</v>
      </c>
      <c r="W711" s="444">
        <f ca="1">TODAY()-Table1[[#This Row],[Change Date]]</f>
        <v>510.47569444444525</v>
      </c>
      <c r="X711" s="422" t="str">
        <f t="shared" si="125"/>
        <v/>
      </c>
      <c r="Y711" s="476">
        <f ca="1">IF(Table1[[#This Row],[Next Stage Date]]&lt;&gt;"",Table1[[#This Row],[Next Stage Date]]-Table1[[#This Row],[Change Date]],TODAY()-Table1[[#This Row],[Change Date]])</f>
        <v>510.47569444444525</v>
      </c>
      <c r="Z711" s="476">
        <f t="shared" si="126"/>
        <v>1</v>
      </c>
      <c r="AA711" s="422" t="str">
        <f t="shared" si="127"/>
        <v/>
      </c>
      <c r="AB711" s="422" t="str">
        <f t="shared" si="128"/>
        <v/>
      </c>
      <c r="AC711" s="476" t="str">
        <f t="shared" si="129"/>
        <v/>
      </c>
      <c r="AD711" s="476" t="str">
        <f t="shared" si="130"/>
        <v/>
      </c>
      <c r="AE711" s="476" t="str">
        <f t="shared" si="131"/>
        <v/>
      </c>
      <c r="AF711" s="476" t="b">
        <f>IFERROR(_xlfn.XLOOKUP(Table1[[#This Row],[Opportunity ID]],'Aging Detail'!$H$14:$H$20,'Aging Detail'!$F$14:$F$20),TRUE)</f>
        <v>1</v>
      </c>
    </row>
    <row r="712" spans="1:32">
      <c r="A712" t="s">
        <v>1461</v>
      </c>
      <c r="B712" t="s">
        <v>338</v>
      </c>
      <c r="C712" t="s">
        <v>1469</v>
      </c>
      <c r="D712" t="s">
        <v>3169</v>
      </c>
      <c r="E712" t="s">
        <v>3170</v>
      </c>
      <c r="F712" t="s">
        <v>1486</v>
      </c>
      <c r="I712" s="422">
        <v>44858</v>
      </c>
      <c r="J712" s="422">
        <v>45930</v>
      </c>
      <c r="K712">
        <v>993400</v>
      </c>
      <c r="L712">
        <v>653400</v>
      </c>
      <c r="M712" t="s">
        <v>3171</v>
      </c>
      <c r="N712" t="s">
        <v>3170</v>
      </c>
      <c r="O712" t="str">
        <f>_xlfn.IFNA(VLOOKUP(Table1[[#This Row],[Lead Source]],'helper tab'!A:B,2,FALSE),"Exclude")</f>
        <v>Exclude</v>
      </c>
      <c r="P712" s="422">
        <f t="shared" si="121"/>
        <v>45747.370138888888</v>
      </c>
      <c r="Q712">
        <f t="shared" si="122"/>
        <v>0</v>
      </c>
      <c r="R712">
        <f t="shared" si="123"/>
        <v>0</v>
      </c>
      <c r="S712">
        <f>IF(
AND($Q712=1,$M712&lt;&gt;""),
IF(
COUNTIFS(
$M$3:$M712,$M712,
$O$3:$O712,$O712,
$Q$3:$Q712,1,
$P$3:$P712,"&gt;="&amp;EOMONTH($P712,-1)+1,
$P$3:$P712,"&lt;"&amp;EOMONTH($P712,0)+1
)=1,
1,
0),
0)</f>
        <v>0</v>
      </c>
      <c r="T712">
        <f>IF(AND($R712=1,$M712&lt;&gt;""),IF(COUNTIFS($M$3:$M712,$M712,$O$3:$O712,$O712,$R$3:$R712,1,$P$3:$P712,"&gt;="&amp;EOMONTH($P712,-1)+1,$P$3:$P712,"&lt;"&amp;EOMONTH($P712,0)+1)=1,1,0),0)</f>
        <v>0</v>
      </c>
      <c r="U712">
        <f t="shared" si="124"/>
        <v>1</v>
      </c>
      <c r="V712">
        <f>IF(AND($U712=1,$M712&lt;&gt;""),IF(COUNTIFS($M$3:$M712,$M712,$O$3:$O712,$O712,$U$3:$U712,1,$P$3:$P712,"&gt;="&amp;EOMONTH($P712,-1)+1,$P$3:$P712,"&lt;"&amp;EOMONTH($P712,0)+1)=1,1,0),0)</f>
        <v>1</v>
      </c>
      <c r="W712" s="444">
        <f ca="1">TODAY()-Table1[[#This Row],[Change Date]]</f>
        <v>510.6298611111124</v>
      </c>
      <c r="X712" s="422" t="str">
        <f t="shared" si="125"/>
        <v/>
      </c>
      <c r="Y712" s="476">
        <f ca="1">IF(Table1[[#This Row],[Next Stage Date]]&lt;&gt;"",Table1[[#This Row],[Next Stage Date]]-Table1[[#This Row],[Change Date]],TODAY()-Table1[[#This Row],[Change Date]])</f>
        <v>510.6298611111124</v>
      </c>
      <c r="Z712" s="476">
        <f t="shared" si="126"/>
        <v>1</v>
      </c>
      <c r="AA712" s="422" t="str">
        <f t="shared" si="127"/>
        <v/>
      </c>
      <c r="AB712" s="422" t="str">
        <f t="shared" si="128"/>
        <v/>
      </c>
      <c r="AC712" s="476" t="str">
        <f t="shared" si="129"/>
        <v/>
      </c>
      <c r="AD712" s="476" t="str">
        <f t="shared" si="130"/>
        <v/>
      </c>
      <c r="AE712" s="476" t="str">
        <f t="shared" si="131"/>
        <v/>
      </c>
      <c r="AF712" s="476" t="b">
        <f>IFERROR(_xlfn.XLOOKUP(Table1[[#This Row],[Opportunity ID]],'Aging Detail'!$H$14:$H$20,'Aging Detail'!$F$14:$F$20),TRUE)</f>
        <v>1</v>
      </c>
    </row>
    <row r="713" spans="1:32">
      <c r="A713" t="s">
        <v>1461</v>
      </c>
      <c r="B713" t="s">
        <v>462</v>
      </c>
      <c r="C713" t="s">
        <v>563</v>
      </c>
      <c r="D713" t="s">
        <v>3172</v>
      </c>
      <c r="E713" t="s">
        <v>3173</v>
      </c>
      <c r="I713" s="422">
        <v>45678</v>
      </c>
      <c r="J713" s="422">
        <v>45744</v>
      </c>
      <c r="L713">
        <v>0</v>
      </c>
      <c r="M713" t="s">
        <v>3174</v>
      </c>
      <c r="N713" t="s">
        <v>2239</v>
      </c>
      <c r="O713" t="str">
        <f>_xlfn.IFNA(VLOOKUP(Table1[[#This Row],[Lead Source]],'helper tab'!A:B,2,FALSE),"Exclude")</f>
        <v>Exclude</v>
      </c>
      <c r="P713" s="422">
        <f t="shared" si="121"/>
        <v>45744.479861111111</v>
      </c>
      <c r="Q713">
        <f t="shared" si="122"/>
        <v>0</v>
      </c>
      <c r="R713">
        <f t="shared" si="123"/>
        <v>1</v>
      </c>
      <c r="S713">
        <f>IF(
AND($Q713=1,$M713&lt;&gt;""),
IF(
COUNTIFS(
$M$3:$M713,$M713,
$O$3:$O713,$O713,
$Q$3:$Q713,1,
$P$3:$P713,"&gt;="&amp;EOMONTH($P713,-1)+1,
$P$3:$P713,"&lt;"&amp;EOMONTH($P713,0)+1
)=1,
1,
0),
0)</f>
        <v>0</v>
      </c>
      <c r="T713">
        <f>IF(AND($R713=1,$M713&lt;&gt;""),IF(COUNTIFS($M$3:$M713,$M713,$O$3:$O713,$O713,$R$3:$R713,1,$P$3:$P713,"&gt;="&amp;EOMONTH($P713,-1)+1,$P$3:$P713,"&lt;"&amp;EOMONTH($P713,0)+1)=1,1,0),0)</f>
        <v>1</v>
      </c>
      <c r="U713">
        <f t="shared" si="124"/>
        <v>0</v>
      </c>
      <c r="V713">
        <f>IF(AND($U713=1,$M713&lt;&gt;""),IF(COUNTIFS($M$3:$M713,$M713,$O$3:$O713,$O713,$U$3:$U713,1,$P$3:$P713,"&gt;="&amp;EOMONTH($P713,-1)+1,$P$3:$P713,"&lt;"&amp;EOMONTH($P713,0)+1)=1,1,0),0)</f>
        <v>0</v>
      </c>
      <c r="W713" s="444">
        <f ca="1">TODAY()-Table1[[#This Row],[Change Date]]</f>
        <v>513.52013888888905</v>
      </c>
      <c r="X713" s="422" t="str">
        <f t="shared" si="125"/>
        <v/>
      </c>
      <c r="Y713" s="476">
        <f ca="1">IF(Table1[[#This Row],[Next Stage Date]]&lt;&gt;"",Table1[[#This Row],[Next Stage Date]]-Table1[[#This Row],[Change Date]],TODAY()-Table1[[#This Row],[Change Date]])</f>
        <v>513.52013888888905</v>
      </c>
      <c r="Z713" s="476">
        <f t="shared" si="126"/>
        <v>1</v>
      </c>
      <c r="AA713" s="422">
        <f t="shared" si="127"/>
        <v>45744.479861111111</v>
      </c>
      <c r="AB713" s="422">
        <f t="shared" si="128"/>
        <v>45734.574305555558</v>
      </c>
      <c r="AC713" s="476">
        <f t="shared" si="129"/>
        <v>56.574305555557657</v>
      </c>
      <c r="AD713" s="476">
        <f t="shared" si="130"/>
        <v>9.9055555555532919</v>
      </c>
      <c r="AE713" s="476">
        <f t="shared" si="131"/>
        <v>66.479861111110949</v>
      </c>
      <c r="AF713" s="476" t="b">
        <f>IFERROR(_xlfn.XLOOKUP(Table1[[#This Row],[Opportunity ID]],'Aging Detail'!$H$14:$H$20,'Aging Detail'!$F$14:$F$20),TRUE)</f>
        <v>1</v>
      </c>
    </row>
    <row r="714" spans="1:32">
      <c r="A714" t="s">
        <v>1461</v>
      </c>
      <c r="B714" t="s">
        <v>1462</v>
      </c>
      <c r="C714" t="s">
        <v>462</v>
      </c>
      <c r="D714" t="s">
        <v>3175</v>
      </c>
      <c r="E714" t="s">
        <v>3012</v>
      </c>
      <c r="F714" t="s">
        <v>148</v>
      </c>
      <c r="I714" s="422">
        <v>45554</v>
      </c>
      <c r="J714" s="422">
        <v>45811</v>
      </c>
      <c r="K714">
        <v>50000</v>
      </c>
      <c r="L714">
        <v>50000</v>
      </c>
      <c r="M714" t="s">
        <v>3013</v>
      </c>
      <c r="N714" t="s">
        <v>1752</v>
      </c>
      <c r="O714" t="str">
        <f>_xlfn.IFNA(VLOOKUP(Table1[[#This Row],[Lead Source]],'helper tab'!A:B,2,FALSE),"Exclude")</f>
        <v>Alliances</v>
      </c>
      <c r="P714" s="422">
        <f t="shared" si="121"/>
        <v>45744.474305555559</v>
      </c>
      <c r="Q714">
        <f t="shared" si="122"/>
        <v>1</v>
      </c>
      <c r="R714">
        <f t="shared" si="123"/>
        <v>0</v>
      </c>
      <c r="S714">
        <f>IF(
AND($Q714=1,$M714&lt;&gt;""),
IF(
COUNTIFS(
$M$3:$M714,$M714,
$O$3:$O714,$O714,
$Q$3:$Q714,1,
$P$3:$P714,"&gt;="&amp;EOMONTH($P714,-1)+1,
$P$3:$P714,"&lt;"&amp;EOMONTH($P714,0)+1
)=1,
1,
0),
0)</f>
        <v>1</v>
      </c>
      <c r="T714">
        <f>IF(AND($R714=1,$M714&lt;&gt;""),IF(COUNTIFS($M$3:$M714,$M714,$O$3:$O714,$O714,$R$3:$R714,1,$P$3:$P714,"&gt;="&amp;EOMONTH($P714,-1)+1,$P$3:$P714,"&lt;"&amp;EOMONTH($P714,0)+1)=1,1,0),0)</f>
        <v>0</v>
      </c>
      <c r="U714">
        <f t="shared" si="124"/>
        <v>0</v>
      </c>
      <c r="V714">
        <f>IF(AND($U714=1,$M714&lt;&gt;""),IF(COUNTIFS($M$3:$M714,$M714,$O$3:$O714,$O714,$U$3:$U714,1,$P$3:$P714,"&gt;="&amp;EOMONTH($P714,-1)+1,$P$3:$P714,"&lt;"&amp;EOMONTH($P714,0)+1)=1,1,0),0)</f>
        <v>0</v>
      </c>
      <c r="W714" s="444">
        <f ca="1">TODAY()-Table1[[#This Row],[Change Date]]</f>
        <v>513.52569444444089</v>
      </c>
      <c r="X714" s="422">
        <f t="shared" si="125"/>
        <v>45786.505555555559</v>
      </c>
      <c r="Y714" s="476">
        <f ca="1">IF(Table1[[#This Row],[Next Stage Date]]&lt;&gt;"",Table1[[#This Row],[Next Stage Date]]-Table1[[#This Row],[Change Date]],TODAY()-Table1[[#This Row],[Change Date]])</f>
        <v>42.03125</v>
      </c>
      <c r="Z714" s="476">
        <f t="shared" si="126"/>
        <v>0</v>
      </c>
      <c r="AA714" s="422">
        <f t="shared" si="127"/>
        <v>45811.305555555555</v>
      </c>
      <c r="AB714" s="422">
        <f t="shared" si="128"/>
        <v>45744.474305555559</v>
      </c>
      <c r="AC714" s="476">
        <f t="shared" si="129"/>
        <v>190.47430555555911</v>
      </c>
      <c r="AD714" s="476">
        <f t="shared" si="130"/>
        <v>66.831249999995634</v>
      </c>
      <c r="AE714" s="476">
        <f t="shared" si="131"/>
        <v>257.30555555555475</v>
      </c>
      <c r="AF714" s="476" t="b">
        <f>IFERROR(_xlfn.XLOOKUP(Table1[[#This Row],[Opportunity ID]],'Aging Detail'!$H$14:$H$20,'Aging Detail'!$F$14:$F$20),TRUE)</f>
        <v>1</v>
      </c>
    </row>
    <row r="715" spans="1:32">
      <c r="A715" t="s">
        <v>1461</v>
      </c>
      <c r="B715" t="s">
        <v>408</v>
      </c>
      <c r="C715" t="s">
        <v>1462</v>
      </c>
      <c r="D715" t="s">
        <v>3176</v>
      </c>
      <c r="E715" t="s">
        <v>2846</v>
      </c>
      <c r="I715" s="422">
        <v>45735</v>
      </c>
      <c r="J715" s="422">
        <v>45930</v>
      </c>
      <c r="K715">
        <v>0</v>
      </c>
      <c r="L715">
        <v>0</v>
      </c>
      <c r="M715" t="s">
        <v>2847</v>
      </c>
      <c r="N715" t="s">
        <v>1684</v>
      </c>
      <c r="O715" t="str">
        <f>_xlfn.IFNA(VLOOKUP(Table1[[#This Row],[Lead Source]],'helper tab'!A:B,2,FALSE),"Exclude")</f>
        <v>Exclude</v>
      </c>
      <c r="P715" s="422">
        <f t="shared" si="121"/>
        <v>45744.452777777777</v>
      </c>
      <c r="Q715">
        <f t="shared" si="122"/>
        <v>0</v>
      </c>
      <c r="R715">
        <f t="shared" si="123"/>
        <v>0</v>
      </c>
      <c r="S715">
        <f>IF(
AND($Q715=1,$M715&lt;&gt;""),
IF(
COUNTIFS(
$M$3:$M715,$M715,
$O$3:$O715,$O715,
$Q$3:$Q715,1,
$P$3:$P715,"&gt;="&amp;EOMONTH($P715,-1)+1,
$P$3:$P715,"&lt;"&amp;EOMONTH($P715,0)+1
)=1,
1,
0),
0)</f>
        <v>0</v>
      </c>
      <c r="T715">
        <f>IF(AND($R715=1,$M715&lt;&gt;""),IF(COUNTIFS($M$3:$M715,$M715,$O$3:$O715,$O715,$R$3:$R715,1,$P$3:$P715,"&gt;="&amp;EOMONTH($P715,-1)+1,$P$3:$P715,"&lt;"&amp;EOMONTH($P715,0)+1)=1,1,0),0)</f>
        <v>0</v>
      </c>
      <c r="U715">
        <f t="shared" si="124"/>
        <v>0</v>
      </c>
      <c r="V715">
        <f>IF(AND($U715=1,$M715&lt;&gt;""),IF(COUNTIFS($M$3:$M715,$M715,$O$3:$O715,$O715,$U$3:$U715,1,$P$3:$P715,"&gt;="&amp;EOMONTH($P715,-1)+1,$P$3:$P715,"&lt;"&amp;EOMONTH($P715,0)+1)=1,1,0),0)</f>
        <v>0</v>
      </c>
      <c r="W715" s="444">
        <f ca="1">TODAY()-Table1[[#This Row],[Change Date]]</f>
        <v>513.54722222222335</v>
      </c>
      <c r="X715" s="422">
        <f t="shared" si="125"/>
        <v>45782.246527777781</v>
      </c>
      <c r="Y715" s="476">
        <f ca="1">IF(Table1[[#This Row],[Next Stage Date]]&lt;&gt;"",Table1[[#This Row],[Next Stage Date]]-Table1[[#This Row],[Change Date]],TODAY()-Table1[[#This Row],[Change Date]])</f>
        <v>37.793750000004366</v>
      </c>
      <c r="Z715" s="476">
        <f t="shared" si="126"/>
        <v>0</v>
      </c>
      <c r="AA715" s="422" t="str">
        <f t="shared" si="127"/>
        <v/>
      </c>
      <c r="AB715" s="422">
        <f t="shared" si="128"/>
        <v>45782.246527777781</v>
      </c>
      <c r="AC715" s="476">
        <f t="shared" si="129"/>
        <v>47.246527777781012</v>
      </c>
      <c r="AD715" s="476" t="str">
        <f t="shared" si="130"/>
        <v/>
      </c>
      <c r="AE715" s="476" t="str">
        <f t="shared" si="131"/>
        <v/>
      </c>
      <c r="AF715" s="476" t="b">
        <f>IFERROR(_xlfn.XLOOKUP(Table1[[#This Row],[Opportunity ID]],'Aging Detail'!$H$14:$H$20,'Aging Detail'!$F$14:$F$20),TRUE)</f>
        <v>1</v>
      </c>
    </row>
    <row r="716" spans="1:32">
      <c r="A716" t="s">
        <v>1461</v>
      </c>
      <c r="B716" t="s">
        <v>526</v>
      </c>
      <c r="C716" t="s">
        <v>563</v>
      </c>
      <c r="D716" t="s">
        <v>3177</v>
      </c>
      <c r="E716" t="s">
        <v>3178</v>
      </c>
      <c r="F716" t="s">
        <v>1465</v>
      </c>
      <c r="I716" s="422">
        <v>45586</v>
      </c>
      <c r="J716" s="422">
        <v>45677</v>
      </c>
      <c r="K716">
        <v>0</v>
      </c>
      <c r="L716">
        <v>0</v>
      </c>
      <c r="M716" t="s">
        <v>3179</v>
      </c>
      <c r="N716" t="s">
        <v>1646</v>
      </c>
      <c r="O716" t="str">
        <f>_xlfn.IFNA(VLOOKUP(Table1[[#This Row],[Lead Source]],'helper tab'!A:B,2,FALSE),"Exclude")</f>
        <v>Exclude</v>
      </c>
      <c r="P716" s="422">
        <f t="shared" si="121"/>
        <v>45744.40347222222</v>
      </c>
      <c r="Q716">
        <f t="shared" si="122"/>
        <v>0</v>
      </c>
      <c r="R716">
        <f t="shared" si="123"/>
        <v>1</v>
      </c>
      <c r="S716">
        <f>IF(
AND($Q716=1,$M716&lt;&gt;""),
IF(
COUNTIFS(
$M$3:$M716,$M716,
$O$3:$O716,$O716,
$Q$3:$Q716,1,
$P$3:$P716,"&gt;="&amp;EOMONTH($P716,-1)+1,
$P$3:$P716,"&lt;"&amp;EOMONTH($P716,0)+1
)=1,
1,
0),
0)</f>
        <v>0</v>
      </c>
      <c r="T716">
        <f>IF(AND($R716=1,$M716&lt;&gt;""),IF(COUNTIFS($M$3:$M716,$M716,$O$3:$O716,$O716,$R$3:$R716,1,$P$3:$P716,"&gt;="&amp;EOMONTH($P716,-1)+1,$P$3:$P716,"&lt;"&amp;EOMONTH($P716,0)+1)=1,1,0),0)</f>
        <v>1</v>
      </c>
      <c r="U716">
        <f t="shared" si="124"/>
        <v>0</v>
      </c>
      <c r="V716">
        <f>IF(AND($U716=1,$M716&lt;&gt;""),IF(COUNTIFS($M$3:$M716,$M716,$O$3:$O716,$O716,$U$3:$U716,1,$P$3:$P716,"&gt;="&amp;EOMONTH($P716,-1)+1,$P$3:$P716,"&lt;"&amp;EOMONTH($P716,0)+1)=1,1,0),0)</f>
        <v>0</v>
      </c>
      <c r="W716" s="444">
        <f ca="1">TODAY()-Table1[[#This Row],[Change Date]]</f>
        <v>513.59652777777956</v>
      </c>
      <c r="X716" s="422" t="str">
        <f t="shared" si="125"/>
        <v/>
      </c>
      <c r="Y716" s="476">
        <f ca="1">IF(Table1[[#This Row],[Next Stage Date]]&lt;&gt;"",Table1[[#This Row],[Next Stage Date]]-Table1[[#This Row],[Change Date]],TODAY()-Table1[[#This Row],[Change Date]])</f>
        <v>513.59652777777956</v>
      </c>
      <c r="Z716" s="476">
        <f t="shared" si="126"/>
        <v>1</v>
      </c>
      <c r="AA716" s="422">
        <f t="shared" si="127"/>
        <v>45744.40347222222</v>
      </c>
      <c r="AB716" s="422" t="str">
        <f t="shared" si="128"/>
        <v/>
      </c>
      <c r="AC716" s="476" t="str">
        <f t="shared" si="129"/>
        <v/>
      </c>
      <c r="AD716" s="476" t="str">
        <f t="shared" si="130"/>
        <v/>
      </c>
      <c r="AE716" s="476">
        <f t="shared" si="131"/>
        <v>158.40347222222044</v>
      </c>
      <c r="AF716" s="476" t="b">
        <f>IFERROR(_xlfn.XLOOKUP(Table1[[#This Row],[Opportunity ID]],'Aging Detail'!$H$14:$H$20,'Aging Detail'!$F$14:$F$20),TRUE)</f>
        <v>1</v>
      </c>
    </row>
    <row r="717" spans="1:32">
      <c r="A717" t="s">
        <v>1461</v>
      </c>
      <c r="B717" t="s">
        <v>338</v>
      </c>
      <c r="C717" t="s">
        <v>1469</v>
      </c>
      <c r="D717" t="s">
        <v>3180</v>
      </c>
      <c r="E717" t="s">
        <v>3181</v>
      </c>
      <c r="I717" s="422">
        <v>45660</v>
      </c>
      <c r="J717" s="422">
        <v>45931</v>
      </c>
      <c r="K717">
        <v>372000</v>
      </c>
      <c r="L717">
        <v>372000</v>
      </c>
      <c r="M717" t="s">
        <v>3182</v>
      </c>
      <c r="N717" t="s">
        <v>2503</v>
      </c>
      <c r="O717" t="str">
        <f>_xlfn.IFNA(VLOOKUP(Table1[[#This Row],[Lead Source]],'helper tab'!A:B,2,FALSE),"Exclude")</f>
        <v>Exclude</v>
      </c>
      <c r="P717" s="422">
        <f t="shared" si="121"/>
        <v>45744.263888888891</v>
      </c>
      <c r="Q717">
        <f t="shared" si="122"/>
        <v>0</v>
      </c>
      <c r="R717">
        <f t="shared" si="123"/>
        <v>0</v>
      </c>
      <c r="S717">
        <f>IF(
AND($Q717=1,$M717&lt;&gt;""),
IF(
COUNTIFS(
$M$3:$M717,$M717,
$O$3:$O717,$O717,
$Q$3:$Q717,1,
$P$3:$P717,"&gt;="&amp;EOMONTH($P717,-1)+1,
$P$3:$P717,"&lt;"&amp;EOMONTH($P717,0)+1
)=1,
1,
0),
0)</f>
        <v>0</v>
      </c>
      <c r="T717">
        <f>IF(AND($R717=1,$M717&lt;&gt;""),IF(COUNTIFS($M$3:$M717,$M717,$O$3:$O717,$O717,$R$3:$R717,1,$P$3:$P717,"&gt;="&amp;EOMONTH($P717,-1)+1,$P$3:$P717,"&lt;"&amp;EOMONTH($P717,0)+1)=1,1,0),0)</f>
        <v>0</v>
      </c>
      <c r="U717">
        <f t="shared" si="124"/>
        <v>1</v>
      </c>
      <c r="V717">
        <f>IF(AND($U717=1,$M717&lt;&gt;""),IF(COUNTIFS($M$3:$M717,$M717,$O$3:$O717,$O717,$U$3:$U717,1,$P$3:$P717,"&gt;="&amp;EOMONTH($P717,-1)+1,$P$3:$P717,"&lt;"&amp;EOMONTH($P717,0)+1)=1,1,0),0)</f>
        <v>1</v>
      </c>
      <c r="W717" s="444">
        <f ca="1">TODAY()-Table1[[#This Row],[Change Date]]</f>
        <v>513.73611111110949</v>
      </c>
      <c r="X717" s="422" t="str">
        <f t="shared" si="125"/>
        <v/>
      </c>
      <c r="Y717" s="476">
        <f ca="1">IF(Table1[[#This Row],[Next Stage Date]]&lt;&gt;"",Table1[[#This Row],[Next Stage Date]]-Table1[[#This Row],[Change Date]],TODAY()-Table1[[#This Row],[Change Date]])</f>
        <v>513.73611111110949</v>
      </c>
      <c r="Z717" s="476">
        <f t="shared" si="126"/>
        <v>1</v>
      </c>
      <c r="AA717" s="422" t="str">
        <f t="shared" si="127"/>
        <v/>
      </c>
      <c r="AB717" s="422" t="str">
        <f t="shared" si="128"/>
        <v/>
      </c>
      <c r="AC717" s="476" t="str">
        <f t="shared" si="129"/>
        <v/>
      </c>
      <c r="AD717" s="476" t="str">
        <f t="shared" si="130"/>
        <v/>
      </c>
      <c r="AE717" s="476" t="str">
        <f t="shared" si="131"/>
        <v/>
      </c>
      <c r="AF717" s="476" t="b">
        <f>IFERROR(_xlfn.XLOOKUP(Table1[[#This Row],[Opportunity ID]],'Aging Detail'!$H$14:$H$20,'Aging Detail'!$F$14:$F$20),TRUE)</f>
        <v>1</v>
      </c>
    </row>
    <row r="718" spans="1:32">
      <c r="A718" t="s">
        <v>1461</v>
      </c>
      <c r="B718" t="s">
        <v>338</v>
      </c>
      <c r="C718" t="s">
        <v>1462</v>
      </c>
      <c r="D718" t="s">
        <v>3183</v>
      </c>
      <c r="E718" t="s">
        <v>2250</v>
      </c>
      <c r="H718" t="s">
        <v>154</v>
      </c>
      <c r="I718" s="422">
        <v>45678</v>
      </c>
      <c r="J718" s="422">
        <v>46387</v>
      </c>
      <c r="K718">
        <v>0</v>
      </c>
      <c r="L718">
        <v>0</v>
      </c>
      <c r="M718" t="s">
        <v>2251</v>
      </c>
      <c r="N718" t="s">
        <v>1614</v>
      </c>
      <c r="O718" t="str">
        <f>_xlfn.IFNA(VLOOKUP(Table1[[#This Row],[Lead Source]],'helper tab'!A:B,2,FALSE),"Exclude")</f>
        <v>Exclude</v>
      </c>
      <c r="P718" s="422">
        <f t="shared" si="121"/>
        <v>45744.244444444441</v>
      </c>
      <c r="Q718">
        <f t="shared" si="122"/>
        <v>0</v>
      </c>
      <c r="R718">
        <f t="shared" si="123"/>
        <v>0</v>
      </c>
      <c r="S718">
        <f>IF(
AND($Q718=1,$M718&lt;&gt;""),
IF(
COUNTIFS(
$M$3:$M718,$M718,
$O$3:$O718,$O718,
$Q$3:$Q718,1,
$P$3:$P718,"&gt;="&amp;EOMONTH($P718,-1)+1,
$P$3:$P718,"&lt;"&amp;EOMONTH($P718,0)+1
)=1,
1,
0),
0)</f>
        <v>0</v>
      </c>
      <c r="T718">
        <f>IF(AND($R718=1,$M718&lt;&gt;""),IF(COUNTIFS($M$3:$M718,$M718,$O$3:$O718,$O718,$R$3:$R718,1,$P$3:$P718,"&gt;="&amp;EOMONTH($P718,-1)+1,$P$3:$P718,"&lt;"&amp;EOMONTH($P718,0)+1)=1,1,0),0)</f>
        <v>0</v>
      </c>
      <c r="U718">
        <f t="shared" si="124"/>
        <v>0</v>
      </c>
      <c r="V718">
        <f>IF(AND($U718=1,$M718&lt;&gt;""),IF(COUNTIFS($M$3:$M718,$M718,$O$3:$O718,$O718,$U$3:$U718,1,$P$3:$P718,"&gt;="&amp;EOMONTH($P718,-1)+1,$P$3:$P718,"&lt;"&amp;EOMONTH($P718,0)+1)=1,1,0),0)</f>
        <v>0</v>
      </c>
      <c r="W718" s="444">
        <f ca="1">TODAY()-Table1[[#This Row],[Change Date]]</f>
        <v>513.75555555555911</v>
      </c>
      <c r="X718" s="422">
        <f t="shared" si="125"/>
        <v>45782.24722222222</v>
      </c>
      <c r="Y718" s="476">
        <f ca="1">IF(Table1[[#This Row],[Next Stage Date]]&lt;&gt;"",Table1[[#This Row],[Next Stage Date]]-Table1[[#This Row],[Change Date]],TODAY()-Table1[[#This Row],[Change Date]])</f>
        <v>38.002777777779556</v>
      </c>
      <c r="Z718" s="476">
        <f t="shared" si="126"/>
        <v>0</v>
      </c>
      <c r="AA718" s="422" t="str">
        <f t="shared" si="127"/>
        <v/>
      </c>
      <c r="AB718" s="422">
        <f t="shared" si="128"/>
        <v>45782.24722222222</v>
      </c>
      <c r="AC718" s="476">
        <f t="shared" si="129"/>
        <v>104.24722222222044</v>
      </c>
      <c r="AD718" s="476" t="str">
        <f t="shared" si="130"/>
        <v/>
      </c>
      <c r="AE718" s="476" t="str">
        <f t="shared" si="131"/>
        <v/>
      </c>
      <c r="AF718" s="476" t="b">
        <f>IFERROR(_xlfn.XLOOKUP(Table1[[#This Row],[Opportunity ID]],'Aging Detail'!$H$14:$H$20,'Aging Detail'!$F$14:$F$20),TRUE)</f>
        <v>1</v>
      </c>
    </row>
    <row r="719" spans="1:32">
      <c r="A719" t="s">
        <v>1461</v>
      </c>
      <c r="B719" t="s">
        <v>526</v>
      </c>
      <c r="C719" t="s">
        <v>563</v>
      </c>
      <c r="D719" t="s">
        <v>3184</v>
      </c>
      <c r="E719" t="s">
        <v>3185</v>
      </c>
      <c r="F719" t="s">
        <v>470</v>
      </c>
      <c r="I719" s="422">
        <v>45597</v>
      </c>
      <c r="J719" s="422">
        <v>45741</v>
      </c>
      <c r="K719">
        <v>50000</v>
      </c>
      <c r="L719">
        <v>50000</v>
      </c>
      <c r="M719" t="s">
        <v>3186</v>
      </c>
      <c r="N719" t="s">
        <v>582</v>
      </c>
      <c r="O719" t="str">
        <f>_xlfn.IFNA(VLOOKUP(Table1[[#This Row],[Lead Source]],'helper tab'!A:B,2,FALSE),"Exclude")</f>
        <v>Digital</v>
      </c>
      <c r="P719" s="422">
        <f t="shared" si="121"/>
        <v>45741.595833333333</v>
      </c>
      <c r="Q719">
        <f t="shared" si="122"/>
        <v>0</v>
      </c>
      <c r="R719">
        <f t="shared" si="123"/>
        <v>1</v>
      </c>
      <c r="S719">
        <f>IF(
AND($Q719=1,$M719&lt;&gt;""),
IF(
COUNTIFS(
$M$3:$M719,$M719,
$O$3:$O719,$O719,
$Q$3:$Q719,1,
$P$3:$P719,"&gt;="&amp;EOMONTH($P719,-1)+1,
$P$3:$P719,"&lt;"&amp;EOMONTH($P719,0)+1
)=1,
1,
0),
0)</f>
        <v>0</v>
      </c>
      <c r="T719">
        <f>IF(AND($R719=1,$M719&lt;&gt;""),IF(COUNTIFS($M$3:$M719,$M719,$O$3:$O719,$O719,$R$3:$R719,1,$P$3:$P719,"&gt;="&amp;EOMONTH($P719,-1)+1,$P$3:$P719,"&lt;"&amp;EOMONTH($P719,0)+1)=1,1,0),0)</f>
        <v>1</v>
      </c>
      <c r="U719">
        <f t="shared" si="124"/>
        <v>0</v>
      </c>
      <c r="V719">
        <f>IF(AND($U719=1,$M719&lt;&gt;""),IF(COUNTIFS($M$3:$M719,$M719,$O$3:$O719,$O719,$U$3:$U719,1,$P$3:$P719,"&gt;="&amp;EOMONTH($P719,-1)+1,$P$3:$P719,"&lt;"&amp;EOMONTH($P719,0)+1)=1,1,0),0)</f>
        <v>0</v>
      </c>
      <c r="W719" s="444">
        <f ca="1">TODAY()-Table1[[#This Row],[Change Date]]</f>
        <v>516.40416666666715</v>
      </c>
      <c r="X719" s="422" t="str">
        <f t="shared" si="125"/>
        <v/>
      </c>
      <c r="Y719" s="476">
        <f ca="1">IF(Table1[[#This Row],[Next Stage Date]]&lt;&gt;"",Table1[[#This Row],[Next Stage Date]]-Table1[[#This Row],[Change Date]],TODAY()-Table1[[#This Row],[Change Date]])</f>
        <v>516.40416666666715</v>
      </c>
      <c r="Z719" s="476">
        <f t="shared" si="126"/>
        <v>1</v>
      </c>
      <c r="AA719" s="422">
        <f t="shared" si="127"/>
        <v>45741.595833333333</v>
      </c>
      <c r="AB719" s="422" t="str">
        <f t="shared" si="128"/>
        <v/>
      </c>
      <c r="AC719" s="476" t="str">
        <f t="shared" si="129"/>
        <v/>
      </c>
      <c r="AD719" s="476" t="str">
        <f t="shared" si="130"/>
        <v/>
      </c>
      <c r="AE719" s="476">
        <f t="shared" si="131"/>
        <v>144.59583333333285</v>
      </c>
      <c r="AF719" s="476" t="b">
        <f>IFERROR(_xlfn.XLOOKUP(Table1[[#This Row],[Opportunity ID]],'Aging Detail'!$H$14:$H$20,'Aging Detail'!$F$14:$F$20),TRUE)</f>
        <v>1</v>
      </c>
    </row>
    <row r="720" spans="1:32">
      <c r="A720" t="s">
        <v>1461</v>
      </c>
      <c r="B720" t="s">
        <v>462</v>
      </c>
      <c r="C720" t="s">
        <v>526</v>
      </c>
      <c r="D720" t="s">
        <v>3187</v>
      </c>
      <c r="E720" t="s">
        <v>525</v>
      </c>
      <c r="F720" t="s">
        <v>202</v>
      </c>
      <c r="G720" t="s">
        <v>29</v>
      </c>
      <c r="I720" s="422">
        <v>45420</v>
      </c>
      <c r="J720" s="422">
        <v>45911</v>
      </c>
      <c r="K720">
        <v>1642160</v>
      </c>
      <c r="L720">
        <v>576000</v>
      </c>
      <c r="M720" t="s">
        <v>2720</v>
      </c>
      <c r="N720" t="s">
        <v>516</v>
      </c>
      <c r="O720" t="str">
        <f>_xlfn.IFNA(VLOOKUP(Table1[[#This Row],[Lead Source]],'helper tab'!A:B,2,FALSE),"Exclude")</f>
        <v>Digital</v>
      </c>
      <c r="P720" s="422">
        <f t="shared" si="121"/>
        <v>45741.331250000003</v>
      </c>
      <c r="Q720">
        <f t="shared" si="122"/>
        <v>1</v>
      </c>
      <c r="R720">
        <f t="shared" si="123"/>
        <v>0</v>
      </c>
      <c r="S720">
        <f>IF(
AND($Q720=1,$M720&lt;&gt;""),
IF(
COUNTIFS(
$M$3:$M720,$M720,
$O$3:$O720,$O720,
$Q$3:$Q720,1,
$P$3:$P720,"&gt;="&amp;EOMONTH($P720,-1)+1,
$P$3:$P720,"&lt;"&amp;EOMONTH($P720,0)+1
)=1,
1,
0),
0)</f>
        <v>1</v>
      </c>
      <c r="T720">
        <f>IF(AND($R720=1,$M720&lt;&gt;""),IF(COUNTIFS($M$3:$M720,$M720,$O$3:$O720,$O720,$R$3:$R720,1,$P$3:$P720,"&gt;="&amp;EOMONTH($P720,-1)+1,$P$3:$P720,"&lt;"&amp;EOMONTH($P720,0)+1)=1,1,0),0)</f>
        <v>0</v>
      </c>
      <c r="U720">
        <f t="shared" si="124"/>
        <v>0</v>
      </c>
      <c r="V720">
        <f>IF(AND($U720=1,$M720&lt;&gt;""),IF(COUNTIFS($M$3:$M720,$M720,$O$3:$O720,$O720,$U$3:$U720,1,$P$3:$P720,"&gt;="&amp;EOMONTH($P720,-1)+1,$P$3:$P720,"&lt;"&amp;EOMONTH($P720,0)+1)=1,1,0),0)</f>
        <v>0</v>
      </c>
      <c r="W720" s="444">
        <f ca="1">TODAY()-Table1[[#This Row],[Change Date]]</f>
        <v>516.66874999999709</v>
      </c>
      <c r="X720" s="422">
        <f t="shared" si="125"/>
        <v>45925.305555555555</v>
      </c>
      <c r="Y720" s="476">
        <f ca="1">IF(Table1[[#This Row],[Next Stage Date]]&lt;&gt;"",Table1[[#This Row],[Next Stage Date]]-Table1[[#This Row],[Change Date]],TODAY()-Table1[[#This Row],[Change Date]])</f>
        <v>183.97430555555184</v>
      </c>
      <c r="Z720" s="476">
        <f t="shared" si="126"/>
        <v>0</v>
      </c>
      <c r="AA720" s="422">
        <f t="shared" si="127"/>
        <v>45925.305555555555</v>
      </c>
      <c r="AB720" s="422">
        <f t="shared" si="128"/>
        <v>45741.324305555558</v>
      </c>
      <c r="AC720" s="476">
        <f t="shared" si="129"/>
        <v>321.32430555555766</v>
      </c>
      <c r="AD720" s="476">
        <f t="shared" si="130"/>
        <v>183.98124999999709</v>
      </c>
      <c r="AE720" s="476">
        <f t="shared" si="131"/>
        <v>505.30555555555475</v>
      </c>
      <c r="AF720" s="476" t="b">
        <f>IFERROR(_xlfn.XLOOKUP(Table1[[#This Row],[Opportunity ID]],'Aging Detail'!$H$14:$H$20,'Aging Detail'!$F$14:$F$20),TRUE)</f>
        <v>1</v>
      </c>
    </row>
    <row r="721" spans="1:32">
      <c r="A721" t="s">
        <v>1461</v>
      </c>
      <c r="B721" t="s">
        <v>1462</v>
      </c>
      <c r="C721" t="s">
        <v>462</v>
      </c>
      <c r="D721" t="s">
        <v>3188</v>
      </c>
      <c r="E721" t="s">
        <v>525</v>
      </c>
      <c r="F721" t="s">
        <v>202</v>
      </c>
      <c r="G721" t="s">
        <v>29</v>
      </c>
      <c r="I721" s="422">
        <v>45420</v>
      </c>
      <c r="J721" s="422">
        <v>45911</v>
      </c>
      <c r="K721">
        <v>1642160</v>
      </c>
      <c r="L721">
        <v>576000</v>
      </c>
      <c r="M721" t="s">
        <v>2720</v>
      </c>
      <c r="N721" t="s">
        <v>516</v>
      </c>
      <c r="O721" t="str">
        <f>_xlfn.IFNA(VLOOKUP(Table1[[#This Row],[Lead Source]],'helper tab'!A:B,2,FALSE),"Exclude")</f>
        <v>Digital</v>
      </c>
      <c r="P721" s="422">
        <f t="shared" si="121"/>
        <v>45741.324305555558</v>
      </c>
      <c r="Q721">
        <f t="shared" si="122"/>
        <v>1</v>
      </c>
      <c r="R721">
        <f t="shared" si="123"/>
        <v>0</v>
      </c>
      <c r="S721">
        <f>IF(
AND($Q721=1,$M721&lt;&gt;""),
IF(
COUNTIFS(
$M$3:$M721,$M721,
$O$3:$O721,$O721,
$Q$3:$Q721,1,
$P$3:$P721,"&gt;="&amp;EOMONTH($P721,-1)+1,
$P$3:$P721,"&lt;"&amp;EOMONTH($P721,0)+1
)=1,
1,
0),
0)</f>
        <v>0</v>
      </c>
      <c r="T721">
        <f>IF(AND($R721=1,$M721&lt;&gt;""),IF(COUNTIFS($M$3:$M721,$M721,$O$3:$O721,$O721,$R$3:$R721,1,$P$3:$P721,"&gt;="&amp;EOMONTH($P721,-1)+1,$P$3:$P721,"&lt;"&amp;EOMONTH($P721,0)+1)=1,1,0),0)</f>
        <v>0</v>
      </c>
      <c r="U721">
        <f t="shared" si="124"/>
        <v>0</v>
      </c>
      <c r="V721">
        <f>IF(AND($U721=1,$M721&lt;&gt;""),IF(COUNTIFS($M$3:$M721,$M721,$O$3:$O721,$O721,$U$3:$U721,1,$P$3:$P721,"&gt;="&amp;EOMONTH($P721,-1)+1,$P$3:$P721,"&lt;"&amp;EOMONTH($P721,0)+1)=1,1,0),0)</f>
        <v>0</v>
      </c>
      <c r="W721" s="444">
        <f ca="1">TODAY()-Table1[[#This Row],[Change Date]]</f>
        <v>516.67569444444234</v>
      </c>
      <c r="X721" s="422">
        <f t="shared" si="125"/>
        <v>45741.331250000003</v>
      </c>
      <c r="Y721" s="476">
        <f ca="1">IF(Table1[[#This Row],[Next Stage Date]]&lt;&gt;"",Table1[[#This Row],[Next Stage Date]]-Table1[[#This Row],[Change Date]],TODAY()-Table1[[#This Row],[Change Date]])</f>
        <v>6.9444444452528842E-3</v>
      </c>
      <c r="Z721" s="476">
        <f t="shared" si="126"/>
        <v>0</v>
      </c>
      <c r="AA721" s="422">
        <f t="shared" si="127"/>
        <v>45925.305555555555</v>
      </c>
      <c r="AB721" s="422">
        <f t="shared" si="128"/>
        <v>45741.324305555558</v>
      </c>
      <c r="AC721" s="476">
        <f t="shared" si="129"/>
        <v>321.32430555555766</v>
      </c>
      <c r="AD721" s="476">
        <f t="shared" si="130"/>
        <v>183.98124999999709</v>
      </c>
      <c r="AE721" s="476">
        <f t="shared" si="131"/>
        <v>505.30555555555475</v>
      </c>
      <c r="AF721" s="476" t="b">
        <f>IFERROR(_xlfn.XLOOKUP(Table1[[#This Row],[Opportunity ID]],'Aging Detail'!$H$14:$H$20,'Aging Detail'!$F$14:$F$20),TRUE)</f>
        <v>1</v>
      </c>
    </row>
    <row r="722" spans="1:32">
      <c r="A722" t="s">
        <v>1461</v>
      </c>
      <c r="B722" t="s">
        <v>1462</v>
      </c>
      <c r="C722" t="s">
        <v>462</v>
      </c>
      <c r="D722" t="s">
        <v>3189</v>
      </c>
      <c r="E722" t="s">
        <v>3190</v>
      </c>
      <c r="F722" t="s">
        <v>1482</v>
      </c>
      <c r="H722" t="s">
        <v>157</v>
      </c>
      <c r="I722" s="422">
        <v>44874</v>
      </c>
      <c r="J722" s="422">
        <v>46387</v>
      </c>
      <c r="K722">
        <v>596510</v>
      </c>
      <c r="L722">
        <v>374010</v>
      </c>
      <c r="M722" t="s">
        <v>82</v>
      </c>
      <c r="N722" t="s">
        <v>1770</v>
      </c>
      <c r="O722" t="str">
        <f>_xlfn.IFNA(VLOOKUP(Table1[[#This Row],[Lead Source]],'helper tab'!A:B,2,FALSE),"Exclude")</f>
        <v>Digital</v>
      </c>
      <c r="P722" s="422">
        <f t="shared" si="121"/>
        <v>45740.460416666669</v>
      </c>
      <c r="Q722">
        <f t="shared" si="122"/>
        <v>1</v>
      </c>
      <c r="R722">
        <f t="shared" si="123"/>
        <v>0</v>
      </c>
      <c r="S722">
        <f>IF(
AND($Q722=1,$M722&lt;&gt;""),
IF(
COUNTIFS(
$M$3:$M722,$M722,
$O$3:$O722,$O722,
$Q$3:$Q722,1,
$P$3:$P722,"&gt;="&amp;EOMONTH($P722,-1)+1,
$P$3:$P722,"&lt;"&amp;EOMONTH($P722,0)+1
)=1,
1,
0),
0)</f>
        <v>1</v>
      </c>
      <c r="T722">
        <f>IF(AND($R722=1,$M722&lt;&gt;""),IF(COUNTIFS($M$3:$M722,$M722,$O$3:$O722,$O722,$R$3:$R722,1,$P$3:$P722,"&gt;="&amp;EOMONTH($P722,-1)+1,$P$3:$P722,"&lt;"&amp;EOMONTH($P722,0)+1)=1,1,0),0)</f>
        <v>0</v>
      </c>
      <c r="U722">
        <f t="shared" si="124"/>
        <v>0</v>
      </c>
      <c r="V722">
        <f>IF(AND($U722=1,$M722&lt;&gt;""),IF(COUNTIFS($M$3:$M722,$M722,$O$3:$O722,$O722,$U$3:$U722,1,$P$3:$P722,"&gt;="&amp;EOMONTH($P722,-1)+1,$P$3:$P722,"&lt;"&amp;EOMONTH($P722,0)+1)=1,1,0),0)</f>
        <v>0</v>
      </c>
      <c r="W722" s="444">
        <f ca="1">TODAY()-Table1[[#This Row],[Change Date]]</f>
        <v>517.53958333333139</v>
      </c>
      <c r="X722" s="422" t="str">
        <f t="shared" si="125"/>
        <v/>
      </c>
      <c r="Y722" s="476">
        <f ca="1">IF(Table1[[#This Row],[Next Stage Date]]&lt;&gt;"",Table1[[#This Row],[Next Stage Date]]-Table1[[#This Row],[Change Date]],TODAY()-Table1[[#This Row],[Change Date]])</f>
        <v>517.53958333333139</v>
      </c>
      <c r="Z722" s="476">
        <f t="shared" si="126"/>
        <v>1</v>
      </c>
      <c r="AA722" s="422" t="str">
        <f t="shared" si="127"/>
        <v/>
      </c>
      <c r="AB722" s="422">
        <f t="shared" si="128"/>
        <v>45740.460416666669</v>
      </c>
      <c r="AC722" s="476">
        <f t="shared" si="129"/>
        <v>866.46041666666861</v>
      </c>
      <c r="AD722" s="476" t="str">
        <f t="shared" si="130"/>
        <v/>
      </c>
      <c r="AE722" s="476" t="str">
        <f t="shared" si="131"/>
        <v/>
      </c>
      <c r="AF722" s="476" t="b">
        <f>IFERROR(_xlfn.XLOOKUP(Table1[[#This Row],[Opportunity ID]],'Aging Detail'!$H$14:$H$20,'Aging Detail'!$F$14:$F$20),TRUE)</f>
        <v>0</v>
      </c>
    </row>
    <row r="723" spans="1:32">
      <c r="A723" t="s">
        <v>1461</v>
      </c>
      <c r="B723" t="s">
        <v>408</v>
      </c>
      <c r="C723" t="s">
        <v>1469</v>
      </c>
      <c r="D723" t="s">
        <v>3191</v>
      </c>
      <c r="E723" t="s">
        <v>3192</v>
      </c>
      <c r="F723" t="s">
        <v>148</v>
      </c>
      <c r="I723" s="422">
        <v>45308</v>
      </c>
      <c r="J723" s="422">
        <v>45814</v>
      </c>
      <c r="K723">
        <v>576800</v>
      </c>
      <c r="L723">
        <v>316800</v>
      </c>
      <c r="M723" t="s">
        <v>3193</v>
      </c>
      <c r="N723" t="s">
        <v>2537</v>
      </c>
      <c r="O723" t="str">
        <f>_xlfn.IFNA(VLOOKUP(Table1[[#This Row],[Lead Source]],'helper tab'!A:B,2,FALSE),"Exclude")</f>
        <v>Alliances</v>
      </c>
      <c r="P723" s="422">
        <f t="shared" si="121"/>
        <v>45740.433333333334</v>
      </c>
      <c r="Q723">
        <f t="shared" si="122"/>
        <v>0</v>
      </c>
      <c r="R723">
        <f t="shared" si="123"/>
        <v>0</v>
      </c>
      <c r="S723">
        <f>IF(
AND($Q723=1,$M723&lt;&gt;""),
IF(
COUNTIFS(
$M$3:$M723,$M723,
$O$3:$O723,$O723,
$Q$3:$Q723,1,
$P$3:$P723,"&gt;="&amp;EOMONTH($P723,-1)+1,
$P$3:$P723,"&lt;"&amp;EOMONTH($P723,0)+1
)=1,
1,
0),
0)</f>
        <v>0</v>
      </c>
      <c r="T723">
        <f>IF(AND($R723=1,$M723&lt;&gt;""),IF(COUNTIFS($M$3:$M723,$M723,$O$3:$O723,$O723,$R$3:$R723,1,$P$3:$P723,"&gt;="&amp;EOMONTH($P723,-1)+1,$P$3:$P723,"&lt;"&amp;EOMONTH($P723,0)+1)=1,1,0),0)</f>
        <v>0</v>
      </c>
      <c r="U723">
        <f t="shared" si="124"/>
        <v>1</v>
      </c>
      <c r="V723">
        <f>IF(AND($U723=1,$M723&lt;&gt;""),IF(COUNTIFS($M$3:$M723,$M723,$O$3:$O723,$O723,$U$3:$U723,1,$P$3:$P723,"&gt;="&amp;EOMONTH($P723,-1)+1,$P$3:$P723,"&lt;"&amp;EOMONTH($P723,0)+1)=1,1,0),0)</f>
        <v>1</v>
      </c>
      <c r="W723" s="444">
        <f ca="1">TODAY()-Table1[[#This Row],[Change Date]]</f>
        <v>517.5666666666657</v>
      </c>
      <c r="X723" s="422" t="str">
        <f t="shared" si="125"/>
        <v/>
      </c>
      <c r="Y723" s="476">
        <f ca="1">IF(Table1[[#This Row],[Next Stage Date]]&lt;&gt;"",Table1[[#This Row],[Next Stage Date]]-Table1[[#This Row],[Change Date]],TODAY()-Table1[[#This Row],[Change Date]])</f>
        <v>517.5666666666657</v>
      </c>
      <c r="Z723" s="476">
        <f t="shared" si="126"/>
        <v>1</v>
      </c>
      <c r="AA723" s="422" t="str">
        <f t="shared" si="127"/>
        <v/>
      </c>
      <c r="AB723" s="422" t="str">
        <f t="shared" si="128"/>
        <v/>
      </c>
      <c r="AC723" s="476" t="str">
        <f t="shared" si="129"/>
        <v/>
      </c>
      <c r="AD723" s="476" t="str">
        <f t="shared" si="130"/>
        <v/>
      </c>
      <c r="AE723" s="476" t="str">
        <f t="shared" si="131"/>
        <v/>
      </c>
      <c r="AF723" s="476" t="b">
        <f>IFERROR(_xlfn.XLOOKUP(Table1[[#This Row],[Opportunity ID]],'Aging Detail'!$H$14:$H$20,'Aging Detail'!$F$14:$F$20),TRUE)</f>
        <v>1</v>
      </c>
    </row>
    <row r="724" spans="1:32">
      <c r="A724" t="s">
        <v>1461</v>
      </c>
      <c r="B724" t="s">
        <v>526</v>
      </c>
      <c r="C724" t="s">
        <v>563</v>
      </c>
      <c r="D724" t="s">
        <v>3194</v>
      </c>
      <c r="E724" t="s">
        <v>3195</v>
      </c>
      <c r="I724" s="422">
        <v>45363</v>
      </c>
      <c r="J724" s="422">
        <v>45737</v>
      </c>
      <c r="K724">
        <v>802994.62</v>
      </c>
      <c r="L724">
        <v>57930</v>
      </c>
      <c r="M724" t="s">
        <v>3196</v>
      </c>
      <c r="N724" t="s">
        <v>1646</v>
      </c>
      <c r="O724" t="str">
        <f>_xlfn.IFNA(VLOOKUP(Table1[[#This Row],[Lead Source]],'helper tab'!A:B,2,FALSE),"Exclude")</f>
        <v>Exclude</v>
      </c>
      <c r="P724" s="422">
        <f t="shared" si="121"/>
        <v>45740.3125</v>
      </c>
      <c r="Q724">
        <f t="shared" si="122"/>
        <v>0</v>
      </c>
      <c r="R724">
        <f t="shared" si="123"/>
        <v>1</v>
      </c>
      <c r="S724">
        <f>IF(
AND($Q724=1,$M724&lt;&gt;""),
IF(
COUNTIFS(
$M$3:$M724,$M724,
$O$3:$O724,$O724,
$Q$3:$Q724,1,
$P$3:$P724,"&gt;="&amp;EOMONTH($P724,-1)+1,
$P$3:$P724,"&lt;"&amp;EOMONTH($P724,0)+1
)=1,
1,
0),
0)</f>
        <v>0</v>
      </c>
      <c r="T724">
        <f>IF(AND($R724=1,$M724&lt;&gt;""),IF(COUNTIFS($M$3:$M724,$M724,$O$3:$O724,$O724,$R$3:$R724,1,$P$3:$P724,"&gt;="&amp;EOMONTH($P724,-1)+1,$P$3:$P724,"&lt;"&amp;EOMONTH($P724,0)+1)=1,1,0),0)</f>
        <v>1</v>
      </c>
      <c r="U724">
        <f t="shared" si="124"/>
        <v>0</v>
      </c>
      <c r="V724">
        <f>IF(AND($U724=1,$M724&lt;&gt;""),IF(COUNTIFS($M$3:$M724,$M724,$O$3:$O724,$O724,$U$3:$U724,1,$P$3:$P724,"&gt;="&amp;EOMONTH($P724,-1)+1,$P$3:$P724,"&lt;"&amp;EOMONTH($P724,0)+1)=1,1,0),0)</f>
        <v>0</v>
      </c>
      <c r="W724" s="444">
        <f ca="1">TODAY()-Table1[[#This Row],[Change Date]]</f>
        <v>517.6875</v>
      </c>
      <c r="X724" s="422" t="str">
        <f t="shared" si="125"/>
        <v/>
      </c>
      <c r="Y724" s="476">
        <f ca="1">IF(Table1[[#This Row],[Next Stage Date]]&lt;&gt;"",Table1[[#This Row],[Next Stage Date]]-Table1[[#This Row],[Change Date]],TODAY()-Table1[[#This Row],[Change Date]])</f>
        <v>517.6875</v>
      </c>
      <c r="Z724" s="476">
        <f t="shared" si="126"/>
        <v>1</v>
      </c>
      <c r="AA724" s="422">
        <f t="shared" si="127"/>
        <v>45740.3125</v>
      </c>
      <c r="AB724" s="422">
        <f t="shared" si="128"/>
        <v>45737.382638888892</v>
      </c>
      <c r="AC724" s="476">
        <f t="shared" si="129"/>
        <v>374.38263888889196</v>
      </c>
      <c r="AD724" s="476">
        <f t="shared" si="130"/>
        <v>2.929861111108039</v>
      </c>
      <c r="AE724" s="476">
        <f t="shared" si="131"/>
        <v>377.3125</v>
      </c>
      <c r="AF724" s="476" t="b">
        <f>IFERROR(_xlfn.XLOOKUP(Table1[[#This Row],[Opportunity ID]],'Aging Detail'!$H$14:$H$20,'Aging Detail'!$F$14:$F$20),TRUE)</f>
        <v>1</v>
      </c>
    </row>
    <row r="725" spans="1:32">
      <c r="A725" t="s">
        <v>1461</v>
      </c>
      <c r="B725" t="s">
        <v>462</v>
      </c>
      <c r="C725" t="s">
        <v>1469</v>
      </c>
      <c r="D725" t="s">
        <v>3197</v>
      </c>
      <c r="E725" t="s">
        <v>3198</v>
      </c>
      <c r="F725" t="s">
        <v>1484</v>
      </c>
      <c r="I725" s="422">
        <v>45649</v>
      </c>
      <c r="J725" s="422">
        <v>45838</v>
      </c>
      <c r="K725">
        <v>27144</v>
      </c>
      <c r="L725">
        <v>0</v>
      </c>
      <c r="M725" t="s">
        <v>3199</v>
      </c>
      <c r="N725" t="s">
        <v>1634</v>
      </c>
      <c r="O725" t="str">
        <f>_xlfn.IFNA(VLOOKUP(Table1[[#This Row],[Lead Source]],'helper tab'!A:B,2,FALSE),"Exclude")</f>
        <v>Exclude</v>
      </c>
      <c r="P725" s="422">
        <f t="shared" si="121"/>
        <v>45740.268750000003</v>
      </c>
      <c r="Q725">
        <f t="shared" si="122"/>
        <v>0</v>
      </c>
      <c r="R725">
        <f t="shared" si="123"/>
        <v>0</v>
      </c>
      <c r="S725">
        <f>IF(
AND($Q725=1,$M725&lt;&gt;""),
IF(
COUNTIFS(
$M$3:$M725,$M725,
$O$3:$O725,$O725,
$Q$3:$Q725,1,
$P$3:$P725,"&gt;="&amp;EOMONTH($P725,-1)+1,
$P$3:$P725,"&lt;"&amp;EOMONTH($P725,0)+1
)=1,
1,
0),
0)</f>
        <v>0</v>
      </c>
      <c r="T725">
        <f>IF(AND($R725=1,$M725&lt;&gt;""),IF(COUNTIFS($M$3:$M725,$M725,$O$3:$O725,$O725,$R$3:$R725,1,$P$3:$P725,"&gt;="&amp;EOMONTH($P725,-1)+1,$P$3:$P725,"&lt;"&amp;EOMONTH($P725,0)+1)=1,1,0),0)</f>
        <v>0</v>
      </c>
      <c r="U725">
        <f t="shared" si="124"/>
        <v>1</v>
      </c>
      <c r="V725">
        <f>IF(AND($U725=1,$M725&lt;&gt;""),IF(COUNTIFS($M$3:$M725,$M725,$O$3:$O725,$O725,$U$3:$U725,1,$P$3:$P725,"&gt;="&amp;EOMONTH($P725,-1)+1,$P$3:$P725,"&lt;"&amp;EOMONTH($P725,0)+1)=1,1,0),0)</f>
        <v>1</v>
      </c>
      <c r="W725" s="444">
        <f ca="1">TODAY()-Table1[[#This Row],[Change Date]]</f>
        <v>517.73124999999709</v>
      </c>
      <c r="X725" s="422" t="str">
        <f t="shared" si="125"/>
        <v/>
      </c>
      <c r="Y725" s="476">
        <f ca="1">IF(Table1[[#This Row],[Next Stage Date]]&lt;&gt;"",Table1[[#This Row],[Next Stage Date]]-Table1[[#This Row],[Change Date]],TODAY()-Table1[[#This Row],[Change Date]])</f>
        <v>517.73124999999709</v>
      </c>
      <c r="Z725" s="476">
        <f t="shared" si="126"/>
        <v>1</v>
      </c>
      <c r="AA725" s="422" t="str">
        <f t="shared" si="127"/>
        <v/>
      </c>
      <c r="AB725" s="422" t="str">
        <f t="shared" si="128"/>
        <v/>
      </c>
      <c r="AC725" s="476" t="str">
        <f t="shared" si="129"/>
        <v/>
      </c>
      <c r="AD725" s="476" t="str">
        <f t="shared" si="130"/>
        <v/>
      </c>
      <c r="AE725" s="476" t="str">
        <f t="shared" si="131"/>
        <v/>
      </c>
      <c r="AF725" s="476" t="b">
        <f>IFERROR(_xlfn.XLOOKUP(Table1[[#This Row],[Opportunity ID]],'Aging Detail'!$H$14:$H$20,'Aging Detail'!$F$14:$F$20),TRUE)</f>
        <v>1</v>
      </c>
    </row>
    <row r="726" spans="1:32">
      <c r="A726" t="s">
        <v>1461</v>
      </c>
      <c r="B726" t="s">
        <v>462</v>
      </c>
      <c r="C726" t="s">
        <v>526</v>
      </c>
      <c r="D726" t="s">
        <v>3200</v>
      </c>
      <c r="E726" t="s">
        <v>3163</v>
      </c>
      <c r="I726" s="422">
        <v>45679</v>
      </c>
      <c r="J726" s="422">
        <v>45747</v>
      </c>
      <c r="K726">
        <v>243264</v>
      </c>
      <c r="L726">
        <v>243264</v>
      </c>
      <c r="M726" t="s">
        <v>3164</v>
      </c>
      <c r="N726" t="s">
        <v>1708</v>
      </c>
      <c r="O726" t="str">
        <f>_xlfn.IFNA(VLOOKUP(Table1[[#This Row],[Lead Source]],'helper tab'!A:B,2,FALSE),"Exclude")</f>
        <v>Exclude</v>
      </c>
      <c r="P726" s="422">
        <f t="shared" si="121"/>
        <v>45740.232638888891</v>
      </c>
      <c r="Q726">
        <f t="shared" si="122"/>
        <v>1</v>
      </c>
      <c r="R726">
        <f t="shared" si="123"/>
        <v>0</v>
      </c>
      <c r="S726">
        <f>IF(
AND($Q726=1,$M726&lt;&gt;""),
IF(
COUNTIFS(
$M$3:$M726,$M726,
$O$3:$O726,$O726,
$Q$3:$Q726,1,
$P$3:$P726,"&gt;="&amp;EOMONTH($P726,-1)+1,
$P$3:$P726,"&lt;"&amp;EOMONTH($P726,0)+1
)=1,
1,
0),
0)</f>
        <v>1</v>
      </c>
      <c r="T726">
        <f>IF(AND($R726=1,$M726&lt;&gt;""),IF(COUNTIFS($M$3:$M726,$M726,$O$3:$O726,$O726,$R$3:$R726,1,$P$3:$P726,"&gt;="&amp;EOMONTH($P726,-1)+1,$P$3:$P726,"&lt;"&amp;EOMONTH($P726,0)+1)=1,1,0),0)</f>
        <v>0</v>
      </c>
      <c r="U726">
        <f t="shared" si="124"/>
        <v>0</v>
      </c>
      <c r="V726">
        <f>IF(AND($U726=1,$M726&lt;&gt;""),IF(COUNTIFS($M$3:$M726,$M726,$O$3:$O726,$O726,$U$3:$U726,1,$P$3:$P726,"&gt;="&amp;EOMONTH($P726,-1)+1,$P$3:$P726,"&lt;"&amp;EOMONTH($P726,0)+1)=1,1,0),0)</f>
        <v>0</v>
      </c>
      <c r="W726" s="444">
        <f ca="1">TODAY()-Table1[[#This Row],[Change Date]]</f>
        <v>517.76736111110949</v>
      </c>
      <c r="X726" s="422">
        <f t="shared" si="125"/>
        <v>45747.547222222223</v>
      </c>
      <c r="Y726" s="476">
        <f ca="1">IF(Table1[[#This Row],[Next Stage Date]]&lt;&gt;"",Table1[[#This Row],[Next Stage Date]]-Table1[[#This Row],[Change Date]],TODAY()-Table1[[#This Row],[Change Date]])</f>
        <v>7.3145833333328483</v>
      </c>
      <c r="Z726" s="476">
        <f t="shared" si="126"/>
        <v>0</v>
      </c>
      <c r="AA726" s="422">
        <f t="shared" si="127"/>
        <v>45747.547222222223</v>
      </c>
      <c r="AB726" s="422">
        <f t="shared" si="128"/>
        <v>45740.232638888891</v>
      </c>
      <c r="AC726" s="476">
        <f t="shared" si="129"/>
        <v>61.232638888890506</v>
      </c>
      <c r="AD726" s="476">
        <f t="shared" si="130"/>
        <v>7.3145833333328483</v>
      </c>
      <c r="AE726" s="476">
        <f t="shared" si="131"/>
        <v>68.547222222223354</v>
      </c>
      <c r="AF726" s="476" t="b">
        <f>IFERROR(_xlfn.XLOOKUP(Table1[[#This Row],[Opportunity ID]],'Aging Detail'!$H$14:$H$20,'Aging Detail'!$F$14:$F$20),TRUE)</f>
        <v>1</v>
      </c>
    </row>
    <row r="727" spans="1:32">
      <c r="A727" t="s">
        <v>1461</v>
      </c>
      <c r="B727" t="s">
        <v>462</v>
      </c>
      <c r="C727" t="s">
        <v>526</v>
      </c>
      <c r="D727" t="s">
        <v>3201</v>
      </c>
      <c r="E727" t="s">
        <v>3110</v>
      </c>
      <c r="F727" t="s">
        <v>148</v>
      </c>
      <c r="H727" t="s">
        <v>154</v>
      </c>
      <c r="I727" s="422">
        <v>45313</v>
      </c>
      <c r="J727" s="422">
        <v>45770</v>
      </c>
      <c r="K727">
        <v>214000</v>
      </c>
      <c r="L727">
        <v>73000</v>
      </c>
      <c r="M727" t="s">
        <v>3111</v>
      </c>
      <c r="N727" t="s">
        <v>592</v>
      </c>
      <c r="O727" t="str">
        <f>_xlfn.IFNA(VLOOKUP(Table1[[#This Row],[Lead Source]],'helper tab'!A:B,2,FALSE),"Exclude")</f>
        <v>Alliances</v>
      </c>
      <c r="P727" s="422">
        <f t="shared" si="121"/>
        <v>45738.347916666666</v>
      </c>
      <c r="Q727">
        <f t="shared" si="122"/>
        <v>1</v>
      </c>
      <c r="R727">
        <f t="shared" si="123"/>
        <v>0</v>
      </c>
      <c r="S727">
        <f>IF(
AND($Q727=1,$M727&lt;&gt;""),
IF(
COUNTIFS(
$M$3:$M727,$M727,
$O$3:$O727,$O727,
$Q$3:$Q727,1,
$P$3:$P727,"&gt;="&amp;EOMONTH($P727,-1)+1,
$P$3:$P727,"&lt;"&amp;EOMONTH($P727,0)+1
)=1,
1,
0),
0)</f>
        <v>1</v>
      </c>
      <c r="T727">
        <f>IF(AND($R727=1,$M727&lt;&gt;""),IF(COUNTIFS($M$3:$M727,$M727,$O$3:$O727,$O727,$R$3:$R727,1,$P$3:$P727,"&gt;="&amp;EOMONTH($P727,-1)+1,$P$3:$P727,"&lt;"&amp;EOMONTH($P727,0)+1)=1,1,0),0)</f>
        <v>0</v>
      </c>
      <c r="U727">
        <f t="shared" si="124"/>
        <v>0</v>
      </c>
      <c r="V727">
        <f>IF(AND($U727=1,$M727&lt;&gt;""),IF(COUNTIFS($M$3:$M727,$M727,$O$3:$O727,$O727,$U$3:$U727,1,$P$3:$P727,"&gt;="&amp;EOMONTH($P727,-1)+1,$P$3:$P727,"&lt;"&amp;EOMONTH($P727,0)+1)=1,1,0),0)</f>
        <v>0</v>
      </c>
      <c r="W727" s="444">
        <f ca="1">TODAY()-Table1[[#This Row],[Change Date]]</f>
        <v>519.6520833333343</v>
      </c>
      <c r="X727" s="422">
        <f t="shared" si="125"/>
        <v>45770.268055555556</v>
      </c>
      <c r="Y727" s="476">
        <f ca="1">IF(Table1[[#This Row],[Next Stage Date]]&lt;&gt;"",Table1[[#This Row],[Next Stage Date]]-Table1[[#This Row],[Change Date]],TODAY()-Table1[[#This Row],[Change Date]])</f>
        <v>31.920138888890506</v>
      </c>
      <c r="Z727" s="476">
        <f t="shared" si="126"/>
        <v>0</v>
      </c>
      <c r="AA727" s="422">
        <f t="shared" si="127"/>
        <v>45770.268055555556</v>
      </c>
      <c r="AB727" s="422">
        <f t="shared" si="128"/>
        <v>45695.325694444444</v>
      </c>
      <c r="AC727" s="476">
        <f t="shared" si="129"/>
        <v>382.3256944444438</v>
      </c>
      <c r="AD727" s="476">
        <f t="shared" si="130"/>
        <v>74.942361111112405</v>
      </c>
      <c r="AE727" s="476">
        <f t="shared" si="131"/>
        <v>457.2680555555562</v>
      </c>
      <c r="AF727" s="476" t="b">
        <f>IFERROR(_xlfn.XLOOKUP(Table1[[#This Row],[Opportunity ID]],'Aging Detail'!$H$14:$H$20,'Aging Detail'!$F$14:$F$20),TRUE)</f>
        <v>1</v>
      </c>
    </row>
    <row r="728" spans="1:32">
      <c r="A728" t="s">
        <v>1461</v>
      </c>
      <c r="B728" t="s">
        <v>526</v>
      </c>
      <c r="C728" t="s">
        <v>563</v>
      </c>
      <c r="D728" t="s">
        <v>3202</v>
      </c>
      <c r="E728" t="s">
        <v>3203</v>
      </c>
      <c r="F728" t="s">
        <v>1484</v>
      </c>
      <c r="I728" s="422">
        <v>45512</v>
      </c>
      <c r="J728" s="422">
        <v>45737</v>
      </c>
      <c r="K728">
        <v>21171500</v>
      </c>
      <c r="L728">
        <v>5827990</v>
      </c>
      <c r="M728" t="s">
        <v>3204</v>
      </c>
      <c r="N728" t="s">
        <v>2239</v>
      </c>
      <c r="O728" t="str">
        <f>_xlfn.IFNA(VLOOKUP(Table1[[#This Row],[Lead Source]],'helper tab'!A:B,2,FALSE),"Exclude")</f>
        <v>Exclude</v>
      </c>
      <c r="P728" s="422">
        <f t="shared" si="121"/>
        <v>45737.479861111111</v>
      </c>
      <c r="Q728">
        <f t="shared" si="122"/>
        <v>0</v>
      </c>
      <c r="R728">
        <f t="shared" si="123"/>
        <v>1</v>
      </c>
      <c r="S728">
        <f>IF(
AND($Q728=1,$M728&lt;&gt;""),
IF(
COUNTIFS(
$M$3:$M728,$M728,
$O$3:$O728,$O728,
$Q$3:$Q728,1,
$P$3:$P728,"&gt;="&amp;EOMONTH($P728,-1)+1,
$P$3:$P728,"&lt;"&amp;EOMONTH($P728,0)+1
)=1,
1,
0),
0)</f>
        <v>0</v>
      </c>
      <c r="T728">
        <f>IF(AND($R728=1,$M728&lt;&gt;""),IF(COUNTIFS($M$3:$M728,$M728,$O$3:$O728,$O728,$R$3:$R728,1,$P$3:$P728,"&gt;="&amp;EOMONTH($P728,-1)+1,$P$3:$P728,"&lt;"&amp;EOMONTH($P728,0)+1)=1,1,0),0)</f>
        <v>1</v>
      </c>
      <c r="U728">
        <f t="shared" si="124"/>
        <v>0</v>
      </c>
      <c r="V728">
        <f>IF(AND($U728=1,$M728&lt;&gt;""),IF(COUNTIFS($M$3:$M728,$M728,$O$3:$O728,$O728,$U$3:$U728,1,$P$3:$P728,"&gt;="&amp;EOMONTH($P728,-1)+1,$P$3:$P728,"&lt;"&amp;EOMONTH($P728,0)+1)=1,1,0),0)</f>
        <v>0</v>
      </c>
      <c r="W728" s="444">
        <f ca="1">TODAY()-Table1[[#This Row],[Change Date]]</f>
        <v>520.52013888888905</v>
      </c>
      <c r="X728" s="422" t="str">
        <f t="shared" si="125"/>
        <v/>
      </c>
      <c r="Y728" s="476">
        <f ca="1">IF(Table1[[#This Row],[Next Stage Date]]&lt;&gt;"",Table1[[#This Row],[Next Stage Date]]-Table1[[#This Row],[Change Date]],TODAY()-Table1[[#This Row],[Change Date]])</f>
        <v>520.52013888888905</v>
      </c>
      <c r="Z728" s="476">
        <f t="shared" si="126"/>
        <v>1</v>
      </c>
      <c r="AA728" s="422">
        <f t="shared" si="127"/>
        <v>45737.479861111111</v>
      </c>
      <c r="AB728" s="422" t="str">
        <f t="shared" si="128"/>
        <v/>
      </c>
      <c r="AC728" s="476" t="str">
        <f t="shared" si="129"/>
        <v/>
      </c>
      <c r="AD728" s="476" t="str">
        <f t="shared" si="130"/>
        <v/>
      </c>
      <c r="AE728" s="476">
        <f t="shared" si="131"/>
        <v>225.47986111111095</v>
      </c>
      <c r="AF728" s="476" t="b">
        <f>IFERROR(_xlfn.XLOOKUP(Table1[[#This Row],[Opportunity ID]],'Aging Detail'!$H$14:$H$20,'Aging Detail'!$F$14:$F$20),TRUE)</f>
        <v>1</v>
      </c>
    </row>
    <row r="729" spans="1:32">
      <c r="A729" t="s">
        <v>1461</v>
      </c>
      <c r="B729" t="s">
        <v>462</v>
      </c>
      <c r="C729" t="s">
        <v>563</v>
      </c>
      <c r="D729" t="s">
        <v>3205</v>
      </c>
      <c r="E729" t="s">
        <v>3206</v>
      </c>
      <c r="I729" s="422">
        <v>45644</v>
      </c>
      <c r="J729" s="422">
        <v>45737</v>
      </c>
      <c r="L729">
        <v>0</v>
      </c>
      <c r="M729" t="s">
        <v>3207</v>
      </c>
      <c r="N729" t="s">
        <v>1634</v>
      </c>
      <c r="O729" t="str">
        <f>_xlfn.IFNA(VLOOKUP(Table1[[#This Row],[Lead Source]],'helper tab'!A:B,2,FALSE),"Exclude")</f>
        <v>Exclude</v>
      </c>
      <c r="P729" s="422">
        <f t="shared" si="121"/>
        <v>45737.395833333336</v>
      </c>
      <c r="Q729">
        <f t="shared" si="122"/>
        <v>0</v>
      </c>
      <c r="R729">
        <f t="shared" si="123"/>
        <v>1</v>
      </c>
      <c r="S729">
        <f>IF(
AND($Q729=1,$M729&lt;&gt;""),
IF(
COUNTIFS(
$M$3:$M729,$M729,
$O$3:$O729,$O729,
$Q$3:$Q729,1,
$P$3:$P729,"&gt;="&amp;EOMONTH($P729,-1)+1,
$P$3:$P729,"&lt;"&amp;EOMONTH($P729,0)+1
)=1,
1,
0),
0)</f>
        <v>0</v>
      </c>
      <c r="T729">
        <f>IF(AND($R729=1,$M729&lt;&gt;""),IF(COUNTIFS($M$3:$M729,$M729,$O$3:$O729,$O729,$R$3:$R729,1,$P$3:$P729,"&gt;="&amp;EOMONTH($P729,-1)+1,$P$3:$P729,"&lt;"&amp;EOMONTH($P729,0)+1)=1,1,0),0)</f>
        <v>1</v>
      </c>
      <c r="U729">
        <f t="shared" si="124"/>
        <v>0</v>
      </c>
      <c r="V729">
        <f>IF(AND($U729=1,$M729&lt;&gt;""),IF(COUNTIFS($M$3:$M729,$M729,$O$3:$O729,$O729,$U$3:$U729,1,$P$3:$P729,"&gt;="&amp;EOMONTH($P729,-1)+1,$P$3:$P729,"&lt;"&amp;EOMONTH($P729,0)+1)=1,1,0),0)</f>
        <v>0</v>
      </c>
      <c r="W729" s="444">
        <f ca="1">TODAY()-Table1[[#This Row],[Change Date]]</f>
        <v>520.60416666666424</v>
      </c>
      <c r="X729" s="422" t="str">
        <f t="shared" si="125"/>
        <v/>
      </c>
      <c r="Y729" s="476">
        <f ca="1">IF(Table1[[#This Row],[Next Stage Date]]&lt;&gt;"",Table1[[#This Row],[Next Stage Date]]-Table1[[#This Row],[Change Date]],TODAY()-Table1[[#This Row],[Change Date]])</f>
        <v>520.60416666666424</v>
      </c>
      <c r="Z729" s="476">
        <f t="shared" si="126"/>
        <v>1</v>
      </c>
      <c r="AA729" s="422">
        <f t="shared" si="127"/>
        <v>45737.395833333336</v>
      </c>
      <c r="AB729" s="422">
        <f t="shared" si="128"/>
        <v>45737.378472222219</v>
      </c>
      <c r="AC729" s="476">
        <f t="shared" si="129"/>
        <v>93.378472222218988</v>
      </c>
      <c r="AD729" s="476">
        <f t="shared" si="130"/>
        <v>1.7361111116770189E-2</v>
      </c>
      <c r="AE729" s="476">
        <f t="shared" si="131"/>
        <v>93.395833333335759</v>
      </c>
      <c r="AF729" s="476" t="b">
        <f>IFERROR(_xlfn.XLOOKUP(Table1[[#This Row],[Opportunity ID]],'Aging Detail'!$H$14:$H$20,'Aging Detail'!$F$14:$F$20),TRUE)</f>
        <v>1</v>
      </c>
    </row>
    <row r="730" spans="1:32">
      <c r="A730" t="s">
        <v>1461</v>
      </c>
      <c r="B730" t="s">
        <v>408</v>
      </c>
      <c r="C730" t="s">
        <v>526</v>
      </c>
      <c r="D730" t="s">
        <v>3208</v>
      </c>
      <c r="E730" t="s">
        <v>3195</v>
      </c>
      <c r="I730" s="422">
        <v>45363</v>
      </c>
      <c r="J730" s="422">
        <v>45737</v>
      </c>
      <c r="K730">
        <v>802994.62</v>
      </c>
      <c r="L730">
        <v>57930</v>
      </c>
      <c r="M730" t="s">
        <v>3196</v>
      </c>
      <c r="N730" t="s">
        <v>1646</v>
      </c>
      <c r="O730" t="str">
        <f>_xlfn.IFNA(VLOOKUP(Table1[[#This Row],[Lead Source]],'helper tab'!A:B,2,FALSE),"Exclude")</f>
        <v>Exclude</v>
      </c>
      <c r="P730" s="422">
        <f t="shared" si="121"/>
        <v>45737.382638888892</v>
      </c>
      <c r="Q730">
        <f t="shared" si="122"/>
        <v>1</v>
      </c>
      <c r="R730">
        <f t="shared" si="123"/>
        <v>0</v>
      </c>
      <c r="S730">
        <f>IF(
AND($Q730=1,$M730&lt;&gt;""),
IF(
COUNTIFS(
$M$3:$M730,$M730,
$O$3:$O730,$O730,
$Q$3:$Q730,1,
$P$3:$P730,"&gt;="&amp;EOMONTH($P730,-1)+1,
$P$3:$P730,"&lt;"&amp;EOMONTH($P730,0)+1
)=1,
1,
0),
0)</f>
        <v>1</v>
      </c>
      <c r="T730">
        <f>IF(AND($R730=1,$M730&lt;&gt;""),IF(COUNTIFS($M$3:$M730,$M730,$O$3:$O730,$O730,$R$3:$R730,1,$P$3:$P730,"&gt;="&amp;EOMONTH($P730,-1)+1,$P$3:$P730,"&lt;"&amp;EOMONTH($P730,0)+1)=1,1,0),0)</f>
        <v>0</v>
      </c>
      <c r="U730">
        <f t="shared" si="124"/>
        <v>0</v>
      </c>
      <c r="V730">
        <f>IF(AND($U730=1,$M730&lt;&gt;""),IF(COUNTIFS($M$3:$M730,$M730,$O$3:$O730,$O730,$U$3:$U730,1,$P$3:$P730,"&gt;="&amp;EOMONTH($P730,-1)+1,$P$3:$P730,"&lt;"&amp;EOMONTH($P730,0)+1)=1,1,0),0)</f>
        <v>0</v>
      </c>
      <c r="W730" s="444">
        <f ca="1">TODAY()-Table1[[#This Row],[Change Date]]</f>
        <v>520.61736111110804</v>
      </c>
      <c r="X730" s="422">
        <f t="shared" si="125"/>
        <v>45740.3125</v>
      </c>
      <c r="Y730" s="476">
        <f ca="1">IF(Table1[[#This Row],[Next Stage Date]]&lt;&gt;"",Table1[[#This Row],[Next Stage Date]]-Table1[[#This Row],[Change Date]],TODAY()-Table1[[#This Row],[Change Date]])</f>
        <v>2.929861111108039</v>
      </c>
      <c r="Z730" s="476">
        <f t="shared" si="126"/>
        <v>0</v>
      </c>
      <c r="AA730" s="422">
        <f t="shared" si="127"/>
        <v>45740.3125</v>
      </c>
      <c r="AB730" s="422">
        <f t="shared" si="128"/>
        <v>45737.382638888892</v>
      </c>
      <c r="AC730" s="476">
        <f t="shared" si="129"/>
        <v>374.38263888889196</v>
      </c>
      <c r="AD730" s="476">
        <f t="shared" si="130"/>
        <v>2.929861111108039</v>
      </c>
      <c r="AE730" s="476">
        <f t="shared" si="131"/>
        <v>377.3125</v>
      </c>
      <c r="AF730" s="476" t="b">
        <f>IFERROR(_xlfn.XLOOKUP(Table1[[#This Row],[Opportunity ID]],'Aging Detail'!$H$14:$H$20,'Aging Detail'!$F$14:$F$20),TRUE)</f>
        <v>1</v>
      </c>
    </row>
    <row r="731" spans="1:32">
      <c r="A731" t="s">
        <v>1461</v>
      </c>
      <c r="B731" t="s">
        <v>1462</v>
      </c>
      <c r="C731" t="s">
        <v>462</v>
      </c>
      <c r="D731" t="s">
        <v>3209</v>
      </c>
      <c r="E731" t="s">
        <v>3206</v>
      </c>
      <c r="I731" s="422">
        <v>45644</v>
      </c>
      <c r="J731" s="422">
        <v>45737</v>
      </c>
      <c r="L731">
        <v>0</v>
      </c>
      <c r="M731" t="s">
        <v>3207</v>
      </c>
      <c r="N731" t="s">
        <v>1634</v>
      </c>
      <c r="O731" t="str">
        <f>_xlfn.IFNA(VLOOKUP(Table1[[#This Row],[Lead Source]],'helper tab'!A:B,2,FALSE),"Exclude")</f>
        <v>Exclude</v>
      </c>
      <c r="P731" s="422">
        <f t="shared" si="121"/>
        <v>45737.378472222219</v>
      </c>
      <c r="Q731">
        <f t="shared" si="122"/>
        <v>1</v>
      </c>
      <c r="R731">
        <f t="shared" si="123"/>
        <v>0</v>
      </c>
      <c r="S731">
        <f>IF(
AND($Q731=1,$M731&lt;&gt;""),
IF(
COUNTIFS(
$M$3:$M731,$M731,
$O$3:$O731,$O731,
$Q$3:$Q731,1,
$P$3:$P731,"&gt;="&amp;EOMONTH($P731,-1)+1,
$P$3:$P731,"&lt;"&amp;EOMONTH($P731,0)+1
)=1,
1,
0),
0)</f>
        <v>1</v>
      </c>
      <c r="T731">
        <f>IF(AND($R731=1,$M731&lt;&gt;""),IF(COUNTIFS($M$3:$M731,$M731,$O$3:$O731,$O731,$R$3:$R731,1,$P$3:$P731,"&gt;="&amp;EOMONTH($P731,-1)+1,$P$3:$P731,"&lt;"&amp;EOMONTH($P731,0)+1)=1,1,0),0)</f>
        <v>0</v>
      </c>
      <c r="U731">
        <f t="shared" si="124"/>
        <v>0</v>
      </c>
      <c r="V731">
        <f>IF(AND($U731=1,$M731&lt;&gt;""),IF(COUNTIFS($M$3:$M731,$M731,$O$3:$O731,$O731,$U$3:$U731,1,$P$3:$P731,"&gt;="&amp;EOMONTH($P731,-1)+1,$P$3:$P731,"&lt;"&amp;EOMONTH($P731,0)+1)=1,1,0),0)</f>
        <v>0</v>
      </c>
      <c r="W731" s="444">
        <f ca="1">TODAY()-Table1[[#This Row],[Change Date]]</f>
        <v>520.62152777778101</v>
      </c>
      <c r="X731" s="422">
        <f t="shared" si="125"/>
        <v>45737.395833333336</v>
      </c>
      <c r="Y731" s="476">
        <f ca="1">IF(Table1[[#This Row],[Next Stage Date]]&lt;&gt;"",Table1[[#This Row],[Next Stage Date]]-Table1[[#This Row],[Change Date]],TODAY()-Table1[[#This Row],[Change Date]])</f>
        <v>1.7361111116770189E-2</v>
      </c>
      <c r="Z731" s="476">
        <f t="shared" si="126"/>
        <v>0</v>
      </c>
      <c r="AA731" s="422">
        <f t="shared" si="127"/>
        <v>45737.395833333336</v>
      </c>
      <c r="AB731" s="422">
        <f t="shared" si="128"/>
        <v>45737.378472222219</v>
      </c>
      <c r="AC731" s="476">
        <f t="shared" si="129"/>
        <v>93.378472222218988</v>
      </c>
      <c r="AD731" s="476">
        <f t="shared" si="130"/>
        <v>1.7361111116770189E-2</v>
      </c>
      <c r="AE731" s="476">
        <f t="shared" si="131"/>
        <v>93.395833333335759</v>
      </c>
      <c r="AF731" s="476" t="b">
        <f>IFERROR(_xlfn.XLOOKUP(Table1[[#This Row],[Opportunity ID]],'Aging Detail'!$H$14:$H$20,'Aging Detail'!$F$14:$F$20),TRUE)</f>
        <v>1</v>
      </c>
    </row>
    <row r="732" spans="1:32">
      <c r="A732" t="s">
        <v>1461</v>
      </c>
      <c r="B732" t="s">
        <v>526</v>
      </c>
      <c r="C732" t="s">
        <v>563</v>
      </c>
      <c r="D732" t="s">
        <v>3210</v>
      </c>
      <c r="E732" t="s">
        <v>3211</v>
      </c>
      <c r="F732" t="s">
        <v>148</v>
      </c>
      <c r="H732" t="s">
        <v>1698</v>
      </c>
      <c r="I732" s="422">
        <v>45467</v>
      </c>
      <c r="J732" s="422">
        <v>45737</v>
      </c>
      <c r="K732">
        <v>15500</v>
      </c>
      <c r="L732">
        <v>0</v>
      </c>
      <c r="M732" t="s">
        <v>3212</v>
      </c>
      <c r="N732" t="s">
        <v>2639</v>
      </c>
      <c r="O732" t="str">
        <f>_xlfn.IFNA(VLOOKUP(Table1[[#This Row],[Lead Source]],'helper tab'!A:B,2,FALSE),"Exclude")</f>
        <v>Alliances</v>
      </c>
      <c r="P732" s="422">
        <f t="shared" si="121"/>
        <v>45737.376388888886</v>
      </c>
      <c r="Q732">
        <f t="shared" si="122"/>
        <v>0</v>
      </c>
      <c r="R732">
        <f t="shared" si="123"/>
        <v>1</v>
      </c>
      <c r="S732">
        <f>IF(
AND($Q732=1,$M732&lt;&gt;""),
IF(
COUNTIFS(
$M$3:$M732,$M732,
$O$3:$O732,$O732,
$Q$3:$Q732,1,
$P$3:$P732,"&gt;="&amp;EOMONTH($P732,-1)+1,
$P$3:$P732,"&lt;"&amp;EOMONTH($P732,0)+1
)=1,
1,
0),
0)</f>
        <v>0</v>
      </c>
      <c r="T732">
        <f>IF(AND($R732=1,$M732&lt;&gt;""),IF(COUNTIFS($M$3:$M732,$M732,$O$3:$O732,$O732,$R$3:$R732,1,$P$3:$P732,"&gt;="&amp;EOMONTH($P732,-1)+1,$P$3:$P732,"&lt;"&amp;EOMONTH($P732,0)+1)=1,1,0),0)</f>
        <v>1</v>
      </c>
      <c r="U732">
        <f t="shared" si="124"/>
        <v>0</v>
      </c>
      <c r="V732">
        <f>IF(AND($U732=1,$M732&lt;&gt;""),IF(COUNTIFS($M$3:$M732,$M732,$O$3:$O732,$O732,$U$3:$U732,1,$P$3:$P732,"&gt;="&amp;EOMONTH($P732,-1)+1,$P$3:$P732,"&lt;"&amp;EOMONTH($P732,0)+1)=1,1,0),0)</f>
        <v>0</v>
      </c>
      <c r="W732" s="444">
        <f ca="1">TODAY()-Table1[[#This Row],[Change Date]]</f>
        <v>520.62361111111386</v>
      </c>
      <c r="X732" s="422" t="str">
        <f t="shared" si="125"/>
        <v/>
      </c>
      <c r="Y732" s="476">
        <f ca="1">IF(Table1[[#This Row],[Next Stage Date]]&lt;&gt;"",Table1[[#This Row],[Next Stage Date]]-Table1[[#This Row],[Change Date]],TODAY()-Table1[[#This Row],[Change Date]])</f>
        <v>520.62361111111386</v>
      </c>
      <c r="Z732" s="476">
        <f t="shared" si="126"/>
        <v>1</v>
      </c>
      <c r="AA732" s="422">
        <f t="shared" si="127"/>
        <v>45737.376388888886</v>
      </c>
      <c r="AB732" s="422">
        <f t="shared" si="128"/>
        <v>45730.32708333333</v>
      </c>
      <c r="AC732" s="476">
        <f t="shared" si="129"/>
        <v>263.32708333332994</v>
      </c>
      <c r="AD732" s="476">
        <f t="shared" si="130"/>
        <v>7.0493055555562023</v>
      </c>
      <c r="AE732" s="476">
        <f t="shared" si="131"/>
        <v>270.37638888888614</v>
      </c>
      <c r="AF732" s="476" t="b">
        <f>IFERROR(_xlfn.XLOOKUP(Table1[[#This Row],[Opportunity ID]],'Aging Detail'!$H$14:$H$20,'Aging Detail'!$F$14:$F$20),TRUE)</f>
        <v>1</v>
      </c>
    </row>
    <row r="733" spans="1:32">
      <c r="A733" t="s">
        <v>1461</v>
      </c>
      <c r="B733" t="s">
        <v>338</v>
      </c>
      <c r="C733" t="s">
        <v>1462</v>
      </c>
      <c r="D733" t="s">
        <v>3213</v>
      </c>
      <c r="E733" t="s">
        <v>1859</v>
      </c>
      <c r="I733" s="422">
        <v>45698</v>
      </c>
      <c r="J733" s="422">
        <v>46472</v>
      </c>
      <c r="K733">
        <v>0</v>
      </c>
      <c r="L733">
        <v>0</v>
      </c>
      <c r="M733" t="s">
        <v>1860</v>
      </c>
      <c r="N733" t="s">
        <v>1625</v>
      </c>
      <c r="O733" t="str">
        <f>_xlfn.IFNA(VLOOKUP(Table1[[#This Row],[Lead Source]],'helper tab'!A:B,2,FALSE),"Exclude")</f>
        <v>Exclude</v>
      </c>
      <c r="P733" s="422">
        <f t="shared" si="121"/>
        <v>45735.257638888892</v>
      </c>
      <c r="Q733">
        <f t="shared" si="122"/>
        <v>0</v>
      </c>
      <c r="R733">
        <f t="shared" si="123"/>
        <v>0</v>
      </c>
      <c r="S733">
        <f>IF(
AND($Q733=1,$M733&lt;&gt;""),
IF(
COUNTIFS(
$M$3:$M733,$M733,
$O$3:$O733,$O733,
$Q$3:$Q733,1,
$P$3:$P733,"&gt;="&amp;EOMONTH($P733,-1)+1,
$P$3:$P733,"&lt;"&amp;EOMONTH($P733,0)+1
)=1,
1,
0),
0)</f>
        <v>0</v>
      </c>
      <c r="T733">
        <f>IF(AND($R733=1,$M733&lt;&gt;""),IF(COUNTIFS($M$3:$M733,$M733,$O$3:$O733,$O733,$R$3:$R733,1,$P$3:$P733,"&gt;="&amp;EOMONTH($P733,-1)+1,$P$3:$P733,"&lt;"&amp;EOMONTH($P733,0)+1)=1,1,0),0)</f>
        <v>0</v>
      </c>
      <c r="U733">
        <f t="shared" si="124"/>
        <v>0</v>
      </c>
      <c r="V733">
        <f>IF(AND($U733=1,$M733&lt;&gt;""),IF(COUNTIFS($M$3:$M733,$M733,$O$3:$O733,$O733,$U$3:$U733,1,$P$3:$P733,"&gt;="&amp;EOMONTH($P733,-1)+1,$P$3:$P733,"&lt;"&amp;EOMONTH($P733,0)+1)=1,1,0),0)</f>
        <v>0</v>
      </c>
      <c r="W733" s="444">
        <f ca="1">TODAY()-Table1[[#This Row],[Change Date]]</f>
        <v>522.74236111110804</v>
      </c>
      <c r="X733" s="422">
        <f t="shared" si="125"/>
        <v>45782.246527777781</v>
      </c>
      <c r="Y733" s="476">
        <f ca="1">IF(Table1[[#This Row],[Next Stage Date]]&lt;&gt;"",Table1[[#This Row],[Next Stage Date]]-Table1[[#This Row],[Change Date]],TODAY()-Table1[[#This Row],[Change Date]])</f>
        <v>46.988888888889051</v>
      </c>
      <c r="Z733" s="476">
        <f t="shared" si="126"/>
        <v>0</v>
      </c>
      <c r="AA733" s="422" t="str">
        <f t="shared" si="127"/>
        <v/>
      </c>
      <c r="AB733" s="422">
        <f t="shared" si="128"/>
        <v>45782.246527777781</v>
      </c>
      <c r="AC733" s="476">
        <f t="shared" si="129"/>
        <v>84.246527777781012</v>
      </c>
      <c r="AD733" s="476" t="str">
        <f t="shared" si="130"/>
        <v/>
      </c>
      <c r="AE733" s="476" t="str">
        <f t="shared" si="131"/>
        <v/>
      </c>
      <c r="AF733" s="476" t="b">
        <f>IFERROR(_xlfn.XLOOKUP(Table1[[#This Row],[Opportunity ID]],'Aging Detail'!$H$14:$H$20,'Aging Detail'!$F$14:$F$20),TRUE)</f>
        <v>1</v>
      </c>
    </row>
    <row r="734" spans="1:32">
      <c r="A734" t="s">
        <v>1461</v>
      </c>
      <c r="B734" t="s">
        <v>526</v>
      </c>
      <c r="C734" t="s">
        <v>1462</v>
      </c>
      <c r="D734" t="s">
        <v>3214</v>
      </c>
      <c r="E734" t="s">
        <v>2965</v>
      </c>
      <c r="I734" s="422">
        <v>45363</v>
      </c>
      <c r="J734" s="422">
        <v>45777</v>
      </c>
      <c r="K734">
        <v>612000</v>
      </c>
      <c r="L734">
        <v>0</v>
      </c>
      <c r="M734" t="s">
        <v>2966</v>
      </c>
      <c r="N734" t="s">
        <v>1748</v>
      </c>
      <c r="O734" t="str">
        <f>_xlfn.IFNA(VLOOKUP(Table1[[#This Row],[Lead Source]],'helper tab'!A:B,2,FALSE),"Exclude")</f>
        <v>Exclude</v>
      </c>
      <c r="P734" s="422">
        <f t="shared" si="121"/>
        <v>45734.584722222222</v>
      </c>
      <c r="Q734">
        <f t="shared" si="122"/>
        <v>0</v>
      </c>
      <c r="R734">
        <f t="shared" si="123"/>
        <v>0</v>
      </c>
      <c r="S734">
        <f>IF(
AND($Q734=1,$M734&lt;&gt;""),
IF(
COUNTIFS(
$M$3:$M734,$M734,
$O$3:$O734,$O734,
$Q$3:$Q734,1,
$P$3:$P734,"&gt;="&amp;EOMONTH($P734,-1)+1,
$P$3:$P734,"&lt;"&amp;EOMONTH($P734,0)+1
)=1,
1,
0),
0)</f>
        <v>0</v>
      </c>
      <c r="T734">
        <f>IF(AND($R734=1,$M734&lt;&gt;""),IF(COUNTIFS($M$3:$M734,$M734,$O$3:$O734,$O734,$R$3:$R734,1,$P$3:$P734,"&gt;="&amp;EOMONTH($P734,-1)+1,$P$3:$P734,"&lt;"&amp;EOMONTH($P734,0)+1)=1,1,0),0)</f>
        <v>0</v>
      </c>
      <c r="U734">
        <f t="shared" si="124"/>
        <v>0</v>
      </c>
      <c r="V734">
        <f>IF(AND($U734=1,$M734&lt;&gt;""),IF(COUNTIFS($M$3:$M734,$M734,$O$3:$O734,$O734,$U$3:$U734,1,$P$3:$P734,"&gt;="&amp;EOMONTH($P734,-1)+1,$P$3:$P734,"&lt;"&amp;EOMONTH($P734,0)+1)=1,1,0),0)</f>
        <v>0</v>
      </c>
      <c r="W734" s="444">
        <f ca="1">TODAY()-Table1[[#This Row],[Change Date]]</f>
        <v>523.4152777777781</v>
      </c>
      <c r="X734" s="422">
        <f t="shared" si="125"/>
        <v>45756.553472222222</v>
      </c>
      <c r="Y734" s="476">
        <f ca="1">IF(Table1[[#This Row],[Next Stage Date]]&lt;&gt;"",Table1[[#This Row],[Next Stage Date]]-Table1[[#This Row],[Change Date]],TODAY()-Table1[[#This Row],[Change Date]])</f>
        <v>21.96875</v>
      </c>
      <c r="Z734" s="476">
        <f t="shared" si="126"/>
        <v>0</v>
      </c>
      <c r="AA734" s="422">
        <f t="shared" si="127"/>
        <v>45834.192361111112</v>
      </c>
      <c r="AB734" s="422">
        <f t="shared" si="128"/>
        <v>45756.553472222222</v>
      </c>
      <c r="AC734" s="476">
        <f t="shared" si="129"/>
        <v>393.5534722222219</v>
      </c>
      <c r="AD734" s="476">
        <f t="shared" si="130"/>
        <v>77.638888888890506</v>
      </c>
      <c r="AE734" s="476">
        <f t="shared" si="131"/>
        <v>471.1923611111124</v>
      </c>
      <c r="AF734" s="476" t="b">
        <f>IFERROR(_xlfn.XLOOKUP(Table1[[#This Row],[Opportunity ID]],'Aging Detail'!$H$14:$H$20,'Aging Detail'!$F$14:$F$20),TRUE)</f>
        <v>1</v>
      </c>
    </row>
    <row r="735" spans="1:32">
      <c r="A735" t="s">
        <v>1461</v>
      </c>
      <c r="B735" t="s">
        <v>338</v>
      </c>
      <c r="C735" t="s">
        <v>462</v>
      </c>
      <c r="D735" t="s">
        <v>3215</v>
      </c>
      <c r="E735" t="s">
        <v>3173</v>
      </c>
      <c r="I735" s="422">
        <v>45678</v>
      </c>
      <c r="J735" s="422">
        <v>45744</v>
      </c>
      <c r="L735">
        <v>0</v>
      </c>
      <c r="M735" t="s">
        <v>3174</v>
      </c>
      <c r="N735" t="s">
        <v>2239</v>
      </c>
      <c r="O735" t="str">
        <f>_xlfn.IFNA(VLOOKUP(Table1[[#This Row],[Lead Source]],'helper tab'!A:B,2,FALSE),"Exclude")</f>
        <v>Exclude</v>
      </c>
      <c r="P735" s="422">
        <f t="shared" si="121"/>
        <v>45734.574305555558</v>
      </c>
      <c r="Q735">
        <f t="shared" si="122"/>
        <v>1</v>
      </c>
      <c r="R735">
        <f t="shared" si="123"/>
        <v>0</v>
      </c>
      <c r="S735">
        <f>IF(
AND($Q735=1,$M735&lt;&gt;""),
IF(
COUNTIFS(
$M$3:$M735,$M735,
$O$3:$O735,$O735,
$Q$3:$Q735,1,
$P$3:$P735,"&gt;="&amp;EOMONTH($P735,-1)+1,
$P$3:$P735,"&lt;"&amp;EOMONTH($P735,0)+1
)=1,
1,
0),
0)</f>
        <v>1</v>
      </c>
      <c r="T735">
        <f>IF(AND($R735=1,$M735&lt;&gt;""),IF(COUNTIFS($M$3:$M735,$M735,$O$3:$O735,$O735,$R$3:$R735,1,$P$3:$P735,"&gt;="&amp;EOMONTH($P735,-1)+1,$P$3:$P735,"&lt;"&amp;EOMONTH($P735,0)+1)=1,1,0),0)</f>
        <v>0</v>
      </c>
      <c r="U735">
        <f t="shared" si="124"/>
        <v>0</v>
      </c>
      <c r="V735">
        <f>IF(AND($U735=1,$M735&lt;&gt;""),IF(COUNTIFS($M$3:$M735,$M735,$O$3:$O735,$O735,$U$3:$U735,1,$P$3:$P735,"&gt;="&amp;EOMONTH($P735,-1)+1,$P$3:$P735,"&lt;"&amp;EOMONTH($P735,0)+1)=1,1,0),0)</f>
        <v>0</v>
      </c>
      <c r="W735" s="444">
        <f ca="1">TODAY()-Table1[[#This Row],[Change Date]]</f>
        <v>523.42569444444234</v>
      </c>
      <c r="X735" s="422">
        <f t="shared" si="125"/>
        <v>45744.479861111111</v>
      </c>
      <c r="Y735" s="476">
        <f ca="1">IF(Table1[[#This Row],[Next Stage Date]]&lt;&gt;"",Table1[[#This Row],[Next Stage Date]]-Table1[[#This Row],[Change Date]],TODAY()-Table1[[#This Row],[Change Date]])</f>
        <v>9.9055555555532919</v>
      </c>
      <c r="Z735" s="476">
        <f t="shared" si="126"/>
        <v>0</v>
      </c>
      <c r="AA735" s="422">
        <f t="shared" si="127"/>
        <v>45744.479861111111</v>
      </c>
      <c r="AB735" s="422">
        <f t="shared" si="128"/>
        <v>45734.574305555558</v>
      </c>
      <c r="AC735" s="476">
        <f t="shared" si="129"/>
        <v>56.574305555557657</v>
      </c>
      <c r="AD735" s="476">
        <f t="shared" si="130"/>
        <v>9.9055555555532919</v>
      </c>
      <c r="AE735" s="476">
        <f t="shared" si="131"/>
        <v>66.479861111110949</v>
      </c>
      <c r="AF735" s="476" t="b">
        <f>IFERROR(_xlfn.XLOOKUP(Table1[[#This Row],[Opportunity ID]],'Aging Detail'!$H$14:$H$20,'Aging Detail'!$F$14:$F$20),TRUE)</f>
        <v>1</v>
      </c>
    </row>
    <row r="736" spans="1:32">
      <c r="A736" t="s">
        <v>1461</v>
      </c>
      <c r="B736" t="s">
        <v>338</v>
      </c>
      <c r="C736" t="s">
        <v>462</v>
      </c>
      <c r="D736" t="s">
        <v>3216</v>
      </c>
      <c r="E736" t="s">
        <v>2715</v>
      </c>
      <c r="I736" s="422">
        <v>45685</v>
      </c>
      <c r="J736" s="422">
        <v>45929</v>
      </c>
      <c r="K736">
        <v>16000</v>
      </c>
      <c r="L736">
        <v>0</v>
      </c>
      <c r="M736" t="s">
        <v>2716</v>
      </c>
      <c r="N736" t="s">
        <v>1684</v>
      </c>
      <c r="O736" t="str">
        <f>_xlfn.IFNA(VLOOKUP(Table1[[#This Row],[Lead Source]],'helper tab'!A:B,2,FALSE),"Exclude")</f>
        <v>Exclude</v>
      </c>
      <c r="P736" s="422">
        <f t="shared" si="121"/>
        <v>45734.572222222225</v>
      </c>
      <c r="Q736">
        <f t="shared" si="122"/>
        <v>1</v>
      </c>
      <c r="R736">
        <f t="shared" si="123"/>
        <v>0</v>
      </c>
      <c r="S736">
        <f>IF(
AND($Q736=1,$M736&lt;&gt;""),
IF(
COUNTIFS(
$M$3:$M736,$M736,
$O$3:$O736,$O736,
$Q$3:$Q736,1,
$P$3:$P736,"&gt;="&amp;EOMONTH($P736,-1)+1,
$P$3:$P736,"&lt;"&amp;EOMONTH($P736,0)+1
)=1,
1,
0),
0)</f>
        <v>1</v>
      </c>
      <c r="T736">
        <f>IF(AND($R736=1,$M736&lt;&gt;""),IF(COUNTIFS($M$3:$M736,$M736,$O$3:$O736,$O736,$R$3:$R736,1,$P$3:$P736,"&gt;="&amp;EOMONTH($P736,-1)+1,$P$3:$P736,"&lt;"&amp;EOMONTH($P736,0)+1)=1,1,0),0)</f>
        <v>0</v>
      </c>
      <c r="U736">
        <f t="shared" si="124"/>
        <v>0</v>
      </c>
      <c r="V736">
        <f>IF(AND($U736=1,$M736&lt;&gt;""),IF(COUNTIFS($M$3:$M736,$M736,$O$3:$O736,$O736,$U$3:$U736,1,$P$3:$P736,"&gt;="&amp;EOMONTH($P736,-1)+1,$P$3:$P736,"&lt;"&amp;EOMONTH($P736,0)+1)=1,1,0),0)</f>
        <v>0</v>
      </c>
      <c r="W736" s="444">
        <f ca="1">TODAY()-Table1[[#This Row],[Change Date]]</f>
        <v>523.42777777777519</v>
      </c>
      <c r="X736" s="422">
        <f t="shared" si="125"/>
        <v>45897.348611111112</v>
      </c>
      <c r="Y736" s="476">
        <f ca="1">IF(Table1[[#This Row],[Next Stage Date]]&lt;&gt;"",Table1[[#This Row],[Next Stage Date]]-Table1[[#This Row],[Change Date]],TODAY()-Table1[[#This Row],[Change Date]])</f>
        <v>162.7763888888876</v>
      </c>
      <c r="Z736" s="476">
        <f t="shared" si="126"/>
        <v>0</v>
      </c>
      <c r="AA736" s="422">
        <f t="shared" si="127"/>
        <v>45929.57916666667</v>
      </c>
      <c r="AB736" s="422">
        <f t="shared" si="128"/>
        <v>45734.572222222225</v>
      </c>
      <c r="AC736" s="476">
        <f t="shared" si="129"/>
        <v>49.572222222224809</v>
      </c>
      <c r="AD736" s="476">
        <f t="shared" si="130"/>
        <v>195.00694444444525</v>
      </c>
      <c r="AE736" s="476">
        <f t="shared" si="131"/>
        <v>244.57916666667006</v>
      </c>
      <c r="AF736" s="476" t="b">
        <f>IFERROR(_xlfn.XLOOKUP(Table1[[#This Row],[Opportunity ID]],'Aging Detail'!$H$14:$H$20,'Aging Detail'!$F$14:$F$20),TRUE)</f>
        <v>1</v>
      </c>
    </row>
    <row r="737" spans="1:32">
      <c r="A737" t="s">
        <v>1461</v>
      </c>
      <c r="B737" t="s">
        <v>1462</v>
      </c>
      <c r="C737" t="s">
        <v>462</v>
      </c>
      <c r="D737" t="s">
        <v>3217</v>
      </c>
      <c r="E737" t="s">
        <v>3107</v>
      </c>
      <c r="I737" s="422">
        <v>45631</v>
      </c>
      <c r="J737" s="422">
        <v>45770</v>
      </c>
      <c r="K737">
        <v>0</v>
      </c>
      <c r="L737">
        <v>0</v>
      </c>
      <c r="M737" t="s">
        <v>3108</v>
      </c>
      <c r="N737" t="s">
        <v>1618</v>
      </c>
      <c r="O737" t="str">
        <f>_xlfn.IFNA(VLOOKUP(Table1[[#This Row],[Lead Source]],'helper tab'!A:B,2,FALSE),"Exclude")</f>
        <v>Exclude</v>
      </c>
      <c r="P737" s="422">
        <f t="shared" si="121"/>
        <v>45734.500694444447</v>
      </c>
      <c r="Q737">
        <f t="shared" si="122"/>
        <v>1</v>
      </c>
      <c r="R737">
        <f t="shared" si="123"/>
        <v>0</v>
      </c>
      <c r="S737">
        <f>IF(
AND($Q737=1,$M737&lt;&gt;""),
IF(
COUNTIFS(
$M$3:$M737,$M737,
$O$3:$O737,$O737,
$Q$3:$Q737,1,
$P$3:$P737,"&gt;="&amp;EOMONTH($P737,-1)+1,
$P$3:$P737,"&lt;"&amp;EOMONTH($P737,0)+1
)=1,
1,
0),
0)</f>
        <v>1</v>
      </c>
      <c r="T737">
        <f>IF(AND($R737=1,$M737&lt;&gt;""),IF(COUNTIFS($M$3:$M737,$M737,$O$3:$O737,$O737,$R$3:$R737,1,$P$3:$P737,"&gt;="&amp;EOMONTH($P737,-1)+1,$P$3:$P737,"&lt;"&amp;EOMONTH($P737,0)+1)=1,1,0),0)</f>
        <v>0</v>
      </c>
      <c r="U737">
        <f t="shared" si="124"/>
        <v>0</v>
      </c>
      <c r="V737">
        <f>IF(AND($U737=1,$M737&lt;&gt;""),IF(COUNTIFS($M$3:$M737,$M737,$O$3:$O737,$O737,$U$3:$U737,1,$P$3:$P737,"&gt;="&amp;EOMONTH($P737,-1)+1,$P$3:$P737,"&lt;"&amp;EOMONTH($P737,0)+1)=1,1,0),0)</f>
        <v>0</v>
      </c>
      <c r="W737" s="444">
        <f ca="1">TODAY()-Table1[[#This Row],[Change Date]]</f>
        <v>523.49930555555329</v>
      </c>
      <c r="X737" s="422">
        <f t="shared" si="125"/>
        <v>45770.342361111114</v>
      </c>
      <c r="Y737" s="476">
        <f ca="1">IF(Table1[[#This Row],[Next Stage Date]]&lt;&gt;"",Table1[[#This Row],[Next Stage Date]]-Table1[[#This Row],[Change Date]],TODAY()-Table1[[#This Row],[Change Date]])</f>
        <v>35.841666666667152</v>
      </c>
      <c r="Z737" s="476">
        <f t="shared" si="126"/>
        <v>0</v>
      </c>
      <c r="AA737" s="422">
        <f t="shared" si="127"/>
        <v>45770.342361111114</v>
      </c>
      <c r="AB737" s="422">
        <f t="shared" si="128"/>
        <v>45734.500694444447</v>
      </c>
      <c r="AC737" s="476">
        <f t="shared" si="129"/>
        <v>103.50069444444671</v>
      </c>
      <c r="AD737" s="476">
        <f t="shared" si="130"/>
        <v>35.841666666667152</v>
      </c>
      <c r="AE737" s="476">
        <f t="shared" si="131"/>
        <v>139.34236111111386</v>
      </c>
      <c r="AF737" s="476" t="b">
        <f>IFERROR(_xlfn.XLOOKUP(Table1[[#This Row],[Opportunity ID]],'Aging Detail'!$H$14:$H$20,'Aging Detail'!$F$14:$F$20),TRUE)</f>
        <v>1</v>
      </c>
    </row>
    <row r="738" spans="1:32">
      <c r="A738" t="s">
        <v>1461</v>
      </c>
      <c r="B738" t="s">
        <v>408</v>
      </c>
      <c r="C738" t="s">
        <v>563</v>
      </c>
      <c r="D738" t="s">
        <v>3218</v>
      </c>
      <c r="E738" t="s">
        <v>3219</v>
      </c>
      <c r="I738" s="422">
        <v>45638</v>
      </c>
      <c r="J738" s="422">
        <v>45734</v>
      </c>
      <c r="K738">
        <v>10800</v>
      </c>
      <c r="L738">
        <v>0</v>
      </c>
      <c r="M738" t="s">
        <v>3220</v>
      </c>
      <c r="N738" t="s">
        <v>1600</v>
      </c>
      <c r="O738" t="str">
        <f>_xlfn.IFNA(VLOOKUP(Table1[[#This Row],[Lead Source]],'helper tab'!A:B,2,FALSE),"Exclude")</f>
        <v>Exclude</v>
      </c>
      <c r="P738" s="422">
        <f t="shared" si="121"/>
        <v>45734.456944444442</v>
      </c>
      <c r="Q738">
        <f t="shared" si="122"/>
        <v>0</v>
      </c>
      <c r="R738">
        <f t="shared" si="123"/>
        <v>1</v>
      </c>
      <c r="S738">
        <f>IF(
AND($Q738=1,$M738&lt;&gt;""),
IF(
COUNTIFS(
$M$3:$M738,$M738,
$O$3:$O738,$O738,
$Q$3:$Q738,1,
$P$3:$P738,"&gt;="&amp;EOMONTH($P738,-1)+1,
$P$3:$P738,"&lt;"&amp;EOMONTH($P738,0)+1
)=1,
1,
0),
0)</f>
        <v>0</v>
      </c>
      <c r="T738">
        <f>IF(AND($R738=1,$M738&lt;&gt;""),IF(COUNTIFS($M$3:$M738,$M738,$O$3:$O738,$O738,$R$3:$R738,1,$P$3:$P738,"&gt;="&amp;EOMONTH($P738,-1)+1,$P$3:$P738,"&lt;"&amp;EOMONTH($P738,0)+1)=1,1,0),0)</f>
        <v>1</v>
      </c>
      <c r="U738">
        <f t="shared" si="124"/>
        <v>0</v>
      </c>
      <c r="V738">
        <f>IF(AND($U738=1,$M738&lt;&gt;""),IF(COUNTIFS($M$3:$M738,$M738,$O$3:$O738,$O738,$U$3:$U738,1,$P$3:$P738,"&gt;="&amp;EOMONTH($P738,-1)+1,$P$3:$P738,"&lt;"&amp;EOMONTH($P738,0)+1)=1,1,0),0)</f>
        <v>0</v>
      </c>
      <c r="W738" s="444">
        <f ca="1">TODAY()-Table1[[#This Row],[Change Date]]</f>
        <v>523.54305555555766</v>
      </c>
      <c r="X738" s="422" t="str">
        <f t="shared" si="125"/>
        <v/>
      </c>
      <c r="Y738" s="476">
        <f ca="1">IF(Table1[[#This Row],[Next Stage Date]]&lt;&gt;"",Table1[[#This Row],[Next Stage Date]]-Table1[[#This Row],[Change Date]],TODAY()-Table1[[#This Row],[Change Date]])</f>
        <v>523.54305555555766</v>
      </c>
      <c r="Z738" s="476">
        <f t="shared" si="126"/>
        <v>1</v>
      </c>
      <c r="AA738" s="422">
        <f t="shared" si="127"/>
        <v>45734.456944444442</v>
      </c>
      <c r="AB738" s="422" t="str">
        <f t="shared" si="128"/>
        <v/>
      </c>
      <c r="AC738" s="476" t="str">
        <f t="shared" si="129"/>
        <v/>
      </c>
      <c r="AD738" s="476" t="str">
        <f t="shared" si="130"/>
        <v/>
      </c>
      <c r="AE738" s="476">
        <f t="shared" si="131"/>
        <v>96.456944444442343</v>
      </c>
      <c r="AF738" s="476" t="b">
        <f>IFERROR(_xlfn.XLOOKUP(Table1[[#This Row],[Opportunity ID]],'Aging Detail'!$H$14:$H$20,'Aging Detail'!$F$14:$F$20),TRUE)</f>
        <v>1</v>
      </c>
    </row>
    <row r="739" spans="1:32">
      <c r="A739" t="s">
        <v>1461</v>
      </c>
      <c r="B739" t="s">
        <v>338</v>
      </c>
      <c r="C739" t="s">
        <v>1469</v>
      </c>
      <c r="D739" t="s">
        <v>3221</v>
      </c>
      <c r="E739" t="s">
        <v>3222</v>
      </c>
      <c r="I739" s="422">
        <v>45645</v>
      </c>
      <c r="J739" s="422">
        <v>45961</v>
      </c>
      <c r="L739">
        <v>0</v>
      </c>
      <c r="M739" t="s">
        <v>3223</v>
      </c>
      <c r="N739" t="s">
        <v>1524</v>
      </c>
      <c r="O739" t="str">
        <f>_xlfn.IFNA(VLOOKUP(Table1[[#This Row],[Lead Source]],'helper tab'!A:B,2,FALSE),"Exclude")</f>
        <v>Exclude</v>
      </c>
      <c r="P739" s="422">
        <f t="shared" si="121"/>
        <v>45734.4375</v>
      </c>
      <c r="Q739">
        <f t="shared" si="122"/>
        <v>0</v>
      </c>
      <c r="R739">
        <f t="shared" si="123"/>
        <v>0</v>
      </c>
      <c r="S739">
        <f>IF(
AND($Q739=1,$M739&lt;&gt;""),
IF(
COUNTIFS(
$M$3:$M739,$M739,
$O$3:$O739,$O739,
$Q$3:$Q739,1,
$P$3:$P739,"&gt;="&amp;EOMONTH($P739,-1)+1,
$P$3:$P739,"&lt;"&amp;EOMONTH($P739,0)+1
)=1,
1,
0),
0)</f>
        <v>0</v>
      </c>
      <c r="T739">
        <f>IF(AND($R739=1,$M739&lt;&gt;""),IF(COUNTIFS($M$3:$M739,$M739,$O$3:$O739,$O739,$R$3:$R739,1,$P$3:$P739,"&gt;="&amp;EOMONTH($P739,-1)+1,$P$3:$P739,"&lt;"&amp;EOMONTH($P739,0)+1)=1,1,0),0)</f>
        <v>0</v>
      </c>
      <c r="U739">
        <f t="shared" si="124"/>
        <v>1</v>
      </c>
      <c r="V739">
        <f>IF(AND($U739=1,$M739&lt;&gt;""),IF(COUNTIFS($M$3:$M739,$M739,$O$3:$O739,$O739,$U$3:$U739,1,$P$3:$P739,"&gt;="&amp;EOMONTH($P739,-1)+1,$P$3:$P739,"&lt;"&amp;EOMONTH($P739,0)+1)=1,1,0),0)</f>
        <v>1</v>
      </c>
      <c r="W739" s="444">
        <f ca="1">TODAY()-Table1[[#This Row],[Change Date]]</f>
        <v>523.5625</v>
      </c>
      <c r="X739" s="422" t="str">
        <f t="shared" si="125"/>
        <v/>
      </c>
      <c r="Y739" s="476">
        <f ca="1">IF(Table1[[#This Row],[Next Stage Date]]&lt;&gt;"",Table1[[#This Row],[Next Stage Date]]-Table1[[#This Row],[Change Date]],TODAY()-Table1[[#This Row],[Change Date]])</f>
        <v>523.5625</v>
      </c>
      <c r="Z739" s="476">
        <f t="shared" si="126"/>
        <v>1</v>
      </c>
      <c r="AA739" s="422" t="str">
        <f t="shared" si="127"/>
        <v/>
      </c>
      <c r="AB739" s="422" t="str">
        <f t="shared" si="128"/>
        <v/>
      </c>
      <c r="AC739" s="476" t="str">
        <f t="shared" si="129"/>
        <v/>
      </c>
      <c r="AD739" s="476" t="str">
        <f t="shared" si="130"/>
        <v/>
      </c>
      <c r="AE739" s="476" t="str">
        <f t="shared" si="131"/>
        <v/>
      </c>
      <c r="AF739" s="476" t="b">
        <f>IFERROR(_xlfn.XLOOKUP(Table1[[#This Row],[Opportunity ID]],'Aging Detail'!$H$14:$H$20,'Aging Detail'!$F$14:$F$20),TRUE)</f>
        <v>1</v>
      </c>
    </row>
    <row r="740" spans="1:32">
      <c r="A740" t="s">
        <v>1461</v>
      </c>
      <c r="B740" t="s">
        <v>462</v>
      </c>
      <c r="C740" t="s">
        <v>563</v>
      </c>
      <c r="D740" t="s">
        <v>3224</v>
      </c>
      <c r="E740" t="s">
        <v>3225</v>
      </c>
      <c r="F740" t="s">
        <v>1484</v>
      </c>
      <c r="I740" s="422">
        <v>45490</v>
      </c>
      <c r="J740" s="422">
        <v>45734</v>
      </c>
      <c r="K740">
        <v>2925</v>
      </c>
      <c r="L740">
        <v>0</v>
      </c>
      <c r="M740" t="s">
        <v>3226</v>
      </c>
      <c r="N740" t="s">
        <v>1629</v>
      </c>
      <c r="O740" t="str">
        <f>_xlfn.IFNA(VLOOKUP(Table1[[#This Row],[Lead Source]],'helper tab'!A:B,2,FALSE),"Exclude")</f>
        <v>Exclude</v>
      </c>
      <c r="P740" s="422">
        <f t="shared" si="121"/>
        <v>45734.305555555555</v>
      </c>
      <c r="Q740">
        <f t="shared" si="122"/>
        <v>0</v>
      </c>
      <c r="R740">
        <f t="shared" si="123"/>
        <v>1</v>
      </c>
      <c r="S740">
        <f>IF(
AND($Q740=1,$M740&lt;&gt;""),
IF(
COUNTIFS(
$M$3:$M740,$M740,
$O$3:$O740,$O740,
$Q$3:$Q740,1,
$P$3:$P740,"&gt;="&amp;EOMONTH($P740,-1)+1,
$P$3:$P740,"&lt;"&amp;EOMONTH($P740,0)+1
)=1,
1,
0),
0)</f>
        <v>0</v>
      </c>
      <c r="T740">
        <f>IF(AND($R740=1,$M740&lt;&gt;""),IF(COUNTIFS($M$3:$M740,$M740,$O$3:$O740,$O740,$R$3:$R740,1,$P$3:$P740,"&gt;="&amp;EOMONTH($P740,-1)+1,$P$3:$P740,"&lt;"&amp;EOMONTH($P740,0)+1)=1,1,0),0)</f>
        <v>1</v>
      </c>
      <c r="U740">
        <f t="shared" si="124"/>
        <v>0</v>
      </c>
      <c r="V740">
        <f>IF(AND($U740=1,$M740&lt;&gt;""),IF(COUNTIFS($M$3:$M740,$M740,$O$3:$O740,$O740,$U$3:$U740,1,$P$3:$P740,"&gt;="&amp;EOMONTH($P740,-1)+1,$P$3:$P740,"&lt;"&amp;EOMONTH($P740,0)+1)=1,1,0),0)</f>
        <v>0</v>
      </c>
      <c r="W740" s="444">
        <f ca="1">TODAY()-Table1[[#This Row],[Change Date]]</f>
        <v>523.69444444444525</v>
      </c>
      <c r="X740" s="422" t="str">
        <f t="shared" si="125"/>
        <v/>
      </c>
      <c r="Y740" s="476">
        <f ca="1">IF(Table1[[#This Row],[Next Stage Date]]&lt;&gt;"",Table1[[#This Row],[Next Stage Date]]-Table1[[#This Row],[Change Date]],TODAY()-Table1[[#This Row],[Change Date]])</f>
        <v>523.69444444444525</v>
      </c>
      <c r="Z740" s="476">
        <f t="shared" si="126"/>
        <v>1</v>
      </c>
      <c r="AA740" s="422">
        <f t="shared" si="127"/>
        <v>45734.305555555555</v>
      </c>
      <c r="AB740" s="422" t="str">
        <f t="shared" si="128"/>
        <v/>
      </c>
      <c r="AC740" s="476" t="str">
        <f t="shared" si="129"/>
        <v/>
      </c>
      <c r="AD740" s="476" t="str">
        <f t="shared" si="130"/>
        <v/>
      </c>
      <c r="AE740" s="476">
        <f t="shared" si="131"/>
        <v>244.30555555555475</v>
      </c>
      <c r="AF740" s="476" t="b">
        <f>IFERROR(_xlfn.XLOOKUP(Table1[[#This Row],[Opportunity ID]],'Aging Detail'!$H$14:$H$20,'Aging Detail'!$F$14:$F$20),TRUE)</f>
        <v>1</v>
      </c>
    </row>
    <row r="741" spans="1:32">
      <c r="A741" t="s">
        <v>1461</v>
      </c>
      <c r="B741" t="s">
        <v>408</v>
      </c>
      <c r="C741" t="s">
        <v>563</v>
      </c>
      <c r="D741" t="s">
        <v>3227</v>
      </c>
      <c r="E741" t="s">
        <v>3228</v>
      </c>
      <c r="I741" s="422">
        <v>45708</v>
      </c>
      <c r="J741" s="422">
        <v>45733</v>
      </c>
      <c r="L741">
        <v>0</v>
      </c>
      <c r="M741" t="s">
        <v>3229</v>
      </c>
      <c r="N741" t="s">
        <v>1831</v>
      </c>
      <c r="O741" t="str">
        <f>_xlfn.IFNA(VLOOKUP(Table1[[#This Row],[Lead Source]],'helper tab'!A:B,2,FALSE),"Exclude")</f>
        <v>Exclude</v>
      </c>
      <c r="P741" s="422">
        <f t="shared" si="121"/>
        <v>45733.42291666667</v>
      </c>
      <c r="Q741">
        <f t="shared" si="122"/>
        <v>0</v>
      </c>
      <c r="R741">
        <f t="shared" si="123"/>
        <v>1</v>
      </c>
      <c r="S741">
        <f>IF(
AND($Q741=1,$M741&lt;&gt;""),
IF(
COUNTIFS(
$M$3:$M741,$M741,
$O$3:$O741,$O741,
$Q$3:$Q741,1,
$P$3:$P741,"&gt;="&amp;EOMONTH($P741,-1)+1,
$P$3:$P741,"&lt;"&amp;EOMONTH($P741,0)+1
)=1,
1,
0),
0)</f>
        <v>0</v>
      </c>
      <c r="T741">
        <f>IF(AND($R741=1,$M741&lt;&gt;""),IF(COUNTIFS($M$3:$M741,$M741,$O$3:$O741,$O741,$R$3:$R741,1,$P$3:$P741,"&gt;="&amp;EOMONTH($P741,-1)+1,$P$3:$P741,"&lt;"&amp;EOMONTH($P741,0)+1)=1,1,0),0)</f>
        <v>1</v>
      </c>
      <c r="U741">
        <f t="shared" si="124"/>
        <v>0</v>
      </c>
      <c r="V741">
        <f>IF(AND($U741=1,$M741&lt;&gt;""),IF(COUNTIFS($M$3:$M741,$M741,$O$3:$O741,$O741,$U$3:$U741,1,$P$3:$P741,"&gt;="&amp;EOMONTH($P741,-1)+1,$P$3:$P741,"&lt;"&amp;EOMONTH($P741,0)+1)=1,1,0),0)</f>
        <v>0</v>
      </c>
      <c r="W741" s="444">
        <f ca="1">TODAY()-Table1[[#This Row],[Change Date]]</f>
        <v>524.57708333332994</v>
      </c>
      <c r="X741" s="422" t="str">
        <f t="shared" si="125"/>
        <v/>
      </c>
      <c r="Y741" s="476">
        <f ca="1">IF(Table1[[#This Row],[Next Stage Date]]&lt;&gt;"",Table1[[#This Row],[Next Stage Date]]-Table1[[#This Row],[Change Date]],TODAY()-Table1[[#This Row],[Change Date]])</f>
        <v>524.57708333332994</v>
      </c>
      <c r="Z741" s="476">
        <f t="shared" si="126"/>
        <v>1</v>
      </c>
      <c r="AA741" s="422">
        <f t="shared" si="127"/>
        <v>45733.42291666667</v>
      </c>
      <c r="AB741" s="422" t="str">
        <f t="shared" si="128"/>
        <v/>
      </c>
      <c r="AC741" s="476" t="str">
        <f t="shared" si="129"/>
        <v/>
      </c>
      <c r="AD741" s="476" t="str">
        <f t="shared" si="130"/>
        <v/>
      </c>
      <c r="AE741" s="476">
        <f t="shared" si="131"/>
        <v>25.422916666670062</v>
      </c>
      <c r="AF741" s="476" t="b">
        <f>IFERROR(_xlfn.XLOOKUP(Table1[[#This Row],[Opportunity ID]],'Aging Detail'!$H$14:$H$20,'Aging Detail'!$F$14:$F$20),TRUE)</f>
        <v>1</v>
      </c>
    </row>
    <row r="742" spans="1:32">
      <c r="A742" t="s">
        <v>1461</v>
      </c>
      <c r="B742" t="s">
        <v>408</v>
      </c>
      <c r="C742" t="s">
        <v>526</v>
      </c>
      <c r="D742" t="s">
        <v>3230</v>
      </c>
      <c r="E742" t="s">
        <v>3211</v>
      </c>
      <c r="F742" t="s">
        <v>148</v>
      </c>
      <c r="H742" t="s">
        <v>1698</v>
      </c>
      <c r="I742" s="422">
        <v>45467</v>
      </c>
      <c r="J742" s="422">
        <v>45737</v>
      </c>
      <c r="K742">
        <v>15500</v>
      </c>
      <c r="L742">
        <v>0</v>
      </c>
      <c r="M742" t="s">
        <v>3212</v>
      </c>
      <c r="N742" t="s">
        <v>2639</v>
      </c>
      <c r="O742" t="str">
        <f>_xlfn.IFNA(VLOOKUP(Table1[[#This Row],[Lead Source]],'helper tab'!A:B,2,FALSE),"Exclude")</f>
        <v>Alliances</v>
      </c>
      <c r="P742" s="422">
        <f t="shared" si="121"/>
        <v>45730.32708333333</v>
      </c>
      <c r="Q742">
        <f t="shared" si="122"/>
        <v>1</v>
      </c>
      <c r="R742">
        <f t="shared" si="123"/>
        <v>0</v>
      </c>
      <c r="S742">
        <f>IF(
AND($Q742=1,$M742&lt;&gt;""),
IF(
COUNTIFS(
$M$3:$M742,$M742,
$O$3:$O742,$O742,
$Q$3:$Q742,1,
$P$3:$P742,"&gt;="&amp;EOMONTH($P742,-1)+1,
$P$3:$P742,"&lt;"&amp;EOMONTH($P742,0)+1
)=1,
1,
0),
0)</f>
        <v>1</v>
      </c>
      <c r="T742">
        <f>IF(AND($R742=1,$M742&lt;&gt;""),IF(COUNTIFS($M$3:$M742,$M742,$O$3:$O742,$O742,$R$3:$R742,1,$P$3:$P742,"&gt;="&amp;EOMONTH($P742,-1)+1,$P$3:$P742,"&lt;"&amp;EOMONTH($P742,0)+1)=1,1,0),0)</f>
        <v>0</v>
      </c>
      <c r="U742">
        <f t="shared" si="124"/>
        <v>0</v>
      </c>
      <c r="V742">
        <f>IF(AND($U742=1,$M742&lt;&gt;""),IF(COUNTIFS($M$3:$M742,$M742,$O$3:$O742,$O742,$U$3:$U742,1,$P$3:$P742,"&gt;="&amp;EOMONTH($P742,-1)+1,$P$3:$P742,"&lt;"&amp;EOMONTH($P742,0)+1)=1,1,0),0)</f>
        <v>0</v>
      </c>
      <c r="W742" s="444">
        <f ca="1">TODAY()-Table1[[#This Row],[Change Date]]</f>
        <v>527.67291666667006</v>
      </c>
      <c r="X742" s="422">
        <f t="shared" si="125"/>
        <v>45737.376388888886</v>
      </c>
      <c r="Y742" s="476">
        <f ca="1">IF(Table1[[#This Row],[Next Stage Date]]&lt;&gt;"",Table1[[#This Row],[Next Stage Date]]-Table1[[#This Row],[Change Date]],TODAY()-Table1[[#This Row],[Change Date]])</f>
        <v>7.0493055555562023</v>
      </c>
      <c r="Z742" s="476">
        <f t="shared" si="126"/>
        <v>0</v>
      </c>
      <c r="AA742" s="422">
        <f t="shared" si="127"/>
        <v>45737.376388888886</v>
      </c>
      <c r="AB742" s="422">
        <f t="shared" si="128"/>
        <v>45730.32708333333</v>
      </c>
      <c r="AC742" s="476">
        <f t="shared" si="129"/>
        <v>263.32708333332994</v>
      </c>
      <c r="AD742" s="476">
        <f t="shared" si="130"/>
        <v>7.0493055555562023</v>
      </c>
      <c r="AE742" s="476">
        <f t="shared" si="131"/>
        <v>270.37638888888614</v>
      </c>
      <c r="AF742" s="476" t="b">
        <f>IFERROR(_xlfn.XLOOKUP(Table1[[#This Row],[Opportunity ID]],'Aging Detail'!$H$14:$H$20,'Aging Detail'!$F$14:$F$20),TRUE)</f>
        <v>1</v>
      </c>
    </row>
    <row r="743" spans="1:32">
      <c r="A743" t="s">
        <v>1461</v>
      </c>
      <c r="B743" t="s">
        <v>338</v>
      </c>
      <c r="C743" t="s">
        <v>1469</v>
      </c>
      <c r="D743" t="s">
        <v>3231</v>
      </c>
      <c r="E743" t="s">
        <v>3232</v>
      </c>
      <c r="F743" t="s">
        <v>148</v>
      </c>
      <c r="H743" t="s">
        <v>154</v>
      </c>
      <c r="I743" s="422">
        <v>44909</v>
      </c>
      <c r="J743" s="422">
        <v>45930</v>
      </c>
      <c r="K743">
        <v>541600</v>
      </c>
      <c r="L743">
        <v>381600</v>
      </c>
      <c r="M743" t="s">
        <v>3233</v>
      </c>
      <c r="N743" t="s">
        <v>3234</v>
      </c>
      <c r="O743" t="str">
        <f>_xlfn.IFNA(VLOOKUP(Table1[[#This Row],[Lead Source]],'helper tab'!A:B,2,FALSE),"Exclude")</f>
        <v>Alliances</v>
      </c>
      <c r="P743" s="422">
        <f t="shared" si="121"/>
        <v>45727.224305555559</v>
      </c>
      <c r="Q743">
        <f t="shared" si="122"/>
        <v>0</v>
      </c>
      <c r="R743">
        <f t="shared" si="123"/>
        <v>0</v>
      </c>
      <c r="S743">
        <f>IF(
AND($Q743=1,$M743&lt;&gt;""),
IF(
COUNTIFS(
$M$3:$M743,$M743,
$O$3:$O743,$O743,
$Q$3:$Q743,1,
$P$3:$P743,"&gt;="&amp;EOMONTH($P743,-1)+1,
$P$3:$P743,"&lt;"&amp;EOMONTH($P743,0)+1
)=1,
1,
0),
0)</f>
        <v>0</v>
      </c>
      <c r="T743">
        <f>IF(AND($R743=1,$M743&lt;&gt;""),IF(COUNTIFS($M$3:$M743,$M743,$O$3:$O743,$O743,$R$3:$R743,1,$P$3:$P743,"&gt;="&amp;EOMONTH($P743,-1)+1,$P$3:$P743,"&lt;"&amp;EOMONTH($P743,0)+1)=1,1,0),0)</f>
        <v>0</v>
      </c>
      <c r="U743">
        <f t="shared" si="124"/>
        <v>1</v>
      </c>
      <c r="V743">
        <f>IF(AND($U743=1,$M743&lt;&gt;""),IF(COUNTIFS($M$3:$M743,$M743,$O$3:$O743,$O743,$U$3:$U743,1,$P$3:$P743,"&gt;="&amp;EOMONTH($P743,-1)+1,$P$3:$P743,"&lt;"&amp;EOMONTH($P743,0)+1)=1,1,0),0)</f>
        <v>1</v>
      </c>
      <c r="W743" s="444">
        <f ca="1">TODAY()-Table1[[#This Row],[Change Date]]</f>
        <v>530.77569444444089</v>
      </c>
      <c r="X743" s="422" t="str">
        <f t="shared" si="125"/>
        <v/>
      </c>
      <c r="Y743" s="476">
        <f ca="1">IF(Table1[[#This Row],[Next Stage Date]]&lt;&gt;"",Table1[[#This Row],[Next Stage Date]]-Table1[[#This Row],[Change Date]],TODAY()-Table1[[#This Row],[Change Date]])</f>
        <v>530.77569444444089</v>
      </c>
      <c r="Z743" s="476">
        <f t="shared" si="126"/>
        <v>1</v>
      </c>
      <c r="AA743" s="422" t="str">
        <f t="shared" si="127"/>
        <v/>
      </c>
      <c r="AB743" s="422" t="str">
        <f t="shared" si="128"/>
        <v/>
      </c>
      <c r="AC743" s="476" t="str">
        <f t="shared" si="129"/>
        <v/>
      </c>
      <c r="AD743" s="476" t="str">
        <f t="shared" si="130"/>
        <v/>
      </c>
      <c r="AE743" s="476" t="str">
        <f t="shared" si="131"/>
        <v/>
      </c>
      <c r="AF743" s="476" t="b">
        <f>IFERROR(_xlfn.XLOOKUP(Table1[[#This Row],[Opportunity ID]],'Aging Detail'!$H$14:$H$20,'Aging Detail'!$F$14:$F$20),TRUE)</f>
        <v>1</v>
      </c>
    </row>
    <row r="744" spans="1:32">
      <c r="A744" t="s">
        <v>1461</v>
      </c>
      <c r="B744" t="s">
        <v>338</v>
      </c>
      <c r="C744" t="s">
        <v>462</v>
      </c>
      <c r="D744" t="s">
        <v>3235</v>
      </c>
      <c r="E744" t="s">
        <v>2908</v>
      </c>
      <c r="I744" s="422">
        <v>45699</v>
      </c>
      <c r="J744" s="422">
        <v>45853</v>
      </c>
      <c r="K744">
        <v>21600</v>
      </c>
      <c r="L744">
        <v>0</v>
      </c>
      <c r="M744" t="s">
        <v>2909</v>
      </c>
      <c r="N744" t="s">
        <v>1524</v>
      </c>
      <c r="O744" t="str">
        <f>_xlfn.IFNA(VLOOKUP(Table1[[#This Row],[Lead Source]],'helper tab'!A:B,2,FALSE),"Exclude")</f>
        <v>Exclude</v>
      </c>
      <c r="P744" s="422">
        <f t="shared" si="121"/>
        <v>45726.252083333333</v>
      </c>
      <c r="Q744">
        <f t="shared" si="122"/>
        <v>1</v>
      </c>
      <c r="R744">
        <f t="shared" si="123"/>
        <v>0</v>
      </c>
      <c r="S744">
        <f>IF(
AND($Q744=1,$M744&lt;&gt;""),
IF(
COUNTIFS(
$M$3:$M744,$M744,
$O$3:$O744,$O744,
$Q$3:$Q744,1,
$P$3:$P744,"&gt;="&amp;EOMONTH($P744,-1)+1,
$P$3:$P744,"&lt;"&amp;EOMONTH($P744,0)+1
)=1,
1,
0),
0)</f>
        <v>1</v>
      </c>
      <c r="T744">
        <f>IF(AND($R744=1,$M744&lt;&gt;""),IF(COUNTIFS($M$3:$M744,$M744,$O$3:$O744,$O744,$R$3:$R744,1,$P$3:$P744,"&gt;="&amp;EOMONTH($P744,-1)+1,$P$3:$P744,"&lt;"&amp;EOMONTH($P744,0)+1)=1,1,0),0)</f>
        <v>0</v>
      </c>
      <c r="U744">
        <f t="shared" si="124"/>
        <v>0</v>
      </c>
      <c r="V744">
        <f>IF(AND($U744=1,$M744&lt;&gt;""),IF(COUNTIFS($M$3:$M744,$M744,$O$3:$O744,$O744,$U$3:$U744,1,$P$3:$P744,"&gt;="&amp;EOMONTH($P744,-1)+1,$P$3:$P744,"&lt;"&amp;EOMONTH($P744,0)+1)=1,1,0),0)</f>
        <v>0</v>
      </c>
      <c r="W744" s="444">
        <f ca="1">TODAY()-Table1[[#This Row],[Change Date]]</f>
        <v>531.74791666666715</v>
      </c>
      <c r="X744" s="422">
        <f t="shared" si="125"/>
        <v>45853.238888888889</v>
      </c>
      <c r="Y744" s="476">
        <f ca="1">IF(Table1[[#This Row],[Next Stage Date]]&lt;&gt;"",Table1[[#This Row],[Next Stage Date]]-Table1[[#This Row],[Change Date]],TODAY()-Table1[[#This Row],[Change Date]])</f>
        <v>126.9868055555562</v>
      </c>
      <c r="Z744" s="476">
        <f t="shared" si="126"/>
        <v>0</v>
      </c>
      <c r="AA744" s="422">
        <f t="shared" si="127"/>
        <v>45853.238888888889</v>
      </c>
      <c r="AB744" s="422">
        <f t="shared" si="128"/>
        <v>45726.252083333333</v>
      </c>
      <c r="AC744" s="476">
        <f t="shared" si="129"/>
        <v>27.252083333332848</v>
      </c>
      <c r="AD744" s="476">
        <f t="shared" si="130"/>
        <v>126.9868055555562</v>
      </c>
      <c r="AE744" s="476">
        <f t="shared" si="131"/>
        <v>154.23888888888905</v>
      </c>
      <c r="AF744" s="476" t="b">
        <f>IFERROR(_xlfn.XLOOKUP(Table1[[#This Row],[Opportunity ID]],'Aging Detail'!$H$14:$H$20,'Aging Detail'!$F$14:$F$20),TRUE)</f>
        <v>1</v>
      </c>
    </row>
    <row r="745" spans="1:32">
      <c r="A745" t="s">
        <v>1461</v>
      </c>
      <c r="B745" t="s">
        <v>408</v>
      </c>
      <c r="C745" t="s">
        <v>1469</v>
      </c>
      <c r="D745" t="s">
        <v>3236</v>
      </c>
      <c r="E745" t="s">
        <v>2514</v>
      </c>
      <c r="H745" t="s">
        <v>2515</v>
      </c>
      <c r="I745" s="422">
        <v>45680</v>
      </c>
      <c r="J745" s="422">
        <v>46173</v>
      </c>
      <c r="K745">
        <v>480000</v>
      </c>
      <c r="L745">
        <v>480000</v>
      </c>
      <c r="M745" t="s">
        <v>2516</v>
      </c>
      <c r="N745" t="s">
        <v>1691</v>
      </c>
      <c r="O745" t="str">
        <f>_xlfn.IFNA(VLOOKUP(Table1[[#This Row],[Lead Source]],'helper tab'!A:B,2,FALSE),"Exclude")</f>
        <v>Exclude</v>
      </c>
      <c r="P745" s="422">
        <f t="shared" si="121"/>
        <v>45723.260416666664</v>
      </c>
      <c r="Q745">
        <f t="shared" si="122"/>
        <v>0</v>
      </c>
      <c r="R745">
        <f t="shared" si="123"/>
        <v>0</v>
      </c>
      <c r="S745">
        <f>IF(
AND($Q745=1,$M745&lt;&gt;""),
IF(
COUNTIFS(
$M$3:$M745,$M745,
$O$3:$O745,$O745,
$Q$3:$Q745,1,
$P$3:$P745,"&gt;="&amp;EOMONTH($P745,-1)+1,
$P$3:$P745,"&lt;"&amp;EOMONTH($P745,0)+1
)=1,
1,
0),
0)</f>
        <v>0</v>
      </c>
      <c r="T745">
        <f>IF(AND($R745=1,$M745&lt;&gt;""),IF(COUNTIFS($M$3:$M745,$M745,$O$3:$O745,$O745,$R$3:$R745,1,$P$3:$P745,"&gt;="&amp;EOMONTH($P745,-1)+1,$P$3:$P745,"&lt;"&amp;EOMONTH($P745,0)+1)=1,1,0),0)</f>
        <v>0</v>
      </c>
      <c r="U745">
        <f t="shared" si="124"/>
        <v>1</v>
      </c>
      <c r="V745">
        <f>IF(AND($U745=1,$M745&lt;&gt;""),IF(COUNTIFS($M$3:$M745,$M745,$O$3:$O745,$O745,$U$3:$U745,1,$P$3:$P745,"&gt;="&amp;EOMONTH($P745,-1)+1,$P$3:$P745,"&lt;"&amp;EOMONTH($P745,0)+1)=1,1,0),0)</f>
        <v>1</v>
      </c>
      <c r="W745" s="444">
        <f ca="1">TODAY()-Table1[[#This Row],[Change Date]]</f>
        <v>534.73958333333576</v>
      </c>
      <c r="X745" s="422">
        <f t="shared" si="125"/>
        <v>45790.286111111112</v>
      </c>
      <c r="Y745" s="476">
        <f ca="1">IF(Table1[[#This Row],[Next Stage Date]]&lt;&gt;"",Table1[[#This Row],[Next Stage Date]]-Table1[[#This Row],[Change Date]],TODAY()-Table1[[#This Row],[Change Date]])</f>
        <v>67.025694444448163</v>
      </c>
      <c r="Z745" s="476">
        <f t="shared" si="126"/>
        <v>0</v>
      </c>
      <c r="AA745" s="422" t="str">
        <f t="shared" si="127"/>
        <v/>
      </c>
      <c r="AB745" s="422" t="str">
        <f t="shared" si="128"/>
        <v/>
      </c>
      <c r="AC745" s="476" t="str">
        <f t="shared" si="129"/>
        <v/>
      </c>
      <c r="AD745" s="476" t="str">
        <f t="shared" si="130"/>
        <v/>
      </c>
      <c r="AE745" s="476" t="str">
        <f t="shared" si="131"/>
        <v/>
      </c>
      <c r="AF745" s="476" t="b">
        <f>IFERROR(_xlfn.XLOOKUP(Table1[[#This Row],[Opportunity ID]],'Aging Detail'!$H$14:$H$20,'Aging Detail'!$F$14:$F$20),TRUE)</f>
        <v>1</v>
      </c>
    </row>
    <row r="746" spans="1:32">
      <c r="A746" t="s">
        <v>1461</v>
      </c>
      <c r="B746" t="s">
        <v>408</v>
      </c>
      <c r="C746" t="s">
        <v>1469</v>
      </c>
      <c r="D746" t="s">
        <v>3237</v>
      </c>
      <c r="E746" t="s">
        <v>3238</v>
      </c>
      <c r="F746" t="s">
        <v>1484</v>
      </c>
      <c r="I746" s="422">
        <v>45561</v>
      </c>
      <c r="J746" s="422">
        <v>47088</v>
      </c>
      <c r="K746">
        <v>5232565.87</v>
      </c>
      <c r="L746">
        <v>13645.87</v>
      </c>
      <c r="M746" t="s">
        <v>3239</v>
      </c>
      <c r="N746" t="s">
        <v>1642</v>
      </c>
      <c r="O746" t="str">
        <f>_xlfn.IFNA(VLOOKUP(Table1[[#This Row],[Lead Source]],'helper tab'!A:B,2,FALSE),"Exclude")</f>
        <v>Exclude</v>
      </c>
      <c r="P746" s="422">
        <f t="shared" si="121"/>
        <v>45723.258333333331</v>
      </c>
      <c r="Q746">
        <f t="shared" si="122"/>
        <v>0</v>
      </c>
      <c r="R746">
        <f t="shared" si="123"/>
        <v>0</v>
      </c>
      <c r="S746">
        <f>IF(
AND($Q746=1,$M746&lt;&gt;""),
IF(
COUNTIFS(
$M$3:$M746,$M746,
$O$3:$O746,$O746,
$Q$3:$Q746,1,
$P$3:$P746,"&gt;="&amp;EOMONTH($P746,-1)+1,
$P$3:$P746,"&lt;"&amp;EOMONTH($P746,0)+1
)=1,
1,
0),
0)</f>
        <v>0</v>
      </c>
      <c r="T746">
        <f>IF(AND($R746=1,$M746&lt;&gt;""),IF(COUNTIFS($M$3:$M746,$M746,$O$3:$O746,$O746,$R$3:$R746,1,$P$3:$P746,"&gt;="&amp;EOMONTH($P746,-1)+1,$P$3:$P746,"&lt;"&amp;EOMONTH($P746,0)+1)=1,1,0),0)</f>
        <v>0</v>
      </c>
      <c r="U746">
        <f t="shared" si="124"/>
        <v>1</v>
      </c>
      <c r="V746">
        <f>IF(AND($U746=1,$M746&lt;&gt;""),IF(COUNTIFS($M$3:$M746,$M746,$O$3:$O746,$O746,$U$3:$U746,1,$P$3:$P746,"&gt;="&amp;EOMONTH($P746,-1)+1,$P$3:$P746,"&lt;"&amp;EOMONTH($P746,0)+1)=1,1,0),0)</f>
        <v>1</v>
      </c>
      <c r="W746" s="444">
        <f ca="1">TODAY()-Table1[[#This Row],[Change Date]]</f>
        <v>534.74166666666861</v>
      </c>
      <c r="X746" s="422" t="str">
        <f t="shared" si="125"/>
        <v/>
      </c>
      <c r="Y746" s="476">
        <f ca="1">IF(Table1[[#This Row],[Next Stage Date]]&lt;&gt;"",Table1[[#This Row],[Next Stage Date]]-Table1[[#This Row],[Change Date]],TODAY()-Table1[[#This Row],[Change Date]])</f>
        <v>534.74166666666861</v>
      </c>
      <c r="Z746" s="476">
        <f t="shared" si="126"/>
        <v>1</v>
      </c>
      <c r="AA746" s="422" t="str">
        <f t="shared" si="127"/>
        <v/>
      </c>
      <c r="AB746" s="422" t="str">
        <f t="shared" si="128"/>
        <v/>
      </c>
      <c r="AC746" s="476" t="str">
        <f t="shared" si="129"/>
        <v/>
      </c>
      <c r="AD746" s="476" t="str">
        <f t="shared" si="130"/>
        <v/>
      </c>
      <c r="AE746" s="476" t="str">
        <f t="shared" si="131"/>
        <v/>
      </c>
      <c r="AF746" s="476" t="b">
        <f>IFERROR(_xlfn.XLOOKUP(Table1[[#This Row],[Opportunity ID]],'Aging Detail'!$H$14:$H$20,'Aging Detail'!$F$14:$F$20),TRUE)</f>
        <v>1</v>
      </c>
    </row>
    <row r="747" spans="1:32">
      <c r="A747" t="s">
        <v>1461</v>
      </c>
      <c r="B747" t="s">
        <v>338</v>
      </c>
      <c r="C747" t="s">
        <v>563</v>
      </c>
      <c r="D747" t="s">
        <v>3240</v>
      </c>
      <c r="E747" t="s">
        <v>3241</v>
      </c>
      <c r="I747" s="422">
        <v>45722</v>
      </c>
      <c r="J747" s="422">
        <v>45685</v>
      </c>
      <c r="L747">
        <v>0</v>
      </c>
      <c r="M747" t="s">
        <v>3242</v>
      </c>
      <c r="N747" t="s">
        <v>2239</v>
      </c>
      <c r="O747" t="str">
        <f>_xlfn.IFNA(VLOOKUP(Table1[[#This Row],[Lead Source]],'helper tab'!A:B,2,FALSE),"Exclude")</f>
        <v>Exclude</v>
      </c>
      <c r="P747" s="422">
        <f t="shared" si="121"/>
        <v>45722.518750000003</v>
      </c>
      <c r="Q747">
        <f t="shared" si="122"/>
        <v>0</v>
      </c>
      <c r="R747">
        <f t="shared" si="123"/>
        <v>1</v>
      </c>
      <c r="S747">
        <f>IF(
AND($Q747=1,$M747&lt;&gt;""),
IF(
COUNTIFS(
$M$3:$M747,$M747,
$O$3:$O747,$O747,
$Q$3:$Q747,1,
$P$3:$P747,"&gt;="&amp;EOMONTH($P747,-1)+1,
$P$3:$P747,"&lt;"&amp;EOMONTH($P747,0)+1
)=1,
1,
0),
0)</f>
        <v>0</v>
      </c>
      <c r="T747">
        <f>IF(AND($R747=1,$M747&lt;&gt;""),IF(COUNTIFS($M$3:$M747,$M747,$O$3:$O747,$O747,$R$3:$R747,1,$P$3:$P747,"&gt;="&amp;EOMONTH($P747,-1)+1,$P$3:$P747,"&lt;"&amp;EOMONTH($P747,0)+1)=1,1,0),0)</f>
        <v>1</v>
      </c>
      <c r="U747">
        <f t="shared" si="124"/>
        <v>0</v>
      </c>
      <c r="V747">
        <f>IF(AND($U747=1,$M747&lt;&gt;""),IF(COUNTIFS($M$3:$M747,$M747,$O$3:$O747,$O747,$U$3:$U747,1,$P$3:$P747,"&gt;="&amp;EOMONTH($P747,-1)+1,$P$3:$P747,"&lt;"&amp;EOMONTH($P747,0)+1)=1,1,0),0)</f>
        <v>0</v>
      </c>
      <c r="W747" s="444">
        <f ca="1">TODAY()-Table1[[#This Row],[Change Date]]</f>
        <v>535.48124999999709</v>
      </c>
      <c r="X747" s="422" t="str">
        <f t="shared" si="125"/>
        <v/>
      </c>
      <c r="Y747" s="476">
        <f ca="1">IF(Table1[[#This Row],[Next Stage Date]]&lt;&gt;"",Table1[[#This Row],[Next Stage Date]]-Table1[[#This Row],[Change Date]],TODAY()-Table1[[#This Row],[Change Date]])</f>
        <v>535.48124999999709</v>
      </c>
      <c r="Z747" s="476">
        <f t="shared" si="126"/>
        <v>1</v>
      </c>
      <c r="AA747" s="422">
        <f t="shared" si="127"/>
        <v>45722.518750000003</v>
      </c>
      <c r="AB747" s="422" t="str">
        <f t="shared" si="128"/>
        <v/>
      </c>
      <c r="AC747" s="476" t="str">
        <f t="shared" si="129"/>
        <v/>
      </c>
      <c r="AD747" s="476" t="str">
        <f t="shared" si="130"/>
        <v/>
      </c>
      <c r="AE747" s="476">
        <f t="shared" si="131"/>
        <v>0.51875000000291038</v>
      </c>
      <c r="AF747" s="476" t="b">
        <f>IFERROR(_xlfn.XLOOKUP(Table1[[#This Row],[Opportunity ID]],'Aging Detail'!$H$14:$H$20,'Aging Detail'!$F$14:$F$20),TRUE)</f>
        <v>1</v>
      </c>
    </row>
    <row r="748" spans="1:32">
      <c r="A748" t="s">
        <v>1461</v>
      </c>
      <c r="B748" t="s">
        <v>338</v>
      </c>
      <c r="C748" t="s">
        <v>1469</v>
      </c>
      <c r="D748" t="s">
        <v>3243</v>
      </c>
      <c r="E748" t="s">
        <v>3244</v>
      </c>
      <c r="F748" t="s">
        <v>1484</v>
      </c>
      <c r="I748" s="422">
        <v>45495</v>
      </c>
      <c r="J748" s="422">
        <v>73050</v>
      </c>
      <c r="L748">
        <v>0</v>
      </c>
      <c r="M748" t="s">
        <v>3245</v>
      </c>
      <c r="N748" t="s">
        <v>1708</v>
      </c>
      <c r="O748" t="str">
        <f>_xlfn.IFNA(VLOOKUP(Table1[[#This Row],[Lead Source]],'helper tab'!A:B,2,FALSE),"Exclude")</f>
        <v>Exclude</v>
      </c>
      <c r="P748" s="422">
        <f t="shared" si="121"/>
        <v>45720.51458333333</v>
      </c>
      <c r="Q748">
        <f t="shared" si="122"/>
        <v>0</v>
      </c>
      <c r="R748">
        <f t="shared" si="123"/>
        <v>0</v>
      </c>
      <c r="S748">
        <f>IF(
AND($Q748=1,$M748&lt;&gt;""),
IF(
COUNTIFS(
$M$3:$M748,$M748,
$O$3:$O748,$O748,
$Q$3:$Q748,1,
$P$3:$P748,"&gt;="&amp;EOMONTH($P748,-1)+1,
$P$3:$P748,"&lt;"&amp;EOMONTH($P748,0)+1
)=1,
1,
0),
0)</f>
        <v>0</v>
      </c>
      <c r="T748">
        <f>IF(AND($R748=1,$M748&lt;&gt;""),IF(COUNTIFS($M$3:$M748,$M748,$O$3:$O748,$O748,$R$3:$R748,1,$P$3:$P748,"&gt;="&amp;EOMONTH($P748,-1)+1,$P$3:$P748,"&lt;"&amp;EOMONTH($P748,0)+1)=1,1,0),0)</f>
        <v>0</v>
      </c>
      <c r="U748">
        <f t="shared" si="124"/>
        <v>1</v>
      </c>
      <c r="V748">
        <f>IF(AND($U748=1,$M748&lt;&gt;""),IF(COUNTIFS($M$3:$M748,$M748,$O$3:$O748,$O748,$U$3:$U748,1,$P$3:$P748,"&gt;="&amp;EOMONTH($P748,-1)+1,$P$3:$P748,"&lt;"&amp;EOMONTH($P748,0)+1)=1,1,0),0)</f>
        <v>1</v>
      </c>
      <c r="W748" s="444">
        <f ca="1">TODAY()-Table1[[#This Row],[Change Date]]</f>
        <v>537.48541666667006</v>
      </c>
      <c r="X748" s="422" t="str">
        <f t="shared" si="125"/>
        <v/>
      </c>
      <c r="Y748" s="476">
        <f ca="1">IF(Table1[[#This Row],[Next Stage Date]]&lt;&gt;"",Table1[[#This Row],[Next Stage Date]]-Table1[[#This Row],[Change Date]],TODAY()-Table1[[#This Row],[Change Date]])</f>
        <v>537.48541666667006</v>
      </c>
      <c r="Z748" s="476">
        <f t="shared" si="126"/>
        <v>1</v>
      </c>
      <c r="AA748" s="422" t="str">
        <f t="shared" si="127"/>
        <v/>
      </c>
      <c r="AB748" s="422" t="str">
        <f t="shared" si="128"/>
        <v/>
      </c>
      <c r="AC748" s="476" t="str">
        <f t="shared" si="129"/>
        <v/>
      </c>
      <c r="AD748" s="476" t="str">
        <f t="shared" si="130"/>
        <v/>
      </c>
      <c r="AE748" s="476" t="str">
        <f t="shared" si="131"/>
        <v/>
      </c>
      <c r="AF748" s="476" t="b">
        <f>IFERROR(_xlfn.XLOOKUP(Table1[[#This Row],[Opportunity ID]],'Aging Detail'!$H$14:$H$20,'Aging Detail'!$F$14:$F$20),TRUE)</f>
        <v>1</v>
      </c>
    </row>
    <row r="749" spans="1:32">
      <c r="A749" t="s">
        <v>1461</v>
      </c>
      <c r="B749" t="s">
        <v>408</v>
      </c>
      <c r="C749" t="s">
        <v>1462</v>
      </c>
      <c r="D749" t="s">
        <v>3246</v>
      </c>
      <c r="E749" t="s">
        <v>2536</v>
      </c>
      <c r="F749" t="s">
        <v>148</v>
      </c>
      <c r="I749" s="422">
        <v>45188</v>
      </c>
      <c r="J749" s="422">
        <v>45961</v>
      </c>
      <c r="K749">
        <v>798720</v>
      </c>
      <c r="L749">
        <v>249600</v>
      </c>
      <c r="M749" t="s">
        <v>95</v>
      </c>
      <c r="N749" t="s">
        <v>2537</v>
      </c>
      <c r="O749" t="str">
        <f>_xlfn.IFNA(VLOOKUP(Table1[[#This Row],[Lead Source]],'helper tab'!A:B,2,FALSE),"Exclude")</f>
        <v>Alliances</v>
      </c>
      <c r="P749" s="422">
        <f t="shared" si="121"/>
        <v>45720.499305555553</v>
      </c>
      <c r="Q749">
        <f t="shared" si="122"/>
        <v>0</v>
      </c>
      <c r="R749">
        <f t="shared" si="123"/>
        <v>0</v>
      </c>
      <c r="S749">
        <f>IF(
AND($Q749=1,$M749&lt;&gt;""),
IF(
COUNTIFS(
$M$3:$M749,$M749,
$O$3:$O749,$O749,
$Q$3:$Q749,1,
$P$3:$P749,"&gt;="&amp;EOMONTH($P749,-1)+1,
$P$3:$P749,"&lt;"&amp;EOMONTH($P749,0)+1
)=1,
1,
0),
0)</f>
        <v>0</v>
      </c>
      <c r="T749">
        <f>IF(AND($R749=1,$M749&lt;&gt;""),IF(COUNTIFS($M$3:$M749,$M749,$O$3:$O749,$O749,$R$3:$R749,1,$P$3:$P749,"&gt;="&amp;EOMONTH($P749,-1)+1,$P$3:$P749,"&lt;"&amp;EOMONTH($P749,0)+1)=1,1,0),0)</f>
        <v>0</v>
      </c>
      <c r="U749">
        <f t="shared" si="124"/>
        <v>0</v>
      </c>
      <c r="V749">
        <f>IF(AND($U749=1,$M749&lt;&gt;""),IF(COUNTIFS($M$3:$M749,$M749,$O$3:$O749,$O749,$U$3:$U749,1,$P$3:$P749,"&gt;="&amp;EOMONTH($P749,-1)+1,$P$3:$P749,"&lt;"&amp;EOMONTH($P749,0)+1)=1,1,0),0)</f>
        <v>0</v>
      </c>
      <c r="W749" s="444">
        <f ca="1">TODAY()-Table1[[#This Row],[Change Date]]</f>
        <v>537.50069444444671</v>
      </c>
      <c r="X749" s="422">
        <f t="shared" si="125"/>
        <v>45786.50277777778</v>
      </c>
      <c r="Y749" s="476">
        <f ca="1">IF(Table1[[#This Row],[Next Stage Date]]&lt;&gt;"",Table1[[#This Row],[Next Stage Date]]-Table1[[#This Row],[Change Date]],TODAY()-Table1[[#This Row],[Change Date]])</f>
        <v>66.003472222226264</v>
      </c>
      <c r="Z749" s="476">
        <f t="shared" si="126"/>
        <v>0</v>
      </c>
      <c r="AA749" s="422">
        <f t="shared" si="127"/>
        <v>45961.478472222225</v>
      </c>
      <c r="AB749" s="422">
        <f t="shared" si="128"/>
        <v>45786.50277777778</v>
      </c>
      <c r="AC749" s="476">
        <f t="shared" si="129"/>
        <v>598.50277777777956</v>
      </c>
      <c r="AD749" s="476">
        <f t="shared" si="130"/>
        <v>174.97569444444525</v>
      </c>
      <c r="AE749" s="476">
        <f t="shared" si="131"/>
        <v>773.47847222222481</v>
      </c>
      <c r="AF749" s="476" t="b">
        <f>IFERROR(_xlfn.XLOOKUP(Table1[[#This Row],[Opportunity ID]],'Aging Detail'!$H$14:$H$20,'Aging Detail'!$F$14:$F$20),TRUE)</f>
        <v>1</v>
      </c>
    </row>
    <row r="750" spans="1:32">
      <c r="A750" t="s">
        <v>1461</v>
      </c>
      <c r="B750" t="s">
        <v>408</v>
      </c>
      <c r="C750" t="s">
        <v>1469</v>
      </c>
      <c r="D750" t="s">
        <v>3247</v>
      </c>
      <c r="E750" t="s">
        <v>3248</v>
      </c>
      <c r="F750" t="s">
        <v>1473</v>
      </c>
      <c r="I750" s="422">
        <v>45463</v>
      </c>
      <c r="J750" s="422">
        <v>45912</v>
      </c>
      <c r="K750">
        <v>1412000</v>
      </c>
      <c r="L750">
        <v>1152000</v>
      </c>
      <c r="M750" t="s">
        <v>3249</v>
      </c>
      <c r="N750" t="s">
        <v>3248</v>
      </c>
      <c r="O750" t="str">
        <f>_xlfn.IFNA(VLOOKUP(Table1[[#This Row],[Lead Source]],'helper tab'!A:B,2,FALSE),"Exclude")</f>
        <v>Events</v>
      </c>
      <c r="P750" s="422">
        <f t="shared" si="121"/>
        <v>45719.466666666667</v>
      </c>
      <c r="Q750">
        <f t="shared" si="122"/>
        <v>0</v>
      </c>
      <c r="R750">
        <f t="shared" si="123"/>
        <v>0</v>
      </c>
      <c r="S750">
        <f>IF(
AND($Q750=1,$M750&lt;&gt;""),
IF(
COUNTIFS(
$M$3:$M750,$M750,
$O$3:$O750,$O750,
$Q$3:$Q750,1,
$P$3:$P750,"&gt;="&amp;EOMONTH($P750,-1)+1,
$P$3:$P750,"&lt;"&amp;EOMONTH($P750,0)+1
)=1,
1,
0),
0)</f>
        <v>0</v>
      </c>
      <c r="T750">
        <f>IF(AND($R750=1,$M750&lt;&gt;""),IF(COUNTIFS($M$3:$M750,$M750,$O$3:$O750,$O750,$R$3:$R750,1,$P$3:$P750,"&gt;="&amp;EOMONTH($P750,-1)+1,$P$3:$P750,"&lt;"&amp;EOMONTH($P750,0)+1)=1,1,0),0)</f>
        <v>0</v>
      </c>
      <c r="U750">
        <f t="shared" si="124"/>
        <v>1</v>
      </c>
      <c r="V750">
        <f>IF(AND($U750=1,$M750&lt;&gt;""),IF(COUNTIFS($M$3:$M750,$M750,$O$3:$O750,$O750,$U$3:$U750,1,$P$3:$P750,"&gt;="&amp;EOMONTH($P750,-1)+1,$P$3:$P750,"&lt;"&amp;EOMONTH($P750,0)+1)=1,1,0),0)</f>
        <v>1</v>
      </c>
      <c r="W750" s="444">
        <f ca="1">TODAY()-Table1[[#This Row],[Change Date]]</f>
        <v>538.53333333333285</v>
      </c>
      <c r="X750" s="422" t="str">
        <f t="shared" si="125"/>
        <v/>
      </c>
      <c r="Y750" s="476">
        <f ca="1">IF(Table1[[#This Row],[Next Stage Date]]&lt;&gt;"",Table1[[#This Row],[Next Stage Date]]-Table1[[#This Row],[Change Date]],TODAY()-Table1[[#This Row],[Change Date]])</f>
        <v>538.53333333333285</v>
      </c>
      <c r="Z750" s="476">
        <f t="shared" si="126"/>
        <v>1</v>
      </c>
      <c r="AA750" s="422" t="str">
        <f t="shared" si="127"/>
        <v/>
      </c>
      <c r="AB750" s="422" t="str">
        <f t="shared" si="128"/>
        <v/>
      </c>
      <c r="AC750" s="476" t="str">
        <f t="shared" si="129"/>
        <v/>
      </c>
      <c r="AD750" s="476" t="str">
        <f t="shared" si="130"/>
        <v/>
      </c>
      <c r="AE750" s="476" t="str">
        <f t="shared" si="131"/>
        <v/>
      </c>
      <c r="AF750" s="476" t="b">
        <f>IFERROR(_xlfn.XLOOKUP(Table1[[#This Row],[Opportunity ID]],'Aging Detail'!$H$14:$H$20,'Aging Detail'!$F$14:$F$20),TRUE)</f>
        <v>1</v>
      </c>
    </row>
    <row r="751" spans="1:32">
      <c r="A751" t="s">
        <v>1461</v>
      </c>
      <c r="B751" t="s">
        <v>408</v>
      </c>
      <c r="C751" t="s">
        <v>526</v>
      </c>
      <c r="D751" t="s">
        <v>3250</v>
      </c>
      <c r="E751" t="s">
        <v>2991</v>
      </c>
      <c r="I751" s="422">
        <v>45432</v>
      </c>
      <c r="J751" s="422">
        <v>45814</v>
      </c>
      <c r="K751">
        <v>1076559.75</v>
      </c>
      <c r="L751">
        <v>0</v>
      </c>
      <c r="M751" t="s">
        <v>2992</v>
      </c>
      <c r="N751" t="s">
        <v>2301</v>
      </c>
      <c r="O751" t="str">
        <f>_xlfn.IFNA(VLOOKUP(Table1[[#This Row],[Lead Source]],'helper tab'!A:B,2,FALSE),"Exclude")</f>
        <v>Exclude</v>
      </c>
      <c r="P751" s="422">
        <f t="shared" si="121"/>
        <v>45719.244444444441</v>
      </c>
      <c r="Q751">
        <f t="shared" si="122"/>
        <v>1</v>
      </c>
      <c r="R751">
        <f t="shared" si="123"/>
        <v>0</v>
      </c>
      <c r="S751">
        <f>IF(
AND($Q751=1,$M751&lt;&gt;""),
IF(
COUNTIFS(
$M$3:$M751,$M751,
$O$3:$O751,$O751,
$Q$3:$Q751,1,
$P$3:$P751,"&gt;="&amp;EOMONTH($P751,-1)+1,
$P$3:$P751,"&lt;"&amp;EOMONTH($P751,0)+1
)=1,
1,
0),
0)</f>
        <v>1</v>
      </c>
      <c r="T751">
        <f>IF(AND($R751=1,$M751&lt;&gt;""),IF(COUNTIFS($M$3:$M751,$M751,$O$3:$O751,$O751,$R$3:$R751,1,$P$3:$P751,"&gt;="&amp;EOMONTH($P751,-1)+1,$P$3:$P751,"&lt;"&amp;EOMONTH($P751,0)+1)=1,1,0),0)</f>
        <v>0</v>
      </c>
      <c r="U751">
        <f t="shared" si="124"/>
        <v>0</v>
      </c>
      <c r="V751">
        <f>IF(AND($U751=1,$M751&lt;&gt;""),IF(COUNTIFS($M$3:$M751,$M751,$O$3:$O751,$O751,$U$3:$U751,1,$P$3:$P751,"&gt;="&amp;EOMONTH($P751,-1)+1,$P$3:$P751,"&lt;"&amp;EOMONTH($P751,0)+1)=1,1,0),0)</f>
        <v>0</v>
      </c>
      <c r="W751" s="444">
        <f ca="1">TODAY()-Table1[[#This Row],[Change Date]]</f>
        <v>538.75555555555911</v>
      </c>
      <c r="X751" s="422">
        <f t="shared" si="125"/>
        <v>45817.432638888888</v>
      </c>
      <c r="Y751" s="476">
        <f ca="1">IF(Table1[[#This Row],[Next Stage Date]]&lt;&gt;"",Table1[[#This Row],[Next Stage Date]]-Table1[[#This Row],[Change Date]],TODAY()-Table1[[#This Row],[Change Date]])</f>
        <v>98.188194444446708</v>
      </c>
      <c r="Z751" s="476">
        <f t="shared" si="126"/>
        <v>0</v>
      </c>
      <c r="AA751" s="422">
        <f t="shared" si="127"/>
        <v>45817.432638888888</v>
      </c>
      <c r="AB751" s="422">
        <f t="shared" si="128"/>
        <v>45719.244444444441</v>
      </c>
      <c r="AC751" s="476">
        <f t="shared" si="129"/>
        <v>287.24444444444089</v>
      </c>
      <c r="AD751" s="476">
        <f t="shared" si="130"/>
        <v>98.188194444446708</v>
      </c>
      <c r="AE751" s="476">
        <f t="shared" si="131"/>
        <v>385.4326388888876</v>
      </c>
      <c r="AF751" s="476" t="b">
        <f>IFERROR(_xlfn.XLOOKUP(Table1[[#This Row],[Opportunity ID]],'Aging Detail'!$H$14:$H$20,'Aging Detail'!$F$14:$F$20),TRUE)</f>
        <v>1</v>
      </c>
    </row>
    <row r="752" spans="1:32">
      <c r="A752" t="s">
        <v>1461</v>
      </c>
      <c r="B752" t="s">
        <v>526</v>
      </c>
      <c r="C752" t="s">
        <v>563</v>
      </c>
      <c r="D752" t="s">
        <v>3251</v>
      </c>
      <c r="E752" t="s">
        <v>3252</v>
      </c>
      <c r="I752" s="422">
        <v>45716</v>
      </c>
      <c r="J752" s="422">
        <v>45716</v>
      </c>
      <c r="K752">
        <v>44000</v>
      </c>
      <c r="L752">
        <v>0</v>
      </c>
      <c r="M752" t="s">
        <v>3253</v>
      </c>
      <c r="N752" t="s">
        <v>1568</v>
      </c>
      <c r="O752" t="str">
        <f>_xlfn.IFNA(VLOOKUP(Table1[[#This Row],[Lead Source]],'helper tab'!A:B,2,FALSE),"Exclude")</f>
        <v>Exclude</v>
      </c>
      <c r="P752" s="422">
        <f t="shared" si="121"/>
        <v>45716.493055555555</v>
      </c>
      <c r="Q752">
        <f t="shared" si="122"/>
        <v>0</v>
      </c>
      <c r="R752">
        <f t="shared" si="123"/>
        <v>1</v>
      </c>
      <c r="S752">
        <f>IF(
AND($Q752=1,$M752&lt;&gt;""),
IF(
COUNTIFS(
$M$3:$M752,$M752,
$O$3:$O752,$O752,
$Q$3:$Q752,1,
$P$3:$P752,"&gt;="&amp;EOMONTH($P752,-1)+1,
$P$3:$P752,"&lt;"&amp;EOMONTH($P752,0)+1
)=1,
1,
0),
0)</f>
        <v>0</v>
      </c>
      <c r="T752">
        <f>IF(AND($R752=1,$M752&lt;&gt;""),IF(COUNTIFS($M$3:$M752,$M752,$O$3:$O752,$O752,$R$3:$R752,1,$P$3:$P752,"&gt;="&amp;EOMONTH($P752,-1)+1,$P$3:$P752,"&lt;"&amp;EOMONTH($P752,0)+1)=1,1,0),0)</f>
        <v>1</v>
      </c>
      <c r="U752">
        <f t="shared" si="124"/>
        <v>0</v>
      </c>
      <c r="V752">
        <f>IF(AND($U752=1,$M752&lt;&gt;""),IF(COUNTIFS($M$3:$M752,$M752,$O$3:$O752,$O752,$U$3:$U752,1,$P$3:$P752,"&gt;="&amp;EOMONTH($P752,-1)+1,$P$3:$P752,"&lt;"&amp;EOMONTH($P752,0)+1)=1,1,0),0)</f>
        <v>0</v>
      </c>
      <c r="W752" s="444">
        <f ca="1">TODAY()-Table1[[#This Row],[Change Date]]</f>
        <v>541.50694444444525</v>
      </c>
      <c r="X752" s="422" t="str">
        <f t="shared" si="125"/>
        <v/>
      </c>
      <c r="Y752" s="476">
        <f ca="1">IF(Table1[[#This Row],[Next Stage Date]]&lt;&gt;"",Table1[[#This Row],[Next Stage Date]]-Table1[[#This Row],[Change Date]],TODAY()-Table1[[#This Row],[Change Date]])</f>
        <v>541.50694444444525</v>
      </c>
      <c r="Z752" s="476">
        <f t="shared" si="126"/>
        <v>1</v>
      </c>
      <c r="AA752" s="422">
        <f t="shared" si="127"/>
        <v>45716.493055555555</v>
      </c>
      <c r="AB752" s="422">
        <f t="shared" si="128"/>
        <v>45716.488888888889</v>
      </c>
      <c r="AC752" s="476">
        <f t="shared" si="129"/>
        <v>0.48888888888905058</v>
      </c>
      <c r="AD752" s="476">
        <f t="shared" si="130"/>
        <v>4.166666665696539E-3</v>
      </c>
      <c r="AE752" s="476">
        <f t="shared" si="131"/>
        <v>0.49305555555474712</v>
      </c>
      <c r="AF752" s="476" t="b">
        <f>IFERROR(_xlfn.XLOOKUP(Table1[[#This Row],[Opportunity ID]],'Aging Detail'!$H$14:$H$20,'Aging Detail'!$F$14:$F$20),TRUE)</f>
        <v>1</v>
      </c>
    </row>
    <row r="753" spans="1:32">
      <c r="A753" t="s">
        <v>1461</v>
      </c>
      <c r="B753" t="s">
        <v>338</v>
      </c>
      <c r="C753" t="s">
        <v>526</v>
      </c>
      <c r="D753" t="s">
        <v>3254</v>
      </c>
      <c r="E753" t="s">
        <v>3252</v>
      </c>
      <c r="I753" s="422">
        <v>45716</v>
      </c>
      <c r="J753" s="422">
        <v>45716</v>
      </c>
      <c r="K753">
        <v>44000</v>
      </c>
      <c r="L753">
        <v>0</v>
      </c>
      <c r="M753" t="s">
        <v>3253</v>
      </c>
      <c r="N753" t="s">
        <v>1568</v>
      </c>
      <c r="O753" t="str">
        <f>_xlfn.IFNA(VLOOKUP(Table1[[#This Row],[Lead Source]],'helper tab'!A:B,2,FALSE),"Exclude")</f>
        <v>Exclude</v>
      </c>
      <c r="P753" s="422">
        <f t="shared" si="121"/>
        <v>45716.488888888889</v>
      </c>
      <c r="Q753">
        <f t="shared" si="122"/>
        <v>1</v>
      </c>
      <c r="R753">
        <f t="shared" si="123"/>
        <v>0</v>
      </c>
      <c r="S753">
        <f>IF(
AND($Q753=1,$M753&lt;&gt;""),
IF(
COUNTIFS(
$M$3:$M753,$M753,
$O$3:$O753,$O753,
$Q$3:$Q753,1,
$P$3:$P753,"&gt;="&amp;EOMONTH($P753,-1)+1,
$P$3:$P753,"&lt;"&amp;EOMONTH($P753,0)+1
)=1,
1,
0),
0)</f>
        <v>1</v>
      </c>
      <c r="T753">
        <f>IF(AND($R753=1,$M753&lt;&gt;""),IF(COUNTIFS($M$3:$M753,$M753,$O$3:$O753,$O753,$R$3:$R753,1,$P$3:$P753,"&gt;="&amp;EOMONTH($P753,-1)+1,$P$3:$P753,"&lt;"&amp;EOMONTH($P753,0)+1)=1,1,0),0)</f>
        <v>0</v>
      </c>
      <c r="U753">
        <f t="shared" si="124"/>
        <v>0</v>
      </c>
      <c r="V753">
        <f>IF(AND($U753=1,$M753&lt;&gt;""),IF(COUNTIFS($M$3:$M753,$M753,$O$3:$O753,$O753,$U$3:$U753,1,$P$3:$P753,"&gt;="&amp;EOMONTH($P753,-1)+1,$P$3:$P753,"&lt;"&amp;EOMONTH($P753,0)+1)=1,1,0),0)</f>
        <v>0</v>
      </c>
      <c r="W753" s="444">
        <f ca="1">TODAY()-Table1[[#This Row],[Change Date]]</f>
        <v>541.51111111111095</v>
      </c>
      <c r="X753" s="422">
        <f t="shared" si="125"/>
        <v>45716.493055555555</v>
      </c>
      <c r="Y753" s="476">
        <f ca="1">IF(Table1[[#This Row],[Next Stage Date]]&lt;&gt;"",Table1[[#This Row],[Next Stage Date]]-Table1[[#This Row],[Change Date]],TODAY()-Table1[[#This Row],[Change Date]])</f>
        <v>4.166666665696539E-3</v>
      </c>
      <c r="Z753" s="476">
        <f t="shared" si="126"/>
        <v>0</v>
      </c>
      <c r="AA753" s="422">
        <f t="shared" si="127"/>
        <v>45716.493055555555</v>
      </c>
      <c r="AB753" s="422">
        <f t="shared" si="128"/>
        <v>45716.488888888889</v>
      </c>
      <c r="AC753" s="476">
        <f t="shared" si="129"/>
        <v>0.48888888888905058</v>
      </c>
      <c r="AD753" s="476">
        <f t="shared" si="130"/>
        <v>4.166666665696539E-3</v>
      </c>
      <c r="AE753" s="476">
        <f t="shared" si="131"/>
        <v>0.49305555555474712</v>
      </c>
      <c r="AF753" s="476" t="b">
        <f>IFERROR(_xlfn.XLOOKUP(Table1[[#This Row],[Opportunity ID]],'Aging Detail'!$H$14:$H$20,'Aging Detail'!$F$14:$F$20),TRUE)</f>
        <v>1</v>
      </c>
    </row>
    <row r="754" spans="1:32">
      <c r="A754" t="s">
        <v>1461</v>
      </c>
      <c r="B754" t="s">
        <v>526</v>
      </c>
      <c r="C754" t="s">
        <v>563</v>
      </c>
      <c r="D754" t="s">
        <v>3255</v>
      </c>
      <c r="E754" t="s">
        <v>3256</v>
      </c>
      <c r="I754" s="422">
        <v>45680</v>
      </c>
      <c r="J754" s="422">
        <v>45713</v>
      </c>
      <c r="K754">
        <v>8400</v>
      </c>
      <c r="L754">
        <v>0</v>
      </c>
      <c r="M754" t="s">
        <v>3257</v>
      </c>
      <c r="N754" t="s">
        <v>255</v>
      </c>
      <c r="O754" t="str">
        <f>_xlfn.IFNA(VLOOKUP(Table1[[#This Row],[Lead Source]],'helper tab'!A:B,2,FALSE),"Exclude")</f>
        <v>Exclude</v>
      </c>
      <c r="P754" s="422">
        <f t="shared" si="121"/>
        <v>45713.260416666664</v>
      </c>
      <c r="Q754">
        <f t="shared" si="122"/>
        <v>0</v>
      </c>
      <c r="R754">
        <f t="shared" si="123"/>
        <v>1</v>
      </c>
      <c r="S754">
        <f>IF(
AND($Q754=1,$M754&lt;&gt;""),
IF(
COUNTIFS(
$M$3:$M754,$M754,
$O$3:$O754,$O754,
$Q$3:$Q754,1,
$P$3:$P754,"&gt;="&amp;EOMONTH($P754,-1)+1,
$P$3:$P754,"&lt;"&amp;EOMONTH($P754,0)+1
)=1,
1,
0),
0)</f>
        <v>0</v>
      </c>
      <c r="T754">
        <f>IF(AND($R754=1,$M754&lt;&gt;""),IF(COUNTIFS($M$3:$M754,$M754,$O$3:$O754,$O754,$R$3:$R754,1,$P$3:$P754,"&gt;="&amp;EOMONTH($P754,-1)+1,$P$3:$P754,"&lt;"&amp;EOMONTH($P754,0)+1)=1,1,0),0)</f>
        <v>1</v>
      </c>
      <c r="U754">
        <f t="shared" si="124"/>
        <v>0</v>
      </c>
      <c r="V754">
        <f>IF(AND($U754=1,$M754&lt;&gt;""),IF(COUNTIFS($M$3:$M754,$M754,$O$3:$O754,$O754,$U$3:$U754,1,$P$3:$P754,"&gt;="&amp;EOMONTH($P754,-1)+1,$P$3:$P754,"&lt;"&amp;EOMONTH($P754,0)+1)=1,1,0),0)</f>
        <v>0</v>
      </c>
      <c r="W754" s="444">
        <f ca="1">TODAY()-Table1[[#This Row],[Change Date]]</f>
        <v>544.73958333333576</v>
      </c>
      <c r="X754" s="422" t="str">
        <f t="shared" si="125"/>
        <v/>
      </c>
      <c r="Y754" s="476">
        <f ca="1">IF(Table1[[#This Row],[Next Stage Date]]&lt;&gt;"",Table1[[#This Row],[Next Stage Date]]-Table1[[#This Row],[Change Date]],TODAY()-Table1[[#This Row],[Change Date]])</f>
        <v>544.73958333333576</v>
      </c>
      <c r="Z754" s="476">
        <f t="shared" si="126"/>
        <v>1</v>
      </c>
      <c r="AA754" s="422">
        <f t="shared" si="127"/>
        <v>45713.260416666664</v>
      </c>
      <c r="AB754" s="422">
        <f t="shared" si="128"/>
        <v>45705.486111111109</v>
      </c>
      <c r="AC754" s="476">
        <f t="shared" si="129"/>
        <v>25.486111111109494</v>
      </c>
      <c r="AD754" s="476">
        <f t="shared" si="130"/>
        <v>7.7743055555547471</v>
      </c>
      <c r="AE754" s="476">
        <f t="shared" si="131"/>
        <v>33.260416666664241</v>
      </c>
      <c r="AF754" s="476" t="b">
        <f>IFERROR(_xlfn.XLOOKUP(Table1[[#This Row],[Opportunity ID]],'Aging Detail'!$H$14:$H$20,'Aging Detail'!$F$14:$F$20),TRUE)</f>
        <v>1</v>
      </c>
    </row>
    <row r="755" spans="1:32">
      <c r="A755" t="s">
        <v>1461</v>
      </c>
      <c r="B755" t="s">
        <v>1462</v>
      </c>
      <c r="C755" t="s">
        <v>1469</v>
      </c>
      <c r="D755" t="s">
        <v>3258</v>
      </c>
      <c r="E755" t="s">
        <v>3259</v>
      </c>
      <c r="I755" s="422">
        <v>45534</v>
      </c>
      <c r="J755" s="422">
        <v>45931</v>
      </c>
      <c r="K755">
        <v>54000</v>
      </c>
      <c r="L755">
        <v>54000</v>
      </c>
      <c r="M755" t="s">
        <v>3260</v>
      </c>
      <c r="N755" t="s">
        <v>2724</v>
      </c>
      <c r="O755" t="str">
        <f>_xlfn.IFNA(VLOOKUP(Table1[[#This Row],[Lead Source]],'helper tab'!A:B,2,FALSE),"Exclude")</f>
        <v>Exclude</v>
      </c>
      <c r="P755" s="422">
        <f t="shared" si="121"/>
        <v>45709.605555555558</v>
      </c>
      <c r="Q755">
        <f t="shared" si="122"/>
        <v>0</v>
      </c>
      <c r="R755">
        <f t="shared" si="123"/>
        <v>0</v>
      </c>
      <c r="S755">
        <f>IF(
AND($Q755=1,$M755&lt;&gt;""),
IF(
COUNTIFS(
$M$3:$M755,$M755,
$O$3:$O755,$O755,
$Q$3:$Q755,1,
$P$3:$P755,"&gt;="&amp;EOMONTH($P755,-1)+1,
$P$3:$P755,"&lt;"&amp;EOMONTH($P755,0)+1
)=1,
1,
0),
0)</f>
        <v>0</v>
      </c>
      <c r="T755">
        <f>IF(AND($R755=1,$M755&lt;&gt;""),IF(COUNTIFS($M$3:$M755,$M755,$O$3:$O755,$O755,$R$3:$R755,1,$P$3:$P755,"&gt;="&amp;EOMONTH($P755,-1)+1,$P$3:$P755,"&lt;"&amp;EOMONTH($P755,0)+1)=1,1,0),0)</f>
        <v>0</v>
      </c>
      <c r="U755">
        <f t="shared" si="124"/>
        <v>1</v>
      </c>
      <c r="V755">
        <f>IF(AND($U755=1,$M755&lt;&gt;""),IF(COUNTIFS($M$3:$M755,$M755,$O$3:$O755,$O755,$U$3:$U755,1,$P$3:$P755,"&gt;="&amp;EOMONTH($P755,-1)+1,$P$3:$P755,"&lt;"&amp;EOMONTH($P755,0)+1)=1,1,0),0)</f>
        <v>1</v>
      </c>
      <c r="W755" s="444">
        <f ca="1">TODAY()-Table1[[#This Row],[Change Date]]</f>
        <v>548.39444444444234</v>
      </c>
      <c r="X755" s="422" t="str">
        <f t="shared" si="125"/>
        <v/>
      </c>
      <c r="Y755" s="476">
        <f ca="1">IF(Table1[[#This Row],[Next Stage Date]]&lt;&gt;"",Table1[[#This Row],[Next Stage Date]]-Table1[[#This Row],[Change Date]],TODAY()-Table1[[#This Row],[Change Date]])</f>
        <v>548.39444444444234</v>
      </c>
      <c r="Z755" s="476">
        <f t="shared" si="126"/>
        <v>1</v>
      </c>
      <c r="AA755" s="422" t="str">
        <f t="shared" si="127"/>
        <v/>
      </c>
      <c r="AB755" s="422" t="str">
        <f t="shared" si="128"/>
        <v/>
      </c>
      <c r="AC755" s="476" t="str">
        <f t="shared" si="129"/>
        <v/>
      </c>
      <c r="AD755" s="476" t="str">
        <f t="shared" si="130"/>
        <v/>
      </c>
      <c r="AE755" s="476" t="str">
        <f t="shared" si="131"/>
        <v/>
      </c>
      <c r="AF755" s="476" t="b">
        <f>IFERROR(_xlfn.XLOOKUP(Table1[[#This Row],[Opportunity ID]],'Aging Detail'!$H$14:$H$20,'Aging Detail'!$F$14:$F$20),TRUE)</f>
        <v>1</v>
      </c>
    </row>
    <row r="756" spans="1:32">
      <c r="A756" t="s">
        <v>1461</v>
      </c>
      <c r="B756" t="s">
        <v>462</v>
      </c>
      <c r="C756" t="s">
        <v>563</v>
      </c>
      <c r="D756" t="s">
        <v>3261</v>
      </c>
      <c r="E756" t="s">
        <v>3262</v>
      </c>
      <c r="I756" s="422">
        <v>45672</v>
      </c>
      <c r="J756" s="422">
        <v>45708</v>
      </c>
      <c r="L756">
        <v>0</v>
      </c>
      <c r="M756" t="s">
        <v>3263</v>
      </c>
      <c r="N756" t="s">
        <v>1532</v>
      </c>
      <c r="O756" t="str">
        <f>_xlfn.IFNA(VLOOKUP(Table1[[#This Row],[Lead Source]],'helper tab'!A:B,2,FALSE),"Exclude")</f>
        <v>Exclude</v>
      </c>
      <c r="P756" s="422">
        <f t="shared" si="121"/>
        <v>45708.455555555556</v>
      </c>
      <c r="Q756">
        <f t="shared" si="122"/>
        <v>0</v>
      </c>
      <c r="R756">
        <f t="shared" si="123"/>
        <v>1</v>
      </c>
      <c r="S756">
        <f>IF(
AND($Q756=1,$M756&lt;&gt;""),
IF(
COUNTIFS(
$M$3:$M756,$M756,
$O$3:$O756,$O756,
$Q$3:$Q756,1,
$P$3:$P756,"&gt;="&amp;EOMONTH($P756,-1)+1,
$P$3:$P756,"&lt;"&amp;EOMONTH($P756,0)+1
)=1,
1,
0),
0)</f>
        <v>0</v>
      </c>
      <c r="T756">
        <f>IF(AND($R756=1,$M756&lt;&gt;""),IF(COUNTIFS($M$3:$M756,$M756,$O$3:$O756,$O756,$R$3:$R756,1,$P$3:$P756,"&gt;="&amp;EOMONTH($P756,-1)+1,$P$3:$P756,"&lt;"&amp;EOMONTH($P756,0)+1)=1,1,0),0)</f>
        <v>1</v>
      </c>
      <c r="U756">
        <f t="shared" si="124"/>
        <v>0</v>
      </c>
      <c r="V756">
        <f>IF(AND($U756=1,$M756&lt;&gt;""),IF(COUNTIFS($M$3:$M756,$M756,$O$3:$O756,$O756,$U$3:$U756,1,$P$3:$P756,"&gt;="&amp;EOMONTH($P756,-1)+1,$P$3:$P756,"&lt;"&amp;EOMONTH($P756,0)+1)=1,1,0),0)</f>
        <v>0</v>
      </c>
      <c r="W756" s="444">
        <f ca="1">TODAY()-Table1[[#This Row],[Change Date]]</f>
        <v>549.5444444444438</v>
      </c>
      <c r="X756" s="422" t="str">
        <f t="shared" si="125"/>
        <v/>
      </c>
      <c r="Y756" s="476">
        <f ca="1">IF(Table1[[#This Row],[Next Stage Date]]&lt;&gt;"",Table1[[#This Row],[Next Stage Date]]-Table1[[#This Row],[Change Date]],TODAY()-Table1[[#This Row],[Change Date]])</f>
        <v>549.5444444444438</v>
      </c>
      <c r="Z756" s="476">
        <f t="shared" si="126"/>
        <v>1</v>
      </c>
      <c r="AA756" s="422">
        <f t="shared" si="127"/>
        <v>45708.455555555556</v>
      </c>
      <c r="AB756" s="422">
        <f t="shared" si="128"/>
        <v>45705.491666666669</v>
      </c>
      <c r="AC756" s="476">
        <f t="shared" si="129"/>
        <v>33.491666666668607</v>
      </c>
      <c r="AD756" s="476">
        <f t="shared" si="130"/>
        <v>2.9638888888875954</v>
      </c>
      <c r="AE756" s="476">
        <f t="shared" si="131"/>
        <v>36.455555555556202</v>
      </c>
      <c r="AF756" s="476" t="b">
        <f>IFERROR(_xlfn.XLOOKUP(Table1[[#This Row],[Opportunity ID]],'Aging Detail'!$H$14:$H$20,'Aging Detail'!$F$14:$F$20),TRUE)</f>
        <v>1</v>
      </c>
    </row>
    <row r="757" spans="1:32">
      <c r="A757" t="s">
        <v>1461</v>
      </c>
      <c r="B757" t="s">
        <v>1462</v>
      </c>
      <c r="C757" t="s">
        <v>563</v>
      </c>
      <c r="D757" t="s">
        <v>3264</v>
      </c>
      <c r="E757" t="s">
        <v>3265</v>
      </c>
      <c r="F757" t="s">
        <v>1484</v>
      </c>
      <c r="I757" s="422">
        <v>45401</v>
      </c>
      <c r="J757" s="422">
        <v>45708</v>
      </c>
      <c r="K757">
        <v>0</v>
      </c>
      <c r="L757">
        <v>0</v>
      </c>
      <c r="M757" t="s">
        <v>3266</v>
      </c>
      <c r="N757" t="s">
        <v>1634</v>
      </c>
      <c r="O757" t="str">
        <f>_xlfn.IFNA(VLOOKUP(Table1[[#This Row],[Lead Source]],'helper tab'!A:B,2,FALSE),"Exclude")</f>
        <v>Exclude</v>
      </c>
      <c r="P757" s="422">
        <f t="shared" si="121"/>
        <v>45708.195833333331</v>
      </c>
      <c r="Q757">
        <f t="shared" si="122"/>
        <v>0</v>
      </c>
      <c r="R757">
        <f t="shared" si="123"/>
        <v>1</v>
      </c>
      <c r="S757">
        <f>IF(
AND($Q757=1,$M757&lt;&gt;""),
IF(
COUNTIFS(
$M$3:$M757,$M757,
$O$3:$O757,$O757,
$Q$3:$Q757,1,
$P$3:$P757,"&gt;="&amp;EOMONTH($P757,-1)+1,
$P$3:$P757,"&lt;"&amp;EOMONTH($P757,0)+1
)=1,
1,
0),
0)</f>
        <v>0</v>
      </c>
      <c r="T757">
        <f>IF(AND($R757=1,$M757&lt;&gt;""),IF(COUNTIFS($M$3:$M757,$M757,$O$3:$O757,$O757,$R$3:$R757,1,$P$3:$P757,"&gt;="&amp;EOMONTH($P757,-1)+1,$P$3:$P757,"&lt;"&amp;EOMONTH($P757,0)+1)=1,1,0),0)</f>
        <v>1</v>
      </c>
      <c r="U757">
        <f t="shared" si="124"/>
        <v>0</v>
      </c>
      <c r="V757">
        <f>IF(AND($U757=1,$M757&lt;&gt;""),IF(COUNTIFS($M$3:$M757,$M757,$O$3:$O757,$O757,$U$3:$U757,1,$P$3:$P757,"&gt;="&amp;EOMONTH($P757,-1)+1,$P$3:$P757,"&lt;"&amp;EOMONTH($P757,0)+1)=1,1,0),0)</f>
        <v>0</v>
      </c>
      <c r="W757" s="444">
        <f ca="1">TODAY()-Table1[[#This Row],[Change Date]]</f>
        <v>549.80416666666861</v>
      </c>
      <c r="X757" s="422" t="str">
        <f t="shared" si="125"/>
        <v/>
      </c>
      <c r="Y757" s="476">
        <f ca="1">IF(Table1[[#This Row],[Next Stage Date]]&lt;&gt;"",Table1[[#This Row],[Next Stage Date]]-Table1[[#This Row],[Change Date]],TODAY()-Table1[[#This Row],[Change Date]])</f>
        <v>549.80416666666861</v>
      </c>
      <c r="Z757" s="476">
        <f t="shared" si="126"/>
        <v>1</v>
      </c>
      <c r="AA757" s="422">
        <f t="shared" si="127"/>
        <v>45708.195833333331</v>
      </c>
      <c r="AB757" s="422" t="str">
        <f t="shared" si="128"/>
        <v/>
      </c>
      <c r="AC757" s="476" t="str">
        <f t="shared" si="129"/>
        <v/>
      </c>
      <c r="AD757" s="476" t="str">
        <f t="shared" si="130"/>
        <v/>
      </c>
      <c r="AE757" s="476">
        <f t="shared" si="131"/>
        <v>307.19583333333139</v>
      </c>
      <c r="AF757" s="476" t="b">
        <f>IFERROR(_xlfn.XLOOKUP(Table1[[#This Row],[Opportunity ID]],'Aging Detail'!$H$14:$H$20,'Aging Detail'!$F$14:$F$20),TRUE)</f>
        <v>1</v>
      </c>
    </row>
    <row r="758" spans="1:32">
      <c r="A758" t="s">
        <v>1461</v>
      </c>
      <c r="B758" t="s">
        <v>462</v>
      </c>
      <c r="C758" t="s">
        <v>1469</v>
      </c>
      <c r="D758" t="s">
        <v>3267</v>
      </c>
      <c r="E758" t="s">
        <v>3268</v>
      </c>
      <c r="F758" t="s">
        <v>1484</v>
      </c>
      <c r="I758" s="422">
        <v>45341</v>
      </c>
      <c r="J758" s="422">
        <v>45807</v>
      </c>
      <c r="K758">
        <v>0</v>
      </c>
      <c r="L758">
        <v>0</v>
      </c>
      <c r="M758" t="s">
        <v>3269</v>
      </c>
      <c r="N758" t="s">
        <v>1604</v>
      </c>
      <c r="O758" t="str">
        <f>_xlfn.IFNA(VLOOKUP(Table1[[#This Row],[Lead Source]],'helper tab'!A:B,2,FALSE),"Exclude")</f>
        <v>Exclude</v>
      </c>
      <c r="P758" s="422">
        <f t="shared" si="121"/>
        <v>45705.511111111111</v>
      </c>
      <c r="Q758">
        <f t="shared" si="122"/>
        <v>0</v>
      </c>
      <c r="R758">
        <f t="shared" si="123"/>
        <v>0</v>
      </c>
      <c r="S758">
        <f>IF(
AND($Q758=1,$M758&lt;&gt;""),
IF(
COUNTIFS(
$M$3:$M758,$M758,
$O$3:$O758,$O758,
$Q$3:$Q758,1,
$P$3:$P758,"&gt;="&amp;EOMONTH($P758,-1)+1,
$P$3:$P758,"&lt;"&amp;EOMONTH($P758,0)+1
)=1,
1,
0),
0)</f>
        <v>0</v>
      </c>
      <c r="T758">
        <f>IF(AND($R758=1,$M758&lt;&gt;""),IF(COUNTIFS($M$3:$M758,$M758,$O$3:$O758,$O758,$R$3:$R758,1,$P$3:$P758,"&gt;="&amp;EOMONTH($P758,-1)+1,$P$3:$P758,"&lt;"&amp;EOMONTH($P758,0)+1)=1,1,0),0)</f>
        <v>0</v>
      </c>
      <c r="U758">
        <f t="shared" si="124"/>
        <v>1</v>
      </c>
      <c r="V758">
        <f>IF(AND($U758=1,$M758&lt;&gt;""),IF(COUNTIFS($M$3:$M758,$M758,$O$3:$O758,$O758,$U$3:$U758,1,$P$3:$P758,"&gt;="&amp;EOMONTH($P758,-1)+1,$P$3:$P758,"&lt;"&amp;EOMONTH($P758,0)+1)=1,1,0),0)</f>
        <v>1</v>
      </c>
      <c r="W758" s="444">
        <f ca="1">TODAY()-Table1[[#This Row],[Change Date]]</f>
        <v>552.48888888888905</v>
      </c>
      <c r="X758" s="422" t="str">
        <f t="shared" si="125"/>
        <v/>
      </c>
      <c r="Y758" s="476">
        <f ca="1">IF(Table1[[#This Row],[Next Stage Date]]&lt;&gt;"",Table1[[#This Row],[Next Stage Date]]-Table1[[#This Row],[Change Date]],TODAY()-Table1[[#This Row],[Change Date]])</f>
        <v>552.48888888888905</v>
      </c>
      <c r="Z758" s="476">
        <f t="shared" si="126"/>
        <v>1</v>
      </c>
      <c r="AA758" s="422" t="str">
        <f t="shared" si="127"/>
        <v/>
      </c>
      <c r="AB758" s="422">
        <f t="shared" si="128"/>
        <v>45705.509027777778</v>
      </c>
      <c r="AC758" s="476">
        <f t="shared" si="129"/>
        <v>364.5090277777781</v>
      </c>
      <c r="AD758" s="476" t="str">
        <f t="shared" si="130"/>
        <v/>
      </c>
      <c r="AE758" s="476" t="str">
        <f t="shared" si="131"/>
        <v/>
      </c>
      <c r="AF758" s="476" t="b">
        <f>IFERROR(_xlfn.XLOOKUP(Table1[[#This Row],[Opportunity ID]],'Aging Detail'!$H$14:$H$20,'Aging Detail'!$F$14:$F$20),TRUE)</f>
        <v>1</v>
      </c>
    </row>
    <row r="759" spans="1:32">
      <c r="A759" t="s">
        <v>1461</v>
      </c>
      <c r="B759" t="s">
        <v>1469</v>
      </c>
      <c r="C759" t="s">
        <v>462</v>
      </c>
      <c r="D759" t="s">
        <v>3270</v>
      </c>
      <c r="E759" t="s">
        <v>3268</v>
      </c>
      <c r="F759" t="s">
        <v>1484</v>
      </c>
      <c r="I759" s="422">
        <v>45341</v>
      </c>
      <c r="J759" s="422">
        <v>45807</v>
      </c>
      <c r="K759">
        <v>0</v>
      </c>
      <c r="L759">
        <v>0</v>
      </c>
      <c r="M759" t="s">
        <v>3269</v>
      </c>
      <c r="N759" t="s">
        <v>1604</v>
      </c>
      <c r="O759" t="str">
        <f>_xlfn.IFNA(VLOOKUP(Table1[[#This Row],[Lead Source]],'helper tab'!A:B,2,FALSE),"Exclude")</f>
        <v>Exclude</v>
      </c>
      <c r="P759" s="422">
        <f t="shared" si="121"/>
        <v>45705.509027777778</v>
      </c>
      <c r="Q759">
        <f t="shared" si="122"/>
        <v>1</v>
      </c>
      <c r="R759">
        <f t="shared" si="123"/>
        <v>0</v>
      </c>
      <c r="S759">
        <f>IF(
AND($Q759=1,$M759&lt;&gt;""),
IF(
COUNTIFS(
$M$3:$M759,$M759,
$O$3:$O759,$O759,
$Q$3:$Q759,1,
$P$3:$P759,"&gt;="&amp;EOMONTH($P759,-1)+1,
$P$3:$P759,"&lt;"&amp;EOMONTH($P759,0)+1
)=1,
1,
0),
0)</f>
        <v>1</v>
      </c>
      <c r="T759">
        <f>IF(AND($R759=1,$M759&lt;&gt;""),IF(COUNTIFS($M$3:$M759,$M759,$O$3:$O759,$O759,$R$3:$R759,1,$P$3:$P759,"&gt;="&amp;EOMONTH($P759,-1)+1,$P$3:$P759,"&lt;"&amp;EOMONTH($P759,0)+1)=1,1,0),0)</f>
        <v>0</v>
      </c>
      <c r="U759">
        <f t="shared" si="124"/>
        <v>0</v>
      </c>
      <c r="V759">
        <f>IF(AND($U759=1,$M759&lt;&gt;""),IF(COUNTIFS($M$3:$M759,$M759,$O$3:$O759,$O759,$U$3:$U759,1,$P$3:$P759,"&gt;="&amp;EOMONTH($P759,-1)+1,$P$3:$P759,"&lt;"&amp;EOMONTH($P759,0)+1)=1,1,0),0)</f>
        <v>0</v>
      </c>
      <c r="W759" s="444">
        <f ca="1">TODAY()-Table1[[#This Row],[Change Date]]</f>
        <v>552.4909722222219</v>
      </c>
      <c r="X759" s="422">
        <f t="shared" si="125"/>
        <v>45705.511111111111</v>
      </c>
      <c r="Y759" s="476">
        <f ca="1">IF(Table1[[#This Row],[Next Stage Date]]&lt;&gt;"",Table1[[#This Row],[Next Stage Date]]-Table1[[#This Row],[Change Date]],TODAY()-Table1[[#This Row],[Change Date]])</f>
        <v>2.0833333328482695E-3</v>
      </c>
      <c r="Z759" s="476">
        <f t="shared" si="126"/>
        <v>0</v>
      </c>
      <c r="AA759" s="422" t="str">
        <f t="shared" si="127"/>
        <v/>
      </c>
      <c r="AB759" s="422">
        <f t="shared" si="128"/>
        <v>45705.509027777778</v>
      </c>
      <c r="AC759" s="476">
        <f t="shared" si="129"/>
        <v>364.5090277777781</v>
      </c>
      <c r="AD759" s="476" t="str">
        <f t="shared" si="130"/>
        <v/>
      </c>
      <c r="AE759" s="476" t="str">
        <f t="shared" si="131"/>
        <v/>
      </c>
      <c r="AF759" s="476" t="b">
        <f>IFERROR(_xlfn.XLOOKUP(Table1[[#This Row],[Opportunity ID]],'Aging Detail'!$H$14:$H$20,'Aging Detail'!$F$14:$F$20),TRUE)</f>
        <v>1</v>
      </c>
    </row>
    <row r="760" spans="1:32">
      <c r="A760" t="s">
        <v>1461</v>
      </c>
      <c r="B760" t="s">
        <v>408</v>
      </c>
      <c r="C760" t="s">
        <v>462</v>
      </c>
      <c r="D760" t="s">
        <v>3271</v>
      </c>
      <c r="E760" t="s">
        <v>3262</v>
      </c>
      <c r="I760" s="422">
        <v>45672</v>
      </c>
      <c r="J760" s="422">
        <v>45708</v>
      </c>
      <c r="L760">
        <v>0</v>
      </c>
      <c r="M760" t="s">
        <v>3263</v>
      </c>
      <c r="N760" t="s">
        <v>1532</v>
      </c>
      <c r="O760" t="str">
        <f>_xlfn.IFNA(VLOOKUP(Table1[[#This Row],[Lead Source]],'helper tab'!A:B,2,FALSE),"Exclude")</f>
        <v>Exclude</v>
      </c>
      <c r="P760" s="422">
        <f t="shared" si="121"/>
        <v>45705.491666666669</v>
      </c>
      <c r="Q760">
        <f t="shared" si="122"/>
        <v>1</v>
      </c>
      <c r="R760">
        <f t="shared" si="123"/>
        <v>0</v>
      </c>
      <c r="S760">
        <f>IF(
AND($Q760=1,$M760&lt;&gt;""),
IF(
COUNTIFS(
$M$3:$M760,$M760,
$O$3:$O760,$O760,
$Q$3:$Q760,1,
$P$3:$P760,"&gt;="&amp;EOMONTH($P760,-1)+1,
$P$3:$P760,"&lt;"&amp;EOMONTH($P760,0)+1
)=1,
1,
0),
0)</f>
        <v>1</v>
      </c>
      <c r="T760">
        <f>IF(AND($R760=1,$M760&lt;&gt;""),IF(COUNTIFS($M$3:$M760,$M760,$O$3:$O760,$O760,$R$3:$R760,1,$P$3:$P760,"&gt;="&amp;EOMONTH($P760,-1)+1,$P$3:$P760,"&lt;"&amp;EOMONTH($P760,0)+1)=1,1,0),0)</f>
        <v>0</v>
      </c>
      <c r="U760">
        <f t="shared" si="124"/>
        <v>0</v>
      </c>
      <c r="V760">
        <f>IF(AND($U760=1,$M760&lt;&gt;""),IF(COUNTIFS($M$3:$M760,$M760,$O$3:$O760,$O760,$U$3:$U760,1,$P$3:$P760,"&gt;="&amp;EOMONTH($P760,-1)+1,$P$3:$P760,"&lt;"&amp;EOMONTH($P760,0)+1)=1,1,0),0)</f>
        <v>0</v>
      </c>
      <c r="W760" s="444">
        <f ca="1">TODAY()-Table1[[#This Row],[Change Date]]</f>
        <v>552.50833333333139</v>
      </c>
      <c r="X760" s="422">
        <f t="shared" si="125"/>
        <v>45708.455555555556</v>
      </c>
      <c r="Y760" s="476">
        <f ca="1">IF(Table1[[#This Row],[Next Stage Date]]&lt;&gt;"",Table1[[#This Row],[Next Stage Date]]-Table1[[#This Row],[Change Date]],TODAY()-Table1[[#This Row],[Change Date]])</f>
        <v>2.9638888888875954</v>
      </c>
      <c r="Z760" s="476">
        <f t="shared" si="126"/>
        <v>0</v>
      </c>
      <c r="AA760" s="422">
        <f t="shared" si="127"/>
        <v>45708.455555555556</v>
      </c>
      <c r="AB760" s="422">
        <f t="shared" si="128"/>
        <v>45705.491666666669</v>
      </c>
      <c r="AC760" s="476">
        <f t="shared" si="129"/>
        <v>33.491666666668607</v>
      </c>
      <c r="AD760" s="476">
        <f t="shared" si="130"/>
        <v>2.9638888888875954</v>
      </c>
      <c r="AE760" s="476">
        <f t="shared" si="131"/>
        <v>36.455555555556202</v>
      </c>
      <c r="AF760" s="476" t="b">
        <f>IFERROR(_xlfn.XLOOKUP(Table1[[#This Row],[Opportunity ID]],'Aging Detail'!$H$14:$H$20,'Aging Detail'!$F$14:$F$20),TRUE)</f>
        <v>1</v>
      </c>
    </row>
    <row r="761" spans="1:32">
      <c r="A761" t="s">
        <v>1461</v>
      </c>
      <c r="B761" t="s">
        <v>338</v>
      </c>
      <c r="C761" t="s">
        <v>526</v>
      </c>
      <c r="D761" t="s">
        <v>3272</v>
      </c>
      <c r="E761" t="s">
        <v>3256</v>
      </c>
      <c r="I761" s="422">
        <v>45680</v>
      </c>
      <c r="J761" s="422">
        <v>45713</v>
      </c>
      <c r="K761">
        <v>8400</v>
      </c>
      <c r="L761">
        <v>0</v>
      </c>
      <c r="M761" t="s">
        <v>3257</v>
      </c>
      <c r="N761" t="s">
        <v>255</v>
      </c>
      <c r="O761" t="str">
        <f>_xlfn.IFNA(VLOOKUP(Table1[[#This Row],[Lead Source]],'helper tab'!A:B,2,FALSE),"Exclude")</f>
        <v>Exclude</v>
      </c>
      <c r="P761" s="422">
        <f t="shared" si="121"/>
        <v>45705.486111111109</v>
      </c>
      <c r="Q761">
        <f t="shared" si="122"/>
        <v>1</v>
      </c>
      <c r="R761">
        <f t="shared" si="123"/>
        <v>0</v>
      </c>
      <c r="S761">
        <f>IF(
AND($Q761=1,$M761&lt;&gt;""),
IF(
COUNTIFS(
$M$3:$M761,$M761,
$O$3:$O761,$O761,
$Q$3:$Q761,1,
$P$3:$P761,"&gt;="&amp;EOMONTH($P761,-1)+1,
$P$3:$P761,"&lt;"&amp;EOMONTH($P761,0)+1
)=1,
1,
0),
0)</f>
        <v>1</v>
      </c>
      <c r="T761">
        <f>IF(AND($R761=1,$M761&lt;&gt;""),IF(COUNTIFS($M$3:$M761,$M761,$O$3:$O761,$O761,$R$3:$R761,1,$P$3:$P761,"&gt;="&amp;EOMONTH($P761,-1)+1,$P$3:$P761,"&lt;"&amp;EOMONTH($P761,0)+1)=1,1,0),0)</f>
        <v>0</v>
      </c>
      <c r="U761">
        <f t="shared" si="124"/>
        <v>0</v>
      </c>
      <c r="V761">
        <f>IF(AND($U761=1,$M761&lt;&gt;""),IF(COUNTIFS($M$3:$M761,$M761,$O$3:$O761,$O761,$U$3:$U761,1,$P$3:$P761,"&gt;="&amp;EOMONTH($P761,-1)+1,$P$3:$P761,"&lt;"&amp;EOMONTH($P761,0)+1)=1,1,0),0)</f>
        <v>0</v>
      </c>
      <c r="W761" s="444">
        <f ca="1">TODAY()-Table1[[#This Row],[Change Date]]</f>
        <v>552.51388888889051</v>
      </c>
      <c r="X761" s="422">
        <f t="shared" si="125"/>
        <v>45713.260416666664</v>
      </c>
      <c r="Y761" s="476">
        <f ca="1">IF(Table1[[#This Row],[Next Stage Date]]&lt;&gt;"",Table1[[#This Row],[Next Stage Date]]-Table1[[#This Row],[Change Date]],TODAY()-Table1[[#This Row],[Change Date]])</f>
        <v>7.7743055555547471</v>
      </c>
      <c r="Z761" s="476">
        <f t="shared" si="126"/>
        <v>0</v>
      </c>
      <c r="AA761" s="422">
        <f t="shared" si="127"/>
        <v>45713.260416666664</v>
      </c>
      <c r="AB761" s="422">
        <f t="shared" si="128"/>
        <v>45705.486111111109</v>
      </c>
      <c r="AC761" s="476">
        <f t="shared" si="129"/>
        <v>25.486111111109494</v>
      </c>
      <c r="AD761" s="476">
        <f t="shared" si="130"/>
        <v>7.7743055555547471</v>
      </c>
      <c r="AE761" s="476">
        <f t="shared" si="131"/>
        <v>33.260416666664241</v>
      </c>
      <c r="AF761" s="476" t="b">
        <f>IFERROR(_xlfn.XLOOKUP(Table1[[#This Row],[Opportunity ID]],'Aging Detail'!$H$14:$H$20,'Aging Detail'!$F$14:$F$20),TRUE)</f>
        <v>1</v>
      </c>
    </row>
    <row r="762" spans="1:32">
      <c r="A762" t="s">
        <v>1461</v>
      </c>
      <c r="B762" t="s">
        <v>462</v>
      </c>
      <c r="C762" t="s">
        <v>563</v>
      </c>
      <c r="D762" t="s">
        <v>3273</v>
      </c>
      <c r="E762" t="s">
        <v>3274</v>
      </c>
      <c r="I762" s="422">
        <v>45686</v>
      </c>
      <c r="J762" s="422">
        <v>45705</v>
      </c>
      <c r="L762">
        <v>0</v>
      </c>
      <c r="M762" t="s">
        <v>3275</v>
      </c>
      <c r="N762" t="s">
        <v>1634</v>
      </c>
      <c r="O762" t="str">
        <f>_xlfn.IFNA(VLOOKUP(Table1[[#This Row],[Lead Source]],'helper tab'!A:B,2,FALSE),"Exclude")</f>
        <v>Exclude</v>
      </c>
      <c r="P762" s="422">
        <f t="shared" si="121"/>
        <v>45705.397916666669</v>
      </c>
      <c r="Q762">
        <f t="shared" si="122"/>
        <v>0</v>
      </c>
      <c r="R762">
        <f t="shared" si="123"/>
        <v>1</v>
      </c>
      <c r="S762">
        <f>IF(
AND($Q762=1,$M762&lt;&gt;""),
IF(
COUNTIFS(
$M$3:$M762,$M762,
$O$3:$O762,$O762,
$Q$3:$Q762,1,
$P$3:$P762,"&gt;="&amp;EOMONTH($P762,-1)+1,
$P$3:$P762,"&lt;"&amp;EOMONTH($P762,0)+1
)=1,
1,
0),
0)</f>
        <v>0</v>
      </c>
      <c r="T762">
        <f>IF(AND($R762=1,$M762&lt;&gt;""),IF(COUNTIFS($M$3:$M762,$M762,$O$3:$O762,$O762,$R$3:$R762,1,$P$3:$P762,"&gt;="&amp;EOMONTH($P762,-1)+1,$P$3:$P762,"&lt;"&amp;EOMONTH($P762,0)+1)=1,1,0),0)</f>
        <v>1</v>
      </c>
      <c r="U762">
        <f t="shared" si="124"/>
        <v>0</v>
      </c>
      <c r="V762">
        <f>IF(AND($U762=1,$M762&lt;&gt;""),IF(COUNTIFS($M$3:$M762,$M762,$O$3:$O762,$O762,$U$3:$U762,1,$P$3:$P762,"&gt;="&amp;EOMONTH($P762,-1)+1,$P$3:$P762,"&lt;"&amp;EOMONTH($P762,0)+1)=1,1,0),0)</f>
        <v>0</v>
      </c>
      <c r="W762" s="444">
        <f ca="1">TODAY()-Table1[[#This Row],[Change Date]]</f>
        <v>552.60208333333139</v>
      </c>
      <c r="X762" s="422" t="str">
        <f t="shared" si="125"/>
        <v/>
      </c>
      <c r="Y762" s="476">
        <f ca="1">IF(Table1[[#This Row],[Next Stage Date]]&lt;&gt;"",Table1[[#This Row],[Next Stage Date]]-Table1[[#This Row],[Change Date]],TODAY()-Table1[[#This Row],[Change Date]])</f>
        <v>552.60208333333139</v>
      </c>
      <c r="Z762" s="476">
        <f t="shared" si="126"/>
        <v>1</v>
      </c>
      <c r="AA762" s="422">
        <f t="shared" si="127"/>
        <v>45705.397916666669</v>
      </c>
      <c r="AB762" s="422">
        <f t="shared" si="128"/>
        <v>45705.357638888891</v>
      </c>
      <c r="AC762" s="476">
        <f t="shared" si="129"/>
        <v>19.357638888890506</v>
      </c>
      <c r="AD762" s="476">
        <f t="shared" si="130"/>
        <v>4.0277777778101154E-2</v>
      </c>
      <c r="AE762" s="476">
        <f t="shared" si="131"/>
        <v>19.397916666668607</v>
      </c>
      <c r="AF762" s="476" t="b">
        <f>IFERROR(_xlfn.XLOOKUP(Table1[[#This Row],[Opportunity ID]],'Aging Detail'!$H$14:$H$20,'Aging Detail'!$F$14:$F$20),TRUE)</f>
        <v>1</v>
      </c>
    </row>
    <row r="763" spans="1:32">
      <c r="A763" t="s">
        <v>1461</v>
      </c>
      <c r="B763" t="s">
        <v>338</v>
      </c>
      <c r="C763" t="s">
        <v>462</v>
      </c>
      <c r="D763" t="s">
        <v>3276</v>
      </c>
      <c r="E763" t="s">
        <v>3274</v>
      </c>
      <c r="I763" s="422">
        <v>45686</v>
      </c>
      <c r="J763" s="422">
        <v>45705</v>
      </c>
      <c r="L763">
        <v>0</v>
      </c>
      <c r="M763" t="s">
        <v>3275</v>
      </c>
      <c r="N763" t="s">
        <v>1634</v>
      </c>
      <c r="O763" t="str">
        <f>_xlfn.IFNA(VLOOKUP(Table1[[#This Row],[Lead Source]],'helper tab'!A:B,2,FALSE),"Exclude")</f>
        <v>Exclude</v>
      </c>
      <c r="P763" s="422">
        <f t="shared" si="121"/>
        <v>45705.357638888891</v>
      </c>
      <c r="Q763">
        <f t="shared" si="122"/>
        <v>1</v>
      </c>
      <c r="R763">
        <f t="shared" si="123"/>
        <v>0</v>
      </c>
      <c r="S763">
        <f>IF(
AND($Q763=1,$M763&lt;&gt;""),
IF(
COUNTIFS(
$M$3:$M763,$M763,
$O$3:$O763,$O763,
$Q$3:$Q763,1,
$P$3:$P763,"&gt;="&amp;EOMONTH($P763,-1)+1,
$P$3:$P763,"&lt;"&amp;EOMONTH($P763,0)+1
)=1,
1,
0),
0)</f>
        <v>1</v>
      </c>
      <c r="T763">
        <f>IF(AND($R763=1,$M763&lt;&gt;""),IF(COUNTIFS($M$3:$M763,$M763,$O$3:$O763,$O763,$R$3:$R763,1,$P$3:$P763,"&gt;="&amp;EOMONTH($P763,-1)+1,$P$3:$P763,"&lt;"&amp;EOMONTH($P763,0)+1)=1,1,0),0)</f>
        <v>0</v>
      </c>
      <c r="U763">
        <f t="shared" si="124"/>
        <v>0</v>
      </c>
      <c r="V763">
        <f>IF(AND($U763=1,$M763&lt;&gt;""),IF(COUNTIFS($M$3:$M763,$M763,$O$3:$O763,$O763,$U$3:$U763,1,$P$3:$P763,"&gt;="&amp;EOMONTH($P763,-1)+1,$P$3:$P763,"&lt;"&amp;EOMONTH($P763,0)+1)=1,1,0),0)</f>
        <v>0</v>
      </c>
      <c r="W763" s="444">
        <f ca="1">TODAY()-Table1[[#This Row],[Change Date]]</f>
        <v>552.64236111110949</v>
      </c>
      <c r="X763" s="422">
        <f t="shared" si="125"/>
        <v>45705.397916666669</v>
      </c>
      <c r="Y763" s="476">
        <f ca="1">IF(Table1[[#This Row],[Next Stage Date]]&lt;&gt;"",Table1[[#This Row],[Next Stage Date]]-Table1[[#This Row],[Change Date]],TODAY()-Table1[[#This Row],[Change Date]])</f>
        <v>4.0277777778101154E-2</v>
      </c>
      <c r="Z763" s="476">
        <f t="shared" si="126"/>
        <v>0</v>
      </c>
      <c r="AA763" s="422">
        <f t="shared" si="127"/>
        <v>45705.397916666669</v>
      </c>
      <c r="AB763" s="422">
        <f t="shared" si="128"/>
        <v>45705.357638888891</v>
      </c>
      <c r="AC763" s="476">
        <f t="shared" si="129"/>
        <v>19.357638888890506</v>
      </c>
      <c r="AD763" s="476">
        <f t="shared" si="130"/>
        <v>4.0277777778101154E-2</v>
      </c>
      <c r="AE763" s="476">
        <f t="shared" si="131"/>
        <v>19.397916666668607</v>
      </c>
      <c r="AF763" s="476" t="b">
        <f>IFERROR(_xlfn.XLOOKUP(Table1[[#This Row],[Opportunity ID]],'Aging Detail'!$H$14:$H$20,'Aging Detail'!$F$14:$F$20),TRUE)</f>
        <v>1</v>
      </c>
    </row>
    <row r="764" spans="1:32">
      <c r="A764" t="s">
        <v>1461</v>
      </c>
      <c r="B764" t="s">
        <v>408</v>
      </c>
      <c r="C764" t="s">
        <v>1462</v>
      </c>
      <c r="D764" t="s">
        <v>3277</v>
      </c>
      <c r="E764" t="s">
        <v>2800</v>
      </c>
      <c r="F764" t="s">
        <v>1484</v>
      </c>
      <c r="I764" s="422">
        <v>44812</v>
      </c>
      <c r="J764" s="422">
        <v>45898</v>
      </c>
      <c r="K764">
        <v>435380</v>
      </c>
      <c r="L764">
        <v>-5110</v>
      </c>
      <c r="M764" t="s">
        <v>2801</v>
      </c>
      <c r="N764" t="s">
        <v>2326</v>
      </c>
      <c r="O764" t="str">
        <f>_xlfn.IFNA(VLOOKUP(Table1[[#This Row],[Lead Source]],'helper tab'!A:B,2,FALSE),"Exclude")</f>
        <v>Exclude</v>
      </c>
      <c r="P764" s="422">
        <f t="shared" si="121"/>
        <v>45699.767361111109</v>
      </c>
      <c r="Q764">
        <f t="shared" si="122"/>
        <v>0</v>
      </c>
      <c r="R764">
        <f t="shared" si="123"/>
        <v>0</v>
      </c>
      <c r="S764">
        <f>IF(
AND($Q764=1,$M764&lt;&gt;""),
IF(
COUNTIFS(
$M$3:$M764,$M764,
$O$3:$O764,$O764,
$Q$3:$Q764,1,
$P$3:$P764,"&gt;="&amp;EOMONTH($P764,-1)+1,
$P$3:$P764,"&lt;"&amp;EOMONTH($P764,0)+1
)=1,
1,
0),
0)</f>
        <v>0</v>
      </c>
      <c r="T764">
        <f>IF(AND($R764=1,$M764&lt;&gt;""),IF(COUNTIFS($M$3:$M764,$M764,$O$3:$O764,$O764,$R$3:$R764,1,$P$3:$P764,"&gt;="&amp;EOMONTH($P764,-1)+1,$P$3:$P764,"&lt;"&amp;EOMONTH($P764,0)+1)=1,1,0),0)</f>
        <v>0</v>
      </c>
      <c r="U764">
        <f t="shared" si="124"/>
        <v>0</v>
      </c>
      <c r="V764">
        <f>IF(AND($U764=1,$M764&lt;&gt;""),IF(COUNTIFS($M$3:$M764,$M764,$O$3:$O764,$O764,$U$3:$U764,1,$P$3:$P764,"&gt;="&amp;EOMONTH($P764,-1)+1,$P$3:$P764,"&lt;"&amp;EOMONTH($P764,0)+1)=1,1,0),0)</f>
        <v>0</v>
      </c>
      <c r="W764" s="444">
        <f ca="1">TODAY()-Table1[[#This Row],[Change Date]]</f>
        <v>558.23263888889051</v>
      </c>
      <c r="X764" s="422">
        <f t="shared" si="125"/>
        <v>45891.3125</v>
      </c>
      <c r="Y764" s="476">
        <f ca="1">IF(Table1[[#This Row],[Next Stage Date]]&lt;&gt;"",Table1[[#This Row],[Next Stage Date]]-Table1[[#This Row],[Change Date]],TODAY()-Table1[[#This Row],[Change Date]])</f>
        <v>191.54513888889051</v>
      </c>
      <c r="Z764" s="476">
        <f t="shared" si="126"/>
        <v>0</v>
      </c>
      <c r="AA764" s="422">
        <f t="shared" si="127"/>
        <v>45898.459722222222</v>
      </c>
      <c r="AB764" s="422">
        <f t="shared" si="128"/>
        <v>45891.3125</v>
      </c>
      <c r="AC764" s="476">
        <f t="shared" si="129"/>
        <v>1079.3125</v>
      </c>
      <c r="AD764" s="476">
        <f t="shared" si="130"/>
        <v>7.1472222222218988</v>
      </c>
      <c r="AE764" s="476">
        <f t="shared" si="131"/>
        <v>1086.4597222222219</v>
      </c>
      <c r="AF764" s="476" t="b">
        <f>IFERROR(_xlfn.XLOOKUP(Table1[[#This Row],[Opportunity ID]],'Aging Detail'!$H$14:$H$20,'Aging Detail'!$F$14:$F$20),TRUE)</f>
        <v>1</v>
      </c>
    </row>
    <row r="765" spans="1:32">
      <c r="A765" t="s">
        <v>1461</v>
      </c>
      <c r="B765" t="s">
        <v>462</v>
      </c>
      <c r="C765" t="s">
        <v>1462</v>
      </c>
      <c r="D765" t="s">
        <v>3278</v>
      </c>
      <c r="E765" t="s">
        <v>3018</v>
      </c>
      <c r="I765" s="422">
        <v>45590</v>
      </c>
      <c r="J765" s="422">
        <v>45807</v>
      </c>
      <c r="K765">
        <v>30000</v>
      </c>
      <c r="L765">
        <v>0</v>
      </c>
      <c r="M765" t="s">
        <v>3019</v>
      </c>
      <c r="N765" t="s">
        <v>1642</v>
      </c>
      <c r="O765" t="str">
        <f>_xlfn.IFNA(VLOOKUP(Table1[[#This Row],[Lead Source]],'helper tab'!A:B,2,FALSE),"Exclude")</f>
        <v>Exclude</v>
      </c>
      <c r="P765" s="422">
        <f t="shared" si="121"/>
        <v>45699.756944444445</v>
      </c>
      <c r="Q765">
        <f t="shared" si="122"/>
        <v>0</v>
      </c>
      <c r="R765">
        <f t="shared" si="123"/>
        <v>0</v>
      </c>
      <c r="S765">
        <f>IF(
AND($Q765=1,$M765&lt;&gt;""),
IF(
COUNTIFS(
$M$3:$M765,$M765,
$O$3:$O765,$O765,
$Q$3:$Q765,1,
$P$3:$P765,"&gt;="&amp;EOMONTH($P765,-1)+1,
$P$3:$P765,"&lt;"&amp;EOMONTH($P765,0)+1
)=1,
1,
0),
0)</f>
        <v>0</v>
      </c>
      <c r="T765">
        <f>IF(AND($R765=1,$M765&lt;&gt;""),IF(COUNTIFS($M$3:$M765,$M765,$O$3:$O765,$O765,$R$3:$R765,1,$P$3:$P765,"&gt;="&amp;EOMONTH($P765,-1)+1,$P$3:$P765,"&lt;"&amp;EOMONTH($P765,0)+1)=1,1,0),0)</f>
        <v>0</v>
      </c>
      <c r="U765">
        <f t="shared" si="124"/>
        <v>0</v>
      </c>
      <c r="V765">
        <f>IF(AND($U765=1,$M765&lt;&gt;""),IF(COUNTIFS($M$3:$M765,$M765,$O$3:$O765,$O765,$U$3:$U765,1,$P$3:$P765,"&gt;="&amp;EOMONTH($P765,-1)+1,$P$3:$P765,"&lt;"&amp;EOMONTH($P765,0)+1)=1,1,0),0)</f>
        <v>0</v>
      </c>
      <c r="W765" s="444">
        <f ca="1">TODAY()-Table1[[#This Row],[Change Date]]</f>
        <v>558.24305555555475</v>
      </c>
      <c r="X765" s="422">
        <f t="shared" si="125"/>
        <v>45807.470833333333</v>
      </c>
      <c r="Y765" s="476">
        <f ca="1">IF(Table1[[#This Row],[Next Stage Date]]&lt;&gt;"",Table1[[#This Row],[Next Stage Date]]-Table1[[#This Row],[Change Date]],TODAY()-Table1[[#This Row],[Change Date]])</f>
        <v>107.7138888888876</v>
      </c>
      <c r="Z765" s="476">
        <f t="shared" si="126"/>
        <v>0</v>
      </c>
      <c r="AA765" s="422">
        <f t="shared" si="127"/>
        <v>45807.470833333333</v>
      </c>
      <c r="AB765" s="422" t="str">
        <f t="shared" si="128"/>
        <v/>
      </c>
      <c r="AC765" s="476" t="str">
        <f t="shared" si="129"/>
        <v/>
      </c>
      <c r="AD765" s="476" t="str">
        <f t="shared" si="130"/>
        <v/>
      </c>
      <c r="AE765" s="476">
        <f t="shared" si="131"/>
        <v>217.47083333333285</v>
      </c>
      <c r="AF765" s="476" t="b">
        <f>IFERROR(_xlfn.XLOOKUP(Table1[[#This Row],[Opportunity ID]],'Aging Detail'!$H$14:$H$20,'Aging Detail'!$F$14:$F$20),TRUE)</f>
        <v>1</v>
      </c>
    </row>
    <row r="766" spans="1:32">
      <c r="A766" t="s">
        <v>1461</v>
      </c>
      <c r="B766" t="s">
        <v>408</v>
      </c>
      <c r="C766" t="s">
        <v>1462</v>
      </c>
      <c r="D766" t="s">
        <v>3279</v>
      </c>
      <c r="E766" t="s">
        <v>3060</v>
      </c>
      <c r="I766" s="422">
        <v>45611</v>
      </c>
      <c r="J766" s="422">
        <v>45840</v>
      </c>
      <c r="K766">
        <v>0</v>
      </c>
      <c r="L766">
        <v>0</v>
      </c>
      <c r="M766" t="s">
        <v>3061</v>
      </c>
      <c r="N766" t="s">
        <v>1691</v>
      </c>
      <c r="O766" t="str">
        <f>_xlfn.IFNA(VLOOKUP(Table1[[#This Row],[Lead Source]],'helper tab'!A:B,2,FALSE),"Exclude")</f>
        <v>Exclude</v>
      </c>
      <c r="P766" s="422">
        <f t="shared" si="121"/>
        <v>45699.755555555559</v>
      </c>
      <c r="Q766">
        <f t="shared" si="122"/>
        <v>0</v>
      </c>
      <c r="R766">
        <f t="shared" si="123"/>
        <v>0</v>
      </c>
      <c r="S766">
        <f>IF(
AND($Q766=1,$M766&lt;&gt;""),
IF(
COUNTIFS(
$M$3:$M766,$M766,
$O$3:$O766,$O766,
$Q$3:$Q766,1,
$P$3:$P766,"&gt;="&amp;EOMONTH($P766,-1)+1,
$P$3:$P766,"&lt;"&amp;EOMONTH($P766,0)+1
)=1,
1,
0),
0)</f>
        <v>0</v>
      </c>
      <c r="T766">
        <f>IF(AND($R766=1,$M766&lt;&gt;""),IF(COUNTIFS($M$3:$M766,$M766,$O$3:$O766,$O766,$R$3:$R766,1,$P$3:$P766,"&gt;="&amp;EOMONTH($P766,-1)+1,$P$3:$P766,"&lt;"&amp;EOMONTH($P766,0)+1)=1,1,0),0)</f>
        <v>0</v>
      </c>
      <c r="U766">
        <f t="shared" si="124"/>
        <v>0</v>
      </c>
      <c r="V766">
        <f>IF(AND($U766=1,$M766&lt;&gt;""),IF(COUNTIFS($M$3:$M766,$M766,$O$3:$O766,$O766,$U$3:$U766,1,$P$3:$P766,"&gt;="&amp;EOMONTH($P766,-1)+1,$P$3:$P766,"&lt;"&amp;EOMONTH($P766,0)+1)=1,1,0),0)</f>
        <v>0</v>
      </c>
      <c r="W766" s="444">
        <f ca="1">TODAY()-Table1[[#This Row],[Change Date]]</f>
        <v>558.24444444444089</v>
      </c>
      <c r="X766" s="422">
        <f t="shared" si="125"/>
        <v>45790.282638888886</v>
      </c>
      <c r="Y766" s="476">
        <f ca="1">IF(Table1[[#This Row],[Next Stage Date]]&lt;&gt;"",Table1[[#This Row],[Next Stage Date]]-Table1[[#This Row],[Change Date]],TODAY()-Table1[[#This Row],[Change Date]])</f>
        <v>90.527083333327028</v>
      </c>
      <c r="Z766" s="476">
        <f t="shared" si="126"/>
        <v>0</v>
      </c>
      <c r="AA766" s="422" t="str">
        <f t="shared" si="127"/>
        <v/>
      </c>
      <c r="AB766" s="422" t="str">
        <f t="shared" si="128"/>
        <v/>
      </c>
      <c r="AC766" s="476" t="str">
        <f t="shared" si="129"/>
        <v/>
      </c>
      <c r="AD766" s="476" t="str">
        <f t="shared" si="130"/>
        <v/>
      </c>
      <c r="AE766" s="476" t="str">
        <f t="shared" si="131"/>
        <v/>
      </c>
      <c r="AF766" s="476" t="b">
        <f>IFERROR(_xlfn.XLOOKUP(Table1[[#This Row],[Opportunity ID]],'Aging Detail'!$H$14:$H$20,'Aging Detail'!$F$14:$F$20),TRUE)</f>
        <v>1</v>
      </c>
    </row>
    <row r="767" spans="1:32">
      <c r="A767" t="s">
        <v>1461</v>
      </c>
      <c r="B767" t="s">
        <v>408</v>
      </c>
      <c r="C767" t="s">
        <v>1469</v>
      </c>
      <c r="D767" t="s">
        <v>3280</v>
      </c>
      <c r="E767" t="s">
        <v>3281</v>
      </c>
      <c r="I767" s="422">
        <v>45531</v>
      </c>
      <c r="J767" s="422">
        <v>45840</v>
      </c>
      <c r="K767">
        <v>0</v>
      </c>
      <c r="L767">
        <v>0</v>
      </c>
      <c r="M767" t="s">
        <v>3282</v>
      </c>
      <c r="N767" t="s">
        <v>1691</v>
      </c>
      <c r="O767" t="str">
        <f>_xlfn.IFNA(VLOOKUP(Table1[[#This Row],[Lead Source]],'helper tab'!A:B,2,FALSE),"Exclude")</f>
        <v>Exclude</v>
      </c>
      <c r="P767" s="422">
        <f t="shared" si="121"/>
        <v>45699.753472222219</v>
      </c>
      <c r="Q767">
        <f t="shared" si="122"/>
        <v>0</v>
      </c>
      <c r="R767">
        <f t="shared" si="123"/>
        <v>0</v>
      </c>
      <c r="S767">
        <f>IF(
AND($Q767=1,$M767&lt;&gt;""),
IF(
COUNTIFS(
$M$3:$M767,$M767,
$O$3:$O767,$O767,
$Q$3:$Q767,1,
$P$3:$P767,"&gt;="&amp;EOMONTH($P767,-1)+1,
$P$3:$P767,"&lt;"&amp;EOMONTH($P767,0)+1
)=1,
1,
0),
0)</f>
        <v>0</v>
      </c>
      <c r="T767">
        <f>IF(AND($R767=1,$M767&lt;&gt;""),IF(COUNTIFS($M$3:$M767,$M767,$O$3:$O767,$O767,$R$3:$R767,1,$P$3:$P767,"&gt;="&amp;EOMONTH($P767,-1)+1,$P$3:$P767,"&lt;"&amp;EOMONTH($P767,0)+1)=1,1,0),0)</f>
        <v>0</v>
      </c>
      <c r="U767">
        <f t="shared" si="124"/>
        <v>1</v>
      </c>
      <c r="V767">
        <f>IF(AND($U767=1,$M767&lt;&gt;""),IF(COUNTIFS($M$3:$M767,$M767,$O$3:$O767,$O767,$U$3:$U767,1,$P$3:$P767,"&gt;="&amp;EOMONTH($P767,-1)+1,$P$3:$P767,"&lt;"&amp;EOMONTH($P767,0)+1)=1,1,0),0)</f>
        <v>1</v>
      </c>
      <c r="W767" s="444">
        <f ca="1">TODAY()-Table1[[#This Row],[Change Date]]</f>
        <v>558.24652777778101</v>
      </c>
      <c r="X767" s="422" t="str">
        <f t="shared" si="125"/>
        <v/>
      </c>
      <c r="Y767" s="476">
        <f ca="1">IF(Table1[[#This Row],[Next Stage Date]]&lt;&gt;"",Table1[[#This Row],[Next Stage Date]]-Table1[[#This Row],[Change Date]],TODAY()-Table1[[#This Row],[Change Date]])</f>
        <v>558.24652777778101</v>
      </c>
      <c r="Z767" s="476">
        <f t="shared" si="126"/>
        <v>1</v>
      </c>
      <c r="AA767" s="422" t="str">
        <f t="shared" si="127"/>
        <v/>
      </c>
      <c r="AB767" s="422" t="str">
        <f t="shared" si="128"/>
        <v/>
      </c>
      <c r="AC767" s="476" t="str">
        <f t="shared" si="129"/>
        <v/>
      </c>
      <c r="AD767" s="476" t="str">
        <f t="shared" si="130"/>
        <v/>
      </c>
      <c r="AE767" s="476" t="str">
        <f t="shared" si="131"/>
        <v/>
      </c>
      <c r="AF767" s="476" t="b">
        <f>IFERROR(_xlfn.XLOOKUP(Table1[[#This Row],[Opportunity ID]],'Aging Detail'!$H$14:$H$20,'Aging Detail'!$F$14:$F$20),TRUE)</f>
        <v>1</v>
      </c>
    </row>
    <row r="768" spans="1:32">
      <c r="A768" t="s">
        <v>1461</v>
      </c>
      <c r="B768" t="s">
        <v>338</v>
      </c>
      <c r="C768" t="s">
        <v>1469</v>
      </c>
      <c r="D768" t="s">
        <v>3283</v>
      </c>
      <c r="E768" t="s">
        <v>3284</v>
      </c>
      <c r="I768" s="422">
        <v>45553</v>
      </c>
      <c r="J768" s="422">
        <v>73050</v>
      </c>
      <c r="L768">
        <v>0</v>
      </c>
      <c r="M768" t="s">
        <v>3285</v>
      </c>
      <c r="N768" t="s">
        <v>1629</v>
      </c>
      <c r="O768" t="str">
        <f>_xlfn.IFNA(VLOOKUP(Table1[[#This Row],[Lead Source]],'helper tab'!A:B,2,FALSE),"Exclude")</f>
        <v>Exclude</v>
      </c>
      <c r="P768" s="422">
        <f t="shared" si="121"/>
        <v>45699.529861111114</v>
      </c>
      <c r="Q768">
        <f t="shared" si="122"/>
        <v>0</v>
      </c>
      <c r="R768">
        <f t="shared" si="123"/>
        <v>0</v>
      </c>
      <c r="S768">
        <f>IF(
AND($Q768=1,$M768&lt;&gt;""),
IF(
COUNTIFS(
$M$3:$M768,$M768,
$O$3:$O768,$O768,
$Q$3:$Q768,1,
$P$3:$P768,"&gt;="&amp;EOMONTH($P768,-1)+1,
$P$3:$P768,"&lt;"&amp;EOMONTH($P768,0)+1
)=1,
1,
0),
0)</f>
        <v>0</v>
      </c>
      <c r="T768">
        <f>IF(AND($R768=1,$M768&lt;&gt;""),IF(COUNTIFS($M$3:$M768,$M768,$O$3:$O768,$O768,$R$3:$R768,1,$P$3:$P768,"&gt;="&amp;EOMONTH($P768,-1)+1,$P$3:$P768,"&lt;"&amp;EOMONTH($P768,0)+1)=1,1,0),0)</f>
        <v>0</v>
      </c>
      <c r="U768">
        <f t="shared" si="124"/>
        <v>1</v>
      </c>
      <c r="V768">
        <f>IF(AND($U768=1,$M768&lt;&gt;""),IF(COUNTIFS($M$3:$M768,$M768,$O$3:$O768,$O768,$U$3:$U768,1,$P$3:$P768,"&gt;="&amp;EOMONTH($P768,-1)+1,$P$3:$P768,"&lt;"&amp;EOMONTH($P768,0)+1)=1,1,0),0)</f>
        <v>1</v>
      </c>
      <c r="W768" s="444">
        <f ca="1">TODAY()-Table1[[#This Row],[Change Date]]</f>
        <v>558.47013888888614</v>
      </c>
      <c r="X768" s="422" t="str">
        <f t="shared" si="125"/>
        <v/>
      </c>
      <c r="Y768" s="476">
        <f ca="1">IF(Table1[[#This Row],[Next Stage Date]]&lt;&gt;"",Table1[[#This Row],[Next Stage Date]]-Table1[[#This Row],[Change Date]],TODAY()-Table1[[#This Row],[Change Date]])</f>
        <v>558.47013888888614</v>
      </c>
      <c r="Z768" s="476">
        <f t="shared" si="126"/>
        <v>1</v>
      </c>
      <c r="AA768" s="422" t="str">
        <f t="shared" si="127"/>
        <v/>
      </c>
      <c r="AB768" s="422" t="str">
        <f t="shared" si="128"/>
        <v/>
      </c>
      <c r="AC768" s="476" t="str">
        <f t="shared" si="129"/>
        <v/>
      </c>
      <c r="AD768" s="476" t="str">
        <f t="shared" si="130"/>
        <v/>
      </c>
      <c r="AE768" s="476" t="str">
        <f t="shared" si="131"/>
        <v/>
      </c>
      <c r="AF768" s="476" t="b">
        <f>IFERROR(_xlfn.XLOOKUP(Table1[[#This Row],[Opportunity ID]],'Aging Detail'!$H$14:$H$20,'Aging Detail'!$F$14:$F$20),TRUE)</f>
        <v>1</v>
      </c>
    </row>
    <row r="769" spans="1:32">
      <c r="A769" t="s">
        <v>1461</v>
      </c>
      <c r="B769" t="s">
        <v>338</v>
      </c>
      <c r="C769" t="s">
        <v>1469</v>
      </c>
      <c r="D769" t="s">
        <v>3286</v>
      </c>
      <c r="E769" t="s">
        <v>3287</v>
      </c>
      <c r="I769" s="422">
        <v>45553</v>
      </c>
      <c r="J769" s="422">
        <v>73050</v>
      </c>
      <c r="L769">
        <v>0</v>
      </c>
      <c r="M769" t="s">
        <v>3288</v>
      </c>
      <c r="N769" t="s">
        <v>1629</v>
      </c>
      <c r="O769" t="str">
        <f>_xlfn.IFNA(VLOOKUP(Table1[[#This Row],[Lead Source]],'helper tab'!A:B,2,FALSE),"Exclude")</f>
        <v>Exclude</v>
      </c>
      <c r="P769" s="422">
        <f t="shared" si="121"/>
        <v>45699.529166666667</v>
      </c>
      <c r="Q769">
        <f t="shared" si="122"/>
        <v>0</v>
      </c>
      <c r="R769">
        <f t="shared" si="123"/>
        <v>0</v>
      </c>
      <c r="S769">
        <f>IF(
AND($Q769=1,$M769&lt;&gt;""),
IF(
COUNTIFS(
$M$3:$M769,$M769,
$O$3:$O769,$O769,
$Q$3:$Q769,1,
$P$3:$P769,"&gt;="&amp;EOMONTH($P769,-1)+1,
$P$3:$P769,"&lt;"&amp;EOMONTH($P769,0)+1
)=1,
1,
0),
0)</f>
        <v>0</v>
      </c>
      <c r="T769">
        <f>IF(AND($R769=1,$M769&lt;&gt;""),IF(COUNTIFS($M$3:$M769,$M769,$O$3:$O769,$O769,$R$3:$R769,1,$P$3:$P769,"&gt;="&amp;EOMONTH($P769,-1)+1,$P$3:$P769,"&lt;"&amp;EOMONTH($P769,0)+1)=1,1,0),0)</f>
        <v>0</v>
      </c>
      <c r="U769">
        <f t="shared" si="124"/>
        <v>1</v>
      </c>
      <c r="V769">
        <f>IF(AND($U769=1,$M769&lt;&gt;""),IF(COUNTIFS($M$3:$M769,$M769,$O$3:$O769,$O769,$U$3:$U769,1,$P$3:$P769,"&gt;="&amp;EOMONTH($P769,-1)+1,$P$3:$P769,"&lt;"&amp;EOMONTH($P769,0)+1)=1,1,0),0)</f>
        <v>1</v>
      </c>
      <c r="W769" s="444">
        <f ca="1">TODAY()-Table1[[#This Row],[Change Date]]</f>
        <v>558.47083333333285</v>
      </c>
      <c r="X769" s="422" t="str">
        <f t="shared" si="125"/>
        <v/>
      </c>
      <c r="Y769" s="476">
        <f ca="1">IF(Table1[[#This Row],[Next Stage Date]]&lt;&gt;"",Table1[[#This Row],[Next Stage Date]]-Table1[[#This Row],[Change Date]],TODAY()-Table1[[#This Row],[Change Date]])</f>
        <v>558.47083333333285</v>
      </c>
      <c r="Z769" s="476">
        <f t="shared" si="126"/>
        <v>1</v>
      </c>
      <c r="AA769" s="422" t="str">
        <f t="shared" si="127"/>
        <v/>
      </c>
      <c r="AB769" s="422" t="str">
        <f t="shared" si="128"/>
        <v/>
      </c>
      <c r="AC769" s="476" t="str">
        <f t="shared" si="129"/>
        <v/>
      </c>
      <c r="AD769" s="476" t="str">
        <f t="shared" si="130"/>
        <v/>
      </c>
      <c r="AE769" s="476" t="str">
        <f t="shared" si="131"/>
        <v/>
      </c>
      <c r="AF769" s="476" t="b">
        <f>IFERROR(_xlfn.XLOOKUP(Table1[[#This Row],[Opportunity ID]],'Aging Detail'!$H$14:$H$20,'Aging Detail'!$F$14:$F$20),TRUE)</f>
        <v>1</v>
      </c>
    </row>
    <row r="770" spans="1:32">
      <c r="A770" t="s">
        <v>1461</v>
      </c>
      <c r="B770" t="s">
        <v>408</v>
      </c>
      <c r="C770" t="s">
        <v>1462</v>
      </c>
      <c r="D770" t="s">
        <v>3289</v>
      </c>
      <c r="E770" t="s">
        <v>2883</v>
      </c>
      <c r="F770" t="s">
        <v>148</v>
      </c>
      <c r="H770" t="s">
        <v>169</v>
      </c>
      <c r="I770" s="422">
        <v>45684</v>
      </c>
      <c r="J770" s="422">
        <v>46534</v>
      </c>
      <c r="K770">
        <v>40000</v>
      </c>
      <c r="L770">
        <v>40000</v>
      </c>
      <c r="M770" t="s">
        <v>2884</v>
      </c>
      <c r="N770" t="s">
        <v>2885</v>
      </c>
      <c r="O770" t="str">
        <f>_xlfn.IFNA(VLOOKUP(Table1[[#This Row],[Lead Source]],'helper tab'!A:B,2,FALSE),"Exclude")</f>
        <v>Alliances</v>
      </c>
      <c r="P770" s="422">
        <f t="shared" si="121"/>
        <v>45699.517361111109</v>
      </c>
      <c r="Q770">
        <f t="shared" si="122"/>
        <v>0</v>
      </c>
      <c r="R770">
        <f t="shared" si="123"/>
        <v>0</v>
      </c>
      <c r="S770">
        <f>IF(
AND($Q770=1,$M770&lt;&gt;""),
IF(
COUNTIFS(
$M$3:$M770,$M770,
$O$3:$O770,$O770,
$Q$3:$Q770,1,
$P$3:$P770,"&gt;="&amp;EOMONTH($P770,-1)+1,
$P$3:$P770,"&lt;"&amp;EOMONTH($P770,0)+1
)=1,
1,
0),
0)</f>
        <v>0</v>
      </c>
      <c r="T770">
        <f>IF(AND($R770=1,$M770&lt;&gt;""),IF(COUNTIFS($M$3:$M770,$M770,$O$3:$O770,$O770,$R$3:$R770,1,$P$3:$P770,"&gt;="&amp;EOMONTH($P770,-1)+1,$P$3:$P770,"&lt;"&amp;EOMONTH($P770,0)+1)=1,1,0),0)</f>
        <v>0</v>
      </c>
      <c r="U770">
        <f t="shared" si="124"/>
        <v>0</v>
      </c>
      <c r="V770">
        <f>IF(AND($U770=1,$M770&lt;&gt;""),IF(COUNTIFS($M$3:$M770,$M770,$O$3:$O770,$O770,$U$3:$U770,1,$P$3:$P770,"&gt;="&amp;EOMONTH($P770,-1)+1,$P$3:$P770,"&lt;"&amp;EOMONTH($P770,0)+1)=1,1,0),0)</f>
        <v>0</v>
      </c>
      <c r="W770" s="444">
        <f ca="1">TODAY()-Table1[[#This Row],[Change Date]]</f>
        <v>558.48263888889051</v>
      </c>
      <c r="X770" s="422">
        <f t="shared" si="125"/>
        <v>45778.352777777778</v>
      </c>
      <c r="Y770" s="476">
        <f ca="1">IF(Table1[[#This Row],[Next Stage Date]]&lt;&gt;"",Table1[[#This Row],[Next Stage Date]]-Table1[[#This Row],[Change Date]],TODAY()-Table1[[#This Row],[Change Date]])</f>
        <v>78.835416666668607</v>
      </c>
      <c r="Z770" s="476">
        <f t="shared" si="126"/>
        <v>0</v>
      </c>
      <c r="AA770" s="422" t="str">
        <f t="shared" si="127"/>
        <v/>
      </c>
      <c r="AB770" s="422">
        <f t="shared" si="128"/>
        <v>45778.352777777778</v>
      </c>
      <c r="AC770" s="476">
        <f t="shared" si="129"/>
        <v>94.352777777778101</v>
      </c>
      <c r="AD770" s="476" t="str">
        <f t="shared" si="130"/>
        <v/>
      </c>
      <c r="AE770" s="476" t="str">
        <f t="shared" si="131"/>
        <v/>
      </c>
      <c r="AF770" s="476" t="b">
        <f>IFERROR(_xlfn.XLOOKUP(Table1[[#This Row],[Opportunity ID]],'Aging Detail'!$H$14:$H$20,'Aging Detail'!$F$14:$F$20),TRUE)</f>
        <v>1</v>
      </c>
    </row>
    <row r="771" spans="1:32">
      <c r="A771" t="s">
        <v>1461</v>
      </c>
      <c r="B771" t="s">
        <v>408</v>
      </c>
      <c r="C771" t="s">
        <v>1462</v>
      </c>
      <c r="D771" t="s">
        <v>3290</v>
      </c>
      <c r="E771" t="s">
        <v>3291</v>
      </c>
      <c r="F771" t="s">
        <v>1485</v>
      </c>
      <c r="G771" t="s">
        <v>1470</v>
      </c>
      <c r="I771" s="422">
        <v>45344</v>
      </c>
      <c r="J771" s="422">
        <v>46527</v>
      </c>
      <c r="K771">
        <v>50000</v>
      </c>
      <c r="L771">
        <v>50000</v>
      </c>
      <c r="M771" t="s">
        <v>3292</v>
      </c>
      <c r="N771" t="s">
        <v>3293</v>
      </c>
      <c r="O771" t="str">
        <f>_xlfn.IFNA(VLOOKUP(Table1[[#This Row],[Lead Source]],'helper tab'!A:B,2,FALSE),"Exclude")</f>
        <v>Digital</v>
      </c>
      <c r="P771" s="422">
        <f t="shared" si="121"/>
        <v>45699.51666666667</v>
      </c>
      <c r="Q771">
        <f t="shared" si="122"/>
        <v>0</v>
      </c>
      <c r="R771">
        <f t="shared" si="123"/>
        <v>0</v>
      </c>
      <c r="S771">
        <f>IF(
AND($Q771=1,$M771&lt;&gt;""),
IF(
COUNTIFS(
$M$3:$M771,$M771,
$O$3:$O771,$O771,
$Q$3:$Q771,1,
$P$3:$P771,"&gt;="&amp;EOMONTH($P771,-1)+1,
$P$3:$P771,"&lt;"&amp;EOMONTH($P771,0)+1
)=1,
1,
0),
0)</f>
        <v>0</v>
      </c>
      <c r="T771">
        <f>IF(AND($R771=1,$M771&lt;&gt;""),IF(COUNTIFS($M$3:$M771,$M771,$O$3:$O771,$O771,$R$3:$R771,1,$P$3:$P771,"&gt;="&amp;EOMONTH($P771,-1)+1,$P$3:$P771,"&lt;"&amp;EOMONTH($P771,0)+1)=1,1,0),0)</f>
        <v>0</v>
      </c>
      <c r="U771">
        <f t="shared" si="124"/>
        <v>0</v>
      </c>
      <c r="V771">
        <f>IF(AND($U771=1,$M771&lt;&gt;""),IF(COUNTIFS($M$3:$M771,$M771,$O$3:$O771,$O771,$U$3:$U771,1,$P$3:$P771,"&gt;="&amp;EOMONTH($P771,-1)+1,$P$3:$P771,"&lt;"&amp;EOMONTH($P771,0)+1)=1,1,0),0)</f>
        <v>0</v>
      </c>
      <c r="W771" s="444">
        <f ca="1">TODAY()-Table1[[#This Row],[Change Date]]</f>
        <v>558.48333333332994</v>
      </c>
      <c r="X771" s="422" t="str">
        <f t="shared" si="125"/>
        <v/>
      </c>
      <c r="Y771" s="476">
        <f ca="1">IF(Table1[[#This Row],[Next Stage Date]]&lt;&gt;"",Table1[[#This Row],[Next Stage Date]]-Table1[[#This Row],[Change Date]],TODAY()-Table1[[#This Row],[Change Date]])</f>
        <v>558.48333333332994</v>
      </c>
      <c r="Z771" s="476">
        <f t="shared" si="126"/>
        <v>1</v>
      </c>
      <c r="AA771" s="422" t="str">
        <f t="shared" si="127"/>
        <v/>
      </c>
      <c r="AB771" s="422" t="str">
        <f t="shared" si="128"/>
        <v/>
      </c>
      <c r="AC771" s="476" t="str">
        <f t="shared" ref="AC771:AC772" si="132">IF(AB771&lt;&gt;"",AB771-I771,"")</f>
        <v/>
      </c>
      <c r="AD771" s="476" t="str">
        <f t="shared" si="130"/>
        <v/>
      </c>
      <c r="AE771" s="476" t="str">
        <f t="shared" si="131"/>
        <v/>
      </c>
      <c r="AF771" s="476" t="b">
        <f>IFERROR(_xlfn.XLOOKUP(Table1[[#This Row],[Opportunity ID]],'Aging Detail'!$H$14:$H$20,'Aging Detail'!$F$14:$F$20),TRUE)</f>
        <v>1</v>
      </c>
    </row>
    <row r="772" spans="1:32">
      <c r="A772" t="s">
        <v>1461</v>
      </c>
      <c r="B772" t="s">
        <v>408</v>
      </c>
      <c r="C772" t="s">
        <v>1462</v>
      </c>
      <c r="D772" t="s">
        <v>3294</v>
      </c>
      <c r="E772" t="s">
        <v>3008</v>
      </c>
      <c r="I772" s="422">
        <v>45684</v>
      </c>
      <c r="J772" s="422">
        <v>45812</v>
      </c>
      <c r="K772">
        <v>125100</v>
      </c>
      <c r="L772">
        <v>16700</v>
      </c>
      <c r="M772" t="s">
        <v>3009</v>
      </c>
      <c r="N772" t="s">
        <v>1549</v>
      </c>
      <c r="O772" t="str">
        <f>_xlfn.IFNA(VLOOKUP(Table1[[#This Row],[Lead Source]],'helper tab'!A:B,2,FALSE),"Exclude")</f>
        <v>Exclude</v>
      </c>
      <c r="P772" s="422">
        <f t="shared" si="121"/>
        <v>45699.508333333331</v>
      </c>
      <c r="Q772">
        <f t="shared" si="122"/>
        <v>0</v>
      </c>
      <c r="R772">
        <f t="shared" si="123"/>
        <v>0</v>
      </c>
      <c r="S772">
        <f>IF(
AND($Q772=1,$M772&lt;&gt;""),
IF(
COUNTIFS(
$M$3:$M791,$M772,
$O$3:$O791,$O772,
$Q$3:$Q791,1,
$P$3:$P791,"&gt;="&amp;EOMONTH($P772,-1)+1,
$P$3:$P791,"&lt;"&amp;EOMONTH($P772,0)+1
)=1,
1,
0),
0)</f>
        <v>0</v>
      </c>
      <c r="T772">
        <f>IF(AND($R772=1,$M772&lt;&gt;""),IF(COUNTIFS($M$3:$M791,$M772,$O$3:$O791,$O772,$R$3:$R791,1,$P$3:$P791,"&gt;="&amp;EOMONTH($P772,-1)+1,$P$3:$P791,"&lt;"&amp;EOMONTH($P772,0)+1)=1,1,0),0)</f>
        <v>0</v>
      </c>
      <c r="U772">
        <f t="shared" si="124"/>
        <v>0</v>
      </c>
      <c r="V772">
        <f>IF(AND($U772=1,$M772&lt;&gt;""),IF(COUNTIFS($M$3:$M791,$M772,$O$3:$O791,$O772,$U$3:$U791,1,$P$3:$P791,"&gt;="&amp;EOMONTH($P772,-1)+1,$P$3:$P791,"&lt;"&amp;EOMONTH($P772,0)+1)=1,1,0),0)</f>
        <v>0</v>
      </c>
      <c r="W772" s="444">
        <f ca="1">TODAY()-Table1[[#This Row],[Change Date]]</f>
        <v>558.49166666666861</v>
      </c>
      <c r="X772" s="422">
        <f t="shared" si="125"/>
        <v>45811.379861111112</v>
      </c>
      <c r="Y772" s="476">
        <f ca="1">IF(Table1[[#This Row],[Next Stage Date]]&lt;&gt;"",Table1[[#This Row],[Next Stage Date]]-Table1[[#This Row],[Change Date]],TODAY()-Table1[[#This Row],[Change Date]])</f>
        <v>111.87152777778101</v>
      </c>
      <c r="Z772" s="476">
        <f t="shared" si="126"/>
        <v>0</v>
      </c>
      <c r="AA772" s="422">
        <f t="shared" si="127"/>
        <v>45812.318749999999</v>
      </c>
      <c r="AB772" s="422">
        <f t="shared" si="128"/>
        <v>45811.379861111112</v>
      </c>
      <c r="AC772" s="476">
        <f t="shared" si="132"/>
        <v>127.3798611111124</v>
      </c>
      <c r="AD772" s="476">
        <f t="shared" si="130"/>
        <v>0.93888888888614019</v>
      </c>
      <c r="AE772" s="476">
        <f t="shared" si="131"/>
        <v>128.31874999999854</v>
      </c>
      <c r="AF772" s="476" t="b">
        <f>IFERROR(_xlfn.XLOOKUP(Table1[[#This Row],[Opportunity ID]],'Aging Detail'!$H$14:$H$20,'Aging Detail'!$F$14:$F$20),TRUE)</f>
        <v>1</v>
      </c>
    </row>
    <row r="773" spans="1:32">
      <c r="A773" t="s">
        <v>1461</v>
      </c>
      <c r="B773" t="s">
        <v>526</v>
      </c>
      <c r="C773" t="s">
        <v>563</v>
      </c>
      <c r="D773" t="s">
        <v>3295</v>
      </c>
      <c r="E773" t="s">
        <v>3296</v>
      </c>
      <c r="I773" s="422">
        <v>45608</v>
      </c>
      <c r="J773" s="422">
        <v>45699</v>
      </c>
      <c r="L773">
        <v>0</v>
      </c>
      <c r="M773" t="s">
        <v>3297</v>
      </c>
      <c r="N773" t="s">
        <v>1823</v>
      </c>
      <c r="O773" t="str">
        <f>_xlfn.IFNA(VLOOKUP(Table1[[#This Row],[Lead Source]],'helper tab'!A:B,2,FALSE),"Exclude")</f>
        <v>Exclude</v>
      </c>
      <c r="P773" s="422">
        <f t="shared" ref="P773:P791" si="133">--SUBSTITUTE(D773,",","")</f>
        <v>45699.452777777777</v>
      </c>
      <c r="Q773">
        <f t="shared" ref="Q773:Q791" si="134">IF(OR($C773="Propose",$C773="Procure"),1,0)</f>
        <v>0</v>
      </c>
      <c r="R773">
        <f t="shared" ref="R773:R791" si="135">IF($C773="Closed Won",1,0)</f>
        <v>1</v>
      </c>
      <c r="S773">
        <f>IF(
AND($Q773=1,$M773&lt;&gt;""),
IF(
COUNTIFS(
$M$3:$M773,$M773,
$O$3:$O773,$O773,
$Q$3:$Q773,1,
$P$3:$P773,"&gt;="&amp;EOMONTH($P773,-1)+1,
$P$3:$P773,"&lt;"&amp;EOMONTH($P773,0)+1
)=1,
1,
0),
0)</f>
        <v>0</v>
      </c>
      <c r="T773">
        <f>IF(AND($R773=1,$M773&lt;&gt;""),IF(COUNTIFS($M$3:$M1542,$M773,$O$3:$O1542,$O773,$R$3:$R1542,1,$P$3:$P1542,"&gt;="&amp;EOMONTH($P773,-1)+1,$P$3:$P1542,"&lt;="&amp;EOMONTH($P773,0))=1,1,0),0)</f>
        <v>1</v>
      </c>
      <c r="U773">
        <f t="shared" ref="U773:U791" si="136">IF($C773="Closed Lost",1,0)</f>
        <v>0</v>
      </c>
      <c r="V773">
        <f>IF(AND($U773=1,$M773&lt;&gt;""),IF(COUNTIFS($M$3:$M773,$M773,$O$3:$O773,$O773,$U$3:$U773,1,$P$3:$P773,"&gt;="&amp;EOMONTH($P773,-1)+1,$P$3:$P773,"&lt;="&amp;EOMONTH($P773,0))=1,1,0),0)</f>
        <v>0</v>
      </c>
      <c r="W773" s="444">
        <f ca="1">TODAY()-Table1[[#This Row],[Change Date]]</f>
        <v>558.54722222222335</v>
      </c>
      <c r="X773" s="422" t="str">
        <f t="shared" ref="X773:X791" si="137">IFERROR(
IF(
COUNTIFS($M:$M,$M773,$P:$P,"&gt;"&amp;$P773)=0,
"",
_xlfn.MINIFS($P:$P,$M:$M,$M773,$P:$P,"&gt;"&amp;$P773)
),
""
)</f>
        <v/>
      </c>
      <c r="Y773" s="476">
        <f ca="1">IF(Table1[[#This Row],[Next Stage Date]]&lt;&gt;"",Table1[[#This Row],[Next Stage Date]]-Table1[[#This Row],[Change Date]],TODAY()-Table1[[#This Row],[Change Date]])</f>
        <v>558.54722222222335</v>
      </c>
      <c r="Z773" s="476">
        <f t="shared" ref="Z773:Z791" si="138">IF(P773=_xlfn.MAXIFS($P:$P,$M:$M,$M773),1,0)</f>
        <v>1</v>
      </c>
      <c r="AA773" s="422">
        <f t="shared" ref="AA773:AA791" si="139">IF(
COUNTIFS($M:$M,$M773,$C:$C,"Closed Won")=0,
"",
_xlfn.MINIFS($P:$P,$M:$M,$M773,$C:$C,"Closed Won")
)</f>
        <v>45699.452777777777</v>
      </c>
      <c r="AB773" s="422">
        <f t="shared" ref="AB773:AB791" si="140">IF(
COUNTIFS($M:$M,$M773,$Q:$Q,1)=0,
"",
_xlfn.MINIFS($P:$P,$M:$M,$M773,$Q:$Q,1)
)</f>
        <v>45692.495138888888</v>
      </c>
      <c r="AC773" s="476">
        <f t="shared" ref="AC773:AC791" si="141">IF(AB773&lt;&gt;"",AB773-I773,"")</f>
        <v>84.495138888887595</v>
      </c>
      <c r="AD773" s="476">
        <f t="shared" ref="AD773:AD791" si="142">IF(AND(AB773&lt;&gt;"",AA773&lt;&gt;""),AA773-AB773,"")</f>
        <v>6.9576388888890506</v>
      </c>
      <c r="AE773" s="476">
        <f t="shared" ref="AE773:AE791" si="143">IF(AA773&lt;&gt;"",AA773-I773,"")</f>
        <v>91.452777777776646</v>
      </c>
      <c r="AF773" s="476" t="b">
        <f>IFERROR(_xlfn.XLOOKUP(Table1[[#This Row],[Opportunity ID]],'Aging Detail'!$H$14:$H$20,'Aging Detail'!$F$14:$F$20),TRUE)</f>
        <v>1</v>
      </c>
    </row>
    <row r="774" spans="1:32">
      <c r="A774" t="s">
        <v>1461</v>
      </c>
      <c r="B774" t="s">
        <v>338</v>
      </c>
      <c r="C774" t="s">
        <v>1469</v>
      </c>
      <c r="D774" t="s">
        <v>3298</v>
      </c>
      <c r="E774" t="s">
        <v>3299</v>
      </c>
      <c r="F774" t="s">
        <v>1486</v>
      </c>
      <c r="H774" t="s">
        <v>2515</v>
      </c>
      <c r="I774" s="422">
        <v>45317</v>
      </c>
      <c r="J774" s="422">
        <v>46022</v>
      </c>
      <c r="L774">
        <v>0</v>
      </c>
      <c r="M774" t="s">
        <v>3300</v>
      </c>
      <c r="N774" t="s">
        <v>2555</v>
      </c>
      <c r="O774" t="str">
        <f>_xlfn.IFNA(VLOOKUP(Table1[[#This Row],[Lead Source]],'helper tab'!A:B,2,FALSE),"Exclude")</f>
        <v>Exclude</v>
      </c>
      <c r="P774" s="422">
        <f t="shared" si="133"/>
        <v>45698.613194444442</v>
      </c>
      <c r="Q774">
        <f t="shared" si="134"/>
        <v>0</v>
      </c>
      <c r="R774">
        <f t="shared" si="135"/>
        <v>0</v>
      </c>
      <c r="S774">
        <f>IF(
AND($Q774=1,$M774&lt;&gt;""),
IF(
COUNTIFS(
$M$3:$M774,$M774,
$O$3:$O774,$O774,
$Q$3:$Q774,1,
$P$3:$P774,"&gt;="&amp;EOMONTH($P774,-1)+1,
$P$3:$P774,"&lt;"&amp;EOMONTH($P774,0)+1
)=1,
1,
0),
0)</f>
        <v>0</v>
      </c>
      <c r="T774">
        <f>IF(AND($R774=1,$M774&lt;&gt;""),IF(COUNTIFS($M$3:$M1543,$M774,$O$3:$O1543,$O774,$R$3:$R1543,1,$P$3:$P1543,"&gt;="&amp;EOMONTH($P774,-1)+1,$P$3:$P1543,"&lt;="&amp;EOMONTH($P774,0))=1,1,0),0)</f>
        <v>0</v>
      </c>
      <c r="U774">
        <f t="shared" si="136"/>
        <v>1</v>
      </c>
      <c r="V774">
        <f>IF(AND($U774=1,$M774&lt;&gt;""),IF(COUNTIFS($M$3:$M774,$M774,$O$3:$O774,$O774,$U$3:$U774,1,$P$3:$P774,"&gt;="&amp;EOMONTH($P774,-1)+1,$P$3:$P774,"&lt;="&amp;EOMONTH($P774,0))=1,1,0),0)</f>
        <v>1</v>
      </c>
      <c r="W774" s="444">
        <f ca="1">TODAY()-Table1[[#This Row],[Change Date]]</f>
        <v>559.38680555555766</v>
      </c>
      <c r="X774" s="422" t="str">
        <f t="shared" si="137"/>
        <v/>
      </c>
      <c r="Y774" s="476">
        <f ca="1">IF(Table1[[#This Row],[Next Stage Date]]&lt;&gt;"",Table1[[#This Row],[Next Stage Date]]-Table1[[#This Row],[Change Date]],TODAY()-Table1[[#This Row],[Change Date]])</f>
        <v>559.38680555555766</v>
      </c>
      <c r="Z774" s="476">
        <f t="shared" si="138"/>
        <v>1</v>
      </c>
      <c r="AA774" s="422" t="str">
        <f t="shared" si="139"/>
        <v/>
      </c>
      <c r="AB774" s="422" t="str">
        <f t="shared" si="140"/>
        <v/>
      </c>
      <c r="AC774" s="476" t="str">
        <f t="shared" si="141"/>
        <v/>
      </c>
      <c r="AD774" s="476" t="str">
        <f t="shared" si="142"/>
        <v/>
      </c>
      <c r="AE774" s="476" t="str">
        <f t="shared" si="143"/>
        <v/>
      </c>
      <c r="AF774" s="476" t="b">
        <f>IFERROR(_xlfn.XLOOKUP(Table1[[#This Row],[Opportunity ID]],'Aging Detail'!$H$14:$H$20,'Aging Detail'!$F$14:$F$20),TRUE)</f>
        <v>1</v>
      </c>
    </row>
    <row r="775" spans="1:32">
      <c r="A775" t="s">
        <v>1461</v>
      </c>
      <c r="B775" t="s">
        <v>408</v>
      </c>
      <c r="C775" t="s">
        <v>1462</v>
      </c>
      <c r="D775" t="s">
        <v>3301</v>
      </c>
      <c r="E775" t="s">
        <v>2421</v>
      </c>
      <c r="F775" t="s">
        <v>1465</v>
      </c>
      <c r="I775" s="422">
        <v>45691</v>
      </c>
      <c r="J775" s="422">
        <v>46530</v>
      </c>
      <c r="K775">
        <v>276948.8</v>
      </c>
      <c r="L775">
        <v>136948.79999999999</v>
      </c>
      <c r="M775" t="s">
        <v>2422</v>
      </c>
      <c r="N775" t="s">
        <v>2423</v>
      </c>
      <c r="O775" t="str">
        <f>_xlfn.IFNA(VLOOKUP(Table1[[#This Row],[Lead Source]],'helper tab'!A:B,2,FALSE),"Exclude")</f>
        <v>Exclude</v>
      </c>
      <c r="P775" s="422">
        <f t="shared" si="133"/>
        <v>45698.133333333331</v>
      </c>
      <c r="Q775">
        <f t="shared" si="134"/>
        <v>0</v>
      </c>
      <c r="R775">
        <f t="shared" si="135"/>
        <v>0</v>
      </c>
      <c r="S775">
        <f>IF(
AND($Q775=1,$M775&lt;&gt;""),
IF(
COUNTIFS(
$M$3:$M775,$M775,
$O$3:$O775,$O775,
$Q$3:$Q775,1,
$P$3:$P775,"&gt;="&amp;EOMONTH($P775,-1)+1,
$P$3:$P775,"&lt;"&amp;EOMONTH($P775,0)+1
)=1,
1,
0),
0)</f>
        <v>0</v>
      </c>
      <c r="T775">
        <f>IF(AND($R775=1,$M775&lt;&gt;""),IF(COUNTIFS($M$3:$M1544,$M775,$O$3:$O1544,$O775,$R$3:$R1544,1,$P$3:$P1544,"&gt;="&amp;EOMONTH($P775,-1)+1,$P$3:$P1544,"&lt;="&amp;EOMONTH($P775,0))=1,1,0),0)</f>
        <v>0</v>
      </c>
      <c r="U775">
        <f t="shared" si="136"/>
        <v>0</v>
      </c>
      <c r="V775">
        <f>IF(AND($U775=1,$M775&lt;&gt;""),IF(COUNTIFS($M$3:$M775,$M775,$O$3:$O775,$O775,$U$3:$U775,1,$P$3:$P775,"&gt;="&amp;EOMONTH($P775,-1)+1,$P$3:$P775,"&lt;="&amp;EOMONTH($P775,0))=1,1,0),0)</f>
        <v>0</v>
      </c>
      <c r="W775" s="444">
        <f ca="1">TODAY()-Table1[[#This Row],[Change Date]]</f>
        <v>559.86666666666861</v>
      </c>
      <c r="X775" s="422">
        <f t="shared" si="137"/>
        <v>45779.170138888891</v>
      </c>
      <c r="Y775" s="476">
        <f ca="1">IF(Table1[[#This Row],[Next Stage Date]]&lt;&gt;"",Table1[[#This Row],[Next Stage Date]]-Table1[[#This Row],[Change Date]],TODAY()-Table1[[#This Row],[Change Date]])</f>
        <v>81.036805555559113</v>
      </c>
      <c r="Z775" s="476">
        <f t="shared" si="138"/>
        <v>0</v>
      </c>
      <c r="AA775" s="422" t="str">
        <f t="shared" si="139"/>
        <v/>
      </c>
      <c r="AB775" s="422">
        <f t="shared" si="140"/>
        <v>45779.170138888891</v>
      </c>
      <c r="AC775" s="476">
        <f t="shared" si="141"/>
        <v>88.170138888890506</v>
      </c>
      <c r="AD775" s="476" t="str">
        <f t="shared" si="142"/>
        <v/>
      </c>
      <c r="AE775" s="476" t="str">
        <f t="shared" si="143"/>
        <v/>
      </c>
      <c r="AF775" s="476" t="b">
        <f>IFERROR(_xlfn.XLOOKUP(Table1[[#This Row],[Opportunity ID]],'Aging Detail'!$H$14:$H$20,'Aging Detail'!$F$14:$F$20),TRUE)</f>
        <v>1</v>
      </c>
    </row>
    <row r="776" spans="1:32">
      <c r="A776" t="s">
        <v>1461</v>
      </c>
      <c r="B776" t="s">
        <v>408</v>
      </c>
      <c r="C776" t="s">
        <v>1469</v>
      </c>
      <c r="D776" t="s">
        <v>3302</v>
      </c>
      <c r="E776" t="s">
        <v>3303</v>
      </c>
      <c r="F776" t="s">
        <v>1473</v>
      </c>
      <c r="I776" s="422">
        <v>45208</v>
      </c>
      <c r="J776" s="422">
        <v>45832</v>
      </c>
      <c r="K776">
        <v>50000</v>
      </c>
      <c r="L776">
        <v>50000</v>
      </c>
      <c r="M776" t="s">
        <v>3304</v>
      </c>
      <c r="N776" t="s">
        <v>3305</v>
      </c>
      <c r="O776" t="str">
        <f>_xlfn.IFNA(VLOOKUP(Table1[[#This Row],[Lead Source]],'helper tab'!A:B,2,FALSE),"Exclude")</f>
        <v>Events</v>
      </c>
      <c r="P776" s="422">
        <f t="shared" si="133"/>
        <v>45695.500694444447</v>
      </c>
      <c r="Q776">
        <f t="shared" si="134"/>
        <v>0</v>
      </c>
      <c r="R776">
        <f t="shared" si="135"/>
        <v>0</v>
      </c>
      <c r="S776">
        <f>IF(
AND($Q776=1,$M776&lt;&gt;""),
IF(
COUNTIFS(
$M$3:$M776,$M776,
$O$3:$O776,$O776,
$Q$3:$Q776,1,
$P$3:$P776,"&gt;="&amp;EOMONTH($P776,-1)+1,
$P$3:$P776,"&lt;"&amp;EOMONTH($P776,0)+1
)=1,
1,
0),
0)</f>
        <v>0</v>
      </c>
      <c r="T776">
        <f>IF(AND($R776=1,$M776&lt;&gt;""),IF(COUNTIFS($M$3:$M1545,$M776,$O$3:$O1545,$O776,$R$3:$R1545,1,$P$3:$P1545,"&gt;="&amp;EOMONTH($P776,-1)+1,$P$3:$P1545,"&lt;="&amp;EOMONTH($P776,0))=1,1,0),0)</f>
        <v>0</v>
      </c>
      <c r="U776">
        <f t="shared" si="136"/>
        <v>1</v>
      </c>
      <c r="V776">
        <f>IF(AND($U776=1,$M776&lt;&gt;""),IF(COUNTIFS($M$3:$M776,$M776,$O$3:$O776,$O776,$U$3:$U776,1,$P$3:$P776,"&gt;="&amp;EOMONTH($P776,-1)+1,$P$3:$P776,"&lt;="&amp;EOMONTH($P776,0))=1,1,0),0)</f>
        <v>1</v>
      </c>
      <c r="W776" s="444">
        <f ca="1">TODAY()-Table1[[#This Row],[Change Date]]</f>
        <v>562.49930555555329</v>
      </c>
      <c r="X776" s="422" t="str">
        <f t="shared" si="137"/>
        <v/>
      </c>
      <c r="Y776" s="476">
        <f ca="1">IF(Table1[[#This Row],[Next Stage Date]]&lt;&gt;"",Table1[[#This Row],[Next Stage Date]]-Table1[[#This Row],[Change Date]],TODAY()-Table1[[#This Row],[Change Date]])</f>
        <v>562.49930555555329</v>
      </c>
      <c r="Z776" s="476">
        <f t="shared" si="138"/>
        <v>1</v>
      </c>
      <c r="AA776" s="422" t="str">
        <f t="shared" si="139"/>
        <v/>
      </c>
      <c r="AB776" s="422" t="str">
        <f t="shared" si="140"/>
        <v/>
      </c>
      <c r="AC776" s="476" t="str">
        <f t="shared" si="141"/>
        <v/>
      </c>
      <c r="AD776" s="476" t="str">
        <f t="shared" si="142"/>
        <v/>
      </c>
      <c r="AE776" s="476" t="str">
        <f t="shared" si="143"/>
        <v/>
      </c>
      <c r="AF776" s="476" t="b">
        <f>IFERROR(_xlfn.XLOOKUP(Table1[[#This Row],[Opportunity ID]],'Aging Detail'!$H$14:$H$20,'Aging Detail'!$F$14:$F$20),TRUE)</f>
        <v>1</v>
      </c>
    </row>
    <row r="777" spans="1:32">
      <c r="A777" t="s">
        <v>1461</v>
      </c>
      <c r="B777" t="s">
        <v>408</v>
      </c>
      <c r="C777" t="s">
        <v>1469</v>
      </c>
      <c r="D777" t="s">
        <v>3306</v>
      </c>
      <c r="E777" t="s">
        <v>3307</v>
      </c>
      <c r="F777" t="s">
        <v>1463</v>
      </c>
      <c r="I777" s="422">
        <v>45490</v>
      </c>
      <c r="J777" s="422">
        <v>45855</v>
      </c>
      <c r="K777">
        <v>50000</v>
      </c>
      <c r="L777">
        <v>50000</v>
      </c>
      <c r="M777" t="s">
        <v>3308</v>
      </c>
      <c r="N777" t="s">
        <v>3309</v>
      </c>
      <c r="O777" t="str">
        <f>_xlfn.IFNA(VLOOKUP(Table1[[#This Row],[Lead Source]],'helper tab'!A:B,2,FALSE),"Exclude")</f>
        <v>Cold</v>
      </c>
      <c r="P777" s="422">
        <f t="shared" si="133"/>
        <v>45695.386805555558</v>
      </c>
      <c r="Q777">
        <f t="shared" si="134"/>
        <v>0</v>
      </c>
      <c r="R777">
        <f t="shared" si="135"/>
        <v>0</v>
      </c>
      <c r="S777">
        <f>IF(
AND($Q777=1,$M777&lt;&gt;""),
IF(
COUNTIFS(
$M$3:$M777,$M777,
$O$3:$O777,$O777,
$Q$3:$Q777,1,
$P$3:$P777,"&gt;="&amp;EOMONTH($P777,-1)+1,
$P$3:$P777,"&lt;"&amp;EOMONTH($P777,0)+1
)=1,
1,
0),
0)</f>
        <v>0</v>
      </c>
      <c r="T777">
        <f>IF(AND($R777=1,$M777&lt;&gt;""),IF(COUNTIFS($M$3:$M1546,$M777,$O$3:$O1546,$O777,$R$3:$R1546,1,$P$3:$P1546,"&gt;="&amp;EOMONTH($P777,-1)+1,$P$3:$P1546,"&lt;="&amp;EOMONTH($P777,0))=1,1,0),0)</f>
        <v>0</v>
      </c>
      <c r="U777">
        <f t="shared" si="136"/>
        <v>1</v>
      </c>
      <c r="V777">
        <f>IF(AND($U777=1,$M777&lt;&gt;""),IF(COUNTIFS($M$3:$M777,$M777,$O$3:$O777,$O777,$U$3:$U777,1,$P$3:$P777,"&gt;="&amp;EOMONTH($P777,-1)+1,$P$3:$P777,"&lt;="&amp;EOMONTH($P777,0))=1,1,0),0)</f>
        <v>1</v>
      </c>
      <c r="W777" s="444">
        <f ca="1">TODAY()-Table1[[#This Row],[Change Date]]</f>
        <v>562.61319444444234</v>
      </c>
      <c r="X777" s="422" t="str">
        <f t="shared" si="137"/>
        <v/>
      </c>
      <c r="Y777" s="476">
        <f ca="1">IF(Table1[[#This Row],[Next Stage Date]]&lt;&gt;"",Table1[[#This Row],[Next Stage Date]]-Table1[[#This Row],[Change Date]],TODAY()-Table1[[#This Row],[Change Date]])</f>
        <v>562.61319444444234</v>
      </c>
      <c r="Z777" s="476">
        <f t="shared" si="138"/>
        <v>1</v>
      </c>
      <c r="AA777" s="422" t="str">
        <f t="shared" si="139"/>
        <v/>
      </c>
      <c r="AB777" s="422" t="str">
        <f t="shared" si="140"/>
        <v/>
      </c>
      <c r="AC777" s="476" t="str">
        <f t="shared" si="141"/>
        <v/>
      </c>
      <c r="AD777" s="476" t="str">
        <f t="shared" si="142"/>
        <v/>
      </c>
      <c r="AE777" s="476" t="str">
        <f t="shared" si="143"/>
        <v/>
      </c>
      <c r="AF777" s="476" t="b">
        <f>IFERROR(_xlfn.XLOOKUP(Table1[[#This Row],[Opportunity ID]],'Aging Detail'!$H$14:$H$20,'Aging Detail'!$F$14:$F$20),TRUE)</f>
        <v>1</v>
      </c>
    </row>
    <row r="778" spans="1:32">
      <c r="A778" t="s">
        <v>1461</v>
      </c>
      <c r="B778" t="s">
        <v>338</v>
      </c>
      <c r="C778" t="s">
        <v>1469</v>
      </c>
      <c r="D778" t="s">
        <v>3310</v>
      </c>
      <c r="E778" t="s">
        <v>3311</v>
      </c>
      <c r="F778" t="s">
        <v>1463</v>
      </c>
      <c r="I778" s="422">
        <v>45068</v>
      </c>
      <c r="J778" s="422">
        <v>46022</v>
      </c>
      <c r="K778">
        <v>50000</v>
      </c>
      <c r="L778">
        <v>50000</v>
      </c>
      <c r="M778" t="s">
        <v>3312</v>
      </c>
      <c r="N778" t="s">
        <v>3313</v>
      </c>
      <c r="O778" t="str">
        <f>_xlfn.IFNA(VLOOKUP(Table1[[#This Row],[Lead Source]],'helper tab'!A:B,2,FALSE),"Exclude")</f>
        <v>Cold</v>
      </c>
      <c r="P778" s="422">
        <f t="shared" si="133"/>
        <v>45695.381249999999</v>
      </c>
      <c r="Q778">
        <f t="shared" si="134"/>
        <v>0</v>
      </c>
      <c r="R778">
        <f t="shared" si="135"/>
        <v>0</v>
      </c>
      <c r="S778">
        <f>IF(
AND($Q778=1,$M778&lt;&gt;""),
IF(
COUNTIFS(
$M$3:$M778,$M778,
$O$3:$O778,$O778,
$Q$3:$Q778,1,
$P$3:$P778,"&gt;="&amp;EOMONTH($P778,-1)+1,
$P$3:$P778,"&lt;"&amp;EOMONTH($P778,0)+1
)=1,
1,
0),
0)</f>
        <v>0</v>
      </c>
      <c r="T778">
        <f>IF(AND($R778=1,$M778&lt;&gt;""),IF(COUNTIFS($M$3:$M1547,$M778,$O$3:$O1547,$O778,$R$3:$R1547,1,$P$3:$P1547,"&gt;="&amp;EOMONTH($P778,-1)+1,$P$3:$P1547,"&lt;="&amp;EOMONTH($P778,0))=1,1,0),0)</f>
        <v>0</v>
      </c>
      <c r="U778">
        <f t="shared" si="136"/>
        <v>1</v>
      </c>
      <c r="V778">
        <f>IF(AND($U778=1,$M778&lt;&gt;""),IF(COUNTIFS($M$3:$M778,$M778,$O$3:$O778,$O778,$U$3:$U778,1,$P$3:$P778,"&gt;="&amp;EOMONTH($P778,-1)+1,$P$3:$P778,"&lt;="&amp;EOMONTH($P778,0))=1,1,0),0)</f>
        <v>1</v>
      </c>
      <c r="W778" s="444">
        <f ca="1">TODAY()-Table1[[#This Row],[Change Date]]</f>
        <v>562.61875000000146</v>
      </c>
      <c r="X778" s="422" t="str">
        <f t="shared" si="137"/>
        <v/>
      </c>
      <c r="Y778" s="476">
        <f ca="1">IF(Table1[[#This Row],[Next Stage Date]]&lt;&gt;"",Table1[[#This Row],[Next Stage Date]]-Table1[[#This Row],[Change Date]],TODAY()-Table1[[#This Row],[Change Date]])</f>
        <v>562.61875000000146</v>
      </c>
      <c r="Z778" s="476">
        <f t="shared" si="138"/>
        <v>1</v>
      </c>
      <c r="AA778" s="422" t="str">
        <f t="shared" si="139"/>
        <v/>
      </c>
      <c r="AB778" s="422" t="str">
        <f t="shared" si="140"/>
        <v/>
      </c>
      <c r="AC778" s="476" t="str">
        <f t="shared" si="141"/>
        <v/>
      </c>
      <c r="AD778" s="476" t="str">
        <f t="shared" si="142"/>
        <v/>
      </c>
      <c r="AE778" s="476" t="str">
        <f t="shared" si="143"/>
        <v/>
      </c>
      <c r="AF778" s="476" t="b">
        <f>IFERROR(_xlfn.XLOOKUP(Table1[[#This Row],[Opportunity ID]],'Aging Detail'!$H$14:$H$20,'Aging Detail'!$F$14:$F$20),TRUE)</f>
        <v>1</v>
      </c>
    </row>
    <row r="779" spans="1:32">
      <c r="A779" t="s">
        <v>1461</v>
      </c>
      <c r="B779" t="s">
        <v>1462</v>
      </c>
      <c r="C779" t="s">
        <v>462</v>
      </c>
      <c r="D779" t="s">
        <v>3314</v>
      </c>
      <c r="E779" t="s">
        <v>3110</v>
      </c>
      <c r="F779" t="s">
        <v>148</v>
      </c>
      <c r="H779" t="s">
        <v>154</v>
      </c>
      <c r="I779" s="422">
        <v>45313</v>
      </c>
      <c r="J779" s="422">
        <v>45770</v>
      </c>
      <c r="K779">
        <v>214000</v>
      </c>
      <c r="L779">
        <v>73000</v>
      </c>
      <c r="M779" t="s">
        <v>3111</v>
      </c>
      <c r="N779" t="s">
        <v>592</v>
      </c>
      <c r="O779" t="str">
        <f>_xlfn.IFNA(VLOOKUP(Table1[[#This Row],[Lead Source]],'helper tab'!A:B,2,FALSE),"Exclude")</f>
        <v>Alliances</v>
      </c>
      <c r="P779" s="422">
        <f t="shared" si="133"/>
        <v>45695.325694444444</v>
      </c>
      <c r="Q779">
        <f t="shared" si="134"/>
        <v>1</v>
      </c>
      <c r="R779">
        <f t="shared" si="135"/>
        <v>0</v>
      </c>
      <c r="S779">
        <f>IF(
AND($Q779=1,$M779&lt;&gt;""),
IF(
COUNTIFS(
$M$3:$M779,$M779,
$O$3:$O779,$O779,
$Q$3:$Q779,1,
$P$3:$P779,"&gt;="&amp;EOMONTH($P779,-1)+1,
$P$3:$P779,"&lt;"&amp;EOMONTH($P779,0)+1
)=1,
1,
0),
0)</f>
        <v>1</v>
      </c>
      <c r="T779">
        <f>IF(AND($R779=1,$M779&lt;&gt;""),IF(COUNTIFS($M$3:$M1548,$M779,$O$3:$O1548,$O779,$R$3:$R1548,1,$P$3:$P1548,"&gt;="&amp;EOMONTH($P779,-1)+1,$P$3:$P1548,"&lt;="&amp;EOMONTH($P779,0))=1,1,0),0)</f>
        <v>0</v>
      </c>
      <c r="U779">
        <f t="shared" si="136"/>
        <v>0</v>
      </c>
      <c r="V779">
        <f>IF(AND($U779=1,$M779&lt;&gt;""),IF(COUNTIFS($M$3:$M779,$M779,$O$3:$O779,$O779,$U$3:$U779,1,$P$3:$P779,"&gt;="&amp;EOMONTH($P779,-1)+1,$P$3:$P779,"&lt;="&amp;EOMONTH($P779,0))=1,1,0),0)</f>
        <v>0</v>
      </c>
      <c r="W779" s="444">
        <f ca="1">TODAY()-Table1[[#This Row],[Change Date]]</f>
        <v>562.6743055555562</v>
      </c>
      <c r="X779" s="422">
        <f t="shared" si="137"/>
        <v>45738.347916666666</v>
      </c>
      <c r="Y779" s="476">
        <f ca="1">IF(Table1[[#This Row],[Next Stage Date]]&lt;&gt;"",Table1[[#This Row],[Next Stage Date]]-Table1[[#This Row],[Change Date]],TODAY()-Table1[[#This Row],[Change Date]])</f>
        <v>43.022222222221899</v>
      </c>
      <c r="Z779" s="476">
        <f t="shared" si="138"/>
        <v>0</v>
      </c>
      <c r="AA779" s="422">
        <f t="shared" si="139"/>
        <v>45770.268055555556</v>
      </c>
      <c r="AB779" s="422">
        <f t="shared" si="140"/>
        <v>45695.325694444444</v>
      </c>
      <c r="AC779" s="476">
        <f t="shared" si="141"/>
        <v>382.3256944444438</v>
      </c>
      <c r="AD779" s="476">
        <f t="shared" si="142"/>
        <v>74.942361111112405</v>
      </c>
      <c r="AE779" s="476">
        <f t="shared" si="143"/>
        <v>457.2680555555562</v>
      </c>
      <c r="AF779" s="476" t="b">
        <f>IFERROR(_xlfn.XLOOKUP(Table1[[#This Row],[Opportunity ID]],'Aging Detail'!$H$14:$H$20,'Aging Detail'!$F$14:$F$20),TRUE)</f>
        <v>1</v>
      </c>
    </row>
    <row r="780" spans="1:32">
      <c r="A780" t="s">
        <v>1461</v>
      </c>
      <c r="B780" t="s">
        <v>1462</v>
      </c>
      <c r="C780" t="s">
        <v>462</v>
      </c>
      <c r="D780" t="s">
        <v>3315</v>
      </c>
      <c r="E780" t="s">
        <v>2276</v>
      </c>
      <c r="F780" t="s">
        <v>1465</v>
      </c>
      <c r="I780" s="422">
        <v>45565</v>
      </c>
      <c r="J780" s="422">
        <v>46325</v>
      </c>
      <c r="K780">
        <v>25000</v>
      </c>
      <c r="L780">
        <v>25000</v>
      </c>
      <c r="M780" t="s">
        <v>2277</v>
      </c>
      <c r="N780" t="s">
        <v>1568</v>
      </c>
      <c r="O780" t="str">
        <f>_xlfn.IFNA(VLOOKUP(Table1[[#This Row],[Lead Source]],'helper tab'!A:B,2,FALSE),"Exclude")</f>
        <v>Exclude</v>
      </c>
      <c r="P780" s="422">
        <f t="shared" si="133"/>
        <v>45695.324305555558</v>
      </c>
      <c r="Q780">
        <f t="shared" si="134"/>
        <v>1</v>
      </c>
      <c r="R780">
        <f t="shared" si="135"/>
        <v>0</v>
      </c>
      <c r="S780">
        <f>IF(
AND($Q780=1,$M780&lt;&gt;""),
IF(
COUNTIFS(
$M$3:$M780,$M780,
$O$3:$O780,$O780,
$Q$3:$Q780,1,
$P$3:$P780,"&gt;="&amp;EOMONTH($P780,-1)+1,
$P$3:$P780,"&lt;"&amp;EOMONTH($P780,0)+1
)=1,
1,
0),
0)</f>
        <v>1</v>
      </c>
      <c r="T780">
        <f>IF(AND($R780=1,$M780&lt;&gt;""),IF(COUNTIFS($M$3:$M1549,$M780,$O$3:$O1549,$O780,$R$3:$R1549,1,$P$3:$P1549,"&gt;="&amp;EOMONTH($P780,-1)+1,$P$3:$P1549,"&lt;="&amp;EOMONTH($P780,0))=1,1,0),0)</f>
        <v>0</v>
      </c>
      <c r="U780">
        <f t="shared" si="136"/>
        <v>0</v>
      </c>
      <c r="V780">
        <f>IF(AND($U780=1,$M780&lt;&gt;""),IF(COUNTIFS($M$3:$M780,$M780,$O$3:$O780,$O780,$U$3:$U780,1,$P$3:$P780,"&gt;="&amp;EOMONTH($P780,-1)+1,$P$3:$P780,"&lt;="&amp;EOMONTH($P780,0))=1,1,0),0)</f>
        <v>0</v>
      </c>
      <c r="W780" s="444">
        <f ca="1">TODAY()-Table1[[#This Row],[Change Date]]</f>
        <v>562.67569444444234</v>
      </c>
      <c r="X780" s="422">
        <f t="shared" si="137"/>
        <v>46055.555555555555</v>
      </c>
      <c r="Y780" s="476">
        <f ca="1">IF(Table1[[#This Row],[Next Stage Date]]&lt;&gt;"",Table1[[#This Row],[Next Stage Date]]-Table1[[#This Row],[Change Date]],TODAY()-Table1[[#This Row],[Change Date]])</f>
        <v>360.23124999999709</v>
      </c>
      <c r="Z780" s="476">
        <f t="shared" si="138"/>
        <v>0</v>
      </c>
      <c r="AA780" s="422" t="str">
        <f t="shared" si="139"/>
        <v/>
      </c>
      <c r="AB780" s="422">
        <f t="shared" si="140"/>
        <v>45695.324305555558</v>
      </c>
      <c r="AC780" s="476">
        <f t="shared" si="141"/>
        <v>130.32430555555766</v>
      </c>
      <c r="AD780" s="476" t="str">
        <f t="shared" si="142"/>
        <v/>
      </c>
      <c r="AE780" s="476" t="str">
        <f t="shared" si="143"/>
        <v/>
      </c>
      <c r="AF780" s="476" t="b">
        <f>IFERROR(_xlfn.XLOOKUP(Table1[[#This Row],[Opportunity ID]],'Aging Detail'!$H$14:$H$20,'Aging Detail'!$F$14:$F$20),TRUE)</f>
        <v>1</v>
      </c>
    </row>
    <row r="781" spans="1:32">
      <c r="A781" t="s">
        <v>1461</v>
      </c>
      <c r="B781" t="s">
        <v>408</v>
      </c>
      <c r="C781" t="s">
        <v>1462</v>
      </c>
      <c r="D781" t="s">
        <v>3316</v>
      </c>
      <c r="E781" t="s">
        <v>3317</v>
      </c>
      <c r="F781" t="s">
        <v>1485</v>
      </c>
      <c r="I781" s="422">
        <v>45560</v>
      </c>
      <c r="J781" s="422">
        <v>46532</v>
      </c>
      <c r="K781">
        <v>404000</v>
      </c>
      <c r="L781">
        <v>264000</v>
      </c>
      <c r="M781" t="s">
        <v>3318</v>
      </c>
      <c r="N781" t="s">
        <v>3319</v>
      </c>
      <c r="O781" t="str">
        <f>_xlfn.IFNA(VLOOKUP(Table1[[#This Row],[Lead Source]],'helper tab'!A:B,2,FALSE),"Exclude")</f>
        <v>Digital</v>
      </c>
      <c r="P781" s="422">
        <f t="shared" si="133"/>
        <v>45695.097222222219</v>
      </c>
      <c r="Q781">
        <f t="shared" si="134"/>
        <v>0</v>
      </c>
      <c r="R781">
        <f t="shared" si="135"/>
        <v>0</v>
      </c>
      <c r="S781">
        <f>IF(
AND($Q781=1,$M781&lt;&gt;""),
IF(
COUNTIFS(
$M$3:$M781,$M781,
$O$3:$O781,$O781,
$Q$3:$Q781,1,
$P$3:$P781,"&gt;="&amp;EOMONTH($P781,-1)+1,
$P$3:$P781,"&lt;"&amp;EOMONTH($P781,0)+1
)=1,
1,
0),
0)</f>
        <v>0</v>
      </c>
      <c r="T781">
        <f>IF(AND($R781=1,$M781&lt;&gt;""),IF(COUNTIFS($M$3:$M1550,$M781,$O$3:$O1550,$O781,$R$3:$R1550,1,$P$3:$P1550,"&gt;="&amp;EOMONTH($P781,-1)+1,$P$3:$P1550,"&lt;="&amp;EOMONTH($P781,0))=1,1,0),0)</f>
        <v>0</v>
      </c>
      <c r="U781">
        <f t="shared" si="136"/>
        <v>0</v>
      </c>
      <c r="V781">
        <f>IF(AND($U781=1,$M781&lt;&gt;""),IF(COUNTIFS($M$3:$M781,$M781,$O$3:$O781,$O781,$U$3:$U781,1,$P$3:$P781,"&gt;="&amp;EOMONTH($P781,-1)+1,$P$3:$P781,"&lt;="&amp;EOMONTH($P781,0))=1,1,0),0)</f>
        <v>0</v>
      </c>
      <c r="W781" s="444">
        <f ca="1">TODAY()-Table1[[#This Row],[Change Date]]</f>
        <v>562.90277777778101</v>
      </c>
      <c r="X781" s="422" t="str">
        <f t="shared" si="137"/>
        <v/>
      </c>
      <c r="Y781" s="476">
        <f ca="1">IF(Table1[[#This Row],[Next Stage Date]]&lt;&gt;"",Table1[[#This Row],[Next Stage Date]]-Table1[[#This Row],[Change Date]],TODAY()-Table1[[#This Row],[Change Date]])</f>
        <v>562.90277777778101</v>
      </c>
      <c r="Z781" s="476">
        <f t="shared" si="138"/>
        <v>1</v>
      </c>
      <c r="AA781" s="422" t="str">
        <f t="shared" si="139"/>
        <v/>
      </c>
      <c r="AB781" s="422" t="str">
        <f t="shared" si="140"/>
        <v/>
      </c>
      <c r="AC781" s="476" t="str">
        <f t="shared" si="141"/>
        <v/>
      </c>
      <c r="AD781" s="476" t="str">
        <f t="shared" si="142"/>
        <v/>
      </c>
      <c r="AE781" s="476" t="str">
        <f t="shared" si="143"/>
        <v/>
      </c>
      <c r="AF781" s="476" t="b">
        <f>IFERROR(_xlfn.XLOOKUP(Table1[[#This Row],[Opportunity ID]],'Aging Detail'!$H$14:$H$20,'Aging Detail'!$F$14:$F$20),TRUE)</f>
        <v>1</v>
      </c>
    </row>
    <row r="782" spans="1:32">
      <c r="A782" t="s">
        <v>1461</v>
      </c>
      <c r="B782" t="s">
        <v>408</v>
      </c>
      <c r="C782" t="s">
        <v>1462</v>
      </c>
      <c r="D782" t="s">
        <v>3320</v>
      </c>
      <c r="E782" t="s">
        <v>3321</v>
      </c>
      <c r="F782" t="s">
        <v>1473</v>
      </c>
      <c r="I782" s="422">
        <v>45425</v>
      </c>
      <c r="J782" s="422">
        <v>46527</v>
      </c>
      <c r="K782">
        <v>417600</v>
      </c>
      <c r="L782">
        <v>237600</v>
      </c>
      <c r="M782" t="s">
        <v>3322</v>
      </c>
      <c r="N782" t="s">
        <v>3323</v>
      </c>
      <c r="O782" t="str">
        <f>_xlfn.IFNA(VLOOKUP(Table1[[#This Row],[Lead Source]],'helper tab'!A:B,2,FALSE),"Exclude")</f>
        <v>Events</v>
      </c>
      <c r="P782" s="422">
        <f t="shared" si="133"/>
        <v>45695.093055555553</v>
      </c>
      <c r="Q782">
        <f t="shared" si="134"/>
        <v>0</v>
      </c>
      <c r="R782">
        <f t="shared" si="135"/>
        <v>0</v>
      </c>
      <c r="S782">
        <f>IF(
AND($Q782=1,$M782&lt;&gt;""),
IF(
COUNTIFS(
$M$3:$M782,$M782,
$O$3:$O782,$O782,
$Q$3:$Q782,1,
$P$3:$P782,"&gt;="&amp;EOMONTH($P782,-1)+1,
$P$3:$P782,"&lt;"&amp;EOMONTH($P782,0)+1
)=1,
1,
0),
0)</f>
        <v>0</v>
      </c>
      <c r="T782">
        <f>IF(AND($R782=1,$M782&lt;&gt;""),IF(COUNTIFS($M$3:$M1551,$M782,$O$3:$O1551,$O782,$R$3:$R1551,1,$P$3:$P1551,"&gt;="&amp;EOMONTH($P782,-1)+1,$P$3:$P1551,"&lt;="&amp;EOMONTH($P782,0))=1,1,0),0)</f>
        <v>0</v>
      </c>
      <c r="U782">
        <f t="shared" si="136"/>
        <v>0</v>
      </c>
      <c r="V782">
        <f>IF(AND($U782=1,$M782&lt;&gt;""),IF(COUNTIFS($M$3:$M782,$M782,$O$3:$O782,$O782,$U$3:$U782,1,$P$3:$P782,"&gt;="&amp;EOMONTH($P782,-1)+1,$P$3:$P782,"&lt;="&amp;EOMONTH($P782,0))=1,1,0),0)</f>
        <v>0</v>
      </c>
      <c r="W782" s="444">
        <f ca="1">TODAY()-Table1[[#This Row],[Change Date]]</f>
        <v>562.90694444444671</v>
      </c>
      <c r="X782" s="422" t="str">
        <f t="shared" si="137"/>
        <v/>
      </c>
      <c r="Y782" s="476">
        <f ca="1">IF(Table1[[#This Row],[Next Stage Date]]&lt;&gt;"",Table1[[#This Row],[Next Stage Date]]-Table1[[#This Row],[Change Date]],TODAY()-Table1[[#This Row],[Change Date]])</f>
        <v>562.90694444444671</v>
      </c>
      <c r="Z782" s="476">
        <f t="shared" si="138"/>
        <v>1</v>
      </c>
      <c r="AA782" s="422" t="str">
        <f t="shared" si="139"/>
        <v/>
      </c>
      <c r="AB782" s="422" t="str">
        <f t="shared" si="140"/>
        <v/>
      </c>
      <c r="AC782" s="476" t="str">
        <f t="shared" si="141"/>
        <v/>
      </c>
      <c r="AD782" s="476" t="str">
        <f t="shared" si="142"/>
        <v/>
      </c>
      <c r="AE782" s="476" t="str">
        <f t="shared" si="143"/>
        <v/>
      </c>
      <c r="AF782" s="476" t="b">
        <f>IFERROR(_xlfn.XLOOKUP(Table1[[#This Row],[Opportunity ID]],'Aging Detail'!$H$14:$H$20,'Aging Detail'!$F$14:$F$20),TRUE)</f>
        <v>1</v>
      </c>
    </row>
    <row r="783" spans="1:32">
      <c r="A783" t="s">
        <v>1461</v>
      </c>
      <c r="B783" t="s">
        <v>408</v>
      </c>
      <c r="C783" t="s">
        <v>1469</v>
      </c>
      <c r="D783" t="s">
        <v>3324</v>
      </c>
      <c r="E783" t="s">
        <v>3325</v>
      </c>
      <c r="F783" t="s">
        <v>1464</v>
      </c>
      <c r="I783" s="422">
        <v>45664</v>
      </c>
      <c r="J783" s="422">
        <v>46112</v>
      </c>
      <c r="K783">
        <v>418400</v>
      </c>
      <c r="L783">
        <v>158400</v>
      </c>
      <c r="M783" t="s">
        <v>3326</v>
      </c>
      <c r="N783" t="s">
        <v>2262</v>
      </c>
      <c r="O783" t="str">
        <f>_xlfn.IFNA(VLOOKUP(Table1[[#This Row],[Lead Source]],'helper tab'!A:B,2,FALSE),"Exclude")</f>
        <v>Cold</v>
      </c>
      <c r="P783" s="422">
        <f t="shared" si="133"/>
        <v>45693.456250000003</v>
      </c>
      <c r="Q783">
        <f t="shared" si="134"/>
        <v>0</v>
      </c>
      <c r="R783">
        <f t="shared" si="135"/>
        <v>0</v>
      </c>
      <c r="S783">
        <f>IF(
AND($Q783=1,$M783&lt;&gt;""),
IF(
COUNTIFS(
$M$3:$M783,$M783,
$O$3:$O783,$O783,
$Q$3:$Q783,1,
$P$3:$P783,"&gt;="&amp;EOMONTH($P783,-1)+1,
$P$3:$P783,"&lt;"&amp;EOMONTH($P783,0)+1
)=1,
1,
0),
0)</f>
        <v>0</v>
      </c>
      <c r="T783">
        <f>IF(AND($R783=1,$M783&lt;&gt;""),IF(COUNTIFS($M$3:$M1552,$M783,$O$3:$O1552,$O783,$R$3:$R1552,1,$P$3:$P1552,"&gt;="&amp;EOMONTH($P783,-1)+1,$P$3:$P1552,"&lt;="&amp;EOMONTH($P783,0))=1,1,0),0)</f>
        <v>0</v>
      </c>
      <c r="U783">
        <f t="shared" si="136"/>
        <v>1</v>
      </c>
      <c r="V783">
        <f>IF(AND($U783=1,$M783&lt;&gt;""),IF(COUNTIFS($M$3:$M783,$M783,$O$3:$O783,$O783,$U$3:$U783,1,$P$3:$P783,"&gt;="&amp;EOMONTH($P783,-1)+1,$P$3:$P783,"&lt;="&amp;EOMONTH($P783,0))=1,1,0),0)</f>
        <v>1</v>
      </c>
      <c r="W783" s="444">
        <f ca="1">TODAY()-Table1[[#This Row],[Change Date]]</f>
        <v>564.54374999999709</v>
      </c>
      <c r="X783" s="422" t="str">
        <f t="shared" si="137"/>
        <v/>
      </c>
      <c r="Y783" s="476">
        <f ca="1">IF(Table1[[#This Row],[Next Stage Date]]&lt;&gt;"",Table1[[#This Row],[Next Stage Date]]-Table1[[#This Row],[Change Date]],TODAY()-Table1[[#This Row],[Change Date]])</f>
        <v>564.54374999999709</v>
      </c>
      <c r="Z783" s="476">
        <f t="shared" si="138"/>
        <v>1</v>
      </c>
      <c r="AA783" s="422" t="str">
        <f t="shared" si="139"/>
        <v/>
      </c>
      <c r="AB783" s="422" t="str">
        <f t="shared" si="140"/>
        <v/>
      </c>
      <c r="AC783" s="476" t="str">
        <f t="shared" si="141"/>
        <v/>
      </c>
      <c r="AD783" s="476" t="str">
        <f t="shared" si="142"/>
        <v/>
      </c>
      <c r="AE783" s="476" t="str">
        <f t="shared" si="143"/>
        <v/>
      </c>
      <c r="AF783" s="476" t="b">
        <f>IFERROR(_xlfn.XLOOKUP(Table1[[#This Row],[Opportunity ID]],'Aging Detail'!$H$14:$H$20,'Aging Detail'!$F$14:$F$20),TRUE)</f>
        <v>1</v>
      </c>
    </row>
    <row r="784" spans="1:32">
      <c r="A784" t="s">
        <v>1461</v>
      </c>
      <c r="B784" t="s">
        <v>338</v>
      </c>
      <c r="C784" t="s">
        <v>526</v>
      </c>
      <c r="D784" t="s">
        <v>3327</v>
      </c>
      <c r="E784" t="s">
        <v>3120</v>
      </c>
      <c r="I784" s="422">
        <v>45674</v>
      </c>
      <c r="J784" s="422">
        <v>45765</v>
      </c>
      <c r="K784">
        <v>0</v>
      </c>
      <c r="L784">
        <v>0</v>
      </c>
      <c r="M784" t="s">
        <v>3121</v>
      </c>
      <c r="N784" t="s">
        <v>1823</v>
      </c>
      <c r="O784" t="str">
        <f>_xlfn.IFNA(VLOOKUP(Table1[[#This Row],[Lead Source]],'helper tab'!A:B,2,FALSE),"Exclude")</f>
        <v>Exclude</v>
      </c>
      <c r="P784" s="422">
        <f t="shared" si="133"/>
        <v>45692.49722222222</v>
      </c>
      <c r="Q784">
        <f t="shared" si="134"/>
        <v>1</v>
      </c>
      <c r="R784">
        <f t="shared" si="135"/>
        <v>0</v>
      </c>
      <c r="S784">
        <f>IF(
AND($Q784=1,$M784&lt;&gt;""),
IF(
COUNTIFS(
$M$3:$M784,$M784,
$O$3:$O784,$O784,
$Q$3:$Q784,1,
$P$3:$P784,"&gt;="&amp;EOMONTH($P784,-1)+1,
$P$3:$P784,"&lt;"&amp;EOMONTH($P784,0)+1
)=1,
1,
0),
0)</f>
        <v>1</v>
      </c>
      <c r="T784">
        <f>IF(AND($R784=1,$M784&lt;&gt;""),IF(COUNTIFS($M$3:$M1553,$M784,$O$3:$O1553,$O784,$R$3:$R1553,1,$P$3:$P1553,"&gt;="&amp;EOMONTH($P784,-1)+1,$P$3:$P1553,"&lt;="&amp;EOMONTH($P784,0))=1,1,0),0)</f>
        <v>0</v>
      </c>
      <c r="U784">
        <f t="shared" si="136"/>
        <v>0</v>
      </c>
      <c r="V784">
        <f>IF(AND($U784=1,$M784&lt;&gt;""),IF(COUNTIFS($M$3:$M784,$M784,$O$3:$O784,$O784,$U$3:$U784,1,$P$3:$P784,"&gt;="&amp;EOMONTH($P784,-1)+1,$P$3:$P784,"&lt;="&amp;EOMONTH($P784,0))=1,1,0),0)</f>
        <v>0</v>
      </c>
      <c r="W784" s="444">
        <f ca="1">TODAY()-Table1[[#This Row],[Change Date]]</f>
        <v>565.50277777777956</v>
      </c>
      <c r="X784" s="422">
        <f t="shared" si="137"/>
        <v>45765.196527777778</v>
      </c>
      <c r="Y784" s="476">
        <f ca="1">IF(Table1[[#This Row],[Next Stage Date]]&lt;&gt;"",Table1[[#This Row],[Next Stage Date]]-Table1[[#This Row],[Change Date]],TODAY()-Table1[[#This Row],[Change Date]])</f>
        <v>72.699305555557657</v>
      </c>
      <c r="Z784" s="476">
        <f t="shared" si="138"/>
        <v>0</v>
      </c>
      <c r="AA784" s="422">
        <f t="shared" si="139"/>
        <v>45765.196527777778</v>
      </c>
      <c r="AB784" s="422">
        <f t="shared" si="140"/>
        <v>45692.49722222222</v>
      </c>
      <c r="AC784" s="476">
        <f t="shared" si="141"/>
        <v>18.497222222220444</v>
      </c>
      <c r="AD784" s="476">
        <f t="shared" si="142"/>
        <v>72.699305555557657</v>
      </c>
      <c r="AE784" s="476">
        <f t="shared" si="143"/>
        <v>91.196527777778101</v>
      </c>
      <c r="AF784" s="476" t="b">
        <f>IFERROR(_xlfn.XLOOKUP(Table1[[#This Row],[Opportunity ID]],'Aging Detail'!$H$14:$H$20,'Aging Detail'!$F$14:$F$20),TRUE)</f>
        <v>1</v>
      </c>
    </row>
    <row r="785" spans="1:32">
      <c r="A785" t="s">
        <v>1461</v>
      </c>
      <c r="B785" t="s">
        <v>338</v>
      </c>
      <c r="C785" t="s">
        <v>526</v>
      </c>
      <c r="D785" t="s">
        <v>3328</v>
      </c>
      <c r="E785" t="s">
        <v>3296</v>
      </c>
      <c r="I785" s="422">
        <v>45608</v>
      </c>
      <c r="J785" s="422">
        <v>45699</v>
      </c>
      <c r="L785">
        <v>0</v>
      </c>
      <c r="M785" t="s">
        <v>3297</v>
      </c>
      <c r="N785" t="s">
        <v>1823</v>
      </c>
      <c r="O785" t="str">
        <f>_xlfn.IFNA(VLOOKUP(Table1[[#This Row],[Lead Source]],'helper tab'!A:B,2,FALSE),"Exclude")</f>
        <v>Exclude</v>
      </c>
      <c r="P785" s="422">
        <f t="shared" si="133"/>
        <v>45692.495138888888</v>
      </c>
      <c r="Q785">
        <f t="shared" si="134"/>
        <v>1</v>
      </c>
      <c r="R785">
        <f t="shared" si="135"/>
        <v>0</v>
      </c>
      <c r="S785">
        <f>IF(
AND($Q785=1,$M785&lt;&gt;""),
IF(
COUNTIFS(
$M$3:$M785,$M785,
$O$3:$O785,$O785,
$Q$3:$Q785,1,
$P$3:$P785,"&gt;="&amp;EOMONTH($P785,-1)+1,
$P$3:$P785,"&lt;"&amp;EOMONTH($P785,0)+1
)=1,
1,
0),
0)</f>
        <v>1</v>
      </c>
      <c r="T785">
        <f>IF(AND($R785=1,$M785&lt;&gt;""),IF(COUNTIFS($M$3:$M1554,$M785,$O$3:$O1554,$O785,$R$3:$R1554,1,$P$3:$P1554,"&gt;="&amp;EOMONTH($P785,-1)+1,$P$3:$P1554,"&lt;="&amp;EOMONTH($P785,0))=1,1,0),0)</f>
        <v>0</v>
      </c>
      <c r="U785">
        <f t="shared" si="136"/>
        <v>0</v>
      </c>
      <c r="V785">
        <f>IF(AND($U785=1,$M785&lt;&gt;""),IF(COUNTIFS($M$3:$M785,$M785,$O$3:$O785,$O785,$U$3:$U785,1,$P$3:$P785,"&gt;="&amp;EOMONTH($P785,-1)+1,$P$3:$P785,"&lt;="&amp;EOMONTH($P785,0))=1,1,0),0)</f>
        <v>0</v>
      </c>
      <c r="W785" s="444">
        <f ca="1">TODAY()-Table1[[#This Row],[Change Date]]</f>
        <v>565.5048611111124</v>
      </c>
      <c r="X785" s="422">
        <f t="shared" si="137"/>
        <v>45699.452777777777</v>
      </c>
      <c r="Y785" s="476">
        <f ca="1">IF(Table1[[#This Row],[Next Stage Date]]&lt;&gt;"",Table1[[#This Row],[Next Stage Date]]-Table1[[#This Row],[Change Date]],TODAY()-Table1[[#This Row],[Change Date]])</f>
        <v>6.9576388888890506</v>
      </c>
      <c r="Z785" s="476">
        <f t="shared" si="138"/>
        <v>0</v>
      </c>
      <c r="AA785" s="422">
        <f t="shared" si="139"/>
        <v>45699.452777777777</v>
      </c>
      <c r="AB785" s="422">
        <f t="shared" si="140"/>
        <v>45692.495138888888</v>
      </c>
      <c r="AC785" s="476">
        <f t="shared" si="141"/>
        <v>84.495138888887595</v>
      </c>
      <c r="AD785" s="476">
        <f t="shared" si="142"/>
        <v>6.9576388888890506</v>
      </c>
      <c r="AE785" s="476">
        <f t="shared" si="143"/>
        <v>91.452777777776646</v>
      </c>
      <c r="AF785" s="476" t="b">
        <f>IFERROR(_xlfn.XLOOKUP(Table1[[#This Row],[Opportunity ID]],'Aging Detail'!$H$14:$H$20,'Aging Detail'!$F$14:$F$20),TRUE)</f>
        <v>1</v>
      </c>
    </row>
    <row r="786" spans="1:32">
      <c r="A786" t="s">
        <v>1461</v>
      </c>
      <c r="B786" t="s">
        <v>526</v>
      </c>
      <c r="C786" t="s">
        <v>563</v>
      </c>
      <c r="D786" t="s">
        <v>3329</v>
      </c>
      <c r="E786" t="s">
        <v>3330</v>
      </c>
      <c r="I786" s="422">
        <v>45635</v>
      </c>
      <c r="J786" s="422">
        <v>45692</v>
      </c>
      <c r="K786">
        <v>44000</v>
      </c>
      <c r="L786">
        <v>0</v>
      </c>
      <c r="M786" t="s">
        <v>3331</v>
      </c>
      <c r="N786" t="s">
        <v>1524</v>
      </c>
      <c r="O786" t="str">
        <f>_xlfn.IFNA(VLOOKUP(Table1[[#This Row],[Lead Source]],'helper tab'!A:B,2,FALSE),"Exclude")</f>
        <v>Exclude</v>
      </c>
      <c r="P786" s="422">
        <f t="shared" si="133"/>
        <v>45692.265277777777</v>
      </c>
      <c r="Q786">
        <f t="shared" si="134"/>
        <v>0</v>
      </c>
      <c r="R786">
        <f t="shared" si="135"/>
        <v>1</v>
      </c>
      <c r="S786">
        <f>IF(
AND($Q786=1,$M786&lt;&gt;""),
IF(
COUNTIFS(
$M$3:$M786,$M786,
$O$3:$O786,$O786,
$Q$3:$Q786,1,
$P$3:$P786,"&gt;="&amp;EOMONTH($P786,-1)+1,
$P$3:$P786,"&lt;"&amp;EOMONTH($P786,0)+1
)=1,
1,
0),
0)</f>
        <v>0</v>
      </c>
      <c r="T786">
        <f>IF(AND($R786=1,$M786&lt;&gt;""),IF(COUNTIFS($M$3:$M1555,$M786,$O$3:$O1555,$O786,$R$3:$R1555,1,$P$3:$P1555,"&gt;="&amp;EOMONTH($P786,-1)+1,$P$3:$P1555,"&lt;="&amp;EOMONTH($P786,0))=1,1,0),0)</f>
        <v>1</v>
      </c>
      <c r="U786">
        <f t="shared" si="136"/>
        <v>0</v>
      </c>
      <c r="V786">
        <f>IF(AND($U786=1,$M786&lt;&gt;""),IF(COUNTIFS($M$3:$M786,$M786,$O$3:$O786,$O786,$U$3:$U786,1,$P$3:$P786,"&gt;="&amp;EOMONTH($P786,-1)+1,$P$3:$P786,"&lt;="&amp;EOMONTH($P786,0))=1,1,0),0)</f>
        <v>0</v>
      </c>
      <c r="W786" s="444">
        <f ca="1">TODAY()-Table1[[#This Row],[Change Date]]</f>
        <v>565.73472222222335</v>
      </c>
      <c r="X786" s="422" t="str">
        <f t="shared" si="137"/>
        <v/>
      </c>
      <c r="Y786" s="476">
        <f ca="1">IF(Table1[[#This Row],[Next Stage Date]]&lt;&gt;"",Table1[[#This Row],[Next Stage Date]]-Table1[[#This Row],[Change Date]],TODAY()-Table1[[#This Row],[Change Date]])</f>
        <v>565.73472222222335</v>
      </c>
      <c r="Z786" s="476">
        <f t="shared" si="138"/>
        <v>1</v>
      </c>
      <c r="AA786" s="422">
        <f t="shared" si="139"/>
        <v>45692.265277777777</v>
      </c>
      <c r="AB786" s="422" t="str">
        <f t="shared" si="140"/>
        <v/>
      </c>
      <c r="AC786" s="476" t="str">
        <f t="shared" si="141"/>
        <v/>
      </c>
      <c r="AD786" s="476" t="str">
        <f t="shared" si="142"/>
        <v/>
      </c>
      <c r="AE786" s="476">
        <f t="shared" si="143"/>
        <v>57.265277777776646</v>
      </c>
      <c r="AF786" s="476" t="b">
        <f>IFERROR(_xlfn.XLOOKUP(Table1[[#This Row],[Opportunity ID]],'Aging Detail'!$H$14:$H$20,'Aging Detail'!$F$14:$F$20),TRUE)</f>
        <v>1</v>
      </c>
    </row>
    <row r="787" spans="1:32">
      <c r="A787" t="s">
        <v>1461</v>
      </c>
      <c r="B787" t="s">
        <v>408</v>
      </c>
      <c r="C787" t="s">
        <v>462</v>
      </c>
      <c r="D787" t="s">
        <v>3332</v>
      </c>
      <c r="E787" t="s">
        <v>3124</v>
      </c>
      <c r="I787" s="422">
        <v>45530</v>
      </c>
      <c r="J787" s="422">
        <v>45747</v>
      </c>
      <c r="K787">
        <v>44000</v>
      </c>
      <c r="L787">
        <v>0</v>
      </c>
      <c r="M787" t="s">
        <v>3125</v>
      </c>
      <c r="N787" t="s">
        <v>1739</v>
      </c>
      <c r="O787" t="str">
        <f>_xlfn.IFNA(VLOOKUP(Table1[[#This Row],[Lead Source]],'helper tab'!A:B,2,FALSE),"Exclude")</f>
        <v>Exclude</v>
      </c>
      <c r="P787" s="422">
        <f t="shared" si="133"/>
        <v>45691.626388888886</v>
      </c>
      <c r="Q787">
        <f t="shared" si="134"/>
        <v>1</v>
      </c>
      <c r="R787">
        <f t="shared" si="135"/>
        <v>0</v>
      </c>
      <c r="S787">
        <f>IF(
AND($Q787=1,$M787&lt;&gt;""),
IF(
COUNTIFS(
$M$3:$M787,$M787,
$O$3:$O787,$O787,
$Q$3:$Q787,1,
$P$3:$P787,"&gt;="&amp;EOMONTH($P787,-1)+1,
$P$3:$P787,"&lt;"&amp;EOMONTH($P787,0)+1
)=1,
1,
0),
0)</f>
        <v>1</v>
      </c>
      <c r="T787">
        <f>IF(AND($R787=1,$M787&lt;&gt;""),IF(COUNTIFS($M$3:$M1556,$M787,$O$3:$O1556,$O787,$R$3:$R1556,1,$P$3:$P1556,"&gt;="&amp;EOMONTH($P787,-1)+1,$P$3:$P1556,"&lt;="&amp;EOMONTH($P787,0))=1,1,0),0)</f>
        <v>0</v>
      </c>
      <c r="U787">
        <f t="shared" si="136"/>
        <v>0</v>
      </c>
      <c r="V787">
        <f>IF(AND($U787=1,$M787&lt;&gt;""),IF(COUNTIFS($M$3:$M787,$M787,$O$3:$O787,$O787,$U$3:$U787,1,$P$3:$P787,"&gt;="&amp;EOMONTH($P787,-1)+1,$P$3:$P787,"&lt;="&amp;EOMONTH($P787,0))=1,1,0),0)</f>
        <v>0</v>
      </c>
      <c r="W787" s="444">
        <f ca="1">TODAY()-Table1[[#This Row],[Change Date]]</f>
        <v>566.37361111111386</v>
      </c>
      <c r="X787" s="422">
        <f t="shared" si="137"/>
        <v>45758.461111111108</v>
      </c>
      <c r="Y787" s="476">
        <f ca="1">IF(Table1[[#This Row],[Next Stage Date]]&lt;&gt;"",Table1[[#This Row],[Next Stage Date]]-Table1[[#This Row],[Change Date]],TODAY()-Table1[[#This Row],[Change Date]])</f>
        <v>66.834722222221899</v>
      </c>
      <c r="Z787" s="476">
        <f t="shared" si="138"/>
        <v>0</v>
      </c>
      <c r="AA787" s="422">
        <f t="shared" si="139"/>
        <v>45758.461111111108</v>
      </c>
      <c r="AB787" s="422">
        <f t="shared" si="140"/>
        <v>45691.626388888886</v>
      </c>
      <c r="AC787" s="476">
        <f t="shared" si="141"/>
        <v>161.62638888888614</v>
      </c>
      <c r="AD787" s="476">
        <f t="shared" si="142"/>
        <v>66.834722222221899</v>
      </c>
      <c r="AE787" s="476">
        <f t="shared" si="143"/>
        <v>228.46111111110804</v>
      </c>
      <c r="AF787" s="476" t="b">
        <f>IFERROR(_xlfn.XLOOKUP(Table1[[#This Row],[Opportunity ID]],'Aging Detail'!$H$14:$H$20,'Aging Detail'!$F$14:$F$20),TRUE)</f>
        <v>1</v>
      </c>
    </row>
    <row r="788" spans="1:32">
      <c r="A788" t="s">
        <v>1461</v>
      </c>
      <c r="B788" t="s">
        <v>462</v>
      </c>
      <c r="C788" t="s">
        <v>526</v>
      </c>
      <c r="D788" t="s">
        <v>3333</v>
      </c>
      <c r="E788" t="s">
        <v>2960</v>
      </c>
      <c r="F788" t="s">
        <v>1465</v>
      </c>
      <c r="I788" s="422">
        <v>45649</v>
      </c>
      <c r="J788" s="422">
        <v>45834</v>
      </c>
      <c r="K788">
        <v>50000</v>
      </c>
      <c r="L788">
        <v>50000</v>
      </c>
      <c r="M788" t="s">
        <v>2961</v>
      </c>
      <c r="N788" t="s">
        <v>1678</v>
      </c>
      <c r="O788" t="str">
        <f>_xlfn.IFNA(VLOOKUP(Table1[[#This Row],[Lead Source]],'helper tab'!A:B,2,FALSE),"Exclude")</f>
        <v>Exclude</v>
      </c>
      <c r="P788" s="422">
        <f t="shared" si="133"/>
        <v>45691.38958333333</v>
      </c>
      <c r="Q788">
        <f t="shared" si="134"/>
        <v>1</v>
      </c>
      <c r="R788">
        <f t="shared" si="135"/>
        <v>0</v>
      </c>
      <c r="S788">
        <f>IF(
AND($Q788=1,$M788&lt;&gt;""),
IF(
COUNTIFS(
$M$3:$M788,$M788,
$O$3:$O788,$O788,
$Q$3:$Q788,1,
$P$3:$P788,"&gt;="&amp;EOMONTH($P788,-1)+1,
$P$3:$P788,"&lt;"&amp;EOMONTH($P788,0)+1
)=1,
1,
0),
0)</f>
        <v>1</v>
      </c>
      <c r="T788">
        <f>IF(AND($R788=1,$M788&lt;&gt;""),IF(COUNTIFS($M$3:$M1557,$M788,$O$3:$O1557,$O788,$R$3:$R1557,1,$P$3:$P1557,"&gt;="&amp;EOMONTH($P788,-1)+1,$P$3:$P1557,"&lt;="&amp;EOMONTH($P788,0))=1,1,0),0)</f>
        <v>0</v>
      </c>
      <c r="U788">
        <f t="shared" si="136"/>
        <v>0</v>
      </c>
      <c r="V788">
        <f>IF(AND($U788=1,$M788&lt;&gt;""),IF(COUNTIFS($M$3:$M788,$M788,$O$3:$O788,$O788,$U$3:$U788,1,$P$3:$P788,"&gt;="&amp;EOMONTH($P788,-1)+1,$P$3:$P788,"&lt;="&amp;EOMONTH($P788,0))=1,1,0),0)</f>
        <v>0</v>
      </c>
      <c r="W788" s="444">
        <f ca="1">TODAY()-Table1[[#This Row],[Change Date]]</f>
        <v>566.61041666667006</v>
      </c>
      <c r="X788" s="422">
        <f t="shared" si="137"/>
        <v>45834.428472222222</v>
      </c>
      <c r="Y788" s="476">
        <f ca="1">IF(Table1[[#This Row],[Next Stage Date]]&lt;&gt;"",Table1[[#This Row],[Next Stage Date]]-Table1[[#This Row],[Change Date]],TODAY()-Table1[[#This Row],[Change Date]])</f>
        <v>143.03888888889196</v>
      </c>
      <c r="Z788" s="476">
        <f t="shared" si="138"/>
        <v>0</v>
      </c>
      <c r="AA788" s="422">
        <f t="shared" si="139"/>
        <v>45834.428472222222</v>
      </c>
      <c r="AB788" s="422">
        <f t="shared" si="140"/>
        <v>45691.38958333333</v>
      </c>
      <c r="AC788" s="476">
        <f t="shared" si="141"/>
        <v>42.389583333329938</v>
      </c>
      <c r="AD788" s="476">
        <f t="shared" si="142"/>
        <v>143.03888888889196</v>
      </c>
      <c r="AE788" s="476">
        <f t="shared" si="143"/>
        <v>185.4284722222219</v>
      </c>
      <c r="AF788" s="476" t="b">
        <f>IFERROR(_xlfn.XLOOKUP(Table1[[#This Row],[Opportunity ID]],'Aging Detail'!$H$14:$H$20,'Aging Detail'!$F$14:$F$20),TRUE)</f>
        <v>1</v>
      </c>
    </row>
    <row r="789" spans="1:32">
      <c r="A789" t="s">
        <v>1461</v>
      </c>
      <c r="B789" t="s">
        <v>462</v>
      </c>
      <c r="C789" t="s">
        <v>526</v>
      </c>
      <c r="D789" t="s">
        <v>3334</v>
      </c>
      <c r="E789" t="s">
        <v>2332</v>
      </c>
      <c r="F789" t="s">
        <v>148</v>
      </c>
      <c r="H789" t="s">
        <v>157</v>
      </c>
      <c r="I789" s="422">
        <v>45464</v>
      </c>
      <c r="J789" s="422">
        <v>46203</v>
      </c>
      <c r="K789">
        <v>179600</v>
      </c>
      <c r="L789">
        <v>129600</v>
      </c>
      <c r="M789" t="s">
        <v>2333</v>
      </c>
      <c r="N789" t="s">
        <v>2334</v>
      </c>
      <c r="O789" t="str">
        <f>_xlfn.IFNA(VLOOKUP(Table1[[#This Row],[Lead Source]],'helper tab'!A:B,2,FALSE),"Exclude")</f>
        <v>Alliances</v>
      </c>
      <c r="P789" s="422">
        <f t="shared" si="133"/>
        <v>45691.176388888889</v>
      </c>
      <c r="Q789">
        <f t="shared" si="134"/>
        <v>1</v>
      </c>
      <c r="R789">
        <f t="shared" si="135"/>
        <v>0</v>
      </c>
      <c r="S789">
        <f>IF(
AND($Q789=1,$M789&lt;&gt;""),
IF(
COUNTIFS(
$M$3:$M789,$M789,
$O$3:$O789,$O789,
$Q$3:$Q789,1,
$P$3:$P789,"&gt;="&amp;EOMONTH($P789,-1)+1,
$P$3:$P789,"&lt;"&amp;EOMONTH($P789,0)+1
)=1,
1,
0),
0)</f>
        <v>1</v>
      </c>
      <c r="T789">
        <f>IF(AND($R789=1,$M789&lt;&gt;""),IF(COUNTIFS($M$3:$M1558,$M789,$O$3:$O1558,$O789,$R$3:$R1558,1,$P$3:$P1558,"&gt;="&amp;EOMONTH($P789,-1)+1,$P$3:$P1558,"&lt;="&amp;EOMONTH($P789,0))=1,1,0),0)</f>
        <v>0</v>
      </c>
      <c r="U789">
        <f t="shared" si="136"/>
        <v>0</v>
      </c>
      <c r="V789">
        <f>IF(AND($U789=1,$M789&lt;&gt;""),IF(COUNTIFS($M$3:$M789,$M789,$O$3:$O789,$O789,$U$3:$U789,1,$P$3:$P789,"&gt;="&amp;EOMONTH($P789,-1)+1,$P$3:$P789,"&lt;="&amp;EOMONTH($P789,0))=1,1,0),0)</f>
        <v>0</v>
      </c>
      <c r="W789" s="444">
        <f ca="1">TODAY()-Table1[[#This Row],[Change Date]]</f>
        <v>566.82361111111095</v>
      </c>
      <c r="X789" s="422">
        <f t="shared" si="137"/>
        <v>45771.138194444444</v>
      </c>
      <c r="Y789" s="476">
        <f ca="1">IF(Table1[[#This Row],[Next Stage Date]]&lt;&gt;"",Table1[[#This Row],[Next Stage Date]]-Table1[[#This Row],[Change Date]],TODAY()-Table1[[#This Row],[Change Date]])</f>
        <v>79.961805555554747</v>
      </c>
      <c r="Z789" s="476">
        <f t="shared" si="138"/>
        <v>0</v>
      </c>
      <c r="AA789" s="422" t="str">
        <f t="shared" si="139"/>
        <v/>
      </c>
      <c r="AB789" s="422">
        <f t="shared" si="140"/>
        <v>45691.176388888889</v>
      </c>
      <c r="AC789" s="476">
        <f t="shared" si="141"/>
        <v>227.17638888888905</v>
      </c>
      <c r="AD789" s="476" t="str">
        <f t="shared" si="142"/>
        <v/>
      </c>
      <c r="AE789" s="476" t="str">
        <f t="shared" si="143"/>
        <v/>
      </c>
      <c r="AF789" s="476" t="b">
        <f>IFERROR(_xlfn.XLOOKUP(Table1[[#This Row],[Opportunity ID]],'Aging Detail'!$H$14:$H$20,'Aging Detail'!$F$14:$F$20),TRUE)</f>
        <v>1</v>
      </c>
    </row>
    <row r="790" spans="1:32">
      <c r="A790" t="s">
        <v>1461</v>
      </c>
      <c r="B790" t="s">
        <v>408</v>
      </c>
      <c r="C790" t="s">
        <v>1462</v>
      </c>
      <c r="D790" t="s">
        <v>3335</v>
      </c>
      <c r="E790" t="s">
        <v>2501</v>
      </c>
      <c r="I790" s="422">
        <v>45684</v>
      </c>
      <c r="J790" s="422">
        <v>46387</v>
      </c>
      <c r="K790">
        <v>30000</v>
      </c>
      <c r="L790">
        <v>30000</v>
      </c>
      <c r="M790" t="s">
        <v>2502</v>
      </c>
      <c r="N790" t="s">
        <v>2503</v>
      </c>
      <c r="O790" t="str">
        <f>_xlfn.IFNA(VLOOKUP(Table1[[#This Row],[Lead Source]],'helper tab'!A:B,2,FALSE),"Exclude")</f>
        <v>Exclude</v>
      </c>
      <c r="P790" s="422">
        <f t="shared" si="133"/>
        <v>45690.519444444442</v>
      </c>
      <c r="Q790">
        <f t="shared" si="134"/>
        <v>0</v>
      </c>
      <c r="R790">
        <f t="shared" si="135"/>
        <v>0</v>
      </c>
      <c r="S790">
        <f>IF(
AND($Q790=1,$M790&lt;&gt;""),
IF(
COUNTIFS(
$M$3:$M790,$M790,
$O$3:$O790,$O790,
$Q$3:$Q790,1,
$P$3:$P790,"&gt;="&amp;EOMONTH($P790,-1)+1,
$P$3:$P790,"&lt;"&amp;EOMONTH($P790,0)+1
)=1,
1,
0),
0)</f>
        <v>0</v>
      </c>
      <c r="T790">
        <f>IF(AND($R790=1,$M790&lt;&gt;""),IF(COUNTIFS($M$3:$M1559,$M790,$O$3:$O1559,$O790,$R$3:$R1559,1,$P$3:$P1559,"&gt;="&amp;EOMONTH($P790,-1)+1,$P$3:$P1559,"&lt;="&amp;EOMONTH($P790,0))=1,1,0),0)</f>
        <v>0</v>
      </c>
      <c r="U790">
        <f t="shared" si="136"/>
        <v>0</v>
      </c>
      <c r="V790">
        <f>IF(AND($U790=1,$M790&lt;&gt;""),IF(COUNTIFS($M$3:$M790,$M790,$O$3:$O790,$O790,$U$3:$U790,1,$P$3:$P790,"&gt;="&amp;EOMONTH($P790,-1)+1,$P$3:$P790,"&lt;="&amp;EOMONTH($P790,0))=1,1,0),0)</f>
        <v>0</v>
      </c>
      <c r="W790" s="444">
        <f ca="1">TODAY()-Table1[[#This Row],[Change Date]]</f>
        <v>567.48055555555766</v>
      </c>
      <c r="X790" s="422">
        <f t="shared" si="137"/>
        <v>45971.438194444447</v>
      </c>
      <c r="Y790" s="476">
        <f ca="1">IF(Table1[[#This Row],[Next Stage Date]]&lt;&gt;"",Table1[[#This Row],[Next Stage Date]]-Table1[[#This Row],[Change Date]],TODAY()-Table1[[#This Row],[Change Date]])</f>
        <v>280.91875000000437</v>
      </c>
      <c r="Z790" s="476">
        <f t="shared" si="138"/>
        <v>0</v>
      </c>
      <c r="AA790" s="422" t="str">
        <f t="shared" si="139"/>
        <v/>
      </c>
      <c r="AB790" s="422" t="str">
        <f t="shared" si="140"/>
        <v/>
      </c>
      <c r="AC790" s="476" t="str">
        <f t="shared" si="141"/>
        <v/>
      </c>
      <c r="AD790" s="476" t="str">
        <f t="shared" si="142"/>
        <v/>
      </c>
      <c r="AE790" s="476" t="str">
        <f t="shared" si="143"/>
        <v/>
      </c>
      <c r="AF790" s="476" t="b">
        <f>IFERROR(_xlfn.XLOOKUP(Table1[[#This Row],[Opportunity ID]],'Aging Detail'!$H$14:$H$20,'Aging Detail'!$F$14:$F$20),TRUE)</f>
        <v>1</v>
      </c>
    </row>
    <row r="791" spans="1:32">
      <c r="A791" t="s">
        <v>1461</v>
      </c>
      <c r="B791" t="s">
        <v>408</v>
      </c>
      <c r="C791" t="s">
        <v>1462</v>
      </c>
      <c r="D791" t="s">
        <v>3336</v>
      </c>
      <c r="E791" t="s">
        <v>3337</v>
      </c>
      <c r="I791" s="422">
        <v>45660</v>
      </c>
      <c r="J791" s="422">
        <v>46568</v>
      </c>
      <c r="K791">
        <v>50000</v>
      </c>
      <c r="L791">
        <v>50000</v>
      </c>
      <c r="M791" t="s">
        <v>3338</v>
      </c>
      <c r="N791" t="s">
        <v>1748</v>
      </c>
      <c r="O791" t="str">
        <f>_xlfn.IFNA(VLOOKUP(Table1[[#This Row],[Lead Source]],'helper tab'!A:B,2,FALSE),"Exclude")</f>
        <v>Exclude</v>
      </c>
      <c r="P791" s="422">
        <f t="shared" si="133"/>
        <v>45690.518055555556</v>
      </c>
      <c r="Q791">
        <f t="shared" si="134"/>
        <v>0</v>
      </c>
      <c r="R791">
        <f t="shared" si="135"/>
        <v>0</v>
      </c>
      <c r="S791">
        <f>IF(
AND($Q791=1,$M791&lt;&gt;""),
IF(
COUNTIFS(
$M$3:$M791,$M791,
$O$3:$O791,$O791,
$Q$3:$Q791,1,
$P$3:$P791,"&gt;="&amp;EOMONTH($P791,-1)+1,
$P$3:$P791,"&lt;"&amp;EOMONTH($P791,0)+1
)=1,
1,
0),
0)</f>
        <v>0</v>
      </c>
      <c r="T791">
        <f>IF(AND($R791=1,$M791&lt;&gt;""),IF(COUNTIFS($M$3:$M1560,$M791,$O$3:$O1560,$O791,$R$3:$R1560,1,$P$3:$P1560,"&gt;="&amp;EOMONTH($P791,-1)+1,$P$3:$P1560,"&lt;="&amp;EOMONTH($P791,0))=1,1,0),0)</f>
        <v>0</v>
      </c>
      <c r="U791">
        <f t="shared" si="136"/>
        <v>0</v>
      </c>
      <c r="V791">
        <f>IF(AND($U791=1,$M791&lt;&gt;""),IF(COUNTIFS($M$3:$M791,$M791,$O$3:$O791,$O791,$U$3:$U791,1,$P$3:$P791,"&gt;="&amp;EOMONTH($P791,-1)+1,$P$3:$P791,"&lt;="&amp;EOMONTH($P791,0))=1,1,0),0)</f>
        <v>0</v>
      </c>
      <c r="W791" s="444">
        <f ca="1">TODAY()-Table1[[#This Row],[Change Date]]</f>
        <v>567.4819444444438</v>
      </c>
      <c r="X791" s="422" t="str">
        <f t="shared" si="137"/>
        <v/>
      </c>
      <c r="Y791" s="476">
        <f ca="1">IF(Table1[[#This Row],[Next Stage Date]]&lt;&gt;"",Table1[[#This Row],[Next Stage Date]]-Table1[[#This Row],[Change Date]],TODAY()-Table1[[#This Row],[Change Date]])</f>
        <v>567.4819444444438</v>
      </c>
      <c r="Z791" s="476">
        <f t="shared" si="138"/>
        <v>1</v>
      </c>
      <c r="AA791" s="422" t="str">
        <f t="shared" si="139"/>
        <v/>
      </c>
      <c r="AB791" s="422" t="str">
        <f t="shared" si="140"/>
        <v/>
      </c>
      <c r="AC791" s="476" t="str">
        <f t="shared" si="141"/>
        <v/>
      </c>
      <c r="AD791" s="476" t="str">
        <f t="shared" si="142"/>
        <v/>
      </c>
      <c r="AE791" s="476" t="str">
        <f t="shared" si="143"/>
        <v/>
      </c>
      <c r="AF791" s="476" t="b">
        <f>IFERROR(_xlfn.XLOOKUP(Table1[[#This Row],[Opportunity ID]],'Aging Detail'!$H$14:$H$20,'Aging Detail'!$F$14:$F$20),TRUE)</f>
        <v>1</v>
      </c>
    </row>
  </sheetData>
  <hyperlinks>
    <hyperlink ref="B1" r:id="rId1" xr:uid="{C5796FB8-D841-4CC0-B0DB-E82443DE07A4}"/>
  </hyperlinks>
  <pageMargins left="0.7" right="0.7" top="0.75" bottom="0.75" header="0.3" footer="0.3"/>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20"/>
  <sheetViews>
    <sheetView workbookViewId="0">
      <selection activeCell="B21" sqref="B21"/>
    </sheetView>
  </sheetViews>
  <sheetFormatPr defaultColWidth="8.7109375" defaultRowHeight="15"/>
  <cols>
    <col min="1" max="1" width="26.7109375" bestFit="1" customWidth="1"/>
    <col min="2" max="2" width="10.140625" bestFit="1" customWidth="1"/>
    <col min="3" max="3" width="16" bestFit="1" customWidth="1"/>
    <col min="4" max="4" width="12.7109375" bestFit="1" customWidth="1"/>
  </cols>
  <sheetData>
    <row r="1" spans="1:2">
      <c r="A1" t="s">
        <v>101</v>
      </c>
      <c r="B1" t="s">
        <v>5</v>
      </c>
    </row>
    <row r="2" spans="1:2" ht="15.75" customHeight="1">
      <c r="A2" s="320">
        <v>45658</v>
      </c>
      <c r="B2" s="328">
        <v>11500</v>
      </c>
    </row>
    <row r="3" spans="1:2" ht="15.75" customHeight="1">
      <c r="A3" s="320">
        <v>45689</v>
      </c>
      <c r="B3" s="328">
        <v>11500</v>
      </c>
    </row>
    <row r="4" spans="1:2" ht="15.75" customHeight="1">
      <c r="A4" s="320">
        <v>45717</v>
      </c>
      <c r="B4" s="328">
        <v>11500</v>
      </c>
    </row>
    <row r="5" spans="1:2" ht="15.75" customHeight="1">
      <c r="A5" s="320">
        <v>45748</v>
      </c>
      <c r="B5" s="328">
        <v>11500</v>
      </c>
    </row>
    <row r="6" spans="1:2" ht="15.75" customHeight="1">
      <c r="A6" s="320">
        <v>45778</v>
      </c>
      <c r="B6" s="328">
        <v>11500</v>
      </c>
    </row>
    <row r="7" spans="1:2" ht="15.75" customHeight="1">
      <c r="A7" s="320">
        <v>45809</v>
      </c>
      <c r="B7" s="328">
        <v>11500</v>
      </c>
    </row>
    <row r="8" spans="1:2" ht="15.75" customHeight="1">
      <c r="A8" s="320">
        <v>45839</v>
      </c>
      <c r="B8" s="328">
        <v>32475</v>
      </c>
    </row>
    <row r="9" spans="1:2" ht="15.75" customHeight="1">
      <c r="A9" s="320">
        <v>45870</v>
      </c>
      <c r="B9" s="328">
        <v>32475</v>
      </c>
    </row>
    <row r="10" spans="1:2" ht="15.75" customHeight="1">
      <c r="A10" s="320">
        <v>45901</v>
      </c>
      <c r="B10" s="328">
        <v>32475</v>
      </c>
    </row>
    <row r="11" spans="1:2" ht="15.75" customHeight="1">
      <c r="A11" s="320">
        <v>45931</v>
      </c>
      <c r="B11" s="328">
        <v>32475</v>
      </c>
    </row>
    <row r="12" spans="1:2" ht="15.75" customHeight="1">
      <c r="A12" s="320">
        <v>45962</v>
      </c>
      <c r="B12" s="328">
        <v>32475</v>
      </c>
    </row>
    <row r="13" spans="1:2" ht="15.75" customHeight="1">
      <c r="A13" s="320">
        <v>45992</v>
      </c>
      <c r="B13" s="328">
        <v>32475</v>
      </c>
    </row>
    <row r="14" spans="1:2" ht="15.75" customHeight="1">
      <c r="A14" s="324">
        <v>46023</v>
      </c>
      <c r="B14" s="328">
        <v>32475</v>
      </c>
    </row>
    <row r="15" spans="1:2" ht="15.75" customHeight="1">
      <c r="A15" s="324">
        <v>46054</v>
      </c>
      <c r="B15" s="328">
        <v>32475</v>
      </c>
    </row>
    <row r="16" spans="1:2">
      <c r="A16" s="422">
        <v>46082</v>
      </c>
      <c r="B16" s="328">
        <v>32475</v>
      </c>
    </row>
    <row r="17" spans="1:2">
      <c r="A17" s="422">
        <v>46113</v>
      </c>
      <c r="B17" s="328">
        <v>32475</v>
      </c>
    </row>
    <row r="18" spans="1:2">
      <c r="A18" s="422">
        <v>46143</v>
      </c>
      <c r="B18" s="328">
        <v>32475</v>
      </c>
    </row>
    <row r="19" spans="1:2">
      <c r="A19" s="422">
        <v>46174</v>
      </c>
      <c r="B19" s="328">
        <v>32475</v>
      </c>
    </row>
    <row r="20" spans="1:2">
      <c r="A20" s="422">
        <v>46204</v>
      </c>
      <c r="B20" s="328">
        <v>32475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20C4E-B93E-4AD3-88D4-FF5662F2513F}">
  <dimension ref="A1:S534"/>
  <sheetViews>
    <sheetView topLeftCell="B1" workbookViewId="0">
      <selection activeCell="A3" sqref="A3:N534"/>
    </sheetView>
  </sheetViews>
  <sheetFormatPr defaultColWidth="8.7109375" defaultRowHeight="15"/>
  <cols>
    <col min="1" max="1" width="16.140625" customWidth="1"/>
    <col min="2" max="2" width="19.7109375" customWidth="1"/>
    <col min="3" max="3" width="28.7109375" bestFit="1" customWidth="1"/>
    <col min="4" max="4" width="14.42578125" customWidth="1"/>
    <col min="5" max="5" width="10.140625" customWidth="1"/>
    <col min="6" max="6" width="13.140625" customWidth="1"/>
    <col min="7" max="7" width="15.140625" customWidth="1"/>
    <col min="8" max="8" width="25.140625" bestFit="1" customWidth="1"/>
    <col min="9" max="9" width="9.7109375" customWidth="1"/>
    <col min="10" max="10" width="26.140625" customWidth="1"/>
    <col min="11" max="11" width="20.28515625" customWidth="1"/>
    <col min="12" max="12" width="18.42578125" bestFit="1" customWidth="1"/>
    <col min="13" max="14" width="18.42578125" customWidth="1"/>
    <col min="16" max="16" width="9.28515625" style="476" bestFit="1" customWidth="1"/>
  </cols>
  <sheetData>
    <row r="1" spans="1:19">
      <c r="A1" t="s">
        <v>1491</v>
      </c>
      <c r="B1" s="33" t="s">
        <v>3339</v>
      </c>
    </row>
    <row r="2" spans="1:19">
      <c r="A2" t="s">
        <v>1503</v>
      </c>
      <c r="B2" t="s">
        <v>1497</v>
      </c>
      <c r="C2" t="s">
        <v>1461</v>
      </c>
      <c r="D2" t="s">
        <v>3340</v>
      </c>
      <c r="E2" t="s">
        <v>194</v>
      </c>
      <c r="F2" t="s">
        <v>1500</v>
      </c>
      <c r="G2" t="s">
        <v>1499</v>
      </c>
      <c r="H2" t="s">
        <v>1460</v>
      </c>
      <c r="I2" t="s">
        <v>148</v>
      </c>
      <c r="J2" t="s">
        <v>3341</v>
      </c>
      <c r="K2" t="s">
        <v>3342</v>
      </c>
      <c r="L2" t="s">
        <v>1502</v>
      </c>
      <c r="M2" t="s">
        <v>1501</v>
      </c>
      <c r="N2" t="s">
        <v>3343</v>
      </c>
      <c r="O2" t="s">
        <v>4</v>
      </c>
      <c r="P2" s="476" t="s">
        <v>3344</v>
      </c>
      <c r="Q2" t="s">
        <v>3345</v>
      </c>
      <c r="R2" t="s">
        <v>3346</v>
      </c>
      <c r="S2" t="s">
        <v>1520</v>
      </c>
    </row>
    <row r="3" spans="1:19" hidden="1">
      <c r="A3" t="s">
        <v>3347</v>
      </c>
      <c r="B3" t="s">
        <v>3348</v>
      </c>
      <c r="C3" t="s">
        <v>408</v>
      </c>
      <c r="D3" t="s">
        <v>3349</v>
      </c>
      <c r="E3">
        <v>48300</v>
      </c>
      <c r="F3" s="422">
        <v>46568</v>
      </c>
      <c r="G3" s="422">
        <v>45504</v>
      </c>
      <c r="H3" t="s">
        <v>148</v>
      </c>
      <c r="I3" t="s">
        <v>1698</v>
      </c>
      <c r="K3" t="s">
        <v>3350</v>
      </c>
      <c r="L3" t="s">
        <v>3351</v>
      </c>
      <c r="M3">
        <v>48300</v>
      </c>
      <c r="N3">
        <v>733</v>
      </c>
      <c r="O3" t="str">
        <f>_xlfn.IFNA(VLOOKUP(Table2[[#This Row],[Lead Source]],'helper tab'!A:B,2,FALSE),"Exclude")</f>
        <v>Alliances</v>
      </c>
      <c r="P3" s="476">
        <f ca="1">TODAY() - Table2[[#This Row],[Created Date]]</f>
        <v>754</v>
      </c>
      <c r="Q3">
        <f>IF(OR(Table2[[#This Row],[Stage]]="Propose",Table2[[#This Row],[Stage]]="Procure"),1,0)</f>
        <v>0</v>
      </c>
      <c r="R3">
        <f>IF(Table2[[#This Row],[Stage]]="Closed Won",1,0)</f>
        <v>0</v>
      </c>
      <c r="S3" t="b">
        <f>IFERROR(_xlfn.XLOOKUP(Table2[[#This Row],[Opportunity ID]],'Aging Detail'!$H$14:$H$20,'Aging Detail'!$F$14:$F$20),TRUE)</f>
        <v>1</v>
      </c>
    </row>
    <row r="4" spans="1:19">
      <c r="A4" t="s">
        <v>2047</v>
      </c>
      <c r="B4" t="s">
        <v>2216</v>
      </c>
      <c r="C4" t="s">
        <v>1462</v>
      </c>
      <c r="D4" t="s">
        <v>3352</v>
      </c>
      <c r="E4">
        <v>28980</v>
      </c>
      <c r="F4" s="422">
        <v>46477</v>
      </c>
      <c r="G4" s="422">
        <v>46080</v>
      </c>
      <c r="H4" t="s">
        <v>148</v>
      </c>
      <c r="I4" t="s">
        <v>1698</v>
      </c>
      <c r="K4" t="s">
        <v>3350</v>
      </c>
      <c r="L4" t="s">
        <v>2217</v>
      </c>
      <c r="M4">
        <v>28980</v>
      </c>
      <c r="N4">
        <v>157</v>
      </c>
      <c r="O4" t="str">
        <f>_xlfn.IFNA(VLOOKUP(Table2[[#This Row],[Lead Source]],'helper tab'!A:B,2,FALSE),"Exclude")</f>
        <v>Alliances</v>
      </c>
      <c r="P4" s="476">
        <f ca="1">TODAY() - Table2[[#This Row],[Created Date]]</f>
        <v>178</v>
      </c>
      <c r="Q4">
        <f>IF(OR(Table2[[#This Row],[Stage]]="Propose",Table2[[#This Row],[Stage]]="Procure"),1,0)</f>
        <v>0</v>
      </c>
      <c r="R4">
        <f>IF(Table2[[#This Row],[Stage]]="Closed Won",1,0)</f>
        <v>0</v>
      </c>
      <c r="S4" t="b">
        <f>IFERROR(_xlfn.XLOOKUP(Table2[[#This Row],[Opportunity ID]],'Aging Detail'!$H$14:$H$20,'Aging Detail'!$F$14:$F$20),TRUE)</f>
        <v>1</v>
      </c>
    </row>
    <row r="5" spans="1:19" hidden="1">
      <c r="A5" t="s">
        <v>3353</v>
      </c>
      <c r="B5" t="s">
        <v>3354</v>
      </c>
      <c r="C5" t="s">
        <v>408</v>
      </c>
      <c r="D5" t="s">
        <v>3352</v>
      </c>
      <c r="E5">
        <v>57960</v>
      </c>
      <c r="F5" s="422">
        <v>46476</v>
      </c>
      <c r="G5" s="422">
        <v>45692</v>
      </c>
      <c r="H5" t="s">
        <v>148</v>
      </c>
      <c r="I5" t="s">
        <v>1698</v>
      </c>
      <c r="K5" t="s">
        <v>3350</v>
      </c>
      <c r="L5" t="s">
        <v>3355</v>
      </c>
      <c r="M5">
        <v>57960</v>
      </c>
      <c r="N5">
        <v>545</v>
      </c>
      <c r="O5" t="str">
        <f>_xlfn.IFNA(VLOOKUP(Table2[[#This Row],[Lead Source]],'helper tab'!A:B,2,FALSE),"Exclude")</f>
        <v>Alliances</v>
      </c>
      <c r="P5" s="476">
        <f ca="1">TODAY() - Table2[[#This Row],[Created Date]]</f>
        <v>566</v>
      </c>
      <c r="Q5">
        <f>IF(OR(Table2[[#This Row],[Stage]]="Propose",Table2[[#This Row],[Stage]]="Procure"),1,0)</f>
        <v>0</v>
      </c>
      <c r="R5">
        <f>IF(Table2[[#This Row],[Stage]]="Closed Won",1,0)</f>
        <v>0</v>
      </c>
      <c r="S5" t="b">
        <f>IFERROR(_xlfn.XLOOKUP(Table2[[#This Row],[Opportunity ID]],'Aging Detail'!$H$14:$H$20,'Aging Detail'!$F$14:$F$20),TRUE)</f>
        <v>1</v>
      </c>
    </row>
    <row r="6" spans="1:19">
      <c r="A6" t="s">
        <v>3356</v>
      </c>
      <c r="B6" t="s">
        <v>3357</v>
      </c>
      <c r="C6" t="s">
        <v>408</v>
      </c>
      <c r="D6" t="s">
        <v>3352</v>
      </c>
      <c r="E6">
        <v>222200</v>
      </c>
      <c r="F6" s="422">
        <v>46435</v>
      </c>
      <c r="G6" s="422">
        <v>46204</v>
      </c>
      <c r="H6" t="s">
        <v>148</v>
      </c>
      <c r="I6" t="s">
        <v>1698</v>
      </c>
      <c r="K6" t="s">
        <v>3350</v>
      </c>
      <c r="L6" t="s">
        <v>3358</v>
      </c>
      <c r="M6">
        <v>193200</v>
      </c>
      <c r="N6">
        <v>31</v>
      </c>
      <c r="O6" t="str">
        <f>_xlfn.IFNA(VLOOKUP(Table2[[#This Row],[Lead Source]],'helper tab'!A:B,2,FALSE),"Exclude")</f>
        <v>Alliances</v>
      </c>
      <c r="P6" s="476">
        <f ca="1">TODAY() - Table2[[#This Row],[Created Date]]</f>
        <v>54</v>
      </c>
      <c r="Q6">
        <f>IF(OR(Table2[[#This Row],[Stage]]="Propose",Table2[[#This Row],[Stage]]="Procure"),1,0)</f>
        <v>0</v>
      </c>
      <c r="R6">
        <f>IF(Table2[[#This Row],[Stage]]="Closed Won",1,0)</f>
        <v>0</v>
      </c>
      <c r="S6" t="b">
        <f>IFERROR(_xlfn.XLOOKUP(Table2[[#This Row],[Opportunity ID]],'Aging Detail'!$H$14:$H$20,'Aging Detail'!$F$14:$F$20),TRUE)</f>
        <v>1</v>
      </c>
    </row>
    <row r="7" spans="1:19" hidden="1">
      <c r="A7" t="s">
        <v>1850</v>
      </c>
      <c r="B7" t="s">
        <v>1936</v>
      </c>
      <c r="C7" t="s">
        <v>1462</v>
      </c>
      <c r="D7" t="s">
        <v>3359</v>
      </c>
      <c r="E7">
        <v>63389.599999999999</v>
      </c>
      <c r="F7" s="422">
        <v>46325</v>
      </c>
      <c r="G7" s="422">
        <v>45855</v>
      </c>
      <c r="H7" t="s">
        <v>148</v>
      </c>
      <c r="I7" t="s">
        <v>1698</v>
      </c>
      <c r="J7" t="s">
        <v>3360</v>
      </c>
      <c r="K7" t="s">
        <v>3350</v>
      </c>
      <c r="L7" t="s">
        <v>1937</v>
      </c>
      <c r="M7">
        <v>34389.599999999999</v>
      </c>
      <c r="N7">
        <v>67</v>
      </c>
      <c r="O7" t="str">
        <f>_xlfn.IFNA(VLOOKUP(Table2[[#This Row],[Lead Source]],'helper tab'!A:B,2,FALSE),"Exclude")</f>
        <v>Alliances</v>
      </c>
      <c r="P7" s="476">
        <f ca="1">TODAY() - Table2[[#This Row],[Created Date]]</f>
        <v>403</v>
      </c>
      <c r="Q7">
        <f>IF(OR(Table2[[#This Row],[Stage]]="Propose",Table2[[#This Row],[Stage]]="Procure"),1,0)</f>
        <v>0</v>
      </c>
      <c r="R7">
        <f>IF(Table2[[#This Row],[Stage]]="Closed Won",1,0)</f>
        <v>0</v>
      </c>
      <c r="S7" t="b">
        <f>IFERROR(_xlfn.XLOOKUP(Table2[[#This Row],[Opportunity ID]],'Aging Detail'!$H$14:$H$20,'Aging Detail'!$F$14:$F$20),TRUE)</f>
        <v>1</v>
      </c>
    </row>
    <row r="8" spans="1:19" hidden="1">
      <c r="A8" t="s">
        <v>2047</v>
      </c>
      <c r="B8" t="s">
        <v>2045</v>
      </c>
      <c r="C8" t="s">
        <v>462</v>
      </c>
      <c r="D8" t="s">
        <v>3361</v>
      </c>
      <c r="E8">
        <v>57980</v>
      </c>
      <c r="F8" s="422">
        <v>46295</v>
      </c>
      <c r="G8" s="422">
        <v>45855</v>
      </c>
      <c r="H8" t="s">
        <v>148</v>
      </c>
      <c r="I8" t="s">
        <v>1698</v>
      </c>
      <c r="J8" t="s">
        <v>3360</v>
      </c>
      <c r="K8" t="s">
        <v>3350</v>
      </c>
      <c r="L8" t="s">
        <v>2046</v>
      </c>
      <c r="M8">
        <v>28980</v>
      </c>
      <c r="N8">
        <v>115</v>
      </c>
      <c r="O8" t="str">
        <f>_xlfn.IFNA(VLOOKUP(Table2[[#This Row],[Lead Source]],'helper tab'!A:B,2,FALSE),"Exclude")</f>
        <v>Alliances</v>
      </c>
      <c r="P8" s="476">
        <f ca="1">TODAY() - Table2[[#This Row],[Created Date]]</f>
        <v>403</v>
      </c>
      <c r="Q8">
        <f>IF(OR(Table2[[#This Row],[Stage]]="Propose",Table2[[#This Row],[Stage]]="Procure"),1,0)</f>
        <v>1</v>
      </c>
      <c r="R8">
        <f>IF(Table2[[#This Row],[Stage]]="Closed Won",1,0)</f>
        <v>0</v>
      </c>
      <c r="S8" t="b">
        <f>IFERROR(_xlfn.XLOOKUP(Table2[[#This Row],[Opportunity ID]],'Aging Detail'!$H$14:$H$20,'Aging Detail'!$F$14:$F$20),TRUE)</f>
        <v>1</v>
      </c>
    </row>
    <row r="9" spans="1:19">
      <c r="A9" t="s">
        <v>1926</v>
      </c>
      <c r="B9" t="s">
        <v>1928</v>
      </c>
      <c r="C9" t="s">
        <v>1462</v>
      </c>
      <c r="D9" t="s">
        <v>3361</v>
      </c>
      <c r="E9">
        <v>106260</v>
      </c>
      <c r="F9" s="422">
        <v>46279</v>
      </c>
      <c r="G9" s="422">
        <v>46171</v>
      </c>
      <c r="H9" t="s">
        <v>148</v>
      </c>
      <c r="I9" t="s">
        <v>1698</v>
      </c>
      <c r="K9" t="s">
        <v>3350</v>
      </c>
      <c r="L9" t="s">
        <v>1929</v>
      </c>
      <c r="M9">
        <v>106260</v>
      </c>
      <c r="N9">
        <v>63</v>
      </c>
      <c r="O9" t="str">
        <f>_xlfn.IFNA(VLOOKUP(Table2[[#This Row],[Lead Source]],'helper tab'!A:B,2,FALSE),"Exclude")</f>
        <v>Alliances</v>
      </c>
      <c r="P9" s="476">
        <f ca="1">TODAY() - Table2[[#This Row],[Created Date]]</f>
        <v>87</v>
      </c>
      <c r="Q9">
        <f>IF(OR(Table2[[#This Row],[Stage]]="Propose",Table2[[#This Row],[Stage]]="Procure"),1,0)</f>
        <v>0</v>
      </c>
      <c r="R9">
        <f>IF(Table2[[#This Row],[Stage]]="Closed Won",1,0)</f>
        <v>0</v>
      </c>
      <c r="S9" t="b">
        <f>IFERROR(_xlfn.XLOOKUP(Table2[[#This Row],[Opportunity ID]],'Aging Detail'!$H$14:$H$20,'Aging Detail'!$F$14:$F$20),TRUE)</f>
        <v>1</v>
      </c>
    </row>
    <row r="10" spans="1:19" hidden="1">
      <c r="A10" t="s">
        <v>1700</v>
      </c>
      <c r="B10" t="s">
        <v>1697</v>
      </c>
      <c r="C10" t="s">
        <v>1469</v>
      </c>
      <c r="D10" t="s">
        <v>3361</v>
      </c>
      <c r="E10">
        <v>10626</v>
      </c>
      <c r="F10" s="422">
        <v>46211</v>
      </c>
      <c r="G10" s="422">
        <v>45404</v>
      </c>
      <c r="H10" t="s">
        <v>148</v>
      </c>
      <c r="I10" t="s">
        <v>1698</v>
      </c>
      <c r="K10" t="s">
        <v>3350</v>
      </c>
      <c r="L10" t="s">
        <v>1699</v>
      </c>
      <c r="M10">
        <v>10626</v>
      </c>
      <c r="N10">
        <v>27</v>
      </c>
      <c r="O10" t="str">
        <f>_xlfn.IFNA(VLOOKUP(Table2[[#This Row],[Lead Source]],'helper tab'!A:B,2,FALSE),"Exclude")</f>
        <v>Alliances</v>
      </c>
      <c r="P10" s="476">
        <f ca="1">TODAY() - Table2[[#This Row],[Created Date]]</f>
        <v>854</v>
      </c>
      <c r="Q10">
        <f>IF(OR(Table2[[#This Row],[Stage]]="Propose",Table2[[#This Row],[Stage]]="Procure"),1,0)</f>
        <v>0</v>
      </c>
      <c r="R10">
        <f>IF(Table2[[#This Row],[Stage]]="Closed Won",1,0)</f>
        <v>0</v>
      </c>
      <c r="S10" t="b">
        <f>IFERROR(_xlfn.XLOOKUP(Table2[[#This Row],[Opportunity ID]],'Aging Detail'!$H$14:$H$20,'Aging Detail'!$F$14:$F$20),TRUE)</f>
        <v>1</v>
      </c>
    </row>
    <row r="11" spans="1:19">
      <c r="A11" t="s">
        <v>1850</v>
      </c>
      <c r="B11" t="s">
        <v>1848</v>
      </c>
      <c r="C11" t="s">
        <v>1469</v>
      </c>
      <c r="D11" t="s">
        <v>3362</v>
      </c>
      <c r="E11">
        <v>20000</v>
      </c>
      <c r="F11" s="422">
        <v>46192</v>
      </c>
      <c r="G11" s="422">
        <v>46168</v>
      </c>
      <c r="H11" t="s">
        <v>148</v>
      </c>
      <c r="I11" t="s">
        <v>1698</v>
      </c>
      <c r="K11" t="s">
        <v>3350</v>
      </c>
      <c r="L11" t="s">
        <v>1849</v>
      </c>
      <c r="M11">
        <v>20000</v>
      </c>
      <c r="N11">
        <v>45</v>
      </c>
      <c r="O11" t="str">
        <f>_xlfn.IFNA(VLOOKUP(Table2[[#This Row],[Lead Source]],'helper tab'!A:B,2,FALSE),"Exclude")</f>
        <v>Alliances</v>
      </c>
      <c r="P11" s="476">
        <f ca="1">TODAY() - Table2[[#This Row],[Created Date]]</f>
        <v>90</v>
      </c>
      <c r="Q11">
        <f>IF(OR(Table2[[#This Row],[Stage]]="Propose",Table2[[#This Row],[Stage]]="Procure"),1,0)</f>
        <v>0</v>
      </c>
      <c r="R11">
        <f>IF(Table2[[#This Row],[Stage]]="Closed Won",1,0)</f>
        <v>0</v>
      </c>
      <c r="S11" t="b">
        <f>IFERROR(_xlfn.XLOOKUP(Table2[[#This Row],[Opportunity ID]],'Aging Detail'!$H$14:$H$20,'Aging Detail'!$F$14:$F$20),TRUE)</f>
        <v>1</v>
      </c>
    </row>
    <row r="12" spans="1:19" hidden="1">
      <c r="A12" t="s">
        <v>1926</v>
      </c>
      <c r="B12" t="s">
        <v>1924</v>
      </c>
      <c r="C12" t="s">
        <v>1469</v>
      </c>
      <c r="D12" t="s">
        <v>3362</v>
      </c>
      <c r="E12">
        <v>164220</v>
      </c>
      <c r="F12" s="422">
        <v>46174</v>
      </c>
      <c r="G12" s="422">
        <v>45215</v>
      </c>
      <c r="H12" t="s">
        <v>148</v>
      </c>
      <c r="I12" t="s">
        <v>1698</v>
      </c>
      <c r="K12" t="s">
        <v>3350</v>
      </c>
      <c r="L12" t="s">
        <v>1925</v>
      </c>
      <c r="M12">
        <v>164220</v>
      </c>
      <c r="N12">
        <v>63</v>
      </c>
      <c r="O12" t="str">
        <f>_xlfn.IFNA(VLOOKUP(Table2[[#This Row],[Lead Source]],'helper tab'!A:B,2,FALSE),"Exclude")</f>
        <v>Alliances</v>
      </c>
      <c r="P12" s="476">
        <f ca="1">TODAY() - Table2[[#This Row],[Created Date]]</f>
        <v>1043</v>
      </c>
      <c r="Q12">
        <f>IF(OR(Table2[[#This Row],[Stage]]="Propose",Table2[[#This Row],[Stage]]="Procure"),1,0)</f>
        <v>0</v>
      </c>
      <c r="R12">
        <f>IF(Table2[[#This Row],[Stage]]="Closed Won",1,0)</f>
        <v>0</v>
      </c>
      <c r="S12" t="b">
        <f>IFERROR(_xlfn.XLOOKUP(Table2[[#This Row],[Opportunity ID]],'Aging Detail'!$H$14:$H$20,'Aging Detail'!$F$14:$F$20),TRUE)</f>
        <v>1</v>
      </c>
    </row>
    <row r="13" spans="1:19" hidden="1">
      <c r="A13" t="s">
        <v>555</v>
      </c>
      <c r="B13" t="s">
        <v>2402</v>
      </c>
      <c r="C13" t="s">
        <v>563</v>
      </c>
      <c r="D13" t="s">
        <v>3363</v>
      </c>
      <c r="E13">
        <v>92880</v>
      </c>
      <c r="F13" s="422">
        <v>46014</v>
      </c>
      <c r="G13" s="422">
        <v>45320</v>
      </c>
      <c r="H13" t="s">
        <v>148</v>
      </c>
      <c r="I13" t="s">
        <v>1698</v>
      </c>
      <c r="K13" t="s">
        <v>3350</v>
      </c>
      <c r="L13" t="s">
        <v>93</v>
      </c>
      <c r="M13">
        <v>960</v>
      </c>
      <c r="N13">
        <v>223</v>
      </c>
      <c r="O13" t="str">
        <f>_xlfn.IFNA(VLOOKUP(Table2[[#This Row],[Lead Source]],'helper tab'!A:B,2,FALSE),"Exclude")</f>
        <v>Alliances</v>
      </c>
      <c r="P13" s="476">
        <f ca="1">TODAY() - Table2[[#This Row],[Created Date]]</f>
        <v>938</v>
      </c>
      <c r="Q13">
        <f>IF(OR(Table2[[#This Row],[Stage]]="Propose",Table2[[#This Row],[Stage]]="Procure"),1,0)</f>
        <v>0</v>
      </c>
      <c r="R13">
        <f>IF(Table2[[#This Row],[Stage]]="Closed Won",1,0)</f>
        <v>1</v>
      </c>
      <c r="S13" t="b">
        <f>IFERROR(_xlfn.XLOOKUP(Table2[[#This Row],[Opportunity ID]],'Aging Detail'!$H$14:$H$20,'Aging Detail'!$F$14:$F$20),TRUE)</f>
        <v>1</v>
      </c>
    </row>
    <row r="14" spans="1:19" hidden="1">
      <c r="A14" t="s">
        <v>2639</v>
      </c>
      <c r="B14" t="s">
        <v>2637</v>
      </c>
      <c r="C14" t="s">
        <v>563</v>
      </c>
      <c r="D14" t="s">
        <v>3364</v>
      </c>
      <c r="E14">
        <v>62156.160000000003</v>
      </c>
      <c r="F14" s="422">
        <v>45930</v>
      </c>
      <c r="G14" s="422">
        <v>45938</v>
      </c>
      <c r="H14" t="s">
        <v>148</v>
      </c>
      <c r="I14" t="s">
        <v>1698</v>
      </c>
      <c r="K14" t="s">
        <v>3365</v>
      </c>
      <c r="L14" t="s">
        <v>2638</v>
      </c>
      <c r="M14">
        <v>62156.160000000003</v>
      </c>
      <c r="N14">
        <v>299</v>
      </c>
      <c r="O14" t="str">
        <f>_xlfn.IFNA(VLOOKUP(Table2[[#This Row],[Lead Source]],'helper tab'!A:B,2,FALSE),"Exclude")</f>
        <v>Alliances</v>
      </c>
      <c r="P14" s="476">
        <f ca="1">TODAY() - Table2[[#This Row],[Created Date]]</f>
        <v>320</v>
      </c>
      <c r="Q14">
        <f>IF(OR(Table2[[#This Row],[Stage]]="Propose",Table2[[#This Row],[Stage]]="Procure"),1,0)</f>
        <v>0</v>
      </c>
      <c r="R14">
        <f>IF(Table2[[#This Row],[Stage]]="Closed Won",1,0)</f>
        <v>1</v>
      </c>
      <c r="S14" t="b">
        <f>IFERROR(_xlfn.XLOOKUP(Table2[[#This Row],[Opportunity ID]],'Aging Detail'!$H$14:$H$20,'Aging Detail'!$F$14:$F$20),TRUE)</f>
        <v>1</v>
      </c>
    </row>
    <row r="15" spans="1:19" hidden="1">
      <c r="A15" t="s">
        <v>2639</v>
      </c>
      <c r="B15" t="s">
        <v>2708</v>
      </c>
      <c r="C15" t="s">
        <v>563</v>
      </c>
      <c r="D15" t="s">
        <v>3364</v>
      </c>
      <c r="E15">
        <v>9200</v>
      </c>
      <c r="F15" s="422">
        <v>45912</v>
      </c>
      <c r="G15" s="422">
        <v>45740</v>
      </c>
      <c r="H15" t="s">
        <v>148</v>
      </c>
      <c r="I15" t="s">
        <v>1698</v>
      </c>
      <c r="K15" t="s">
        <v>3365</v>
      </c>
      <c r="L15" t="s">
        <v>2709</v>
      </c>
      <c r="M15">
        <v>0</v>
      </c>
      <c r="N15">
        <v>307</v>
      </c>
      <c r="O15" t="str">
        <f>_xlfn.IFNA(VLOOKUP(Table2[[#This Row],[Lead Source]],'helper tab'!A:B,2,FALSE),"Exclude")</f>
        <v>Alliances</v>
      </c>
      <c r="P15" s="476">
        <f ca="1">TODAY() - Table2[[#This Row],[Created Date]]</f>
        <v>518</v>
      </c>
      <c r="Q15">
        <f>IF(OR(Table2[[#This Row],[Stage]]="Propose",Table2[[#This Row],[Stage]]="Procure"),1,0)</f>
        <v>0</v>
      </c>
      <c r="R15">
        <f>IF(Table2[[#This Row],[Stage]]="Closed Won",1,0)</f>
        <v>1</v>
      </c>
      <c r="S15" t="b">
        <f>IFERROR(_xlfn.XLOOKUP(Table2[[#This Row],[Opportunity ID]],'Aging Detail'!$H$14:$H$20,'Aging Detail'!$F$14:$F$20),TRUE)</f>
        <v>1</v>
      </c>
    </row>
    <row r="16" spans="1:19" hidden="1">
      <c r="A16" t="s">
        <v>2639</v>
      </c>
      <c r="B16" t="s">
        <v>3211</v>
      </c>
      <c r="C16" t="s">
        <v>563</v>
      </c>
      <c r="D16" t="s">
        <v>3366</v>
      </c>
      <c r="E16">
        <v>15500</v>
      </c>
      <c r="F16" s="422">
        <v>45737</v>
      </c>
      <c r="G16" s="422">
        <v>45467</v>
      </c>
      <c r="H16" t="s">
        <v>148</v>
      </c>
      <c r="I16" t="s">
        <v>1698</v>
      </c>
      <c r="K16" t="s">
        <v>3365</v>
      </c>
      <c r="L16" t="s">
        <v>3212</v>
      </c>
      <c r="M16">
        <v>0</v>
      </c>
      <c r="N16">
        <v>500</v>
      </c>
      <c r="O16" t="str">
        <f>_xlfn.IFNA(VLOOKUP(Table2[[#This Row],[Lead Source]],'helper tab'!A:B,2,FALSE),"Exclude")</f>
        <v>Alliances</v>
      </c>
      <c r="P16" s="476">
        <f ca="1">TODAY() - Table2[[#This Row],[Created Date]]</f>
        <v>791</v>
      </c>
      <c r="Q16">
        <f>IF(OR(Table2[[#This Row],[Stage]]="Propose",Table2[[#This Row],[Stage]]="Procure"),1,0)</f>
        <v>0</v>
      </c>
      <c r="R16">
        <f>IF(Table2[[#This Row],[Stage]]="Closed Won",1,0)</f>
        <v>1</v>
      </c>
      <c r="S16" t="b">
        <f>IFERROR(_xlfn.XLOOKUP(Table2[[#This Row],[Opportunity ID]],'Aging Detail'!$H$14:$H$20,'Aging Detail'!$F$14:$F$20),TRUE)</f>
        <v>1</v>
      </c>
    </row>
    <row r="17" spans="1:19" hidden="1">
      <c r="A17" t="s">
        <v>2639</v>
      </c>
      <c r="B17" t="s">
        <v>3367</v>
      </c>
      <c r="C17" t="s">
        <v>563</v>
      </c>
      <c r="D17" t="s">
        <v>3368</v>
      </c>
      <c r="E17">
        <v>36728.639999999999</v>
      </c>
      <c r="F17" s="422">
        <v>45645</v>
      </c>
      <c r="G17" s="422">
        <v>45324</v>
      </c>
      <c r="H17" t="s">
        <v>148</v>
      </c>
      <c r="I17" t="s">
        <v>1698</v>
      </c>
      <c r="K17" t="s">
        <v>3365</v>
      </c>
      <c r="L17" t="s">
        <v>3369</v>
      </c>
      <c r="M17">
        <v>36728.639999999999</v>
      </c>
      <c r="N17">
        <v>592</v>
      </c>
      <c r="O17" t="str">
        <f>_xlfn.IFNA(VLOOKUP(Table2[[#This Row],[Lead Source]],'helper tab'!A:B,2,FALSE),"Exclude")</f>
        <v>Alliances</v>
      </c>
      <c r="P17" s="476">
        <f ca="1">TODAY() - Table2[[#This Row],[Created Date]]</f>
        <v>934</v>
      </c>
      <c r="Q17">
        <f>IF(OR(Table2[[#This Row],[Stage]]="Propose",Table2[[#This Row],[Stage]]="Procure"),1,0)</f>
        <v>0</v>
      </c>
      <c r="R17">
        <f>IF(Table2[[#This Row],[Stage]]="Closed Won",1,0)</f>
        <v>1</v>
      </c>
      <c r="S17" t="b">
        <f>IFERROR(_xlfn.XLOOKUP(Table2[[#This Row],[Opportunity ID]],'Aging Detail'!$H$14:$H$20,'Aging Detail'!$F$14:$F$20),TRUE)</f>
        <v>1</v>
      </c>
    </row>
    <row r="18" spans="1:19" hidden="1">
      <c r="A18" t="s">
        <v>2639</v>
      </c>
      <c r="B18" t="s">
        <v>3370</v>
      </c>
      <c r="C18" t="s">
        <v>563</v>
      </c>
      <c r="D18" t="s">
        <v>3371</v>
      </c>
      <c r="E18">
        <v>234964</v>
      </c>
      <c r="F18" s="422">
        <v>45000</v>
      </c>
      <c r="G18" s="422">
        <v>44134</v>
      </c>
      <c r="H18" t="s">
        <v>1488</v>
      </c>
      <c r="I18" t="s">
        <v>1698</v>
      </c>
      <c r="K18" t="s">
        <v>3365</v>
      </c>
      <c r="L18" t="s">
        <v>3372</v>
      </c>
      <c r="M18">
        <v>234964</v>
      </c>
      <c r="N18">
        <v>2103</v>
      </c>
      <c r="O18" t="str">
        <f>_xlfn.IFNA(VLOOKUP(Table2[[#This Row],[Lead Source]],'helper tab'!A:B,2,FALSE),"Exclude")</f>
        <v>Alliances</v>
      </c>
      <c r="P18" s="476">
        <f ca="1">TODAY() - Table2[[#This Row],[Created Date]]</f>
        <v>2124</v>
      </c>
      <c r="Q18">
        <f>IF(OR(Table2[[#This Row],[Stage]]="Propose",Table2[[#This Row],[Stage]]="Procure"),1,0)</f>
        <v>0</v>
      </c>
      <c r="R18">
        <f>IF(Table2[[#This Row],[Stage]]="Closed Won",1,0)</f>
        <v>1</v>
      </c>
      <c r="S18" t="b">
        <f>IFERROR(_xlfn.XLOOKUP(Table2[[#This Row],[Opportunity ID]],'Aging Detail'!$H$14:$H$20,'Aging Detail'!$F$14:$F$20),TRUE)</f>
        <v>1</v>
      </c>
    </row>
    <row r="19" spans="1:19" hidden="1">
      <c r="A19" t="s">
        <v>2334</v>
      </c>
      <c r="B19" t="s">
        <v>2332</v>
      </c>
      <c r="C19" t="s">
        <v>1469</v>
      </c>
      <c r="D19" t="s">
        <v>3362</v>
      </c>
      <c r="E19">
        <v>179600</v>
      </c>
      <c r="F19" s="422">
        <v>46203</v>
      </c>
      <c r="G19" s="422">
        <v>45464</v>
      </c>
      <c r="H19" t="s">
        <v>148</v>
      </c>
      <c r="I19" t="s">
        <v>157</v>
      </c>
      <c r="K19" t="s">
        <v>3350</v>
      </c>
      <c r="L19" t="s">
        <v>2333</v>
      </c>
      <c r="M19">
        <v>129600</v>
      </c>
      <c r="N19">
        <v>199</v>
      </c>
      <c r="O19" t="str">
        <f>_xlfn.IFNA(VLOOKUP(Table2[[#This Row],[Lead Source]],'helper tab'!A:B,2,FALSE),"Exclude")</f>
        <v>Alliances</v>
      </c>
      <c r="P19" s="476">
        <f ca="1">TODAY() - Table2[[#This Row],[Created Date]]</f>
        <v>794</v>
      </c>
      <c r="Q19">
        <f>IF(OR(Table2[[#This Row],[Stage]]="Propose",Table2[[#This Row],[Stage]]="Procure"),1,0)</f>
        <v>0</v>
      </c>
      <c r="R19">
        <f>IF(Table2[[#This Row],[Stage]]="Closed Won",1,0)</f>
        <v>0</v>
      </c>
      <c r="S19" t="b">
        <f>IFERROR(_xlfn.XLOOKUP(Table2[[#This Row],[Opportunity ID]],'Aging Detail'!$H$14:$H$20,'Aging Detail'!$F$14:$F$20),TRUE)</f>
        <v>1</v>
      </c>
    </row>
    <row r="20" spans="1:19" hidden="1">
      <c r="A20" t="s">
        <v>1767</v>
      </c>
      <c r="B20" t="s">
        <v>2170</v>
      </c>
      <c r="C20" t="s">
        <v>526</v>
      </c>
      <c r="D20" t="s">
        <v>3361</v>
      </c>
      <c r="E20">
        <v>261228.2</v>
      </c>
      <c r="F20" s="422">
        <v>46265</v>
      </c>
      <c r="G20" s="422">
        <v>45448</v>
      </c>
      <c r="H20" t="s">
        <v>1473</v>
      </c>
      <c r="I20" t="s">
        <v>157</v>
      </c>
      <c r="J20" t="s">
        <v>3373</v>
      </c>
      <c r="K20" t="s">
        <v>3374</v>
      </c>
      <c r="L20" t="s">
        <v>2171</v>
      </c>
      <c r="M20">
        <v>238567.2</v>
      </c>
      <c r="N20">
        <v>143</v>
      </c>
      <c r="O20" t="str">
        <f>_xlfn.IFNA(VLOOKUP(Table2[[#This Row],[Lead Source]],'helper tab'!A:B,2,FALSE),"Exclude")</f>
        <v>Events</v>
      </c>
      <c r="P20" s="476">
        <f ca="1">TODAY() - Table2[[#This Row],[Created Date]]</f>
        <v>810</v>
      </c>
      <c r="Q20">
        <f>IF(OR(Table2[[#This Row],[Stage]]="Propose",Table2[[#This Row],[Stage]]="Procure"),1,0)</f>
        <v>1</v>
      </c>
      <c r="R20">
        <f>IF(Table2[[#This Row],[Stage]]="Closed Won",1,0)</f>
        <v>0</v>
      </c>
      <c r="S20" t="b">
        <f>IFERROR(_xlfn.XLOOKUP(Table2[[#This Row],[Opportunity ID]],'Aging Detail'!$H$14:$H$20,'Aging Detail'!$F$14:$F$20),TRUE)</f>
        <v>1</v>
      </c>
    </row>
    <row r="21" spans="1:19">
      <c r="A21" t="s">
        <v>1767</v>
      </c>
      <c r="B21" t="s">
        <v>1765</v>
      </c>
      <c r="C21" t="s">
        <v>563</v>
      </c>
      <c r="D21" t="s">
        <v>3361</v>
      </c>
      <c r="E21">
        <v>0</v>
      </c>
      <c r="F21" s="422">
        <v>46204</v>
      </c>
      <c r="G21" s="422">
        <v>46185</v>
      </c>
      <c r="H21" t="s">
        <v>1465</v>
      </c>
      <c r="I21" t="s">
        <v>157</v>
      </c>
      <c r="K21" t="s">
        <v>3374</v>
      </c>
      <c r="L21" t="s">
        <v>1766</v>
      </c>
      <c r="M21">
        <v>0</v>
      </c>
      <c r="N21">
        <v>32</v>
      </c>
      <c r="O21" t="str">
        <f>_xlfn.IFNA(VLOOKUP(Table2[[#This Row],[Lead Source]],'helper tab'!A:B,2,FALSE),"Exclude")</f>
        <v>Exclude</v>
      </c>
      <c r="P21" s="476">
        <f ca="1">TODAY() - Table2[[#This Row],[Created Date]]</f>
        <v>73</v>
      </c>
      <c r="Q21">
        <f>IF(OR(Table2[[#This Row],[Stage]]="Propose",Table2[[#This Row],[Stage]]="Procure"),1,0)</f>
        <v>0</v>
      </c>
      <c r="R21">
        <f>IF(Table2[[#This Row],[Stage]]="Closed Won",1,0)</f>
        <v>1</v>
      </c>
      <c r="S21" t="b">
        <f>IFERROR(_xlfn.XLOOKUP(Table2[[#This Row],[Opportunity ID]],'Aging Detail'!$H$14:$H$20,'Aging Detail'!$F$14:$F$20),TRUE)</f>
        <v>1</v>
      </c>
    </row>
    <row r="22" spans="1:19" hidden="1">
      <c r="A22" t="s">
        <v>1767</v>
      </c>
      <c r="B22" t="s">
        <v>2752</v>
      </c>
      <c r="C22" t="s">
        <v>563</v>
      </c>
      <c r="D22" t="s">
        <v>3364</v>
      </c>
      <c r="E22">
        <v>42500</v>
      </c>
      <c r="F22" s="422">
        <v>45909</v>
      </c>
      <c r="G22" s="422">
        <v>45615</v>
      </c>
      <c r="H22" t="s">
        <v>148</v>
      </c>
      <c r="I22" t="s">
        <v>157</v>
      </c>
      <c r="J22" t="s">
        <v>3375</v>
      </c>
      <c r="K22" t="s">
        <v>3374</v>
      </c>
      <c r="L22" t="s">
        <v>2753</v>
      </c>
      <c r="M22">
        <v>42500</v>
      </c>
      <c r="N22">
        <v>328</v>
      </c>
      <c r="O22" t="str">
        <f>_xlfn.IFNA(VLOOKUP(Table2[[#This Row],[Lead Source]],'helper tab'!A:B,2,FALSE),"Exclude")</f>
        <v>Alliances</v>
      </c>
      <c r="P22" s="476">
        <f ca="1">TODAY() - Table2[[#This Row],[Created Date]]</f>
        <v>643</v>
      </c>
      <c r="Q22">
        <f>IF(OR(Table2[[#This Row],[Stage]]="Propose",Table2[[#This Row],[Stage]]="Procure"),1,0)</f>
        <v>0</v>
      </c>
      <c r="R22">
        <f>IF(Table2[[#This Row],[Stage]]="Closed Won",1,0)</f>
        <v>1</v>
      </c>
      <c r="S22" t="b">
        <f>IFERROR(_xlfn.XLOOKUP(Table2[[#This Row],[Opportunity ID]],'Aging Detail'!$H$14:$H$20,'Aging Detail'!$F$14:$F$20),TRUE)</f>
        <v>1</v>
      </c>
    </row>
    <row r="23" spans="1:19">
      <c r="A23" t="s">
        <v>3376</v>
      </c>
      <c r="B23" t="s">
        <v>3377</v>
      </c>
      <c r="C23" t="s">
        <v>338</v>
      </c>
      <c r="D23" t="s">
        <v>3352</v>
      </c>
      <c r="F23" s="422">
        <v>46446</v>
      </c>
      <c r="G23" s="422">
        <v>46225</v>
      </c>
      <c r="H23" t="s">
        <v>148</v>
      </c>
      <c r="I23" t="s">
        <v>157</v>
      </c>
      <c r="K23" t="s">
        <v>3365</v>
      </c>
      <c r="L23" t="s">
        <v>3378</v>
      </c>
      <c r="M23">
        <v>0</v>
      </c>
      <c r="N23">
        <v>12</v>
      </c>
      <c r="O23" t="str">
        <f>_xlfn.IFNA(VLOOKUP(Table2[[#This Row],[Lead Source]],'helper tab'!A:B,2,FALSE),"Exclude")</f>
        <v>Alliances</v>
      </c>
      <c r="P23" s="476">
        <f ca="1">TODAY() - Table2[[#This Row],[Created Date]]</f>
        <v>33</v>
      </c>
      <c r="Q23">
        <f>IF(OR(Table2[[#This Row],[Stage]]="Propose",Table2[[#This Row],[Stage]]="Procure"),1,0)</f>
        <v>0</v>
      </c>
      <c r="R23">
        <f>IF(Table2[[#This Row],[Stage]]="Closed Won",1,0)</f>
        <v>0</v>
      </c>
      <c r="S23" t="b">
        <f>IFERROR(_xlfn.XLOOKUP(Table2[[#This Row],[Opportunity ID]],'Aging Detail'!$H$14:$H$20,'Aging Detail'!$F$14:$F$20),TRUE)</f>
        <v>1</v>
      </c>
    </row>
    <row r="24" spans="1:19" hidden="1">
      <c r="A24" t="s">
        <v>1770</v>
      </c>
      <c r="B24" t="s">
        <v>3190</v>
      </c>
      <c r="C24" t="s">
        <v>462</v>
      </c>
      <c r="D24" t="s">
        <v>3359</v>
      </c>
      <c r="E24">
        <v>596510</v>
      </c>
      <c r="F24" s="422">
        <v>46387</v>
      </c>
      <c r="G24" s="422">
        <v>44874</v>
      </c>
      <c r="H24" t="s">
        <v>1482</v>
      </c>
      <c r="I24" t="s">
        <v>157</v>
      </c>
      <c r="J24" t="s">
        <v>3360</v>
      </c>
      <c r="K24" t="s">
        <v>3379</v>
      </c>
      <c r="L24" t="s">
        <v>82</v>
      </c>
      <c r="M24">
        <v>374010</v>
      </c>
      <c r="N24">
        <v>497</v>
      </c>
      <c r="O24" t="str">
        <f>_xlfn.IFNA(VLOOKUP(Table2[[#This Row],[Lead Source]],'helper tab'!A:B,2,FALSE),"Exclude")</f>
        <v>Digital</v>
      </c>
      <c r="P24" s="476">
        <f ca="1">TODAY() - Table2[[#This Row],[Created Date]]</f>
        <v>1384</v>
      </c>
      <c r="Q24">
        <f>IF(OR(Table2[[#This Row],[Stage]]="Propose",Table2[[#This Row],[Stage]]="Procure"),1,0)</f>
        <v>1</v>
      </c>
      <c r="R24">
        <f>IF(Table2[[#This Row],[Stage]]="Closed Won",1,0)</f>
        <v>0</v>
      </c>
      <c r="S24" t="b">
        <f>IFERROR(_xlfn.XLOOKUP(Table2[[#This Row],[Opportunity ID]],'Aging Detail'!$H$14:$H$20,'Aging Detail'!$F$14:$F$20),TRUE)</f>
        <v>0</v>
      </c>
    </row>
    <row r="25" spans="1:19">
      <c r="A25" t="s">
        <v>1770</v>
      </c>
      <c r="B25" t="s">
        <v>137</v>
      </c>
      <c r="C25" t="s">
        <v>563</v>
      </c>
      <c r="D25" t="s">
        <v>3362</v>
      </c>
      <c r="E25">
        <v>60000</v>
      </c>
      <c r="F25" s="422">
        <v>46203</v>
      </c>
      <c r="G25" s="422">
        <v>46105</v>
      </c>
      <c r="H25" t="s">
        <v>1482</v>
      </c>
      <c r="I25" t="s">
        <v>157</v>
      </c>
      <c r="K25" t="s">
        <v>3379</v>
      </c>
      <c r="L25" t="s">
        <v>1769</v>
      </c>
      <c r="M25">
        <v>60000</v>
      </c>
      <c r="N25">
        <v>33</v>
      </c>
      <c r="O25" t="str">
        <f>_xlfn.IFNA(VLOOKUP(Table2[[#This Row],[Lead Source]],'helper tab'!A:B,2,FALSE),"Exclude")</f>
        <v>Digital</v>
      </c>
      <c r="P25" s="476">
        <f ca="1">TODAY() - Table2[[#This Row],[Created Date]]</f>
        <v>153</v>
      </c>
      <c r="Q25">
        <f>IF(OR(Table2[[#This Row],[Stage]]="Propose",Table2[[#This Row],[Stage]]="Procure"),1,0)</f>
        <v>0</v>
      </c>
      <c r="R25">
        <f>IF(Table2[[#This Row],[Stage]]="Closed Won",1,0)</f>
        <v>1</v>
      </c>
      <c r="S25" t="b">
        <f>IFERROR(_xlfn.XLOOKUP(Table2[[#This Row],[Opportunity ID]],'Aging Detail'!$H$14:$H$20,'Aging Detail'!$F$14:$F$20),TRUE)</f>
        <v>1</v>
      </c>
    </row>
    <row r="26" spans="1:19" hidden="1">
      <c r="A26" t="s">
        <v>2588</v>
      </c>
      <c r="B26" t="s">
        <v>2586</v>
      </c>
      <c r="C26" t="s">
        <v>1469</v>
      </c>
      <c r="D26" t="s">
        <v>3380</v>
      </c>
      <c r="E26">
        <v>538000</v>
      </c>
      <c r="F26" s="422">
        <v>46112</v>
      </c>
      <c r="G26" s="422">
        <v>45373</v>
      </c>
      <c r="H26" t="s">
        <v>1473</v>
      </c>
      <c r="I26" t="s">
        <v>157</v>
      </c>
      <c r="K26" t="s">
        <v>3379</v>
      </c>
      <c r="L26" t="s">
        <v>2587</v>
      </c>
      <c r="M26">
        <v>198000</v>
      </c>
      <c r="N26">
        <v>285</v>
      </c>
      <c r="O26" t="str">
        <f>_xlfn.IFNA(VLOOKUP(Table2[[#This Row],[Lead Source]],'helper tab'!A:B,2,FALSE),"Exclude")</f>
        <v>Events</v>
      </c>
      <c r="P26" s="476">
        <f ca="1">TODAY() - Table2[[#This Row],[Created Date]]</f>
        <v>885</v>
      </c>
      <c r="Q26">
        <f>IF(OR(Table2[[#This Row],[Stage]]="Propose",Table2[[#This Row],[Stage]]="Procure"),1,0)</f>
        <v>0</v>
      </c>
      <c r="R26">
        <f>IF(Table2[[#This Row],[Stage]]="Closed Won",1,0)</f>
        <v>0</v>
      </c>
      <c r="S26" t="b">
        <f>IFERROR(_xlfn.XLOOKUP(Table2[[#This Row],[Opportunity ID]],'Aging Detail'!$H$14:$H$20,'Aging Detail'!$F$14:$F$20),TRUE)</f>
        <v>1</v>
      </c>
    </row>
    <row r="27" spans="1:19" hidden="1">
      <c r="A27" t="s">
        <v>3381</v>
      </c>
      <c r="B27" t="s">
        <v>3382</v>
      </c>
      <c r="C27" t="s">
        <v>563</v>
      </c>
      <c r="D27" t="s">
        <v>3368</v>
      </c>
      <c r="E27">
        <v>1820372.75</v>
      </c>
      <c r="F27" s="422">
        <v>45649</v>
      </c>
      <c r="G27" s="422">
        <v>45007</v>
      </c>
      <c r="H27" t="s">
        <v>148</v>
      </c>
      <c r="I27" t="s">
        <v>157</v>
      </c>
      <c r="K27" t="s">
        <v>3379</v>
      </c>
      <c r="L27" t="s">
        <v>3383</v>
      </c>
      <c r="M27">
        <v>586561.55000000005</v>
      </c>
      <c r="N27">
        <v>588</v>
      </c>
      <c r="O27" t="str">
        <f>_xlfn.IFNA(VLOOKUP(Table2[[#This Row],[Lead Source]],'helper tab'!A:B,2,FALSE),"Exclude")</f>
        <v>Alliances</v>
      </c>
      <c r="P27" s="476">
        <f ca="1">TODAY() - Table2[[#This Row],[Created Date]]</f>
        <v>1251</v>
      </c>
      <c r="Q27">
        <f>IF(OR(Table2[[#This Row],[Stage]]="Propose",Table2[[#This Row],[Stage]]="Procure"),1,0)</f>
        <v>0</v>
      </c>
      <c r="R27">
        <f>IF(Table2[[#This Row],[Stage]]="Closed Won",1,0)</f>
        <v>1</v>
      </c>
      <c r="S27" t="b">
        <f>IFERROR(_xlfn.XLOOKUP(Table2[[#This Row],[Opportunity ID]],'Aging Detail'!$H$14:$H$20,'Aging Detail'!$F$14:$F$20),TRUE)</f>
        <v>1</v>
      </c>
    </row>
    <row r="28" spans="1:19">
      <c r="A28" t="s">
        <v>647</v>
      </c>
      <c r="B28" t="s">
        <v>3384</v>
      </c>
      <c r="C28" t="s">
        <v>338</v>
      </c>
      <c r="D28" t="s">
        <v>3385</v>
      </c>
      <c r="E28">
        <v>228950</v>
      </c>
      <c r="F28" s="422">
        <v>46614</v>
      </c>
      <c r="G28" s="422">
        <v>46059</v>
      </c>
      <c r="H28" t="s">
        <v>148</v>
      </c>
      <c r="I28" t="s">
        <v>157</v>
      </c>
      <c r="K28" t="s">
        <v>3386</v>
      </c>
      <c r="L28" t="s">
        <v>3387</v>
      </c>
      <c r="M28">
        <v>188950</v>
      </c>
      <c r="N28">
        <v>178</v>
      </c>
      <c r="O28" t="str">
        <f>_xlfn.IFNA(VLOOKUP(Table2[[#This Row],[Lead Source]],'helper tab'!A:B,2,FALSE),"Exclude")</f>
        <v>Alliances</v>
      </c>
      <c r="P28" s="476">
        <f ca="1">TODAY() - Table2[[#This Row],[Created Date]]</f>
        <v>199</v>
      </c>
      <c r="Q28">
        <f>IF(OR(Table2[[#This Row],[Stage]]="Propose",Table2[[#This Row],[Stage]]="Procure"),1,0)</f>
        <v>0</v>
      </c>
      <c r="R28">
        <f>IF(Table2[[#This Row],[Stage]]="Closed Won",1,0)</f>
        <v>0</v>
      </c>
      <c r="S28" t="b">
        <f>IFERROR(_xlfn.XLOOKUP(Table2[[#This Row],[Opportunity ID]],'Aging Detail'!$H$14:$H$20,'Aging Detail'!$F$14:$F$20),TRUE)</f>
        <v>1</v>
      </c>
    </row>
    <row r="29" spans="1:19">
      <c r="A29" t="s">
        <v>3388</v>
      </c>
      <c r="B29" t="s">
        <v>3389</v>
      </c>
      <c r="C29" t="s">
        <v>408</v>
      </c>
      <c r="D29" t="s">
        <v>3359</v>
      </c>
      <c r="E29">
        <v>656600</v>
      </c>
      <c r="F29" s="422">
        <v>46353</v>
      </c>
      <c r="G29" s="422">
        <v>46162</v>
      </c>
      <c r="H29" t="s">
        <v>148</v>
      </c>
      <c r="I29" t="s">
        <v>157</v>
      </c>
      <c r="K29" t="s">
        <v>3390</v>
      </c>
      <c r="L29" t="s">
        <v>3391</v>
      </c>
      <c r="M29">
        <v>441600</v>
      </c>
      <c r="N29">
        <v>75</v>
      </c>
      <c r="O29" t="str">
        <f>_xlfn.IFNA(VLOOKUP(Table2[[#This Row],[Lead Source]],'helper tab'!A:B,2,FALSE),"Exclude")</f>
        <v>Alliances</v>
      </c>
      <c r="P29" s="476">
        <f ca="1">TODAY() - Table2[[#This Row],[Created Date]]</f>
        <v>96</v>
      </c>
      <c r="Q29">
        <f>IF(OR(Table2[[#This Row],[Stage]]="Propose",Table2[[#This Row],[Stage]]="Procure"),1,0)</f>
        <v>0</v>
      </c>
      <c r="R29">
        <f>IF(Table2[[#This Row],[Stage]]="Closed Won",1,0)</f>
        <v>0</v>
      </c>
      <c r="S29" t="b">
        <f>IFERROR(_xlfn.XLOOKUP(Table2[[#This Row],[Opportunity ID]],'Aging Detail'!$H$14:$H$20,'Aging Detail'!$F$14:$F$20),TRUE)</f>
        <v>1</v>
      </c>
    </row>
    <row r="30" spans="1:19" hidden="1">
      <c r="A30" t="s">
        <v>2906</v>
      </c>
      <c r="B30" t="s">
        <v>3392</v>
      </c>
      <c r="C30" t="s">
        <v>338</v>
      </c>
      <c r="D30" t="s">
        <v>3385</v>
      </c>
      <c r="E30">
        <v>2184000</v>
      </c>
      <c r="F30" s="422">
        <v>46660</v>
      </c>
      <c r="G30" s="422">
        <v>45579</v>
      </c>
      <c r="H30" t="s">
        <v>148</v>
      </c>
      <c r="I30" t="s">
        <v>2174</v>
      </c>
      <c r="K30" t="s">
        <v>3350</v>
      </c>
      <c r="L30" t="s">
        <v>3393</v>
      </c>
      <c r="M30">
        <v>2184000</v>
      </c>
      <c r="N30">
        <v>658</v>
      </c>
      <c r="O30" t="str">
        <f>_xlfn.IFNA(VLOOKUP(Table2[[#This Row],[Lead Source]],'helper tab'!A:B,2,FALSE),"Exclude")</f>
        <v>Alliances</v>
      </c>
      <c r="P30" s="476">
        <f ca="1">TODAY() - Table2[[#This Row],[Created Date]]</f>
        <v>679</v>
      </c>
      <c r="Q30">
        <f>IF(OR(Table2[[#This Row],[Stage]]="Propose",Table2[[#This Row],[Stage]]="Procure"),1,0)</f>
        <v>0</v>
      </c>
      <c r="R30">
        <f>IF(Table2[[#This Row],[Stage]]="Closed Won",1,0)</f>
        <v>0</v>
      </c>
      <c r="S30" t="b">
        <f>IFERROR(_xlfn.XLOOKUP(Table2[[#This Row],[Opportunity ID]],'Aging Detail'!$H$14:$H$20,'Aging Detail'!$F$14:$F$20),TRUE)</f>
        <v>1</v>
      </c>
    </row>
    <row r="31" spans="1:19" hidden="1">
      <c r="A31" t="s">
        <v>2906</v>
      </c>
      <c r="B31" t="s">
        <v>2904</v>
      </c>
      <c r="C31" t="s">
        <v>1462</v>
      </c>
      <c r="D31" t="s">
        <v>3349</v>
      </c>
      <c r="E31">
        <v>845200</v>
      </c>
      <c r="F31" s="422">
        <v>46568</v>
      </c>
      <c r="G31" s="422">
        <v>44911</v>
      </c>
      <c r="H31" t="s">
        <v>148</v>
      </c>
      <c r="I31" t="s">
        <v>2174</v>
      </c>
      <c r="K31" t="s">
        <v>3350</v>
      </c>
      <c r="L31" t="s">
        <v>2905</v>
      </c>
      <c r="M31">
        <v>691200</v>
      </c>
      <c r="N31">
        <v>384</v>
      </c>
      <c r="O31" t="str">
        <f>_xlfn.IFNA(VLOOKUP(Table2[[#This Row],[Lead Source]],'helper tab'!A:B,2,FALSE),"Exclude")</f>
        <v>Alliances</v>
      </c>
      <c r="P31" s="476">
        <f ca="1">TODAY() - Table2[[#This Row],[Created Date]]</f>
        <v>1347</v>
      </c>
      <c r="Q31">
        <f>IF(OR(Table2[[#This Row],[Stage]]="Propose",Table2[[#This Row],[Stage]]="Procure"),1,0)</f>
        <v>0</v>
      </c>
      <c r="R31">
        <f>IF(Table2[[#This Row],[Stage]]="Closed Won",1,0)</f>
        <v>0</v>
      </c>
      <c r="S31" t="b">
        <f>IFERROR(_xlfn.XLOOKUP(Table2[[#This Row],[Opportunity ID]],'Aging Detail'!$H$14:$H$20,'Aging Detail'!$F$14:$F$20),TRUE)</f>
        <v>1</v>
      </c>
    </row>
    <row r="32" spans="1:19" hidden="1">
      <c r="A32" t="s">
        <v>2906</v>
      </c>
      <c r="B32" t="s">
        <v>3394</v>
      </c>
      <c r="C32" t="s">
        <v>1462</v>
      </c>
      <c r="D32" t="s">
        <v>3349</v>
      </c>
      <c r="E32">
        <v>40000</v>
      </c>
      <c r="F32" s="422">
        <v>46506</v>
      </c>
      <c r="G32" s="422">
        <v>45035</v>
      </c>
      <c r="H32" t="s">
        <v>148</v>
      </c>
      <c r="I32" t="s">
        <v>2174</v>
      </c>
      <c r="K32" t="s">
        <v>3350</v>
      </c>
      <c r="L32" t="s">
        <v>3395</v>
      </c>
      <c r="M32">
        <v>40000</v>
      </c>
      <c r="N32">
        <v>658</v>
      </c>
      <c r="O32" t="str">
        <f>_xlfn.IFNA(VLOOKUP(Table2[[#This Row],[Lead Source]],'helper tab'!A:B,2,FALSE),"Exclude")</f>
        <v>Alliances</v>
      </c>
      <c r="P32" s="476">
        <f ca="1">TODAY() - Table2[[#This Row],[Created Date]]</f>
        <v>1223</v>
      </c>
      <c r="Q32">
        <f>IF(OR(Table2[[#This Row],[Stage]]="Propose",Table2[[#This Row],[Stage]]="Procure"),1,0)</f>
        <v>0</v>
      </c>
      <c r="R32">
        <f>IF(Table2[[#This Row],[Stage]]="Closed Won",1,0)</f>
        <v>0</v>
      </c>
      <c r="S32" t="b">
        <f>IFERROR(_xlfn.XLOOKUP(Table2[[#This Row],[Opportunity ID]],'Aging Detail'!$H$14:$H$20,'Aging Detail'!$F$14:$F$20),TRUE)</f>
        <v>1</v>
      </c>
    </row>
    <row r="33" spans="1:19" hidden="1">
      <c r="A33" t="s">
        <v>2194</v>
      </c>
      <c r="B33" t="s">
        <v>2192</v>
      </c>
      <c r="C33" t="s">
        <v>1469</v>
      </c>
      <c r="D33" t="s">
        <v>3380</v>
      </c>
      <c r="E33">
        <v>233600</v>
      </c>
      <c r="F33" s="422">
        <v>46091</v>
      </c>
      <c r="G33" s="422">
        <v>45048</v>
      </c>
      <c r="H33" t="s">
        <v>1486</v>
      </c>
      <c r="I33" t="s">
        <v>2174</v>
      </c>
      <c r="K33" t="s">
        <v>3350</v>
      </c>
      <c r="L33" t="s">
        <v>2193</v>
      </c>
      <c r="M33">
        <v>93600</v>
      </c>
      <c r="N33">
        <v>146</v>
      </c>
      <c r="O33" t="str">
        <f>_xlfn.IFNA(VLOOKUP(Table2[[#This Row],[Lead Source]],'helper tab'!A:B,2,FALSE),"Exclude")</f>
        <v>Exclude</v>
      </c>
      <c r="P33" s="476">
        <f ca="1">TODAY() - Table2[[#This Row],[Created Date]]</f>
        <v>1210</v>
      </c>
      <c r="Q33">
        <f>IF(OR(Table2[[#This Row],[Stage]]="Propose",Table2[[#This Row],[Stage]]="Procure"),1,0)</f>
        <v>0</v>
      </c>
      <c r="R33">
        <f>IF(Table2[[#This Row],[Stage]]="Closed Won",1,0)</f>
        <v>0</v>
      </c>
      <c r="S33" t="b">
        <f>IFERROR(_xlfn.XLOOKUP(Table2[[#This Row],[Opportunity ID]],'Aging Detail'!$H$14:$H$20,'Aging Detail'!$F$14:$F$20),TRUE)</f>
        <v>1</v>
      </c>
    </row>
    <row r="34" spans="1:19" hidden="1">
      <c r="A34" t="s">
        <v>2194</v>
      </c>
      <c r="B34" t="s">
        <v>3396</v>
      </c>
      <c r="C34" t="s">
        <v>1469</v>
      </c>
      <c r="D34" t="s">
        <v>3363</v>
      </c>
      <c r="E34">
        <v>0</v>
      </c>
      <c r="F34" s="422">
        <v>46022</v>
      </c>
      <c r="G34" s="422">
        <v>44021</v>
      </c>
      <c r="H34" t="s">
        <v>1486</v>
      </c>
      <c r="I34" t="s">
        <v>2174</v>
      </c>
      <c r="K34" t="s">
        <v>3350</v>
      </c>
      <c r="L34" t="s">
        <v>3397</v>
      </c>
      <c r="M34">
        <v>0</v>
      </c>
      <c r="N34">
        <v>634</v>
      </c>
      <c r="O34" t="str">
        <f>_xlfn.IFNA(VLOOKUP(Table2[[#This Row],[Lead Source]],'helper tab'!A:B,2,FALSE),"Exclude")</f>
        <v>Exclude</v>
      </c>
      <c r="P34" s="476">
        <f ca="1">TODAY() - Table2[[#This Row],[Created Date]]</f>
        <v>2237</v>
      </c>
      <c r="Q34">
        <f>IF(OR(Table2[[#This Row],[Stage]]="Propose",Table2[[#This Row],[Stage]]="Procure"),1,0)</f>
        <v>0</v>
      </c>
      <c r="R34">
        <f>IF(Table2[[#This Row],[Stage]]="Closed Won",1,0)</f>
        <v>0</v>
      </c>
      <c r="S34" t="b">
        <f>IFERROR(_xlfn.XLOOKUP(Table2[[#This Row],[Opportunity ID]],'Aging Detail'!$H$14:$H$20,'Aging Detail'!$F$14:$F$20),TRUE)</f>
        <v>1</v>
      </c>
    </row>
    <row r="35" spans="1:19" hidden="1">
      <c r="A35" t="s">
        <v>2176</v>
      </c>
      <c r="B35" t="s">
        <v>2173</v>
      </c>
      <c r="C35" t="s">
        <v>1469</v>
      </c>
      <c r="D35" t="s">
        <v>3362</v>
      </c>
      <c r="E35">
        <v>273000</v>
      </c>
      <c r="F35" s="422">
        <v>46199</v>
      </c>
      <c r="G35" s="422">
        <v>45110</v>
      </c>
      <c r="H35" t="s">
        <v>148</v>
      </c>
      <c r="I35" t="s">
        <v>2174</v>
      </c>
      <c r="K35" t="s">
        <v>3365</v>
      </c>
      <c r="L35" t="s">
        <v>2175</v>
      </c>
      <c r="M35">
        <v>228000</v>
      </c>
      <c r="N35">
        <v>143</v>
      </c>
      <c r="O35" t="str">
        <f>_xlfn.IFNA(VLOOKUP(Table2[[#This Row],[Lead Source]],'helper tab'!A:B,2,FALSE),"Exclude")</f>
        <v>Alliances</v>
      </c>
      <c r="P35" s="476">
        <f ca="1">TODAY() - Table2[[#This Row],[Created Date]]</f>
        <v>1148</v>
      </c>
      <c r="Q35">
        <f>IF(OR(Table2[[#This Row],[Stage]]="Propose",Table2[[#This Row],[Stage]]="Procure"),1,0)</f>
        <v>0</v>
      </c>
      <c r="R35">
        <f>IF(Table2[[#This Row],[Stage]]="Closed Won",1,0)</f>
        <v>0</v>
      </c>
      <c r="S35" t="b">
        <f>IFERROR(_xlfn.XLOOKUP(Table2[[#This Row],[Opportunity ID]],'Aging Detail'!$H$14:$H$20,'Aging Detail'!$F$14:$F$20),TRUE)</f>
        <v>1</v>
      </c>
    </row>
    <row r="36" spans="1:19" hidden="1">
      <c r="A36" t="s">
        <v>2305</v>
      </c>
      <c r="B36" t="s">
        <v>2712</v>
      </c>
      <c r="C36" t="s">
        <v>1469</v>
      </c>
      <c r="D36" t="s">
        <v>3362</v>
      </c>
      <c r="E36">
        <v>187850</v>
      </c>
      <c r="F36" s="422">
        <v>46164</v>
      </c>
      <c r="G36" s="422">
        <v>45434</v>
      </c>
      <c r="H36" t="s">
        <v>148</v>
      </c>
      <c r="I36" t="s">
        <v>2174</v>
      </c>
      <c r="K36" t="s">
        <v>3365</v>
      </c>
      <c r="L36" t="s">
        <v>2713</v>
      </c>
      <c r="M36">
        <v>187850</v>
      </c>
      <c r="N36">
        <v>307</v>
      </c>
      <c r="O36" t="str">
        <f>_xlfn.IFNA(VLOOKUP(Table2[[#This Row],[Lead Source]],'helper tab'!A:B,2,FALSE),"Exclude")</f>
        <v>Alliances</v>
      </c>
      <c r="P36" s="476">
        <f ca="1">TODAY() - Table2[[#This Row],[Created Date]]</f>
        <v>824</v>
      </c>
      <c r="Q36">
        <f>IF(OR(Table2[[#This Row],[Stage]]="Propose",Table2[[#This Row],[Stage]]="Procure"),1,0)</f>
        <v>0</v>
      </c>
      <c r="R36">
        <f>IF(Table2[[#This Row],[Stage]]="Closed Won",1,0)</f>
        <v>0</v>
      </c>
      <c r="S36" t="b">
        <f>IFERROR(_xlfn.XLOOKUP(Table2[[#This Row],[Opportunity ID]],'Aging Detail'!$H$14:$H$20,'Aging Detail'!$F$14:$F$20),TRUE)</f>
        <v>1</v>
      </c>
    </row>
    <row r="37" spans="1:19" hidden="1">
      <c r="A37" t="s">
        <v>2789</v>
      </c>
      <c r="B37" t="s">
        <v>2787</v>
      </c>
      <c r="C37" t="s">
        <v>1469</v>
      </c>
      <c r="D37" t="s">
        <v>3363</v>
      </c>
      <c r="E37">
        <v>302000</v>
      </c>
      <c r="F37" s="422">
        <v>46022</v>
      </c>
      <c r="G37" s="422">
        <v>45400</v>
      </c>
      <c r="H37" t="s">
        <v>148</v>
      </c>
      <c r="I37" t="s">
        <v>2174</v>
      </c>
      <c r="K37" t="s">
        <v>3365</v>
      </c>
      <c r="L37" t="s">
        <v>2788</v>
      </c>
      <c r="M37">
        <v>162000</v>
      </c>
      <c r="N37">
        <v>336</v>
      </c>
      <c r="O37" t="str">
        <f>_xlfn.IFNA(VLOOKUP(Table2[[#This Row],[Lead Source]],'helper tab'!A:B,2,FALSE),"Exclude")</f>
        <v>Alliances</v>
      </c>
      <c r="P37" s="476">
        <f ca="1">TODAY() - Table2[[#This Row],[Created Date]]</f>
        <v>858</v>
      </c>
      <c r="Q37">
        <f>IF(OR(Table2[[#This Row],[Stage]]="Propose",Table2[[#This Row],[Stage]]="Procure"),1,0)</f>
        <v>0</v>
      </c>
      <c r="R37">
        <f>IF(Table2[[#This Row],[Stage]]="Closed Won",1,0)</f>
        <v>0</v>
      </c>
      <c r="S37" t="b">
        <f>IFERROR(_xlfn.XLOOKUP(Table2[[#This Row],[Opportunity ID]],'Aging Detail'!$H$14:$H$20,'Aging Detail'!$F$14:$F$20),TRUE)</f>
        <v>1</v>
      </c>
    </row>
    <row r="38" spans="1:19" hidden="1">
      <c r="A38" t="s">
        <v>2789</v>
      </c>
      <c r="B38" t="s">
        <v>2791</v>
      </c>
      <c r="C38" t="s">
        <v>1469</v>
      </c>
      <c r="D38" t="s">
        <v>3363</v>
      </c>
      <c r="E38">
        <v>172400</v>
      </c>
      <c r="F38" s="422">
        <v>46010</v>
      </c>
      <c r="G38" s="422">
        <v>45400</v>
      </c>
      <c r="H38" t="s">
        <v>148</v>
      </c>
      <c r="I38" t="s">
        <v>2174</v>
      </c>
      <c r="K38" t="s">
        <v>3365</v>
      </c>
      <c r="L38" t="s">
        <v>2792</v>
      </c>
      <c r="M38">
        <v>32400</v>
      </c>
      <c r="N38">
        <v>336</v>
      </c>
      <c r="O38" t="str">
        <f>_xlfn.IFNA(VLOOKUP(Table2[[#This Row],[Lead Source]],'helper tab'!A:B,2,FALSE),"Exclude")</f>
        <v>Alliances</v>
      </c>
      <c r="P38" s="476">
        <f ca="1">TODAY() - Table2[[#This Row],[Created Date]]</f>
        <v>858</v>
      </c>
      <c r="Q38">
        <f>IF(OR(Table2[[#This Row],[Stage]]="Propose",Table2[[#This Row],[Stage]]="Procure"),1,0)</f>
        <v>0</v>
      </c>
      <c r="R38">
        <f>IF(Table2[[#This Row],[Stage]]="Closed Won",1,0)</f>
        <v>0</v>
      </c>
      <c r="S38" t="b">
        <f>IFERROR(_xlfn.XLOOKUP(Table2[[#This Row],[Opportunity ID]],'Aging Detail'!$H$14:$H$20,'Aging Detail'!$F$14:$F$20),TRUE)</f>
        <v>1</v>
      </c>
    </row>
    <row r="39" spans="1:19" hidden="1">
      <c r="A39" t="s">
        <v>2305</v>
      </c>
      <c r="B39" t="s">
        <v>2794</v>
      </c>
      <c r="C39" t="s">
        <v>1469</v>
      </c>
      <c r="D39" t="s">
        <v>3363</v>
      </c>
      <c r="E39">
        <v>132600</v>
      </c>
      <c r="F39" s="422">
        <v>45931</v>
      </c>
      <c r="G39" s="422">
        <v>45265</v>
      </c>
      <c r="H39" t="s">
        <v>148</v>
      </c>
      <c r="I39" t="s">
        <v>2174</v>
      </c>
      <c r="K39" t="s">
        <v>3365</v>
      </c>
      <c r="L39" t="s">
        <v>2795</v>
      </c>
      <c r="M39">
        <v>132600</v>
      </c>
      <c r="N39">
        <v>336</v>
      </c>
      <c r="O39" t="str">
        <f>_xlfn.IFNA(VLOOKUP(Table2[[#This Row],[Lead Source]],'helper tab'!A:B,2,FALSE),"Exclude")</f>
        <v>Alliances</v>
      </c>
      <c r="P39" s="476">
        <f ca="1">TODAY() - Table2[[#This Row],[Created Date]]</f>
        <v>993</v>
      </c>
      <c r="Q39">
        <f>IF(OR(Table2[[#This Row],[Stage]]="Propose",Table2[[#This Row],[Stage]]="Procure"),1,0)</f>
        <v>0</v>
      </c>
      <c r="R39">
        <f>IF(Table2[[#This Row],[Stage]]="Closed Won",1,0)</f>
        <v>0</v>
      </c>
      <c r="S39" t="b">
        <f>IFERROR(_xlfn.XLOOKUP(Table2[[#This Row],[Opportunity ID]],'Aging Detail'!$H$14:$H$20,'Aging Detail'!$F$14:$F$20),TRUE)</f>
        <v>1</v>
      </c>
    </row>
    <row r="40" spans="1:19" hidden="1">
      <c r="A40" t="s">
        <v>2355</v>
      </c>
      <c r="B40" t="s">
        <v>2353</v>
      </c>
      <c r="C40" t="s">
        <v>1469</v>
      </c>
      <c r="D40" t="s">
        <v>3361</v>
      </c>
      <c r="E40">
        <v>1120500</v>
      </c>
      <c r="F40" s="422">
        <v>46286</v>
      </c>
      <c r="G40" s="422">
        <v>45705</v>
      </c>
      <c r="H40" t="s">
        <v>148</v>
      </c>
      <c r="I40" t="s">
        <v>154</v>
      </c>
      <c r="K40" t="s">
        <v>3398</v>
      </c>
      <c r="L40" t="s">
        <v>2354</v>
      </c>
      <c r="M40">
        <v>1008000</v>
      </c>
      <c r="N40">
        <v>207</v>
      </c>
      <c r="O40" t="str">
        <f>_xlfn.IFNA(VLOOKUP(Table2[[#This Row],[Lead Source]],'helper tab'!A:B,2,FALSE),"Exclude")</f>
        <v>Alliances</v>
      </c>
      <c r="P40" s="476">
        <f ca="1">TODAY() - Table2[[#This Row],[Created Date]]</f>
        <v>553</v>
      </c>
      <c r="Q40">
        <f>IF(OR(Table2[[#This Row],[Stage]]="Propose",Table2[[#This Row],[Stage]]="Procure"),1,0)</f>
        <v>0</v>
      </c>
      <c r="R40">
        <f>IF(Table2[[#This Row],[Stage]]="Closed Won",1,0)</f>
        <v>0</v>
      </c>
      <c r="S40" t="b">
        <f>IFERROR(_xlfn.XLOOKUP(Table2[[#This Row],[Opportunity ID]],'Aging Detail'!$H$14:$H$20,'Aging Detail'!$F$14:$F$20),TRUE)</f>
        <v>1</v>
      </c>
    </row>
    <row r="41" spans="1:19" hidden="1">
      <c r="A41" t="s">
        <v>2562</v>
      </c>
      <c r="B41" t="s">
        <v>2562</v>
      </c>
      <c r="C41" t="s">
        <v>563</v>
      </c>
      <c r="D41" t="s">
        <v>3399</v>
      </c>
      <c r="F41" s="422">
        <v>44924</v>
      </c>
      <c r="G41" s="422">
        <v>44411</v>
      </c>
      <c r="H41" t="s">
        <v>1487</v>
      </c>
      <c r="I41" t="s">
        <v>154</v>
      </c>
      <c r="K41" t="s">
        <v>3398</v>
      </c>
      <c r="L41" t="s">
        <v>3400</v>
      </c>
      <c r="M41">
        <v>0</v>
      </c>
      <c r="N41">
        <v>1826</v>
      </c>
      <c r="O41" t="str">
        <f>_xlfn.IFNA(VLOOKUP(Table2[[#This Row],[Lead Source]],'helper tab'!A:B,2,FALSE),"Exclude")</f>
        <v>Alliances</v>
      </c>
      <c r="P41" s="476">
        <f ca="1">TODAY() - Table2[[#This Row],[Created Date]]</f>
        <v>1847</v>
      </c>
      <c r="Q41">
        <f>IF(OR(Table2[[#This Row],[Stage]]="Propose",Table2[[#This Row],[Stage]]="Procure"),1,0)</f>
        <v>0</v>
      </c>
      <c r="R41">
        <f>IF(Table2[[#This Row],[Stage]]="Closed Won",1,0)</f>
        <v>1</v>
      </c>
      <c r="S41" t="b">
        <f>IFERROR(_xlfn.XLOOKUP(Table2[[#This Row],[Opportunity ID]],'Aging Detail'!$H$14:$H$20,'Aging Detail'!$F$14:$F$20),TRUE)</f>
        <v>1</v>
      </c>
    </row>
    <row r="42" spans="1:19" hidden="1">
      <c r="A42" t="s">
        <v>3293</v>
      </c>
      <c r="B42" t="s">
        <v>3401</v>
      </c>
      <c r="C42" t="s">
        <v>338</v>
      </c>
      <c r="D42" t="s">
        <v>3349</v>
      </c>
      <c r="E42">
        <v>2625000</v>
      </c>
      <c r="F42" s="422">
        <v>46568</v>
      </c>
      <c r="G42" s="422">
        <v>45579</v>
      </c>
      <c r="H42" t="s">
        <v>202</v>
      </c>
      <c r="I42" t="s">
        <v>154</v>
      </c>
      <c r="K42" t="s">
        <v>3350</v>
      </c>
      <c r="L42" t="s">
        <v>3402</v>
      </c>
      <c r="M42">
        <v>2400000</v>
      </c>
      <c r="N42">
        <v>658</v>
      </c>
      <c r="O42" t="str">
        <f>_xlfn.IFNA(VLOOKUP(Table2[[#This Row],[Lead Source]],'helper tab'!A:B,2,FALSE),"Exclude")</f>
        <v>Digital</v>
      </c>
      <c r="P42" s="476">
        <f ca="1">TODAY() - Table2[[#This Row],[Created Date]]</f>
        <v>679</v>
      </c>
      <c r="Q42">
        <f>IF(OR(Table2[[#This Row],[Stage]]="Propose",Table2[[#This Row],[Stage]]="Procure"),1,0)</f>
        <v>0</v>
      </c>
      <c r="R42">
        <f>IF(Table2[[#This Row],[Stage]]="Closed Won",1,0)</f>
        <v>0</v>
      </c>
      <c r="S42" t="b">
        <f>IFERROR(_xlfn.XLOOKUP(Table2[[#This Row],[Opportunity ID]],'Aging Detail'!$H$14:$H$20,'Aging Detail'!$F$14:$F$20),TRUE)</f>
        <v>1</v>
      </c>
    </row>
    <row r="43" spans="1:19" hidden="1">
      <c r="A43" t="s">
        <v>1667</v>
      </c>
      <c r="B43" t="s">
        <v>3403</v>
      </c>
      <c r="C43" t="s">
        <v>563</v>
      </c>
      <c r="D43" t="s">
        <v>3404</v>
      </c>
      <c r="F43" s="422">
        <v>44722</v>
      </c>
      <c r="G43" s="422">
        <v>44740</v>
      </c>
      <c r="I43" t="s">
        <v>154</v>
      </c>
      <c r="K43" t="s">
        <v>3405</v>
      </c>
      <c r="L43" t="s">
        <v>3406</v>
      </c>
      <c r="M43">
        <v>0</v>
      </c>
      <c r="N43">
        <v>1497</v>
      </c>
      <c r="O43" t="str">
        <f>_xlfn.IFNA(VLOOKUP(Table2[[#This Row],[Lead Source]],'helper tab'!A:B,2,FALSE),"Exclude")</f>
        <v>Exclude</v>
      </c>
      <c r="P43" s="476">
        <f ca="1">TODAY() - Table2[[#This Row],[Created Date]]</f>
        <v>1518</v>
      </c>
      <c r="Q43">
        <f>IF(OR(Table2[[#This Row],[Stage]]="Propose",Table2[[#This Row],[Stage]]="Procure"),1,0)</f>
        <v>0</v>
      </c>
      <c r="R43">
        <f>IF(Table2[[#This Row],[Stage]]="Closed Won",1,0)</f>
        <v>1</v>
      </c>
      <c r="S43" t="b">
        <f>IFERROR(_xlfn.XLOOKUP(Table2[[#This Row],[Opportunity ID]],'Aging Detail'!$H$14:$H$20,'Aging Detail'!$F$14:$F$20),TRUE)</f>
        <v>1</v>
      </c>
    </row>
    <row r="44" spans="1:19" hidden="1">
      <c r="A44" t="s">
        <v>1604</v>
      </c>
      <c r="B44" t="s">
        <v>3407</v>
      </c>
      <c r="C44" t="s">
        <v>3408</v>
      </c>
      <c r="D44" t="s">
        <v>3409</v>
      </c>
      <c r="F44" s="422">
        <v>44469</v>
      </c>
      <c r="G44" s="422">
        <v>43561</v>
      </c>
      <c r="H44" t="s">
        <v>1486</v>
      </c>
      <c r="I44" t="s">
        <v>154</v>
      </c>
      <c r="K44" t="s">
        <v>3405</v>
      </c>
      <c r="L44" t="s">
        <v>3410</v>
      </c>
      <c r="M44">
        <v>0</v>
      </c>
      <c r="N44">
        <v>767</v>
      </c>
      <c r="O44" t="str">
        <f>_xlfn.IFNA(VLOOKUP(Table2[[#This Row],[Lead Source]],'helper tab'!A:B,2,FALSE),"Exclude")</f>
        <v>Exclude</v>
      </c>
      <c r="P44" s="476">
        <f ca="1">TODAY() - Table2[[#This Row],[Created Date]]</f>
        <v>2697</v>
      </c>
      <c r="Q44">
        <f>IF(OR(Table2[[#This Row],[Stage]]="Propose",Table2[[#This Row],[Stage]]="Procure"),1,0)</f>
        <v>0</v>
      </c>
      <c r="R44">
        <f>IF(Table2[[#This Row],[Stage]]="Closed Won",1,0)</f>
        <v>0</v>
      </c>
      <c r="S44" t="b">
        <f>IFERROR(_xlfn.XLOOKUP(Table2[[#This Row],[Opportunity ID]],'Aging Detail'!$H$14:$H$20,'Aging Detail'!$F$14:$F$20),TRUE)</f>
        <v>1</v>
      </c>
    </row>
    <row r="45" spans="1:19" hidden="1">
      <c r="A45" t="s">
        <v>3411</v>
      </c>
      <c r="B45" t="s">
        <v>3412</v>
      </c>
      <c r="C45" t="s">
        <v>338</v>
      </c>
      <c r="D45" t="s">
        <v>3385</v>
      </c>
      <c r="E45">
        <v>40000</v>
      </c>
      <c r="F45" s="422">
        <v>46660</v>
      </c>
      <c r="G45" s="422">
        <v>45929</v>
      </c>
      <c r="H45" t="s">
        <v>148</v>
      </c>
      <c r="I45" t="s">
        <v>154</v>
      </c>
      <c r="K45" t="s">
        <v>3374</v>
      </c>
      <c r="L45" t="s">
        <v>3413</v>
      </c>
      <c r="M45">
        <v>40000</v>
      </c>
      <c r="N45">
        <v>308</v>
      </c>
      <c r="O45" t="str">
        <f>_xlfn.IFNA(VLOOKUP(Table2[[#This Row],[Lead Source]],'helper tab'!A:B,2,FALSE),"Exclude")</f>
        <v>Alliances</v>
      </c>
      <c r="P45" s="476">
        <f ca="1">TODAY() - Table2[[#This Row],[Created Date]]</f>
        <v>329</v>
      </c>
      <c r="Q45">
        <f>IF(OR(Table2[[#This Row],[Stage]]="Propose",Table2[[#This Row],[Stage]]="Procure"),1,0)</f>
        <v>0</v>
      </c>
      <c r="R45">
        <f>IF(Table2[[#This Row],[Stage]]="Closed Won",1,0)</f>
        <v>0</v>
      </c>
      <c r="S45" t="b">
        <f>IFERROR(_xlfn.XLOOKUP(Table2[[#This Row],[Opportunity ID]],'Aging Detail'!$H$14:$H$20,'Aging Detail'!$F$14:$F$20),TRUE)</f>
        <v>1</v>
      </c>
    </row>
    <row r="46" spans="1:19" hidden="1">
      <c r="A46" t="s">
        <v>3234</v>
      </c>
      <c r="B46" t="s">
        <v>3232</v>
      </c>
      <c r="C46" t="s">
        <v>1469</v>
      </c>
      <c r="D46" t="s">
        <v>3364</v>
      </c>
      <c r="E46">
        <v>541600</v>
      </c>
      <c r="F46" s="422">
        <v>45930</v>
      </c>
      <c r="G46" s="422">
        <v>44909</v>
      </c>
      <c r="H46" t="s">
        <v>148</v>
      </c>
      <c r="I46" t="s">
        <v>154</v>
      </c>
      <c r="K46" t="s">
        <v>3379</v>
      </c>
      <c r="L46" t="s">
        <v>3233</v>
      </c>
      <c r="M46">
        <v>381600</v>
      </c>
      <c r="N46">
        <v>510</v>
      </c>
      <c r="O46" t="str">
        <f>_xlfn.IFNA(VLOOKUP(Table2[[#This Row],[Lead Source]],'helper tab'!A:B,2,FALSE),"Exclude")</f>
        <v>Alliances</v>
      </c>
      <c r="P46" s="476">
        <f ca="1">TODAY() - Table2[[#This Row],[Created Date]]</f>
        <v>1349</v>
      </c>
      <c r="Q46">
        <f>IF(OR(Table2[[#This Row],[Stage]]="Propose",Table2[[#This Row],[Stage]]="Procure"),1,0)</f>
        <v>0</v>
      </c>
      <c r="R46">
        <f>IF(Table2[[#This Row],[Stage]]="Closed Won",1,0)</f>
        <v>0</v>
      </c>
      <c r="S46" t="b">
        <f>IFERROR(_xlfn.XLOOKUP(Table2[[#This Row],[Opportunity ID]],'Aging Detail'!$H$14:$H$20,'Aging Detail'!$F$14:$F$20),TRUE)</f>
        <v>1</v>
      </c>
    </row>
    <row r="47" spans="1:19" hidden="1">
      <c r="A47" t="s">
        <v>592</v>
      </c>
      <c r="B47" t="s">
        <v>2894</v>
      </c>
      <c r="C47" t="s">
        <v>563</v>
      </c>
      <c r="D47" t="s">
        <v>3364</v>
      </c>
      <c r="E47">
        <v>8550</v>
      </c>
      <c r="F47" s="422">
        <v>45861</v>
      </c>
      <c r="G47" s="422">
        <v>45751</v>
      </c>
      <c r="H47" t="s">
        <v>148</v>
      </c>
      <c r="I47" t="s">
        <v>154</v>
      </c>
      <c r="K47" t="s">
        <v>3379</v>
      </c>
      <c r="L47" t="s">
        <v>2895</v>
      </c>
      <c r="M47">
        <v>8550</v>
      </c>
      <c r="N47">
        <v>376</v>
      </c>
      <c r="O47" t="str">
        <f>_xlfn.IFNA(VLOOKUP(Table2[[#This Row],[Lead Source]],'helper tab'!A:B,2,FALSE),"Exclude")</f>
        <v>Alliances</v>
      </c>
      <c r="P47" s="476">
        <f ca="1">TODAY() - Table2[[#This Row],[Created Date]]</f>
        <v>507</v>
      </c>
      <c r="Q47">
        <f>IF(OR(Table2[[#This Row],[Stage]]="Propose",Table2[[#This Row],[Stage]]="Procure"),1,0)</f>
        <v>0</v>
      </c>
      <c r="R47">
        <f>IF(Table2[[#This Row],[Stage]]="Closed Won",1,0)</f>
        <v>1</v>
      </c>
      <c r="S47" t="b">
        <f>IFERROR(_xlfn.XLOOKUP(Table2[[#This Row],[Opportunity ID]],'Aging Detail'!$H$14:$H$20,'Aging Detail'!$F$14:$F$20),TRUE)</f>
        <v>1</v>
      </c>
    </row>
    <row r="48" spans="1:19" hidden="1">
      <c r="A48" t="s">
        <v>3234</v>
      </c>
      <c r="B48" t="s">
        <v>3414</v>
      </c>
      <c r="C48" t="s">
        <v>1469</v>
      </c>
      <c r="D48" t="s">
        <v>3415</v>
      </c>
      <c r="E48">
        <v>35000</v>
      </c>
      <c r="F48" s="422">
        <v>45838</v>
      </c>
      <c r="G48" s="422">
        <v>44593</v>
      </c>
      <c r="H48" t="s">
        <v>148</v>
      </c>
      <c r="I48" t="s">
        <v>154</v>
      </c>
      <c r="K48" t="s">
        <v>3379</v>
      </c>
      <c r="L48" t="s">
        <v>3416</v>
      </c>
      <c r="M48">
        <v>35000</v>
      </c>
      <c r="N48">
        <v>510</v>
      </c>
      <c r="O48" t="str">
        <f>_xlfn.IFNA(VLOOKUP(Table2[[#This Row],[Lead Source]],'helper tab'!A:B,2,FALSE),"Exclude")</f>
        <v>Alliances</v>
      </c>
      <c r="P48" s="476">
        <f ca="1">TODAY() - Table2[[#This Row],[Created Date]]</f>
        <v>1665</v>
      </c>
      <c r="Q48">
        <f>IF(OR(Table2[[#This Row],[Stage]]="Propose",Table2[[#This Row],[Stage]]="Procure"),1,0)</f>
        <v>0</v>
      </c>
      <c r="R48">
        <f>IF(Table2[[#This Row],[Stage]]="Closed Won",1,0)</f>
        <v>0</v>
      </c>
      <c r="S48" t="b">
        <f>IFERROR(_xlfn.XLOOKUP(Table2[[#This Row],[Opportunity ID]],'Aging Detail'!$H$14:$H$20,'Aging Detail'!$F$14:$F$20),TRUE)</f>
        <v>1</v>
      </c>
    </row>
    <row r="49" spans="1:19" hidden="1">
      <c r="A49" t="s">
        <v>592</v>
      </c>
      <c r="B49" t="s">
        <v>3110</v>
      </c>
      <c r="C49" t="s">
        <v>563</v>
      </c>
      <c r="D49" t="s">
        <v>3415</v>
      </c>
      <c r="E49">
        <v>214000</v>
      </c>
      <c r="F49" s="422">
        <v>45770</v>
      </c>
      <c r="G49" s="422">
        <v>45313</v>
      </c>
      <c r="H49" t="s">
        <v>148</v>
      </c>
      <c r="I49" t="s">
        <v>154</v>
      </c>
      <c r="K49" t="s">
        <v>3379</v>
      </c>
      <c r="L49" t="s">
        <v>3111</v>
      </c>
      <c r="M49">
        <v>73000</v>
      </c>
      <c r="N49">
        <v>467</v>
      </c>
      <c r="O49" t="str">
        <f>_xlfn.IFNA(VLOOKUP(Table2[[#This Row],[Lead Source]],'helper tab'!A:B,2,FALSE),"Exclude")</f>
        <v>Alliances</v>
      </c>
      <c r="P49" s="476">
        <f ca="1">TODAY() - Table2[[#This Row],[Created Date]]</f>
        <v>945</v>
      </c>
      <c r="Q49">
        <f>IF(OR(Table2[[#This Row],[Stage]]="Propose",Table2[[#This Row],[Stage]]="Procure"),1,0)</f>
        <v>0</v>
      </c>
      <c r="R49">
        <f>IF(Table2[[#This Row],[Stage]]="Closed Won",1,0)</f>
        <v>1</v>
      </c>
      <c r="S49" t="b">
        <f>IFERROR(_xlfn.XLOOKUP(Table2[[#This Row],[Opportunity ID]],'Aging Detail'!$H$14:$H$20,'Aging Detail'!$F$14:$F$20),TRUE)</f>
        <v>1</v>
      </c>
    </row>
    <row r="50" spans="1:19" hidden="1">
      <c r="A50" t="s">
        <v>2017</v>
      </c>
      <c r="B50" t="s">
        <v>3417</v>
      </c>
      <c r="C50" t="s">
        <v>563</v>
      </c>
      <c r="D50" t="s">
        <v>3368</v>
      </c>
      <c r="E50">
        <v>25000</v>
      </c>
      <c r="F50" s="422">
        <v>45596</v>
      </c>
      <c r="G50" s="422">
        <v>45163</v>
      </c>
      <c r="H50" t="s">
        <v>148</v>
      </c>
      <c r="I50" t="s">
        <v>154</v>
      </c>
      <c r="K50" t="s">
        <v>3379</v>
      </c>
      <c r="L50" t="s">
        <v>3418</v>
      </c>
      <c r="M50">
        <v>25000</v>
      </c>
      <c r="N50">
        <v>640</v>
      </c>
      <c r="O50" t="str">
        <f>_xlfn.IFNA(VLOOKUP(Table2[[#This Row],[Lead Source]],'helper tab'!A:B,2,FALSE),"Exclude")</f>
        <v>Alliances</v>
      </c>
      <c r="P50" s="476">
        <f ca="1">TODAY() - Table2[[#This Row],[Created Date]]</f>
        <v>1095</v>
      </c>
      <c r="Q50">
        <f>IF(OR(Table2[[#This Row],[Stage]]="Propose",Table2[[#This Row],[Stage]]="Procure"),1,0)</f>
        <v>0</v>
      </c>
      <c r="R50">
        <f>IF(Table2[[#This Row],[Stage]]="Closed Won",1,0)</f>
        <v>1</v>
      </c>
      <c r="S50" t="b">
        <f>IFERROR(_xlfn.XLOOKUP(Table2[[#This Row],[Opportunity ID]],'Aging Detail'!$H$14:$H$20,'Aging Detail'!$F$14:$F$20),TRUE)</f>
        <v>1</v>
      </c>
    </row>
    <row r="51" spans="1:19" hidden="1">
      <c r="A51" t="s">
        <v>592</v>
      </c>
      <c r="B51" t="s">
        <v>3419</v>
      </c>
      <c r="C51" t="s">
        <v>563</v>
      </c>
      <c r="D51" t="s">
        <v>3368</v>
      </c>
      <c r="E51">
        <v>15000</v>
      </c>
      <c r="F51" s="422">
        <v>45576</v>
      </c>
      <c r="G51" s="422">
        <v>45538</v>
      </c>
      <c r="H51" t="s">
        <v>148</v>
      </c>
      <c r="I51" t="s">
        <v>154</v>
      </c>
      <c r="K51" t="s">
        <v>3379</v>
      </c>
      <c r="L51" t="s">
        <v>3420</v>
      </c>
      <c r="M51">
        <v>15000</v>
      </c>
      <c r="N51">
        <v>661</v>
      </c>
      <c r="O51" t="str">
        <f>_xlfn.IFNA(VLOOKUP(Table2[[#This Row],[Lead Source]],'helper tab'!A:B,2,FALSE),"Exclude")</f>
        <v>Alliances</v>
      </c>
      <c r="P51" s="476">
        <f ca="1">TODAY() - Table2[[#This Row],[Created Date]]</f>
        <v>720</v>
      </c>
      <c r="Q51">
        <f>IF(OR(Table2[[#This Row],[Stage]]="Propose",Table2[[#This Row],[Stage]]="Procure"),1,0)</f>
        <v>0</v>
      </c>
      <c r="R51">
        <f>IF(Table2[[#This Row],[Stage]]="Closed Won",1,0)</f>
        <v>1</v>
      </c>
      <c r="S51" t="b">
        <f>IFERROR(_xlfn.XLOOKUP(Table2[[#This Row],[Opportunity ID]],'Aging Detail'!$H$14:$H$20,'Aging Detail'!$F$14:$F$20),TRUE)</f>
        <v>1</v>
      </c>
    </row>
    <row r="52" spans="1:19" hidden="1">
      <c r="A52" t="s">
        <v>592</v>
      </c>
      <c r="B52" t="s">
        <v>3421</v>
      </c>
      <c r="C52" t="s">
        <v>563</v>
      </c>
      <c r="D52" t="s">
        <v>3422</v>
      </c>
      <c r="E52">
        <v>30000</v>
      </c>
      <c r="F52" s="422">
        <v>45526</v>
      </c>
      <c r="G52" s="422">
        <v>45400</v>
      </c>
      <c r="H52" t="s">
        <v>148</v>
      </c>
      <c r="I52" t="s">
        <v>154</v>
      </c>
      <c r="K52" t="s">
        <v>3379</v>
      </c>
      <c r="L52" t="s">
        <v>3423</v>
      </c>
      <c r="M52">
        <v>30000</v>
      </c>
      <c r="N52">
        <v>707</v>
      </c>
      <c r="O52" t="str">
        <f>_xlfn.IFNA(VLOOKUP(Table2[[#This Row],[Lead Source]],'helper tab'!A:B,2,FALSE),"Exclude")</f>
        <v>Alliances</v>
      </c>
      <c r="P52" s="476">
        <f ca="1">TODAY() - Table2[[#This Row],[Created Date]]</f>
        <v>858</v>
      </c>
      <c r="Q52">
        <f>IF(OR(Table2[[#This Row],[Stage]]="Propose",Table2[[#This Row],[Stage]]="Procure"),1,0)</f>
        <v>0</v>
      </c>
      <c r="R52">
        <f>IF(Table2[[#This Row],[Stage]]="Closed Won",1,0)</f>
        <v>1</v>
      </c>
      <c r="S52" t="b">
        <f>IFERROR(_xlfn.XLOOKUP(Table2[[#This Row],[Opportunity ID]],'Aging Detail'!$H$14:$H$20,'Aging Detail'!$F$14:$F$20),TRUE)</f>
        <v>1</v>
      </c>
    </row>
    <row r="53" spans="1:19" hidden="1">
      <c r="A53" t="s">
        <v>2369</v>
      </c>
      <c r="B53" t="s">
        <v>3424</v>
      </c>
      <c r="C53" t="s">
        <v>408</v>
      </c>
      <c r="D53" t="s">
        <v>3349</v>
      </c>
      <c r="E53">
        <v>2090000</v>
      </c>
      <c r="F53" s="422">
        <v>46568</v>
      </c>
      <c r="G53" s="422">
        <v>45390</v>
      </c>
      <c r="H53" t="s">
        <v>1483</v>
      </c>
      <c r="I53" t="s">
        <v>1841</v>
      </c>
      <c r="K53" t="s">
        <v>3405</v>
      </c>
      <c r="L53" t="s">
        <v>3425</v>
      </c>
      <c r="M53">
        <v>2090000</v>
      </c>
      <c r="N53">
        <v>847</v>
      </c>
      <c r="O53" t="str">
        <f>_xlfn.IFNA(VLOOKUP(Table2[[#This Row],[Lead Source]],'helper tab'!A:B,2,FALSE),"Exclude")</f>
        <v>Cold</v>
      </c>
      <c r="P53" s="476">
        <f ca="1">TODAY() - Table2[[#This Row],[Created Date]]</f>
        <v>868</v>
      </c>
      <c r="Q53">
        <f>IF(OR(Table2[[#This Row],[Stage]]="Propose",Table2[[#This Row],[Stage]]="Procure"),1,0)</f>
        <v>0</v>
      </c>
      <c r="R53">
        <f>IF(Table2[[#This Row],[Stage]]="Closed Won",1,0)</f>
        <v>0</v>
      </c>
      <c r="S53" t="b">
        <f>IFERROR(_xlfn.XLOOKUP(Table2[[#This Row],[Opportunity ID]],'Aging Detail'!$H$14:$H$20,'Aging Detail'!$F$14:$F$20),TRUE)</f>
        <v>1</v>
      </c>
    </row>
    <row r="54" spans="1:19" hidden="1">
      <c r="A54" t="s">
        <v>2398</v>
      </c>
      <c r="B54" t="s">
        <v>3426</v>
      </c>
      <c r="C54" t="s">
        <v>1462</v>
      </c>
      <c r="D54" t="s">
        <v>3349</v>
      </c>
      <c r="E54">
        <v>786100</v>
      </c>
      <c r="F54" s="422">
        <v>46568</v>
      </c>
      <c r="G54" s="422">
        <v>44813</v>
      </c>
      <c r="H54" t="s">
        <v>148</v>
      </c>
      <c r="I54" t="s">
        <v>1841</v>
      </c>
      <c r="K54" t="s">
        <v>3405</v>
      </c>
      <c r="L54" t="s">
        <v>3427</v>
      </c>
      <c r="M54">
        <v>798600</v>
      </c>
      <c r="N54">
        <v>665</v>
      </c>
      <c r="O54" t="str">
        <f>_xlfn.IFNA(VLOOKUP(Table2[[#This Row],[Lead Source]],'helper tab'!A:B,2,FALSE),"Exclude")</f>
        <v>Alliances</v>
      </c>
      <c r="P54" s="476">
        <f ca="1">TODAY() - Table2[[#This Row],[Created Date]]</f>
        <v>1445</v>
      </c>
      <c r="Q54">
        <f>IF(OR(Table2[[#This Row],[Stage]]="Propose",Table2[[#This Row],[Stage]]="Procure"),1,0)</f>
        <v>0</v>
      </c>
      <c r="R54">
        <f>IF(Table2[[#This Row],[Stage]]="Closed Won",1,0)</f>
        <v>0</v>
      </c>
      <c r="S54" t="b">
        <f>IFERROR(_xlfn.XLOOKUP(Table2[[#This Row],[Opportunity ID]],'Aging Detail'!$H$14:$H$20,'Aging Detail'!$F$14:$F$20),TRUE)</f>
        <v>1</v>
      </c>
    </row>
    <row r="55" spans="1:19" hidden="1">
      <c r="A55" t="s">
        <v>2369</v>
      </c>
      <c r="B55" t="s">
        <v>3428</v>
      </c>
      <c r="C55" t="s">
        <v>408</v>
      </c>
      <c r="D55" t="s">
        <v>3352</v>
      </c>
      <c r="E55">
        <v>100000</v>
      </c>
      <c r="F55" s="422">
        <v>46477</v>
      </c>
      <c r="G55" s="422">
        <v>45380</v>
      </c>
      <c r="H55" t="s">
        <v>1483</v>
      </c>
      <c r="I55" t="s">
        <v>1841</v>
      </c>
      <c r="K55" t="s">
        <v>3405</v>
      </c>
      <c r="L55" t="s">
        <v>3429</v>
      </c>
      <c r="M55">
        <v>0</v>
      </c>
      <c r="N55">
        <v>857</v>
      </c>
      <c r="O55" t="str">
        <f>_xlfn.IFNA(VLOOKUP(Table2[[#This Row],[Lead Source]],'helper tab'!A:B,2,FALSE),"Exclude")</f>
        <v>Cold</v>
      </c>
      <c r="P55" s="476">
        <f ca="1">TODAY() - Table2[[#This Row],[Created Date]]</f>
        <v>878</v>
      </c>
      <c r="Q55">
        <f>IF(OR(Table2[[#This Row],[Stage]]="Propose",Table2[[#This Row],[Stage]]="Procure"),1,0)</f>
        <v>0</v>
      </c>
      <c r="R55">
        <f>IF(Table2[[#This Row],[Stage]]="Closed Won",1,0)</f>
        <v>0</v>
      </c>
      <c r="S55" t="b">
        <f>IFERROR(_xlfn.XLOOKUP(Table2[[#This Row],[Opportunity ID]],'Aging Detail'!$H$14:$H$20,'Aging Detail'!$F$14:$F$20),TRUE)</f>
        <v>1</v>
      </c>
    </row>
    <row r="56" spans="1:19" hidden="1">
      <c r="A56" t="s">
        <v>2398</v>
      </c>
      <c r="B56" t="s">
        <v>2396</v>
      </c>
      <c r="C56" t="s">
        <v>1469</v>
      </c>
      <c r="D56" t="s">
        <v>3359</v>
      </c>
      <c r="F56" s="422">
        <v>46374</v>
      </c>
      <c r="G56" s="422">
        <v>45792</v>
      </c>
      <c r="H56" t="s">
        <v>148</v>
      </c>
      <c r="I56" t="s">
        <v>1841</v>
      </c>
      <c r="J56" t="s">
        <v>3360</v>
      </c>
      <c r="K56" t="s">
        <v>3405</v>
      </c>
      <c r="L56" t="s">
        <v>2397</v>
      </c>
      <c r="M56">
        <v>0</v>
      </c>
      <c r="N56">
        <v>217</v>
      </c>
      <c r="O56" t="str">
        <f>_xlfn.IFNA(VLOOKUP(Table2[[#This Row],[Lead Source]],'helper tab'!A:B,2,FALSE),"Exclude")</f>
        <v>Alliances</v>
      </c>
      <c r="P56" s="476">
        <f ca="1">TODAY() - Table2[[#This Row],[Created Date]]</f>
        <v>466</v>
      </c>
      <c r="Q56">
        <f>IF(OR(Table2[[#This Row],[Stage]]="Propose",Table2[[#This Row],[Stage]]="Procure"),1,0)</f>
        <v>0</v>
      </c>
      <c r="R56">
        <f>IF(Table2[[#This Row],[Stage]]="Closed Won",1,0)</f>
        <v>0</v>
      </c>
      <c r="S56" t="b">
        <f>IFERROR(_xlfn.XLOOKUP(Table2[[#This Row],[Opportunity ID]],'Aging Detail'!$H$14:$H$20,'Aging Detail'!$F$14:$F$20),TRUE)</f>
        <v>1</v>
      </c>
    </row>
    <row r="57" spans="1:19">
      <c r="A57" t="s">
        <v>3430</v>
      </c>
      <c r="B57" t="s">
        <v>3431</v>
      </c>
      <c r="C57" t="s">
        <v>408</v>
      </c>
      <c r="D57" t="s">
        <v>3349</v>
      </c>
      <c r="E57">
        <v>339200</v>
      </c>
      <c r="F57" s="422">
        <v>46568</v>
      </c>
      <c r="G57" s="422">
        <v>46225</v>
      </c>
      <c r="H57" t="s">
        <v>148</v>
      </c>
      <c r="I57" t="s">
        <v>1841</v>
      </c>
      <c r="K57" t="s">
        <v>3374</v>
      </c>
      <c r="L57" t="s">
        <v>3432</v>
      </c>
      <c r="M57">
        <v>79200</v>
      </c>
      <c r="N57">
        <v>4</v>
      </c>
      <c r="O57" t="str">
        <f>_xlfn.IFNA(VLOOKUP(Table2[[#This Row],[Lead Source]],'helper tab'!A:B,2,FALSE),"Exclude")</f>
        <v>Alliances</v>
      </c>
      <c r="P57" s="476">
        <f ca="1">TODAY() - Table2[[#This Row],[Created Date]]</f>
        <v>33</v>
      </c>
      <c r="Q57">
        <f>IF(OR(Table2[[#This Row],[Stage]]="Propose",Table2[[#This Row],[Stage]]="Procure"),1,0)</f>
        <v>0</v>
      </c>
      <c r="R57">
        <f>IF(Table2[[#This Row],[Stage]]="Closed Won",1,0)</f>
        <v>0</v>
      </c>
      <c r="S57" t="b">
        <f>IFERROR(_xlfn.XLOOKUP(Table2[[#This Row],[Opportunity ID]],'Aging Detail'!$H$14:$H$20,'Aging Detail'!$F$14:$F$20),TRUE)</f>
        <v>1</v>
      </c>
    </row>
    <row r="58" spans="1:19" hidden="1">
      <c r="A58" t="s">
        <v>140</v>
      </c>
      <c r="B58" t="s">
        <v>3433</v>
      </c>
      <c r="C58" t="s">
        <v>408</v>
      </c>
      <c r="D58" t="s">
        <v>3359</v>
      </c>
      <c r="E58">
        <v>502000</v>
      </c>
      <c r="F58" s="422">
        <v>46374</v>
      </c>
      <c r="G58" s="422">
        <v>45793</v>
      </c>
      <c r="H58" t="s">
        <v>1464</v>
      </c>
      <c r="I58" t="s">
        <v>1841</v>
      </c>
      <c r="K58" t="s">
        <v>3374</v>
      </c>
      <c r="L58" t="s">
        <v>3434</v>
      </c>
      <c r="M58">
        <v>432000</v>
      </c>
      <c r="N58">
        <v>440</v>
      </c>
      <c r="O58" t="str">
        <f>_xlfn.IFNA(VLOOKUP(Table2[[#This Row],[Lead Source]],'helper tab'!A:B,2,FALSE),"Exclude")</f>
        <v>Cold</v>
      </c>
      <c r="P58" s="476">
        <f ca="1">TODAY() - Table2[[#This Row],[Created Date]]</f>
        <v>465</v>
      </c>
      <c r="Q58">
        <f>IF(OR(Table2[[#This Row],[Stage]]="Propose",Table2[[#This Row],[Stage]]="Procure"),1,0)</f>
        <v>0</v>
      </c>
      <c r="R58">
        <f>IF(Table2[[#This Row],[Stage]]="Closed Won",1,0)</f>
        <v>0</v>
      </c>
      <c r="S58" t="b">
        <f>IFERROR(_xlfn.XLOOKUP(Table2[[#This Row],[Opportunity ID]],'Aging Detail'!$H$14:$H$20,'Aging Detail'!$F$14:$F$20),TRUE)</f>
        <v>1</v>
      </c>
    </row>
    <row r="59" spans="1:19" hidden="1">
      <c r="A59" t="s">
        <v>2017</v>
      </c>
      <c r="B59" t="s">
        <v>2015</v>
      </c>
      <c r="C59" t="s">
        <v>1462</v>
      </c>
      <c r="D59" t="s">
        <v>3435</v>
      </c>
      <c r="E59">
        <v>511400</v>
      </c>
      <c r="F59" s="422">
        <v>46965</v>
      </c>
      <c r="G59" s="422">
        <v>45888</v>
      </c>
      <c r="H59" t="s">
        <v>1463</v>
      </c>
      <c r="I59" t="s">
        <v>1841</v>
      </c>
      <c r="K59" t="s">
        <v>3379</v>
      </c>
      <c r="L59" t="s">
        <v>2016</v>
      </c>
      <c r="M59">
        <v>0</v>
      </c>
      <c r="N59">
        <v>105</v>
      </c>
      <c r="O59" t="str">
        <f>_xlfn.IFNA(VLOOKUP(Table2[[#This Row],[Lead Source]],'helper tab'!A:B,2,FALSE),"Exclude")</f>
        <v>Cold</v>
      </c>
      <c r="P59" s="476">
        <f ca="1">TODAY() - Table2[[#This Row],[Created Date]]</f>
        <v>370</v>
      </c>
      <c r="Q59">
        <f>IF(OR(Table2[[#This Row],[Stage]]="Propose",Table2[[#This Row],[Stage]]="Procure"),1,0)</f>
        <v>0</v>
      </c>
      <c r="R59">
        <f>IF(Table2[[#This Row],[Stage]]="Closed Won",1,0)</f>
        <v>0</v>
      </c>
      <c r="S59" t="b">
        <f>IFERROR(_xlfn.XLOOKUP(Table2[[#This Row],[Opportunity ID]],'Aging Detail'!$H$14:$H$20,'Aging Detail'!$F$14:$F$20),TRUE)</f>
        <v>1</v>
      </c>
    </row>
    <row r="60" spans="1:19">
      <c r="A60" t="s">
        <v>2009</v>
      </c>
      <c r="B60" t="s">
        <v>2007</v>
      </c>
      <c r="C60" t="s">
        <v>1462</v>
      </c>
      <c r="D60" t="s">
        <v>3352</v>
      </c>
      <c r="E60">
        <v>1010000</v>
      </c>
      <c r="F60" s="422">
        <v>46451</v>
      </c>
      <c r="G60" s="422">
        <v>46078</v>
      </c>
      <c r="H60" t="s">
        <v>148</v>
      </c>
      <c r="I60" t="s">
        <v>1841</v>
      </c>
      <c r="K60" t="s">
        <v>3379</v>
      </c>
      <c r="L60" t="s">
        <v>2008</v>
      </c>
      <c r="M60">
        <v>840000</v>
      </c>
      <c r="N60">
        <v>98</v>
      </c>
      <c r="O60" t="str">
        <f>_xlfn.IFNA(VLOOKUP(Table2[[#This Row],[Lead Source]],'helper tab'!A:B,2,FALSE),"Exclude")</f>
        <v>Alliances</v>
      </c>
      <c r="P60" s="476">
        <f ca="1">TODAY() - Table2[[#This Row],[Created Date]]</f>
        <v>180</v>
      </c>
      <c r="Q60">
        <f>IF(OR(Table2[[#This Row],[Stage]]="Propose",Table2[[#This Row],[Stage]]="Procure"),1,0)</f>
        <v>0</v>
      </c>
      <c r="R60">
        <f>IF(Table2[[#This Row],[Stage]]="Closed Won",1,0)</f>
        <v>0</v>
      </c>
      <c r="S60" t="b">
        <f>IFERROR(_xlfn.XLOOKUP(Table2[[#This Row],[Opportunity ID]],'Aging Detail'!$H$14:$H$20,'Aging Detail'!$F$14:$F$20),TRUE)</f>
        <v>1</v>
      </c>
    </row>
    <row r="61" spans="1:19" hidden="1">
      <c r="A61" t="s">
        <v>2017</v>
      </c>
      <c r="B61" t="s">
        <v>2822</v>
      </c>
      <c r="C61" t="s">
        <v>563</v>
      </c>
      <c r="D61" t="s">
        <v>3364</v>
      </c>
      <c r="E61">
        <v>137000</v>
      </c>
      <c r="F61" s="422">
        <v>45888</v>
      </c>
      <c r="G61" s="422">
        <v>45869</v>
      </c>
      <c r="H61" t="s">
        <v>1463</v>
      </c>
      <c r="I61" t="s">
        <v>1841</v>
      </c>
      <c r="K61" t="s">
        <v>3379</v>
      </c>
      <c r="L61" t="s">
        <v>2823</v>
      </c>
      <c r="M61">
        <v>137000</v>
      </c>
      <c r="N61">
        <v>349</v>
      </c>
      <c r="O61" t="str">
        <f>_xlfn.IFNA(VLOOKUP(Table2[[#This Row],[Lead Source]],'helper tab'!A:B,2,FALSE),"Exclude")</f>
        <v>Cold</v>
      </c>
      <c r="P61" s="476">
        <f ca="1">TODAY() - Table2[[#This Row],[Created Date]]</f>
        <v>389</v>
      </c>
      <c r="Q61">
        <f>IF(OR(Table2[[#This Row],[Stage]]="Propose",Table2[[#This Row],[Stage]]="Procure"),1,0)</f>
        <v>0</v>
      </c>
      <c r="R61">
        <f>IF(Table2[[#This Row],[Stage]]="Closed Won",1,0)</f>
        <v>1</v>
      </c>
      <c r="S61" t="b">
        <f>IFERROR(_xlfn.XLOOKUP(Table2[[#This Row],[Opportunity ID]],'Aging Detail'!$H$14:$H$20,'Aging Detail'!$F$14:$F$20),TRUE)</f>
        <v>1</v>
      </c>
    </row>
    <row r="62" spans="1:19" hidden="1">
      <c r="A62" t="s">
        <v>2017</v>
      </c>
      <c r="B62" t="s">
        <v>3436</v>
      </c>
      <c r="C62" t="s">
        <v>563</v>
      </c>
      <c r="D62" t="s">
        <v>3415</v>
      </c>
      <c r="E62">
        <v>374400</v>
      </c>
      <c r="F62" s="422">
        <v>45838</v>
      </c>
      <c r="G62" s="422">
        <v>44258</v>
      </c>
      <c r="H62" t="s">
        <v>1463</v>
      </c>
      <c r="I62" t="s">
        <v>1841</v>
      </c>
      <c r="K62" t="s">
        <v>3379</v>
      </c>
      <c r="L62" t="s">
        <v>3437</v>
      </c>
      <c r="M62">
        <v>374400</v>
      </c>
      <c r="N62">
        <v>399</v>
      </c>
      <c r="O62" t="str">
        <f>_xlfn.IFNA(VLOOKUP(Table2[[#This Row],[Lead Source]],'helper tab'!A:B,2,FALSE),"Exclude")</f>
        <v>Cold</v>
      </c>
      <c r="P62" s="476">
        <f ca="1">TODAY() - Table2[[#This Row],[Created Date]]</f>
        <v>2000</v>
      </c>
      <c r="Q62">
        <f>IF(OR(Table2[[#This Row],[Stage]]="Propose",Table2[[#This Row],[Stage]]="Procure"),1,0)</f>
        <v>0</v>
      </c>
      <c r="R62">
        <f>IF(Table2[[#This Row],[Stage]]="Closed Won",1,0)</f>
        <v>1</v>
      </c>
      <c r="S62" t="b">
        <f>IFERROR(_xlfn.XLOOKUP(Table2[[#This Row],[Opportunity ID]],'Aging Detail'!$H$14:$H$20,'Aging Detail'!$F$14:$F$20),TRUE)</f>
        <v>1</v>
      </c>
    </row>
    <row r="63" spans="1:19">
      <c r="A63" t="s">
        <v>1046</v>
      </c>
      <c r="B63" t="s">
        <v>139</v>
      </c>
      <c r="C63" t="s">
        <v>338</v>
      </c>
      <c r="D63" t="s">
        <v>3352</v>
      </c>
      <c r="E63">
        <v>1340000</v>
      </c>
      <c r="F63" s="422">
        <v>46402</v>
      </c>
      <c r="G63" s="422">
        <v>46209</v>
      </c>
      <c r="H63" t="s">
        <v>404</v>
      </c>
      <c r="I63" t="s">
        <v>1841</v>
      </c>
      <c r="K63" t="s">
        <v>3390</v>
      </c>
      <c r="L63" t="s">
        <v>3438</v>
      </c>
      <c r="M63">
        <v>1200000</v>
      </c>
      <c r="N63">
        <v>28</v>
      </c>
      <c r="O63" t="str">
        <f>_xlfn.IFNA(VLOOKUP(Table2[[#This Row],[Lead Source]],'helper tab'!A:B,2,FALSE),"Exclude")</f>
        <v>Digital</v>
      </c>
      <c r="P63" s="476">
        <f ca="1">TODAY() - Table2[[#This Row],[Created Date]]</f>
        <v>49</v>
      </c>
      <c r="Q63">
        <f>IF(OR(Table2[[#This Row],[Stage]]="Propose",Table2[[#This Row],[Stage]]="Procure"),1,0)</f>
        <v>0</v>
      </c>
      <c r="R63">
        <f>IF(Table2[[#This Row],[Stage]]="Closed Won",1,0)</f>
        <v>0</v>
      </c>
      <c r="S63" t="b">
        <f>IFERROR(_xlfn.XLOOKUP(Table2[[#This Row],[Opportunity ID]],'Aging Detail'!$H$14:$H$20,'Aging Detail'!$F$14:$F$20),TRUE)</f>
        <v>1</v>
      </c>
    </row>
    <row r="64" spans="1:19">
      <c r="A64" t="s">
        <v>1046</v>
      </c>
      <c r="B64" t="s">
        <v>3439</v>
      </c>
      <c r="C64" t="s">
        <v>408</v>
      </c>
      <c r="D64" t="s">
        <v>3359</v>
      </c>
      <c r="E64">
        <v>3005000</v>
      </c>
      <c r="F64" s="422">
        <v>46367</v>
      </c>
      <c r="G64" s="422">
        <v>46059</v>
      </c>
      <c r="H64" t="s">
        <v>404</v>
      </c>
      <c r="I64" t="s">
        <v>1841</v>
      </c>
      <c r="J64" t="s">
        <v>3440</v>
      </c>
      <c r="K64" t="s">
        <v>3390</v>
      </c>
      <c r="L64" t="s">
        <v>3441</v>
      </c>
      <c r="M64">
        <v>2880000</v>
      </c>
      <c r="N64">
        <v>178</v>
      </c>
      <c r="O64" t="str">
        <f>_xlfn.IFNA(VLOOKUP(Table2[[#This Row],[Lead Source]],'helper tab'!A:B,2,FALSE),"Exclude")</f>
        <v>Digital</v>
      </c>
      <c r="P64" s="476">
        <f ca="1">TODAY() - Table2[[#This Row],[Created Date]]</f>
        <v>199</v>
      </c>
      <c r="Q64">
        <f>IF(OR(Table2[[#This Row],[Stage]]="Propose",Table2[[#This Row],[Stage]]="Procure"),1,0)</f>
        <v>0</v>
      </c>
      <c r="R64">
        <f>IF(Table2[[#This Row],[Stage]]="Closed Won",1,0)</f>
        <v>0</v>
      </c>
      <c r="S64" t="b">
        <f>IFERROR(_xlfn.XLOOKUP(Table2[[#This Row],[Opportunity ID]],'Aging Detail'!$H$14:$H$20,'Aging Detail'!$F$14:$F$20),TRUE)</f>
        <v>1</v>
      </c>
    </row>
    <row r="65" spans="1:19">
      <c r="A65" t="s">
        <v>1046</v>
      </c>
      <c r="B65" t="s">
        <v>135</v>
      </c>
      <c r="C65" t="s">
        <v>338</v>
      </c>
      <c r="D65" t="s">
        <v>3359</v>
      </c>
      <c r="E65">
        <v>1340000</v>
      </c>
      <c r="F65" s="422">
        <v>46339</v>
      </c>
      <c r="G65" s="422">
        <v>46209</v>
      </c>
      <c r="H65" t="s">
        <v>404</v>
      </c>
      <c r="I65" t="s">
        <v>1841</v>
      </c>
      <c r="K65" t="s">
        <v>3390</v>
      </c>
      <c r="L65" t="s">
        <v>3442</v>
      </c>
      <c r="M65">
        <v>1200000</v>
      </c>
      <c r="N65">
        <v>28</v>
      </c>
      <c r="O65" t="str">
        <f>_xlfn.IFNA(VLOOKUP(Table2[[#This Row],[Lead Source]],'helper tab'!A:B,2,FALSE),"Exclude")</f>
        <v>Digital</v>
      </c>
      <c r="P65" s="476">
        <f ca="1">TODAY() - Table2[[#This Row],[Created Date]]</f>
        <v>49</v>
      </c>
      <c r="Q65">
        <f>IF(OR(Table2[[#This Row],[Stage]]="Propose",Table2[[#This Row],[Stage]]="Procure"),1,0)</f>
        <v>0</v>
      </c>
      <c r="R65">
        <f>IF(Table2[[#This Row],[Stage]]="Closed Won",1,0)</f>
        <v>0</v>
      </c>
      <c r="S65" t="b">
        <f>IFERROR(_xlfn.XLOOKUP(Table2[[#This Row],[Opportunity ID]],'Aging Detail'!$H$14:$H$20,'Aging Detail'!$F$14:$F$20),TRUE)</f>
        <v>1</v>
      </c>
    </row>
    <row r="66" spans="1:19">
      <c r="A66" t="s">
        <v>1046</v>
      </c>
      <c r="B66" t="s">
        <v>1840</v>
      </c>
      <c r="C66" t="s">
        <v>1462</v>
      </c>
      <c r="D66" t="s">
        <v>3361</v>
      </c>
      <c r="E66">
        <v>1340000</v>
      </c>
      <c r="F66" s="422">
        <v>46283</v>
      </c>
      <c r="G66" s="422">
        <v>46059</v>
      </c>
      <c r="H66" t="s">
        <v>404</v>
      </c>
      <c r="I66" t="s">
        <v>1841</v>
      </c>
      <c r="J66" t="s">
        <v>3440</v>
      </c>
      <c r="K66" t="s">
        <v>3390</v>
      </c>
      <c r="L66" t="s">
        <v>1842</v>
      </c>
      <c r="M66">
        <v>1200000</v>
      </c>
      <c r="N66">
        <v>42</v>
      </c>
      <c r="O66" t="str">
        <f>_xlfn.IFNA(VLOOKUP(Table2[[#This Row],[Lead Source]],'helper tab'!A:B,2,FALSE),"Exclude")</f>
        <v>Digital</v>
      </c>
      <c r="P66" s="476">
        <f ca="1">TODAY() - Table2[[#This Row],[Created Date]]</f>
        <v>199</v>
      </c>
      <c r="Q66">
        <f>IF(OR(Table2[[#This Row],[Stage]]="Propose",Table2[[#This Row],[Stage]]="Procure"),1,0)</f>
        <v>0</v>
      </c>
      <c r="R66">
        <f>IF(Table2[[#This Row],[Stage]]="Closed Won",1,0)</f>
        <v>0</v>
      </c>
      <c r="S66" t="b">
        <f>IFERROR(_xlfn.XLOOKUP(Table2[[#This Row],[Opportunity ID]],'Aging Detail'!$H$14:$H$20,'Aging Detail'!$F$14:$F$20),TRUE)</f>
        <v>1</v>
      </c>
    </row>
    <row r="67" spans="1:19">
      <c r="A67" t="s">
        <v>1046</v>
      </c>
      <c r="B67" t="s">
        <v>3443</v>
      </c>
      <c r="C67" t="s">
        <v>408</v>
      </c>
      <c r="D67" t="s">
        <v>3361</v>
      </c>
      <c r="E67">
        <v>100000</v>
      </c>
      <c r="F67" s="422">
        <v>46234</v>
      </c>
      <c r="G67" s="422">
        <v>46209</v>
      </c>
      <c r="H67" t="s">
        <v>148</v>
      </c>
      <c r="I67" t="s">
        <v>1841</v>
      </c>
      <c r="K67" t="s">
        <v>3390</v>
      </c>
      <c r="L67" t="s">
        <v>3444</v>
      </c>
      <c r="M67">
        <v>100000</v>
      </c>
      <c r="N67">
        <v>26</v>
      </c>
      <c r="O67" t="str">
        <f>_xlfn.IFNA(VLOOKUP(Table2[[#This Row],[Lead Source]],'helper tab'!A:B,2,FALSE),"Exclude")</f>
        <v>Alliances</v>
      </c>
      <c r="P67" s="476">
        <f ca="1">TODAY() - Table2[[#This Row],[Created Date]]</f>
        <v>49</v>
      </c>
      <c r="Q67">
        <f>IF(OR(Table2[[#This Row],[Stage]]="Propose",Table2[[#This Row],[Stage]]="Procure"),1,0)</f>
        <v>0</v>
      </c>
      <c r="R67">
        <f>IF(Table2[[#This Row],[Stage]]="Closed Won",1,0)</f>
        <v>0</v>
      </c>
      <c r="S67" t="b">
        <f>IFERROR(_xlfn.XLOOKUP(Table2[[#This Row],[Opportunity ID]],'Aging Detail'!$H$14:$H$20,'Aging Detail'!$F$14:$F$20),TRUE)</f>
        <v>1</v>
      </c>
    </row>
    <row r="68" spans="1:19" hidden="1">
      <c r="A68" t="s">
        <v>3445</v>
      </c>
      <c r="B68" t="s">
        <v>3446</v>
      </c>
      <c r="C68" t="s">
        <v>1462</v>
      </c>
      <c r="D68" t="s">
        <v>3352</v>
      </c>
      <c r="E68">
        <v>50000</v>
      </c>
      <c r="F68" s="422">
        <v>46477</v>
      </c>
      <c r="G68" s="422">
        <v>44431</v>
      </c>
      <c r="H68" t="s">
        <v>1486</v>
      </c>
      <c r="I68" t="s">
        <v>3447</v>
      </c>
      <c r="K68" t="s">
        <v>3405</v>
      </c>
      <c r="L68" t="s">
        <v>3448</v>
      </c>
      <c r="M68">
        <v>50000</v>
      </c>
      <c r="N68">
        <v>577</v>
      </c>
      <c r="O68" t="str">
        <f>_xlfn.IFNA(VLOOKUP(Table2[[#This Row],[Lead Source]],'helper tab'!A:B,2,FALSE),"Exclude")</f>
        <v>Exclude</v>
      </c>
      <c r="P68" s="476">
        <f ca="1">TODAY() - Table2[[#This Row],[Created Date]]</f>
        <v>1827</v>
      </c>
      <c r="Q68">
        <f>IF(OR(Table2[[#This Row],[Stage]]="Propose",Table2[[#This Row],[Stage]]="Procure"),1,0)</f>
        <v>0</v>
      </c>
      <c r="R68">
        <f>IF(Table2[[#This Row],[Stage]]="Closed Won",1,0)</f>
        <v>0</v>
      </c>
      <c r="S68" t="b">
        <f>IFERROR(_xlfn.XLOOKUP(Table2[[#This Row],[Opportunity ID]],'Aging Detail'!$H$14:$H$20,'Aging Detail'!$F$14:$F$20),TRUE)</f>
        <v>1</v>
      </c>
    </row>
    <row r="69" spans="1:19" hidden="1">
      <c r="A69" t="s">
        <v>1678</v>
      </c>
      <c r="B69" t="s">
        <v>3449</v>
      </c>
      <c r="C69" t="s">
        <v>563</v>
      </c>
      <c r="D69" t="s">
        <v>3422</v>
      </c>
      <c r="E69">
        <v>50000</v>
      </c>
      <c r="F69" s="422">
        <v>45553</v>
      </c>
      <c r="G69" s="422">
        <v>45197</v>
      </c>
      <c r="H69" t="s">
        <v>1486</v>
      </c>
      <c r="I69" t="s">
        <v>3447</v>
      </c>
      <c r="K69" t="s">
        <v>3405</v>
      </c>
      <c r="L69" t="s">
        <v>3450</v>
      </c>
      <c r="M69">
        <v>50000</v>
      </c>
      <c r="N69">
        <v>684</v>
      </c>
      <c r="O69" t="str">
        <f>_xlfn.IFNA(VLOOKUP(Table2[[#This Row],[Lead Source]],'helper tab'!A:B,2,FALSE),"Exclude")</f>
        <v>Exclude</v>
      </c>
      <c r="P69" s="476">
        <f ca="1">TODAY() - Table2[[#This Row],[Created Date]]</f>
        <v>1061</v>
      </c>
      <c r="Q69">
        <f>IF(OR(Table2[[#This Row],[Stage]]="Propose",Table2[[#This Row],[Stage]]="Procure"),1,0)</f>
        <v>0</v>
      </c>
      <c r="R69">
        <f>IF(Table2[[#This Row],[Stage]]="Closed Won",1,0)</f>
        <v>1</v>
      </c>
      <c r="S69" t="b">
        <f>IFERROR(_xlfn.XLOOKUP(Table2[[#This Row],[Opportunity ID]],'Aging Detail'!$H$14:$H$20,'Aging Detail'!$F$14:$F$20),TRUE)</f>
        <v>1</v>
      </c>
    </row>
    <row r="70" spans="1:19" hidden="1">
      <c r="A70" t="s">
        <v>1667</v>
      </c>
      <c r="B70" t="s">
        <v>3451</v>
      </c>
      <c r="C70" t="s">
        <v>338</v>
      </c>
      <c r="D70" t="s">
        <v>3359</v>
      </c>
      <c r="E70">
        <v>44000</v>
      </c>
      <c r="F70" s="422">
        <v>46387</v>
      </c>
      <c r="G70" s="422">
        <v>46009</v>
      </c>
      <c r="H70" t="s">
        <v>148</v>
      </c>
      <c r="I70" t="s">
        <v>1667</v>
      </c>
      <c r="K70" t="s">
        <v>3405</v>
      </c>
      <c r="L70" t="s">
        <v>3452</v>
      </c>
      <c r="M70">
        <v>44000</v>
      </c>
      <c r="N70">
        <v>228</v>
      </c>
      <c r="O70" t="str">
        <f>_xlfn.IFNA(VLOOKUP(Table2[[#This Row],[Lead Source]],'helper tab'!A:B,2,FALSE),"Exclude")</f>
        <v>Alliances</v>
      </c>
      <c r="P70" s="476">
        <f ca="1">TODAY() - Table2[[#This Row],[Created Date]]</f>
        <v>249</v>
      </c>
      <c r="Q70">
        <f>IF(OR(Table2[[#This Row],[Stage]]="Propose",Table2[[#This Row],[Stage]]="Procure"),1,0)</f>
        <v>0</v>
      </c>
      <c r="R70">
        <f>IF(Table2[[#This Row],[Stage]]="Closed Won",1,0)</f>
        <v>0</v>
      </c>
      <c r="S70" t="b">
        <f>IFERROR(_xlfn.XLOOKUP(Table2[[#This Row],[Opportunity ID]],'Aging Detail'!$H$14:$H$20,'Aging Detail'!$F$14:$F$20),TRUE)</f>
        <v>1</v>
      </c>
    </row>
    <row r="71" spans="1:19">
      <c r="A71" t="s">
        <v>1020</v>
      </c>
      <c r="B71" t="s">
        <v>1020</v>
      </c>
      <c r="C71" t="s">
        <v>408</v>
      </c>
      <c r="D71" t="s">
        <v>3359</v>
      </c>
      <c r="E71">
        <v>636000</v>
      </c>
      <c r="F71" s="422">
        <v>46342</v>
      </c>
      <c r="G71" s="422">
        <v>46038</v>
      </c>
      <c r="H71" t="s">
        <v>1468</v>
      </c>
      <c r="I71" t="s">
        <v>169</v>
      </c>
      <c r="J71" t="s">
        <v>3360</v>
      </c>
      <c r="K71" t="s">
        <v>3398</v>
      </c>
      <c r="L71" t="s">
        <v>3453</v>
      </c>
      <c r="M71">
        <v>156000</v>
      </c>
      <c r="N71">
        <v>169</v>
      </c>
      <c r="O71" t="str">
        <f>_xlfn.IFNA(VLOOKUP(Table2[[#This Row],[Lead Source]],'helper tab'!A:B,2,FALSE),"Exclude")</f>
        <v>Events</v>
      </c>
      <c r="P71" s="476">
        <f ca="1">TODAY() - Table2[[#This Row],[Created Date]]</f>
        <v>220</v>
      </c>
      <c r="Q71">
        <f>IF(OR(Table2[[#This Row],[Stage]]="Propose",Table2[[#This Row],[Stage]]="Procure"),1,0)</f>
        <v>0</v>
      </c>
      <c r="R71">
        <f>IF(Table2[[#This Row],[Stage]]="Closed Won",1,0)</f>
        <v>0</v>
      </c>
      <c r="S71" t="b">
        <f>IFERROR(_xlfn.XLOOKUP(Table2[[#This Row],[Opportunity ID]],'Aging Detail'!$H$14:$H$20,'Aging Detail'!$F$14:$F$20),TRUE)</f>
        <v>1</v>
      </c>
    </row>
    <row r="72" spans="1:19" hidden="1">
      <c r="A72" t="s">
        <v>1864</v>
      </c>
      <c r="B72" t="s">
        <v>2178</v>
      </c>
      <c r="C72" t="s">
        <v>1469</v>
      </c>
      <c r="D72" t="s">
        <v>3362</v>
      </c>
      <c r="E72">
        <v>335192</v>
      </c>
      <c r="F72" s="422">
        <v>46203</v>
      </c>
      <c r="G72" s="422">
        <v>46001</v>
      </c>
      <c r="H72" t="s">
        <v>148</v>
      </c>
      <c r="I72" t="s">
        <v>169</v>
      </c>
      <c r="K72" t="s">
        <v>3398</v>
      </c>
      <c r="L72" t="s">
        <v>2179</v>
      </c>
      <c r="M72">
        <v>150192</v>
      </c>
      <c r="N72">
        <v>144</v>
      </c>
      <c r="O72" t="str">
        <f>_xlfn.IFNA(VLOOKUP(Table2[[#This Row],[Lead Source]],'helper tab'!A:B,2,FALSE),"Exclude")</f>
        <v>Alliances</v>
      </c>
      <c r="P72" s="476">
        <f ca="1">TODAY() - Table2[[#This Row],[Created Date]]</f>
        <v>257</v>
      </c>
      <c r="Q72">
        <f>IF(OR(Table2[[#This Row],[Stage]]="Propose",Table2[[#This Row],[Stage]]="Procure"),1,0)</f>
        <v>0</v>
      </c>
      <c r="R72">
        <f>IF(Table2[[#This Row],[Stage]]="Closed Won",1,0)</f>
        <v>0</v>
      </c>
      <c r="S72" t="b">
        <f>IFERROR(_xlfn.XLOOKUP(Table2[[#This Row],[Opportunity ID]],'Aging Detail'!$H$14:$H$20,'Aging Detail'!$F$14:$F$20),TRUE)</f>
        <v>1</v>
      </c>
    </row>
    <row r="73" spans="1:19" hidden="1">
      <c r="A73" t="s">
        <v>1864</v>
      </c>
      <c r="B73" t="s">
        <v>2181</v>
      </c>
      <c r="C73" t="s">
        <v>1469</v>
      </c>
      <c r="D73" t="s">
        <v>3362</v>
      </c>
      <c r="E73">
        <v>200115.20000000001</v>
      </c>
      <c r="F73" s="422">
        <v>46203</v>
      </c>
      <c r="G73" s="422">
        <v>46000</v>
      </c>
      <c r="I73" t="s">
        <v>169</v>
      </c>
      <c r="K73" t="s">
        <v>3398</v>
      </c>
      <c r="L73" t="s">
        <v>2182</v>
      </c>
      <c r="M73">
        <v>90115.199999999997</v>
      </c>
      <c r="N73">
        <v>144</v>
      </c>
      <c r="O73" t="str">
        <f>_xlfn.IFNA(VLOOKUP(Table2[[#This Row],[Lead Source]],'helper tab'!A:B,2,FALSE),"Exclude")</f>
        <v>Exclude</v>
      </c>
      <c r="P73" s="476">
        <f ca="1">TODAY() - Table2[[#This Row],[Created Date]]</f>
        <v>258</v>
      </c>
      <c r="Q73">
        <f>IF(OR(Table2[[#This Row],[Stage]]="Propose",Table2[[#This Row],[Stage]]="Procure"),1,0)</f>
        <v>0</v>
      </c>
      <c r="R73">
        <f>IF(Table2[[#This Row],[Stage]]="Closed Won",1,0)</f>
        <v>0</v>
      </c>
      <c r="S73" t="b">
        <f>IFERROR(_xlfn.XLOOKUP(Table2[[#This Row],[Opportunity ID]],'Aging Detail'!$H$14:$H$20,'Aging Detail'!$F$14:$F$20),TRUE)</f>
        <v>1</v>
      </c>
    </row>
    <row r="74" spans="1:19" hidden="1">
      <c r="A74" t="s">
        <v>2885</v>
      </c>
      <c r="B74" t="s">
        <v>2883</v>
      </c>
      <c r="C74" t="s">
        <v>408</v>
      </c>
      <c r="D74" t="s">
        <v>3349</v>
      </c>
      <c r="E74">
        <v>40000</v>
      </c>
      <c r="F74" s="422">
        <v>46534</v>
      </c>
      <c r="G74" s="422">
        <v>45684</v>
      </c>
      <c r="H74" t="s">
        <v>148</v>
      </c>
      <c r="I74" t="s">
        <v>169</v>
      </c>
      <c r="K74" t="s">
        <v>3350</v>
      </c>
      <c r="L74" t="s">
        <v>2884</v>
      </c>
      <c r="M74">
        <v>40000</v>
      </c>
      <c r="N74">
        <v>326</v>
      </c>
      <c r="O74" t="str">
        <f>_xlfn.IFNA(VLOOKUP(Table2[[#This Row],[Lead Source]],'helper tab'!A:B,2,FALSE),"Exclude")</f>
        <v>Alliances</v>
      </c>
      <c r="P74" s="476">
        <f ca="1">TODAY() - Table2[[#This Row],[Created Date]]</f>
        <v>574</v>
      </c>
      <c r="Q74">
        <f>IF(OR(Table2[[#This Row],[Stage]]="Propose",Table2[[#This Row],[Stage]]="Procure"),1,0)</f>
        <v>0</v>
      </c>
      <c r="R74">
        <f>IF(Table2[[#This Row],[Stage]]="Closed Won",1,0)</f>
        <v>0</v>
      </c>
      <c r="S74" t="b">
        <f>IFERROR(_xlfn.XLOOKUP(Table2[[#This Row],[Opportunity ID]],'Aging Detail'!$H$14:$H$20,'Aging Detail'!$F$14:$F$20),TRUE)</f>
        <v>1</v>
      </c>
    </row>
    <row r="75" spans="1:19" hidden="1">
      <c r="A75" t="s">
        <v>2885</v>
      </c>
      <c r="B75" t="s">
        <v>3454</v>
      </c>
      <c r="C75" t="s">
        <v>408</v>
      </c>
      <c r="D75" t="s">
        <v>3352</v>
      </c>
      <c r="E75">
        <v>788000</v>
      </c>
      <c r="F75" s="422">
        <v>46477</v>
      </c>
      <c r="G75" s="422">
        <v>45684</v>
      </c>
      <c r="H75" t="s">
        <v>148</v>
      </c>
      <c r="I75" t="s">
        <v>169</v>
      </c>
      <c r="K75" t="s">
        <v>3350</v>
      </c>
      <c r="L75" t="s">
        <v>3455</v>
      </c>
      <c r="M75">
        <v>648000</v>
      </c>
      <c r="N75">
        <v>553</v>
      </c>
      <c r="O75" t="str">
        <f>_xlfn.IFNA(VLOOKUP(Table2[[#This Row],[Lead Source]],'helper tab'!A:B,2,FALSE),"Exclude")</f>
        <v>Alliances</v>
      </c>
      <c r="P75" s="476">
        <f ca="1">TODAY() - Table2[[#This Row],[Created Date]]</f>
        <v>574</v>
      </c>
      <c r="Q75">
        <f>IF(OR(Table2[[#This Row],[Stage]]="Propose",Table2[[#This Row],[Stage]]="Procure"),1,0)</f>
        <v>0</v>
      </c>
      <c r="R75">
        <f>IF(Table2[[#This Row],[Stage]]="Closed Won",1,0)</f>
        <v>0</v>
      </c>
      <c r="S75" t="b">
        <f>IFERROR(_xlfn.XLOOKUP(Table2[[#This Row],[Opportunity ID]],'Aging Detail'!$H$14:$H$20,'Aging Detail'!$F$14:$F$20),TRUE)</f>
        <v>1</v>
      </c>
    </row>
    <row r="76" spans="1:19" hidden="1">
      <c r="A76" t="s">
        <v>1667</v>
      </c>
      <c r="B76" t="s">
        <v>3456</v>
      </c>
      <c r="C76" t="s">
        <v>408</v>
      </c>
      <c r="D76" t="s">
        <v>3457</v>
      </c>
      <c r="E76">
        <v>1467704</v>
      </c>
      <c r="F76" s="422">
        <v>46752</v>
      </c>
      <c r="G76" s="422">
        <v>45128</v>
      </c>
      <c r="H76" t="s">
        <v>148</v>
      </c>
      <c r="I76" t="s">
        <v>169</v>
      </c>
      <c r="K76" t="s">
        <v>3405</v>
      </c>
      <c r="L76" t="s">
        <v>3458</v>
      </c>
      <c r="M76">
        <v>1327704</v>
      </c>
      <c r="N76">
        <v>654</v>
      </c>
      <c r="O76" t="str">
        <f>_xlfn.IFNA(VLOOKUP(Table2[[#This Row],[Lead Source]],'helper tab'!A:B,2,FALSE),"Exclude")</f>
        <v>Alliances</v>
      </c>
      <c r="P76" s="476">
        <f ca="1">TODAY() - Table2[[#This Row],[Created Date]]</f>
        <v>1130</v>
      </c>
      <c r="Q76">
        <f>IF(OR(Table2[[#This Row],[Stage]]="Propose",Table2[[#This Row],[Stage]]="Procure"),1,0)</f>
        <v>0</v>
      </c>
      <c r="R76">
        <f>IF(Table2[[#This Row],[Stage]]="Closed Won",1,0)</f>
        <v>0</v>
      </c>
      <c r="S76" t="b">
        <f>IFERROR(_xlfn.XLOOKUP(Table2[[#This Row],[Opportunity ID]],'Aging Detail'!$H$14:$H$20,'Aging Detail'!$F$14:$F$20),TRUE)</f>
        <v>1</v>
      </c>
    </row>
    <row r="77" spans="1:19" hidden="1">
      <c r="A77" t="s">
        <v>1667</v>
      </c>
      <c r="B77" t="s">
        <v>3459</v>
      </c>
      <c r="C77" t="s">
        <v>338</v>
      </c>
      <c r="D77" t="s">
        <v>3385</v>
      </c>
      <c r="E77">
        <v>7806000</v>
      </c>
      <c r="F77" s="422">
        <v>46660</v>
      </c>
      <c r="G77" s="422">
        <v>45928</v>
      </c>
      <c r="H77" t="s">
        <v>148</v>
      </c>
      <c r="I77" t="s">
        <v>169</v>
      </c>
      <c r="K77" t="s">
        <v>3405</v>
      </c>
      <c r="L77" t="s">
        <v>3460</v>
      </c>
      <c r="M77">
        <v>2592000</v>
      </c>
      <c r="N77">
        <v>309</v>
      </c>
      <c r="O77" t="str">
        <f>_xlfn.IFNA(VLOOKUP(Table2[[#This Row],[Lead Source]],'helper tab'!A:B,2,FALSE),"Exclude")</f>
        <v>Alliances</v>
      </c>
      <c r="P77" s="476">
        <f ca="1">TODAY() - Table2[[#This Row],[Created Date]]</f>
        <v>330</v>
      </c>
      <c r="Q77">
        <f>IF(OR(Table2[[#This Row],[Stage]]="Propose",Table2[[#This Row],[Stage]]="Procure"),1,0)</f>
        <v>0</v>
      </c>
      <c r="R77">
        <f>IF(Table2[[#This Row],[Stage]]="Closed Won",1,0)</f>
        <v>0</v>
      </c>
      <c r="S77" t="b">
        <f>IFERROR(_xlfn.XLOOKUP(Table2[[#This Row],[Opportunity ID]],'Aging Detail'!$H$14:$H$20,'Aging Detail'!$F$14:$F$20),TRUE)</f>
        <v>1</v>
      </c>
    </row>
    <row r="78" spans="1:19" hidden="1">
      <c r="A78" t="s">
        <v>1667</v>
      </c>
      <c r="B78" t="s">
        <v>3461</v>
      </c>
      <c r="C78" t="s">
        <v>338</v>
      </c>
      <c r="D78" t="s">
        <v>3385</v>
      </c>
      <c r="E78">
        <v>5262000</v>
      </c>
      <c r="F78" s="422">
        <v>46660</v>
      </c>
      <c r="G78" s="422">
        <v>45928</v>
      </c>
      <c r="H78" t="s">
        <v>148</v>
      </c>
      <c r="I78" t="s">
        <v>169</v>
      </c>
      <c r="K78" t="s">
        <v>3405</v>
      </c>
      <c r="L78" t="s">
        <v>3462</v>
      </c>
      <c r="M78">
        <v>1728000</v>
      </c>
      <c r="N78">
        <v>309</v>
      </c>
      <c r="O78" t="str">
        <f>_xlfn.IFNA(VLOOKUP(Table2[[#This Row],[Lead Source]],'helper tab'!A:B,2,FALSE),"Exclude")</f>
        <v>Alliances</v>
      </c>
      <c r="P78" s="476">
        <f ca="1">TODAY() - Table2[[#This Row],[Created Date]]</f>
        <v>330</v>
      </c>
      <c r="Q78">
        <f>IF(OR(Table2[[#This Row],[Stage]]="Propose",Table2[[#This Row],[Stage]]="Procure"),1,0)</f>
        <v>0</v>
      </c>
      <c r="R78">
        <f>IF(Table2[[#This Row],[Stage]]="Closed Won",1,0)</f>
        <v>0</v>
      </c>
      <c r="S78" t="b">
        <f>IFERROR(_xlfn.XLOOKUP(Table2[[#This Row],[Opportunity ID]],'Aging Detail'!$H$14:$H$20,'Aging Detail'!$F$14:$F$20),TRUE)</f>
        <v>1</v>
      </c>
    </row>
    <row r="79" spans="1:19" hidden="1">
      <c r="A79" t="s">
        <v>1667</v>
      </c>
      <c r="B79" t="s">
        <v>3463</v>
      </c>
      <c r="C79" t="s">
        <v>338</v>
      </c>
      <c r="D79" t="s">
        <v>3352</v>
      </c>
      <c r="E79">
        <v>0</v>
      </c>
      <c r="F79" s="422">
        <v>46416</v>
      </c>
      <c r="G79" s="422">
        <v>45928</v>
      </c>
      <c r="H79" t="s">
        <v>148</v>
      </c>
      <c r="I79" t="s">
        <v>169</v>
      </c>
      <c r="K79" t="s">
        <v>3405</v>
      </c>
      <c r="L79" t="s">
        <v>3464</v>
      </c>
      <c r="M79">
        <v>0</v>
      </c>
      <c r="N79">
        <v>309</v>
      </c>
      <c r="O79" t="str">
        <f>_xlfn.IFNA(VLOOKUP(Table2[[#This Row],[Lead Source]],'helper tab'!A:B,2,FALSE),"Exclude")</f>
        <v>Alliances</v>
      </c>
      <c r="P79" s="476">
        <f ca="1">TODAY() - Table2[[#This Row],[Created Date]]</f>
        <v>330</v>
      </c>
      <c r="Q79">
        <f>IF(OR(Table2[[#This Row],[Stage]]="Propose",Table2[[#This Row],[Stage]]="Procure"),1,0)</f>
        <v>0</v>
      </c>
      <c r="R79">
        <f>IF(Table2[[#This Row],[Stage]]="Closed Won",1,0)</f>
        <v>0</v>
      </c>
      <c r="S79" t="b">
        <f>IFERROR(_xlfn.XLOOKUP(Table2[[#This Row],[Opportunity ID]],'Aging Detail'!$H$14:$H$20,'Aging Detail'!$F$14:$F$20),TRUE)</f>
        <v>1</v>
      </c>
    </row>
    <row r="80" spans="1:19" hidden="1">
      <c r="A80" t="s">
        <v>1667</v>
      </c>
      <c r="B80" t="s">
        <v>3465</v>
      </c>
      <c r="C80" t="s">
        <v>408</v>
      </c>
      <c r="D80" t="s">
        <v>3352</v>
      </c>
      <c r="E80">
        <v>0</v>
      </c>
      <c r="F80" s="422">
        <v>46416</v>
      </c>
      <c r="G80" s="422">
        <v>45928</v>
      </c>
      <c r="H80" t="s">
        <v>148</v>
      </c>
      <c r="I80" t="s">
        <v>169</v>
      </c>
      <c r="K80" t="s">
        <v>3405</v>
      </c>
      <c r="L80" t="s">
        <v>3466</v>
      </c>
      <c r="M80">
        <v>0</v>
      </c>
      <c r="N80">
        <v>309</v>
      </c>
      <c r="O80" t="str">
        <f>_xlfn.IFNA(VLOOKUP(Table2[[#This Row],[Lead Source]],'helper tab'!A:B,2,FALSE),"Exclude")</f>
        <v>Alliances</v>
      </c>
      <c r="P80" s="476">
        <f ca="1">TODAY() - Table2[[#This Row],[Created Date]]</f>
        <v>330</v>
      </c>
      <c r="Q80">
        <f>IF(OR(Table2[[#This Row],[Stage]]="Propose",Table2[[#This Row],[Stage]]="Procure"),1,0)</f>
        <v>0</v>
      </c>
      <c r="R80">
        <f>IF(Table2[[#This Row],[Stage]]="Closed Won",1,0)</f>
        <v>0</v>
      </c>
      <c r="S80" t="b">
        <f>IFERROR(_xlfn.XLOOKUP(Table2[[#This Row],[Opportunity ID]],'Aging Detail'!$H$14:$H$20,'Aging Detail'!$F$14:$F$20),TRUE)</f>
        <v>1</v>
      </c>
    </row>
    <row r="81" spans="1:19">
      <c r="A81" t="s">
        <v>1667</v>
      </c>
      <c r="B81" t="s">
        <v>3467</v>
      </c>
      <c r="C81" t="s">
        <v>338</v>
      </c>
      <c r="D81" t="s">
        <v>3359</v>
      </c>
      <c r="E81">
        <v>21000</v>
      </c>
      <c r="F81" s="422">
        <v>46387</v>
      </c>
      <c r="G81" s="422">
        <v>46083</v>
      </c>
      <c r="H81" t="s">
        <v>148</v>
      </c>
      <c r="I81" t="s">
        <v>169</v>
      </c>
      <c r="K81" t="s">
        <v>3405</v>
      </c>
      <c r="L81" t="s">
        <v>3468</v>
      </c>
      <c r="M81">
        <v>21000</v>
      </c>
      <c r="N81">
        <v>154</v>
      </c>
      <c r="O81" t="str">
        <f>_xlfn.IFNA(VLOOKUP(Table2[[#This Row],[Lead Source]],'helper tab'!A:B,2,FALSE),"Exclude")</f>
        <v>Alliances</v>
      </c>
      <c r="P81" s="476">
        <f ca="1">TODAY() - Table2[[#This Row],[Created Date]]</f>
        <v>175</v>
      </c>
      <c r="Q81">
        <f>IF(OR(Table2[[#This Row],[Stage]]="Propose",Table2[[#This Row],[Stage]]="Procure"),1,0)</f>
        <v>0</v>
      </c>
      <c r="R81">
        <f>IF(Table2[[#This Row],[Stage]]="Closed Won",1,0)</f>
        <v>0</v>
      </c>
      <c r="S81" t="b">
        <f>IFERROR(_xlfn.XLOOKUP(Table2[[#This Row],[Opportunity ID]],'Aging Detail'!$H$14:$H$20,'Aging Detail'!$F$14:$F$20),TRUE)</f>
        <v>1</v>
      </c>
    </row>
    <row r="82" spans="1:19">
      <c r="A82" t="s">
        <v>1667</v>
      </c>
      <c r="B82" t="s">
        <v>3469</v>
      </c>
      <c r="C82" t="s">
        <v>338</v>
      </c>
      <c r="D82" t="s">
        <v>3359</v>
      </c>
      <c r="E82">
        <v>645120</v>
      </c>
      <c r="F82" s="422">
        <v>46387</v>
      </c>
      <c r="G82" s="422">
        <v>46031</v>
      </c>
      <c r="H82" t="s">
        <v>148</v>
      </c>
      <c r="I82" t="s">
        <v>169</v>
      </c>
      <c r="K82" t="s">
        <v>3405</v>
      </c>
      <c r="L82" t="s">
        <v>3470</v>
      </c>
      <c r="M82">
        <v>645120</v>
      </c>
      <c r="N82">
        <v>206</v>
      </c>
      <c r="O82" t="str">
        <f>_xlfn.IFNA(VLOOKUP(Table2[[#This Row],[Lead Source]],'helper tab'!A:B,2,FALSE),"Exclude")</f>
        <v>Alliances</v>
      </c>
      <c r="P82" s="476">
        <f ca="1">TODAY() - Table2[[#This Row],[Created Date]]</f>
        <v>227</v>
      </c>
      <c r="Q82">
        <f>IF(OR(Table2[[#This Row],[Stage]]="Propose",Table2[[#This Row],[Stage]]="Procure"),1,0)</f>
        <v>0</v>
      </c>
      <c r="R82">
        <f>IF(Table2[[#This Row],[Stage]]="Closed Won",1,0)</f>
        <v>0</v>
      </c>
      <c r="S82" t="b">
        <f>IFERROR(_xlfn.XLOOKUP(Table2[[#This Row],[Opportunity ID]],'Aging Detail'!$H$14:$H$20,'Aging Detail'!$F$14:$F$20),TRUE)</f>
        <v>1</v>
      </c>
    </row>
    <row r="83" spans="1:19">
      <c r="A83" t="s">
        <v>1667</v>
      </c>
      <c r="B83" t="s">
        <v>1665</v>
      </c>
      <c r="C83" t="s">
        <v>1462</v>
      </c>
      <c r="D83" t="s">
        <v>3359</v>
      </c>
      <c r="E83">
        <v>120000</v>
      </c>
      <c r="F83" s="422">
        <v>46374</v>
      </c>
      <c r="G83" s="422">
        <v>46048</v>
      </c>
      <c r="H83" t="s">
        <v>1465</v>
      </c>
      <c r="I83" t="s">
        <v>169</v>
      </c>
      <c r="K83" t="s">
        <v>3405</v>
      </c>
      <c r="L83" t="s">
        <v>1666</v>
      </c>
      <c r="M83">
        <v>120000</v>
      </c>
      <c r="N83">
        <v>26</v>
      </c>
      <c r="O83" t="str">
        <f>_xlfn.IFNA(VLOOKUP(Table2[[#This Row],[Lead Source]],'helper tab'!A:B,2,FALSE),"Exclude")</f>
        <v>Exclude</v>
      </c>
      <c r="P83" s="476">
        <f ca="1">TODAY() - Table2[[#This Row],[Created Date]]</f>
        <v>210</v>
      </c>
      <c r="Q83">
        <f>IF(OR(Table2[[#This Row],[Stage]]="Propose",Table2[[#This Row],[Stage]]="Procure"),1,0)</f>
        <v>0</v>
      </c>
      <c r="R83">
        <f>IF(Table2[[#This Row],[Stage]]="Closed Won",1,0)</f>
        <v>0</v>
      </c>
      <c r="S83" t="b">
        <f>IFERROR(_xlfn.XLOOKUP(Table2[[#This Row],[Opportunity ID]],'Aging Detail'!$H$14:$H$20,'Aging Detail'!$F$14:$F$20),TRUE)</f>
        <v>1</v>
      </c>
    </row>
    <row r="84" spans="1:19">
      <c r="A84" t="s">
        <v>1667</v>
      </c>
      <c r="B84" t="s">
        <v>1724</v>
      </c>
      <c r="C84" t="s">
        <v>462</v>
      </c>
      <c r="D84" t="s">
        <v>3361</v>
      </c>
      <c r="E84">
        <v>100800</v>
      </c>
      <c r="F84" s="422">
        <v>46283</v>
      </c>
      <c r="G84" s="422">
        <v>46031</v>
      </c>
      <c r="H84" t="s">
        <v>148</v>
      </c>
      <c r="I84" t="s">
        <v>169</v>
      </c>
      <c r="K84" t="s">
        <v>3405</v>
      </c>
      <c r="L84" t="s">
        <v>1725</v>
      </c>
      <c r="M84">
        <v>100800</v>
      </c>
      <c r="N84">
        <v>28</v>
      </c>
      <c r="O84" t="str">
        <f>_xlfn.IFNA(VLOOKUP(Table2[[#This Row],[Lead Source]],'helper tab'!A:B,2,FALSE),"Exclude")</f>
        <v>Alliances</v>
      </c>
      <c r="P84" s="476">
        <f ca="1">TODAY() - Table2[[#This Row],[Created Date]]</f>
        <v>227</v>
      </c>
      <c r="Q84">
        <f>IF(OR(Table2[[#This Row],[Stage]]="Propose",Table2[[#This Row],[Stage]]="Procure"),1,0)</f>
        <v>1</v>
      </c>
      <c r="R84">
        <f>IF(Table2[[#This Row],[Stage]]="Closed Won",1,0)</f>
        <v>0</v>
      </c>
      <c r="S84" t="b">
        <f>IFERROR(_xlfn.XLOOKUP(Table2[[#This Row],[Opportunity ID]],'Aging Detail'!$H$14:$H$20,'Aging Detail'!$F$14:$F$20),TRUE)</f>
        <v>1</v>
      </c>
    </row>
    <row r="85" spans="1:19" hidden="1">
      <c r="A85" t="s">
        <v>2386</v>
      </c>
      <c r="B85" t="s">
        <v>2384</v>
      </c>
      <c r="C85" t="s">
        <v>1469</v>
      </c>
      <c r="D85" t="s">
        <v>3361</v>
      </c>
      <c r="E85">
        <v>342240</v>
      </c>
      <c r="F85" s="422">
        <v>46265</v>
      </c>
      <c r="G85" s="422">
        <v>45775</v>
      </c>
      <c r="H85" t="s">
        <v>148</v>
      </c>
      <c r="I85" t="s">
        <v>169</v>
      </c>
      <c r="J85" t="s">
        <v>3360</v>
      </c>
      <c r="K85" t="s">
        <v>3405</v>
      </c>
      <c r="L85" t="s">
        <v>2385</v>
      </c>
      <c r="M85">
        <v>342240</v>
      </c>
      <c r="N85">
        <v>213</v>
      </c>
      <c r="O85" t="str">
        <f>_xlfn.IFNA(VLOOKUP(Table2[[#This Row],[Lead Source]],'helper tab'!A:B,2,FALSE),"Exclude")</f>
        <v>Alliances</v>
      </c>
      <c r="P85" s="476">
        <f ca="1">TODAY() - Table2[[#This Row],[Created Date]]</f>
        <v>483</v>
      </c>
      <c r="Q85">
        <f>IF(OR(Table2[[#This Row],[Stage]]="Propose",Table2[[#This Row],[Stage]]="Procure"),1,0)</f>
        <v>0</v>
      </c>
      <c r="R85">
        <f>IF(Table2[[#This Row],[Stage]]="Closed Won",1,0)</f>
        <v>0</v>
      </c>
      <c r="S85" t="b">
        <f>IFERROR(_xlfn.XLOOKUP(Table2[[#This Row],[Opportunity ID]],'Aging Detail'!$H$14:$H$20,'Aging Detail'!$F$14:$F$20),TRUE)</f>
        <v>1</v>
      </c>
    </row>
    <row r="86" spans="1:19">
      <c r="A86" t="s">
        <v>1667</v>
      </c>
      <c r="B86" t="s">
        <v>1817</v>
      </c>
      <c r="C86" t="s">
        <v>563</v>
      </c>
      <c r="D86" t="s">
        <v>3362</v>
      </c>
      <c r="E86">
        <v>24000</v>
      </c>
      <c r="F86" s="422">
        <v>46198</v>
      </c>
      <c r="G86" s="422">
        <v>46031</v>
      </c>
      <c r="H86" t="s">
        <v>148</v>
      </c>
      <c r="I86" t="s">
        <v>169</v>
      </c>
      <c r="K86" t="s">
        <v>3405</v>
      </c>
      <c r="L86" t="s">
        <v>1818</v>
      </c>
      <c r="M86">
        <v>24000</v>
      </c>
      <c r="N86">
        <v>39</v>
      </c>
      <c r="O86" t="str">
        <f>_xlfn.IFNA(VLOOKUP(Table2[[#This Row],[Lead Source]],'helper tab'!A:B,2,FALSE),"Exclude")</f>
        <v>Alliances</v>
      </c>
      <c r="P86" s="476">
        <f ca="1">TODAY() - Table2[[#This Row],[Created Date]]</f>
        <v>227</v>
      </c>
      <c r="Q86">
        <f>IF(OR(Table2[[#This Row],[Stage]]="Propose",Table2[[#This Row],[Stage]]="Procure"),1,0)</f>
        <v>0</v>
      </c>
      <c r="R86">
        <f>IF(Table2[[#This Row],[Stage]]="Closed Won",1,0)</f>
        <v>1</v>
      </c>
      <c r="S86" t="b">
        <f>IFERROR(_xlfn.XLOOKUP(Table2[[#This Row],[Opportunity ID]],'Aging Detail'!$H$14:$H$20,'Aging Detail'!$F$14:$F$20),TRUE)</f>
        <v>1</v>
      </c>
    </row>
    <row r="87" spans="1:19">
      <c r="A87" t="s">
        <v>1667</v>
      </c>
      <c r="B87" t="s">
        <v>2142</v>
      </c>
      <c r="C87" t="s">
        <v>563</v>
      </c>
      <c r="D87" t="s">
        <v>3380</v>
      </c>
      <c r="E87">
        <v>144000</v>
      </c>
      <c r="F87" s="422">
        <v>46101</v>
      </c>
      <c r="G87" s="422">
        <v>46031</v>
      </c>
      <c r="H87" t="s">
        <v>148</v>
      </c>
      <c r="I87" t="s">
        <v>169</v>
      </c>
      <c r="K87" t="s">
        <v>3405</v>
      </c>
      <c r="L87" t="s">
        <v>2143</v>
      </c>
      <c r="M87">
        <v>144000</v>
      </c>
      <c r="N87">
        <v>136</v>
      </c>
      <c r="O87" t="str">
        <f>_xlfn.IFNA(VLOOKUP(Table2[[#This Row],[Lead Source]],'helper tab'!A:B,2,FALSE),"Exclude")</f>
        <v>Alliances</v>
      </c>
      <c r="P87" s="476">
        <f ca="1">TODAY() - Table2[[#This Row],[Created Date]]</f>
        <v>227</v>
      </c>
      <c r="Q87">
        <f>IF(OR(Table2[[#This Row],[Stage]]="Propose",Table2[[#This Row],[Stage]]="Procure"),1,0)</f>
        <v>0</v>
      </c>
      <c r="R87">
        <f>IF(Table2[[#This Row],[Stage]]="Closed Won",1,0)</f>
        <v>1</v>
      </c>
      <c r="S87" t="b">
        <f>IFERROR(_xlfn.XLOOKUP(Table2[[#This Row],[Opportunity ID]],'Aging Detail'!$H$14:$H$20,'Aging Detail'!$F$14:$F$20),TRUE)</f>
        <v>1</v>
      </c>
    </row>
    <row r="88" spans="1:19" hidden="1">
      <c r="A88" t="s">
        <v>1667</v>
      </c>
      <c r="B88" t="s">
        <v>2425</v>
      </c>
      <c r="C88" t="s">
        <v>563</v>
      </c>
      <c r="D88" t="s">
        <v>3363</v>
      </c>
      <c r="E88">
        <v>470640</v>
      </c>
      <c r="F88" s="422">
        <v>45996</v>
      </c>
      <c r="G88" s="422">
        <v>45931</v>
      </c>
      <c r="H88" t="s">
        <v>148</v>
      </c>
      <c r="I88" t="s">
        <v>169</v>
      </c>
      <c r="K88" t="s">
        <v>3405</v>
      </c>
      <c r="L88" t="s">
        <v>2426</v>
      </c>
      <c r="M88">
        <v>470640</v>
      </c>
      <c r="N88">
        <v>241</v>
      </c>
      <c r="O88" t="str">
        <f>_xlfn.IFNA(VLOOKUP(Table2[[#This Row],[Lead Source]],'helper tab'!A:B,2,FALSE),"Exclude")</f>
        <v>Alliances</v>
      </c>
      <c r="P88" s="476">
        <f ca="1">TODAY() - Table2[[#This Row],[Created Date]]</f>
        <v>327</v>
      </c>
      <c r="Q88">
        <f>IF(OR(Table2[[#This Row],[Stage]]="Propose",Table2[[#This Row],[Stage]]="Procure"),1,0)</f>
        <v>0</v>
      </c>
      <c r="R88">
        <f>IF(Table2[[#This Row],[Stage]]="Closed Won",1,0)</f>
        <v>1</v>
      </c>
      <c r="S88" t="b">
        <f>IFERROR(_xlfn.XLOOKUP(Table2[[#This Row],[Opportunity ID]],'Aging Detail'!$H$14:$H$20,'Aging Detail'!$F$14:$F$20),TRUE)</f>
        <v>1</v>
      </c>
    </row>
    <row r="89" spans="1:19" hidden="1">
      <c r="A89" t="s">
        <v>1667</v>
      </c>
      <c r="B89" t="s">
        <v>3471</v>
      </c>
      <c r="C89" t="s">
        <v>563</v>
      </c>
      <c r="D89" t="s">
        <v>3472</v>
      </c>
      <c r="F89" s="422">
        <v>45378</v>
      </c>
      <c r="G89" s="422">
        <v>44316</v>
      </c>
      <c r="H89" t="s">
        <v>1486</v>
      </c>
      <c r="I89" t="s">
        <v>169</v>
      </c>
      <c r="K89" t="s">
        <v>3405</v>
      </c>
      <c r="L89" t="s">
        <v>3473</v>
      </c>
      <c r="M89">
        <v>0</v>
      </c>
      <c r="N89">
        <v>1921</v>
      </c>
      <c r="O89" t="str">
        <f>_xlfn.IFNA(VLOOKUP(Table2[[#This Row],[Lead Source]],'helper tab'!A:B,2,FALSE),"Exclude")</f>
        <v>Exclude</v>
      </c>
      <c r="P89" s="476">
        <f ca="1">TODAY() - Table2[[#This Row],[Created Date]]</f>
        <v>1942</v>
      </c>
      <c r="Q89">
        <f>IF(OR(Table2[[#This Row],[Stage]]="Propose",Table2[[#This Row],[Stage]]="Procure"),1,0)</f>
        <v>0</v>
      </c>
      <c r="R89">
        <f>IF(Table2[[#This Row],[Stage]]="Closed Won",1,0)</f>
        <v>1</v>
      </c>
      <c r="S89" t="b">
        <f>IFERROR(_xlfn.XLOOKUP(Table2[[#This Row],[Opportunity ID]],'Aging Detail'!$H$14:$H$20,'Aging Detail'!$F$14:$F$20),TRUE)</f>
        <v>1</v>
      </c>
    </row>
    <row r="90" spans="1:19" hidden="1">
      <c r="A90" t="s">
        <v>3474</v>
      </c>
      <c r="B90" t="s">
        <v>3475</v>
      </c>
      <c r="C90" t="s">
        <v>338</v>
      </c>
      <c r="D90" t="s">
        <v>3457</v>
      </c>
      <c r="E90">
        <v>575200</v>
      </c>
      <c r="F90" s="422">
        <v>46752</v>
      </c>
      <c r="G90" s="422">
        <v>45169</v>
      </c>
      <c r="H90" t="s">
        <v>1486</v>
      </c>
      <c r="I90" t="s">
        <v>169</v>
      </c>
      <c r="K90" t="s">
        <v>3374</v>
      </c>
      <c r="L90" t="s">
        <v>3476</v>
      </c>
      <c r="M90">
        <v>475200</v>
      </c>
      <c r="N90">
        <v>402</v>
      </c>
      <c r="O90" t="str">
        <f>_xlfn.IFNA(VLOOKUP(Table2[[#This Row],[Lead Source]],'helper tab'!A:B,2,FALSE),"Exclude")</f>
        <v>Exclude</v>
      </c>
      <c r="P90" s="476">
        <f ca="1">TODAY() - Table2[[#This Row],[Created Date]]</f>
        <v>1089</v>
      </c>
      <c r="Q90">
        <f>IF(OR(Table2[[#This Row],[Stage]]="Propose",Table2[[#This Row],[Stage]]="Procure"),1,0)</f>
        <v>0</v>
      </c>
      <c r="R90">
        <f>IF(Table2[[#This Row],[Stage]]="Closed Won",1,0)</f>
        <v>0</v>
      </c>
      <c r="S90" t="b">
        <f>IFERROR(_xlfn.XLOOKUP(Table2[[#This Row],[Opportunity ID]],'Aging Detail'!$H$14:$H$20,'Aging Detail'!$F$14:$F$20),TRUE)</f>
        <v>1</v>
      </c>
    </row>
    <row r="91" spans="1:19" hidden="1">
      <c r="A91" t="s">
        <v>3474</v>
      </c>
      <c r="B91" t="s">
        <v>3477</v>
      </c>
      <c r="C91" t="s">
        <v>338</v>
      </c>
      <c r="D91" t="s">
        <v>3457</v>
      </c>
      <c r="E91">
        <v>50000</v>
      </c>
      <c r="F91" s="422">
        <v>46752</v>
      </c>
      <c r="G91" s="422">
        <v>45162</v>
      </c>
      <c r="H91" t="s">
        <v>1486</v>
      </c>
      <c r="I91" t="s">
        <v>169</v>
      </c>
      <c r="K91" t="s">
        <v>3374</v>
      </c>
      <c r="L91" t="s">
        <v>3478</v>
      </c>
      <c r="M91">
        <v>50000</v>
      </c>
      <c r="N91">
        <v>402</v>
      </c>
      <c r="O91" t="str">
        <f>_xlfn.IFNA(VLOOKUP(Table2[[#This Row],[Lead Source]],'helper tab'!A:B,2,FALSE),"Exclude")</f>
        <v>Exclude</v>
      </c>
      <c r="P91" s="476">
        <f ca="1">TODAY() - Table2[[#This Row],[Created Date]]</f>
        <v>1096</v>
      </c>
      <c r="Q91">
        <f>IF(OR(Table2[[#This Row],[Stage]]="Propose",Table2[[#This Row],[Stage]]="Procure"),1,0)</f>
        <v>0</v>
      </c>
      <c r="R91">
        <f>IF(Table2[[#This Row],[Stage]]="Closed Won",1,0)</f>
        <v>0</v>
      </c>
      <c r="S91" t="b">
        <f>IFERROR(_xlfn.XLOOKUP(Table2[[#This Row],[Opportunity ID]],'Aging Detail'!$H$14:$H$20,'Aging Detail'!$F$14:$F$20),TRUE)</f>
        <v>1</v>
      </c>
    </row>
    <row r="92" spans="1:19" hidden="1">
      <c r="A92" t="s">
        <v>1585</v>
      </c>
      <c r="B92" t="s">
        <v>3479</v>
      </c>
      <c r="C92" t="s">
        <v>408</v>
      </c>
      <c r="D92" t="s">
        <v>3457</v>
      </c>
      <c r="E92">
        <v>1045000</v>
      </c>
      <c r="F92" s="422">
        <v>46738</v>
      </c>
      <c r="G92" s="422">
        <v>45805</v>
      </c>
      <c r="H92" t="s">
        <v>148</v>
      </c>
      <c r="I92" t="s">
        <v>169</v>
      </c>
      <c r="K92" t="s">
        <v>3379</v>
      </c>
      <c r="L92" t="s">
        <v>3480</v>
      </c>
      <c r="M92">
        <v>780000</v>
      </c>
      <c r="N92">
        <v>431</v>
      </c>
      <c r="O92" t="str">
        <f>_xlfn.IFNA(VLOOKUP(Table2[[#This Row],[Lead Source]],'helper tab'!A:B,2,FALSE),"Exclude")</f>
        <v>Alliances</v>
      </c>
      <c r="P92" s="476">
        <f ca="1">TODAY() - Table2[[#This Row],[Created Date]]</f>
        <v>453</v>
      </c>
      <c r="Q92">
        <f>IF(OR(Table2[[#This Row],[Stage]]="Propose",Table2[[#This Row],[Stage]]="Procure"),1,0)</f>
        <v>0</v>
      </c>
      <c r="R92">
        <f>IF(Table2[[#This Row],[Stage]]="Closed Won",1,0)</f>
        <v>0</v>
      </c>
      <c r="S92" t="b">
        <f>IFERROR(_xlfn.XLOOKUP(Table2[[#This Row],[Opportunity ID]],'Aging Detail'!$H$14:$H$20,'Aging Detail'!$F$14:$F$20),TRUE)</f>
        <v>1</v>
      </c>
    </row>
    <row r="93" spans="1:19">
      <c r="A93" t="s">
        <v>1581</v>
      </c>
      <c r="B93" t="s">
        <v>1579</v>
      </c>
      <c r="C93" t="s">
        <v>1462</v>
      </c>
      <c r="D93" t="s">
        <v>3349</v>
      </c>
      <c r="E93">
        <v>564000</v>
      </c>
      <c r="F93" s="422">
        <v>46535</v>
      </c>
      <c r="G93" s="422">
        <v>46168</v>
      </c>
      <c r="H93" t="s">
        <v>148</v>
      </c>
      <c r="I93" t="s">
        <v>169</v>
      </c>
      <c r="K93" t="s">
        <v>3379</v>
      </c>
      <c r="L93" t="s">
        <v>1580</v>
      </c>
      <c r="M93">
        <v>504000</v>
      </c>
      <c r="N93">
        <v>5</v>
      </c>
      <c r="O93" t="str">
        <f>_xlfn.IFNA(VLOOKUP(Table2[[#This Row],[Lead Source]],'helper tab'!A:B,2,FALSE),"Exclude")</f>
        <v>Alliances</v>
      </c>
      <c r="P93" s="476">
        <f ca="1">TODAY() - Table2[[#This Row],[Created Date]]</f>
        <v>90</v>
      </c>
      <c r="Q93">
        <f>IF(OR(Table2[[#This Row],[Stage]]="Propose",Table2[[#This Row],[Stage]]="Procure"),1,0)</f>
        <v>0</v>
      </c>
      <c r="R93">
        <f>IF(Table2[[#This Row],[Stage]]="Closed Won",1,0)</f>
        <v>0</v>
      </c>
      <c r="S93" t="b">
        <f>IFERROR(_xlfn.XLOOKUP(Table2[[#This Row],[Opportunity ID]],'Aging Detail'!$H$14:$H$20,'Aging Detail'!$F$14:$F$20),TRUE)</f>
        <v>1</v>
      </c>
    </row>
    <row r="94" spans="1:19" hidden="1">
      <c r="A94" t="s">
        <v>1585</v>
      </c>
      <c r="B94" t="s">
        <v>1583</v>
      </c>
      <c r="C94" t="s">
        <v>1462</v>
      </c>
      <c r="D94" t="s">
        <v>3359</v>
      </c>
      <c r="E94">
        <v>2900000</v>
      </c>
      <c r="F94" s="422">
        <v>46374</v>
      </c>
      <c r="G94" s="422">
        <v>45995</v>
      </c>
      <c r="H94" t="s">
        <v>148</v>
      </c>
      <c r="I94" t="s">
        <v>169</v>
      </c>
      <c r="J94" t="s">
        <v>3360</v>
      </c>
      <c r="K94" t="s">
        <v>3379</v>
      </c>
      <c r="L94" t="s">
        <v>1584</v>
      </c>
      <c r="M94">
        <v>2760000</v>
      </c>
      <c r="N94">
        <v>5</v>
      </c>
      <c r="O94" t="str">
        <f>_xlfn.IFNA(VLOOKUP(Table2[[#This Row],[Lead Source]],'helper tab'!A:B,2,FALSE),"Exclude")</f>
        <v>Alliances</v>
      </c>
      <c r="P94" s="476">
        <f ca="1">TODAY() - Table2[[#This Row],[Created Date]]</f>
        <v>263</v>
      </c>
      <c r="Q94">
        <f>IF(OR(Table2[[#This Row],[Stage]]="Propose",Table2[[#This Row],[Stage]]="Procure"),1,0)</f>
        <v>0</v>
      </c>
      <c r="R94">
        <f>IF(Table2[[#This Row],[Stage]]="Closed Won",1,0)</f>
        <v>0</v>
      </c>
      <c r="S94" t="b">
        <f>IFERROR(_xlfn.XLOOKUP(Table2[[#This Row],[Opportunity ID]],'Aging Detail'!$H$14:$H$20,'Aging Detail'!$F$14:$F$20),TRUE)</f>
        <v>1</v>
      </c>
    </row>
    <row r="95" spans="1:19" hidden="1">
      <c r="A95" t="s">
        <v>3481</v>
      </c>
      <c r="B95" t="s">
        <v>3482</v>
      </c>
      <c r="C95" t="s">
        <v>338</v>
      </c>
      <c r="D95" t="s">
        <v>3359</v>
      </c>
      <c r="E95">
        <v>575400</v>
      </c>
      <c r="F95" s="422">
        <v>46371</v>
      </c>
      <c r="G95" s="422">
        <v>46010</v>
      </c>
      <c r="H95" t="s">
        <v>1464</v>
      </c>
      <c r="I95" t="s">
        <v>169</v>
      </c>
      <c r="K95" t="s">
        <v>3386</v>
      </c>
      <c r="L95" t="s">
        <v>3483</v>
      </c>
      <c r="M95">
        <v>410400</v>
      </c>
      <c r="N95">
        <v>227</v>
      </c>
      <c r="O95" t="str">
        <f>_xlfn.IFNA(VLOOKUP(Table2[[#This Row],[Lead Source]],'helper tab'!A:B,2,FALSE),"Exclude")</f>
        <v>Cold</v>
      </c>
      <c r="P95" s="476">
        <f ca="1">TODAY() - Table2[[#This Row],[Created Date]]</f>
        <v>248</v>
      </c>
      <c r="Q95">
        <f>IF(OR(Table2[[#This Row],[Stage]]="Propose",Table2[[#This Row],[Stage]]="Procure"),1,0)</f>
        <v>0</v>
      </c>
      <c r="R95">
        <f>IF(Table2[[#This Row],[Stage]]="Closed Won",1,0)</f>
        <v>0</v>
      </c>
      <c r="S95" t="b">
        <f>IFERROR(_xlfn.XLOOKUP(Table2[[#This Row],[Opportunity ID]],'Aging Detail'!$H$14:$H$20,'Aging Detail'!$F$14:$F$20),TRUE)</f>
        <v>1</v>
      </c>
    </row>
    <row r="96" spans="1:19" hidden="1">
      <c r="A96" t="s">
        <v>2029</v>
      </c>
      <c r="B96" t="s">
        <v>2029</v>
      </c>
      <c r="C96" t="s">
        <v>1462</v>
      </c>
      <c r="D96" t="s">
        <v>3349</v>
      </c>
      <c r="E96">
        <v>1205000</v>
      </c>
      <c r="F96" s="422">
        <v>46486</v>
      </c>
      <c r="G96" s="422">
        <v>45868</v>
      </c>
      <c r="H96" t="s">
        <v>148</v>
      </c>
      <c r="I96" t="s">
        <v>169</v>
      </c>
      <c r="J96" t="s">
        <v>3484</v>
      </c>
      <c r="K96" t="s">
        <v>3390</v>
      </c>
      <c r="L96" t="s">
        <v>2351</v>
      </c>
      <c r="M96">
        <v>990000</v>
      </c>
      <c r="N96">
        <v>206</v>
      </c>
      <c r="O96" t="str">
        <f>_xlfn.IFNA(VLOOKUP(Table2[[#This Row],[Lead Source]],'helper tab'!A:B,2,FALSE),"Exclude")</f>
        <v>Alliances</v>
      </c>
      <c r="P96" s="476">
        <f ca="1">TODAY() - Table2[[#This Row],[Created Date]]</f>
        <v>390</v>
      </c>
      <c r="Q96">
        <f>IF(OR(Table2[[#This Row],[Stage]]="Propose",Table2[[#This Row],[Stage]]="Procure"),1,0)</f>
        <v>0</v>
      </c>
      <c r="R96">
        <f>IF(Table2[[#This Row],[Stage]]="Closed Won",1,0)</f>
        <v>0</v>
      </c>
      <c r="S96" t="b">
        <f>IFERROR(_xlfn.XLOOKUP(Table2[[#This Row],[Opportunity ID]],'Aging Detail'!$H$14:$H$20,'Aging Detail'!$F$14:$F$20),TRUE)</f>
        <v>1</v>
      </c>
    </row>
    <row r="97" spans="1:19">
      <c r="A97" t="s">
        <v>2029</v>
      </c>
      <c r="B97" t="s">
        <v>2027</v>
      </c>
      <c r="C97" t="s">
        <v>462</v>
      </c>
      <c r="D97" t="s">
        <v>3359</v>
      </c>
      <c r="E97">
        <v>0</v>
      </c>
      <c r="F97" s="422">
        <v>46325</v>
      </c>
      <c r="G97" s="422">
        <v>46084</v>
      </c>
      <c r="H97" t="s">
        <v>148</v>
      </c>
      <c r="I97" t="s">
        <v>169</v>
      </c>
      <c r="K97" t="s">
        <v>3390</v>
      </c>
      <c r="L97" t="s">
        <v>2028</v>
      </c>
      <c r="M97">
        <v>0</v>
      </c>
      <c r="N97">
        <v>108</v>
      </c>
      <c r="O97" t="str">
        <f>_xlfn.IFNA(VLOOKUP(Table2[[#This Row],[Lead Source]],'helper tab'!A:B,2,FALSE),"Exclude")</f>
        <v>Alliances</v>
      </c>
      <c r="P97" s="476">
        <f ca="1">TODAY() - Table2[[#This Row],[Created Date]]</f>
        <v>174</v>
      </c>
      <c r="Q97">
        <f>IF(OR(Table2[[#This Row],[Stage]]="Propose",Table2[[#This Row],[Stage]]="Procure"),1,0)</f>
        <v>1</v>
      </c>
      <c r="R97">
        <f>IF(Table2[[#This Row],[Stage]]="Closed Won",1,0)</f>
        <v>0</v>
      </c>
      <c r="S97" t="b">
        <f>IFERROR(_xlfn.XLOOKUP(Table2[[#This Row],[Opportunity ID]],'Aging Detail'!$H$14:$H$20,'Aging Detail'!$F$14:$F$20),TRUE)</f>
        <v>1</v>
      </c>
    </row>
    <row r="98" spans="1:19">
      <c r="A98" t="s">
        <v>1528</v>
      </c>
      <c r="B98" t="s">
        <v>1526</v>
      </c>
      <c r="C98" t="s">
        <v>462</v>
      </c>
      <c r="D98" t="s">
        <v>3361</v>
      </c>
      <c r="E98">
        <v>210184</v>
      </c>
      <c r="F98" s="422">
        <v>46290</v>
      </c>
      <c r="G98" s="422">
        <v>46195</v>
      </c>
      <c r="H98" t="s">
        <v>148</v>
      </c>
      <c r="I98" t="s">
        <v>169</v>
      </c>
      <c r="K98" t="s">
        <v>3390</v>
      </c>
      <c r="L98" t="s">
        <v>1527</v>
      </c>
      <c r="M98">
        <v>140184</v>
      </c>
      <c r="N98">
        <v>3</v>
      </c>
      <c r="O98" t="str">
        <f>_xlfn.IFNA(VLOOKUP(Table2[[#This Row],[Lead Source]],'helper tab'!A:B,2,FALSE),"Exclude")</f>
        <v>Alliances</v>
      </c>
      <c r="P98" s="476">
        <f ca="1">TODAY() - Table2[[#This Row],[Created Date]]</f>
        <v>63</v>
      </c>
      <c r="Q98">
        <f>IF(OR(Table2[[#This Row],[Stage]]="Propose",Table2[[#This Row],[Stage]]="Procure"),1,0)</f>
        <v>1</v>
      </c>
      <c r="R98">
        <f>IF(Table2[[#This Row],[Stage]]="Closed Won",1,0)</f>
        <v>0</v>
      </c>
      <c r="S98" t="b">
        <f>IFERROR(_xlfn.XLOOKUP(Table2[[#This Row],[Opportunity ID]],'Aging Detail'!$H$14:$H$20,'Aging Detail'!$F$14:$F$20),TRUE)</f>
        <v>1</v>
      </c>
    </row>
    <row r="99" spans="1:19">
      <c r="A99" t="s">
        <v>3485</v>
      </c>
      <c r="B99" t="s">
        <v>3486</v>
      </c>
      <c r="C99" t="s">
        <v>408</v>
      </c>
      <c r="D99" t="s">
        <v>3359</v>
      </c>
      <c r="E99">
        <v>454960</v>
      </c>
      <c r="F99" s="422">
        <v>46373</v>
      </c>
      <c r="G99" s="422">
        <v>46107</v>
      </c>
      <c r="H99" t="s">
        <v>148</v>
      </c>
      <c r="I99" t="s">
        <v>155</v>
      </c>
      <c r="K99" t="s">
        <v>3350</v>
      </c>
      <c r="L99" t="s">
        <v>3487</v>
      </c>
      <c r="M99">
        <v>300960</v>
      </c>
      <c r="N99">
        <v>63</v>
      </c>
      <c r="O99" t="str">
        <f>_xlfn.IFNA(VLOOKUP(Table2[[#This Row],[Lead Source]],'helper tab'!A:B,2,FALSE),"Exclude")</f>
        <v>Alliances</v>
      </c>
      <c r="P99" s="476">
        <f ca="1">TODAY() - Table2[[#This Row],[Created Date]]</f>
        <v>151</v>
      </c>
      <c r="Q99">
        <f>IF(OR(Table2[[#This Row],[Stage]]="Propose",Table2[[#This Row],[Stage]]="Procure"),1,0)</f>
        <v>0</v>
      </c>
      <c r="R99">
        <f>IF(Table2[[#This Row],[Stage]]="Closed Won",1,0)</f>
        <v>0</v>
      </c>
      <c r="S99" t="b">
        <f>IFERROR(_xlfn.XLOOKUP(Table2[[#This Row],[Opportunity ID]],'Aging Detail'!$H$14:$H$20,'Aging Detail'!$F$14:$F$20),TRUE)</f>
        <v>1</v>
      </c>
    </row>
    <row r="100" spans="1:19" hidden="1">
      <c r="A100" t="s">
        <v>1758</v>
      </c>
      <c r="B100" t="s">
        <v>2429</v>
      </c>
      <c r="C100" t="s">
        <v>1469</v>
      </c>
      <c r="D100" t="s">
        <v>3361</v>
      </c>
      <c r="E100">
        <v>493320</v>
      </c>
      <c r="F100" s="422">
        <v>46265</v>
      </c>
      <c r="G100" s="422">
        <v>45600</v>
      </c>
      <c r="H100" t="s">
        <v>148</v>
      </c>
      <c r="I100" t="s">
        <v>155</v>
      </c>
      <c r="J100" t="s">
        <v>3488</v>
      </c>
      <c r="K100" t="s">
        <v>3405</v>
      </c>
      <c r="L100" t="s">
        <v>2430</v>
      </c>
      <c r="M100">
        <v>493320</v>
      </c>
      <c r="N100">
        <v>242</v>
      </c>
      <c r="O100" t="str">
        <f>_xlfn.IFNA(VLOOKUP(Table2[[#This Row],[Lead Source]],'helper tab'!A:B,2,FALSE),"Exclude")</f>
        <v>Alliances</v>
      </c>
      <c r="P100" s="476">
        <f ca="1">TODAY() - Table2[[#This Row],[Created Date]]</f>
        <v>658</v>
      </c>
      <c r="Q100">
        <f>IF(OR(Table2[[#This Row],[Stage]]="Propose",Table2[[#This Row],[Stage]]="Procure"),1,0)</f>
        <v>0</v>
      </c>
      <c r="R100">
        <f>IF(Table2[[#This Row],[Stage]]="Closed Won",1,0)</f>
        <v>0</v>
      </c>
      <c r="S100" t="b">
        <f>IFERROR(_xlfn.XLOOKUP(Table2[[#This Row],[Opportunity ID]],'Aging Detail'!$H$14:$H$20,'Aging Detail'!$F$14:$F$20),TRUE)</f>
        <v>1</v>
      </c>
    </row>
    <row r="101" spans="1:19" hidden="1">
      <c r="A101" t="s">
        <v>2937</v>
      </c>
      <c r="B101" t="s">
        <v>2935</v>
      </c>
      <c r="C101" t="s">
        <v>563</v>
      </c>
      <c r="D101" t="s">
        <v>3415</v>
      </c>
      <c r="E101">
        <v>979000</v>
      </c>
      <c r="F101" s="422">
        <v>45835</v>
      </c>
      <c r="G101" s="422">
        <v>45271</v>
      </c>
      <c r="H101" t="s">
        <v>148</v>
      </c>
      <c r="I101" t="s">
        <v>155</v>
      </c>
      <c r="K101" t="s">
        <v>3405</v>
      </c>
      <c r="L101" t="s">
        <v>2936</v>
      </c>
      <c r="M101">
        <v>445000</v>
      </c>
      <c r="N101">
        <v>399</v>
      </c>
      <c r="O101" t="str">
        <f>_xlfn.IFNA(VLOOKUP(Table2[[#This Row],[Lead Source]],'helper tab'!A:B,2,FALSE),"Exclude")</f>
        <v>Alliances</v>
      </c>
      <c r="P101" s="476">
        <f ca="1">TODAY() - Table2[[#This Row],[Created Date]]</f>
        <v>987</v>
      </c>
      <c r="Q101">
        <f>IF(OR(Table2[[#This Row],[Stage]]="Propose",Table2[[#This Row],[Stage]]="Procure"),1,0)</f>
        <v>0</v>
      </c>
      <c r="R101">
        <f>IF(Table2[[#This Row],[Stage]]="Closed Won",1,0)</f>
        <v>1</v>
      </c>
      <c r="S101" t="b">
        <f>IFERROR(_xlfn.XLOOKUP(Table2[[#This Row],[Opportunity ID]],'Aging Detail'!$H$14:$H$20,'Aging Detail'!$F$14:$F$20),TRUE)</f>
        <v>1</v>
      </c>
    </row>
    <row r="102" spans="1:19" hidden="1">
      <c r="A102" t="s">
        <v>3489</v>
      </c>
      <c r="B102" t="s">
        <v>3490</v>
      </c>
      <c r="C102" t="s">
        <v>1469</v>
      </c>
      <c r="D102" t="s">
        <v>3366</v>
      </c>
      <c r="F102" s="422">
        <v>45747</v>
      </c>
      <c r="G102" s="422">
        <v>44651</v>
      </c>
      <c r="H102" t="s">
        <v>148</v>
      </c>
      <c r="I102" t="s">
        <v>155</v>
      </c>
      <c r="K102" t="s">
        <v>3405</v>
      </c>
      <c r="L102" t="s">
        <v>3491</v>
      </c>
      <c r="M102">
        <v>0</v>
      </c>
      <c r="N102">
        <v>1586</v>
      </c>
      <c r="O102" t="str">
        <f>_xlfn.IFNA(VLOOKUP(Table2[[#This Row],[Lead Source]],'helper tab'!A:B,2,FALSE),"Exclude")</f>
        <v>Alliances</v>
      </c>
      <c r="P102" s="476">
        <f ca="1">TODAY() - Table2[[#This Row],[Created Date]]</f>
        <v>1607</v>
      </c>
      <c r="Q102">
        <f>IF(OR(Table2[[#This Row],[Stage]]="Propose",Table2[[#This Row],[Stage]]="Procure"),1,0)</f>
        <v>0</v>
      </c>
      <c r="R102">
        <f>IF(Table2[[#This Row],[Stage]]="Closed Won",1,0)</f>
        <v>0</v>
      </c>
      <c r="S102" t="b">
        <f>IFERROR(_xlfn.XLOOKUP(Table2[[#This Row],[Opportunity ID]],'Aging Detail'!$H$14:$H$20,'Aging Detail'!$F$14:$F$20),TRUE)</f>
        <v>1</v>
      </c>
    </row>
    <row r="103" spans="1:19" hidden="1">
      <c r="A103" t="s">
        <v>3492</v>
      </c>
      <c r="B103" t="s">
        <v>3493</v>
      </c>
      <c r="C103" t="s">
        <v>1469</v>
      </c>
      <c r="D103" t="s">
        <v>3368</v>
      </c>
      <c r="F103" s="422">
        <v>45657</v>
      </c>
      <c r="G103" s="422">
        <v>44875</v>
      </c>
      <c r="H103" t="s">
        <v>148</v>
      </c>
      <c r="I103" t="s">
        <v>155</v>
      </c>
      <c r="K103" t="s">
        <v>3405</v>
      </c>
      <c r="L103" t="s">
        <v>3494</v>
      </c>
      <c r="M103">
        <v>0</v>
      </c>
      <c r="N103">
        <v>1362</v>
      </c>
      <c r="O103" t="str">
        <f>_xlfn.IFNA(VLOOKUP(Table2[[#This Row],[Lead Source]],'helper tab'!A:B,2,FALSE),"Exclude")</f>
        <v>Alliances</v>
      </c>
      <c r="P103" s="476">
        <f ca="1">TODAY() - Table2[[#This Row],[Created Date]]</f>
        <v>1383</v>
      </c>
      <c r="Q103">
        <f>IF(OR(Table2[[#This Row],[Stage]]="Propose",Table2[[#This Row],[Stage]]="Procure"),1,0)</f>
        <v>0</v>
      </c>
      <c r="R103">
        <f>IF(Table2[[#This Row],[Stage]]="Closed Won",1,0)</f>
        <v>0</v>
      </c>
      <c r="S103" t="b">
        <f>IFERROR(_xlfn.XLOOKUP(Table2[[#This Row],[Opportunity ID]],'Aging Detail'!$H$14:$H$20,'Aging Detail'!$F$14:$F$20),TRUE)</f>
        <v>1</v>
      </c>
    </row>
    <row r="104" spans="1:19" hidden="1">
      <c r="A104" t="s">
        <v>2937</v>
      </c>
      <c r="B104" t="s">
        <v>3495</v>
      </c>
      <c r="C104" t="s">
        <v>563</v>
      </c>
      <c r="D104" t="s">
        <v>3368</v>
      </c>
      <c r="E104">
        <v>35000</v>
      </c>
      <c r="F104" s="422">
        <v>45608</v>
      </c>
      <c r="G104" s="422">
        <v>45224</v>
      </c>
      <c r="H104" t="s">
        <v>148</v>
      </c>
      <c r="I104" t="s">
        <v>155</v>
      </c>
      <c r="K104" t="s">
        <v>3405</v>
      </c>
      <c r="L104" t="s">
        <v>3496</v>
      </c>
      <c r="M104">
        <v>35000</v>
      </c>
      <c r="N104">
        <v>629</v>
      </c>
      <c r="O104" t="str">
        <f>_xlfn.IFNA(VLOOKUP(Table2[[#This Row],[Lead Source]],'helper tab'!A:B,2,FALSE),"Exclude")</f>
        <v>Alliances</v>
      </c>
      <c r="P104" s="476">
        <f ca="1">TODAY() - Table2[[#This Row],[Created Date]]</f>
        <v>1034</v>
      </c>
      <c r="Q104">
        <f>IF(OR(Table2[[#This Row],[Stage]]="Propose",Table2[[#This Row],[Stage]]="Procure"),1,0)</f>
        <v>0</v>
      </c>
      <c r="R104">
        <f>IF(Table2[[#This Row],[Stage]]="Closed Won",1,0)</f>
        <v>1</v>
      </c>
      <c r="S104" t="b">
        <f>IFERROR(_xlfn.XLOOKUP(Table2[[#This Row],[Opportunity ID]],'Aging Detail'!$H$14:$H$20,'Aging Detail'!$F$14:$F$20),TRUE)</f>
        <v>1</v>
      </c>
    </row>
    <row r="105" spans="1:19" hidden="1">
      <c r="A105" t="s">
        <v>3497</v>
      </c>
      <c r="B105" t="s">
        <v>3498</v>
      </c>
      <c r="C105" t="s">
        <v>563</v>
      </c>
      <c r="D105" t="s">
        <v>3499</v>
      </c>
      <c r="F105" s="422">
        <v>44629</v>
      </c>
      <c r="G105" s="422">
        <v>43561</v>
      </c>
      <c r="H105" t="s">
        <v>1486</v>
      </c>
      <c r="I105" t="s">
        <v>155</v>
      </c>
      <c r="K105" t="s">
        <v>3405</v>
      </c>
      <c r="L105" t="s">
        <v>3500</v>
      </c>
      <c r="M105">
        <v>0</v>
      </c>
      <c r="N105">
        <v>2676</v>
      </c>
      <c r="O105" t="str">
        <f>_xlfn.IFNA(VLOOKUP(Table2[[#This Row],[Lead Source]],'helper tab'!A:B,2,FALSE),"Exclude")</f>
        <v>Exclude</v>
      </c>
      <c r="P105" s="476">
        <f ca="1">TODAY() - Table2[[#This Row],[Created Date]]</f>
        <v>2697</v>
      </c>
      <c r="Q105">
        <f>IF(OR(Table2[[#This Row],[Stage]]="Propose",Table2[[#This Row],[Stage]]="Procure"),1,0)</f>
        <v>0</v>
      </c>
      <c r="R105">
        <f>IF(Table2[[#This Row],[Stage]]="Closed Won",1,0)</f>
        <v>1</v>
      </c>
      <c r="S105" t="b">
        <f>IFERROR(_xlfn.XLOOKUP(Table2[[#This Row],[Opportunity ID]],'Aging Detail'!$H$14:$H$20,'Aging Detail'!$F$14:$F$20),TRUE)</f>
        <v>1</v>
      </c>
    </row>
    <row r="106" spans="1:19" hidden="1">
      <c r="A106" t="s">
        <v>1758</v>
      </c>
      <c r="B106" t="s">
        <v>3501</v>
      </c>
      <c r="C106" t="s">
        <v>563</v>
      </c>
      <c r="D106" t="s">
        <v>3409</v>
      </c>
      <c r="F106" s="422">
        <v>44391</v>
      </c>
      <c r="G106" s="422">
        <v>44049</v>
      </c>
      <c r="H106" t="s">
        <v>148</v>
      </c>
      <c r="I106" t="s">
        <v>155</v>
      </c>
      <c r="K106" t="s">
        <v>3405</v>
      </c>
      <c r="L106" t="s">
        <v>3502</v>
      </c>
      <c r="M106">
        <v>0</v>
      </c>
      <c r="N106">
        <v>2188</v>
      </c>
      <c r="O106" t="str">
        <f>_xlfn.IFNA(VLOOKUP(Table2[[#This Row],[Lead Source]],'helper tab'!A:B,2,FALSE),"Exclude")</f>
        <v>Alliances</v>
      </c>
      <c r="P106" s="476">
        <f ca="1">TODAY() - Table2[[#This Row],[Created Date]]</f>
        <v>2209</v>
      </c>
      <c r="Q106">
        <f>IF(OR(Table2[[#This Row],[Stage]]="Propose",Table2[[#This Row],[Stage]]="Procure"),1,0)</f>
        <v>0</v>
      </c>
      <c r="R106">
        <f>IF(Table2[[#This Row],[Stage]]="Closed Won",1,0)</f>
        <v>1</v>
      </c>
      <c r="S106" t="b">
        <f>IFERROR(_xlfn.XLOOKUP(Table2[[#This Row],[Opportunity ID]],'Aging Detail'!$H$14:$H$20,'Aging Detail'!$F$14:$F$20),TRUE)</f>
        <v>1</v>
      </c>
    </row>
    <row r="107" spans="1:19" hidden="1">
      <c r="A107" t="s">
        <v>3497</v>
      </c>
      <c r="B107" t="s">
        <v>3503</v>
      </c>
      <c r="C107" t="s">
        <v>563</v>
      </c>
      <c r="D107" t="s">
        <v>3504</v>
      </c>
      <c r="F107" s="422">
        <v>44130</v>
      </c>
      <c r="G107" s="422">
        <v>44043</v>
      </c>
      <c r="H107" t="s">
        <v>1486</v>
      </c>
      <c r="I107" t="s">
        <v>155</v>
      </c>
      <c r="K107" t="s">
        <v>3405</v>
      </c>
      <c r="L107" t="s">
        <v>3505</v>
      </c>
      <c r="M107">
        <v>0</v>
      </c>
      <c r="N107">
        <v>2194</v>
      </c>
      <c r="O107" t="str">
        <f>_xlfn.IFNA(VLOOKUP(Table2[[#This Row],[Lead Source]],'helper tab'!A:B,2,FALSE),"Exclude")</f>
        <v>Exclude</v>
      </c>
      <c r="P107" s="476">
        <f ca="1">TODAY() - Table2[[#This Row],[Created Date]]</f>
        <v>2215</v>
      </c>
      <c r="Q107">
        <f>IF(OR(Table2[[#This Row],[Stage]]="Propose",Table2[[#This Row],[Stage]]="Procure"),1,0)</f>
        <v>0</v>
      </c>
      <c r="R107">
        <f>IF(Table2[[#This Row],[Stage]]="Closed Won",1,0)</f>
        <v>1</v>
      </c>
      <c r="S107" t="b">
        <f>IFERROR(_xlfn.XLOOKUP(Table2[[#This Row],[Opportunity ID]],'Aging Detail'!$H$14:$H$20,'Aging Detail'!$F$14:$F$20),TRUE)</f>
        <v>1</v>
      </c>
    </row>
    <row r="108" spans="1:19" hidden="1">
      <c r="A108" t="s">
        <v>2305</v>
      </c>
      <c r="B108" t="s">
        <v>2833</v>
      </c>
      <c r="C108" t="s">
        <v>1469</v>
      </c>
      <c r="D108" t="s">
        <v>3364</v>
      </c>
      <c r="E108">
        <v>44000</v>
      </c>
      <c r="F108" s="422">
        <v>45898</v>
      </c>
      <c r="G108" s="422">
        <v>45569</v>
      </c>
      <c r="I108" t="s">
        <v>155</v>
      </c>
      <c r="K108" t="s">
        <v>3365</v>
      </c>
      <c r="L108" t="s">
        <v>2834</v>
      </c>
      <c r="M108">
        <v>15000</v>
      </c>
      <c r="N108">
        <v>355</v>
      </c>
      <c r="O108" t="str">
        <f>_xlfn.IFNA(VLOOKUP(Table2[[#This Row],[Lead Source]],'helper tab'!A:B,2,FALSE),"Exclude")</f>
        <v>Exclude</v>
      </c>
      <c r="P108" s="476">
        <f ca="1">TODAY() - Table2[[#This Row],[Created Date]]</f>
        <v>689</v>
      </c>
      <c r="Q108">
        <f>IF(OR(Table2[[#This Row],[Stage]]="Propose",Table2[[#This Row],[Stage]]="Procure"),1,0)</f>
        <v>0</v>
      </c>
      <c r="R108">
        <f>IF(Table2[[#This Row],[Stage]]="Closed Won",1,0)</f>
        <v>0</v>
      </c>
      <c r="S108" t="b">
        <f>IFERROR(_xlfn.XLOOKUP(Table2[[#This Row],[Opportunity ID]],'Aging Detail'!$H$14:$H$20,'Aging Detail'!$F$14:$F$20),TRUE)</f>
        <v>1</v>
      </c>
    </row>
    <row r="109" spans="1:19" hidden="1">
      <c r="A109" t="s">
        <v>1887</v>
      </c>
      <c r="B109" t="s">
        <v>3506</v>
      </c>
      <c r="C109" t="s">
        <v>563</v>
      </c>
      <c r="D109" t="s">
        <v>3507</v>
      </c>
      <c r="F109" s="422">
        <v>44224</v>
      </c>
      <c r="G109" s="422">
        <v>43952</v>
      </c>
      <c r="H109" t="s">
        <v>1488</v>
      </c>
      <c r="I109" t="s">
        <v>155</v>
      </c>
      <c r="K109" t="s">
        <v>3379</v>
      </c>
      <c r="L109" t="s">
        <v>3508</v>
      </c>
      <c r="M109">
        <v>0</v>
      </c>
      <c r="N109">
        <v>2285</v>
      </c>
      <c r="O109" t="str">
        <f>_xlfn.IFNA(VLOOKUP(Table2[[#This Row],[Lead Source]],'helper tab'!A:B,2,FALSE),"Exclude")</f>
        <v>Alliances</v>
      </c>
      <c r="P109" s="476">
        <f ca="1">TODAY() - Table2[[#This Row],[Created Date]]</f>
        <v>2306</v>
      </c>
      <c r="Q109">
        <f>IF(OR(Table2[[#This Row],[Stage]]="Propose",Table2[[#This Row],[Stage]]="Procure"),1,0)</f>
        <v>0</v>
      </c>
      <c r="R109">
        <f>IF(Table2[[#This Row],[Stage]]="Closed Won",1,0)</f>
        <v>1</v>
      </c>
      <c r="S109" t="b">
        <f>IFERROR(_xlfn.XLOOKUP(Table2[[#This Row],[Opportunity ID]],'Aging Detail'!$H$14:$H$20,'Aging Detail'!$F$14:$F$20),TRUE)</f>
        <v>1</v>
      </c>
    </row>
    <row r="110" spans="1:19" hidden="1">
      <c r="A110" t="s">
        <v>3509</v>
      </c>
      <c r="B110" t="s">
        <v>3510</v>
      </c>
      <c r="C110" t="s">
        <v>408</v>
      </c>
      <c r="D110" t="s">
        <v>3385</v>
      </c>
      <c r="E110">
        <v>100000</v>
      </c>
      <c r="F110" s="422">
        <v>46617</v>
      </c>
      <c r="G110" s="422">
        <v>45797</v>
      </c>
      <c r="H110" t="s">
        <v>148</v>
      </c>
      <c r="I110" t="s">
        <v>155</v>
      </c>
      <c r="J110" t="s">
        <v>3360</v>
      </c>
      <c r="K110" t="s">
        <v>3386</v>
      </c>
      <c r="L110" t="s">
        <v>3511</v>
      </c>
      <c r="M110">
        <v>100000</v>
      </c>
      <c r="N110">
        <v>367</v>
      </c>
      <c r="O110" t="str">
        <f>_xlfn.IFNA(VLOOKUP(Table2[[#This Row],[Lead Source]],'helper tab'!A:B,2,FALSE),"Exclude")</f>
        <v>Alliances</v>
      </c>
      <c r="P110" s="476">
        <f ca="1">TODAY() - Table2[[#This Row],[Created Date]]</f>
        <v>461</v>
      </c>
      <c r="Q110">
        <f>IF(OR(Table2[[#This Row],[Stage]]="Propose",Table2[[#This Row],[Stage]]="Procure"),1,0)</f>
        <v>0</v>
      </c>
      <c r="R110">
        <f>IF(Table2[[#This Row],[Stage]]="Closed Won",1,0)</f>
        <v>0</v>
      </c>
      <c r="S110" t="b">
        <f>IFERROR(_xlfn.XLOOKUP(Table2[[#This Row],[Opportunity ID]],'Aging Detail'!$H$14:$H$20,'Aging Detail'!$F$14:$F$20),TRUE)</f>
        <v>1</v>
      </c>
    </row>
    <row r="111" spans="1:19" hidden="1">
      <c r="A111" t="s">
        <v>3512</v>
      </c>
      <c r="B111" t="s">
        <v>3513</v>
      </c>
      <c r="C111" t="s">
        <v>408</v>
      </c>
      <c r="D111" t="s">
        <v>3359</v>
      </c>
      <c r="E111">
        <v>536000</v>
      </c>
      <c r="F111" s="422">
        <v>46339</v>
      </c>
      <c r="G111" s="422">
        <v>45855</v>
      </c>
      <c r="H111" t="s">
        <v>148</v>
      </c>
      <c r="I111" t="s">
        <v>155</v>
      </c>
      <c r="J111" t="s">
        <v>1186</v>
      </c>
      <c r="K111" t="s">
        <v>3386</v>
      </c>
      <c r="L111" t="s">
        <v>3514</v>
      </c>
      <c r="M111">
        <v>436000</v>
      </c>
      <c r="N111">
        <v>367</v>
      </c>
      <c r="O111" t="str">
        <f>_xlfn.IFNA(VLOOKUP(Table2[[#This Row],[Lead Source]],'helper tab'!A:B,2,FALSE),"Exclude")</f>
        <v>Alliances</v>
      </c>
      <c r="P111" s="476">
        <f ca="1">TODAY() - Table2[[#This Row],[Created Date]]</f>
        <v>403</v>
      </c>
      <c r="Q111">
        <f>IF(OR(Table2[[#This Row],[Stage]]="Propose",Table2[[#This Row],[Stage]]="Procure"),1,0)</f>
        <v>0</v>
      </c>
      <c r="R111">
        <f>IF(Table2[[#This Row],[Stage]]="Closed Won",1,0)</f>
        <v>0</v>
      </c>
      <c r="S111" t="b">
        <f>IFERROR(_xlfn.XLOOKUP(Table2[[#This Row],[Opportunity ID]],'Aging Detail'!$H$14:$H$20,'Aging Detail'!$F$14:$F$20),TRUE)</f>
        <v>1</v>
      </c>
    </row>
    <row r="112" spans="1:19" hidden="1">
      <c r="A112" t="s">
        <v>2449</v>
      </c>
      <c r="B112" t="s">
        <v>2446</v>
      </c>
      <c r="C112" t="s">
        <v>1469</v>
      </c>
      <c r="D112" t="s">
        <v>3380</v>
      </c>
      <c r="E112">
        <v>248232</v>
      </c>
      <c r="F112" s="422">
        <v>46072</v>
      </c>
      <c r="G112" s="422">
        <v>45618</v>
      </c>
      <c r="H112" t="s">
        <v>148</v>
      </c>
      <c r="I112" t="s">
        <v>2447</v>
      </c>
      <c r="J112" t="s">
        <v>3484</v>
      </c>
      <c r="K112" t="s">
        <v>3398</v>
      </c>
      <c r="L112" t="s">
        <v>2448</v>
      </c>
      <c r="M112">
        <v>83232</v>
      </c>
      <c r="N112">
        <v>243</v>
      </c>
      <c r="O112" t="str">
        <f>_xlfn.IFNA(VLOOKUP(Table2[[#This Row],[Lead Source]],'helper tab'!A:B,2,FALSE),"Exclude")</f>
        <v>Alliances</v>
      </c>
      <c r="P112" s="476">
        <f ca="1">TODAY() - Table2[[#This Row],[Created Date]]</f>
        <v>640</v>
      </c>
      <c r="Q112">
        <f>IF(OR(Table2[[#This Row],[Stage]]="Propose",Table2[[#This Row],[Stage]]="Procure"),1,0)</f>
        <v>0</v>
      </c>
      <c r="R112">
        <f>IF(Table2[[#This Row],[Stage]]="Closed Won",1,0)</f>
        <v>0</v>
      </c>
      <c r="S112" t="b">
        <f>IFERROR(_xlfn.XLOOKUP(Table2[[#This Row],[Opportunity ID]],'Aging Detail'!$H$14:$H$20,'Aging Detail'!$F$14:$F$20),TRUE)</f>
        <v>1</v>
      </c>
    </row>
    <row r="113" spans="1:19" hidden="1">
      <c r="A113" t="s">
        <v>2683</v>
      </c>
      <c r="B113" t="s">
        <v>2681</v>
      </c>
      <c r="C113" t="s">
        <v>1469</v>
      </c>
      <c r="D113" t="s">
        <v>3363</v>
      </c>
      <c r="E113">
        <v>144000</v>
      </c>
      <c r="F113" s="422">
        <v>46010</v>
      </c>
      <c r="G113" s="422">
        <v>45555</v>
      </c>
      <c r="H113" t="s">
        <v>148</v>
      </c>
      <c r="I113" t="s">
        <v>2447</v>
      </c>
      <c r="K113" t="s">
        <v>3398</v>
      </c>
      <c r="L113" t="s">
        <v>2682</v>
      </c>
      <c r="M113">
        <v>144000</v>
      </c>
      <c r="N113">
        <v>304</v>
      </c>
      <c r="O113" t="str">
        <f>_xlfn.IFNA(VLOOKUP(Table2[[#This Row],[Lead Source]],'helper tab'!A:B,2,FALSE),"Exclude")</f>
        <v>Alliances</v>
      </c>
      <c r="P113" s="476">
        <f ca="1">TODAY() - Table2[[#This Row],[Created Date]]</f>
        <v>703</v>
      </c>
      <c r="Q113">
        <f>IF(OR(Table2[[#This Row],[Stage]]="Propose",Table2[[#This Row],[Stage]]="Procure"),1,0)</f>
        <v>0</v>
      </c>
      <c r="R113">
        <f>IF(Table2[[#This Row],[Stage]]="Closed Won",1,0)</f>
        <v>0</v>
      </c>
      <c r="S113" t="b">
        <f>IFERROR(_xlfn.XLOOKUP(Table2[[#This Row],[Opportunity ID]],'Aging Detail'!$H$14:$H$20,'Aging Detail'!$F$14:$F$20),TRUE)</f>
        <v>1</v>
      </c>
    </row>
    <row r="114" spans="1:19" hidden="1">
      <c r="A114" t="s">
        <v>3515</v>
      </c>
      <c r="B114" t="s">
        <v>3516</v>
      </c>
      <c r="C114" t="s">
        <v>338</v>
      </c>
      <c r="D114" t="s">
        <v>3457</v>
      </c>
      <c r="E114">
        <v>109200</v>
      </c>
      <c r="F114" s="422">
        <v>46752</v>
      </c>
      <c r="G114" s="422">
        <v>45559</v>
      </c>
      <c r="H114" t="s">
        <v>148</v>
      </c>
      <c r="I114" t="s">
        <v>2447</v>
      </c>
      <c r="K114" t="s">
        <v>3374</v>
      </c>
      <c r="L114" t="s">
        <v>3517</v>
      </c>
      <c r="M114">
        <v>109200</v>
      </c>
      <c r="N114">
        <v>391</v>
      </c>
      <c r="O114" t="str">
        <f>_xlfn.IFNA(VLOOKUP(Table2[[#This Row],[Lead Source]],'helper tab'!A:B,2,FALSE),"Exclude")</f>
        <v>Alliances</v>
      </c>
      <c r="P114" s="476">
        <f ca="1">TODAY() - Table2[[#This Row],[Created Date]]</f>
        <v>699</v>
      </c>
      <c r="Q114">
        <f>IF(OR(Table2[[#This Row],[Stage]]="Propose",Table2[[#This Row],[Stage]]="Procure"),1,0)</f>
        <v>0</v>
      </c>
      <c r="R114">
        <f>IF(Table2[[#This Row],[Stage]]="Closed Won",1,0)</f>
        <v>0</v>
      </c>
      <c r="S114" t="b">
        <f>IFERROR(_xlfn.XLOOKUP(Table2[[#This Row],[Opportunity ID]],'Aging Detail'!$H$14:$H$20,'Aging Detail'!$F$14:$F$20),TRUE)</f>
        <v>1</v>
      </c>
    </row>
    <row r="115" spans="1:19" hidden="1">
      <c r="A115" t="s">
        <v>3515</v>
      </c>
      <c r="B115" t="s">
        <v>3518</v>
      </c>
      <c r="C115" t="s">
        <v>338</v>
      </c>
      <c r="D115" t="s">
        <v>3349</v>
      </c>
      <c r="E115">
        <v>50000</v>
      </c>
      <c r="F115" s="422">
        <v>46568</v>
      </c>
      <c r="G115" s="422">
        <v>45559</v>
      </c>
      <c r="H115" t="s">
        <v>148</v>
      </c>
      <c r="I115" t="s">
        <v>2447</v>
      </c>
      <c r="K115" t="s">
        <v>3374</v>
      </c>
      <c r="L115" t="s">
        <v>3519</v>
      </c>
      <c r="M115">
        <v>50000</v>
      </c>
      <c r="N115">
        <v>391</v>
      </c>
      <c r="O115" t="str">
        <f>_xlfn.IFNA(VLOOKUP(Table2[[#This Row],[Lead Source]],'helper tab'!A:B,2,FALSE),"Exclude")</f>
        <v>Alliances</v>
      </c>
      <c r="P115" s="476">
        <f ca="1">TODAY() - Table2[[#This Row],[Created Date]]</f>
        <v>699</v>
      </c>
      <c r="Q115">
        <f>IF(OR(Table2[[#This Row],[Stage]]="Propose",Table2[[#This Row],[Stage]]="Procure"),1,0)</f>
        <v>0</v>
      </c>
      <c r="R115">
        <f>IF(Table2[[#This Row],[Stage]]="Closed Won",1,0)</f>
        <v>0</v>
      </c>
      <c r="S115" t="b">
        <f>IFERROR(_xlfn.XLOOKUP(Table2[[#This Row],[Opportunity ID]],'Aging Detail'!$H$14:$H$20,'Aging Detail'!$F$14:$F$20),TRUE)</f>
        <v>1</v>
      </c>
    </row>
    <row r="116" spans="1:19" hidden="1">
      <c r="A116" t="s">
        <v>3520</v>
      </c>
      <c r="B116" t="s">
        <v>3521</v>
      </c>
      <c r="C116" t="s">
        <v>408</v>
      </c>
      <c r="D116" t="s">
        <v>3385</v>
      </c>
      <c r="E116">
        <v>380000</v>
      </c>
      <c r="F116" s="422">
        <v>46648</v>
      </c>
      <c r="G116" s="422">
        <v>45824</v>
      </c>
      <c r="H116" t="s">
        <v>148</v>
      </c>
      <c r="I116" t="s">
        <v>3522</v>
      </c>
      <c r="J116" t="s">
        <v>3360</v>
      </c>
      <c r="K116" t="s">
        <v>3386</v>
      </c>
      <c r="L116" t="s">
        <v>3523</v>
      </c>
      <c r="M116">
        <v>380000</v>
      </c>
      <c r="N116">
        <v>413</v>
      </c>
      <c r="O116" t="str">
        <f>_xlfn.IFNA(VLOOKUP(Table2[[#This Row],[Lead Source]],'helper tab'!A:B,2,FALSE),"Exclude")</f>
        <v>Alliances</v>
      </c>
      <c r="P116" s="476">
        <f ca="1">TODAY() - Table2[[#This Row],[Created Date]]</f>
        <v>434</v>
      </c>
      <c r="Q116">
        <f>IF(OR(Table2[[#This Row],[Stage]]="Propose",Table2[[#This Row],[Stage]]="Procure"),1,0)</f>
        <v>0</v>
      </c>
      <c r="R116">
        <f>IF(Table2[[#This Row],[Stage]]="Closed Won",1,0)</f>
        <v>0</v>
      </c>
      <c r="S116" t="b">
        <f>IFERROR(_xlfn.XLOOKUP(Table2[[#This Row],[Opportunity ID]],'Aging Detail'!$H$14:$H$20,'Aging Detail'!$F$14:$F$20),TRUE)</f>
        <v>1</v>
      </c>
    </row>
    <row r="117" spans="1:19" hidden="1">
      <c r="A117" t="s">
        <v>3524</v>
      </c>
      <c r="B117" t="s">
        <v>3525</v>
      </c>
      <c r="C117" t="s">
        <v>338</v>
      </c>
      <c r="D117" t="s">
        <v>3385</v>
      </c>
      <c r="E117">
        <v>100000</v>
      </c>
      <c r="F117" s="422">
        <v>46622</v>
      </c>
      <c r="G117" s="422">
        <v>45775</v>
      </c>
      <c r="H117" t="s">
        <v>148</v>
      </c>
      <c r="I117" t="s">
        <v>3522</v>
      </c>
      <c r="J117" t="s">
        <v>3360</v>
      </c>
      <c r="K117" t="s">
        <v>3386</v>
      </c>
      <c r="L117" t="s">
        <v>3526</v>
      </c>
      <c r="M117">
        <v>100000</v>
      </c>
      <c r="N117">
        <v>462</v>
      </c>
      <c r="O117" t="str">
        <f>_xlfn.IFNA(VLOOKUP(Table2[[#This Row],[Lead Source]],'helper tab'!A:B,2,FALSE),"Exclude")</f>
        <v>Alliances</v>
      </c>
      <c r="P117" s="476">
        <f ca="1">TODAY() - Table2[[#This Row],[Created Date]]</f>
        <v>483</v>
      </c>
      <c r="Q117">
        <f>IF(OR(Table2[[#This Row],[Stage]]="Propose",Table2[[#This Row],[Stage]]="Procure"),1,0)</f>
        <v>0</v>
      </c>
      <c r="R117">
        <f>IF(Table2[[#This Row],[Stage]]="Closed Won",1,0)</f>
        <v>0</v>
      </c>
      <c r="S117" t="b">
        <f>IFERROR(_xlfn.XLOOKUP(Table2[[#This Row],[Opportunity ID]],'Aging Detail'!$H$14:$H$20,'Aging Detail'!$F$14:$F$20),TRUE)</f>
        <v>1</v>
      </c>
    </row>
    <row r="118" spans="1:19" hidden="1">
      <c r="A118" t="s">
        <v>2214</v>
      </c>
      <c r="B118" t="s">
        <v>2212</v>
      </c>
      <c r="C118" t="s">
        <v>1469</v>
      </c>
      <c r="D118" t="s">
        <v>3359</v>
      </c>
      <c r="E118">
        <v>1052000</v>
      </c>
      <c r="F118" s="422">
        <v>46346</v>
      </c>
      <c r="G118" s="422">
        <v>45548</v>
      </c>
      <c r="H118" t="s">
        <v>148</v>
      </c>
      <c r="I118" t="s">
        <v>2037</v>
      </c>
      <c r="K118" t="s">
        <v>3379</v>
      </c>
      <c r="L118" t="s">
        <v>2213</v>
      </c>
      <c r="M118">
        <v>792000</v>
      </c>
      <c r="N118">
        <v>157</v>
      </c>
      <c r="O118" t="str">
        <f>_xlfn.IFNA(VLOOKUP(Table2[[#This Row],[Lead Source]],'helper tab'!A:B,2,FALSE),"Exclude")</f>
        <v>Alliances</v>
      </c>
      <c r="P118" s="476">
        <f ca="1">TODAY() - Table2[[#This Row],[Created Date]]</f>
        <v>710</v>
      </c>
      <c r="Q118">
        <f>IF(OR(Table2[[#This Row],[Stage]]="Propose",Table2[[#This Row],[Stage]]="Procure"),1,0)</f>
        <v>0</v>
      </c>
      <c r="R118">
        <f>IF(Table2[[#This Row],[Stage]]="Closed Won",1,0)</f>
        <v>0</v>
      </c>
      <c r="S118" t="b">
        <f>IFERROR(_xlfn.XLOOKUP(Table2[[#This Row],[Opportunity ID]],'Aging Detail'!$H$14:$H$20,'Aging Detail'!$F$14:$F$20),TRUE)</f>
        <v>1</v>
      </c>
    </row>
    <row r="119" spans="1:19" hidden="1">
      <c r="A119" t="s">
        <v>2039</v>
      </c>
      <c r="B119" t="s">
        <v>2036</v>
      </c>
      <c r="C119" t="s">
        <v>1469</v>
      </c>
      <c r="D119" t="s">
        <v>3362</v>
      </c>
      <c r="E119">
        <v>760000</v>
      </c>
      <c r="F119" s="422">
        <v>46126</v>
      </c>
      <c r="G119" s="422">
        <v>45889</v>
      </c>
      <c r="H119" t="s">
        <v>148</v>
      </c>
      <c r="I119" t="s">
        <v>2037</v>
      </c>
      <c r="J119" t="s">
        <v>3360</v>
      </c>
      <c r="K119" t="s">
        <v>3379</v>
      </c>
      <c r="L119" t="s">
        <v>2038</v>
      </c>
      <c r="M119">
        <v>600000</v>
      </c>
      <c r="N119">
        <v>111</v>
      </c>
      <c r="O119" t="str">
        <f>_xlfn.IFNA(VLOOKUP(Table2[[#This Row],[Lead Source]],'helper tab'!A:B,2,FALSE),"Exclude")</f>
        <v>Alliances</v>
      </c>
      <c r="P119" s="476">
        <f ca="1">TODAY() - Table2[[#This Row],[Created Date]]</f>
        <v>369</v>
      </c>
      <c r="Q119">
        <f>IF(OR(Table2[[#This Row],[Stage]]="Propose",Table2[[#This Row],[Stage]]="Procure"),1,0)</f>
        <v>0</v>
      </c>
      <c r="R119">
        <f>IF(Table2[[#This Row],[Stage]]="Closed Won",1,0)</f>
        <v>0</v>
      </c>
      <c r="S119" t="b">
        <f>IFERROR(_xlfn.XLOOKUP(Table2[[#This Row],[Opportunity ID]],'Aging Detail'!$H$14:$H$20,'Aging Detail'!$F$14:$F$20),TRUE)</f>
        <v>1</v>
      </c>
    </row>
    <row r="120" spans="1:19" hidden="1">
      <c r="A120" t="s">
        <v>2267</v>
      </c>
      <c r="B120" t="s">
        <v>2264</v>
      </c>
      <c r="C120" t="s">
        <v>1469</v>
      </c>
      <c r="D120" t="s">
        <v>3380</v>
      </c>
      <c r="E120">
        <v>181600</v>
      </c>
      <c r="F120" s="422">
        <v>46057</v>
      </c>
      <c r="G120" s="422">
        <v>45596</v>
      </c>
      <c r="H120" t="s">
        <v>148</v>
      </c>
      <c r="I120" t="s">
        <v>2265</v>
      </c>
      <c r="K120" t="s">
        <v>3350</v>
      </c>
      <c r="L120" t="s">
        <v>2266</v>
      </c>
      <c r="M120">
        <v>81600</v>
      </c>
      <c r="N120">
        <v>180</v>
      </c>
      <c r="O120" t="str">
        <f>_xlfn.IFNA(VLOOKUP(Table2[[#This Row],[Lead Source]],'helper tab'!A:B,2,FALSE),"Exclude")</f>
        <v>Alliances</v>
      </c>
      <c r="P120" s="476">
        <f ca="1">TODAY() - Table2[[#This Row],[Created Date]]</f>
        <v>662</v>
      </c>
      <c r="Q120">
        <f>IF(OR(Table2[[#This Row],[Stage]]="Propose",Table2[[#This Row],[Stage]]="Procure"),1,0)</f>
        <v>0</v>
      </c>
      <c r="R120">
        <f>IF(Table2[[#This Row],[Stage]]="Closed Won",1,0)</f>
        <v>0</v>
      </c>
      <c r="S120" t="b">
        <f>IFERROR(_xlfn.XLOOKUP(Table2[[#This Row],[Opportunity ID]],'Aging Detail'!$H$14:$H$20,'Aging Detail'!$F$14:$F$20),TRUE)</f>
        <v>1</v>
      </c>
    </row>
    <row r="121" spans="1:19" hidden="1">
      <c r="A121" t="s">
        <v>3527</v>
      </c>
      <c r="B121" t="s">
        <v>3528</v>
      </c>
      <c r="C121" t="s">
        <v>1469</v>
      </c>
      <c r="D121" t="s">
        <v>3361</v>
      </c>
      <c r="E121">
        <v>2240000</v>
      </c>
      <c r="F121" s="422">
        <v>46210</v>
      </c>
      <c r="G121" s="422">
        <v>44621</v>
      </c>
      <c r="H121" t="s">
        <v>148</v>
      </c>
      <c r="I121" t="s">
        <v>2287</v>
      </c>
      <c r="K121" t="s">
        <v>3350</v>
      </c>
      <c r="L121" t="s">
        <v>3529</v>
      </c>
      <c r="M121">
        <v>1980000</v>
      </c>
      <c r="N121">
        <v>27</v>
      </c>
      <c r="O121" t="str">
        <f>_xlfn.IFNA(VLOOKUP(Table2[[#This Row],[Lead Source]],'helper tab'!A:B,2,FALSE),"Exclude")</f>
        <v>Alliances</v>
      </c>
      <c r="P121" s="476">
        <f ca="1">TODAY() - Table2[[#This Row],[Created Date]]</f>
        <v>1637</v>
      </c>
      <c r="Q121">
        <f>IF(OR(Table2[[#This Row],[Stage]]="Propose",Table2[[#This Row],[Stage]]="Procure"),1,0)</f>
        <v>0</v>
      </c>
      <c r="R121">
        <f>IF(Table2[[#This Row],[Stage]]="Closed Won",1,0)</f>
        <v>0</v>
      </c>
      <c r="S121" t="b">
        <f>IFERROR(_xlfn.XLOOKUP(Table2[[#This Row],[Opportunity ID]],'Aging Detail'!$H$14:$H$20,'Aging Detail'!$F$14:$F$20),TRUE)</f>
        <v>1</v>
      </c>
    </row>
    <row r="122" spans="1:19" hidden="1">
      <c r="A122" t="s">
        <v>3527</v>
      </c>
      <c r="B122" t="s">
        <v>3530</v>
      </c>
      <c r="C122" t="s">
        <v>1469</v>
      </c>
      <c r="D122" t="s">
        <v>3361</v>
      </c>
      <c r="E122">
        <v>1000000</v>
      </c>
      <c r="F122" s="422">
        <v>46210</v>
      </c>
      <c r="G122" s="422">
        <v>44448</v>
      </c>
      <c r="H122" t="s">
        <v>148</v>
      </c>
      <c r="I122" t="s">
        <v>2287</v>
      </c>
      <c r="K122" t="s">
        <v>3350</v>
      </c>
      <c r="L122" t="s">
        <v>3531</v>
      </c>
      <c r="M122">
        <v>660000</v>
      </c>
      <c r="N122">
        <v>27</v>
      </c>
      <c r="O122" t="str">
        <f>_xlfn.IFNA(VLOOKUP(Table2[[#This Row],[Lead Source]],'helper tab'!A:B,2,FALSE),"Exclude")</f>
        <v>Alliances</v>
      </c>
      <c r="P122" s="476">
        <f ca="1">TODAY() - Table2[[#This Row],[Created Date]]</f>
        <v>1810</v>
      </c>
      <c r="Q122">
        <f>IF(OR(Table2[[#This Row],[Stage]]="Propose",Table2[[#This Row],[Stage]]="Procure"),1,0)</f>
        <v>0</v>
      </c>
      <c r="R122">
        <f>IF(Table2[[#This Row],[Stage]]="Closed Won",1,0)</f>
        <v>0</v>
      </c>
      <c r="S122" t="b">
        <f>IFERROR(_xlfn.XLOOKUP(Table2[[#This Row],[Opportunity ID]],'Aging Detail'!$H$14:$H$20,'Aging Detail'!$F$14:$F$20),TRUE)</f>
        <v>1</v>
      </c>
    </row>
    <row r="123" spans="1:19" hidden="1">
      <c r="A123" t="s">
        <v>3527</v>
      </c>
      <c r="B123" t="s">
        <v>3532</v>
      </c>
      <c r="C123" t="s">
        <v>1469</v>
      </c>
      <c r="D123" t="s">
        <v>3361</v>
      </c>
      <c r="E123">
        <v>50000</v>
      </c>
      <c r="F123" s="422">
        <v>46209</v>
      </c>
      <c r="G123" s="422">
        <v>44754</v>
      </c>
      <c r="H123" t="s">
        <v>148</v>
      </c>
      <c r="I123" t="s">
        <v>2287</v>
      </c>
      <c r="J123" t="s">
        <v>3360</v>
      </c>
      <c r="K123" t="s">
        <v>3350</v>
      </c>
      <c r="L123" t="s">
        <v>3533</v>
      </c>
      <c r="M123">
        <v>50000</v>
      </c>
      <c r="N123">
        <v>28</v>
      </c>
      <c r="O123" t="str">
        <f>_xlfn.IFNA(VLOOKUP(Table2[[#This Row],[Lead Source]],'helper tab'!A:B,2,FALSE),"Exclude")</f>
        <v>Alliances</v>
      </c>
      <c r="P123" s="476">
        <f ca="1">TODAY() - Table2[[#This Row],[Created Date]]</f>
        <v>1504</v>
      </c>
      <c r="Q123">
        <f>IF(OR(Table2[[#This Row],[Stage]]="Propose",Table2[[#This Row],[Stage]]="Procure"),1,0)</f>
        <v>0</v>
      </c>
      <c r="R123">
        <f>IF(Table2[[#This Row],[Stage]]="Closed Won",1,0)</f>
        <v>0</v>
      </c>
      <c r="S123" t="b">
        <f>IFERROR(_xlfn.XLOOKUP(Table2[[#This Row],[Opportunity ID]],'Aging Detail'!$H$14:$H$20,'Aging Detail'!$F$14:$F$20),TRUE)</f>
        <v>1</v>
      </c>
    </row>
    <row r="124" spans="1:19" hidden="1">
      <c r="A124" t="s">
        <v>2289</v>
      </c>
      <c r="B124" t="s">
        <v>2286</v>
      </c>
      <c r="C124" t="s">
        <v>1469</v>
      </c>
      <c r="D124" t="s">
        <v>3380</v>
      </c>
      <c r="E124">
        <v>179000</v>
      </c>
      <c r="F124" s="422">
        <v>46052</v>
      </c>
      <c r="G124" s="422">
        <v>45130</v>
      </c>
      <c r="H124" t="s">
        <v>148</v>
      </c>
      <c r="I124" t="s">
        <v>2287</v>
      </c>
      <c r="K124" t="s">
        <v>3350</v>
      </c>
      <c r="L124" t="s">
        <v>2288</v>
      </c>
      <c r="M124">
        <v>39000</v>
      </c>
      <c r="N124">
        <v>185</v>
      </c>
      <c r="O124" t="str">
        <f>_xlfn.IFNA(VLOOKUP(Table2[[#This Row],[Lead Source]],'helper tab'!A:B,2,FALSE),"Exclude")</f>
        <v>Alliances</v>
      </c>
      <c r="P124" s="476">
        <f ca="1">TODAY() - Table2[[#This Row],[Created Date]]</f>
        <v>1128</v>
      </c>
      <c r="Q124">
        <f>IF(OR(Table2[[#This Row],[Stage]]="Propose",Table2[[#This Row],[Stage]]="Procure"),1,0)</f>
        <v>0</v>
      </c>
      <c r="R124">
        <f>IF(Table2[[#This Row],[Stage]]="Closed Won",1,0)</f>
        <v>0</v>
      </c>
      <c r="S124" t="b">
        <f>IFERROR(_xlfn.XLOOKUP(Table2[[#This Row],[Opportunity ID]],'Aging Detail'!$H$14:$H$20,'Aging Detail'!$F$14:$F$20),TRUE)</f>
        <v>1</v>
      </c>
    </row>
    <row r="125" spans="1:19" hidden="1">
      <c r="A125" t="s">
        <v>3534</v>
      </c>
      <c r="B125" t="s">
        <v>3535</v>
      </c>
      <c r="C125" t="s">
        <v>1469</v>
      </c>
      <c r="D125" t="s">
        <v>3364</v>
      </c>
      <c r="E125">
        <v>179000</v>
      </c>
      <c r="F125" s="422">
        <v>45930</v>
      </c>
      <c r="G125" s="422">
        <v>45131</v>
      </c>
      <c r="H125" t="s">
        <v>148</v>
      </c>
      <c r="I125" t="s">
        <v>2287</v>
      </c>
      <c r="K125" t="s">
        <v>3350</v>
      </c>
      <c r="L125" t="s">
        <v>3536</v>
      </c>
      <c r="M125">
        <v>39000</v>
      </c>
      <c r="N125">
        <v>573</v>
      </c>
      <c r="O125" t="str">
        <f>_xlfn.IFNA(VLOOKUP(Table2[[#This Row],[Lead Source]],'helper tab'!A:B,2,FALSE),"Exclude")</f>
        <v>Alliances</v>
      </c>
      <c r="P125" s="476">
        <f ca="1">TODAY() - Table2[[#This Row],[Created Date]]</f>
        <v>1127</v>
      </c>
      <c r="Q125">
        <f>IF(OR(Table2[[#This Row],[Stage]]="Propose",Table2[[#This Row],[Stage]]="Procure"),1,0)</f>
        <v>0</v>
      </c>
      <c r="R125">
        <f>IF(Table2[[#This Row],[Stage]]="Closed Won",1,0)</f>
        <v>0</v>
      </c>
      <c r="S125" t="b">
        <f>IFERROR(_xlfn.XLOOKUP(Table2[[#This Row],[Opportunity ID]],'Aging Detail'!$H$14:$H$20,'Aging Detail'!$F$14:$F$20),TRUE)</f>
        <v>1</v>
      </c>
    </row>
    <row r="126" spans="1:19" hidden="1">
      <c r="A126" t="s">
        <v>2406</v>
      </c>
      <c r="B126" t="s">
        <v>2404</v>
      </c>
      <c r="C126" t="s">
        <v>563</v>
      </c>
      <c r="D126" t="s">
        <v>3363</v>
      </c>
      <c r="E126">
        <v>15000</v>
      </c>
      <c r="F126" s="422">
        <v>45968</v>
      </c>
      <c r="G126" s="422">
        <v>45845</v>
      </c>
      <c r="H126" t="s">
        <v>148</v>
      </c>
      <c r="I126" t="s">
        <v>2287</v>
      </c>
      <c r="K126" t="s">
        <v>3365</v>
      </c>
      <c r="L126" t="s">
        <v>2405</v>
      </c>
      <c r="M126">
        <v>15000</v>
      </c>
      <c r="N126">
        <v>223</v>
      </c>
      <c r="O126" t="str">
        <f>_xlfn.IFNA(VLOOKUP(Table2[[#This Row],[Lead Source]],'helper tab'!A:B,2,FALSE),"Exclude")</f>
        <v>Alliances</v>
      </c>
      <c r="P126" s="476">
        <f ca="1">TODAY() - Table2[[#This Row],[Created Date]]</f>
        <v>413</v>
      </c>
      <c r="Q126">
        <f>IF(OR(Table2[[#This Row],[Stage]]="Propose",Table2[[#This Row],[Stage]]="Procure"),1,0)</f>
        <v>0</v>
      </c>
      <c r="R126">
        <f>IF(Table2[[#This Row],[Stage]]="Closed Won",1,0)</f>
        <v>1</v>
      </c>
      <c r="S126" t="b">
        <f>IFERROR(_xlfn.XLOOKUP(Table2[[#This Row],[Opportunity ID]],'Aging Detail'!$H$14:$H$20,'Aging Detail'!$F$14:$F$20),TRUE)</f>
        <v>1</v>
      </c>
    </row>
    <row r="127" spans="1:19" hidden="1">
      <c r="A127" t="s">
        <v>3537</v>
      </c>
      <c r="B127" t="s">
        <v>3538</v>
      </c>
      <c r="C127" t="s">
        <v>1462</v>
      </c>
      <c r="D127" t="s">
        <v>3352</v>
      </c>
      <c r="E127">
        <v>492552</v>
      </c>
      <c r="F127" s="422">
        <v>46428</v>
      </c>
      <c r="G127" s="422">
        <v>45331</v>
      </c>
      <c r="H127" t="s">
        <v>1485</v>
      </c>
      <c r="I127" t="s">
        <v>1873</v>
      </c>
      <c r="K127" t="s">
        <v>3398</v>
      </c>
      <c r="L127" t="s">
        <v>3539</v>
      </c>
      <c r="M127">
        <v>402552</v>
      </c>
      <c r="N127">
        <v>665</v>
      </c>
      <c r="O127" t="str">
        <f>_xlfn.IFNA(VLOOKUP(Table2[[#This Row],[Lead Source]],'helper tab'!A:B,2,FALSE),"Exclude")</f>
        <v>Digital</v>
      </c>
      <c r="P127" s="476">
        <f ca="1">TODAY() - Table2[[#This Row],[Created Date]]</f>
        <v>927</v>
      </c>
      <c r="Q127">
        <f>IF(OR(Table2[[#This Row],[Stage]]="Propose",Table2[[#This Row],[Stage]]="Procure"),1,0)</f>
        <v>0</v>
      </c>
      <c r="R127">
        <f>IF(Table2[[#This Row],[Stage]]="Closed Won",1,0)</f>
        <v>0</v>
      </c>
      <c r="S127" t="b">
        <f>IFERROR(_xlfn.XLOOKUP(Table2[[#This Row],[Opportunity ID]],'Aging Detail'!$H$14:$H$20,'Aging Detail'!$F$14:$F$20),TRUE)</f>
        <v>1</v>
      </c>
    </row>
    <row r="128" spans="1:19" hidden="1">
      <c r="A128" t="s">
        <v>2165</v>
      </c>
      <c r="B128" t="s">
        <v>2163</v>
      </c>
      <c r="C128" t="s">
        <v>1469</v>
      </c>
      <c r="D128" t="s">
        <v>3380</v>
      </c>
      <c r="E128">
        <v>86400</v>
      </c>
      <c r="F128" s="422">
        <v>46094</v>
      </c>
      <c r="G128" s="422">
        <v>45566</v>
      </c>
      <c r="H128" t="s">
        <v>148</v>
      </c>
      <c r="I128" t="s">
        <v>1873</v>
      </c>
      <c r="J128" t="s">
        <v>3360</v>
      </c>
      <c r="K128" t="s">
        <v>3374</v>
      </c>
      <c r="L128" t="s">
        <v>2164</v>
      </c>
      <c r="M128">
        <v>86400</v>
      </c>
      <c r="N128">
        <v>143</v>
      </c>
      <c r="O128" t="str">
        <f>_xlfn.IFNA(VLOOKUP(Table2[[#This Row],[Lead Source]],'helper tab'!A:B,2,FALSE),"Exclude")</f>
        <v>Alliances</v>
      </c>
      <c r="P128" s="476">
        <f ca="1">TODAY() - Table2[[#This Row],[Created Date]]</f>
        <v>692</v>
      </c>
      <c r="Q128">
        <f>IF(OR(Table2[[#This Row],[Stage]]="Propose",Table2[[#This Row],[Stage]]="Procure"),1,0)</f>
        <v>0</v>
      </c>
      <c r="R128">
        <f>IF(Table2[[#This Row],[Stage]]="Closed Won",1,0)</f>
        <v>0</v>
      </c>
      <c r="S128" t="b">
        <f>IFERROR(_xlfn.XLOOKUP(Table2[[#This Row],[Opportunity ID]],'Aging Detail'!$H$14:$H$20,'Aging Detail'!$F$14:$F$20),TRUE)</f>
        <v>1</v>
      </c>
    </row>
    <row r="129" spans="1:19" hidden="1">
      <c r="A129" t="s">
        <v>2165</v>
      </c>
      <c r="B129" t="s">
        <v>2167</v>
      </c>
      <c r="C129" t="s">
        <v>1469</v>
      </c>
      <c r="D129" t="s">
        <v>3380</v>
      </c>
      <c r="E129">
        <v>50000</v>
      </c>
      <c r="F129" s="422">
        <v>46094</v>
      </c>
      <c r="G129" s="422">
        <v>45566</v>
      </c>
      <c r="H129" t="s">
        <v>148</v>
      </c>
      <c r="I129" t="s">
        <v>1873</v>
      </c>
      <c r="J129" t="s">
        <v>3360</v>
      </c>
      <c r="K129" t="s">
        <v>3374</v>
      </c>
      <c r="L129" t="s">
        <v>2168</v>
      </c>
      <c r="M129">
        <v>50000</v>
      </c>
      <c r="N129">
        <v>143</v>
      </c>
      <c r="O129" t="str">
        <f>_xlfn.IFNA(VLOOKUP(Table2[[#This Row],[Lead Source]],'helper tab'!A:B,2,FALSE),"Exclude")</f>
        <v>Alliances</v>
      </c>
      <c r="P129" s="476">
        <f ca="1">TODAY() - Table2[[#This Row],[Created Date]]</f>
        <v>692</v>
      </c>
      <c r="Q129">
        <f>IF(OR(Table2[[#This Row],[Stage]]="Propose",Table2[[#This Row],[Stage]]="Procure"),1,0)</f>
        <v>0</v>
      </c>
      <c r="R129">
        <f>IF(Table2[[#This Row],[Stage]]="Closed Won",1,0)</f>
        <v>0</v>
      </c>
      <c r="S129" t="b">
        <f>IFERROR(_xlfn.XLOOKUP(Table2[[#This Row],[Opportunity ID]],'Aging Detail'!$H$14:$H$20,'Aging Detail'!$F$14:$F$20),TRUE)</f>
        <v>1</v>
      </c>
    </row>
    <row r="130" spans="1:19" hidden="1">
      <c r="A130" t="s">
        <v>3540</v>
      </c>
      <c r="B130" t="s">
        <v>3541</v>
      </c>
      <c r="C130" t="s">
        <v>408</v>
      </c>
      <c r="D130" t="s">
        <v>3359</v>
      </c>
      <c r="E130">
        <v>111400</v>
      </c>
      <c r="F130" s="422">
        <v>46344</v>
      </c>
      <c r="G130" s="422">
        <v>45838</v>
      </c>
      <c r="H130" t="s">
        <v>148</v>
      </c>
      <c r="I130" t="s">
        <v>2105</v>
      </c>
      <c r="J130" t="s">
        <v>3360</v>
      </c>
      <c r="K130" t="s">
        <v>3374</v>
      </c>
      <c r="L130" t="s">
        <v>3542</v>
      </c>
      <c r="M130">
        <v>86400</v>
      </c>
      <c r="N130">
        <v>399</v>
      </c>
      <c r="O130" t="str">
        <f>_xlfn.IFNA(VLOOKUP(Table2[[#This Row],[Lead Source]],'helper tab'!A:B,2,FALSE),"Exclude")</f>
        <v>Alliances</v>
      </c>
      <c r="P130" s="476">
        <f ca="1">TODAY() - Table2[[#This Row],[Created Date]]</f>
        <v>420</v>
      </c>
      <c r="Q130">
        <f>IF(OR(Table2[[#This Row],[Stage]]="Propose",Table2[[#This Row],[Stage]]="Procure"),1,0)</f>
        <v>0</v>
      </c>
      <c r="R130">
        <f>IF(Table2[[#This Row],[Stage]]="Closed Won",1,0)</f>
        <v>0</v>
      </c>
      <c r="S130" t="b">
        <f>IFERROR(_xlfn.XLOOKUP(Table2[[#This Row],[Opportunity ID]],'Aging Detail'!$H$14:$H$20,'Aging Detail'!$F$14:$F$20),TRUE)</f>
        <v>1</v>
      </c>
    </row>
    <row r="131" spans="1:19">
      <c r="A131" t="s">
        <v>3543</v>
      </c>
      <c r="B131" t="s">
        <v>3544</v>
      </c>
      <c r="C131" t="s">
        <v>338</v>
      </c>
      <c r="D131" t="s">
        <v>3385</v>
      </c>
      <c r="E131">
        <v>700000</v>
      </c>
      <c r="F131" s="422">
        <v>46660</v>
      </c>
      <c r="G131" s="422">
        <v>46223</v>
      </c>
      <c r="H131" t="s">
        <v>148</v>
      </c>
      <c r="I131" t="s">
        <v>2105</v>
      </c>
      <c r="K131" t="s">
        <v>3379</v>
      </c>
      <c r="L131" t="s">
        <v>3545</v>
      </c>
      <c r="M131">
        <v>360000</v>
      </c>
      <c r="N131">
        <v>14</v>
      </c>
      <c r="O131" t="str">
        <f>_xlfn.IFNA(VLOOKUP(Table2[[#This Row],[Lead Source]],'helper tab'!A:B,2,FALSE),"Exclude")</f>
        <v>Alliances</v>
      </c>
      <c r="P131" s="476">
        <f ca="1">TODAY() - Table2[[#This Row],[Created Date]]</f>
        <v>35</v>
      </c>
      <c r="Q131">
        <f>IF(OR(Table2[[#This Row],[Stage]]="Propose",Table2[[#This Row],[Stage]]="Procure"),1,0)</f>
        <v>0</v>
      </c>
      <c r="R131">
        <f>IF(Table2[[#This Row],[Stage]]="Closed Won",1,0)</f>
        <v>0</v>
      </c>
      <c r="S131" t="b">
        <f>IFERROR(_xlfn.XLOOKUP(Table2[[#This Row],[Opportunity ID]],'Aging Detail'!$H$14:$H$20,'Aging Detail'!$F$14:$F$20),TRUE)</f>
        <v>1</v>
      </c>
    </row>
    <row r="132" spans="1:19" hidden="1">
      <c r="A132" t="s">
        <v>3546</v>
      </c>
      <c r="B132" t="s">
        <v>3547</v>
      </c>
      <c r="C132" t="s">
        <v>1462</v>
      </c>
      <c r="D132" t="s">
        <v>3349</v>
      </c>
      <c r="E132">
        <v>980000</v>
      </c>
      <c r="F132" s="422">
        <v>46556</v>
      </c>
      <c r="G132" s="422">
        <v>45124</v>
      </c>
      <c r="H132" t="s">
        <v>1473</v>
      </c>
      <c r="I132" t="s">
        <v>2105</v>
      </c>
      <c r="K132" t="s">
        <v>3379</v>
      </c>
      <c r="L132" t="s">
        <v>3548</v>
      </c>
      <c r="M132">
        <v>700000</v>
      </c>
      <c r="N132">
        <v>665</v>
      </c>
      <c r="O132" t="str">
        <f>_xlfn.IFNA(VLOOKUP(Table2[[#This Row],[Lead Source]],'helper tab'!A:B,2,FALSE),"Exclude")</f>
        <v>Events</v>
      </c>
      <c r="P132" s="476">
        <f ca="1">TODAY() - Table2[[#This Row],[Created Date]]</f>
        <v>1134</v>
      </c>
      <c r="Q132">
        <f>IF(OR(Table2[[#This Row],[Stage]]="Propose",Table2[[#This Row],[Stage]]="Procure"),1,0)</f>
        <v>0</v>
      </c>
      <c r="R132">
        <f>IF(Table2[[#This Row],[Stage]]="Closed Won",1,0)</f>
        <v>0</v>
      </c>
      <c r="S132" t="b">
        <f>IFERROR(_xlfn.XLOOKUP(Table2[[#This Row],[Opportunity ID]],'Aging Detail'!$H$14:$H$20,'Aging Detail'!$F$14:$F$20),TRUE)</f>
        <v>1</v>
      </c>
    </row>
    <row r="133" spans="1:19" hidden="1">
      <c r="A133" t="s">
        <v>732</v>
      </c>
      <c r="B133" t="s">
        <v>3549</v>
      </c>
      <c r="C133" t="s">
        <v>338</v>
      </c>
      <c r="D133" t="s">
        <v>3359</v>
      </c>
      <c r="E133">
        <v>270800</v>
      </c>
      <c r="F133" s="422">
        <v>46356</v>
      </c>
      <c r="G133" s="422">
        <v>45908</v>
      </c>
      <c r="H133" t="s">
        <v>148</v>
      </c>
      <c r="I133" t="s">
        <v>2105</v>
      </c>
      <c r="K133" t="s">
        <v>3386</v>
      </c>
      <c r="L133" t="s">
        <v>3550</v>
      </c>
      <c r="M133">
        <v>130800</v>
      </c>
      <c r="N133">
        <v>329</v>
      </c>
      <c r="O133" t="str">
        <f>_xlfn.IFNA(VLOOKUP(Table2[[#This Row],[Lead Source]],'helper tab'!A:B,2,FALSE),"Exclude")</f>
        <v>Alliances</v>
      </c>
      <c r="P133" s="476">
        <f ca="1">TODAY() - Table2[[#This Row],[Created Date]]</f>
        <v>350</v>
      </c>
      <c r="Q133">
        <f>IF(OR(Table2[[#This Row],[Stage]]="Propose",Table2[[#This Row],[Stage]]="Procure"),1,0)</f>
        <v>0</v>
      </c>
      <c r="R133">
        <f>IF(Table2[[#This Row],[Stage]]="Closed Won",1,0)</f>
        <v>0</v>
      </c>
      <c r="S133" t="b">
        <f>IFERROR(_xlfn.XLOOKUP(Table2[[#This Row],[Opportunity ID]],'Aging Detail'!$H$14:$H$20,'Aging Detail'!$F$14:$F$20),TRUE)</f>
        <v>1</v>
      </c>
    </row>
    <row r="134" spans="1:19" hidden="1">
      <c r="A134" t="s">
        <v>732</v>
      </c>
      <c r="B134" t="s">
        <v>2360</v>
      </c>
      <c r="C134" t="s">
        <v>1462</v>
      </c>
      <c r="D134" t="s">
        <v>3359</v>
      </c>
      <c r="E134">
        <v>273000</v>
      </c>
      <c r="F134" s="422">
        <v>46350</v>
      </c>
      <c r="G134" s="422">
        <v>45890</v>
      </c>
      <c r="H134" t="s">
        <v>148</v>
      </c>
      <c r="I134" t="s">
        <v>2105</v>
      </c>
      <c r="J134" t="s">
        <v>3360</v>
      </c>
      <c r="K134" t="s">
        <v>3386</v>
      </c>
      <c r="L134" t="s">
        <v>2361</v>
      </c>
      <c r="M134">
        <v>133000</v>
      </c>
      <c r="N134">
        <v>208</v>
      </c>
      <c r="O134" t="str">
        <f>_xlfn.IFNA(VLOOKUP(Table2[[#This Row],[Lead Source]],'helper tab'!A:B,2,FALSE),"Exclude")</f>
        <v>Alliances</v>
      </c>
      <c r="P134" s="476">
        <f ca="1">TODAY() - Table2[[#This Row],[Created Date]]</f>
        <v>368</v>
      </c>
      <c r="Q134">
        <f>IF(OR(Table2[[#This Row],[Stage]]="Propose",Table2[[#This Row],[Stage]]="Procure"),1,0)</f>
        <v>0</v>
      </c>
      <c r="R134">
        <f>IF(Table2[[#This Row],[Stage]]="Closed Won",1,0)</f>
        <v>0</v>
      </c>
      <c r="S134" t="b">
        <f>IFERROR(_xlfn.XLOOKUP(Table2[[#This Row],[Opportunity ID]],'Aging Detail'!$H$14:$H$20,'Aging Detail'!$F$14:$F$20),TRUE)</f>
        <v>1</v>
      </c>
    </row>
    <row r="135" spans="1:19">
      <c r="A135" t="s">
        <v>732</v>
      </c>
      <c r="B135" t="s">
        <v>3551</v>
      </c>
      <c r="C135" t="s">
        <v>338</v>
      </c>
      <c r="D135" t="s">
        <v>3359</v>
      </c>
      <c r="E135">
        <v>83096</v>
      </c>
      <c r="F135" s="422">
        <v>46325</v>
      </c>
      <c r="G135" s="422">
        <v>46176</v>
      </c>
      <c r="H135" t="s">
        <v>148</v>
      </c>
      <c r="I135" t="s">
        <v>2105</v>
      </c>
      <c r="K135" t="s">
        <v>3386</v>
      </c>
      <c r="L135" t="s">
        <v>3552</v>
      </c>
      <c r="M135">
        <v>48096</v>
      </c>
      <c r="N135">
        <v>61</v>
      </c>
      <c r="O135" t="str">
        <f>_xlfn.IFNA(VLOOKUP(Table2[[#This Row],[Lead Source]],'helper tab'!A:B,2,FALSE),"Exclude")</f>
        <v>Alliances</v>
      </c>
      <c r="P135" s="476">
        <f ca="1">TODAY() - Table2[[#This Row],[Created Date]]</f>
        <v>82</v>
      </c>
      <c r="Q135">
        <f>IF(OR(Table2[[#This Row],[Stage]]="Propose",Table2[[#This Row],[Stage]]="Procure"),1,0)</f>
        <v>0</v>
      </c>
      <c r="R135">
        <f>IF(Table2[[#This Row],[Stage]]="Closed Won",1,0)</f>
        <v>0</v>
      </c>
      <c r="S135" t="b">
        <f>IFERROR(_xlfn.XLOOKUP(Table2[[#This Row],[Opportunity ID]],'Aging Detail'!$H$14:$H$20,'Aging Detail'!$F$14:$F$20),TRUE)</f>
        <v>1</v>
      </c>
    </row>
    <row r="136" spans="1:19" hidden="1">
      <c r="A136" t="s">
        <v>3553</v>
      </c>
      <c r="B136" t="s">
        <v>3553</v>
      </c>
      <c r="C136" t="s">
        <v>408</v>
      </c>
      <c r="D136" t="s">
        <v>3352</v>
      </c>
      <c r="E136">
        <v>1132000</v>
      </c>
      <c r="F136" s="422">
        <v>46444</v>
      </c>
      <c r="G136" s="422">
        <v>45897</v>
      </c>
      <c r="H136" t="s">
        <v>1464</v>
      </c>
      <c r="I136" t="s">
        <v>2105</v>
      </c>
      <c r="K136" t="s">
        <v>3390</v>
      </c>
      <c r="L136" t="s">
        <v>3554</v>
      </c>
      <c r="M136">
        <v>792000</v>
      </c>
      <c r="N136">
        <v>255</v>
      </c>
      <c r="O136" t="str">
        <f>_xlfn.IFNA(VLOOKUP(Table2[[#This Row],[Lead Source]],'helper tab'!A:B,2,FALSE),"Exclude")</f>
        <v>Cold</v>
      </c>
      <c r="P136" s="476">
        <f ca="1">TODAY() - Table2[[#This Row],[Created Date]]</f>
        <v>361</v>
      </c>
      <c r="Q136">
        <f>IF(OR(Table2[[#This Row],[Stage]]="Propose",Table2[[#This Row],[Stage]]="Procure"),1,0)</f>
        <v>0</v>
      </c>
      <c r="R136">
        <f>IF(Table2[[#This Row],[Stage]]="Closed Won",1,0)</f>
        <v>0</v>
      </c>
      <c r="S136" t="b">
        <f>IFERROR(_xlfn.XLOOKUP(Table2[[#This Row],[Opportunity ID]],'Aging Detail'!$H$14:$H$20,'Aging Detail'!$F$14:$F$20),TRUE)</f>
        <v>1</v>
      </c>
    </row>
    <row r="137" spans="1:19" hidden="1">
      <c r="A137" t="s">
        <v>2107</v>
      </c>
      <c r="B137" t="s">
        <v>2104</v>
      </c>
      <c r="C137" t="s">
        <v>563</v>
      </c>
      <c r="D137" t="s">
        <v>3380</v>
      </c>
      <c r="E137">
        <v>166978.4</v>
      </c>
      <c r="F137" s="422">
        <v>46108</v>
      </c>
      <c r="G137" s="422">
        <v>45853</v>
      </c>
      <c r="H137" t="s">
        <v>148</v>
      </c>
      <c r="I137" t="s">
        <v>2105</v>
      </c>
      <c r="K137" t="s">
        <v>3390</v>
      </c>
      <c r="L137" t="s">
        <v>2106</v>
      </c>
      <c r="M137">
        <v>100478.39999999999</v>
      </c>
      <c r="N137">
        <v>125</v>
      </c>
      <c r="O137" t="str">
        <f>_xlfn.IFNA(VLOOKUP(Table2[[#This Row],[Lead Source]],'helper tab'!A:B,2,FALSE),"Exclude")</f>
        <v>Alliances</v>
      </c>
      <c r="P137" s="476">
        <f ca="1">TODAY() - Table2[[#This Row],[Created Date]]</f>
        <v>405</v>
      </c>
      <c r="Q137">
        <f>IF(OR(Table2[[#This Row],[Stage]]="Propose",Table2[[#This Row],[Stage]]="Procure"),1,0)</f>
        <v>0</v>
      </c>
      <c r="R137">
        <f>IF(Table2[[#This Row],[Stage]]="Closed Won",1,0)</f>
        <v>1</v>
      </c>
      <c r="S137" t="b">
        <f>IFERROR(_xlfn.XLOOKUP(Table2[[#This Row],[Opportunity ID]],'Aging Detail'!$H$14:$H$20,'Aging Detail'!$F$14:$F$20),TRUE)</f>
        <v>1</v>
      </c>
    </row>
    <row r="138" spans="1:19">
      <c r="A138" t="s">
        <v>302</v>
      </c>
      <c r="B138" t="s">
        <v>3555</v>
      </c>
      <c r="C138" t="s">
        <v>338</v>
      </c>
      <c r="D138" t="s">
        <v>3361</v>
      </c>
      <c r="E138">
        <v>254240</v>
      </c>
      <c r="F138" s="422">
        <v>46277</v>
      </c>
      <c r="G138" s="422">
        <v>46136</v>
      </c>
      <c r="H138" t="s">
        <v>148</v>
      </c>
      <c r="I138" t="s">
        <v>3556</v>
      </c>
      <c r="K138" t="s">
        <v>3386</v>
      </c>
      <c r="L138" t="s">
        <v>3557</v>
      </c>
      <c r="M138">
        <v>138240</v>
      </c>
      <c r="N138">
        <v>101</v>
      </c>
      <c r="O138" t="str">
        <f>_xlfn.IFNA(VLOOKUP(Table2[[#This Row],[Lead Source]],'helper tab'!A:B,2,FALSE),"Exclude")</f>
        <v>Alliances</v>
      </c>
      <c r="P138" s="476">
        <f ca="1">TODAY() - Table2[[#This Row],[Created Date]]</f>
        <v>122</v>
      </c>
      <c r="Q138">
        <f>IF(OR(Table2[[#This Row],[Stage]]="Propose",Table2[[#This Row],[Stage]]="Procure"),1,0)</f>
        <v>0</v>
      </c>
      <c r="R138">
        <f>IF(Table2[[#This Row],[Stage]]="Closed Won",1,0)</f>
        <v>0</v>
      </c>
      <c r="S138" t="b">
        <f>IFERROR(_xlfn.XLOOKUP(Table2[[#This Row],[Opportunity ID]],'Aging Detail'!$H$14:$H$20,'Aging Detail'!$F$14:$F$20),TRUE)</f>
        <v>1</v>
      </c>
    </row>
    <row r="139" spans="1:19">
      <c r="A139" t="s">
        <v>1752</v>
      </c>
      <c r="B139" t="s">
        <v>3558</v>
      </c>
      <c r="C139" t="s">
        <v>338</v>
      </c>
      <c r="D139" t="s">
        <v>3352</v>
      </c>
      <c r="E139">
        <v>221000</v>
      </c>
      <c r="F139" s="422">
        <v>46465</v>
      </c>
      <c r="G139" s="422">
        <v>46125</v>
      </c>
      <c r="H139" t="s">
        <v>1465</v>
      </c>
      <c r="K139" t="s">
        <v>3398</v>
      </c>
      <c r="L139" t="s">
        <v>3559</v>
      </c>
      <c r="M139">
        <v>96000</v>
      </c>
      <c r="N139">
        <v>112</v>
      </c>
      <c r="O139" t="str">
        <f>_xlfn.IFNA(VLOOKUP(Table2[[#This Row],[Lead Source]],'helper tab'!A:B,2,FALSE),"Exclude")</f>
        <v>Exclude</v>
      </c>
      <c r="P139" s="476">
        <f ca="1">TODAY() - Table2[[#This Row],[Created Date]]</f>
        <v>133</v>
      </c>
      <c r="Q139">
        <f>IF(OR(Table2[[#This Row],[Stage]]="Propose",Table2[[#This Row],[Stage]]="Procure"),1,0)</f>
        <v>0</v>
      </c>
      <c r="R139">
        <f>IF(Table2[[#This Row],[Stage]]="Closed Won",1,0)</f>
        <v>0</v>
      </c>
      <c r="S139" t="b">
        <f>IFERROR(_xlfn.XLOOKUP(Table2[[#This Row],[Opportunity ID]],'Aging Detail'!$H$14:$H$20,'Aging Detail'!$F$14:$F$20),TRUE)</f>
        <v>1</v>
      </c>
    </row>
    <row r="140" spans="1:19" hidden="1">
      <c r="A140" t="s">
        <v>3560</v>
      </c>
      <c r="B140" t="s">
        <v>3561</v>
      </c>
      <c r="C140" t="s">
        <v>408</v>
      </c>
      <c r="D140" t="s">
        <v>3352</v>
      </c>
      <c r="E140">
        <v>2002400</v>
      </c>
      <c r="F140" s="422">
        <v>46457</v>
      </c>
      <c r="G140" s="422">
        <v>45250</v>
      </c>
      <c r="H140" t="s">
        <v>1473</v>
      </c>
      <c r="K140" t="s">
        <v>3398</v>
      </c>
      <c r="L140" t="s">
        <v>3562</v>
      </c>
      <c r="M140">
        <v>1742400</v>
      </c>
      <c r="N140">
        <v>987</v>
      </c>
      <c r="O140" t="str">
        <f>_xlfn.IFNA(VLOOKUP(Table2[[#This Row],[Lead Source]],'helper tab'!A:B,2,FALSE),"Exclude")</f>
        <v>Events</v>
      </c>
      <c r="P140" s="476">
        <f ca="1">TODAY() - Table2[[#This Row],[Created Date]]</f>
        <v>1008</v>
      </c>
      <c r="Q140">
        <f>IF(OR(Table2[[#This Row],[Stage]]="Propose",Table2[[#This Row],[Stage]]="Procure"),1,0)</f>
        <v>0</v>
      </c>
      <c r="R140">
        <f>IF(Table2[[#This Row],[Stage]]="Closed Won",1,0)</f>
        <v>0</v>
      </c>
      <c r="S140" t="b">
        <f>IFERROR(_xlfn.XLOOKUP(Table2[[#This Row],[Opportunity ID]],'Aging Detail'!$H$14:$H$20,'Aging Detail'!$F$14:$F$20),TRUE)</f>
        <v>1</v>
      </c>
    </row>
    <row r="141" spans="1:19" hidden="1">
      <c r="A141" t="s">
        <v>3305</v>
      </c>
      <c r="B141" t="s">
        <v>3563</v>
      </c>
      <c r="C141" t="s">
        <v>408</v>
      </c>
      <c r="D141" t="s">
        <v>3352</v>
      </c>
      <c r="E141">
        <v>1412000</v>
      </c>
      <c r="F141" s="422">
        <v>46430</v>
      </c>
      <c r="G141" s="422">
        <v>45391</v>
      </c>
      <c r="H141" t="s">
        <v>1473</v>
      </c>
      <c r="K141" t="s">
        <v>3398</v>
      </c>
      <c r="L141" t="s">
        <v>3564</v>
      </c>
      <c r="M141">
        <v>1152000</v>
      </c>
      <c r="N141">
        <v>846</v>
      </c>
      <c r="O141" t="str">
        <f>_xlfn.IFNA(VLOOKUP(Table2[[#This Row],[Lead Source]],'helper tab'!A:B,2,FALSE),"Exclude")</f>
        <v>Events</v>
      </c>
      <c r="P141" s="476">
        <f ca="1">TODAY() - Table2[[#This Row],[Created Date]]</f>
        <v>867</v>
      </c>
      <c r="Q141">
        <f>IF(OR(Table2[[#This Row],[Stage]]="Propose",Table2[[#This Row],[Stage]]="Procure"),1,0)</f>
        <v>0</v>
      </c>
      <c r="R141">
        <f>IF(Table2[[#This Row],[Stage]]="Closed Won",1,0)</f>
        <v>0</v>
      </c>
      <c r="S141" t="b">
        <f>IFERROR(_xlfn.XLOOKUP(Table2[[#This Row],[Opportunity ID]],'Aging Detail'!$H$14:$H$20,'Aging Detail'!$F$14:$F$20),TRUE)</f>
        <v>1</v>
      </c>
    </row>
    <row r="142" spans="1:19">
      <c r="A142" t="s">
        <v>582</v>
      </c>
      <c r="B142" t="s">
        <v>3565</v>
      </c>
      <c r="C142" t="s">
        <v>338</v>
      </c>
      <c r="D142" t="s">
        <v>3352</v>
      </c>
      <c r="E142">
        <v>133750</v>
      </c>
      <c r="F142" s="422">
        <v>46423</v>
      </c>
      <c r="G142" s="422">
        <v>46221</v>
      </c>
      <c r="K142" t="s">
        <v>3398</v>
      </c>
      <c r="L142" t="s">
        <v>3566</v>
      </c>
      <c r="M142">
        <v>108750</v>
      </c>
      <c r="N142">
        <v>16</v>
      </c>
      <c r="O142" t="str">
        <f>_xlfn.IFNA(VLOOKUP(Table2[[#This Row],[Lead Source]],'helper tab'!A:B,2,FALSE),"Exclude")</f>
        <v>Exclude</v>
      </c>
      <c r="P142" s="476">
        <f ca="1">TODAY() - Table2[[#This Row],[Created Date]]</f>
        <v>37</v>
      </c>
      <c r="Q142">
        <f>IF(OR(Table2[[#This Row],[Stage]]="Propose",Table2[[#This Row],[Stage]]="Procure"),1,0)</f>
        <v>0</v>
      </c>
      <c r="R142">
        <f>IF(Table2[[#This Row],[Stage]]="Closed Won",1,0)</f>
        <v>0</v>
      </c>
      <c r="S142" t="b">
        <f>IFERROR(_xlfn.XLOOKUP(Table2[[#This Row],[Opportunity ID]],'Aging Detail'!$H$14:$H$20,'Aging Detail'!$F$14:$F$20),TRUE)</f>
        <v>1</v>
      </c>
    </row>
    <row r="143" spans="1:19" hidden="1">
      <c r="A143" t="s">
        <v>2297</v>
      </c>
      <c r="B143" t="s">
        <v>3152</v>
      </c>
      <c r="C143" t="s">
        <v>1462</v>
      </c>
      <c r="D143" t="s">
        <v>3359</v>
      </c>
      <c r="E143">
        <v>1580000</v>
      </c>
      <c r="F143" s="422">
        <v>46367</v>
      </c>
      <c r="G143" s="422">
        <v>45534</v>
      </c>
      <c r="H143" t="s">
        <v>1481</v>
      </c>
      <c r="K143" t="s">
        <v>3398</v>
      </c>
      <c r="L143" t="s">
        <v>3153</v>
      </c>
      <c r="M143">
        <v>1320000</v>
      </c>
      <c r="N143">
        <v>488</v>
      </c>
      <c r="O143" t="str">
        <f>_xlfn.IFNA(VLOOKUP(Table2[[#This Row],[Lead Source]],'helper tab'!A:B,2,FALSE),"Exclude")</f>
        <v>Cold</v>
      </c>
      <c r="P143" s="476">
        <f ca="1">TODAY() - Table2[[#This Row],[Created Date]]</f>
        <v>724</v>
      </c>
      <c r="Q143">
        <f>IF(OR(Table2[[#This Row],[Stage]]="Propose",Table2[[#This Row],[Stage]]="Procure"),1,0)</f>
        <v>0</v>
      </c>
      <c r="R143">
        <f>IF(Table2[[#This Row],[Stage]]="Closed Won",1,0)</f>
        <v>0</v>
      </c>
      <c r="S143" t="b">
        <f>IFERROR(_xlfn.XLOOKUP(Table2[[#This Row],[Opportunity ID]],'Aging Detail'!$H$14:$H$20,'Aging Detail'!$F$14:$F$20),TRUE)</f>
        <v>1</v>
      </c>
    </row>
    <row r="144" spans="1:19" hidden="1">
      <c r="A144" t="s">
        <v>2257</v>
      </c>
      <c r="B144" t="s">
        <v>3567</v>
      </c>
      <c r="C144" t="s">
        <v>408</v>
      </c>
      <c r="D144" t="s">
        <v>3359</v>
      </c>
      <c r="E144">
        <v>1450000</v>
      </c>
      <c r="F144" s="422">
        <v>46365</v>
      </c>
      <c r="G144" s="422">
        <v>45316</v>
      </c>
      <c r="H144" t="s">
        <v>1483</v>
      </c>
      <c r="K144" t="s">
        <v>3398</v>
      </c>
      <c r="L144" t="s">
        <v>3568</v>
      </c>
      <c r="M144">
        <v>990000</v>
      </c>
      <c r="N144">
        <v>921</v>
      </c>
      <c r="O144" t="str">
        <f>_xlfn.IFNA(VLOOKUP(Table2[[#This Row],[Lead Source]],'helper tab'!A:B,2,FALSE),"Exclude")</f>
        <v>Cold</v>
      </c>
      <c r="P144" s="476">
        <f ca="1">TODAY() - Table2[[#This Row],[Created Date]]</f>
        <v>942</v>
      </c>
      <c r="Q144">
        <f>IF(OR(Table2[[#This Row],[Stage]]="Propose",Table2[[#This Row],[Stage]]="Procure"),1,0)</f>
        <v>0</v>
      </c>
      <c r="R144">
        <f>IF(Table2[[#This Row],[Stage]]="Closed Won",1,0)</f>
        <v>0</v>
      </c>
      <c r="S144" t="b">
        <f>IFERROR(_xlfn.XLOOKUP(Table2[[#This Row],[Opportunity ID]],'Aging Detail'!$H$14:$H$20,'Aging Detail'!$F$14:$F$20),TRUE)</f>
        <v>1</v>
      </c>
    </row>
    <row r="145" spans="1:19" hidden="1">
      <c r="A145" t="s">
        <v>2297</v>
      </c>
      <c r="B145" t="s">
        <v>3569</v>
      </c>
      <c r="C145" t="s">
        <v>338</v>
      </c>
      <c r="D145" t="s">
        <v>3359</v>
      </c>
      <c r="E145">
        <v>1368000</v>
      </c>
      <c r="F145" s="422">
        <v>46353</v>
      </c>
      <c r="G145" s="422">
        <v>45838</v>
      </c>
      <c r="H145" t="s">
        <v>1465</v>
      </c>
      <c r="K145" t="s">
        <v>3398</v>
      </c>
      <c r="L145" t="s">
        <v>3570</v>
      </c>
      <c r="M145">
        <v>1368000</v>
      </c>
      <c r="N145">
        <v>399</v>
      </c>
      <c r="O145" t="str">
        <f>_xlfn.IFNA(VLOOKUP(Table2[[#This Row],[Lead Source]],'helper tab'!A:B,2,FALSE),"Exclude")</f>
        <v>Exclude</v>
      </c>
      <c r="P145" s="476">
        <f ca="1">TODAY() - Table2[[#This Row],[Created Date]]</f>
        <v>420</v>
      </c>
      <c r="Q145">
        <f>IF(OR(Table2[[#This Row],[Stage]]="Propose",Table2[[#This Row],[Stage]]="Procure"),1,0)</f>
        <v>0</v>
      </c>
      <c r="R145">
        <f>IF(Table2[[#This Row],[Stage]]="Closed Won",1,0)</f>
        <v>0</v>
      </c>
      <c r="S145" t="b">
        <f>IFERROR(_xlfn.XLOOKUP(Table2[[#This Row],[Opportunity ID]],'Aging Detail'!$H$14:$H$20,'Aging Detail'!$F$14:$F$20),TRUE)</f>
        <v>1</v>
      </c>
    </row>
    <row r="146" spans="1:19" hidden="1">
      <c r="A146" t="s">
        <v>3571</v>
      </c>
      <c r="B146" t="s">
        <v>3572</v>
      </c>
      <c r="C146" t="s">
        <v>338</v>
      </c>
      <c r="D146" t="s">
        <v>3359</v>
      </c>
      <c r="E146">
        <v>611000</v>
      </c>
      <c r="F146" s="422">
        <v>46349</v>
      </c>
      <c r="G146" s="422">
        <v>45903</v>
      </c>
      <c r="H146" t="s">
        <v>1465</v>
      </c>
      <c r="K146" t="s">
        <v>3398</v>
      </c>
      <c r="L146" t="s">
        <v>3573</v>
      </c>
      <c r="M146">
        <v>396000</v>
      </c>
      <c r="N146">
        <v>334</v>
      </c>
      <c r="O146" t="str">
        <f>_xlfn.IFNA(VLOOKUP(Table2[[#This Row],[Lead Source]],'helper tab'!A:B,2,FALSE),"Exclude")</f>
        <v>Exclude</v>
      </c>
      <c r="P146" s="476">
        <f ca="1">TODAY() - Table2[[#This Row],[Created Date]]</f>
        <v>355</v>
      </c>
      <c r="Q146">
        <f>IF(OR(Table2[[#This Row],[Stage]]="Propose",Table2[[#This Row],[Stage]]="Procure"),1,0)</f>
        <v>0</v>
      </c>
      <c r="R146">
        <f>IF(Table2[[#This Row],[Stage]]="Closed Won",1,0)</f>
        <v>0</v>
      </c>
      <c r="S146" t="b">
        <f>IFERROR(_xlfn.XLOOKUP(Table2[[#This Row],[Opportunity ID]],'Aging Detail'!$H$14:$H$20,'Aging Detail'!$F$14:$F$20),TRUE)</f>
        <v>1</v>
      </c>
    </row>
    <row r="147" spans="1:19">
      <c r="A147" t="s">
        <v>1752</v>
      </c>
      <c r="B147" t="s">
        <v>3574</v>
      </c>
      <c r="C147" t="s">
        <v>338</v>
      </c>
      <c r="D147" t="s">
        <v>3359</v>
      </c>
      <c r="E147">
        <v>536800</v>
      </c>
      <c r="F147" s="422">
        <v>46346</v>
      </c>
      <c r="G147" s="422">
        <v>46160</v>
      </c>
      <c r="K147" t="s">
        <v>3398</v>
      </c>
      <c r="L147" t="s">
        <v>3575</v>
      </c>
      <c r="M147">
        <v>496800</v>
      </c>
      <c r="N147">
        <v>77</v>
      </c>
      <c r="O147" t="str">
        <f>_xlfn.IFNA(VLOOKUP(Table2[[#This Row],[Lead Source]],'helper tab'!A:B,2,FALSE),"Exclude")</f>
        <v>Exclude</v>
      </c>
      <c r="P147" s="476">
        <f ca="1">TODAY() - Table2[[#This Row],[Created Date]]</f>
        <v>98</v>
      </c>
      <c r="Q147">
        <f>IF(OR(Table2[[#This Row],[Stage]]="Propose",Table2[[#This Row],[Stage]]="Procure"),1,0)</f>
        <v>0</v>
      </c>
      <c r="R147">
        <f>IF(Table2[[#This Row],[Stage]]="Closed Won",1,0)</f>
        <v>0</v>
      </c>
      <c r="S147" t="b">
        <f>IFERROR(_xlfn.XLOOKUP(Table2[[#This Row],[Opportunity ID]],'Aging Detail'!$H$14:$H$20,'Aging Detail'!$F$14:$F$20),TRUE)</f>
        <v>1</v>
      </c>
    </row>
    <row r="148" spans="1:19">
      <c r="A148" t="s">
        <v>1752</v>
      </c>
      <c r="B148" t="s">
        <v>1750</v>
      </c>
      <c r="C148" t="s">
        <v>1469</v>
      </c>
      <c r="D148" t="s">
        <v>3359</v>
      </c>
      <c r="E148">
        <v>352080</v>
      </c>
      <c r="F148" s="422">
        <v>46346</v>
      </c>
      <c r="G148" s="422">
        <v>46057</v>
      </c>
      <c r="H148" t="s">
        <v>1465</v>
      </c>
      <c r="K148" t="s">
        <v>3398</v>
      </c>
      <c r="L148" t="s">
        <v>1751</v>
      </c>
      <c r="M148">
        <v>262080</v>
      </c>
      <c r="N148">
        <v>28</v>
      </c>
      <c r="O148" t="str">
        <f>_xlfn.IFNA(VLOOKUP(Table2[[#This Row],[Lead Source]],'helper tab'!A:B,2,FALSE),"Exclude")</f>
        <v>Exclude</v>
      </c>
      <c r="P148" s="476">
        <f ca="1">TODAY() - Table2[[#This Row],[Created Date]]</f>
        <v>201</v>
      </c>
      <c r="Q148">
        <f>IF(OR(Table2[[#This Row],[Stage]]="Propose",Table2[[#This Row],[Stage]]="Procure"),1,0)</f>
        <v>0</v>
      </c>
      <c r="R148">
        <f>IF(Table2[[#This Row],[Stage]]="Closed Won",1,0)</f>
        <v>0</v>
      </c>
      <c r="S148" t="b">
        <f>IFERROR(_xlfn.XLOOKUP(Table2[[#This Row],[Opportunity ID]],'Aging Detail'!$H$14:$H$20,'Aging Detail'!$F$14:$F$20),TRUE)</f>
        <v>1</v>
      </c>
    </row>
    <row r="149" spans="1:19">
      <c r="A149" t="s">
        <v>1846</v>
      </c>
      <c r="B149" t="s">
        <v>1844</v>
      </c>
      <c r="C149" t="s">
        <v>1469</v>
      </c>
      <c r="D149" t="s">
        <v>3359</v>
      </c>
      <c r="E149">
        <v>735020</v>
      </c>
      <c r="F149" s="422">
        <v>46344</v>
      </c>
      <c r="G149" s="422">
        <v>46125</v>
      </c>
      <c r="H149" t="s">
        <v>1465</v>
      </c>
      <c r="K149" t="s">
        <v>3398</v>
      </c>
      <c r="L149" t="s">
        <v>1845</v>
      </c>
      <c r="M149">
        <v>475020</v>
      </c>
      <c r="N149">
        <v>44</v>
      </c>
      <c r="O149" t="str">
        <f>_xlfn.IFNA(VLOOKUP(Table2[[#This Row],[Lead Source]],'helper tab'!A:B,2,FALSE),"Exclude")</f>
        <v>Exclude</v>
      </c>
      <c r="P149" s="476">
        <f ca="1">TODAY() - Table2[[#This Row],[Created Date]]</f>
        <v>133</v>
      </c>
      <c r="Q149">
        <f>IF(OR(Table2[[#This Row],[Stage]]="Propose",Table2[[#This Row],[Stage]]="Procure"),1,0)</f>
        <v>0</v>
      </c>
      <c r="R149">
        <f>IF(Table2[[#This Row],[Stage]]="Closed Won",1,0)</f>
        <v>0</v>
      </c>
      <c r="S149" t="b">
        <f>IFERROR(_xlfn.XLOOKUP(Table2[[#This Row],[Opportunity ID]],'Aging Detail'!$H$14:$H$20,'Aging Detail'!$F$14:$F$20),TRUE)</f>
        <v>1</v>
      </c>
    </row>
    <row r="150" spans="1:19" hidden="1">
      <c r="A150" t="s">
        <v>143</v>
      </c>
      <c r="B150" t="s">
        <v>2123</v>
      </c>
      <c r="C150" t="s">
        <v>1469</v>
      </c>
      <c r="D150" t="s">
        <v>3359</v>
      </c>
      <c r="E150">
        <v>847440</v>
      </c>
      <c r="F150" s="422">
        <v>46344</v>
      </c>
      <c r="G150" s="422">
        <v>45404</v>
      </c>
      <c r="H150" t="s">
        <v>1481</v>
      </c>
      <c r="K150" t="s">
        <v>3398</v>
      </c>
      <c r="L150" t="s">
        <v>2124</v>
      </c>
      <c r="M150">
        <v>847440</v>
      </c>
      <c r="N150">
        <v>128</v>
      </c>
      <c r="O150" t="str">
        <f>_xlfn.IFNA(VLOOKUP(Table2[[#This Row],[Lead Source]],'helper tab'!A:B,2,FALSE),"Exclude")</f>
        <v>Cold</v>
      </c>
      <c r="P150" s="476">
        <f ca="1">TODAY() - Table2[[#This Row],[Created Date]]</f>
        <v>854</v>
      </c>
      <c r="Q150">
        <f>IF(OR(Table2[[#This Row],[Stage]]="Propose",Table2[[#This Row],[Stage]]="Procure"),1,0)</f>
        <v>0</v>
      </c>
      <c r="R150">
        <f>IF(Table2[[#This Row],[Stage]]="Closed Won",1,0)</f>
        <v>0</v>
      </c>
      <c r="S150" t="b">
        <f>IFERROR(_xlfn.XLOOKUP(Table2[[#This Row],[Opportunity ID]],'Aging Detail'!$H$14:$H$20,'Aging Detail'!$F$14:$F$20),TRUE)</f>
        <v>1</v>
      </c>
    </row>
    <row r="151" spans="1:19" hidden="1">
      <c r="A151" t="s">
        <v>143</v>
      </c>
      <c r="B151" t="s">
        <v>2160</v>
      </c>
      <c r="C151" t="s">
        <v>1469</v>
      </c>
      <c r="D151" t="s">
        <v>3359</v>
      </c>
      <c r="E151">
        <v>422400</v>
      </c>
      <c r="F151" s="422">
        <v>46340</v>
      </c>
      <c r="G151" s="422">
        <v>45694</v>
      </c>
      <c r="H151" t="s">
        <v>1481</v>
      </c>
      <c r="K151" t="s">
        <v>3398</v>
      </c>
      <c r="L151" t="s">
        <v>2161</v>
      </c>
      <c r="M151">
        <v>422400</v>
      </c>
      <c r="N151">
        <v>143</v>
      </c>
      <c r="O151" t="str">
        <f>_xlfn.IFNA(VLOOKUP(Table2[[#This Row],[Lead Source]],'helper tab'!A:B,2,FALSE),"Exclude")</f>
        <v>Cold</v>
      </c>
      <c r="P151" s="476">
        <f ca="1">TODAY() - Table2[[#This Row],[Created Date]]</f>
        <v>564</v>
      </c>
      <c r="Q151">
        <f>IF(OR(Table2[[#This Row],[Stage]]="Propose",Table2[[#This Row],[Stage]]="Procure"),1,0)</f>
        <v>0</v>
      </c>
      <c r="R151">
        <f>IF(Table2[[#This Row],[Stage]]="Closed Won",1,0)</f>
        <v>0</v>
      </c>
      <c r="S151" t="b">
        <f>IFERROR(_xlfn.XLOOKUP(Table2[[#This Row],[Opportunity ID]],'Aging Detail'!$H$14:$H$20,'Aging Detail'!$F$14:$F$20),TRUE)</f>
        <v>1</v>
      </c>
    </row>
    <row r="152" spans="1:19" hidden="1">
      <c r="A152" t="s">
        <v>1992</v>
      </c>
      <c r="B152" t="s">
        <v>1992</v>
      </c>
      <c r="C152" t="s">
        <v>338</v>
      </c>
      <c r="D152" t="s">
        <v>3359</v>
      </c>
      <c r="E152">
        <v>343400</v>
      </c>
      <c r="F152" s="422">
        <v>46339</v>
      </c>
      <c r="G152" s="422">
        <v>45840</v>
      </c>
      <c r="H152" t="s">
        <v>1562</v>
      </c>
      <c r="J152" t="s">
        <v>3484</v>
      </c>
      <c r="K152" t="s">
        <v>3398</v>
      </c>
      <c r="L152" t="s">
        <v>3576</v>
      </c>
      <c r="M152">
        <v>158400</v>
      </c>
      <c r="N152">
        <v>397</v>
      </c>
      <c r="O152" t="str">
        <f>_xlfn.IFNA(VLOOKUP(Table2[[#This Row],[Lead Source]],'helper tab'!A:B,2,FALSE),"Exclude")</f>
        <v>Exclude</v>
      </c>
      <c r="P152" s="476">
        <f ca="1">TODAY() - Table2[[#This Row],[Created Date]]</f>
        <v>418</v>
      </c>
      <c r="Q152">
        <f>IF(OR(Table2[[#This Row],[Stage]]="Propose",Table2[[#This Row],[Stage]]="Procure"),1,0)</f>
        <v>0</v>
      </c>
      <c r="R152">
        <f>IF(Table2[[#This Row],[Stage]]="Closed Won",1,0)</f>
        <v>0</v>
      </c>
      <c r="S152" t="b">
        <f>IFERROR(_xlfn.XLOOKUP(Table2[[#This Row],[Opportunity ID]],'Aging Detail'!$H$14:$H$20,'Aging Detail'!$F$14:$F$20),TRUE)</f>
        <v>1</v>
      </c>
    </row>
    <row r="153" spans="1:19" hidden="1">
      <c r="A153" t="s">
        <v>1752</v>
      </c>
      <c r="B153" t="s">
        <v>3577</v>
      </c>
      <c r="C153" t="s">
        <v>1462</v>
      </c>
      <c r="D153" t="s">
        <v>3359</v>
      </c>
      <c r="E153">
        <v>238000</v>
      </c>
      <c r="F153" s="422">
        <v>46318</v>
      </c>
      <c r="G153" s="422">
        <v>45154</v>
      </c>
      <c r="H153" t="s">
        <v>148</v>
      </c>
      <c r="K153" t="s">
        <v>3398</v>
      </c>
      <c r="L153" t="s">
        <v>3578</v>
      </c>
      <c r="M153">
        <v>198000</v>
      </c>
      <c r="N153">
        <v>665</v>
      </c>
      <c r="O153" t="str">
        <f>_xlfn.IFNA(VLOOKUP(Table2[[#This Row],[Lead Source]],'helper tab'!A:B,2,FALSE),"Exclude")</f>
        <v>Alliances</v>
      </c>
      <c r="P153" s="476">
        <f ca="1">TODAY() - Table2[[#This Row],[Created Date]]</f>
        <v>1104</v>
      </c>
      <c r="Q153">
        <f>IF(OR(Table2[[#This Row],[Stage]]="Propose",Table2[[#This Row],[Stage]]="Procure"),1,0)</f>
        <v>0</v>
      </c>
      <c r="R153">
        <f>IF(Table2[[#This Row],[Stage]]="Closed Won",1,0)</f>
        <v>0</v>
      </c>
      <c r="S153" t="b">
        <f>IFERROR(_xlfn.XLOOKUP(Table2[[#This Row],[Opportunity ID]],'Aging Detail'!$H$14:$H$20,'Aging Detail'!$F$14:$F$20),TRUE)</f>
        <v>1</v>
      </c>
    </row>
    <row r="154" spans="1:19">
      <c r="A154" t="s">
        <v>1752</v>
      </c>
      <c r="B154" t="s">
        <v>3579</v>
      </c>
      <c r="C154" t="s">
        <v>338</v>
      </c>
      <c r="D154" t="s">
        <v>3361</v>
      </c>
      <c r="F154" s="422">
        <v>46286</v>
      </c>
      <c r="G154" s="422">
        <v>46170</v>
      </c>
      <c r="K154" t="s">
        <v>3398</v>
      </c>
      <c r="L154" t="s">
        <v>3580</v>
      </c>
      <c r="M154">
        <v>0</v>
      </c>
      <c r="N154">
        <v>67</v>
      </c>
      <c r="O154" t="str">
        <f>_xlfn.IFNA(VLOOKUP(Table2[[#This Row],[Lead Source]],'helper tab'!A:B,2,FALSE),"Exclude")</f>
        <v>Exclude</v>
      </c>
      <c r="P154" s="476">
        <f ca="1">TODAY() - Table2[[#This Row],[Created Date]]</f>
        <v>88</v>
      </c>
      <c r="Q154">
        <f>IF(OR(Table2[[#This Row],[Stage]]="Propose",Table2[[#This Row],[Stage]]="Procure"),1,0)</f>
        <v>0</v>
      </c>
      <c r="R154">
        <f>IF(Table2[[#This Row],[Stage]]="Closed Won",1,0)</f>
        <v>0</v>
      </c>
      <c r="S154" t="b">
        <f>IFERROR(_xlfn.XLOOKUP(Table2[[#This Row],[Opportunity ID]],'Aging Detail'!$H$14:$H$20,'Aging Detail'!$F$14:$F$20),TRUE)</f>
        <v>1</v>
      </c>
    </row>
    <row r="155" spans="1:19">
      <c r="A155" t="s">
        <v>1846</v>
      </c>
      <c r="B155" t="s">
        <v>3581</v>
      </c>
      <c r="C155" t="s">
        <v>338</v>
      </c>
      <c r="D155" t="s">
        <v>3361</v>
      </c>
      <c r="E155">
        <v>87800</v>
      </c>
      <c r="F155" s="422">
        <v>46280</v>
      </c>
      <c r="G155" s="422">
        <v>46153</v>
      </c>
      <c r="H155" t="s">
        <v>1465</v>
      </c>
      <c r="K155" t="s">
        <v>3398</v>
      </c>
      <c r="L155" t="s">
        <v>3582</v>
      </c>
      <c r="M155">
        <v>22800</v>
      </c>
      <c r="N155">
        <v>84</v>
      </c>
      <c r="O155" t="str">
        <f>_xlfn.IFNA(VLOOKUP(Table2[[#This Row],[Lead Source]],'helper tab'!A:B,2,FALSE),"Exclude")</f>
        <v>Exclude</v>
      </c>
      <c r="P155" s="476">
        <f ca="1">TODAY() - Table2[[#This Row],[Created Date]]</f>
        <v>105</v>
      </c>
      <c r="Q155">
        <f>IF(OR(Table2[[#This Row],[Stage]]="Propose",Table2[[#This Row],[Stage]]="Procure"),1,0)</f>
        <v>0</v>
      </c>
      <c r="R155">
        <f>IF(Table2[[#This Row],[Stage]]="Closed Won",1,0)</f>
        <v>0</v>
      </c>
      <c r="S155" t="b">
        <f>IFERROR(_xlfn.XLOOKUP(Table2[[#This Row],[Opportunity ID]],'Aging Detail'!$H$14:$H$20,'Aging Detail'!$F$14:$F$20),TRUE)</f>
        <v>1</v>
      </c>
    </row>
    <row r="156" spans="1:19" hidden="1">
      <c r="A156" t="s">
        <v>2297</v>
      </c>
      <c r="B156" t="s">
        <v>2357</v>
      </c>
      <c r="C156" t="s">
        <v>526</v>
      </c>
      <c r="D156" t="s">
        <v>3361</v>
      </c>
      <c r="E156">
        <v>0</v>
      </c>
      <c r="F156" s="422">
        <v>46233</v>
      </c>
      <c r="G156" s="422">
        <v>45838</v>
      </c>
      <c r="H156" t="s">
        <v>1465</v>
      </c>
      <c r="K156" t="s">
        <v>3398</v>
      </c>
      <c r="L156" t="s">
        <v>2358</v>
      </c>
      <c r="M156">
        <v>0</v>
      </c>
      <c r="N156">
        <v>208</v>
      </c>
      <c r="O156" t="str">
        <f>_xlfn.IFNA(VLOOKUP(Table2[[#This Row],[Lead Source]],'helper tab'!A:B,2,FALSE),"Exclude")</f>
        <v>Exclude</v>
      </c>
      <c r="P156" s="476">
        <f ca="1">TODAY() - Table2[[#This Row],[Created Date]]</f>
        <v>420</v>
      </c>
      <c r="Q156">
        <f>IF(OR(Table2[[#This Row],[Stage]]="Propose",Table2[[#This Row],[Stage]]="Procure"),1,0)</f>
        <v>1</v>
      </c>
      <c r="R156">
        <f>IF(Table2[[#This Row],[Stage]]="Closed Won",1,0)</f>
        <v>0</v>
      </c>
      <c r="S156" t="b">
        <f>IFERROR(_xlfn.XLOOKUP(Table2[[#This Row],[Opportunity ID]],'Aging Detail'!$H$14:$H$20,'Aging Detail'!$F$14:$F$20),TRUE)</f>
        <v>1</v>
      </c>
    </row>
    <row r="157" spans="1:19" hidden="1">
      <c r="A157" t="s">
        <v>143</v>
      </c>
      <c r="B157" t="s">
        <v>2129</v>
      </c>
      <c r="C157" t="s">
        <v>1469</v>
      </c>
      <c r="D157" t="s">
        <v>3361</v>
      </c>
      <c r="E157">
        <v>1252920</v>
      </c>
      <c r="F157" s="422">
        <v>46220</v>
      </c>
      <c r="G157" s="422">
        <v>45363</v>
      </c>
      <c r="H157" t="s">
        <v>1481</v>
      </c>
      <c r="K157" t="s">
        <v>3398</v>
      </c>
      <c r="L157" t="s">
        <v>2130</v>
      </c>
      <c r="M157">
        <v>997920</v>
      </c>
      <c r="N157">
        <v>129</v>
      </c>
      <c r="O157" t="str">
        <f>_xlfn.IFNA(VLOOKUP(Table2[[#This Row],[Lead Source]],'helper tab'!A:B,2,FALSE),"Exclude")</f>
        <v>Cold</v>
      </c>
      <c r="P157" s="476">
        <f ca="1">TODAY() - Table2[[#This Row],[Created Date]]</f>
        <v>895</v>
      </c>
      <c r="Q157">
        <f>IF(OR(Table2[[#This Row],[Stage]]="Propose",Table2[[#This Row],[Stage]]="Procure"),1,0)</f>
        <v>0</v>
      </c>
      <c r="R157">
        <f>IF(Table2[[#This Row],[Stage]]="Closed Won",1,0)</f>
        <v>0</v>
      </c>
      <c r="S157" t="b">
        <f>IFERROR(_xlfn.XLOOKUP(Table2[[#This Row],[Opportunity ID]],'Aging Detail'!$H$14:$H$20,'Aging Detail'!$F$14:$F$20),TRUE)</f>
        <v>1</v>
      </c>
    </row>
    <row r="158" spans="1:19" hidden="1">
      <c r="A158" t="s">
        <v>1934</v>
      </c>
      <c r="B158" t="s">
        <v>1931</v>
      </c>
      <c r="C158" t="s">
        <v>1469</v>
      </c>
      <c r="D158" t="s">
        <v>3361</v>
      </c>
      <c r="E158">
        <v>332800</v>
      </c>
      <c r="F158" s="422">
        <v>46219</v>
      </c>
      <c r="G158" s="422">
        <v>45870</v>
      </c>
      <c r="H158" t="s">
        <v>1464</v>
      </c>
      <c r="J158" t="s">
        <v>3484</v>
      </c>
      <c r="K158" t="s">
        <v>3398</v>
      </c>
      <c r="L158" t="s">
        <v>1933</v>
      </c>
      <c r="M158">
        <v>172800</v>
      </c>
      <c r="N158">
        <v>66</v>
      </c>
      <c r="O158" t="str">
        <f>_xlfn.IFNA(VLOOKUP(Table2[[#This Row],[Lead Source]],'helper tab'!A:B,2,FALSE),"Exclude")</f>
        <v>Cold</v>
      </c>
      <c r="P158" s="476">
        <f ca="1">TODAY() - Table2[[#This Row],[Created Date]]</f>
        <v>388</v>
      </c>
      <c r="Q158">
        <f>IF(OR(Table2[[#This Row],[Stage]]="Propose",Table2[[#This Row],[Stage]]="Procure"),1,0)</f>
        <v>0</v>
      </c>
      <c r="R158">
        <f>IF(Table2[[#This Row],[Stage]]="Closed Won",1,0)</f>
        <v>0</v>
      </c>
      <c r="S158" t="b">
        <f>IFERROR(_xlfn.XLOOKUP(Table2[[#This Row],[Opportunity ID]],'Aging Detail'!$H$14:$H$20,'Aging Detail'!$F$14:$F$20),TRUE)</f>
        <v>1</v>
      </c>
    </row>
    <row r="159" spans="1:19" hidden="1">
      <c r="A159" t="s">
        <v>1864</v>
      </c>
      <c r="B159" t="s">
        <v>1862</v>
      </c>
      <c r="C159" t="s">
        <v>1469</v>
      </c>
      <c r="D159" t="s">
        <v>3362</v>
      </c>
      <c r="E159">
        <v>351578.2</v>
      </c>
      <c r="F159" s="422">
        <v>46185</v>
      </c>
      <c r="G159" s="422">
        <v>45694</v>
      </c>
      <c r="H159" t="s">
        <v>1464</v>
      </c>
      <c r="K159" t="s">
        <v>3398</v>
      </c>
      <c r="L159" t="s">
        <v>1863</v>
      </c>
      <c r="M159">
        <v>320760</v>
      </c>
      <c r="N159">
        <v>47</v>
      </c>
      <c r="O159" t="str">
        <f>_xlfn.IFNA(VLOOKUP(Table2[[#This Row],[Lead Source]],'helper tab'!A:B,2,FALSE),"Exclude")</f>
        <v>Cold</v>
      </c>
      <c r="P159" s="476">
        <f ca="1">TODAY() - Table2[[#This Row],[Created Date]]</f>
        <v>564</v>
      </c>
      <c r="Q159">
        <f>IF(OR(Table2[[#This Row],[Stage]]="Propose",Table2[[#This Row],[Stage]]="Procure"),1,0)</f>
        <v>0</v>
      </c>
      <c r="R159">
        <f>IF(Table2[[#This Row],[Stage]]="Closed Won",1,0)</f>
        <v>0</v>
      </c>
      <c r="S159" t="b">
        <f>IFERROR(_xlfn.XLOOKUP(Table2[[#This Row],[Opportunity ID]],'Aging Detail'!$H$14:$H$20,'Aging Detail'!$F$14:$F$20),TRUE)</f>
        <v>1</v>
      </c>
    </row>
    <row r="160" spans="1:19" hidden="1">
      <c r="A160" t="s">
        <v>2257</v>
      </c>
      <c r="B160" t="s">
        <v>2254</v>
      </c>
      <c r="C160" t="s">
        <v>1469</v>
      </c>
      <c r="D160" t="s">
        <v>3362</v>
      </c>
      <c r="E160">
        <v>648000</v>
      </c>
      <c r="F160" s="422">
        <v>46164</v>
      </c>
      <c r="G160" s="422">
        <v>45707</v>
      </c>
      <c r="H160" t="s">
        <v>2255</v>
      </c>
      <c r="K160" t="s">
        <v>3398</v>
      </c>
      <c r="L160" t="s">
        <v>2256</v>
      </c>
      <c r="M160">
        <v>570000</v>
      </c>
      <c r="N160">
        <v>179</v>
      </c>
      <c r="O160" t="str">
        <f>_xlfn.IFNA(VLOOKUP(Table2[[#This Row],[Lead Source]],'helper tab'!A:B,2,FALSE),"Exclude")</f>
        <v>Exclude</v>
      </c>
      <c r="P160" s="476">
        <f ca="1">TODAY() - Table2[[#This Row],[Created Date]]</f>
        <v>551</v>
      </c>
      <c r="Q160">
        <f>IF(OR(Table2[[#This Row],[Stage]]="Propose",Table2[[#This Row],[Stage]]="Procure"),1,0)</f>
        <v>0</v>
      </c>
      <c r="R160">
        <f>IF(Table2[[#This Row],[Stage]]="Closed Won",1,0)</f>
        <v>0</v>
      </c>
      <c r="S160" t="b">
        <f>IFERROR(_xlfn.XLOOKUP(Table2[[#This Row],[Opportunity ID]],'Aging Detail'!$H$14:$H$20,'Aging Detail'!$F$14:$F$20),TRUE)</f>
        <v>1</v>
      </c>
    </row>
    <row r="161" spans="1:19" hidden="1">
      <c r="A161" t="s">
        <v>1992</v>
      </c>
      <c r="B161" t="s">
        <v>1990</v>
      </c>
      <c r="C161" t="s">
        <v>563</v>
      </c>
      <c r="D161" t="s">
        <v>3362</v>
      </c>
      <c r="E161">
        <v>0</v>
      </c>
      <c r="F161" s="422">
        <v>46142</v>
      </c>
      <c r="G161" s="422">
        <v>45968</v>
      </c>
      <c r="H161" t="s">
        <v>1465</v>
      </c>
      <c r="K161" t="s">
        <v>3398</v>
      </c>
      <c r="L161" t="s">
        <v>1991</v>
      </c>
      <c r="M161">
        <v>0</v>
      </c>
      <c r="N161">
        <v>94</v>
      </c>
      <c r="O161" t="str">
        <f>_xlfn.IFNA(VLOOKUP(Table2[[#This Row],[Lead Source]],'helper tab'!A:B,2,FALSE),"Exclude")</f>
        <v>Exclude</v>
      </c>
      <c r="P161" s="476">
        <f ca="1">TODAY() - Table2[[#This Row],[Created Date]]</f>
        <v>290</v>
      </c>
      <c r="Q161">
        <f>IF(OR(Table2[[#This Row],[Stage]]="Propose",Table2[[#This Row],[Stage]]="Procure"),1,0)</f>
        <v>0</v>
      </c>
      <c r="R161">
        <f>IF(Table2[[#This Row],[Stage]]="Closed Won",1,0)</f>
        <v>1</v>
      </c>
      <c r="S161" t="b">
        <f>IFERROR(_xlfn.XLOOKUP(Table2[[#This Row],[Opportunity ID]],'Aging Detail'!$H$14:$H$20,'Aging Detail'!$F$14:$F$20),TRUE)</f>
        <v>1</v>
      </c>
    </row>
    <row r="162" spans="1:19" hidden="1">
      <c r="A162" t="s">
        <v>2262</v>
      </c>
      <c r="B162" t="s">
        <v>3325</v>
      </c>
      <c r="C162" t="s">
        <v>1469</v>
      </c>
      <c r="D162" t="s">
        <v>3380</v>
      </c>
      <c r="E162">
        <v>418400</v>
      </c>
      <c r="F162" s="422">
        <v>46112</v>
      </c>
      <c r="G162" s="422">
        <v>45664</v>
      </c>
      <c r="H162" t="s">
        <v>1464</v>
      </c>
      <c r="K162" t="s">
        <v>3398</v>
      </c>
      <c r="L162" t="s">
        <v>3326</v>
      </c>
      <c r="M162">
        <v>158400</v>
      </c>
      <c r="N162">
        <v>544</v>
      </c>
      <c r="O162" t="str">
        <f>_xlfn.IFNA(VLOOKUP(Table2[[#This Row],[Lead Source]],'helper tab'!A:B,2,FALSE),"Exclude")</f>
        <v>Cold</v>
      </c>
      <c r="P162" s="476">
        <f ca="1">TODAY() - Table2[[#This Row],[Created Date]]</f>
        <v>594</v>
      </c>
      <c r="Q162">
        <f>IF(OR(Table2[[#This Row],[Stage]]="Propose",Table2[[#This Row],[Stage]]="Procure"),1,0)</f>
        <v>0</v>
      </c>
      <c r="R162">
        <f>IF(Table2[[#This Row],[Stage]]="Closed Won",1,0)</f>
        <v>0</v>
      </c>
      <c r="S162" t="b">
        <f>IFERROR(_xlfn.XLOOKUP(Table2[[#This Row],[Opportunity ID]],'Aging Detail'!$H$14:$H$20,'Aging Detail'!$F$14:$F$20),TRUE)</f>
        <v>1</v>
      </c>
    </row>
    <row r="163" spans="1:19" hidden="1">
      <c r="A163" t="s">
        <v>143</v>
      </c>
      <c r="B163" t="s">
        <v>2132</v>
      </c>
      <c r="C163" t="s">
        <v>1469</v>
      </c>
      <c r="D163" t="s">
        <v>3380</v>
      </c>
      <c r="E163">
        <v>0</v>
      </c>
      <c r="F163" s="422">
        <v>46108</v>
      </c>
      <c r="G163" s="422">
        <v>45922</v>
      </c>
      <c r="H163" t="s">
        <v>1465</v>
      </c>
      <c r="K163" t="s">
        <v>3398</v>
      </c>
      <c r="L163" t="s">
        <v>2133</v>
      </c>
      <c r="M163">
        <v>0</v>
      </c>
      <c r="N163">
        <v>129</v>
      </c>
      <c r="O163" t="str">
        <f>_xlfn.IFNA(VLOOKUP(Table2[[#This Row],[Lead Source]],'helper tab'!A:B,2,FALSE),"Exclude")</f>
        <v>Exclude</v>
      </c>
      <c r="P163" s="476">
        <f ca="1">TODAY() - Table2[[#This Row],[Created Date]]</f>
        <v>336</v>
      </c>
      <c r="Q163">
        <f>IF(OR(Table2[[#This Row],[Stage]]="Propose",Table2[[#This Row],[Stage]]="Procure"),1,0)</f>
        <v>0</v>
      </c>
      <c r="R163">
        <f>IF(Table2[[#This Row],[Stage]]="Closed Won",1,0)</f>
        <v>0</v>
      </c>
      <c r="S163" t="b">
        <f>IFERROR(_xlfn.XLOOKUP(Table2[[#This Row],[Opportunity ID]],'Aging Detail'!$H$14:$H$20,'Aging Detail'!$F$14:$F$20),TRUE)</f>
        <v>1</v>
      </c>
    </row>
    <row r="164" spans="1:19" hidden="1">
      <c r="A164" t="s">
        <v>2262</v>
      </c>
      <c r="B164" t="s">
        <v>2260</v>
      </c>
      <c r="C164" t="s">
        <v>1469</v>
      </c>
      <c r="D164" t="s">
        <v>3380</v>
      </c>
      <c r="E164">
        <v>300200</v>
      </c>
      <c r="F164" s="422">
        <v>46094</v>
      </c>
      <c r="G164" s="422">
        <v>45631</v>
      </c>
      <c r="H164" t="s">
        <v>1464</v>
      </c>
      <c r="K164" t="s">
        <v>3398</v>
      </c>
      <c r="L164" t="s">
        <v>2261</v>
      </c>
      <c r="M164">
        <v>115200</v>
      </c>
      <c r="N164">
        <v>180</v>
      </c>
      <c r="O164" t="str">
        <f>_xlfn.IFNA(VLOOKUP(Table2[[#This Row],[Lead Source]],'helper tab'!A:B,2,FALSE),"Exclude")</f>
        <v>Cold</v>
      </c>
      <c r="P164" s="476">
        <f ca="1">TODAY() - Table2[[#This Row],[Created Date]]</f>
        <v>627</v>
      </c>
      <c r="Q164">
        <f>IF(OR(Table2[[#This Row],[Stage]]="Propose",Table2[[#This Row],[Stage]]="Procure"),1,0)</f>
        <v>0</v>
      </c>
      <c r="R164">
        <f>IF(Table2[[#This Row],[Stage]]="Closed Won",1,0)</f>
        <v>0</v>
      </c>
      <c r="S164" t="b">
        <f>IFERROR(_xlfn.XLOOKUP(Table2[[#This Row],[Opportunity ID]],'Aging Detail'!$H$14:$H$20,'Aging Detail'!$F$14:$F$20),TRUE)</f>
        <v>1</v>
      </c>
    </row>
    <row r="165" spans="1:19">
      <c r="A165" t="s">
        <v>2297</v>
      </c>
      <c r="B165" t="s">
        <v>2295</v>
      </c>
      <c r="C165" t="s">
        <v>1469</v>
      </c>
      <c r="D165" t="s">
        <v>3380</v>
      </c>
      <c r="E165">
        <v>0</v>
      </c>
      <c r="F165" s="422">
        <v>46044</v>
      </c>
      <c r="G165" s="422">
        <v>46044</v>
      </c>
      <c r="K165" t="s">
        <v>3398</v>
      </c>
      <c r="L165" t="s">
        <v>2296</v>
      </c>
      <c r="M165">
        <v>0</v>
      </c>
      <c r="N165">
        <v>193</v>
      </c>
      <c r="O165" t="str">
        <f>_xlfn.IFNA(VLOOKUP(Table2[[#This Row],[Lead Source]],'helper tab'!A:B,2,FALSE),"Exclude")</f>
        <v>Exclude</v>
      </c>
      <c r="P165" s="476">
        <f ca="1">TODAY() - Table2[[#This Row],[Created Date]]</f>
        <v>214</v>
      </c>
      <c r="Q165">
        <f>IF(OR(Table2[[#This Row],[Stage]]="Propose",Table2[[#This Row],[Stage]]="Procure"),1,0)</f>
        <v>0</v>
      </c>
      <c r="R165">
        <f>IF(Table2[[#This Row],[Stage]]="Closed Won",1,0)</f>
        <v>0</v>
      </c>
      <c r="S165" t="b">
        <f>IFERROR(_xlfn.XLOOKUP(Table2[[#This Row],[Opportunity ID]],'Aging Detail'!$H$14:$H$20,'Aging Detail'!$F$14:$F$20),TRUE)</f>
        <v>1</v>
      </c>
    </row>
    <row r="166" spans="1:19" hidden="1">
      <c r="A166" t="s">
        <v>2877</v>
      </c>
      <c r="B166" t="s">
        <v>471</v>
      </c>
      <c r="C166" t="s">
        <v>1469</v>
      </c>
      <c r="D166" t="s">
        <v>3363</v>
      </c>
      <c r="F166" s="422">
        <v>45997</v>
      </c>
      <c r="G166" s="422">
        <v>45632</v>
      </c>
      <c r="H166" t="s">
        <v>470</v>
      </c>
      <c r="J166" t="s">
        <v>3583</v>
      </c>
      <c r="K166" t="s">
        <v>3398</v>
      </c>
      <c r="L166" t="s">
        <v>2876</v>
      </c>
      <c r="M166">
        <v>0</v>
      </c>
      <c r="N166">
        <v>369</v>
      </c>
      <c r="O166" t="str">
        <f>_xlfn.IFNA(VLOOKUP(Table2[[#This Row],[Lead Source]],'helper tab'!A:B,2,FALSE),"Exclude")</f>
        <v>Digital</v>
      </c>
      <c r="P166" s="476">
        <f ca="1">TODAY() - Table2[[#This Row],[Created Date]]</f>
        <v>626</v>
      </c>
      <c r="Q166">
        <f>IF(OR(Table2[[#This Row],[Stage]]="Propose",Table2[[#This Row],[Stage]]="Procure"),1,0)</f>
        <v>0</v>
      </c>
      <c r="R166">
        <f>IF(Table2[[#This Row],[Stage]]="Closed Won",1,0)</f>
        <v>0</v>
      </c>
      <c r="S166" t="b">
        <f>IFERROR(_xlfn.XLOOKUP(Table2[[#This Row],[Opportunity ID]],'Aging Detail'!$H$14:$H$20,'Aging Detail'!$F$14:$F$20),TRUE)</f>
        <v>1</v>
      </c>
    </row>
    <row r="167" spans="1:19" hidden="1">
      <c r="A167" t="s">
        <v>3584</v>
      </c>
      <c r="B167" t="s">
        <v>3584</v>
      </c>
      <c r="C167" t="s">
        <v>1469</v>
      </c>
      <c r="D167" t="s">
        <v>3363</v>
      </c>
      <c r="E167">
        <v>298000</v>
      </c>
      <c r="F167" s="422">
        <v>45980</v>
      </c>
      <c r="G167" s="422">
        <v>45078</v>
      </c>
      <c r="H167" t="s">
        <v>1463</v>
      </c>
      <c r="K167" t="s">
        <v>3398</v>
      </c>
      <c r="L167" t="s">
        <v>3585</v>
      </c>
      <c r="M167">
        <v>198000</v>
      </c>
      <c r="N167">
        <v>669</v>
      </c>
      <c r="O167" t="str">
        <f>_xlfn.IFNA(VLOOKUP(Table2[[#This Row],[Lead Source]],'helper tab'!A:B,2,FALSE),"Exclude")</f>
        <v>Cold</v>
      </c>
      <c r="P167" s="476">
        <f ca="1">TODAY() - Table2[[#This Row],[Created Date]]</f>
        <v>1180</v>
      </c>
      <c r="Q167">
        <f>IF(OR(Table2[[#This Row],[Stage]]="Propose",Table2[[#This Row],[Stage]]="Procure"),1,0)</f>
        <v>0</v>
      </c>
      <c r="R167">
        <f>IF(Table2[[#This Row],[Stage]]="Closed Won",1,0)</f>
        <v>0</v>
      </c>
      <c r="S167" t="b">
        <f>IFERROR(_xlfn.XLOOKUP(Table2[[#This Row],[Opportunity ID]],'Aging Detail'!$H$14:$H$20,'Aging Detail'!$F$14:$F$20),TRUE)</f>
        <v>1</v>
      </c>
    </row>
    <row r="168" spans="1:19" hidden="1">
      <c r="A168" t="s">
        <v>1752</v>
      </c>
      <c r="B168" t="s">
        <v>3586</v>
      </c>
      <c r="C168" t="s">
        <v>563</v>
      </c>
      <c r="D168" t="s">
        <v>3363</v>
      </c>
      <c r="E168">
        <v>885720</v>
      </c>
      <c r="F168" s="422">
        <v>45962</v>
      </c>
      <c r="G168" s="422">
        <v>43886</v>
      </c>
      <c r="H168" t="s">
        <v>148</v>
      </c>
      <c r="K168" t="s">
        <v>3398</v>
      </c>
      <c r="L168" t="s">
        <v>3587</v>
      </c>
      <c r="M168">
        <v>670720</v>
      </c>
      <c r="N168">
        <v>271</v>
      </c>
      <c r="O168" t="str">
        <f>_xlfn.IFNA(VLOOKUP(Table2[[#This Row],[Lead Source]],'helper tab'!A:B,2,FALSE),"Exclude")</f>
        <v>Alliances</v>
      </c>
      <c r="P168" s="476">
        <f ca="1">TODAY() - Table2[[#This Row],[Created Date]]</f>
        <v>2372</v>
      </c>
      <c r="Q168">
        <f>IF(OR(Table2[[#This Row],[Stage]]="Propose",Table2[[#This Row],[Stage]]="Procure"),1,0)</f>
        <v>0</v>
      </c>
      <c r="R168">
        <f>IF(Table2[[#This Row],[Stage]]="Closed Won",1,0)</f>
        <v>1</v>
      </c>
      <c r="S168" t="b">
        <f>IFERROR(_xlfn.XLOOKUP(Table2[[#This Row],[Opportunity ID]],'Aging Detail'!$H$14:$H$20,'Aging Detail'!$F$14:$F$20),TRUE)</f>
        <v>1</v>
      </c>
    </row>
    <row r="169" spans="1:19" hidden="1">
      <c r="A169" t="s">
        <v>2537</v>
      </c>
      <c r="B169" t="s">
        <v>2536</v>
      </c>
      <c r="C169" t="s">
        <v>563</v>
      </c>
      <c r="D169" t="s">
        <v>3363</v>
      </c>
      <c r="E169">
        <v>798720</v>
      </c>
      <c r="F169" s="422">
        <v>45961</v>
      </c>
      <c r="G169" s="422">
        <v>45188</v>
      </c>
      <c r="H169" t="s">
        <v>148</v>
      </c>
      <c r="K169" t="s">
        <v>3398</v>
      </c>
      <c r="L169" t="s">
        <v>95</v>
      </c>
      <c r="M169">
        <v>249600</v>
      </c>
      <c r="N169">
        <v>276</v>
      </c>
      <c r="O169" t="str">
        <f>_xlfn.IFNA(VLOOKUP(Table2[[#This Row],[Lead Source]],'helper tab'!A:B,2,FALSE),"Exclude")</f>
        <v>Alliances</v>
      </c>
      <c r="P169" s="476">
        <f ca="1">TODAY() - Table2[[#This Row],[Created Date]]</f>
        <v>1070</v>
      </c>
      <c r="Q169">
        <f>IF(OR(Table2[[#This Row],[Stage]]="Propose",Table2[[#This Row],[Stage]]="Procure"),1,0)</f>
        <v>0</v>
      </c>
      <c r="R169">
        <f>IF(Table2[[#This Row],[Stage]]="Closed Won",1,0)</f>
        <v>1</v>
      </c>
      <c r="S169" t="b">
        <f>IFERROR(_xlfn.XLOOKUP(Table2[[#This Row],[Opportunity ID]],'Aging Detail'!$H$14:$H$20,'Aging Detail'!$F$14:$F$20),TRUE)</f>
        <v>1</v>
      </c>
    </row>
    <row r="170" spans="1:19" hidden="1">
      <c r="A170" t="s">
        <v>582</v>
      </c>
      <c r="B170" t="s">
        <v>2557</v>
      </c>
      <c r="C170" t="s">
        <v>563</v>
      </c>
      <c r="D170" t="s">
        <v>3363</v>
      </c>
      <c r="E170">
        <v>161386</v>
      </c>
      <c r="F170" s="422">
        <v>45952</v>
      </c>
      <c r="G170" s="422">
        <v>45455</v>
      </c>
      <c r="H170" t="s">
        <v>1463</v>
      </c>
      <c r="K170" t="s">
        <v>3398</v>
      </c>
      <c r="L170" t="s">
        <v>2558</v>
      </c>
      <c r="M170">
        <v>74488</v>
      </c>
      <c r="N170">
        <v>283</v>
      </c>
      <c r="O170" t="str">
        <f>_xlfn.IFNA(VLOOKUP(Table2[[#This Row],[Lead Source]],'helper tab'!A:B,2,FALSE),"Exclude")</f>
        <v>Cold</v>
      </c>
      <c r="P170" s="476">
        <f ca="1">TODAY() - Table2[[#This Row],[Created Date]]</f>
        <v>803</v>
      </c>
      <c r="Q170">
        <f>IF(OR(Table2[[#This Row],[Stage]]="Propose",Table2[[#This Row],[Stage]]="Procure"),1,0)</f>
        <v>0</v>
      </c>
      <c r="R170">
        <f>IF(Table2[[#This Row],[Stage]]="Closed Won",1,0)</f>
        <v>1</v>
      </c>
      <c r="S170" t="b">
        <f>IFERROR(_xlfn.XLOOKUP(Table2[[#This Row],[Opportunity ID]],'Aging Detail'!$H$14:$H$20,'Aging Detail'!$F$14:$F$20),TRUE)</f>
        <v>1</v>
      </c>
    </row>
    <row r="171" spans="1:19" hidden="1">
      <c r="A171" t="s">
        <v>1752</v>
      </c>
      <c r="B171" t="s">
        <v>2594</v>
      </c>
      <c r="C171" t="s">
        <v>563</v>
      </c>
      <c r="D171" t="s">
        <v>3363</v>
      </c>
      <c r="E171">
        <v>10000</v>
      </c>
      <c r="F171" s="422">
        <v>45941</v>
      </c>
      <c r="G171" s="422">
        <v>45811</v>
      </c>
      <c r="H171" t="s">
        <v>1463</v>
      </c>
      <c r="K171" t="s">
        <v>3398</v>
      </c>
      <c r="L171" t="s">
        <v>2595</v>
      </c>
      <c r="M171">
        <v>0</v>
      </c>
      <c r="N171">
        <v>287</v>
      </c>
      <c r="O171" t="str">
        <f>_xlfn.IFNA(VLOOKUP(Table2[[#This Row],[Lead Source]],'helper tab'!A:B,2,FALSE),"Exclude")</f>
        <v>Cold</v>
      </c>
      <c r="P171" s="476">
        <f ca="1">TODAY() - Table2[[#This Row],[Created Date]]</f>
        <v>447</v>
      </c>
      <c r="Q171">
        <f>IF(OR(Table2[[#This Row],[Stage]]="Propose",Table2[[#This Row],[Stage]]="Procure"),1,0)</f>
        <v>0</v>
      </c>
      <c r="R171">
        <f>IF(Table2[[#This Row],[Stage]]="Closed Won",1,0)</f>
        <v>1</v>
      </c>
      <c r="S171" t="b">
        <f>IFERROR(_xlfn.XLOOKUP(Table2[[#This Row],[Opportunity ID]],'Aging Detail'!$H$14:$H$20,'Aging Detail'!$F$14:$F$20),TRUE)</f>
        <v>1</v>
      </c>
    </row>
    <row r="172" spans="1:19" hidden="1">
      <c r="A172" t="s">
        <v>582</v>
      </c>
      <c r="B172" t="s">
        <v>590</v>
      </c>
      <c r="C172" t="s">
        <v>563</v>
      </c>
      <c r="D172" t="s">
        <v>3364</v>
      </c>
      <c r="E172">
        <v>10000</v>
      </c>
      <c r="F172" s="422">
        <v>45919</v>
      </c>
      <c r="G172" s="422">
        <v>45741</v>
      </c>
      <c r="H172" t="s">
        <v>1465</v>
      </c>
      <c r="J172" t="s">
        <v>3588</v>
      </c>
      <c r="K172" t="s">
        <v>3398</v>
      </c>
      <c r="L172" t="s">
        <v>2728</v>
      </c>
      <c r="M172">
        <v>0</v>
      </c>
      <c r="N172">
        <v>315</v>
      </c>
      <c r="O172" t="str">
        <f>_xlfn.IFNA(VLOOKUP(Table2[[#This Row],[Lead Source]],'helper tab'!A:B,2,FALSE),"Exclude")</f>
        <v>Exclude</v>
      </c>
      <c r="P172" s="476">
        <f ca="1">TODAY() - Table2[[#This Row],[Created Date]]</f>
        <v>517</v>
      </c>
      <c r="Q172">
        <f>IF(OR(Table2[[#This Row],[Stage]]="Propose",Table2[[#This Row],[Stage]]="Procure"),1,0)</f>
        <v>0</v>
      </c>
      <c r="R172">
        <f>IF(Table2[[#This Row],[Stage]]="Closed Won",1,0)</f>
        <v>1</v>
      </c>
      <c r="S172" t="b">
        <f>IFERROR(_xlfn.XLOOKUP(Table2[[#This Row],[Opportunity ID]],'Aging Detail'!$H$14:$H$20,'Aging Detail'!$F$14:$F$20),TRUE)</f>
        <v>1</v>
      </c>
    </row>
    <row r="173" spans="1:19" hidden="1">
      <c r="A173" t="s">
        <v>3248</v>
      </c>
      <c r="B173" t="s">
        <v>3248</v>
      </c>
      <c r="C173" t="s">
        <v>1469</v>
      </c>
      <c r="D173" t="s">
        <v>3364</v>
      </c>
      <c r="E173">
        <v>1412000</v>
      </c>
      <c r="F173" s="422">
        <v>45912</v>
      </c>
      <c r="G173" s="422">
        <v>45463</v>
      </c>
      <c r="H173" t="s">
        <v>1473</v>
      </c>
      <c r="K173" t="s">
        <v>3398</v>
      </c>
      <c r="L173" t="s">
        <v>3249</v>
      </c>
      <c r="M173">
        <v>1152000</v>
      </c>
      <c r="N173">
        <v>518</v>
      </c>
      <c r="O173" t="str">
        <f>_xlfn.IFNA(VLOOKUP(Table2[[#This Row],[Lead Source]],'helper tab'!A:B,2,FALSE),"Exclude")</f>
        <v>Events</v>
      </c>
      <c r="P173" s="476">
        <f ca="1">TODAY() - Table2[[#This Row],[Created Date]]</f>
        <v>795</v>
      </c>
      <c r="Q173">
        <f>IF(OR(Table2[[#This Row],[Stage]]="Propose",Table2[[#This Row],[Stage]]="Procure"),1,0)</f>
        <v>0</v>
      </c>
      <c r="R173">
        <f>IF(Table2[[#This Row],[Stage]]="Closed Won",1,0)</f>
        <v>0</v>
      </c>
      <c r="S173" t="b">
        <f>IFERROR(_xlfn.XLOOKUP(Table2[[#This Row],[Opportunity ID]],'Aging Detail'!$H$14:$H$20,'Aging Detail'!$F$14:$F$20),TRUE)</f>
        <v>1</v>
      </c>
    </row>
    <row r="174" spans="1:19" hidden="1">
      <c r="A174" t="s">
        <v>2537</v>
      </c>
      <c r="B174" t="s">
        <v>2860</v>
      </c>
      <c r="C174" t="s">
        <v>1469</v>
      </c>
      <c r="D174" t="s">
        <v>3364</v>
      </c>
      <c r="E174">
        <v>10000</v>
      </c>
      <c r="F174" s="422">
        <v>45896</v>
      </c>
      <c r="G174" s="422">
        <v>45811</v>
      </c>
      <c r="H174" t="s">
        <v>148</v>
      </c>
      <c r="K174" t="s">
        <v>3398</v>
      </c>
      <c r="L174" t="s">
        <v>2861</v>
      </c>
      <c r="M174">
        <v>10000</v>
      </c>
      <c r="N174">
        <v>367</v>
      </c>
      <c r="O174" t="str">
        <f>_xlfn.IFNA(VLOOKUP(Table2[[#This Row],[Lead Source]],'helper tab'!A:B,2,FALSE),"Exclude")</f>
        <v>Alliances</v>
      </c>
      <c r="P174" s="476">
        <f ca="1">TODAY() - Table2[[#This Row],[Created Date]]</f>
        <v>447</v>
      </c>
      <c r="Q174">
        <f>IF(OR(Table2[[#This Row],[Stage]]="Propose",Table2[[#This Row],[Stage]]="Procure"),1,0)</f>
        <v>0</v>
      </c>
      <c r="R174">
        <f>IF(Table2[[#This Row],[Stage]]="Closed Won",1,0)</f>
        <v>0</v>
      </c>
      <c r="S174" t="b">
        <f>IFERROR(_xlfn.XLOOKUP(Table2[[#This Row],[Opportunity ID]],'Aging Detail'!$H$14:$H$20,'Aging Detail'!$F$14:$F$20),TRUE)</f>
        <v>1</v>
      </c>
    </row>
    <row r="175" spans="1:19" hidden="1">
      <c r="A175" t="s">
        <v>3589</v>
      </c>
      <c r="B175" t="s">
        <v>3589</v>
      </c>
      <c r="C175" t="s">
        <v>1469</v>
      </c>
      <c r="D175" t="s">
        <v>3364</v>
      </c>
      <c r="E175">
        <v>1168000</v>
      </c>
      <c r="F175" s="422">
        <v>45863</v>
      </c>
      <c r="G175" s="422">
        <v>45498</v>
      </c>
      <c r="H175" t="s">
        <v>1473</v>
      </c>
      <c r="K175" t="s">
        <v>3398</v>
      </c>
      <c r="L175" t="s">
        <v>3590</v>
      </c>
      <c r="M175">
        <v>1008000</v>
      </c>
      <c r="N175">
        <v>665</v>
      </c>
      <c r="O175" t="str">
        <f>_xlfn.IFNA(VLOOKUP(Table2[[#This Row],[Lead Source]],'helper tab'!A:B,2,FALSE),"Exclude")</f>
        <v>Events</v>
      </c>
      <c r="P175" s="476">
        <f ca="1">TODAY() - Table2[[#This Row],[Created Date]]</f>
        <v>760</v>
      </c>
      <c r="Q175">
        <f>IF(OR(Table2[[#This Row],[Stage]]="Propose",Table2[[#This Row],[Stage]]="Procure"),1,0)</f>
        <v>0</v>
      </c>
      <c r="R175">
        <f>IF(Table2[[#This Row],[Stage]]="Closed Won",1,0)</f>
        <v>0</v>
      </c>
      <c r="S175" t="b">
        <f>IFERROR(_xlfn.XLOOKUP(Table2[[#This Row],[Opportunity ID]],'Aging Detail'!$H$14:$H$20,'Aging Detail'!$F$14:$F$20),TRUE)</f>
        <v>1</v>
      </c>
    </row>
    <row r="176" spans="1:19" hidden="1">
      <c r="A176" t="s">
        <v>3305</v>
      </c>
      <c r="B176" t="s">
        <v>3303</v>
      </c>
      <c r="C176" t="s">
        <v>1469</v>
      </c>
      <c r="D176" t="s">
        <v>3415</v>
      </c>
      <c r="E176">
        <v>50000</v>
      </c>
      <c r="F176" s="422">
        <v>45832</v>
      </c>
      <c r="G176" s="422">
        <v>45208</v>
      </c>
      <c r="H176" t="s">
        <v>1473</v>
      </c>
      <c r="K176" t="s">
        <v>3398</v>
      </c>
      <c r="L176" t="s">
        <v>3304</v>
      </c>
      <c r="M176">
        <v>50000</v>
      </c>
      <c r="N176">
        <v>542</v>
      </c>
      <c r="O176" t="str">
        <f>_xlfn.IFNA(VLOOKUP(Table2[[#This Row],[Lead Source]],'helper tab'!A:B,2,FALSE),"Exclude")</f>
        <v>Events</v>
      </c>
      <c r="P176" s="476">
        <f ca="1">TODAY() - Table2[[#This Row],[Created Date]]</f>
        <v>1050</v>
      </c>
      <c r="Q176">
        <f>IF(OR(Table2[[#This Row],[Stage]]="Propose",Table2[[#This Row],[Stage]]="Procure"),1,0)</f>
        <v>0</v>
      </c>
      <c r="R176">
        <f>IF(Table2[[#This Row],[Stage]]="Closed Won",1,0)</f>
        <v>0</v>
      </c>
      <c r="S176" t="b">
        <f>IFERROR(_xlfn.XLOOKUP(Table2[[#This Row],[Opportunity ID]],'Aging Detail'!$H$14:$H$20,'Aging Detail'!$F$14:$F$20),TRUE)</f>
        <v>1</v>
      </c>
    </row>
    <row r="177" spans="1:19" hidden="1">
      <c r="A177" t="s">
        <v>2537</v>
      </c>
      <c r="B177" t="s">
        <v>3192</v>
      </c>
      <c r="C177" t="s">
        <v>1469</v>
      </c>
      <c r="D177" t="s">
        <v>3415</v>
      </c>
      <c r="E177">
        <v>576800</v>
      </c>
      <c r="F177" s="422">
        <v>45814</v>
      </c>
      <c r="G177" s="422">
        <v>45308</v>
      </c>
      <c r="H177" t="s">
        <v>148</v>
      </c>
      <c r="K177" t="s">
        <v>3398</v>
      </c>
      <c r="L177" t="s">
        <v>3193</v>
      </c>
      <c r="M177">
        <v>316800</v>
      </c>
      <c r="N177">
        <v>497</v>
      </c>
      <c r="O177" t="str">
        <f>_xlfn.IFNA(VLOOKUP(Table2[[#This Row],[Lead Source]],'helper tab'!A:B,2,FALSE),"Exclude")</f>
        <v>Alliances</v>
      </c>
      <c r="P177" s="476">
        <f ca="1">TODAY() - Table2[[#This Row],[Created Date]]</f>
        <v>950</v>
      </c>
      <c r="Q177">
        <f>IF(OR(Table2[[#This Row],[Stage]]="Propose",Table2[[#This Row],[Stage]]="Procure"),1,0)</f>
        <v>0</v>
      </c>
      <c r="R177">
        <f>IF(Table2[[#This Row],[Stage]]="Closed Won",1,0)</f>
        <v>0</v>
      </c>
      <c r="S177" t="b">
        <f>IFERROR(_xlfn.XLOOKUP(Table2[[#This Row],[Opportunity ID]],'Aging Detail'!$H$14:$H$20,'Aging Detail'!$F$14:$F$20),TRUE)</f>
        <v>1</v>
      </c>
    </row>
    <row r="178" spans="1:19" hidden="1">
      <c r="A178" t="s">
        <v>1752</v>
      </c>
      <c r="B178" t="s">
        <v>3012</v>
      </c>
      <c r="C178" t="s">
        <v>563</v>
      </c>
      <c r="D178" t="s">
        <v>3415</v>
      </c>
      <c r="E178">
        <v>50000</v>
      </c>
      <c r="F178" s="422">
        <v>45811</v>
      </c>
      <c r="G178" s="422">
        <v>45554</v>
      </c>
      <c r="H178" t="s">
        <v>148</v>
      </c>
      <c r="K178" t="s">
        <v>3398</v>
      </c>
      <c r="L178" t="s">
        <v>3013</v>
      </c>
      <c r="M178">
        <v>50000</v>
      </c>
      <c r="N178">
        <v>426</v>
      </c>
      <c r="O178" t="str">
        <f>_xlfn.IFNA(VLOOKUP(Table2[[#This Row],[Lead Source]],'helper tab'!A:B,2,FALSE),"Exclude")</f>
        <v>Alliances</v>
      </c>
      <c r="P178" s="476">
        <f ca="1">TODAY() - Table2[[#This Row],[Created Date]]</f>
        <v>704</v>
      </c>
      <c r="Q178">
        <f>IF(OR(Table2[[#This Row],[Stage]]="Propose",Table2[[#This Row],[Stage]]="Procure"),1,0)</f>
        <v>0</v>
      </c>
      <c r="R178">
        <f>IF(Table2[[#This Row],[Stage]]="Closed Won",1,0)</f>
        <v>1</v>
      </c>
      <c r="S178" t="b">
        <f>IFERROR(_xlfn.XLOOKUP(Table2[[#This Row],[Opportunity ID]],'Aging Detail'!$H$14:$H$20,'Aging Detail'!$F$14:$F$20),TRUE)</f>
        <v>1</v>
      </c>
    </row>
    <row r="179" spans="1:19" hidden="1">
      <c r="A179" t="s">
        <v>3571</v>
      </c>
      <c r="B179" t="s">
        <v>3591</v>
      </c>
      <c r="C179" t="s">
        <v>1469</v>
      </c>
      <c r="D179" t="s">
        <v>3415</v>
      </c>
      <c r="E179">
        <v>766000</v>
      </c>
      <c r="F179" s="422">
        <v>45792</v>
      </c>
      <c r="G179" s="422">
        <v>44645</v>
      </c>
      <c r="H179" t="s">
        <v>1463</v>
      </c>
      <c r="K179" t="s">
        <v>3398</v>
      </c>
      <c r="L179" t="s">
        <v>3592</v>
      </c>
      <c r="M179">
        <v>426000</v>
      </c>
      <c r="N179">
        <v>497</v>
      </c>
      <c r="O179" t="str">
        <f>_xlfn.IFNA(VLOOKUP(Table2[[#This Row],[Lead Source]],'helper tab'!A:B,2,FALSE),"Exclude")</f>
        <v>Cold</v>
      </c>
      <c r="P179" s="476">
        <f ca="1">TODAY() - Table2[[#This Row],[Created Date]]</f>
        <v>1613</v>
      </c>
      <c r="Q179">
        <f>IF(OR(Table2[[#This Row],[Stage]]="Propose",Table2[[#This Row],[Stage]]="Procure"),1,0)</f>
        <v>0</v>
      </c>
      <c r="R179">
        <f>IF(Table2[[#This Row],[Stage]]="Closed Won",1,0)</f>
        <v>0</v>
      </c>
      <c r="S179" t="b">
        <f>IFERROR(_xlfn.XLOOKUP(Table2[[#This Row],[Opportunity ID]],'Aging Detail'!$H$14:$H$20,'Aging Detail'!$F$14:$F$20),TRUE)</f>
        <v>1</v>
      </c>
    </row>
    <row r="180" spans="1:19" hidden="1">
      <c r="A180" t="s">
        <v>1162</v>
      </c>
      <c r="B180" t="s">
        <v>3593</v>
      </c>
      <c r="C180" t="s">
        <v>1469</v>
      </c>
      <c r="D180" t="s">
        <v>3366</v>
      </c>
      <c r="F180" s="422">
        <v>45747</v>
      </c>
      <c r="G180" s="422">
        <v>45453</v>
      </c>
      <c r="H180" t="s">
        <v>1486</v>
      </c>
      <c r="K180" t="s">
        <v>3398</v>
      </c>
      <c r="L180" t="s">
        <v>3594</v>
      </c>
      <c r="M180">
        <v>0</v>
      </c>
      <c r="N180">
        <v>738</v>
      </c>
      <c r="O180" t="str">
        <f>_xlfn.IFNA(VLOOKUP(Table2[[#This Row],[Lead Source]],'helper tab'!A:B,2,FALSE),"Exclude")</f>
        <v>Exclude</v>
      </c>
      <c r="P180" s="476">
        <f ca="1">TODAY() - Table2[[#This Row],[Created Date]]</f>
        <v>805</v>
      </c>
      <c r="Q180">
        <f>IF(OR(Table2[[#This Row],[Stage]]="Propose",Table2[[#This Row],[Stage]]="Procure"),1,0)</f>
        <v>0</v>
      </c>
      <c r="R180">
        <f>IF(Table2[[#This Row],[Stage]]="Closed Won",1,0)</f>
        <v>0</v>
      </c>
      <c r="S180" t="b">
        <f>IFERROR(_xlfn.XLOOKUP(Table2[[#This Row],[Opportunity ID]],'Aging Detail'!$H$14:$H$20,'Aging Detail'!$F$14:$F$20),TRUE)</f>
        <v>1</v>
      </c>
    </row>
    <row r="181" spans="1:19" hidden="1">
      <c r="A181" t="s">
        <v>582</v>
      </c>
      <c r="B181" t="s">
        <v>3185</v>
      </c>
      <c r="C181" t="s">
        <v>563</v>
      </c>
      <c r="D181" t="s">
        <v>3366</v>
      </c>
      <c r="E181">
        <v>50000</v>
      </c>
      <c r="F181" s="422">
        <v>45741</v>
      </c>
      <c r="G181" s="422">
        <v>45597</v>
      </c>
      <c r="H181" t="s">
        <v>470</v>
      </c>
      <c r="K181" t="s">
        <v>3398</v>
      </c>
      <c r="L181" t="s">
        <v>3186</v>
      </c>
      <c r="M181">
        <v>50000</v>
      </c>
      <c r="N181">
        <v>496</v>
      </c>
      <c r="O181" t="str">
        <f>_xlfn.IFNA(VLOOKUP(Table2[[#This Row],[Lead Source]],'helper tab'!A:B,2,FALSE),"Exclude")</f>
        <v>Digital</v>
      </c>
      <c r="P181" s="476">
        <f ca="1">TODAY() - Table2[[#This Row],[Created Date]]</f>
        <v>661</v>
      </c>
      <c r="Q181">
        <f>IF(OR(Table2[[#This Row],[Stage]]="Propose",Table2[[#This Row],[Stage]]="Procure"),1,0)</f>
        <v>0</v>
      </c>
      <c r="R181">
        <f>IF(Table2[[#This Row],[Stage]]="Closed Won",1,0)</f>
        <v>1</v>
      </c>
      <c r="S181" t="b">
        <f>IFERROR(_xlfn.XLOOKUP(Table2[[#This Row],[Opportunity ID]],'Aging Detail'!$H$14:$H$20,'Aging Detail'!$F$14:$F$20),TRUE)</f>
        <v>1</v>
      </c>
    </row>
    <row r="182" spans="1:19" hidden="1">
      <c r="A182" t="s">
        <v>2297</v>
      </c>
      <c r="B182" t="s">
        <v>3595</v>
      </c>
      <c r="C182" t="s">
        <v>1469</v>
      </c>
      <c r="D182" t="s">
        <v>3368</v>
      </c>
      <c r="F182" s="422">
        <v>45657</v>
      </c>
      <c r="G182" s="422">
        <v>45645</v>
      </c>
      <c r="H182" t="s">
        <v>1562</v>
      </c>
      <c r="J182" t="s">
        <v>3484</v>
      </c>
      <c r="K182" t="s">
        <v>3398</v>
      </c>
      <c r="L182" t="s">
        <v>3596</v>
      </c>
      <c r="M182">
        <v>0</v>
      </c>
      <c r="N182">
        <v>592</v>
      </c>
      <c r="O182" t="str">
        <f>_xlfn.IFNA(VLOOKUP(Table2[[#This Row],[Lead Source]],'helper tab'!A:B,2,FALSE),"Exclude")</f>
        <v>Exclude</v>
      </c>
      <c r="P182" s="476">
        <f ca="1">TODAY() - Table2[[#This Row],[Created Date]]</f>
        <v>613</v>
      </c>
      <c r="Q182">
        <f>IF(OR(Table2[[#This Row],[Stage]]="Propose",Table2[[#This Row],[Stage]]="Procure"),1,0)</f>
        <v>0</v>
      </c>
      <c r="R182">
        <f>IF(Table2[[#This Row],[Stage]]="Closed Won",1,0)</f>
        <v>0</v>
      </c>
      <c r="S182" t="b">
        <f>IFERROR(_xlfn.XLOOKUP(Table2[[#This Row],[Opportunity ID]],'Aging Detail'!$H$14:$H$20,'Aging Detail'!$F$14:$F$20),TRUE)</f>
        <v>1</v>
      </c>
    </row>
    <row r="183" spans="1:19" hidden="1">
      <c r="A183" t="s">
        <v>2257</v>
      </c>
      <c r="B183" t="s">
        <v>3597</v>
      </c>
      <c r="C183" t="s">
        <v>1469</v>
      </c>
      <c r="D183" t="s">
        <v>3368</v>
      </c>
      <c r="F183" s="422">
        <v>45657</v>
      </c>
      <c r="G183" s="422">
        <v>44887</v>
      </c>
      <c r="H183" t="s">
        <v>1483</v>
      </c>
      <c r="K183" t="s">
        <v>3398</v>
      </c>
      <c r="L183" t="s">
        <v>3598</v>
      </c>
      <c r="M183">
        <v>0</v>
      </c>
      <c r="N183">
        <v>1350</v>
      </c>
      <c r="O183" t="str">
        <f>_xlfn.IFNA(VLOOKUP(Table2[[#This Row],[Lead Source]],'helper tab'!A:B,2,FALSE),"Exclude")</f>
        <v>Cold</v>
      </c>
      <c r="P183" s="476">
        <f ca="1">TODAY() - Table2[[#This Row],[Created Date]]</f>
        <v>1371</v>
      </c>
      <c r="Q183">
        <f>IF(OR(Table2[[#This Row],[Stage]]="Propose",Table2[[#This Row],[Stage]]="Procure"),1,0)</f>
        <v>0</v>
      </c>
      <c r="R183">
        <f>IF(Table2[[#This Row],[Stage]]="Closed Won",1,0)</f>
        <v>0</v>
      </c>
      <c r="S183" t="b">
        <f>IFERROR(_xlfn.XLOOKUP(Table2[[#This Row],[Opportunity ID]],'Aging Detail'!$H$14:$H$20,'Aging Detail'!$F$14:$F$20),TRUE)</f>
        <v>1</v>
      </c>
    </row>
    <row r="184" spans="1:19" hidden="1">
      <c r="A184" t="s">
        <v>2257</v>
      </c>
      <c r="B184" t="s">
        <v>3599</v>
      </c>
      <c r="C184" t="s">
        <v>1469</v>
      </c>
      <c r="D184" t="s">
        <v>3368</v>
      </c>
      <c r="F184" s="422">
        <v>45596</v>
      </c>
      <c r="G184" s="422">
        <v>44930</v>
      </c>
      <c r="H184" t="s">
        <v>1463</v>
      </c>
      <c r="K184" t="s">
        <v>3398</v>
      </c>
      <c r="L184" t="s">
        <v>3600</v>
      </c>
      <c r="M184">
        <v>0</v>
      </c>
      <c r="N184">
        <v>1307</v>
      </c>
      <c r="O184" t="str">
        <f>_xlfn.IFNA(VLOOKUP(Table2[[#This Row],[Lead Source]],'helper tab'!A:B,2,FALSE),"Exclude")</f>
        <v>Cold</v>
      </c>
      <c r="P184" s="476">
        <f ca="1">TODAY() - Table2[[#This Row],[Created Date]]</f>
        <v>1328</v>
      </c>
      <c r="Q184">
        <f>IF(OR(Table2[[#This Row],[Stage]]="Propose",Table2[[#This Row],[Stage]]="Procure"),1,0)</f>
        <v>0</v>
      </c>
      <c r="R184">
        <f>IF(Table2[[#This Row],[Stage]]="Closed Won",1,0)</f>
        <v>0</v>
      </c>
      <c r="S184" t="b">
        <f>IFERROR(_xlfn.XLOOKUP(Table2[[#This Row],[Opportunity ID]],'Aging Detail'!$H$14:$H$20,'Aging Detail'!$F$14:$F$20),TRUE)</f>
        <v>1</v>
      </c>
    </row>
    <row r="185" spans="1:19" hidden="1">
      <c r="A185" t="s">
        <v>255</v>
      </c>
      <c r="B185" t="s">
        <v>3601</v>
      </c>
      <c r="C185" t="s">
        <v>563</v>
      </c>
      <c r="D185" t="s">
        <v>3422</v>
      </c>
      <c r="E185">
        <v>336000</v>
      </c>
      <c r="F185" s="422">
        <v>45540</v>
      </c>
      <c r="G185" s="422">
        <v>44616</v>
      </c>
      <c r="H185" t="s">
        <v>1475</v>
      </c>
      <c r="K185" t="s">
        <v>3398</v>
      </c>
      <c r="L185" t="s">
        <v>3602</v>
      </c>
      <c r="M185">
        <v>336000</v>
      </c>
      <c r="N185">
        <v>697</v>
      </c>
      <c r="O185" t="str">
        <f>_xlfn.IFNA(VLOOKUP(Table2[[#This Row],[Lead Source]],'helper tab'!A:B,2,FALSE),"Exclude")</f>
        <v>Exclude</v>
      </c>
      <c r="P185" s="476">
        <f ca="1">TODAY() - Table2[[#This Row],[Created Date]]</f>
        <v>1642</v>
      </c>
      <c r="Q185">
        <f>IF(OR(Table2[[#This Row],[Stage]]="Propose",Table2[[#This Row],[Stage]]="Procure"),1,0)</f>
        <v>0</v>
      </c>
      <c r="R185">
        <f>IF(Table2[[#This Row],[Stage]]="Closed Won",1,0)</f>
        <v>1</v>
      </c>
      <c r="S185" t="b">
        <f>IFERROR(_xlfn.XLOOKUP(Table2[[#This Row],[Opportunity ID]],'Aging Detail'!$H$14:$H$20,'Aging Detail'!$F$14:$F$20),TRUE)</f>
        <v>1</v>
      </c>
    </row>
    <row r="186" spans="1:19" hidden="1">
      <c r="A186" t="s">
        <v>255</v>
      </c>
      <c r="B186" t="s">
        <v>3603</v>
      </c>
      <c r="C186" t="s">
        <v>563</v>
      </c>
      <c r="D186" t="s">
        <v>3604</v>
      </c>
      <c r="F186" s="422">
        <v>45447</v>
      </c>
      <c r="G186" s="422">
        <v>45474</v>
      </c>
      <c r="H186" t="s">
        <v>1486</v>
      </c>
      <c r="K186" t="s">
        <v>3398</v>
      </c>
      <c r="L186" t="s">
        <v>3605</v>
      </c>
      <c r="M186">
        <v>0</v>
      </c>
      <c r="N186">
        <v>763</v>
      </c>
      <c r="O186" t="str">
        <f>_xlfn.IFNA(VLOOKUP(Table2[[#This Row],[Lead Source]],'helper tab'!A:B,2,FALSE),"Exclude")</f>
        <v>Exclude</v>
      </c>
      <c r="P186" s="476">
        <f ca="1">TODAY() - Table2[[#This Row],[Created Date]]</f>
        <v>784</v>
      </c>
      <c r="Q186">
        <f>IF(OR(Table2[[#This Row],[Stage]]="Propose",Table2[[#This Row],[Stage]]="Procure"),1,0)</f>
        <v>0</v>
      </c>
      <c r="R186">
        <f>IF(Table2[[#This Row],[Stage]]="Closed Won",1,0)</f>
        <v>1</v>
      </c>
      <c r="S186" t="b">
        <f>IFERROR(_xlfn.XLOOKUP(Table2[[#This Row],[Opportunity ID]],'Aging Detail'!$H$14:$H$20,'Aging Detail'!$F$14:$F$20),TRUE)</f>
        <v>1</v>
      </c>
    </row>
    <row r="187" spans="1:19" hidden="1">
      <c r="A187" t="s">
        <v>1691</v>
      </c>
      <c r="B187" t="s">
        <v>3606</v>
      </c>
      <c r="C187" t="s">
        <v>563</v>
      </c>
      <c r="D187" t="s">
        <v>3472</v>
      </c>
      <c r="F187" s="422">
        <v>45369</v>
      </c>
      <c r="G187" s="422">
        <v>45259</v>
      </c>
      <c r="H187" t="s">
        <v>1486</v>
      </c>
      <c r="K187" t="s">
        <v>3398</v>
      </c>
      <c r="L187" t="s">
        <v>3607</v>
      </c>
      <c r="M187">
        <v>0</v>
      </c>
      <c r="N187">
        <v>978</v>
      </c>
      <c r="O187" t="str">
        <f>_xlfn.IFNA(VLOOKUP(Table2[[#This Row],[Lead Source]],'helper tab'!A:B,2,FALSE),"Exclude")</f>
        <v>Exclude</v>
      </c>
      <c r="P187" s="476">
        <f ca="1">TODAY() - Table2[[#This Row],[Created Date]]</f>
        <v>999</v>
      </c>
      <c r="Q187">
        <f>IF(OR(Table2[[#This Row],[Stage]]="Propose",Table2[[#This Row],[Stage]]="Procure"),1,0)</f>
        <v>0</v>
      </c>
      <c r="R187">
        <f>IF(Table2[[#This Row],[Stage]]="Closed Won",1,0)</f>
        <v>1</v>
      </c>
      <c r="S187" t="b">
        <f>IFERROR(_xlfn.XLOOKUP(Table2[[#This Row],[Opportunity ID]],'Aging Detail'!$H$14:$H$20,'Aging Detail'!$F$14:$F$20),TRUE)</f>
        <v>1</v>
      </c>
    </row>
    <row r="188" spans="1:19" hidden="1">
      <c r="A188" t="s">
        <v>3608</v>
      </c>
      <c r="B188" t="s">
        <v>3609</v>
      </c>
      <c r="C188" t="s">
        <v>1469</v>
      </c>
      <c r="D188" t="s">
        <v>3472</v>
      </c>
      <c r="F188" s="422">
        <v>45344</v>
      </c>
      <c r="G188" s="422">
        <v>44509</v>
      </c>
      <c r="H188" t="s">
        <v>1463</v>
      </c>
      <c r="K188" t="s">
        <v>3398</v>
      </c>
      <c r="L188" t="s">
        <v>3610</v>
      </c>
      <c r="M188">
        <v>0</v>
      </c>
      <c r="N188">
        <v>1728</v>
      </c>
      <c r="O188" t="str">
        <f>_xlfn.IFNA(VLOOKUP(Table2[[#This Row],[Lead Source]],'helper tab'!A:B,2,FALSE),"Exclude")</f>
        <v>Cold</v>
      </c>
      <c r="P188" s="476">
        <f ca="1">TODAY() - Table2[[#This Row],[Created Date]]</f>
        <v>1749</v>
      </c>
      <c r="Q188">
        <f>IF(OR(Table2[[#This Row],[Stage]]="Propose",Table2[[#This Row],[Stage]]="Procure"),1,0)</f>
        <v>0</v>
      </c>
      <c r="R188">
        <f>IF(Table2[[#This Row],[Stage]]="Closed Won",1,0)</f>
        <v>0</v>
      </c>
      <c r="S188" t="b">
        <f>IFERROR(_xlfn.XLOOKUP(Table2[[#This Row],[Opportunity ID]],'Aging Detail'!$H$14:$H$20,'Aging Detail'!$F$14:$F$20),TRUE)</f>
        <v>1</v>
      </c>
    </row>
    <row r="189" spans="1:19" hidden="1">
      <c r="A189" t="s">
        <v>1691</v>
      </c>
      <c r="B189" t="s">
        <v>3611</v>
      </c>
      <c r="C189" t="s">
        <v>563</v>
      </c>
      <c r="D189" t="s">
        <v>3612</v>
      </c>
      <c r="F189" s="422">
        <v>45289</v>
      </c>
      <c r="G189" s="422">
        <v>45146</v>
      </c>
      <c r="H189" t="s">
        <v>1486</v>
      </c>
      <c r="K189" t="s">
        <v>3398</v>
      </c>
      <c r="L189" t="s">
        <v>3613</v>
      </c>
      <c r="M189">
        <v>0</v>
      </c>
      <c r="N189">
        <v>1091</v>
      </c>
      <c r="O189" t="str">
        <f>_xlfn.IFNA(VLOOKUP(Table2[[#This Row],[Lead Source]],'helper tab'!A:B,2,FALSE),"Exclude")</f>
        <v>Exclude</v>
      </c>
      <c r="P189" s="476">
        <f ca="1">TODAY() - Table2[[#This Row],[Created Date]]</f>
        <v>1112</v>
      </c>
      <c r="Q189">
        <f>IF(OR(Table2[[#This Row],[Stage]]="Propose",Table2[[#This Row],[Stage]]="Procure"),1,0)</f>
        <v>0</v>
      </c>
      <c r="R189">
        <f>IF(Table2[[#This Row],[Stage]]="Closed Won",1,0)</f>
        <v>1</v>
      </c>
      <c r="S189" t="b">
        <f>IFERROR(_xlfn.XLOOKUP(Table2[[#This Row],[Opportunity ID]],'Aging Detail'!$H$14:$H$20,'Aging Detail'!$F$14:$F$20),TRUE)</f>
        <v>1</v>
      </c>
    </row>
    <row r="190" spans="1:19" hidden="1">
      <c r="A190" t="s">
        <v>255</v>
      </c>
      <c r="B190" t="s">
        <v>3614</v>
      </c>
      <c r="C190" t="s">
        <v>563</v>
      </c>
      <c r="D190" t="s">
        <v>3612</v>
      </c>
      <c r="F190" s="422">
        <v>45252</v>
      </c>
      <c r="G190" s="422">
        <v>44589</v>
      </c>
      <c r="H190" t="s">
        <v>1486</v>
      </c>
      <c r="K190" t="s">
        <v>3398</v>
      </c>
      <c r="L190" t="s">
        <v>3615</v>
      </c>
      <c r="M190">
        <v>0</v>
      </c>
      <c r="N190">
        <v>1648</v>
      </c>
      <c r="O190" t="str">
        <f>_xlfn.IFNA(VLOOKUP(Table2[[#This Row],[Lead Source]],'helper tab'!A:B,2,FALSE),"Exclude")</f>
        <v>Exclude</v>
      </c>
      <c r="P190" s="476">
        <f ca="1">TODAY() - Table2[[#This Row],[Created Date]]</f>
        <v>1669</v>
      </c>
      <c r="Q190">
        <f>IF(OR(Table2[[#This Row],[Stage]]="Propose",Table2[[#This Row],[Stage]]="Procure"),1,0)</f>
        <v>0</v>
      </c>
      <c r="R190">
        <f>IF(Table2[[#This Row],[Stage]]="Closed Won",1,0)</f>
        <v>1</v>
      </c>
      <c r="S190" t="b">
        <f>IFERROR(_xlfn.XLOOKUP(Table2[[#This Row],[Opportunity ID]],'Aging Detail'!$H$14:$H$20,'Aging Detail'!$F$14:$F$20),TRUE)</f>
        <v>1</v>
      </c>
    </row>
    <row r="191" spans="1:19" hidden="1">
      <c r="A191" t="s">
        <v>1691</v>
      </c>
      <c r="B191" t="s">
        <v>3616</v>
      </c>
      <c r="C191" t="s">
        <v>563</v>
      </c>
      <c r="D191" t="s">
        <v>3617</v>
      </c>
      <c r="F191" s="422">
        <v>45131</v>
      </c>
      <c r="G191" s="422">
        <v>45002</v>
      </c>
      <c r="H191" t="s">
        <v>1486</v>
      </c>
      <c r="K191" t="s">
        <v>3398</v>
      </c>
      <c r="L191" t="s">
        <v>3618</v>
      </c>
      <c r="M191">
        <v>0</v>
      </c>
      <c r="N191">
        <v>1235</v>
      </c>
      <c r="O191" t="str">
        <f>_xlfn.IFNA(VLOOKUP(Table2[[#This Row],[Lead Source]],'helper tab'!A:B,2,FALSE),"Exclude")</f>
        <v>Exclude</v>
      </c>
      <c r="P191" s="476">
        <f ca="1">TODAY() - Table2[[#This Row],[Created Date]]</f>
        <v>1256</v>
      </c>
      <c r="Q191">
        <f>IF(OR(Table2[[#This Row],[Stage]]="Propose",Table2[[#This Row],[Stage]]="Procure"),1,0)</f>
        <v>0</v>
      </c>
      <c r="R191">
        <f>IF(Table2[[#This Row],[Stage]]="Closed Won",1,0)</f>
        <v>1</v>
      </c>
      <c r="S191" t="b">
        <f>IFERROR(_xlfn.XLOOKUP(Table2[[#This Row],[Opportunity ID]],'Aging Detail'!$H$14:$H$20,'Aging Detail'!$F$14:$F$20),TRUE)</f>
        <v>1</v>
      </c>
    </row>
    <row r="192" spans="1:19" hidden="1">
      <c r="A192" t="s">
        <v>1608</v>
      </c>
      <c r="B192" t="s">
        <v>3619</v>
      </c>
      <c r="C192" t="s">
        <v>563</v>
      </c>
      <c r="D192" t="s">
        <v>3499</v>
      </c>
      <c r="F192" s="422">
        <v>44582</v>
      </c>
      <c r="G192" s="422">
        <v>44477</v>
      </c>
      <c r="H192" t="s">
        <v>1484</v>
      </c>
      <c r="K192" t="s">
        <v>3398</v>
      </c>
      <c r="L192" t="s">
        <v>3620</v>
      </c>
      <c r="M192">
        <v>0</v>
      </c>
      <c r="N192">
        <v>1760</v>
      </c>
      <c r="O192" t="str">
        <f>_xlfn.IFNA(VLOOKUP(Table2[[#This Row],[Lead Source]],'helper tab'!A:B,2,FALSE),"Exclude")</f>
        <v>Exclude</v>
      </c>
      <c r="P192" s="476">
        <f ca="1">TODAY() - Table2[[#This Row],[Created Date]]</f>
        <v>1781</v>
      </c>
      <c r="Q192">
        <f>IF(OR(Table2[[#This Row],[Stage]]="Propose",Table2[[#This Row],[Stage]]="Procure"),1,0)</f>
        <v>0</v>
      </c>
      <c r="R192">
        <f>IF(Table2[[#This Row],[Stage]]="Closed Won",1,0)</f>
        <v>1</v>
      </c>
      <c r="S192" t="b">
        <f>IFERROR(_xlfn.XLOOKUP(Table2[[#This Row],[Opportunity ID]],'Aging Detail'!$H$14:$H$20,'Aging Detail'!$F$14:$F$20),TRUE)</f>
        <v>1</v>
      </c>
    </row>
    <row r="193" spans="1:19" hidden="1">
      <c r="A193" t="s">
        <v>2555</v>
      </c>
      <c r="B193" t="s">
        <v>3621</v>
      </c>
      <c r="C193" t="s">
        <v>563</v>
      </c>
      <c r="D193" t="s">
        <v>3409</v>
      </c>
      <c r="F193" s="422">
        <v>44405</v>
      </c>
      <c r="G193" s="422">
        <v>44377</v>
      </c>
      <c r="H193" t="s">
        <v>1486</v>
      </c>
      <c r="K193" t="s">
        <v>3398</v>
      </c>
      <c r="L193" t="s">
        <v>3622</v>
      </c>
      <c r="M193">
        <v>0</v>
      </c>
      <c r="N193">
        <v>1860</v>
      </c>
      <c r="O193" t="str">
        <f>_xlfn.IFNA(VLOOKUP(Table2[[#This Row],[Lead Source]],'helper tab'!A:B,2,FALSE),"Exclude")</f>
        <v>Exclude</v>
      </c>
      <c r="P193" s="476">
        <f ca="1">TODAY() - Table2[[#This Row],[Created Date]]</f>
        <v>1881</v>
      </c>
      <c r="Q193">
        <f>IF(OR(Table2[[#This Row],[Stage]]="Propose",Table2[[#This Row],[Stage]]="Procure"),1,0)</f>
        <v>0</v>
      </c>
      <c r="R193">
        <f>IF(Table2[[#This Row],[Stage]]="Closed Won",1,0)</f>
        <v>1</v>
      </c>
      <c r="S193" t="b">
        <f>IFERROR(_xlfn.XLOOKUP(Table2[[#This Row],[Opportunity ID]],'Aging Detail'!$H$14:$H$20,'Aging Detail'!$F$14:$F$20),TRUE)</f>
        <v>1</v>
      </c>
    </row>
    <row r="194" spans="1:19" hidden="1">
      <c r="A194" t="s">
        <v>2555</v>
      </c>
      <c r="B194" t="s">
        <v>3623</v>
      </c>
      <c r="C194" t="s">
        <v>563</v>
      </c>
      <c r="D194" t="s">
        <v>3504</v>
      </c>
      <c r="F194" s="422">
        <v>44184</v>
      </c>
      <c r="G194" s="422">
        <v>44039</v>
      </c>
      <c r="H194" t="s">
        <v>1475</v>
      </c>
      <c r="K194" t="s">
        <v>3398</v>
      </c>
      <c r="L194" t="s">
        <v>3624</v>
      </c>
      <c r="M194">
        <v>0</v>
      </c>
      <c r="N194">
        <v>2198</v>
      </c>
      <c r="O194" t="str">
        <f>_xlfn.IFNA(VLOOKUP(Table2[[#This Row],[Lead Source]],'helper tab'!A:B,2,FALSE),"Exclude")</f>
        <v>Exclude</v>
      </c>
      <c r="P194" s="476">
        <f ca="1">TODAY() - Table2[[#This Row],[Created Date]]</f>
        <v>2219</v>
      </c>
      <c r="Q194">
        <f>IF(OR(Table2[[#This Row],[Stage]]="Propose",Table2[[#This Row],[Stage]]="Procure"),1,0)</f>
        <v>0</v>
      </c>
      <c r="R194">
        <f>IF(Table2[[#This Row],[Stage]]="Closed Won",1,0)</f>
        <v>1</v>
      </c>
      <c r="S194" t="b">
        <f>IFERROR(_xlfn.XLOOKUP(Table2[[#This Row],[Opportunity ID]],'Aging Detail'!$H$14:$H$20,'Aging Detail'!$F$14:$F$20),TRUE)</f>
        <v>1</v>
      </c>
    </row>
    <row r="195" spans="1:19" hidden="1">
      <c r="A195" t="s">
        <v>3625</v>
      </c>
      <c r="B195" t="s">
        <v>3625</v>
      </c>
      <c r="C195" t="s">
        <v>563</v>
      </c>
      <c r="D195" t="s">
        <v>3504</v>
      </c>
      <c r="F195" s="422">
        <v>44115</v>
      </c>
      <c r="G195" s="422">
        <v>43934</v>
      </c>
      <c r="H195" t="s">
        <v>1486</v>
      </c>
      <c r="K195" t="s">
        <v>3398</v>
      </c>
      <c r="L195" t="s">
        <v>3626</v>
      </c>
      <c r="M195">
        <v>0</v>
      </c>
      <c r="N195">
        <v>2303</v>
      </c>
      <c r="O195" t="str">
        <f>_xlfn.IFNA(VLOOKUP(Table2[[#This Row],[Lead Source]],'helper tab'!A:B,2,FALSE),"Exclude")</f>
        <v>Exclude</v>
      </c>
      <c r="P195" s="476">
        <f ca="1">TODAY() - Table2[[#This Row],[Created Date]]</f>
        <v>2324</v>
      </c>
      <c r="Q195">
        <f>IF(OR(Table2[[#This Row],[Stage]]="Propose",Table2[[#This Row],[Stage]]="Procure"),1,0)</f>
        <v>0</v>
      </c>
      <c r="R195">
        <f>IF(Table2[[#This Row],[Stage]]="Closed Won",1,0)</f>
        <v>1</v>
      </c>
      <c r="S195" t="b">
        <f>IFERROR(_xlfn.XLOOKUP(Table2[[#This Row],[Opportunity ID]],'Aging Detail'!$H$14:$H$20,'Aging Detail'!$F$14:$F$20),TRUE)</f>
        <v>1</v>
      </c>
    </row>
    <row r="196" spans="1:19" hidden="1">
      <c r="A196" t="s">
        <v>2494</v>
      </c>
      <c r="B196" t="s">
        <v>3627</v>
      </c>
      <c r="C196" t="s">
        <v>408</v>
      </c>
      <c r="D196" t="s">
        <v>3457</v>
      </c>
      <c r="E196">
        <v>590000</v>
      </c>
      <c r="F196" s="422">
        <v>46748</v>
      </c>
      <c r="G196" s="422">
        <v>45978</v>
      </c>
      <c r="H196" t="s">
        <v>1468</v>
      </c>
      <c r="K196" t="s">
        <v>3350</v>
      </c>
      <c r="L196" t="s">
        <v>3628</v>
      </c>
      <c r="M196">
        <v>450000</v>
      </c>
      <c r="N196">
        <v>259</v>
      </c>
      <c r="O196" t="str">
        <f>_xlfn.IFNA(VLOOKUP(Table2[[#This Row],[Lead Source]],'helper tab'!A:B,2,FALSE),"Exclude")</f>
        <v>Events</v>
      </c>
      <c r="P196" s="476">
        <f ca="1">TODAY() - Table2[[#This Row],[Created Date]]</f>
        <v>280</v>
      </c>
      <c r="Q196">
        <f>IF(OR(Table2[[#This Row],[Stage]]="Propose",Table2[[#This Row],[Stage]]="Procure"),1,0)</f>
        <v>0</v>
      </c>
      <c r="R196">
        <f>IF(Table2[[#This Row],[Stage]]="Closed Won",1,0)</f>
        <v>0</v>
      </c>
      <c r="S196" t="b">
        <f>IFERROR(_xlfn.XLOOKUP(Table2[[#This Row],[Opportunity ID]],'Aging Detail'!$H$14:$H$20,'Aging Detail'!$F$14:$F$20),TRUE)</f>
        <v>1</v>
      </c>
    </row>
    <row r="197" spans="1:19" hidden="1">
      <c r="A197" t="s">
        <v>3629</v>
      </c>
      <c r="B197" t="s">
        <v>3630</v>
      </c>
      <c r="C197" t="s">
        <v>338</v>
      </c>
      <c r="D197" t="s">
        <v>3385</v>
      </c>
      <c r="E197">
        <v>284000</v>
      </c>
      <c r="F197" s="422">
        <v>46660</v>
      </c>
      <c r="G197" s="422">
        <v>45996</v>
      </c>
      <c r="H197" t="s">
        <v>1470</v>
      </c>
      <c r="K197" t="s">
        <v>3350</v>
      </c>
      <c r="L197" t="s">
        <v>3631</v>
      </c>
      <c r="M197">
        <v>144000</v>
      </c>
      <c r="N197">
        <v>241</v>
      </c>
      <c r="O197" t="str">
        <f>_xlfn.IFNA(VLOOKUP(Table2[[#This Row],[Lead Source]],'helper tab'!A:B,2,FALSE),"Exclude")</f>
        <v>Cold</v>
      </c>
      <c r="P197" s="476">
        <f ca="1">TODAY() - Table2[[#This Row],[Created Date]]</f>
        <v>262</v>
      </c>
      <c r="Q197">
        <f>IF(OR(Table2[[#This Row],[Stage]]="Propose",Table2[[#This Row],[Stage]]="Procure"),1,0)</f>
        <v>0</v>
      </c>
      <c r="R197">
        <f>IF(Table2[[#This Row],[Stage]]="Closed Won",1,0)</f>
        <v>0</v>
      </c>
      <c r="S197" t="b">
        <f>IFERROR(_xlfn.XLOOKUP(Table2[[#This Row],[Opportunity ID]],'Aging Detail'!$H$14:$H$20,'Aging Detail'!$F$14:$F$20),TRUE)</f>
        <v>1</v>
      </c>
    </row>
    <row r="198" spans="1:19" hidden="1">
      <c r="A198" t="s">
        <v>3632</v>
      </c>
      <c r="B198" t="s">
        <v>3633</v>
      </c>
      <c r="C198" t="s">
        <v>338</v>
      </c>
      <c r="D198" t="s">
        <v>3349</v>
      </c>
      <c r="E198">
        <v>716000</v>
      </c>
      <c r="F198" s="422">
        <v>46568</v>
      </c>
      <c r="G198" s="422">
        <v>46007</v>
      </c>
      <c r="H198" t="s">
        <v>1470</v>
      </c>
      <c r="K198" t="s">
        <v>3350</v>
      </c>
      <c r="L198" t="s">
        <v>3634</v>
      </c>
      <c r="M198">
        <v>576000</v>
      </c>
      <c r="N198">
        <v>230</v>
      </c>
      <c r="O198" t="str">
        <f>_xlfn.IFNA(VLOOKUP(Table2[[#This Row],[Lead Source]],'helper tab'!A:B,2,FALSE),"Exclude")</f>
        <v>Cold</v>
      </c>
      <c r="P198" s="476">
        <f ca="1">TODAY() - Table2[[#This Row],[Created Date]]</f>
        <v>251</v>
      </c>
      <c r="Q198">
        <f>IF(OR(Table2[[#This Row],[Stage]]="Propose",Table2[[#This Row],[Stage]]="Procure"),1,0)</f>
        <v>0</v>
      </c>
      <c r="R198">
        <f>IF(Table2[[#This Row],[Stage]]="Closed Won",1,0)</f>
        <v>0</v>
      </c>
      <c r="S198" t="b">
        <f>IFERROR(_xlfn.XLOOKUP(Table2[[#This Row],[Opportunity ID]],'Aging Detail'!$H$14:$H$20,'Aging Detail'!$F$14:$F$20),TRUE)</f>
        <v>1</v>
      </c>
    </row>
    <row r="199" spans="1:19" hidden="1">
      <c r="A199" t="s">
        <v>1857</v>
      </c>
      <c r="B199" t="s">
        <v>3635</v>
      </c>
      <c r="C199" t="s">
        <v>408</v>
      </c>
      <c r="D199" t="s">
        <v>3349</v>
      </c>
      <c r="E199">
        <v>396400</v>
      </c>
      <c r="F199" s="422">
        <v>46568</v>
      </c>
      <c r="G199" s="422">
        <v>45869</v>
      </c>
      <c r="H199" t="s">
        <v>1468</v>
      </c>
      <c r="K199" t="s">
        <v>3350</v>
      </c>
      <c r="L199" t="s">
        <v>3636</v>
      </c>
      <c r="M199">
        <v>356400</v>
      </c>
      <c r="N199">
        <v>368</v>
      </c>
      <c r="O199" t="str">
        <f>_xlfn.IFNA(VLOOKUP(Table2[[#This Row],[Lead Source]],'helper tab'!A:B,2,FALSE),"Exclude")</f>
        <v>Events</v>
      </c>
      <c r="P199" s="476">
        <f ca="1">TODAY() - Table2[[#This Row],[Created Date]]</f>
        <v>389</v>
      </c>
      <c r="Q199">
        <f>IF(OR(Table2[[#This Row],[Stage]]="Propose",Table2[[#This Row],[Stage]]="Procure"),1,0)</f>
        <v>0</v>
      </c>
      <c r="R199">
        <f>IF(Table2[[#This Row],[Stage]]="Closed Won",1,0)</f>
        <v>0</v>
      </c>
      <c r="S199" t="b">
        <f>IFERROR(_xlfn.XLOOKUP(Table2[[#This Row],[Opportunity ID]],'Aging Detail'!$H$14:$H$20,'Aging Detail'!$F$14:$F$20),TRUE)</f>
        <v>1</v>
      </c>
    </row>
    <row r="200" spans="1:19" hidden="1">
      <c r="A200" t="s">
        <v>2494</v>
      </c>
      <c r="B200" t="s">
        <v>2492</v>
      </c>
      <c r="C200" t="s">
        <v>1462</v>
      </c>
      <c r="D200" t="s">
        <v>3349</v>
      </c>
      <c r="E200">
        <v>50000</v>
      </c>
      <c r="F200" s="422">
        <v>46538</v>
      </c>
      <c r="G200" s="422">
        <v>45978</v>
      </c>
      <c r="H200" t="s">
        <v>1473</v>
      </c>
      <c r="J200" t="s">
        <v>3637</v>
      </c>
      <c r="K200" t="s">
        <v>3350</v>
      </c>
      <c r="L200" t="s">
        <v>2493</v>
      </c>
      <c r="M200">
        <v>50000</v>
      </c>
      <c r="N200">
        <v>259</v>
      </c>
      <c r="O200" t="str">
        <f>_xlfn.IFNA(VLOOKUP(Table2[[#This Row],[Lead Source]],'helper tab'!A:B,2,FALSE),"Exclude")</f>
        <v>Events</v>
      </c>
      <c r="P200" s="476">
        <f ca="1">TODAY() - Table2[[#This Row],[Created Date]]</f>
        <v>280</v>
      </c>
      <c r="Q200">
        <f>IF(OR(Table2[[#This Row],[Stage]]="Propose",Table2[[#This Row],[Stage]]="Procure"),1,0)</f>
        <v>0</v>
      </c>
      <c r="R200">
        <f>IF(Table2[[#This Row],[Stage]]="Closed Won",1,0)</f>
        <v>0</v>
      </c>
      <c r="S200" t="b">
        <f>IFERROR(_xlfn.XLOOKUP(Table2[[#This Row],[Opportunity ID]],'Aging Detail'!$H$14:$H$20,'Aging Detail'!$F$14:$F$20),TRUE)</f>
        <v>1</v>
      </c>
    </row>
    <row r="201" spans="1:19" hidden="1">
      <c r="A201" t="s">
        <v>3638</v>
      </c>
      <c r="B201" t="s">
        <v>3639</v>
      </c>
      <c r="C201" t="s">
        <v>408</v>
      </c>
      <c r="D201" t="s">
        <v>3349</v>
      </c>
      <c r="E201">
        <v>2040000</v>
      </c>
      <c r="F201" s="422">
        <v>46533</v>
      </c>
      <c r="G201" s="422">
        <v>45429</v>
      </c>
      <c r="H201" t="s">
        <v>1483</v>
      </c>
      <c r="K201" t="s">
        <v>3350</v>
      </c>
      <c r="L201" t="s">
        <v>3640</v>
      </c>
      <c r="M201">
        <v>1980000</v>
      </c>
      <c r="N201">
        <v>808</v>
      </c>
      <c r="O201" t="str">
        <f>_xlfn.IFNA(VLOOKUP(Table2[[#This Row],[Lead Source]],'helper tab'!A:B,2,FALSE),"Exclude")</f>
        <v>Cold</v>
      </c>
      <c r="P201" s="476">
        <f ca="1">TODAY() - Table2[[#This Row],[Created Date]]</f>
        <v>829</v>
      </c>
      <c r="Q201">
        <f>IF(OR(Table2[[#This Row],[Stage]]="Propose",Table2[[#This Row],[Stage]]="Procure"),1,0)</f>
        <v>0</v>
      </c>
      <c r="R201">
        <f>IF(Table2[[#This Row],[Stage]]="Closed Won",1,0)</f>
        <v>0</v>
      </c>
      <c r="S201" t="b">
        <f>IFERROR(_xlfn.XLOOKUP(Table2[[#This Row],[Opportunity ID]],'Aging Detail'!$H$14:$H$20,'Aging Detail'!$F$14:$F$20),TRUE)</f>
        <v>1</v>
      </c>
    </row>
    <row r="202" spans="1:19">
      <c r="A202" t="s">
        <v>3641</v>
      </c>
      <c r="B202" t="s">
        <v>3642</v>
      </c>
      <c r="C202" t="s">
        <v>408</v>
      </c>
      <c r="D202" t="s">
        <v>3349</v>
      </c>
      <c r="E202">
        <v>476000</v>
      </c>
      <c r="F202" s="422">
        <v>46532</v>
      </c>
      <c r="G202" s="422">
        <v>46145</v>
      </c>
      <c r="H202" t="s">
        <v>1470</v>
      </c>
      <c r="K202" t="s">
        <v>3350</v>
      </c>
      <c r="L202" t="s">
        <v>3643</v>
      </c>
      <c r="M202">
        <v>336000</v>
      </c>
      <c r="N202">
        <v>27</v>
      </c>
      <c r="O202" t="str">
        <f>_xlfn.IFNA(VLOOKUP(Table2[[#This Row],[Lead Source]],'helper tab'!A:B,2,FALSE),"Exclude")</f>
        <v>Cold</v>
      </c>
      <c r="P202" s="476">
        <f ca="1">TODAY() - Table2[[#This Row],[Created Date]]</f>
        <v>113</v>
      </c>
      <c r="Q202">
        <f>IF(OR(Table2[[#This Row],[Stage]]="Propose",Table2[[#This Row],[Stage]]="Procure"),1,0)</f>
        <v>0</v>
      </c>
      <c r="R202">
        <f>IF(Table2[[#This Row],[Stage]]="Closed Won",1,0)</f>
        <v>0</v>
      </c>
      <c r="S202" t="b">
        <f>IFERROR(_xlfn.XLOOKUP(Table2[[#This Row],[Opportunity ID]],'Aging Detail'!$H$14:$H$20,'Aging Detail'!$F$14:$F$20),TRUE)</f>
        <v>1</v>
      </c>
    </row>
    <row r="203" spans="1:19" hidden="1">
      <c r="A203" t="s">
        <v>3319</v>
      </c>
      <c r="B203" t="s">
        <v>3317</v>
      </c>
      <c r="C203" t="s">
        <v>408</v>
      </c>
      <c r="D203" t="s">
        <v>3349</v>
      </c>
      <c r="E203">
        <v>404000</v>
      </c>
      <c r="F203" s="422">
        <v>46532</v>
      </c>
      <c r="G203" s="422">
        <v>45560</v>
      </c>
      <c r="H203" t="s">
        <v>1485</v>
      </c>
      <c r="J203" t="s">
        <v>3644</v>
      </c>
      <c r="K203" t="s">
        <v>3350</v>
      </c>
      <c r="L203" t="s">
        <v>3318</v>
      </c>
      <c r="M203">
        <v>264000</v>
      </c>
      <c r="N203">
        <v>55</v>
      </c>
      <c r="O203" t="str">
        <f>_xlfn.IFNA(VLOOKUP(Table2[[#This Row],[Lead Source]],'helper tab'!A:B,2,FALSE),"Exclude")</f>
        <v>Digital</v>
      </c>
      <c r="P203" s="476">
        <f ca="1">TODAY() - Table2[[#This Row],[Created Date]]</f>
        <v>698</v>
      </c>
      <c r="Q203">
        <f>IF(OR(Table2[[#This Row],[Stage]]="Propose",Table2[[#This Row],[Stage]]="Procure"),1,0)</f>
        <v>0</v>
      </c>
      <c r="R203">
        <f>IF(Table2[[#This Row],[Stage]]="Closed Won",1,0)</f>
        <v>0</v>
      </c>
      <c r="S203" t="b">
        <f>IFERROR(_xlfn.XLOOKUP(Table2[[#This Row],[Opportunity ID]],'Aging Detail'!$H$14:$H$20,'Aging Detail'!$F$14:$F$20),TRUE)</f>
        <v>1</v>
      </c>
    </row>
    <row r="204" spans="1:19" hidden="1">
      <c r="A204" t="s">
        <v>2423</v>
      </c>
      <c r="B204" t="s">
        <v>2421</v>
      </c>
      <c r="C204" t="s">
        <v>1462</v>
      </c>
      <c r="D204" t="s">
        <v>3349</v>
      </c>
      <c r="E204">
        <v>276948.8</v>
      </c>
      <c r="F204" s="422">
        <v>46530</v>
      </c>
      <c r="G204" s="422">
        <v>45691</v>
      </c>
      <c r="H204" t="s">
        <v>1465</v>
      </c>
      <c r="J204" t="s">
        <v>3484</v>
      </c>
      <c r="K204" t="s">
        <v>3350</v>
      </c>
      <c r="L204" t="s">
        <v>2422</v>
      </c>
      <c r="M204">
        <v>136948.79999999999</v>
      </c>
      <c r="N204">
        <v>238</v>
      </c>
      <c r="O204" t="str">
        <f>_xlfn.IFNA(VLOOKUP(Table2[[#This Row],[Lead Source]],'helper tab'!A:B,2,FALSE),"Exclude")</f>
        <v>Exclude</v>
      </c>
      <c r="P204" s="476">
        <f ca="1">TODAY() - Table2[[#This Row],[Created Date]]</f>
        <v>567</v>
      </c>
      <c r="Q204">
        <f>IF(OR(Table2[[#This Row],[Stage]]="Propose",Table2[[#This Row],[Stage]]="Procure"),1,0)</f>
        <v>0</v>
      </c>
      <c r="R204">
        <f>IF(Table2[[#This Row],[Stage]]="Closed Won",1,0)</f>
        <v>0</v>
      </c>
      <c r="S204" t="b">
        <f>IFERROR(_xlfn.XLOOKUP(Table2[[#This Row],[Opportunity ID]],'Aging Detail'!$H$14:$H$20,'Aging Detail'!$F$14:$F$20),TRUE)</f>
        <v>1</v>
      </c>
    </row>
    <row r="205" spans="1:19" hidden="1">
      <c r="A205" t="s">
        <v>3645</v>
      </c>
      <c r="B205" t="s">
        <v>3646</v>
      </c>
      <c r="C205" t="s">
        <v>408</v>
      </c>
      <c r="D205" t="s">
        <v>3349</v>
      </c>
      <c r="E205">
        <v>370400</v>
      </c>
      <c r="F205" s="422">
        <v>46527</v>
      </c>
      <c r="G205" s="422">
        <v>45695</v>
      </c>
      <c r="H205" t="s">
        <v>1480</v>
      </c>
      <c r="J205" t="s">
        <v>3484</v>
      </c>
      <c r="K205" t="s">
        <v>3350</v>
      </c>
      <c r="L205" t="s">
        <v>3647</v>
      </c>
      <c r="M205">
        <v>230400</v>
      </c>
      <c r="N205">
        <v>542</v>
      </c>
      <c r="O205" t="str">
        <f>_xlfn.IFNA(VLOOKUP(Table2[[#This Row],[Lead Source]],'helper tab'!A:B,2,FALSE),"Exclude")</f>
        <v>Digital</v>
      </c>
      <c r="P205" s="476">
        <f ca="1">TODAY() - Table2[[#This Row],[Created Date]]</f>
        <v>563</v>
      </c>
      <c r="Q205">
        <f>IF(OR(Table2[[#This Row],[Stage]]="Propose",Table2[[#This Row],[Stage]]="Procure"),1,0)</f>
        <v>0</v>
      </c>
      <c r="R205">
        <f>IF(Table2[[#This Row],[Stage]]="Closed Won",1,0)</f>
        <v>0</v>
      </c>
      <c r="S205" t="b">
        <f>IFERROR(_xlfn.XLOOKUP(Table2[[#This Row],[Opportunity ID]],'Aging Detail'!$H$14:$H$20,'Aging Detail'!$F$14:$F$20),TRUE)</f>
        <v>1</v>
      </c>
    </row>
    <row r="206" spans="1:19" hidden="1">
      <c r="A206" t="s">
        <v>3323</v>
      </c>
      <c r="B206" t="s">
        <v>3321</v>
      </c>
      <c r="C206" t="s">
        <v>408</v>
      </c>
      <c r="D206" t="s">
        <v>3349</v>
      </c>
      <c r="E206">
        <v>417600</v>
      </c>
      <c r="F206" s="422">
        <v>46527</v>
      </c>
      <c r="G206" s="422">
        <v>45425</v>
      </c>
      <c r="H206" t="s">
        <v>1473</v>
      </c>
      <c r="K206" t="s">
        <v>3350</v>
      </c>
      <c r="L206" t="s">
        <v>3322</v>
      </c>
      <c r="M206">
        <v>237600</v>
      </c>
      <c r="N206">
        <v>326</v>
      </c>
      <c r="O206" t="str">
        <f>_xlfn.IFNA(VLOOKUP(Table2[[#This Row],[Lead Source]],'helper tab'!A:B,2,FALSE),"Exclude")</f>
        <v>Events</v>
      </c>
      <c r="P206" s="476">
        <f ca="1">TODAY() - Table2[[#This Row],[Created Date]]</f>
        <v>833</v>
      </c>
      <c r="Q206">
        <f>IF(OR(Table2[[#This Row],[Stage]]="Propose",Table2[[#This Row],[Stage]]="Procure"),1,0)</f>
        <v>0</v>
      </c>
      <c r="R206">
        <f>IF(Table2[[#This Row],[Stage]]="Closed Won",1,0)</f>
        <v>0</v>
      </c>
      <c r="S206" t="b">
        <f>IFERROR(_xlfn.XLOOKUP(Table2[[#This Row],[Opportunity ID]],'Aging Detail'!$H$14:$H$20,'Aging Detail'!$F$14:$F$20),TRUE)</f>
        <v>1</v>
      </c>
    </row>
    <row r="207" spans="1:19" hidden="1">
      <c r="A207" t="s">
        <v>3293</v>
      </c>
      <c r="B207" t="s">
        <v>3291</v>
      </c>
      <c r="C207" t="s">
        <v>408</v>
      </c>
      <c r="D207" t="s">
        <v>3349</v>
      </c>
      <c r="E207">
        <v>50000</v>
      </c>
      <c r="F207" s="422">
        <v>46527</v>
      </c>
      <c r="G207" s="422">
        <v>45344</v>
      </c>
      <c r="H207" t="s">
        <v>1485</v>
      </c>
      <c r="J207" t="s">
        <v>3484</v>
      </c>
      <c r="K207" t="s">
        <v>3350</v>
      </c>
      <c r="L207" t="s">
        <v>3292</v>
      </c>
      <c r="M207">
        <v>50000</v>
      </c>
      <c r="N207">
        <v>326</v>
      </c>
      <c r="O207" t="str">
        <f>_xlfn.IFNA(VLOOKUP(Table2[[#This Row],[Lead Source]],'helper tab'!A:B,2,FALSE),"Exclude")</f>
        <v>Digital</v>
      </c>
      <c r="P207" s="476">
        <f ca="1">TODAY() - Table2[[#This Row],[Created Date]]</f>
        <v>914</v>
      </c>
      <c r="Q207">
        <f>IF(OR(Table2[[#This Row],[Stage]]="Propose",Table2[[#This Row],[Stage]]="Procure"),1,0)</f>
        <v>0</v>
      </c>
      <c r="R207">
        <f>IF(Table2[[#This Row],[Stage]]="Closed Won",1,0)</f>
        <v>0</v>
      </c>
      <c r="S207" t="b">
        <f>IFERROR(_xlfn.XLOOKUP(Table2[[#This Row],[Opportunity ID]],'Aging Detail'!$H$14:$H$20,'Aging Detail'!$F$14:$F$20),TRUE)</f>
        <v>1</v>
      </c>
    </row>
    <row r="208" spans="1:19" hidden="1">
      <c r="A208" t="s">
        <v>3629</v>
      </c>
      <c r="B208" t="s">
        <v>3648</v>
      </c>
      <c r="C208" t="s">
        <v>408</v>
      </c>
      <c r="D208" t="s">
        <v>3349</v>
      </c>
      <c r="E208">
        <v>50000</v>
      </c>
      <c r="F208" s="422">
        <v>46507</v>
      </c>
      <c r="G208" s="422">
        <v>45988</v>
      </c>
      <c r="H208" t="s">
        <v>1470</v>
      </c>
      <c r="J208" t="s">
        <v>3649</v>
      </c>
      <c r="K208" t="s">
        <v>3350</v>
      </c>
      <c r="L208" t="s">
        <v>3650</v>
      </c>
      <c r="M208">
        <v>50000</v>
      </c>
      <c r="N208">
        <v>249</v>
      </c>
      <c r="O208" t="str">
        <f>_xlfn.IFNA(VLOOKUP(Table2[[#This Row],[Lead Source]],'helper tab'!A:B,2,FALSE),"Exclude")</f>
        <v>Cold</v>
      </c>
      <c r="P208" s="476">
        <f ca="1">TODAY() - Table2[[#This Row],[Created Date]]</f>
        <v>270</v>
      </c>
      <c r="Q208">
        <f>IF(OR(Table2[[#This Row],[Stage]]="Propose",Table2[[#This Row],[Stage]]="Procure"),1,0)</f>
        <v>0</v>
      </c>
      <c r="R208">
        <f>IF(Table2[[#This Row],[Stage]]="Closed Won",1,0)</f>
        <v>0</v>
      </c>
      <c r="S208" t="b">
        <f>IFERROR(_xlfn.XLOOKUP(Table2[[#This Row],[Opportunity ID]],'Aging Detail'!$H$14:$H$20,'Aging Detail'!$F$14:$F$20),TRUE)</f>
        <v>1</v>
      </c>
    </row>
    <row r="209" spans="1:19" hidden="1">
      <c r="A209" t="s">
        <v>2750</v>
      </c>
      <c r="B209" t="s">
        <v>3651</v>
      </c>
      <c r="C209" t="s">
        <v>408</v>
      </c>
      <c r="D209" t="s">
        <v>3349</v>
      </c>
      <c r="E209">
        <v>213200</v>
      </c>
      <c r="F209" s="422">
        <v>46507</v>
      </c>
      <c r="G209" s="422">
        <v>45910</v>
      </c>
      <c r="H209" t="s">
        <v>1470</v>
      </c>
      <c r="K209" t="s">
        <v>3350</v>
      </c>
      <c r="L209" t="s">
        <v>3652</v>
      </c>
      <c r="M209">
        <v>73200</v>
      </c>
      <c r="N209">
        <v>327</v>
      </c>
      <c r="O209" t="str">
        <f>_xlfn.IFNA(VLOOKUP(Table2[[#This Row],[Lead Source]],'helper tab'!A:B,2,FALSE),"Exclude")</f>
        <v>Cold</v>
      </c>
      <c r="P209" s="476">
        <f ca="1">TODAY() - Table2[[#This Row],[Created Date]]</f>
        <v>348</v>
      </c>
      <c r="Q209">
        <f>IF(OR(Table2[[#This Row],[Stage]]="Propose",Table2[[#This Row],[Stage]]="Procure"),1,0)</f>
        <v>0</v>
      </c>
      <c r="R209">
        <f>IF(Table2[[#This Row],[Stage]]="Closed Won",1,0)</f>
        <v>0</v>
      </c>
      <c r="S209" t="b">
        <f>IFERROR(_xlfn.XLOOKUP(Table2[[#This Row],[Opportunity ID]],'Aging Detail'!$H$14:$H$20,'Aging Detail'!$F$14:$F$20),TRUE)</f>
        <v>1</v>
      </c>
    </row>
    <row r="210" spans="1:19" hidden="1">
      <c r="A210" t="s">
        <v>3653</v>
      </c>
      <c r="B210" t="s">
        <v>3654</v>
      </c>
      <c r="C210" t="s">
        <v>408</v>
      </c>
      <c r="D210" t="s">
        <v>3352</v>
      </c>
      <c r="E210">
        <v>920000</v>
      </c>
      <c r="F210" s="422">
        <v>46477</v>
      </c>
      <c r="G210" s="422">
        <v>45743</v>
      </c>
      <c r="H210" t="s">
        <v>1468</v>
      </c>
      <c r="K210" t="s">
        <v>3350</v>
      </c>
      <c r="L210" t="s">
        <v>3655</v>
      </c>
      <c r="M210">
        <v>780000</v>
      </c>
      <c r="N210">
        <v>458</v>
      </c>
      <c r="O210" t="str">
        <f>_xlfn.IFNA(VLOOKUP(Table2[[#This Row],[Lead Source]],'helper tab'!A:B,2,FALSE),"Exclude")</f>
        <v>Events</v>
      </c>
      <c r="P210" s="476">
        <f ca="1">TODAY() - Table2[[#This Row],[Created Date]]</f>
        <v>515</v>
      </c>
      <c r="Q210">
        <f>IF(OR(Table2[[#This Row],[Stage]]="Propose",Table2[[#This Row],[Stage]]="Procure"),1,0)</f>
        <v>0</v>
      </c>
      <c r="R210">
        <f>IF(Table2[[#This Row],[Stage]]="Closed Won",1,0)</f>
        <v>0</v>
      </c>
      <c r="S210" t="b">
        <f>IFERROR(_xlfn.XLOOKUP(Table2[[#This Row],[Opportunity ID]],'Aging Detail'!$H$14:$H$20,'Aging Detail'!$F$14:$F$20),TRUE)</f>
        <v>1</v>
      </c>
    </row>
    <row r="211" spans="1:19">
      <c r="A211" t="s">
        <v>3656</v>
      </c>
      <c r="B211" t="s">
        <v>3657</v>
      </c>
      <c r="C211" t="s">
        <v>338</v>
      </c>
      <c r="D211" t="s">
        <v>3352</v>
      </c>
      <c r="E211">
        <v>255200</v>
      </c>
      <c r="F211" s="422">
        <v>46476</v>
      </c>
      <c r="G211" s="422">
        <v>46112</v>
      </c>
      <c r="H211" t="s">
        <v>1470</v>
      </c>
      <c r="K211" t="s">
        <v>3350</v>
      </c>
      <c r="L211" t="s">
        <v>3658</v>
      </c>
      <c r="M211">
        <v>115200</v>
      </c>
      <c r="N211">
        <v>125</v>
      </c>
      <c r="O211" t="str">
        <f>_xlfn.IFNA(VLOOKUP(Table2[[#This Row],[Lead Source]],'helper tab'!A:B,2,FALSE),"Exclude")</f>
        <v>Cold</v>
      </c>
      <c r="P211" s="476">
        <f ca="1">TODAY() - Table2[[#This Row],[Created Date]]</f>
        <v>146</v>
      </c>
      <c r="Q211">
        <f>IF(OR(Table2[[#This Row],[Stage]]="Propose",Table2[[#This Row],[Stage]]="Procure"),1,0)</f>
        <v>0</v>
      </c>
      <c r="R211">
        <f>IF(Table2[[#This Row],[Stage]]="Closed Won",1,0)</f>
        <v>0</v>
      </c>
      <c r="S211" t="b">
        <f>IFERROR(_xlfn.XLOOKUP(Table2[[#This Row],[Opportunity ID]],'Aging Detail'!$H$14:$H$20,'Aging Detail'!$F$14:$F$20),TRUE)</f>
        <v>1</v>
      </c>
    </row>
    <row r="212" spans="1:19" hidden="1">
      <c r="A212" t="s">
        <v>3632</v>
      </c>
      <c r="B212" t="s">
        <v>3659</v>
      </c>
      <c r="C212" t="s">
        <v>408</v>
      </c>
      <c r="D212" t="s">
        <v>3352</v>
      </c>
      <c r="E212">
        <v>50000</v>
      </c>
      <c r="F212" s="422">
        <v>46444</v>
      </c>
      <c r="G212" s="422">
        <v>46007</v>
      </c>
      <c r="H212" t="s">
        <v>1470</v>
      </c>
      <c r="K212" t="s">
        <v>3350</v>
      </c>
      <c r="L212" t="s">
        <v>3660</v>
      </c>
      <c r="M212">
        <v>50000</v>
      </c>
      <c r="N212">
        <v>230</v>
      </c>
      <c r="O212" t="str">
        <f>_xlfn.IFNA(VLOOKUP(Table2[[#This Row],[Lead Source]],'helper tab'!A:B,2,FALSE),"Exclude")</f>
        <v>Cold</v>
      </c>
      <c r="P212" s="476">
        <f ca="1">TODAY() - Table2[[#This Row],[Created Date]]</f>
        <v>251</v>
      </c>
      <c r="Q212">
        <f>IF(OR(Table2[[#This Row],[Stage]]="Propose",Table2[[#This Row],[Stage]]="Procure"),1,0)</f>
        <v>0</v>
      </c>
      <c r="R212">
        <f>IF(Table2[[#This Row],[Stage]]="Closed Won",1,0)</f>
        <v>0</v>
      </c>
      <c r="S212" t="b">
        <f>IFERROR(_xlfn.XLOOKUP(Table2[[#This Row],[Opportunity ID]],'Aging Detail'!$H$14:$H$20,'Aging Detail'!$F$14:$F$20),TRUE)</f>
        <v>1</v>
      </c>
    </row>
    <row r="213" spans="1:19" hidden="1">
      <c r="A213" t="s">
        <v>1722</v>
      </c>
      <c r="B213" t="s">
        <v>1719</v>
      </c>
      <c r="C213" t="s">
        <v>1462</v>
      </c>
      <c r="D213" t="s">
        <v>3352</v>
      </c>
      <c r="E213">
        <v>207056</v>
      </c>
      <c r="F213" s="422">
        <v>46443</v>
      </c>
      <c r="G213" s="422">
        <v>45737</v>
      </c>
      <c r="H213" t="s">
        <v>1473</v>
      </c>
      <c r="J213" t="s">
        <v>3360</v>
      </c>
      <c r="K213" t="s">
        <v>3350</v>
      </c>
      <c r="L213" t="s">
        <v>1721</v>
      </c>
      <c r="M213">
        <v>107016</v>
      </c>
      <c r="N213">
        <v>27</v>
      </c>
      <c r="O213" t="str">
        <f>_xlfn.IFNA(VLOOKUP(Table2[[#This Row],[Lead Source]],'helper tab'!A:B,2,FALSE),"Exclude")</f>
        <v>Events</v>
      </c>
      <c r="P213" s="476">
        <f ca="1">TODAY() - Table2[[#This Row],[Created Date]]</f>
        <v>521</v>
      </c>
      <c r="Q213">
        <f>IF(OR(Table2[[#This Row],[Stage]]="Propose",Table2[[#This Row],[Stage]]="Procure"),1,0)</f>
        <v>0</v>
      </c>
      <c r="R213">
        <f>IF(Table2[[#This Row],[Stage]]="Closed Won",1,0)</f>
        <v>0</v>
      </c>
      <c r="S213" t="b">
        <f>IFERROR(_xlfn.XLOOKUP(Table2[[#This Row],[Opportunity ID]],'Aging Detail'!$H$14:$H$20,'Aging Detail'!$F$14:$F$20),TRUE)</f>
        <v>1</v>
      </c>
    </row>
    <row r="214" spans="1:19">
      <c r="A214" t="s">
        <v>2453</v>
      </c>
      <c r="B214" t="s">
        <v>3661</v>
      </c>
      <c r="C214" t="s">
        <v>408</v>
      </c>
      <c r="D214" t="s">
        <v>3352</v>
      </c>
      <c r="E214">
        <v>240800</v>
      </c>
      <c r="F214" s="422">
        <v>46433</v>
      </c>
      <c r="G214" s="422">
        <v>46206</v>
      </c>
      <c r="H214" t="s">
        <v>1470</v>
      </c>
      <c r="K214" t="s">
        <v>3350</v>
      </c>
      <c r="L214" t="s">
        <v>3662</v>
      </c>
      <c r="M214">
        <v>100800</v>
      </c>
      <c r="N214">
        <v>31</v>
      </c>
      <c r="O214" t="str">
        <f>_xlfn.IFNA(VLOOKUP(Table2[[#This Row],[Lead Source]],'helper tab'!A:B,2,FALSE),"Exclude")</f>
        <v>Cold</v>
      </c>
      <c r="P214" s="476">
        <f ca="1">TODAY() - Table2[[#This Row],[Created Date]]</f>
        <v>52</v>
      </c>
      <c r="Q214">
        <f>IF(OR(Table2[[#This Row],[Stage]]="Propose",Table2[[#This Row],[Stage]]="Procure"),1,0)</f>
        <v>0</v>
      </c>
      <c r="R214">
        <f>IF(Table2[[#This Row],[Stage]]="Closed Won",1,0)</f>
        <v>0</v>
      </c>
      <c r="S214" t="b">
        <f>IFERROR(_xlfn.XLOOKUP(Table2[[#This Row],[Opportunity ID]],'Aging Detail'!$H$14:$H$20,'Aging Detail'!$F$14:$F$20),TRUE)</f>
        <v>1</v>
      </c>
    </row>
    <row r="215" spans="1:19">
      <c r="A215" t="s">
        <v>1717</v>
      </c>
      <c r="B215" t="s">
        <v>1715</v>
      </c>
      <c r="C215" t="s">
        <v>1462</v>
      </c>
      <c r="D215" t="s">
        <v>3359</v>
      </c>
      <c r="E215">
        <v>284000</v>
      </c>
      <c r="F215" s="422">
        <v>46371</v>
      </c>
      <c r="G215" s="422">
        <v>46035</v>
      </c>
      <c r="H215" t="s">
        <v>1465</v>
      </c>
      <c r="K215" t="s">
        <v>3350</v>
      </c>
      <c r="L215" t="s">
        <v>1716</v>
      </c>
      <c r="M215">
        <v>144000</v>
      </c>
      <c r="N215">
        <v>27</v>
      </c>
      <c r="O215" t="str">
        <f>_xlfn.IFNA(VLOOKUP(Table2[[#This Row],[Lead Source]],'helper tab'!A:B,2,FALSE),"Exclude")</f>
        <v>Exclude</v>
      </c>
      <c r="P215" s="476">
        <f ca="1">TODAY() - Table2[[#This Row],[Created Date]]</f>
        <v>223</v>
      </c>
      <c r="Q215">
        <f>IF(OR(Table2[[#This Row],[Stage]]="Propose",Table2[[#This Row],[Stage]]="Procure"),1,0)</f>
        <v>0</v>
      </c>
      <c r="R215">
        <f>IF(Table2[[#This Row],[Stage]]="Closed Won",1,0)</f>
        <v>0</v>
      </c>
      <c r="S215" t="b">
        <f>IFERROR(_xlfn.XLOOKUP(Table2[[#This Row],[Opportunity ID]],'Aging Detail'!$H$14:$H$20,'Aging Detail'!$F$14:$F$20),TRUE)</f>
        <v>1</v>
      </c>
    </row>
    <row r="216" spans="1:19">
      <c r="A216" t="s">
        <v>1722</v>
      </c>
      <c r="B216" t="s">
        <v>1911</v>
      </c>
      <c r="C216" t="s">
        <v>1462</v>
      </c>
      <c r="D216" t="s">
        <v>3359</v>
      </c>
      <c r="E216">
        <v>50000</v>
      </c>
      <c r="F216" s="422">
        <v>46325</v>
      </c>
      <c r="G216" s="422">
        <v>46132</v>
      </c>
      <c r="H216" t="s">
        <v>1465</v>
      </c>
      <c r="K216" t="s">
        <v>3350</v>
      </c>
      <c r="L216" t="s">
        <v>1912</v>
      </c>
      <c r="M216">
        <v>50000</v>
      </c>
      <c r="N216">
        <v>56</v>
      </c>
      <c r="O216" t="str">
        <f>_xlfn.IFNA(VLOOKUP(Table2[[#This Row],[Lead Source]],'helper tab'!A:B,2,FALSE),"Exclude")</f>
        <v>Exclude</v>
      </c>
      <c r="P216" s="476">
        <f ca="1">TODAY() - Table2[[#This Row],[Created Date]]</f>
        <v>126</v>
      </c>
      <c r="Q216">
        <f>IF(OR(Table2[[#This Row],[Stage]]="Propose",Table2[[#This Row],[Stage]]="Procure"),1,0)</f>
        <v>0</v>
      </c>
      <c r="R216">
        <f>IF(Table2[[#This Row],[Stage]]="Closed Won",1,0)</f>
        <v>0</v>
      </c>
      <c r="S216" t="b">
        <f>IFERROR(_xlfn.XLOOKUP(Table2[[#This Row],[Opportunity ID]],'Aging Detail'!$H$14:$H$20,'Aging Detail'!$F$14:$F$20),TRUE)</f>
        <v>1</v>
      </c>
    </row>
    <row r="217" spans="1:19">
      <c r="A217" t="s">
        <v>1804</v>
      </c>
      <c r="B217" t="s">
        <v>1802</v>
      </c>
      <c r="C217" t="s">
        <v>1462</v>
      </c>
      <c r="D217" t="s">
        <v>3361</v>
      </c>
      <c r="E217">
        <v>33000</v>
      </c>
      <c r="F217" s="422">
        <v>46290</v>
      </c>
      <c r="G217" s="422">
        <v>46189</v>
      </c>
      <c r="H217" t="s">
        <v>1470</v>
      </c>
      <c r="K217" t="s">
        <v>3350</v>
      </c>
      <c r="L217" t="s">
        <v>1803</v>
      </c>
      <c r="M217">
        <v>33000</v>
      </c>
      <c r="N217">
        <v>35</v>
      </c>
      <c r="O217" t="str">
        <f>_xlfn.IFNA(VLOOKUP(Table2[[#This Row],[Lead Source]],'helper tab'!A:B,2,FALSE),"Exclude")</f>
        <v>Cold</v>
      </c>
      <c r="P217" s="476">
        <f ca="1">TODAY() - Table2[[#This Row],[Created Date]]</f>
        <v>69</v>
      </c>
      <c r="Q217">
        <f>IF(OR(Table2[[#This Row],[Stage]]="Propose",Table2[[#This Row],[Stage]]="Procure"),1,0)</f>
        <v>0</v>
      </c>
      <c r="R217">
        <f>IF(Table2[[#This Row],[Stage]]="Closed Won",1,0)</f>
        <v>0</v>
      </c>
      <c r="S217" t="b">
        <f>IFERROR(_xlfn.XLOOKUP(Table2[[#This Row],[Opportunity ID]],'Aging Detail'!$H$14:$H$20,'Aging Detail'!$F$14:$F$20),TRUE)</f>
        <v>1</v>
      </c>
    </row>
    <row r="218" spans="1:19" hidden="1">
      <c r="A218" t="s">
        <v>3663</v>
      </c>
      <c r="B218" t="s">
        <v>3664</v>
      </c>
      <c r="C218" t="s">
        <v>462</v>
      </c>
      <c r="D218" t="s">
        <v>3361</v>
      </c>
      <c r="E218">
        <v>731360</v>
      </c>
      <c r="F218" s="422">
        <v>46290</v>
      </c>
      <c r="G218" s="422">
        <v>44348</v>
      </c>
      <c r="H218" t="s">
        <v>1486</v>
      </c>
      <c r="K218" t="s">
        <v>3350</v>
      </c>
      <c r="L218" t="s">
        <v>3665</v>
      </c>
      <c r="M218">
        <v>591360</v>
      </c>
      <c r="N218">
        <v>647</v>
      </c>
      <c r="O218" t="str">
        <f>_xlfn.IFNA(VLOOKUP(Table2[[#This Row],[Lead Source]],'helper tab'!A:B,2,FALSE),"Exclude")</f>
        <v>Exclude</v>
      </c>
      <c r="P218" s="476">
        <f ca="1">TODAY() - Table2[[#This Row],[Created Date]]</f>
        <v>1910</v>
      </c>
      <c r="Q218">
        <f>IF(OR(Table2[[#This Row],[Stage]]="Propose",Table2[[#This Row],[Stage]]="Procure"),1,0)</f>
        <v>1</v>
      </c>
      <c r="R218">
        <f>IF(Table2[[#This Row],[Stage]]="Closed Won",1,0)</f>
        <v>0</v>
      </c>
      <c r="S218" t="b">
        <f>IFERROR(_xlfn.XLOOKUP(Table2[[#This Row],[Opportunity ID]],'Aging Detail'!$H$14:$H$20,'Aging Detail'!$F$14:$F$20),TRUE)</f>
        <v>1</v>
      </c>
    </row>
    <row r="219" spans="1:19" hidden="1">
      <c r="A219" t="s">
        <v>1717</v>
      </c>
      <c r="B219" t="s">
        <v>2242</v>
      </c>
      <c r="C219" t="s">
        <v>1462</v>
      </c>
      <c r="D219" t="s">
        <v>3361</v>
      </c>
      <c r="E219">
        <v>0</v>
      </c>
      <c r="F219" s="422">
        <v>46259</v>
      </c>
      <c r="G219" s="422">
        <v>45915</v>
      </c>
      <c r="H219" t="s">
        <v>1477</v>
      </c>
      <c r="J219" t="s">
        <v>3484</v>
      </c>
      <c r="K219" t="s">
        <v>3350</v>
      </c>
      <c r="L219" t="s">
        <v>2243</v>
      </c>
      <c r="M219">
        <v>0</v>
      </c>
      <c r="N219">
        <v>178</v>
      </c>
      <c r="O219" t="str">
        <f>_xlfn.IFNA(VLOOKUP(Table2[[#This Row],[Lead Source]],'helper tab'!A:B,2,FALSE),"Exclude")</f>
        <v>Cold</v>
      </c>
      <c r="P219" s="476">
        <f ca="1">TODAY() - Table2[[#This Row],[Created Date]]</f>
        <v>343</v>
      </c>
      <c r="Q219">
        <f>IF(OR(Table2[[#This Row],[Stage]]="Propose",Table2[[#This Row],[Stage]]="Procure"),1,0)</f>
        <v>0</v>
      </c>
      <c r="R219">
        <f>IF(Table2[[#This Row],[Stage]]="Closed Won",1,0)</f>
        <v>0</v>
      </c>
      <c r="S219" t="b">
        <f>IFERROR(_xlfn.XLOOKUP(Table2[[#This Row],[Opportunity ID]],'Aging Detail'!$H$14:$H$20,'Aging Detail'!$F$14:$F$20),TRUE)</f>
        <v>1</v>
      </c>
    </row>
    <row r="220" spans="1:19" hidden="1">
      <c r="A220" t="s">
        <v>2338</v>
      </c>
      <c r="B220" t="s">
        <v>2336</v>
      </c>
      <c r="C220" t="s">
        <v>1469</v>
      </c>
      <c r="D220" t="s">
        <v>3362</v>
      </c>
      <c r="E220">
        <v>35000</v>
      </c>
      <c r="F220" s="422">
        <v>46203</v>
      </c>
      <c r="G220" s="422">
        <v>45867</v>
      </c>
      <c r="H220" t="s">
        <v>1468</v>
      </c>
      <c r="K220" t="s">
        <v>3350</v>
      </c>
      <c r="L220" t="s">
        <v>2337</v>
      </c>
      <c r="M220">
        <v>35000</v>
      </c>
      <c r="N220">
        <v>199</v>
      </c>
      <c r="O220" t="str">
        <f>_xlfn.IFNA(VLOOKUP(Table2[[#This Row],[Lead Source]],'helper tab'!A:B,2,FALSE),"Exclude")</f>
        <v>Events</v>
      </c>
      <c r="P220" s="476">
        <f ca="1">TODAY() - Table2[[#This Row],[Created Date]]</f>
        <v>391</v>
      </c>
      <c r="Q220">
        <f>IF(OR(Table2[[#This Row],[Stage]]="Propose",Table2[[#This Row],[Stage]]="Procure"),1,0)</f>
        <v>0</v>
      </c>
      <c r="R220">
        <f>IF(Table2[[#This Row],[Stage]]="Closed Won",1,0)</f>
        <v>0</v>
      </c>
      <c r="S220" t="b">
        <f>IFERROR(_xlfn.XLOOKUP(Table2[[#This Row],[Opportunity ID]],'Aging Detail'!$H$14:$H$20,'Aging Detail'!$F$14:$F$20),TRUE)</f>
        <v>1</v>
      </c>
    </row>
    <row r="221" spans="1:19" hidden="1">
      <c r="A221" t="s">
        <v>1857</v>
      </c>
      <c r="B221" t="s">
        <v>1855</v>
      </c>
      <c r="C221" t="s">
        <v>1469</v>
      </c>
      <c r="D221" t="s">
        <v>3362</v>
      </c>
      <c r="E221">
        <v>35000</v>
      </c>
      <c r="F221" s="422">
        <v>46191</v>
      </c>
      <c r="G221" s="422">
        <v>45821</v>
      </c>
      <c r="H221" t="s">
        <v>1468</v>
      </c>
      <c r="K221" t="s">
        <v>3350</v>
      </c>
      <c r="L221" t="s">
        <v>1856</v>
      </c>
      <c r="M221">
        <v>35000</v>
      </c>
      <c r="N221">
        <v>46</v>
      </c>
      <c r="O221" t="str">
        <f>_xlfn.IFNA(VLOOKUP(Table2[[#This Row],[Lead Source]],'helper tab'!A:B,2,FALSE),"Exclude")</f>
        <v>Events</v>
      </c>
      <c r="P221" s="476">
        <f ca="1">TODAY() - Table2[[#This Row],[Created Date]]</f>
        <v>437</v>
      </c>
      <c r="Q221">
        <f>IF(OR(Table2[[#This Row],[Stage]]="Propose",Table2[[#This Row],[Stage]]="Procure"),1,0)</f>
        <v>0</v>
      </c>
      <c r="R221">
        <f>IF(Table2[[#This Row],[Stage]]="Closed Won",1,0)</f>
        <v>0</v>
      </c>
      <c r="S221" t="b">
        <f>IFERROR(_xlfn.XLOOKUP(Table2[[#This Row],[Opportunity ID]],'Aging Detail'!$H$14:$H$20,'Aging Detail'!$F$14:$F$20),TRUE)</f>
        <v>1</v>
      </c>
    </row>
    <row r="222" spans="1:19" hidden="1">
      <c r="A222" t="s">
        <v>2054</v>
      </c>
      <c r="B222" t="s">
        <v>2052</v>
      </c>
      <c r="C222" t="s">
        <v>1469</v>
      </c>
      <c r="D222" t="s">
        <v>3362</v>
      </c>
      <c r="E222">
        <v>35000</v>
      </c>
      <c r="F222" s="422">
        <v>46121</v>
      </c>
      <c r="G222" s="422">
        <v>45846</v>
      </c>
      <c r="H222" t="s">
        <v>1468</v>
      </c>
      <c r="K222" t="s">
        <v>3350</v>
      </c>
      <c r="L222" t="s">
        <v>2053</v>
      </c>
      <c r="M222">
        <v>35000</v>
      </c>
      <c r="N222">
        <v>116</v>
      </c>
      <c r="O222" t="str">
        <f>_xlfn.IFNA(VLOOKUP(Table2[[#This Row],[Lead Source]],'helper tab'!A:B,2,FALSE),"Exclude")</f>
        <v>Events</v>
      </c>
      <c r="P222" s="476">
        <f ca="1">TODAY() - Table2[[#This Row],[Created Date]]</f>
        <v>412</v>
      </c>
      <c r="Q222">
        <f>IF(OR(Table2[[#This Row],[Stage]]="Propose",Table2[[#This Row],[Stage]]="Procure"),1,0)</f>
        <v>0</v>
      </c>
      <c r="R222">
        <f>IF(Table2[[#This Row],[Stage]]="Closed Won",1,0)</f>
        <v>0</v>
      </c>
      <c r="S222" t="b">
        <f>IFERROR(_xlfn.XLOOKUP(Table2[[#This Row],[Opportunity ID]],'Aging Detail'!$H$14:$H$20,'Aging Detail'!$F$14:$F$20),TRUE)</f>
        <v>1</v>
      </c>
    </row>
    <row r="223" spans="1:19" hidden="1">
      <c r="A223" t="s">
        <v>2190</v>
      </c>
      <c r="B223" t="s">
        <v>2188</v>
      </c>
      <c r="C223" t="s">
        <v>1469</v>
      </c>
      <c r="D223" t="s">
        <v>3380</v>
      </c>
      <c r="E223">
        <v>35000</v>
      </c>
      <c r="F223" s="422">
        <v>46091</v>
      </c>
      <c r="G223" s="422">
        <v>45869</v>
      </c>
      <c r="H223" t="s">
        <v>1468</v>
      </c>
      <c r="K223" t="s">
        <v>3350</v>
      </c>
      <c r="L223" t="s">
        <v>2189</v>
      </c>
      <c r="M223">
        <v>35000</v>
      </c>
      <c r="N223">
        <v>146</v>
      </c>
      <c r="O223" t="str">
        <f>_xlfn.IFNA(VLOOKUP(Table2[[#This Row],[Lead Source]],'helper tab'!A:B,2,FALSE),"Exclude")</f>
        <v>Events</v>
      </c>
      <c r="P223" s="476">
        <f ca="1">TODAY() - Table2[[#This Row],[Created Date]]</f>
        <v>389</v>
      </c>
      <c r="Q223">
        <f>IF(OR(Table2[[#This Row],[Stage]]="Propose",Table2[[#This Row],[Stage]]="Procure"),1,0)</f>
        <v>0</v>
      </c>
      <c r="R223">
        <f>IF(Table2[[#This Row],[Stage]]="Closed Won",1,0)</f>
        <v>0</v>
      </c>
      <c r="S223" t="b">
        <f>IFERROR(_xlfn.XLOOKUP(Table2[[#This Row],[Opportunity ID]],'Aging Detail'!$H$14:$H$20,'Aging Detail'!$F$14:$F$20),TRUE)</f>
        <v>1</v>
      </c>
    </row>
    <row r="224" spans="1:19" hidden="1">
      <c r="A224" t="s">
        <v>2271</v>
      </c>
      <c r="B224" t="s">
        <v>2269</v>
      </c>
      <c r="C224" t="s">
        <v>1469</v>
      </c>
      <c r="D224" t="s">
        <v>3380</v>
      </c>
      <c r="E224">
        <v>538000</v>
      </c>
      <c r="F224" s="422">
        <v>46056</v>
      </c>
      <c r="G224" s="422">
        <v>45468</v>
      </c>
      <c r="H224" t="s">
        <v>1473</v>
      </c>
      <c r="K224" t="s">
        <v>3350</v>
      </c>
      <c r="L224" t="s">
        <v>2270</v>
      </c>
      <c r="M224">
        <v>198000</v>
      </c>
      <c r="N224">
        <v>181</v>
      </c>
      <c r="O224" t="str">
        <f>_xlfn.IFNA(VLOOKUP(Table2[[#This Row],[Lead Source]],'helper tab'!A:B,2,FALSE),"Exclude")</f>
        <v>Events</v>
      </c>
      <c r="P224" s="476">
        <f ca="1">TODAY() - Table2[[#This Row],[Created Date]]</f>
        <v>790</v>
      </c>
      <c r="Q224">
        <f>IF(OR(Table2[[#This Row],[Stage]]="Propose",Table2[[#This Row],[Stage]]="Procure"),1,0)</f>
        <v>0</v>
      </c>
      <c r="R224">
        <f>IF(Table2[[#This Row],[Stage]]="Closed Won",1,0)</f>
        <v>0</v>
      </c>
      <c r="S224" t="b">
        <f>IFERROR(_xlfn.XLOOKUP(Table2[[#This Row],[Opportunity ID]],'Aging Detail'!$H$14:$H$20,'Aging Detail'!$F$14:$F$20),TRUE)</f>
        <v>1</v>
      </c>
    </row>
    <row r="225" spans="1:19" hidden="1">
      <c r="A225" t="s">
        <v>2273</v>
      </c>
      <c r="B225" t="s">
        <v>2273</v>
      </c>
      <c r="C225" t="s">
        <v>1469</v>
      </c>
      <c r="D225" t="s">
        <v>3380</v>
      </c>
      <c r="E225">
        <v>248000</v>
      </c>
      <c r="F225" s="422">
        <v>46056</v>
      </c>
      <c r="G225" s="422">
        <v>45363</v>
      </c>
      <c r="H225" t="s">
        <v>1483</v>
      </c>
      <c r="K225" t="s">
        <v>3350</v>
      </c>
      <c r="L225" t="s">
        <v>2274</v>
      </c>
      <c r="M225">
        <v>108000</v>
      </c>
      <c r="N225">
        <v>181</v>
      </c>
      <c r="O225" t="str">
        <f>_xlfn.IFNA(VLOOKUP(Table2[[#This Row],[Lead Source]],'helper tab'!A:B,2,FALSE),"Exclude")</f>
        <v>Cold</v>
      </c>
      <c r="P225" s="476">
        <f ca="1">TODAY() - Table2[[#This Row],[Created Date]]</f>
        <v>895</v>
      </c>
      <c r="Q225">
        <f>IF(OR(Table2[[#This Row],[Stage]]="Propose",Table2[[#This Row],[Stage]]="Procure"),1,0)</f>
        <v>0</v>
      </c>
      <c r="R225">
        <f>IF(Table2[[#This Row],[Stage]]="Closed Won",1,0)</f>
        <v>0</v>
      </c>
      <c r="S225" t="b">
        <f>IFERROR(_xlfn.XLOOKUP(Table2[[#This Row],[Opportunity ID]],'Aging Detail'!$H$14:$H$20,'Aging Detail'!$F$14:$F$20),TRUE)</f>
        <v>1</v>
      </c>
    </row>
    <row r="226" spans="1:19" hidden="1">
      <c r="A226" t="s">
        <v>270</v>
      </c>
      <c r="B226" t="s">
        <v>2901</v>
      </c>
      <c r="C226" t="s">
        <v>1469</v>
      </c>
      <c r="D226" t="s">
        <v>3363</v>
      </c>
      <c r="E226">
        <v>258000</v>
      </c>
      <c r="F226" s="422">
        <v>46022</v>
      </c>
      <c r="G226" s="422">
        <v>45414</v>
      </c>
      <c r="H226" t="s">
        <v>1485</v>
      </c>
      <c r="K226" t="s">
        <v>3350</v>
      </c>
      <c r="L226" t="s">
        <v>2902</v>
      </c>
      <c r="M226">
        <v>198000</v>
      </c>
      <c r="N226">
        <v>382</v>
      </c>
      <c r="O226" t="str">
        <f>_xlfn.IFNA(VLOOKUP(Table2[[#This Row],[Lead Source]],'helper tab'!A:B,2,FALSE),"Exclude")</f>
        <v>Digital</v>
      </c>
      <c r="P226" s="476">
        <f ca="1">TODAY() - Table2[[#This Row],[Created Date]]</f>
        <v>844</v>
      </c>
      <c r="Q226">
        <f>IF(OR(Table2[[#This Row],[Stage]]="Propose",Table2[[#This Row],[Stage]]="Procure"),1,0)</f>
        <v>0</v>
      </c>
      <c r="R226">
        <f>IF(Table2[[#This Row],[Stage]]="Closed Won",1,0)</f>
        <v>0</v>
      </c>
      <c r="S226" t="b">
        <f>IFERROR(_xlfn.XLOOKUP(Table2[[#This Row],[Opportunity ID]],'Aging Detail'!$H$14:$H$20,'Aging Detail'!$F$14:$F$20),TRUE)</f>
        <v>1</v>
      </c>
    </row>
    <row r="227" spans="1:19" hidden="1">
      <c r="A227" t="s">
        <v>2453</v>
      </c>
      <c r="B227" t="s">
        <v>2451</v>
      </c>
      <c r="C227" t="s">
        <v>1469</v>
      </c>
      <c r="D227" t="s">
        <v>3363</v>
      </c>
      <c r="E227">
        <v>219200</v>
      </c>
      <c r="F227" s="422">
        <v>45994</v>
      </c>
      <c r="G227" s="422">
        <v>45777</v>
      </c>
      <c r="H227" t="s">
        <v>1480</v>
      </c>
      <c r="J227" t="s">
        <v>3484</v>
      </c>
      <c r="K227" t="s">
        <v>3350</v>
      </c>
      <c r="L227" t="s">
        <v>2452</v>
      </c>
      <c r="M227">
        <v>79200</v>
      </c>
      <c r="N227">
        <v>243</v>
      </c>
      <c r="O227" t="str">
        <f>_xlfn.IFNA(VLOOKUP(Table2[[#This Row],[Lead Source]],'helper tab'!A:B,2,FALSE),"Exclude")</f>
        <v>Digital</v>
      </c>
      <c r="P227" s="476">
        <f ca="1">TODAY() - Table2[[#This Row],[Created Date]]</f>
        <v>481</v>
      </c>
      <c r="Q227">
        <f>IF(OR(Table2[[#This Row],[Stage]]="Propose",Table2[[#This Row],[Stage]]="Procure"),1,0)</f>
        <v>0</v>
      </c>
      <c r="R227">
        <f>IF(Table2[[#This Row],[Stage]]="Closed Won",1,0)</f>
        <v>0</v>
      </c>
      <c r="S227" t="b">
        <f>IFERROR(_xlfn.XLOOKUP(Table2[[#This Row],[Opportunity ID]],'Aging Detail'!$H$14:$H$20,'Aging Detail'!$F$14:$F$20),TRUE)</f>
        <v>1</v>
      </c>
    </row>
    <row r="228" spans="1:19" hidden="1">
      <c r="A228" t="s">
        <v>2750</v>
      </c>
      <c r="B228" t="s">
        <v>2748</v>
      </c>
      <c r="C228" t="s">
        <v>1469</v>
      </c>
      <c r="D228" t="s">
        <v>3364</v>
      </c>
      <c r="E228">
        <v>218000</v>
      </c>
      <c r="F228" s="422">
        <v>45910</v>
      </c>
      <c r="G228" s="422">
        <v>45265</v>
      </c>
      <c r="H228" t="s">
        <v>148</v>
      </c>
      <c r="J228" t="s">
        <v>3484</v>
      </c>
      <c r="K228" t="s">
        <v>3350</v>
      </c>
      <c r="L228" t="s">
        <v>2749</v>
      </c>
      <c r="M228">
        <v>78000</v>
      </c>
      <c r="N228">
        <v>327</v>
      </c>
      <c r="O228" t="str">
        <f>_xlfn.IFNA(VLOOKUP(Table2[[#This Row],[Lead Source]],'helper tab'!A:B,2,FALSE),"Exclude")</f>
        <v>Alliances</v>
      </c>
      <c r="P228" s="476">
        <f ca="1">TODAY() - Table2[[#This Row],[Created Date]]</f>
        <v>993</v>
      </c>
      <c r="Q228">
        <f>IF(OR(Table2[[#This Row],[Stage]]="Propose",Table2[[#This Row],[Stage]]="Procure"),1,0)</f>
        <v>0</v>
      </c>
      <c r="R228">
        <f>IF(Table2[[#This Row],[Stage]]="Closed Won",1,0)</f>
        <v>0</v>
      </c>
      <c r="S228" t="b">
        <f>IFERROR(_xlfn.XLOOKUP(Table2[[#This Row],[Opportunity ID]],'Aging Detail'!$H$14:$H$20,'Aging Detail'!$F$14:$F$20),TRUE)</f>
        <v>1</v>
      </c>
    </row>
    <row r="229" spans="1:19" hidden="1">
      <c r="A229" t="s">
        <v>1604</v>
      </c>
      <c r="B229" t="s">
        <v>2060</v>
      </c>
      <c r="C229" t="s">
        <v>1469</v>
      </c>
      <c r="D229" t="s">
        <v>3666</v>
      </c>
      <c r="F229" s="422">
        <v>73050</v>
      </c>
      <c r="G229" s="422">
        <v>44887</v>
      </c>
      <c r="H229" t="s">
        <v>1484</v>
      </c>
      <c r="K229" t="s">
        <v>3405</v>
      </c>
      <c r="L229" t="s">
        <v>2061</v>
      </c>
      <c r="M229">
        <v>0</v>
      </c>
      <c r="N229">
        <v>117</v>
      </c>
      <c r="O229" t="str">
        <f>_xlfn.IFNA(VLOOKUP(Table2[[#This Row],[Lead Source]],'helper tab'!A:B,2,FALSE),"Exclude")</f>
        <v>Exclude</v>
      </c>
      <c r="P229" s="476">
        <f ca="1">TODAY() - Table2[[#This Row],[Created Date]]</f>
        <v>1371</v>
      </c>
      <c r="Q229">
        <f>IF(OR(Table2[[#This Row],[Stage]]="Propose",Table2[[#This Row],[Stage]]="Procure"),1,0)</f>
        <v>0</v>
      </c>
      <c r="R229">
        <f>IF(Table2[[#This Row],[Stage]]="Closed Won",1,0)</f>
        <v>0</v>
      </c>
      <c r="S229" t="b">
        <f>IFERROR(_xlfn.XLOOKUP(Table2[[#This Row],[Opportunity ID]],'Aging Detail'!$H$14:$H$20,'Aging Detail'!$F$14:$F$20),TRUE)</f>
        <v>1</v>
      </c>
    </row>
    <row r="230" spans="1:19" hidden="1">
      <c r="A230" t="s">
        <v>3667</v>
      </c>
      <c r="B230" t="s">
        <v>3668</v>
      </c>
      <c r="C230" t="s">
        <v>338</v>
      </c>
      <c r="D230" t="s">
        <v>3666</v>
      </c>
      <c r="F230" s="422">
        <v>73050</v>
      </c>
      <c r="G230" s="422">
        <v>45435</v>
      </c>
      <c r="H230" t="s">
        <v>1484</v>
      </c>
      <c r="K230" t="s">
        <v>3405</v>
      </c>
      <c r="L230" t="s">
        <v>3669</v>
      </c>
      <c r="M230">
        <v>0</v>
      </c>
      <c r="N230">
        <v>802</v>
      </c>
      <c r="O230" t="str">
        <f>_xlfn.IFNA(VLOOKUP(Table2[[#This Row],[Lead Source]],'helper tab'!A:B,2,FALSE),"Exclude")</f>
        <v>Exclude</v>
      </c>
      <c r="P230" s="476">
        <f ca="1">TODAY() - Table2[[#This Row],[Created Date]]</f>
        <v>823</v>
      </c>
      <c r="Q230">
        <f>IF(OR(Table2[[#This Row],[Stage]]="Propose",Table2[[#This Row],[Stage]]="Procure"),1,0)</f>
        <v>0</v>
      </c>
      <c r="R230">
        <f>IF(Table2[[#This Row],[Stage]]="Closed Won",1,0)</f>
        <v>0</v>
      </c>
      <c r="S230" t="b">
        <f>IFERROR(_xlfn.XLOOKUP(Table2[[#This Row],[Opportunity ID]],'Aging Detail'!$H$14:$H$20,'Aging Detail'!$F$14:$F$20),TRUE)</f>
        <v>1</v>
      </c>
    </row>
    <row r="231" spans="1:19" hidden="1">
      <c r="A231" t="s">
        <v>3445</v>
      </c>
      <c r="B231" t="s">
        <v>3670</v>
      </c>
      <c r="C231" t="s">
        <v>1469</v>
      </c>
      <c r="D231" t="s">
        <v>3666</v>
      </c>
      <c r="F231" s="422">
        <v>73050</v>
      </c>
      <c r="G231" s="422">
        <v>44419</v>
      </c>
      <c r="H231" t="s">
        <v>1486</v>
      </c>
      <c r="K231" t="s">
        <v>3405</v>
      </c>
      <c r="L231" t="s">
        <v>3671</v>
      </c>
      <c r="M231">
        <v>0</v>
      </c>
      <c r="N231">
        <v>1818</v>
      </c>
      <c r="O231" t="str">
        <f>_xlfn.IFNA(VLOOKUP(Table2[[#This Row],[Lead Source]],'helper tab'!A:B,2,FALSE),"Exclude")</f>
        <v>Exclude</v>
      </c>
      <c r="P231" s="476">
        <f ca="1">TODAY() - Table2[[#This Row],[Created Date]]</f>
        <v>1839</v>
      </c>
      <c r="Q231">
        <f>IF(OR(Table2[[#This Row],[Stage]]="Propose",Table2[[#This Row],[Stage]]="Procure"),1,0)</f>
        <v>0</v>
      </c>
      <c r="R231">
        <f>IF(Table2[[#This Row],[Stage]]="Closed Won",1,0)</f>
        <v>0</v>
      </c>
      <c r="S231" t="b">
        <f>IFERROR(_xlfn.XLOOKUP(Table2[[#This Row],[Opportunity ID]],'Aging Detail'!$H$14:$H$20,'Aging Detail'!$F$14:$F$20),TRUE)</f>
        <v>1</v>
      </c>
    </row>
    <row r="232" spans="1:19" hidden="1">
      <c r="A232" t="s">
        <v>2065</v>
      </c>
      <c r="B232" t="s">
        <v>2063</v>
      </c>
      <c r="C232" t="s">
        <v>1469</v>
      </c>
      <c r="D232" t="s">
        <v>3666</v>
      </c>
      <c r="F232" s="422">
        <v>73050</v>
      </c>
      <c r="G232" s="422">
        <v>45188</v>
      </c>
      <c r="H232" t="s">
        <v>1486</v>
      </c>
      <c r="K232" t="s">
        <v>3405</v>
      </c>
      <c r="L232" t="s">
        <v>2064</v>
      </c>
      <c r="M232">
        <v>0</v>
      </c>
      <c r="N232">
        <v>117</v>
      </c>
      <c r="O232" t="str">
        <f>_xlfn.IFNA(VLOOKUP(Table2[[#This Row],[Lead Source]],'helper tab'!A:B,2,FALSE),"Exclude")</f>
        <v>Exclude</v>
      </c>
      <c r="P232" s="476">
        <f ca="1">TODAY() - Table2[[#This Row],[Created Date]]</f>
        <v>1070</v>
      </c>
      <c r="Q232">
        <f>IF(OR(Table2[[#This Row],[Stage]]="Propose",Table2[[#This Row],[Stage]]="Procure"),1,0)</f>
        <v>0</v>
      </c>
      <c r="R232">
        <f>IF(Table2[[#This Row],[Stage]]="Closed Won",1,0)</f>
        <v>0</v>
      </c>
      <c r="S232" t="b">
        <f>IFERROR(_xlfn.XLOOKUP(Table2[[#This Row],[Opportunity ID]],'Aging Detail'!$H$14:$H$20,'Aging Detail'!$F$14:$F$20),TRUE)</f>
        <v>1</v>
      </c>
    </row>
    <row r="233" spans="1:19" hidden="1">
      <c r="A233" t="s">
        <v>1604</v>
      </c>
      <c r="B233" t="s">
        <v>3672</v>
      </c>
      <c r="C233" t="s">
        <v>1469</v>
      </c>
      <c r="D233" t="s">
        <v>3457</v>
      </c>
      <c r="E233">
        <v>1161000</v>
      </c>
      <c r="F233" s="422">
        <v>46752</v>
      </c>
      <c r="G233" s="422">
        <v>45015</v>
      </c>
      <c r="H233" t="s">
        <v>1486</v>
      </c>
      <c r="K233" t="s">
        <v>3405</v>
      </c>
      <c r="L233" t="s">
        <v>3673</v>
      </c>
      <c r="M233">
        <v>1056000</v>
      </c>
      <c r="N233">
        <v>626</v>
      </c>
      <c r="O233" t="str">
        <f>_xlfn.IFNA(VLOOKUP(Table2[[#This Row],[Lead Source]],'helper tab'!A:B,2,FALSE),"Exclude")</f>
        <v>Exclude</v>
      </c>
      <c r="P233" s="476">
        <f ca="1">TODAY() - Table2[[#This Row],[Created Date]]</f>
        <v>1243</v>
      </c>
      <c r="Q233">
        <f>IF(OR(Table2[[#This Row],[Stage]]="Propose",Table2[[#This Row],[Stage]]="Procure"),1,0)</f>
        <v>0</v>
      </c>
      <c r="R233">
        <f>IF(Table2[[#This Row],[Stage]]="Closed Won",1,0)</f>
        <v>0</v>
      </c>
      <c r="S233" t="b">
        <f>IFERROR(_xlfn.XLOOKUP(Table2[[#This Row],[Opportunity ID]],'Aging Detail'!$H$14:$H$20,'Aging Detail'!$F$14:$F$20),TRUE)</f>
        <v>1</v>
      </c>
    </row>
    <row r="234" spans="1:19" hidden="1">
      <c r="A234" t="s">
        <v>1604</v>
      </c>
      <c r="B234" t="s">
        <v>2371</v>
      </c>
      <c r="C234" t="s">
        <v>338</v>
      </c>
      <c r="D234" t="s">
        <v>3385</v>
      </c>
      <c r="E234">
        <v>990920</v>
      </c>
      <c r="F234" s="422">
        <v>46630</v>
      </c>
      <c r="G234" s="422">
        <v>45007</v>
      </c>
      <c r="H234" t="s">
        <v>1486</v>
      </c>
      <c r="K234" t="s">
        <v>3405</v>
      </c>
      <c r="L234" t="s">
        <v>2372</v>
      </c>
      <c r="M234">
        <v>808920</v>
      </c>
      <c r="N234">
        <v>136</v>
      </c>
      <c r="O234" t="str">
        <f>_xlfn.IFNA(VLOOKUP(Table2[[#This Row],[Lead Source]],'helper tab'!A:B,2,FALSE),"Exclude")</f>
        <v>Exclude</v>
      </c>
      <c r="P234" s="476">
        <f ca="1">TODAY() - Table2[[#This Row],[Created Date]]</f>
        <v>1251</v>
      </c>
      <c r="Q234">
        <f>IF(OR(Table2[[#This Row],[Stage]]="Propose",Table2[[#This Row],[Stage]]="Procure"),1,0)</f>
        <v>0</v>
      </c>
      <c r="R234">
        <f>IF(Table2[[#This Row],[Stage]]="Closed Won",1,0)</f>
        <v>0</v>
      </c>
      <c r="S234" t="b">
        <f>IFERROR(_xlfn.XLOOKUP(Table2[[#This Row],[Opportunity ID]],'Aging Detail'!$H$14:$H$20,'Aging Detail'!$F$14:$F$20),TRUE)</f>
        <v>1</v>
      </c>
    </row>
    <row r="235" spans="1:19" hidden="1">
      <c r="A235" t="s">
        <v>1758</v>
      </c>
      <c r="B235" t="s">
        <v>3674</v>
      </c>
      <c r="C235" t="s">
        <v>462</v>
      </c>
      <c r="D235" t="s">
        <v>3385</v>
      </c>
      <c r="E235">
        <v>538400</v>
      </c>
      <c r="F235" s="422">
        <v>46630</v>
      </c>
      <c r="G235" s="422">
        <v>43964</v>
      </c>
      <c r="H235" t="s">
        <v>148</v>
      </c>
      <c r="K235" t="s">
        <v>3405</v>
      </c>
      <c r="L235" t="s">
        <v>89</v>
      </c>
      <c r="M235">
        <v>356400</v>
      </c>
      <c r="N235">
        <v>448</v>
      </c>
      <c r="O235" t="str">
        <f>_xlfn.IFNA(VLOOKUP(Table2[[#This Row],[Lead Source]],'helper tab'!A:B,2,FALSE),"Exclude")</f>
        <v>Alliances</v>
      </c>
      <c r="P235" s="476">
        <f ca="1">TODAY() - Table2[[#This Row],[Created Date]]</f>
        <v>2294</v>
      </c>
      <c r="Q235">
        <f>IF(OR(Table2[[#This Row],[Stage]]="Propose",Table2[[#This Row],[Stage]]="Procure"),1,0)</f>
        <v>1</v>
      </c>
      <c r="R235">
        <f>IF(Table2[[#This Row],[Stage]]="Closed Won",1,0)</f>
        <v>0</v>
      </c>
      <c r="S235" t="b">
        <f>IFERROR(_xlfn.XLOOKUP(Table2[[#This Row],[Opportunity ID]],'Aging Detail'!$H$14:$H$20,'Aging Detail'!$F$14:$F$20),TRUE)</f>
        <v>0</v>
      </c>
    </row>
    <row r="236" spans="1:19">
      <c r="A236" t="s">
        <v>2621</v>
      </c>
      <c r="B236" t="s">
        <v>3675</v>
      </c>
      <c r="C236" t="s">
        <v>338</v>
      </c>
      <c r="D236" t="s">
        <v>3349</v>
      </c>
      <c r="E236">
        <v>2234880</v>
      </c>
      <c r="F236" s="422">
        <v>46568</v>
      </c>
      <c r="G236" s="422">
        <v>46211</v>
      </c>
      <c r="H236" t="s">
        <v>1468</v>
      </c>
      <c r="K236" t="s">
        <v>3405</v>
      </c>
      <c r="L236" t="s">
        <v>3676</v>
      </c>
      <c r="M236">
        <v>2234880</v>
      </c>
      <c r="N236">
        <v>26</v>
      </c>
      <c r="O236" t="str">
        <f>_xlfn.IFNA(VLOOKUP(Table2[[#This Row],[Lead Source]],'helper tab'!A:B,2,FALSE),"Exclude")</f>
        <v>Events</v>
      </c>
      <c r="P236" s="476">
        <f ca="1">TODAY() - Table2[[#This Row],[Created Date]]</f>
        <v>47</v>
      </c>
      <c r="Q236">
        <f>IF(OR(Table2[[#This Row],[Stage]]="Propose",Table2[[#This Row],[Stage]]="Procure"),1,0)</f>
        <v>0</v>
      </c>
      <c r="R236">
        <f>IF(Table2[[#This Row],[Stage]]="Closed Won",1,0)</f>
        <v>0</v>
      </c>
      <c r="S236" t="b">
        <f>IFERROR(_xlfn.XLOOKUP(Table2[[#This Row],[Opportunity ID]],'Aging Detail'!$H$14:$H$20,'Aging Detail'!$F$14:$F$20),TRUE)</f>
        <v>1</v>
      </c>
    </row>
    <row r="237" spans="1:19">
      <c r="A237" t="s">
        <v>2621</v>
      </c>
      <c r="B237" t="s">
        <v>3677</v>
      </c>
      <c r="C237" t="s">
        <v>338</v>
      </c>
      <c r="D237" t="s">
        <v>3349</v>
      </c>
      <c r="E237">
        <v>864000</v>
      </c>
      <c r="F237" s="422">
        <v>46568</v>
      </c>
      <c r="G237" s="422">
        <v>46146</v>
      </c>
      <c r="H237" t="s">
        <v>1465</v>
      </c>
      <c r="K237" t="s">
        <v>3405</v>
      </c>
      <c r="L237" t="s">
        <v>3678</v>
      </c>
      <c r="M237">
        <v>864000</v>
      </c>
      <c r="N237">
        <v>91</v>
      </c>
      <c r="O237" t="str">
        <f>_xlfn.IFNA(VLOOKUP(Table2[[#This Row],[Lead Source]],'helper tab'!A:B,2,FALSE),"Exclude")</f>
        <v>Exclude</v>
      </c>
      <c r="P237" s="476">
        <f ca="1">TODAY() - Table2[[#This Row],[Created Date]]</f>
        <v>112</v>
      </c>
      <c r="Q237">
        <f>IF(OR(Table2[[#This Row],[Stage]]="Propose",Table2[[#This Row],[Stage]]="Procure"),1,0)</f>
        <v>0</v>
      </c>
      <c r="R237">
        <f>IF(Table2[[#This Row],[Stage]]="Closed Won",1,0)</f>
        <v>0</v>
      </c>
      <c r="S237" t="b">
        <f>IFERROR(_xlfn.XLOOKUP(Table2[[#This Row],[Opportunity ID]],'Aging Detail'!$H$14:$H$20,'Aging Detail'!$F$14:$F$20),TRUE)</f>
        <v>1</v>
      </c>
    </row>
    <row r="238" spans="1:19" hidden="1">
      <c r="A238" t="s">
        <v>3086</v>
      </c>
      <c r="B238" t="s">
        <v>3679</v>
      </c>
      <c r="C238" t="s">
        <v>408</v>
      </c>
      <c r="D238" t="s">
        <v>3349</v>
      </c>
      <c r="E238">
        <v>182400</v>
      </c>
      <c r="F238" s="422">
        <v>46568</v>
      </c>
      <c r="G238" s="422">
        <v>45838</v>
      </c>
      <c r="H238" t="s">
        <v>319</v>
      </c>
      <c r="K238" t="s">
        <v>3405</v>
      </c>
      <c r="L238" t="s">
        <v>3680</v>
      </c>
      <c r="M238">
        <v>182400</v>
      </c>
      <c r="N238">
        <v>95</v>
      </c>
      <c r="O238" t="str">
        <f>_xlfn.IFNA(VLOOKUP(Table2[[#This Row],[Lead Source]],'helper tab'!A:B,2,FALSE),"Exclude")</f>
        <v>Digital</v>
      </c>
      <c r="P238" s="476">
        <f ca="1">TODAY() - Table2[[#This Row],[Created Date]]</f>
        <v>420</v>
      </c>
      <c r="Q238">
        <f>IF(OR(Table2[[#This Row],[Stage]]="Propose",Table2[[#This Row],[Stage]]="Procure"),1,0)</f>
        <v>0</v>
      </c>
      <c r="R238">
        <f>IF(Table2[[#This Row],[Stage]]="Closed Won",1,0)</f>
        <v>0</v>
      </c>
      <c r="S238" t="b">
        <f>IFERROR(_xlfn.XLOOKUP(Table2[[#This Row],[Opportunity ID]],'Aging Detail'!$H$14:$H$20,'Aging Detail'!$F$14:$F$20),TRUE)</f>
        <v>1</v>
      </c>
    </row>
    <row r="239" spans="1:19" hidden="1">
      <c r="A239" t="s">
        <v>2114</v>
      </c>
      <c r="B239" t="s">
        <v>3681</v>
      </c>
      <c r="C239" t="s">
        <v>1462</v>
      </c>
      <c r="D239" t="s">
        <v>3349</v>
      </c>
      <c r="E239">
        <v>1079500</v>
      </c>
      <c r="F239" s="422">
        <v>46568</v>
      </c>
      <c r="G239" s="422">
        <v>45260</v>
      </c>
      <c r="H239" t="s">
        <v>1475</v>
      </c>
      <c r="K239" t="s">
        <v>3405</v>
      </c>
      <c r="L239" t="s">
        <v>3682</v>
      </c>
      <c r="M239">
        <v>1092000</v>
      </c>
      <c r="N239">
        <v>665</v>
      </c>
      <c r="O239" t="str">
        <f>_xlfn.IFNA(VLOOKUP(Table2[[#This Row],[Lead Source]],'helper tab'!A:B,2,FALSE),"Exclude")</f>
        <v>Exclude</v>
      </c>
      <c r="P239" s="476">
        <f ca="1">TODAY() - Table2[[#This Row],[Created Date]]</f>
        <v>998</v>
      </c>
      <c r="Q239">
        <f>IF(OR(Table2[[#This Row],[Stage]]="Propose",Table2[[#This Row],[Stage]]="Procure"),1,0)</f>
        <v>0</v>
      </c>
      <c r="R239">
        <f>IF(Table2[[#This Row],[Stage]]="Closed Won",1,0)</f>
        <v>0</v>
      </c>
      <c r="S239" t="b">
        <f>IFERROR(_xlfn.XLOOKUP(Table2[[#This Row],[Opportunity ID]],'Aging Detail'!$H$14:$H$20,'Aging Detail'!$F$14:$F$20),TRUE)</f>
        <v>1</v>
      </c>
    </row>
    <row r="240" spans="1:19">
      <c r="A240" t="s">
        <v>2000</v>
      </c>
      <c r="B240" t="s">
        <v>2000</v>
      </c>
      <c r="C240" t="s">
        <v>338</v>
      </c>
      <c r="D240" t="s">
        <v>3349</v>
      </c>
      <c r="E240">
        <v>396000</v>
      </c>
      <c r="F240" s="422">
        <v>46507</v>
      </c>
      <c r="G240" s="422">
        <v>46111</v>
      </c>
      <c r="H240" t="s">
        <v>29</v>
      </c>
      <c r="J240" t="s">
        <v>3484</v>
      </c>
      <c r="K240" t="s">
        <v>3405</v>
      </c>
      <c r="L240" t="s">
        <v>3683</v>
      </c>
      <c r="M240">
        <v>0</v>
      </c>
      <c r="N240">
        <v>126</v>
      </c>
      <c r="O240" t="str">
        <f>_xlfn.IFNA(VLOOKUP(Table2[[#This Row],[Lead Source]],'helper tab'!A:B,2,FALSE),"Exclude")</f>
        <v>Events</v>
      </c>
      <c r="P240" s="476">
        <f ca="1">TODAY() - Table2[[#This Row],[Created Date]]</f>
        <v>147</v>
      </c>
      <c r="Q240">
        <f>IF(OR(Table2[[#This Row],[Stage]]="Propose",Table2[[#This Row],[Stage]]="Procure"),1,0)</f>
        <v>0</v>
      </c>
      <c r="R240">
        <f>IF(Table2[[#This Row],[Stage]]="Closed Won",1,0)</f>
        <v>0</v>
      </c>
      <c r="S240" t="b">
        <f>IFERROR(_xlfn.XLOOKUP(Table2[[#This Row],[Opportunity ID]],'Aging Detail'!$H$14:$H$20,'Aging Detail'!$F$14:$F$20),TRUE)</f>
        <v>1</v>
      </c>
    </row>
    <row r="241" spans="1:19" hidden="1">
      <c r="A241" t="s">
        <v>3445</v>
      </c>
      <c r="B241" t="s">
        <v>3684</v>
      </c>
      <c r="C241" t="s">
        <v>408</v>
      </c>
      <c r="D241" t="s">
        <v>3349</v>
      </c>
      <c r="E241">
        <v>585400</v>
      </c>
      <c r="F241" s="422">
        <v>46507</v>
      </c>
      <c r="G241" s="422">
        <v>44197</v>
      </c>
      <c r="H241" t="s">
        <v>1486</v>
      </c>
      <c r="K241" t="s">
        <v>3405</v>
      </c>
      <c r="L241" t="s">
        <v>3685</v>
      </c>
      <c r="M241">
        <v>410400</v>
      </c>
      <c r="N241">
        <v>474</v>
      </c>
      <c r="O241" t="str">
        <f>_xlfn.IFNA(VLOOKUP(Table2[[#This Row],[Lead Source]],'helper tab'!A:B,2,FALSE),"Exclude")</f>
        <v>Exclude</v>
      </c>
      <c r="P241" s="476">
        <f ca="1">TODAY() - Table2[[#This Row],[Created Date]]</f>
        <v>2061</v>
      </c>
      <c r="Q241">
        <f>IF(OR(Table2[[#This Row],[Stage]]="Propose",Table2[[#This Row],[Stage]]="Procure"),1,0)</f>
        <v>0</v>
      </c>
      <c r="R241">
        <f>IF(Table2[[#This Row],[Stage]]="Closed Won",1,0)</f>
        <v>0</v>
      </c>
      <c r="S241" t="b">
        <f>IFERROR(_xlfn.XLOOKUP(Table2[[#This Row],[Opportunity ID]],'Aging Detail'!$H$14:$H$20,'Aging Detail'!$F$14:$F$20),TRUE)</f>
        <v>1</v>
      </c>
    </row>
    <row r="242" spans="1:19" hidden="1">
      <c r="A242" t="s">
        <v>3686</v>
      </c>
      <c r="B242" t="s">
        <v>3686</v>
      </c>
      <c r="C242" t="s">
        <v>408</v>
      </c>
      <c r="D242" t="s">
        <v>3352</v>
      </c>
      <c r="F242" s="422">
        <v>46477</v>
      </c>
      <c r="G242" s="422">
        <v>46013</v>
      </c>
      <c r="H242" t="s">
        <v>1465</v>
      </c>
      <c r="K242" t="s">
        <v>3405</v>
      </c>
      <c r="L242" t="s">
        <v>3687</v>
      </c>
      <c r="M242">
        <v>0</v>
      </c>
      <c r="N242">
        <v>126</v>
      </c>
      <c r="O242" t="str">
        <f>_xlfn.IFNA(VLOOKUP(Table2[[#This Row],[Lead Source]],'helper tab'!A:B,2,FALSE),"Exclude")</f>
        <v>Exclude</v>
      </c>
      <c r="P242" s="476">
        <f ca="1">TODAY() - Table2[[#This Row],[Created Date]]</f>
        <v>245</v>
      </c>
      <c r="Q242">
        <f>IF(OR(Table2[[#This Row],[Stage]]="Propose",Table2[[#This Row],[Stage]]="Procure"),1,0)</f>
        <v>0</v>
      </c>
      <c r="R242">
        <f>IF(Table2[[#This Row],[Stage]]="Closed Won",1,0)</f>
        <v>0</v>
      </c>
      <c r="S242" t="b">
        <f>IFERROR(_xlfn.XLOOKUP(Table2[[#This Row],[Opportunity ID]],'Aging Detail'!$H$14:$H$20,'Aging Detail'!$F$14:$F$20),TRUE)</f>
        <v>1</v>
      </c>
    </row>
    <row r="243" spans="1:19" hidden="1">
      <c r="A243" t="s">
        <v>1758</v>
      </c>
      <c r="B243" t="s">
        <v>3688</v>
      </c>
      <c r="C243" t="s">
        <v>408</v>
      </c>
      <c r="D243" t="s">
        <v>3352</v>
      </c>
      <c r="E243">
        <v>192000</v>
      </c>
      <c r="F243" s="422">
        <v>46477</v>
      </c>
      <c r="G243" s="422">
        <v>45600</v>
      </c>
      <c r="H243" t="s">
        <v>1471</v>
      </c>
      <c r="J243" t="s">
        <v>3689</v>
      </c>
      <c r="K243" t="s">
        <v>3405</v>
      </c>
      <c r="L243" t="s">
        <v>3690</v>
      </c>
      <c r="M243">
        <v>192000</v>
      </c>
      <c r="N243">
        <v>624</v>
      </c>
      <c r="O243" t="str">
        <f>_xlfn.IFNA(VLOOKUP(Table2[[#This Row],[Lead Source]],'helper tab'!A:B,2,FALSE),"Exclude")</f>
        <v>Digital</v>
      </c>
      <c r="P243" s="476">
        <f ca="1">TODAY() - Table2[[#This Row],[Created Date]]</f>
        <v>658</v>
      </c>
      <c r="Q243">
        <f>IF(OR(Table2[[#This Row],[Stage]]="Propose",Table2[[#This Row],[Stage]]="Procure"),1,0)</f>
        <v>0</v>
      </c>
      <c r="R243">
        <f>IF(Table2[[#This Row],[Stage]]="Closed Won",1,0)</f>
        <v>0</v>
      </c>
      <c r="S243" t="b">
        <f>IFERROR(_xlfn.XLOOKUP(Table2[[#This Row],[Opportunity ID]],'Aging Detail'!$H$14:$H$20,'Aging Detail'!$F$14:$F$20),TRUE)</f>
        <v>1</v>
      </c>
    </row>
    <row r="244" spans="1:19" hidden="1">
      <c r="A244" t="s">
        <v>1680</v>
      </c>
      <c r="B244" t="s">
        <v>1680</v>
      </c>
      <c r="C244" t="s">
        <v>1462</v>
      </c>
      <c r="D244" t="s">
        <v>3352</v>
      </c>
      <c r="E244">
        <v>330000</v>
      </c>
      <c r="F244" s="422">
        <v>46477</v>
      </c>
      <c r="G244" s="422">
        <v>45562</v>
      </c>
      <c r="H244" t="s">
        <v>1468</v>
      </c>
      <c r="K244" t="s">
        <v>3405</v>
      </c>
      <c r="L244" t="s">
        <v>1681</v>
      </c>
      <c r="M244">
        <v>270000</v>
      </c>
      <c r="N244">
        <v>26</v>
      </c>
      <c r="O244" t="str">
        <f>_xlfn.IFNA(VLOOKUP(Table2[[#This Row],[Lead Source]],'helper tab'!A:B,2,FALSE),"Exclude")</f>
        <v>Events</v>
      </c>
      <c r="P244" s="476">
        <f ca="1">TODAY() - Table2[[#This Row],[Created Date]]</f>
        <v>696</v>
      </c>
      <c r="Q244">
        <f>IF(OR(Table2[[#This Row],[Stage]]="Propose",Table2[[#This Row],[Stage]]="Procure"),1,0)</f>
        <v>0</v>
      </c>
      <c r="R244">
        <f>IF(Table2[[#This Row],[Stage]]="Closed Won",1,0)</f>
        <v>0</v>
      </c>
      <c r="S244" t="b">
        <f>IFERROR(_xlfn.XLOOKUP(Table2[[#This Row],[Opportunity ID]],'Aging Detail'!$H$14:$H$20,'Aging Detail'!$F$14:$F$20),TRUE)</f>
        <v>1</v>
      </c>
    </row>
    <row r="245" spans="1:19" hidden="1">
      <c r="A245" t="s">
        <v>2706</v>
      </c>
      <c r="B245" t="s">
        <v>3691</v>
      </c>
      <c r="C245" t="s">
        <v>408</v>
      </c>
      <c r="D245" t="s">
        <v>3352</v>
      </c>
      <c r="E245">
        <v>1000000</v>
      </c>
      <c r="F245" s="422">
        <v>46477</v>
      </c>
      <c r="G245" s="422">
        <v>44875</v>
      </c>
      <c r="H245" t="s">
        <v>1486</v>
      </c>
      <c r="K245" t="s">
        <v>3405</v>
      </c>
      <c r="L245" t="s">
        <v>3692</v>
      </c>
      <c r="M245">
        <v>660000</v>
      </c>
      <c r="N245">
        <v>1362</v>
      </c>
      <c r="O245" t="str">
        <f>_xlfn.IFNA(VLOOKUP(Table2[[#This Row],[Lead Source]],'helper tab'!A:B,2,FALSE),"Exclude")</f>
        <v>Exclude</v>
      </c>
      <c r="P245" s="476">
        <f ca="1">TODAY() - Table2[[#This Row],[Created Date]]</f>
        <v>1383</v>
      </c>
      <c r="Q245">
        <f>IF(OR(Table2[[#This Row],[Stage]]="Propose",Table2[[#This Row],[Stage]]="Procure"),1,0)</f>
        <v>0</v>
      </c>
      <c r="R245">
        <f>IF(Table2[[#This Row],[Stage]]="Closed Won",1,0)</f>
        <v>0</v>
      </c>
      <c r="S245" t="b">
        <f>IFERROR(_xlfn.XLOOKUP(Table2[[#This Row],[Opportunity ID]],'Aging Detail'!$H$14:$H$20,'Aging Detail'!$F$14:$F$20),TRUE)</f>
        <v>1</v>
      </c>
    </row>
    <row r="246" spans="1:19">
      <c r="A246" t="s">
        <v>3006</v>
      </c>
      <c r="B246" t="s">
        <v>3693</v>
      </c>
      <c r="C246" t="s">
        <v>338</v>
      </c>
      <c r="D246" t="s">
        <v>3352</v>
      </c>
      <c r="E246">
        <v>550000</v>
      </c>
      <c r="F246" s="422">
        <v>46444</v>
      </c>
      <c r="G246" s="422">
        <v>46177</v>
      </c>
      <c r="H246" t="s">
        <v>1465</v>
      </c>
      <c r="J246" t="s">
        <v>3694</v>
      </c>
      <c r="K246" t="s">
        <v>3405</v>
      </c>
      <c r="L246" t="s">
        <v>3695</v>
      </c>
      <c r="M246">
        <v>360000</v>
      </c>
      <c r="N246">
        <v>60</v>
      </c>
      <c r="O246" t="str">
        <f>_xlfn.IFNA(VLOOKUP(Table2[[#This Row],[Lead Source]],'helper tab'!A:B,2,FALSE),"Exclude")</f>
        <v>Exclude</v>
      </c>
      <c r="P246" s="476">
        <f ca="1">TODAY() - Table2[[#This Row],[Created Date]]</f>
        <v>81</v>
      </c>
      <c r="Q246">
        <f>IF(OR(Table2[[#This Row],[Stage]]="Propose",Table2[[#This Row],[Stage]]="Procure"),1,0)</f>
        <v>0</v>
      </c>
      <c r="R246">
        <f>IF(Table2[[#This Row],[Stage]]="Closed Won",1,0)</f>
        <v>0</v>
      </c>
      <c r="S246" t="b">
        <f>IFERROR(_xlfn.XLOOKUP(Table2[[#This Row],[Opportunity ID]],'Aging Detail'!$H$14:$H$20,'Aging Detail'!$F$14:$F$20),TRUE)</f>
        <v>1</v>
      </c>
    </row>
    <row r="247" spans="1:19" hidden="1">
      <c r="A247" t="s">
        <v>3497</v>
      </c>
      <c r="B247" t="s">
        <v>3696</v>
      </c>
      <c r="C247" t="s">
        <v>338</v>
      </c>
      <c r="D247" t="s">
        <v>3352</v>
      </c>
      <c r="E247">
        <v>410400</v>
      </c>
      <c r="F247" s="422">
        <v>46444</v>
      </c>
      <c r="G247" s="422">
        <v>44594</v>
      </c>
      <c r="H247" t="s">
        <v>148</v>
      </c>
      <c r="K247" t="s">
        <v>3405</v>
      </c>
      <c r="L247" t="s">
        <v>3697</v>
      </c>
      <c r="M247">
        <v>410400</v>
      </c>
      <c r="N247">
        <v>1643</v>
      </c>
      <c r="O247" t="str">
        <f>_xlfn.IFNA(VLOOKUP(Table2[[#This Row],[Lead Source]],'helper tab'!A:B,2,FALSE),"Exclude")</f>
        <v>Alliances</v>
      </c>
      <c r="P247" s="476">
        <f ca="1">TODAY() - Table2[[#This Row],[Created Date]]</f>
        <v>1664</v>
      </c>
      <c r="Q247">
        <f>IF(OR(Table2[[#This Row],[Stage]]="Propose",Table2[[#This Row],[Stage]]="Procure"),1,0)</f>
        <v>0</v>
      </c>
      <c r="R247">
        <f>IF(Table2[[#This Row],[Stage]]="Closed Won",1,0)</f>
        <v>0</v>
      </c>
      <c r="S247" t="b">
        <f>IFERROR(_xlfn.XLOOKUP(Table2[[#This Row],[Opportunity ID]],'Aging Detail'!$H$14:$H$20,'Aging Detail'!$F$14:$F$20),TRUE)</f>
        <v>1</v>
      </c>
    </row>
    <row r="248" spans="1:19">
      <c r="A248" t="s">
        <v>2706</v>
      </c>
      <c r="B248" t="s">
        <v>3698</v>
      </c>
      <c r="C248" t="s">
        <v>338</v>
      </c>
      <c r="D248" t="s">
        <v>3359</v>
      </c>
      <c r="F248" s="422">
        <v>46387</v>
      </c>
      <c r="G248" s="422">
        <v>46176</v>
      </c>
      <c r="H248" t="s">
        <v>1465</v>
      </c>
      <c r="K248" t="s">
        <v>3405</v>
      </c>
      <c r="L248" t="s">
        <v>3699</v>
      </c>
      <c r="M248">
        <v>0</v>
      </c>
      <c r="N248">
        <v>61</v>
      </c>
      <c r="O248" t="str">
        <f>_xlfn.IFNA(VLOOKUP(Table2[[#This Row],[Lead Source]],'helper tab'!A:B,2,FALSE),"Exclude")</f>
        <v>Exclude</v>
      </c>
      <c r="P248" s="476">
        <f ca="1">TODAY() - Table2[[#This Row],[Created Date]]</f>
        <v>82</v>
      </c>
      <c r="Q248">
        <f>IF(OR(Table2[[#This Row],[Stage]]="Propose",Table2[[#This Row],[Stage]]="Procure"),1,0)</f>
        <v>0</v>
      </c>
      <c r="R248">
        <f>IF(Table2[[#This Row],[Stage]]="Closed Won",1,0)</f>
        <v>0</v>
      </c>
      <c r="S248" t="b">
        <f>IFERROR(_xlfn.XLOOKUP(Table2[[#This Row],[Opportunity ID]],'Aging Detail'!$H$14:$H$20,'Aging Detail'!$F$14:$F$20),TRUE)</f>
        <v>1</v>
      </c>
    </row>
    <row r="249" spans="1:19">
      <c r="A249" t="s">
        <v>1678</v>
      </c>
      <c r="B249" t="s">
        <v>3700</v>
      </c>
      <c r="C249" t="s">
        <v>338</v>
      </c>
      <c r="D249" t="s">
        <v>3359</v>
      </c>
      <c r="E249">
        <v>0</v>
      </c>
      <c r="F249" s="422">
        <v>46387</v>
      </c>
      <c r="G249" s="422">
        <v>46029</v>
      </c>
      <c r="H249" t="s">
        <v>1465</v>
      </c>
      <c r="K249" t="s">
        <v>3405</v>
      </c>
      <c r="L249" t="s">
        <v>3701</v>
      </c>
      <c r="M249">
        <v>0</v>
      </c>
      <c r="N249">
        <v>208</v>
      </c>
      <c r="O249" t="str">
        <f>_xlfn.IFNA(VLOOKUP(Table2[[#This Row],[Lead Source]],'helper tab'!A:B,2,FALSE),"Exclude")</f>
        <v>Exclude</v>
      </c>
      <c r="P249" s="476">
        <f ca="1">TODAY() - Table2[[#This Row],[Created Date]]</f>
        <v>229</v>
      </c>
      <c r="Q249">
        <f>IF(OR(Table2[[#This Row],[Stage]]="Propose",Table2[[#This Row],[Stage]]="Procure"),1,0)</f>
        <v>0</v>
      </c>
      <c r="R249">
        <f>IF(Table2[[#This Row],[Stage]]="Closed Won",1,0)</f>
        <v>0</v>
      </c>
      <c r="S249" t="b">
        <f>IFERROR(_xlfn.XLOOKUP(Table2[[#This Row],[Opportunity ID]],'Aging Detail'!$H$14:$H$20,'Aging Detail'!$F$14:$F$20),TRUE)</f>
        <v>1</v>
      </c>
    </row>
    <row r="250" spans="1:19">
      <c r="A250" t="s">
        <v>1678</v>
      </c>
      <c r="B250" t="s">
        <v>2343</v>
      </c>
      <c r="C250" t="s">
        <v>1462</v>
      </c>
      <c r="D250" t="s">
        <v>3359</v>
      </c>
      <c r="E250">
        <v>919800</v>
      </c>
      <c r="F250" s="422">
        <v>46387</v>
      </c>
      <c r="G250" s="422">
        <v>46024</v>
      </c>
      <c r="H250" t="s">
        <v>1465</v>
      </c>
      <c r="K250" t="s">
        <v>3405</v>
      </c>
      <c r="L250" t="s">
        <v>2344</v>
      </c>
      <c r="M250">
        <v>919800</v>
      </c>
      <c r="N250">
        <v>206</v>
      </c>
      <c r="O250" t="str">
        <f>_xlfn.IFNA(VLOOKUP(Table2[[#This Row],[Lead Source]],'helper tab'!A:B,2,FALSE),"Exclude")</f>
        <v>Exclude</v>
      </c>
      <c r="P250" s="476">
        <f ca="1">TODAY() - Table2[[#This Row],[Created Date]]</f>
        <v>234</v>
      </c>
      <c r="Q250">
        <f>IF(OR(Table2[[#This Row],[Stage]]="Propose",Table2[[#This Row],[Stage]]="Procure"),1,0)</f>
        <v>0</v>
      </c>
      <c r="R250">
        <f>IF(Table2[[#This Row],[Stage]]="Closed Won",1,0)</f>
        <v>0</v>
      </c>
      <c r="S250" t="b">
        <f>IFERROR(_xlfn.XLOOKUP(Table2[[#This Row],[Opportunity ID]],'Aging Detail'!$H$14:$H$20,'Aging Detail'!$F$14:$F$20),TRUE)</f>
        <v>1</v>
      </c>
    </row>
    <row r="251" spans="1:19" hidden="1">
      <c r="A251" t="s">
        <v>3086</v>
      </c>
      <c r="B251" t="s">
        <v>3702</v>
      </c>
      <c r="C251" t="s">
        <v>408</v>
      </c>
      <c r="D251" t="s">
        <v>3359</v>
      </c>
      <c r="E251">
        <v>50000</v>
      </c>
      <c r="F251" s="422">
        <v>46387</v>
      </c>
      <c r="G251" s="422">
        <v>45821</v>
      </c>
      <c r="H251" t="s">
        <v>1479</v>
      </c>
      <c r="J251" t="s">
        <v>3360</v>
      </c>
      <c r="K251" t="s">
        <v>3405</v>
      </c>
      <c r="L251" t="s">
        <v>3703</v>
      </c>
      <c r="M251">
        <v>50000</v>
      </c>
      <c r="N251">
        <v>95</v>
      </c>
      <c r="O251" t="str">
        <f>_xlfn.IFNA(VLOOKUP(Table2[[#This Row],[Lead Source]],'helper tab'!A:B,2,FALSE),"Exclude")</f>
        <v>Digital</v>
      </c>
      <c r="P251" s="476">
        <f ca="1">TODAY() - Table2[[#This Row],[Created Date]]</f>
        <v>437</v>
      </c>
      <c r="Q251">
        <f>IF(OR(Table2[[#This Row],[Stage]]="Propose",Table2[[#This Row],[Stage]]="Procure"),1,0)</f>
        <v>0</v>
      </c>
      <c r="R251">
        <f>IF(Table2[[#This Row],[Stage]]="Closed Won",1,0)</f>
        <v>0</v>
      </c>
      <c r="S251" t="b">
        <f>IFERROR(_xlfn.XLOOKUP(Table2[[#This Row],[Opportunity ID]],'Aging Detail'!$H$14:$H$20,'Aging Detail'!$F$14:$F$20),TRUE)</f>
        <v>1</v>
      </c>
    </row>
    <row r="252" spans="1:19" hidden="1">
      <c r="A252" t="s">
        <v>1604</v>
      </c>
      <c r="B252" t="s">
        <v>2057</v>
      </c>
      <c r="C252" t="s">
        <v>1462</v>
      </c>
      <c r="D252" t="s">
        <v>3359</v>
      </c>
      <c r="E252">
        <v>292800</v>
      </c>
      <c r="F252" s="422">
        <v>46387</v>
      </c>
      <c r="G252" s="422">
        <v>45610</v>
      </c>
      <c r="H252" t="s">
        <v>1490</v>
      </c>
      <c r="J252" t="s">
        <v>3360</v>
      </c>
      <c r="K252" t="s">
        <v>3405</v>
      </c>
      <c r="L252" t="s">
        <v>2058</v>
      </c>
      <c r="M252">
        <v>214800</v>
      </c>
      <c r="N252">
        <v>117</v>
      </c>
      <c r="O252" t="str">
        <f>_xlfn.IFNA(VLOOKUP(Table2[[#This Row],[Lead Source]],'helper tab'!A:B,2,FALSE),"Exclude")</f>
        <v>Cold</v>
      </c>
      <c r="P252" s="476">
        <f ca="1">TODAY() - Table2[[#This Row],[Created Date]]</f>
        <v>648</v>
      </c>
      <c r="Q252">
        <f>IF(OR(Table2[[#This Row],[Stage]]="Propose",Table2[[#This Row],[Stage]]="Procure"),1,0)</f>
        <v>0</v>
      </c>
      <c r="R252">
        <f>IF(Table2[[#This Row],[Stage]]="Closed Won",1,0)</f>
        <v>0</v>
      </c>
      <c r="S252" t="b">
        <f>IFERROR(_xlfn.XLOOKUP(Table2[[#This Row],[Opportunity ID]],'Aging Detail'!$H$14:$H$20,'Aging Detail'!$F$14:$F$20),TRUE)</f>
        <v>1</v>
      </c>
    </row>
    <row r="253" spans="1:19" hidden="1">
      <c r="A253" t="s">
        <v>2114</v>
      </c>
      <c r="B253" t="s">
        <v>2112</v>
      </c>
      <c r="C253" t="s">
        <v>1462</v>
      </c>
      <c r="D253" t="s">
        <v>3359</v>
      </c>
      <c r="E253">
        <v>50000</v>
      </c>
      <c r="F253" s="422">
        <v>46387</v>
      </c>
      <c r="G253" s="422">
        <v>45422</v>
      </c>
      <c r="H253" t="s">
        <v>1475</v>
      </c>
      <c r="K253" t="s">
        <v>3405</v>
      </c>
      <c r="L253" t="s">
        <v>2113</v>
      </c>
      <c r="M253">
        <v>50000</v>
      </c>
      <c r="N253">
        <v>126</v>
      </c>
      <c r="O253" t="str">
        <f>_xlfn.IFNA(VLOOKUP(Table2[[#This Row],[Lead Source]],'helper tab'!A:B,2,FALSE),"Exclude")</f>
        <v>Exclude</v>
      </c>
      <c r="P253" s="476">
        <f ca="1">TODAY() - Table2[[#This Row],[Created Date]]</f>
        <v>836</v>
      </c>
      <c r="Q253">
        <f>IF(OR(Table2[[#This Row],[Stage]]="Propose",Table2[[#This Row],[Stage]]="Procure"),1,0)</f>
        <v>0</v>
      </c>
      <c r="R253">
        <f>IF(Table2[[#This Row],[Stage]]="Closed Won",1,0)</f>
        <v>0</v>
      </c>
      <c r="S253" t="b">
        <f>IFERROR(_xlfn.XLOOKUP(Table2[[#This Row],[Opportunity ID]],'Aging Detail'!$H$14:$H$20,'Aging Detail'!$F$14:$F$20),TRUE)</f>
        <v>1</v>
      </c>
    </row>
    <row r="254" spans="1:19" hidden="1">
      <c r="A254" t="s">
        <v>2203</v>
      </c>
      <c r="B254" t="s">
        <v>3704</v>
      </c>
      <c r="C254" t="s">
        <v>1469</v>
      </c>
      <c r="D254" t="s">
        <v>3359</v>
      </c>
      <c r="E254">
        <v>538000</v>
      </c>
      <c r="F254" s="422">
        <v>46387</v>
      </c>
      <c r="G254" s="422">
        <v>44599</v>
      </c>
      <c r="H254" t="s">
        <v>1463</v>
      </c>
      <c r="K254" t="s">
        <v>3405</v>
      </c>
      <c r="L254" t="s">
        <v>3705</v>
      </c>
      <c r="M254">
        <v>198000</v>
      </c>
      <c r="N254">
        <v>217</v>
      </c>
      <c r="O254" t="str">
        <f>_xlfn.IFNA(VLOOKUP(Table2[[#This Row],[Lead Source]],'helper tab'!A:B,2,FALSE),"Exclude")</f>
        <v>Cold</v>
      </c>
      <c r="P254" s="476">
        <f ca="1">TODAY() - Table2[[#This Row],[Created Date]]</f>
        <v>1659</v>
      </c>
      <c r="Q254">
        <f>IF(OR(Table2[[#This Row],[Stage]]="Propose",Table2[[#This Row],[Stage]]="Procure"),1,0)</f>
        <v>0</v>
      </c>
      <c r="R254">
        <f>IF(Table2[[#This Row],[Stage]]="Closed Won",1,0)</f>
        <v>0</v>
      </c>
      <c r="S254" t="b">
        <f>IFERROR(_xlfn.XLOOKUP(Table2[[#This Row],[Opportunity ID]],'Aging Detail'!$H$14:$H$20,'Aging Detail'!$F$14:$F$20),TRUE)</f>
        <v>1</v>
      </c>
    </row>
    <row r="255" spans="1:19">
      <c r="A255" t="s">
        <v>1667</v>
      </c>
      <c r="B255" t="s">
        <v>3706</v>
      </c>
      <c r="C255" t="s">
        <v>338</v>
      </c>
      <c r="D255" t="s">
        <v>3359</v>
      </c>
      <c r="F255" s="422">
        <v>46386</v>
      </c>
      <c r="G255" s="422">
        <v>46029</v>
      </c>
      <c r="K255" t="s">
        <v>3405</v>
      </c>
      <c r="L255" t="s">
        <v>3707</v>
      </c>
      <c r="M255">
        <v>0</v>
      </c>
      <c r="N255">
        <v>208</v>
      </c>
      <c r="O255" t="str">
        <f>_xlfn.IFNA(VLOOKUP(Table2[[#This Row],[Lead Source]],'helper tab'!A:B,2,FALSE),"Exclude")</f>
        <v>Exclude</v>
      </c>
      <c r="P255" s="476">
        <f ca="1">TODAY() - Table2[[#This Row],[Created Date]]</f>
        <v>229</v>
      </c>
      <c r="Q255">
        <f>IF(OR(Table2[[#This Row],[Stage]]="Propose",Table2[[#This Row],[Stage]]="Procure"),1,0)</f>
        <v>0</v>
      </c>
      <c r="R255">
        <f>IF(Table2[[#This Row],[Stage]]="Closed Won",1,0)</f>
        <v>0</v>
      </c>
      <c r="S255" t="b">
        <f>IFERROR(_xlfn.XLOOKUP(Table2[[#This Row],[Opportunity ID]],'Aging Detail'!$H$14:$H$20,'Aging Detail'!$F$14:$F$20),TRUE)</f>
        <v>1</v>
      </c>
    </row>
    <row r="256" spans="1:19" hidden="1">
      <c r="A256" t="s">
        <v>2203</v>
      </c>
      <c r="B256" t="s">
        <v>2201</v>
      </c>
      <c r="C256" t="s">
        <v>1469</v>
      </c>
      <c r="D256" t="s">
        <v>3359</v>
      </c>
      <c r="E256">
        <v>114000</v>
      </c>
      <c r="F256" s="422">
        <v>46386</v>
      </c>
      <c r="G256" s="422">
        <v>45838</v>
      </c>
      <c r="H256" t="s">
        <v>1468</v>
      </c>
      <c r="K256" t="s">
        <v>3405</v>
      </c>
      <c r="L256" t="s">
        <v>2202</v>
      </c>
      <c r="M256">
        <v>114000</v>
      </c>
      <c r="N256">
        <v>154</v>
      </c>
      <c r="O256" t="str">
        <f>_xlfn.IFNA(VLOOKUP(Table2[[#This Row],[Lead Source]],'helper tab'!A:B,2,FALSE),"Exclude")</f>
        <v>Events</v>
      </c>
      <c r="P256" s="476">
        <f ca="1">TODAY() - Table2[[#This Row],[Created Date]]</f>
        <v>420</v>
      </c>
      <c r="Q256">
        <f>IF(OR(Table2[[#This Row],[Stage]]="Propose",Table2[[#This Row],[Stage]]="Procure"),1,0)</f>
        <v>0</v>
      </c>
      <c r="R256">
        <f>IF(Table2[[#This Row],[Stage]]="Closed Won",1,0)</f>
        <v>0</v>
      </c>
      <c r="S256" t="b">
        <f>IFERROR(_xlfn.XLOOKUP(Table2[[#This Row],[Opportunity ID]],'Aging Detail'!$H$14:$H$20,'Aging Detail'!$F$14:$F$20),TRUE)</f>
        <v>1</v>
      </c>
    </row>
    <row r="257" spans="1:19" hidden="1">
      <c r="A257" t="s">
        <v>1674</v>
      </c>
      <c r="B257" t="s">
        <v>1672</v>
      </c>
      <c r="C257" t="s">
        <v>462</v>
      </c>
      <c r="D257" t="s">
        <v>3359</v>
      </c>
      <c r="E257">
        <v>757200</v>
      </c>
      <c r="F257" s="422">
        <v>46381</v>
      </c>
      <c r="G257" s="422">
        <v>45831</v>
      </c>
      <c r="H257" t="s">
        <v>1464</v>
      </c>
      <c r="K257" t="s">
        <v>3405</v>
      </c>
      <c r="L257" t="s">
        <v>1673</v>
      </c>
      <c r="M257">
        <v>607200</v>
      </c>
      <c r="N257">
        <v>26</v>
      </c>
      <c r="O257" t="str">
        <f>_xlfn.IFNA(VLOOKUP(Table2[[#This Row],[Lead Source]],'helper tab'!A:B,2,FALSE),"Exclude")</f>
        <v>Cold</v>
      </c>
      <c r="P257" s="476">
        <f ca="1">TODAY() - Table2[[#This Row],[Created Date]]</f>
        <v>427</v>
      </c>
      <c r="Q257">
        <f>IF(OR(Table2[[#This Row],[Stage]]="Propose",Table2[[#This Row],[Stage]]="Procure"),1,0)</f>
        <v>1</v>
      </c>
      <c r="R257">
        <f>IF(Table2[[#This Row],[Stage]]="Closed Won",1,0)</f>
        <v>0</v>
      </c>
      <c r="S257" t="b">
        <f>IFERROR(_xlfn.XLOOKUP(Table2[[#This Row],[Opportunity ID]],'Aging Detail'!$H$14:$H$20,'Aging Detail'!$F$14:$F$20),TRUE)</f>
        <v>1</v>
      </c>
    </row>
    <row r="258" spans="1:19" hidden="1">
      <c r="A258" t="s">
        <v>2621</v>
      </c>
      <c r="B258" t="s">
        <v>2619</v>
      </c>
      <c r="C258" t="s">
        <v>1462</v>
      </c>
      <c r="D258" t="s">
        <v>3359</v>
      </c>
      <c r="E258">
        <v>558720</v>
      </c>
      <c r="F258" s="422">
        <v>46374</v>
      </c>
      <c r="G258" s="422">
        <v>45943</v>
      </c>
      <c r="H258" t="s">
        <v>1468</v>
      </c>
      <c r="K258" t="s">
        <v>3405</v>
      </c>
      <c r="L258" t="s">
        <v>2620</v>
      </c>
      <c r="M258">
        <v>558720</v>
      </c>
      <c r="N258">
        <v>294</v>
      </c>
      <c r="O258" t="str">
        <f>_xlfn.IFNA(VLOOKUP(Table2[[#This Row],[Lead Source]],'helper tab'!A:B,2,FALSE),"Exclude")</f>
        <v>Events</v>
      </c>
      <c r="P258" s="476">
        <f ca="1">TODAY() - Table2[[#This Row],[Created Date]]</f>
        <v>315</v>
      </c>
      <c r="Q258">
        <f>IF(OR(Table2[[#This Row],[Stage]]="Propose",Table2[[#This Row],[Stage]]="Procure"),1,0)</f>
        <v>0</v>
      </c>
      <c r="R258">
        <f>IF(Table2[[#This Row],[Stage]]="Closed Won",1,0)</f>
        <v>0</v>
      </c>
      <c r="S258" t="b">
        <f>IFERROR(_xlfn.XLOOKUP(Table2[[#This Row],[Opportunity ID]],'Aging Detail'!$H$14:$H$20,'Aging Detail'!$F$14:$F$20),TRUE)</f>
        <v>1</v>
      </c>
    </row>
    <row r="259" spans="1:19" hidden="1">
      <c r="A259" t="s">
        <v>2382</v>
      </c>
      <c r="B259" t="s">
        <v>2380</v>
      </c>
      <c r="C259" t="s">
        <v>1469</v>
      </c>
      <c r="D259" t="s">
        <v>3359</v>
      </c>
      <c r="E259">
        <v>974800</v>
      </c>
      <c r="F259" s="422">
        <v>46357</v>
      </c>
      <c r="G259" s="422">
        <v>45113</v>
      </c>
      <c r="H259" t="s">
        <v>1463</v>
      </c>
      <c r="K259" t="s">
        <v>3405</v>
      </c>
      <c r="L259" t="s">
        <v>2381</v>
      </c>
      <c r="M259">
        <v>634800</v>
      </c>
      <c r="N259">
        <v>213</v>
      </c>
      <c r="O259" t="str">
        <f>_xlfn.IFNA(VLOOKUP(Table2[[#This Row],[Lead Source]],'helper tab'!A:B,2,FALSE),"Exclude")</f>
        <v>Cold</v>
      </c>
      <c r="P259" s="476">
        <f ca="1">TODAY() - Table2[[#This Row],[Created Date]]</f>
        <v>1145</v>
      </c>
      <c r="Q259">
        <f>IF(OR(Table2[[#This Row],[Stage]]="Propose",Table2[[#This Row],[Stage]]="Procure"),1,0)</f>
        <v>0</v>
      </c>
      <c r="R259">
        <f>IF(Table2[[#This Row],[Stage]]="Closed Won",1,0)</f>
        <v>0</v>
      </c>
      <c r="S259" t="b">
        <f>IFERROR(_xlfn.XLOOKUP(Table2[[#This Row],[Opportunity ID]],'Aging Detail'!$H$14:$H$20,'Aging Detail'!$F$14:$F$20),TRUE)</f>
        <v>1</v>
      </c>
    </row>
    <row r="260" spans="1:19" hidden="1">
      <c r="A260" t="s">
        <v>2203</v>
      </c>
      <c r="B260" t="s">
        <v>2377</v>
      </c>
      <c r="C260" t="s">
        <v>1469</v>
      </c>
      <c r="D260" t="s">
        <v>3359</v>
      </c>
      <c r="E260">
        <v>1080000</v>
      </c>
      <c r="F260" s="422">
        <v>46357</v>
      </c>
      <c r="G260" s="422">
        <v>44832</v>
      </c>
      <c r="H260" t="s">
        <v>1463</v>
      </c>
      <c r="K260" t="s">
        <v>3405</v>
      </c>
      <c r="L260" t="s">
        <v>2378</v>
      </c>
      <c r="M260">
        <v>1080000</v>
      </c>
      <c r="N260">
        <v>213</v>
      </c>
      <c r="O260" t="str">
        <f>_xlfn.IFNA(VLOOKUP(Table2[[#This Row],[Lead Source]],'helper tab'!A:B,2,FALSE),"Exclude")</f>
        <v>Cold</v>
      </c>
      <c r="P260" s="476">
        <f ca="1">TODAY() - Table2[[#This Row],[Created Date]]</f>
        <v>1426</v>
      </c>
      <c r="Q260">
        <f>IF(OR(Table2[[#This Row],[Stage]]="Propose",Table2[[#This Row],[Stage]]="Procure"),1,0)</f>
        <v>0</v>
      </c>
      <c r="R260">
        <f>IF(Table2[[#This Row],[Stage]]="Closed Won",1,0)</f>
        <v>0</v>
      </c>
      <c r="S260" t="b">
        <f>IFERROR(_xlfn.XLOOKUP(Table2[[#This Row],[Opportunity ID]],'Aging Detail'!$H$14:$H$20,'Aging Detail'!$F$14:$F$20),TRUE)</f>
        <v>1</v>
      </c>
    </row>
    <row r="261" spans="1:19" hidden="1">
      <c r="A261" t="s">
        <v>2000</v>
      </c>
      <c r="B261" t="s">
        <v>1998</v>
      </c>
      <c r="C261" t="s">
        <v>1469</v>
      </c>
      <c r="D261" t="s">
        <v>3359</v>
      </c>
      <c r="E261">
        <v>538000</v>
      </c>
      <c r="F261" s="422">
        <v>46356</v>
      </c>
      <c r="G261" s="422">
        <v>45387</v>
      </c>
      <c r="H261" t="s">
        <v>1468</v>
      </c>
      <c r="K261" t="s">
        <v>3405</v>
      </c>
      <c r="L261" t="s">
        <v>1999</v>
      </c>
      <c r="M261">
        <v>198000</v>
      </c>
      <c r="N261">
        <v>95</v>
      </c>
      <c r="O261" t="str">
        <f>_xlfn.IFNA(VLOOKUP(Table2[[#This Row],[Lead Source]],'helper tab'!A:B,2,FALSE),"Exclude")</f>
        <v>Events</v>
      </c>
      <c r="P261" s="476">
        <f ca="1">TODAY() - Table2[[#This Row],[Created Date]]</f>
        <v>871</v>
      </c>
      <c r="Q261">
        <f>IF(OR(Table2[[#This Row],[Stage]]="Propose",Table2[[#This Row],[Stage]]="Procure"),1,0)</f>
        <v>0</v>
      </c>
      <c r="R261">
        <f>IF(Table2[[#This Row],[Stage]]="Closed Won",1,0)</f>
        <v>0</v>
      </c>
      <c r="S261" t="b">
        <f>IFERROR(_xlfn.XLOOKUP(Table2[[#This Row],[Opportunity ID]],'Aging Detail'!$H$14:$H$20,'Aging Detail'!$F$14:$F$20),TRUE)</f>
        <v>1</v>
      </c>
    </row>
    <row r="262" spans="1:19" hidden="1">
      <c r="A262" t="s">
        <v>481</v>
      </c>
      <c r="B262" t="s">
        <v>1669</v>
      </c>
      <c r="C262" t="s">
        <v>1462</v>
      </c>
      <c r="D262" t="s">
        <v>3359</v>
      </c>
      <c r="E262">
        <v>0</v>
      </c>
      <c r="F262" s="422">
        <v>46326</v>
      </c>
      <c r="G262" s="422">
        <v>45679</v>
      </c>
      <c r="H262" t="s">
        <v>202</v>
      </c>
      <c r="K262" t="s">
        <v>3405</v>
      </c>
      <c r="L262" t="s">
        <v>1670</v>
      </c>
      <c r="M262">
        <v>0</v>
      </c>
      <c r="N262">
        <v>26</v>
      </c>
      <c r="O262" t="str">
        <f>_xlfn.IFNA(VLOOKUP(Table2[[#This Row],[Lead Source]],'helper tab'!A:B,2,FALSE),"Exclude")</f>
        <v>Digital</v>
      </c>
      <c r="P262" s="476">
        <f ca="1">TODAY() - Table2[[#This Row],[Created Date]]</f>
        <v>579</v>
      </c>
      <c r="Q262">
        <f>IF(OR(Table2[[#This Row],[Stage]]="Propose",Table2[[#This Row],[Stage]]="Procure"),1,0)</f>
        <v>0</v>
      </c>
      <c r="R262">
        <f>IF(Table2[[#This Row],[Stage]]="Closed Won",1,0)</f>
        <v>0</v>
      </c>
      <c r="S262" t="b">
        <f>IFERROR(_xlfn.XLOOKUP(Table2[[#This Row],[Opportunity ID]],'Aging Detail'!$H$14:$H$20,'Aging Detail'!$F$14:$F$20),TRUE)</f>
        <v>1</v>
      </c>
    </row>
    <row r="263" spans="1:19" hidden="1">
      <c r="A263" t="s">
        <v>481</v>
      </c>
      <c r="B263" t="s">
        <v>486</v>
      </c>
      <c r="C263" t="s">
        <v>1469</v>
      </c>
      <c r="D263" t="s">
        <v>3359</v>
      </c>
      <c r="E263">
        <v>271200</v>
      </c>
      <c r="F263" s="422">
        <v>46325</v>
      </c>
      <c r="G263" s="422">
        <v>45716</v>
      </c>
      <c r="H263" t="s">
        <v>404</v>
      </c>
      <c r="K263" t="s">
        <v>3405</v>
      </c>
      <c r="L263" t="s">
        <v>1754</v>
      </c>
      <c r="M263">
        <v>211200</v>
      </c>
      <c r="N263">
        <v>28</v>
      </c>
      <c r="O263" t="str">
        <f>_xlfn.IFNA(VLOOKUP(Table2[[#This Row],[Lead Source]],'helper tab'!A:B,2,FALSE),"Exclude")</f>
        <v>Digital</v>
      </c>
      <c r="P263" s="476">
        <f ca="1">TODAY() - Table2[[#This Row],[Created Date]]</f>
        <v>542</v>
      </c>
      <c r="Q263">
        <f>IF(OR(Table2[[#This Row],[Stage]]="Propose",Table2[[#This Row],[Stage]]="Procure"),1,0)</f>
        <v>0</v>
      </c>
      <c r="R263">
        <f>IF(Table2[[#This Row],[Stage]]="Closed Won",1,0)</f>
        <v>0</v>
      </c>
      <c r="S263" t="b">
        <f>IFERROR(_xlfn.XLOOKUP(Table2[[#This Row],[Opportunity ID]],'Aging Detail'!$H$14:$H$20,'Aging Detail'!$F$14:$F$20),TRUE)</f>
        <v>1</v>
      </c>
    </row>
    <row r="264" spans="1:19" hidden="1">
      <c r="A264" t="s">
        <v>2369</v>
      </c>
      <c r="B264" t="s">
        <v>2367</v>
      </c>
      <c r="C264" t="s">
        <v>1469</v>
      </c>
      <c r="D264" t="s">
        <v>3359</v>
      </c>
      <c r="F264" s="422">
        <v>46315</v>
      </c>
      <c r="G264" s="422">
        <v>45950</v>
      </c>
      <c r="H264" t="s">
        <v>1464</v>
      </c>
      <c r="J264" t="s">
        <v>3649</v>
      </c>
      <c r="K264" t="s">
        <v>3405</v>
      </c>
      <c r="L264" t="s">
        <v>2368</v>
      </c>
      <c r="M264">
        <v>0</v>
      </c>
      <c r="N264">
        <v>213</v>
      </c>
      <c r="O264" t="str">
        <f>_xlfn.IFNA(VLOOKUP(Table2[[#This Row],[Lead Source]],'helper tab'!A:B,2,FALSE),"Exclude")</f>
        <v>Cold</v>
      </c>
      <c r="P264" s="476">
        <f ca="1">TODAY() - Table2[[#This Row],[Created Date]]</f>
        <v>308</v>
      </c>
      <c r="Q264">
        <f>IF(OR(Table2[[#This Row],[Stage]]="Propose",Table2[[#This Row],[Stage]]="Procure"),1,0)</f>
        <v>0</v>
      </c>
      <c r="R264">
        <f>IF(Table2[[#This Row],[Stage]]="Closed Won",1,0)</f>
        <v>0</v>
      </c>
      <c r="S264" t="b">
        <f>IFERROR(_xlfn.XLOOKUP(Table2[[#This Row],[Opportunity ID]],'Aging Detail'!$H$14:$H$20,'Aging Detail'!$F$14:$F$20),TRUE)</f>
        <v>1</v>
      </c>
    </row>
    <row r="265" spans="1:19" hidden="1">
      <c r="A265" t="s">
        <v>2004</v>
      </c>
      <c r="B265" t="s">
        <v>2002</v>
      </c>
      <c r="C265" t="s">
        <v>1469</v>
      </c>
      <c r="D265" t="s">
        <v>3359</v>
      </c>
      <c r="E265">
        <v>338000</v>
      </c>
      <c r="F265" s="422">
        <v>46311</v>
      </c>
      <c r="G265" s="422">
        <v>44935</v>
      </c>
      <c r="H265" t="s">
        <v>1463</v>
      </c>
      <c r="K265" t="s">
        <v>3405</v>
      </c>
      <c r="L265" t="s">
        <v>2003</v>
      </c>
      <c r="M265">
        <v>198000</v>
      </c>
      <c r="N265">
        <v>95</v>
      </c>
      <c r="O265" t="str">
        <f>_xlfn.IFNA(VLOOKUP(Table2[[#This Row],[Lead Source]],'helper tab'!A:B,2,FALSE),"Exclude")</f>
        <v>Cold</v>
      </c>
      <c r="P265" s="476">
        <f ca="1">TODAY() - Table2[[#This Row],[Created Date]]</f>
        <v>1323</v>
      </c>
      <c r="Q265">
        <f>IF(OR(Table2[[#This Row],[Stage]]="Propose",Table2[[#This Row],[Stage]]="Procure"),1,0)</f>
        <v>0</v>
      </c>
      <c r="R265">
        <f>IF(Table2[[#This Row],[Stage]]="Closed Won",1,0)</f>
        <v>0</v>
      </c>
      <c r="S265" t="b">
        <f>IFERROR(_xlfn.XLOOKUP(Table2[[#This Row],[Opportunity ID]],'Aging Detail'!$H$14:$H$20,'Aging Detail'!$F$14:$F$20),TRUE)</f>
        <v>1</v>
      </c>
    </row>
    <row r="266" spans="1:19">
      <c r="A266" t="s">
        <v>1604</v>
      </c>
      <c r="B266" t="s">
        <v>1760</v>
      </c>
      <c r="C266" t="s">
        <v>1469</v>
      </c>
      <c r="D266" t="s">
        <v>3361</v>
      </c>
      <c r="F266" s="422">
        <v>46295</v>
      </c>
      <c r="G266" s="422">
        <v>46085</v>
      </c>
      <c r="H266" t="s">
        <v>1465</v>
      </c>
      <c r="K266" t="s">
        <v>3405</v>
      </c>
      <c r="L266" t="s">
        <v>1761</v>
      </c>
      <c r="M266">
        <v>0</v>
      </c>
      <c r="N266">
        <v>28</v>
      </c>
      <c r="O266" t="str">
        <f>_xlfn.IFNA(VLOOKUP(Table2[[#This Row],[Lead Source]],'helper tab'!A:B,2,FALSE),"Exclude")</f>
        <v>Exclude</v>
      </c>
      <c r="P266" s="476">
        <f ca="1">TODAY() - Table2[[#This Row],[Created Date]]</f>
        <v>173</v>
      </c>
      <c r="Q266">
        <f>IF(OR(Table2[[#This Row],[Stage]]="Propose",Table2[[#This Row],[Stage]]="Procure"),1,0)</f>
        <v>0</v>
      </c>
      <c r="R266">
        <f>IF(Table2[[#This Row],[Stage]]="Closed Won",1,0)</f>
        <v>0</v>
      </c>
      <c r="S266" t="b">
        <f>IFERROR(_xlfn.XLOOKUP(Table2[[#This Row],[Opportunity ID]],'Aging Detail'!$H$14:$H$20,'Aging Detail'!$F$14:$F$20),TRUE)</f>
        <v>1</v>
      </c>
    </row>
    <row r="267" spans="1:19">
      <c r="A267" t="s">
        <v>1678</v>
      </c>
      <c r="B267" t="s">
        <v>1676</v>
      </c>
      <c r="C267" t="s">
        <v>462</v>
      </c>
      <c r="D267" t="s">
        <v>3361</v>
      </c>
      <c r="E267">
        <v>795000</v>
      </c>
      <c r="F267" s="422">
        <v>46283</v>
      </c>
      <c r="G267" s="422">
        <v>46024</v>
      </c>
      <c r="H267" t="s">
        <v>1465</v>
      </c>
      <c r="J267" t="s">
        <v>3708</v>
      </c>
      <c r="K267" t="s">
        <v>3405</v>
      </c>
      <c r="L267" t="s">
        <v>1677</v>
      </c>
      <c r="M267">
        <v>657000</v>
      </c>
      <c r="N267">
        <v>26</v>
      </c>
      <c r="O267" t="str">
        <f>_xlfn.IFNA(VLOOKUP(Table2[[#This Row],[Lead Source]],'helper tab'!A:B,2,FALSE),"Exclude")</f>
        <v>Exclude</v>
      </c>
      <c r="P267" s="476">
        <f ca="1">TODAY() - Table2[[#This Row],[Created Date]]</f>
        <v>234</v>
      </c>
      <c r="Q267">
        <f>IF(OR(Table2[[#This Row],[Stage]]="Propose",Table2[[#This Row],[Stage]]="Procure"),1,0)</f>
        <v>1</v>
      </c>
      <c r="R267">
        <f>IF(Table2[[#This Row],[Stage]]="Closed Won",1,0)</f>
        <v>0</v>
      </c>
      <c r="S267" t="b">
        <f>IFERROR(_xlfn.XLOOKUP(Table2[[#This Row],[Opportunity ID]],'Aging Detail'!$H$14:$H$20,'Aging Detail'!$F$14:$F$20),TRUE)</f>
        <v>1</v>
      </c>
    </row>
    <row r="268" spans="1:19">
      <c r="A268" t="s">
        <v>1758</v>
      </c>
      <c r="B268" t="s">
        <v>1756</v>
      </c>
      <c r="C268" t="s">
        <v>462</v>
      </c>
      <c r="D268" t="s">
        <v>3361</v>
      </c>
      <c r="E268">
        <v>610788</v>
      </c>
      <c r="F268" s="422">
        <v>46265</v>
      </c>
      <c r="G268" s="422">
        <v>46034</v>
      </c>
      <c r="H268" t="s">
        <v>1465</v>
      </c>
      <c r="K268" t="s">
        <v>3405</v>
      </c>
      <c r="L268" t="s">
        <v>1757</v>
      </c>
      <c r="M268">
        <v>610788</v>
      </c>
      <c r="N268">
        <v>28</v>
      </c>
      <c r="O268" t="str">
        <f>_xlfn.IFNA(VLOOKUP(Table2[[#This Row],[Lead Source]],'helper tab'!A:B,2,FALSE),"Exclude")</f>
        <v>Exclude</v>
      </c>
      <c r="P268" s="476">
        <f ca="1">TODAY() - Table2[[#This Row],[Created Date]]</f>
        <v>224</v>
      </c>
      <c r="Q268">
        <f>IF(OR(Table2[[#This Row],[Stage]]="Propose",Table2[[#This Row],[Stage]]="Procure"),1,0)</f>
        <v>1</v>
      </c>
      <c r="R268">
        <f>IF(Table2[[#This Row],[Stage]]="Closed Won",1,0)</f>
        <v>0</v>
      </c>
      <c r="S268" t="b">
        <f>IFERROR(_xlfn.XLOOKUP(Table2[[#This Row],[Opportunity ID]],'Aging Detail'!$H$14:$H$20,'Aging Detail'!$F$14:$F$20),TRUE)</f>
        <v>1</v>
      </c>
    </row>
    <row r="269" spans="1:19" hidden="1">
      <c r="A269" t="s">
        <v>1604</v>
      </c>
      <c r="B269" t="s">
        <v>2374</v>
      </c>
      <c r="C269" t="s">
        <v>1469</v>
      </c>
      <c r="D269" t="s">
        <v>3361</v>
      </c>
      <c r="E269">
        <v>856100</v>
      </c>
      <c r="F269" s="422">
        <v>46265</v>
      </c>
      <c r="G269" s="422">
        <v>45148</v>
      </c>
      <c r="H269" t="s">
        <v>1486</v>
      </c>
      <c r="K269" t="s">
        <v>3405</v>
      </c>
      <c r="L269" t="s">
        <v>2375</v>
      </c>
      <c r="M269">
        <v>674100</v>
      </c>
      <c r="N269">
        <v>213</v>
      </c>
      <c r="O269" t="str">
        <f>_xlfn.IFNA(VLOOKUP(Table2[[#This Row],[Lead Source]],'helper tab'!A:B,2,FALSE),"Exclude")</f>
        <v>Exclude</v>
      </c>
      <c r="P269" s="476">
        <f ca="1">TODAY() - Table2[[#This Row],[Created Date]]</f>
        <v>1110</v>
      </c>
      <c r="Q269">
        <f>IF(OR(Table2[[#This Row],[Stage]]="Propose",Table2[[#This Row],[Stage]]="Procure"),1,0)</f>
        <v>0</v>
      </c>
      <c r="R269">
        <f>IF(Table2[[#This Row],[Stage]]="Closed Won",1,0)</f>
        <v>0</v>
      </c>
      <c r="S269" t="b">
        <f>IFERROR(_xlfn.XLOOKUP(Table2[[#This Row],[Opportunity ID]],'Aging Detail'!$H$14:$H$20,'Aging Detail'!$F$14:$F$20),TRUE)</f>
        <v>1</v>
      </c>
    </row>
    <row r="270" spans="1:19">
      <c r="A270" t="s">
        <v>1604</v>
      </c>
      <c r="B270" t="s">
        <v>1602</v>
      </c>
      <c r="C270" t="s">
        <v>563</v>
      </c>
      <c r="D270" t="s">
        <v>3361</v>
      </c>
      <c r="E270">
        <v>0</v>
      </c>
      <c r="F270" s="422">
        <v>46225</v>
      </c>
      <c r="G270" s="422">
        <v>46080</v>
      </c>
      <c r="H270" t="s">
        <v>1465</v>
      </c>
      <c r="K270" t="s">
        <v>3405</v>
      </c>
      <c r="L270" t="s">
        <v>1603</v>
      </c>
      <c r="M270">
        <v>0</v>
      </c>
      <c r="N270">
        <v>12</v>
      </c>
      <c r="O270" t="str">
        <f>_xlfn.IFNA(VLOOKUP(Table2[[#This Row],[Lead Source]],'helper tab'!A:B,2,FALSE),"Exclude")</f>
        <v>Exclude</v>
      </c>
      <c r="P270" s="476">
        <f ca="1">TODAY() - Table2[[#This Row],[Created Date]]</f>
        <v>178</v>
      </c>
      <c r="Q270">
        <f>IF(OR(Table2[[#This Row],[Stage]]="Propose",Table2[[#This Row],[Stage]]="Procure"),1,0)</f>
        <v>0</v>
      </c>
      <c r="R270">
        <f>IF(Table2[[#This Row],[Stage]]="Closed Won",1,0)</f>
        <v>1</v>
      </c>
      <c r="S270" t="b">
        <f>IFERROR(_xlfn.XLOOKUP(Table2[[#This Row],[Opportunity ID]],'Aging Detail'!$H$14:$H$20,'Aging Detail'!$F$14:$F$20),TRUE)</f>
        <v>1</v>
      </c>
    </row>
    <row r="271" spans="1:19" hidden="1">
      <c r="A271" t="s">
        <v>2203</v>
      </c>
      <c r="B271" t="s">
        <v>2207</v>
      </c>
      <c r="C271" t="s">
        <v>1469</v>
      </c>
      <c r="D271" t="s">
        <v>3362</v>
      </c>
      <c r="E271">
        <v>50000</v>
      </c>
      <c r="F271" s="422">
        <v>46199</v>
      </c>
      <c r="G271" s="422">
        <v>45835</v>
      </c>
      <c r="H271" t="s">
        <v>1478</v>
      </c>
      <c r="J271" t="s">
        <v>3649</v>
      </c>
      <c r="K271" t="s">
        <v>3405</v>
      </c>
      <c r="L271" t="s">
        <v>2208</v>
      </c>
      <c r="M271">
        <v>50000</v>
      </c>
      <c r="N271">
        <v>154</v>
      </c>
      <c r="O271" t="str">
        <f>_xlfn.IFNA(VLOOKUP(Table2[[#This Row],[Lead Source]],'helper tab'!A:B,2,FALSE),"Exclude")</f>
        <v>Digital</v>
      </c>
      <c r="P271" s="476">
        <f ca="1">TODAY() - Table2[[#This Row],[Created Date]]</f>
        <v>423</v>
      </c>
      <c r="Q271">
        <f>IF(OR(Table2[[#This Row],[Stage]]="Propose",Table2[[#This Row],[Stage]]="Procure"),1,0)</f>
        <v>0</v>
      </c>
      <c r="R271">
        <f>IF(Table2[[#This Row],[Stage]]="Closed Won",1,0)</f>
        <v>0</v>
      </c>
      <c r="S271" t="b">
        <f>IFERROR(_xlfn.XLOOKUP(Table2[[#This Row],[Opportunity ID]],'Aging Detail'!$H$14:$H$20,'Aging Detail'!$F$14:$F$20),TRUE)</f>
        <v>1</v>
      </c>
    </row>
    <row r="272" spans="1:19" hidden="1">
      <c r="A272" t="s">
        <v>1674</v>
      </c>
      <c r="B272" t="s">
        <v>1674</v>
      </c>
      <c r="C272" t="s">
        <v>1469</v>
      </c>
      <c r="D272" t="s">
        <v>3362</v>
      </c>
      <c r="F272" s="422">
        <v>46197</v>
      </c>
      <c r="G272" s="422">
        <v>45954</v>
      </c>
      <c r="H272" t="s">
        <v>1464</v>
      </c>
      <c r="J272" t="s">
        <v>3484</v>
      </c>
      <c r="K272" t="s">
        <v>3405</v>
      </c>
      <c r="L272" t="s">
        <v>2394</v>
      </c>
      <c r="M272">
        <v>0</v>
      </c>
      <c r="N272">
        <v>217</v>
      </c>
      <c r="O272" t="str">
        <f>_xlfn.IFNA(VLOOKUP(Table2[[#This Row],[Lead Source]],'helper tab'!A:B,2,FALSE),"Exclude")</f>
        <v>Cold</v>
      </c>
      <c r="P272" s="476">
        <f ca="1">TODAY() - Table2[[#This Row],[Created Date]]</f>
        <v>304</v>
      </c>
      <c r="Q272">
        <f>IF(OR(Table2[[#This Row],[Stage]]="Propose",Table2[[#This Row],[Stage]]="Procure"),1,0)</f>
        <v>0</v>
      </c>
      <c r="R272">
        <f>IF(Table2[[#This Row],[Stage]]="Closed Won",1,0)</f>
        <v>0</v>
      </c>
      <c r="S272" t="b">
        <f>IFERROR(_xlfn.XLOOKUP(Table2[[#This Row],[Opportunity ID]],'Aging Detail'!$H$14:$H$20,'Aging Detail'!$F$14:$F$20),TRUE)</f>
        <v>1</v>
      </c>
    </row>
    <row r="273" spans="1:19">
      <c r="A273" t="s">
        <v>1758</v>
      </c>
      <c r="B273" t="s">
        <v>2101</v>
      </c>
      <c r="C273" t="s">
        <v>1469</v>
      </c>
      <c r="D273" t="s">
        <v>3362</v>
      </c>
      <c r="F273" s="422">
        <v>46113</v>
      </c>
      <c r="G273" s="422">
        <v>46106</v>
      </c>
      <c r="K273" t="s">
        <v>3405</v>
      </c>
      <c r="L273" t="s">
        <v>2102</v>
      </c>
      <c r="M273">
        <v>0</v>
      </c>
      <c r="N273">
        <v>124</v>
      </c>
      <c r="O273" t="str">
        <f>_xlfn.IFNA(VLOOKUP(Table2[[#This Row],[Lead Source]],'helper tab'!A:B,2,FALSE),"Exclude")</f>
        <v>Exclude</v>
      </c>
      <c r="P273" s="476">
        <f ca="1">TODAY() - Table2[[#This Row],[Created Date]]</f>
        <v>152</v>
      </c>
      <c r="Q273">
        <f>IF(OR(Table2[[#This Row],[Stage]]="Propose",Table2[[#This Row],[Stage]]="Procure"),1,0)</f>
        <v>0</v>
      </c>
      <c r="R273">
        <f>IF(Table2[[#This Row],[Stage]]="Closed Won",1,0)</f>
        <v>0</v>
      </c>
      <c r="S273" t="b">
        <f>IFERROR(_xlfn.XLOOKUP(Table2[[#This Row],[Opportunity ID]],'Aging Detail'!$H$14:$H$20,'Aging Detail'!$F$14:$F$20),TRUE)</f>
        <v>1</v>
      </c>
    </row>
    <row r="274" spans="1:19" hidden="1">
      <c r="A274" t="s">
        <v>1674</v>
      </c>
      <c r="B274" t="s">
        <v>3709</v>
      </c>
      <c r="C274" t="s">
        <v>1469</v>
      </c>
      <c r="D274" t="s">
        <v>3380</v>
      </c>
      <c r="E274">
        <v>319412</v>
      </c>
      <c r="F274" s="422">
        <v>46112</v>
      </c>
      <c r="G274" s="422">
        <v>44771</v>
      </c>
      <c r="H274" t="s">
        <v>1463</v>
      </c>
      <c r="K274" t="s">
        <v>3405</v>
      </c>
      <c r="L274" t="s">
        <v>3710</v>
      </c>
      <c r="M274">
        <v>137412</v>
      </c>
      <c r="N274">
        <v>406</v>
      </c>
      <c r="O274" t="str">
        <f>_xlfn.IFNA(VLOOKUP(Table2[[#This Row],[Lead Source]],'helper tab'!A:B,2,FALSE),"Exclude")</f>
        <v>Cold</v>
      </c>
      <c r="P274" s="476">
        <f ca="1">TODAY() - Table2[[#This Row],[Created Date]]</f>
        <v>1487</v>
      </c>
      <c r="Q274">
        <f>IF(OR(Table2[[#This Row],[Stage]]="Propose",Table2[[#This Row],[Stage]]="Procure"),1,0)</f>
        <v>0</v>
      </c>
      <c r="R274">
        <f>IF(Table2[[#This Row],[Stage]]="Closed Won",1,0)</f>
        <v>0</v>
      </c>
      <c r="S274" t="b">
        <f>IFERROR(_xlfn.XLOOKUP(Table2[[#This Row],[Opportunity ID]],'Aging Detail'!$H$14:$H$20,'Aging Detail'!$F$14:$F$20),TRUE)</f>
        <v>1</v>
      </c>
    </row>
    <row r="275" spans="1:19" hidden="1">
      <c r="A275" t="s">
        <v>1674</v>
      </c>
      <c r="B275" t="s">
        <v>3711</v>
      </c>
      <c r="C275" t="s">
        <v>1469</v>
      </c>
      <c r="D275" t="s">
        <v>3380</v>
      </c>
      <c r="E275">
        <v>578000</v>
      </c>
      <c r="F275" s="422">
        <v>46112</v>
      </c>
      <c r="G275" s="422">
        <v>44727</v>
      </c>
      <c r="H275" t="s">
        <v>1463</v>
      </c>
      <c r="K275" t="s">
        <v>3405</v>
      </c>
      <c r="L275" t="s">
        <v>3712</v>
      </c>
      <c r="M275">
        <v>396000</v>
      </c>
      <c r="N275">
        <v>425</v>
      </c>
      <c r="O275" t="str">
        <f>_xlfn.IFNA(VLOOKUP(Table2[[#This Row],[Lead Source]],'helper tab'!A:B,2,FALSE),"Exclude")</f>
        <v>Cold</v>
      </c>
      <c r="P275" s="476">
        <f ca="1">TODAY() - Table2[[#This Row],[Created Date]]</f>
        <v>1531</v>
      </c>
      <c r="Q275">
        <f>IF(OR(Table2[[#This Row],[Stage]]="Propose",Table2[[#This Row],[Stage]]="Procure"),1,0)</f>
        <v>0</v>
      </c>
      <c r="R275">
        <f>IF(Table2[[#This Row],[Stage]]="Closed Won",1,0)</f>
        <v>0</v>
      </c>
      <c r="S275" t="b">
        <f>IFERROR(_xlfn.XLOOKUP(Table2[[#This Row],[Opportunity ID]],'Aging Detail'!$H$14:$H$20,'Aging Detail'!$F$14:$F$20),TRUE)</f>
        <v>1</v>
      </c>
    </row>
    <row r="276" spans="1:19" hidden="1">
      <c r="A276" t="s">
        <v>1674</v>
      </c>
      <c r="B276" t="s">
        <v>3713</v>
      </c>
      <c r="C276" t="s">
        <v>1469</v>
      </c>
      <c r="D276" t="s">
        <v>3380</v>
      </c>
      <c r="E276">
        <v>360200</v>
      </c>
      <c r="F276" s="422">
        <v>46112</v>
      </c>
      <c r="G276" s="422">
        <v>44666</v>
      </c>
      <c r="H276" t="s">
        <v>1463</v>
      </c>
      <c r="K276" t="s">
        <v>3405</v>
      </c>
      <c r="L276" t="s">
        <v>3714</v>
      </c>
      <c r="M276">
        <v>178200</v>
      </c>
      <c r="N276">
        <v>406</v>
      </c>
      <c r="O276" t="str">
        <f>_xlfn.IFNA(VLOOKUP(Table2[[#This Row],[Lead Source]],'helper tab'!A:B,2,FALSE),"Exclude")</f>
        <v>Cold</v>
      </c>
      <c r="P276" s="476">
        <f ca="1">TODAY() - Table2[[#This Row],[Created Date]]</f>
        <v>1592</v>
      </c>
      <c r="Q276">
        <f>IF(OR(Table2[[#This Row],[Stage]]="Propose",Table2[[#This Row],[Stage]]="Procure"),1,0)</f>
        <v>0</v>
      </c>
      <c r="R276">
        <f>IF(Table2[[#This Row],[Stage]]="Closed Won",1,0)</f>
        <v>0</v>
      </c>
      <c r="S276" t="b">
        <f>IFERROR(_xlfn.XLOOKUP(Table2[[#This Row],[Opportunity ID]],'Aging Detail'!$H$14:$H$20,'Aging Detail'!$F$14:$F$20),TRUE)</f>
        <v>1</v>
      </c>
    </row>
    <row r="277" spans="1:19" hidden="1">
      <c r="A277" t="s">
        <v>2437</v>
      </c>
      <c r="B277" t="s">
        <v>2435</v>
      </c>
      <c r="C277" t="s">
        <v>1469</v>
      </c>
      <c r="D277" t="s">
        <v>3380</v>
      </c>
      <c r="E277">
        <v>625120</v>
      </c>
      <c r="F277" s="422">
        <v>46112</v>
      </c>
      <c r="G277" s="422">
        <v>44929</v>
      </c>
      <c r="H277" t="s">
        <v>1486</v>
      </c>
      <c r="K277" t="s">
        <v>3405</v>
      </c>
      <c r="L277" t="s">
        <v>2436</v>
      </c>
      <c r="M277">
        <v>285120</v>
      </c>
      <c r="N277">
        <v>242</v>
      </c>
      <c r="O277" t="str">
        <f>_xlfn.IFNA(VLOOKUP(Table2[[#This Row],[Lead Source]],'helper tab'!A:B,2,FALSE),"Exclude")</f>
        <v>Exclude</v>
      </c>
      <c r="P277" s="476">
        <f ca="1">TODAY() - Table2[[#This Row],[Created Date]]</f>
        <v>1329</v>
      </c>
      <c r="Q277">
        <f>IF(OR(Table2[[#This Row],[Stage]]="Propose",Table2[[#This Row],[Stage]]="Procure"),1,0)</f>
        <v>0</v>
      </c>
      <c r="R277">
        <f>IF(Table2[[#This Row],[Stage]]="Closed Won",1,0)</f>
        <v>0</v>
      </c>
      <c r="S277" t="b">
        <f>IFERROR(_xlfn.XLOOKUP(Table2[[#This Row],[Opportunity ID]],'Aging Detail'!$H$14:$H$20,'Aging Detail'!$F$14:$F$20),TRUE)</f>
        <v>1</v>
      </c>
    </row>
    <row r="278" spans="1:19" hidden="1">
      <c r="A278" t="s">
        <v>1758</v>
      </c>
      <c r="B278" t="s">
        <v>2432</v>
      </c>
      <c r="C278" t="s">
        <v>1469</v>
      </c>
      <c r="D278" t="s">
        <v>3380</v>
      </c>
      <c r="E278">
        <v>452400</v>
      </c>
      <c r="F278" s="422">
        <v>46112</v>
      </c>
      <c r="G278" s="422">
        <v>45394</v>
      </c>
      <c r="H278" t="s">
        <v>148</v>
      </c>
      <c r="K278" t="s">
        <v>3405</v>
      </c>
      <c r="L278" t="s">
        <v>2433</v>
      </c>
      <c r="M278">
        <v>452400</v>
      </c>
      <c r="N278">
        <v>242</v>
      </c>
      <c r="O278" t="str">
        <f>_xlfn.IFNA(VLOOKUP(Table2[[#This Row],[Lead Source]],'helper tab'!A:B,2,FALSE),"Exclude")</f>
        <v>Alliances</v>
      </c>
      <c r="P278" s="476">
        <f ca="1">TODAY() - Table2[[#This Row],[Created Date]]</f>
        <v>864</v>
      </c>
      <c r="Q278">
        <f>IF(OR(Table2[[#This Row],[Stage]]="Propose",Table2[[#This Row],[Stage]]="Procure"),1,0)</f>
        <v>0</v>
      </c>
      <c r="R278">
        <f>IF(Table2[[#This Row],[Stage]]="Closed Won",1,0)</f>
        <v>0</v>
      </c>
      <c r="S278" t="b">
        <f>IFERROR(_xlfn.XLOOKUP(Table2[[#This Row],[Opportunity ID]],'Aging Detail'!$H$14:$H$20,'Aging Detail'!$F$14:$F$20),TRUE)</f>
        <v>1</v>
      </c>
    </row>
    <row r="279" spans="1:19" hidden="1">
      <c r="A279" t="s">
        <v>2437</v>
      </c>
      <c r="B279" t="s">
        <v>2439</v>
      </c>
      <c r="C279" t="s">
        <v>1469</v>
      </c>
      <c r="D279" t="s">
        <v>3380</v>
      </c>
      <c r="E279">
        <v>50000</v>
      </c>
      <c r="F279" s="422">
        <v>46080</v>
      </c>
      <c r="G279" s="422">
        <v>45138</v>
      </c>
      <c r="H279" t="s">
        <v>1486</v>
      </c>
      <c r="K279" t="s">
        <v>3405</v>
      </c>
      <c r="L279" t="s">
        <v>2440</v>
      </c>
      <c r="M279">
        <v>50000</v>
      </c>
      <c r="N279">
        <v>242</v>
      </c>
      <c r="O279" t="str">
        <f>_xlfn.IFNA(VLOOKUP(Table2[[#This Row],[Lead Source]],'helper tab'!A:B,2,FALSE),"Exclude")</f>
        <v>Exclude</v>
      </c>
      <c r="P279" s="476">
        <f ca="1">TODAY() - Table2[[#This Row],[Created Date]]</f>
        <v>1120</v>
      </c>
      <c r="Q279">
        <f>IF(OR(Table2[[#This Row],[Stage]]="Propose",Table2[[#This Row],[Stage]]="Procure"),1,0)</f>
        <v>0</v>
      </c>
      <c r="R279">
        <f>IF(Table2[[#This Row],[Stage]]="Closed Won",1,0)</f>
        <v>0</v>
      </c>
      <c r="S279" t="b">
        <f>IFERROR(_xlfn.XLOOKUP(Table2[[#This Row],[Opportunity ID]],'Aging Detail'!$H$14:$H$20,'Aging Detail'!$F$14:$F$20),TRUE)</f>
        <v>1</v>
      </c>
    </row>
    <row r="280" spans="1:19" hidden="1">
      <c r="A280" t="s">
        <v>2437</v>
      </c>
      <c r="B280" t="s">
        <v>3715</v>
      </c>
      <c r="C280" t="s">
        <v>1469</v>
      </c>
      <c r="D280" t="s">
        <v>3380</v>
      </c>
      <c r="E280">
        <v>525072</v>
      </c>
      <c r="F280" s="422">
        <v>46080</v>
      </c>
      <c r="G280" s="422">
        <v>44650</v>
      </c>
      <c r="H280" t="s">
        <v>1487</v>
      </c>
      <c r="K280" t="s">
        <v>3405</v>
      </c>
      <c r="L280" t="s">
        <v>3716</v>
      </c>
      <c r="M280">
        <v>270072</v>
      </c>
      <c r="N280">
        <v>242</v>
      </c>
      <c r="O280" t="str">
        <f>_xlfn.IFNA(VLOOKUP(Table2[[#This Row],[Lead Source]],'helper tab'!A:B,2,FALSE),"Exclude")</f>
        <v>Alliances</v>
      </c>
      <c r="P280" s="476">
        <f ca="1">TODAY() - Table2[[#This Row],[Created Date]]</f>
        <v>1608</v>
      </c>
      <c r="Q280">
        <f>IF(OR(Table2[[#This Row],[Stage]]="Propose",Table2[[#This Row],[Stage]]="Procure"),1,0)</f>
        <v>0</v>
      </c>
      <c r="R280">
        <f>IF(Table2[[#This Row],[Stage]]="Closed Won",1,0)</f>
        <v>0</v>
      </c>
      <c r="S280" t="b">
        <f>IFERROR(_xlfn.XLOOKUP(Table2[[#This Row],[Opportunity ID]],'Aging Detail'!$H$14:$H$20,'Aging Detail'!$F$14:$F$20),TRUE)</f>
        <v>1</v>
      </c>
    </row>
    <row r="281" spans="1:19" hidden="1">
      <c r="A281" t="s">
        <v>2444</v>
      </c>
      <c r="B281" t="s">
        <v>2442</v>
      </c>
      <c r="C281" t="s">
        <v>1469</v>
      </c>
      <c r="D281" t="s">
        <v>3380</v>
      </c>
      <c r="E281">
        <v>50000</v>
      </c>
      <c r="F281" s="422">
        <v>46052</v>
      </c>
      <c r="G281" s="422">
        <v>45168</v>
      </c>
      <c r="H281" t="s">
        <v>1485</v>
      </c>
      <c r="K281" t="s">
        <v>3405</v>
      </c>
      <c r="L281" t="s">
        <v>2443</v>
      </c>
      <c r="M281">
        <v>50000</v>
      </c>
      <c r="N281">
        <v>242</v>
      </c>
      <c r="O281" t="str">
        <f>_xlfn.IFNA(VLOOKUP(Table2[[#This Row],[Lead Source]],'helper tab'!A:B,2,FALSE),"Exclude")</f>
        <v>Digital</v>
      </c>
      <c r="P281" s="476">
        <f ca="1">TODAY() - Table2[[#This Row],[Created Date]]</f>
        <v>1090</v>
      </c>
      <c r="Q281">
        <f>IF(OR(Table2[[#This Row],[Stage]]="Propose",Table2[[#This Row],[Stage]]="Procure"),1,0)</f>
        <v>0</v>
      </c>
      <c r="R281">
        <f>IF(Table2[[#This Row],[Stage]]="Closed Won",1,0)</f>
        <v>0</v>
      </c>
      <c r="S281" t="b">
        <f>IFERROR(_xlfn.XLOOKUP(Table2[[#This Row],[Opportunity ID]],'Aging Detail'!$H$14:$H$20,'Aging Detail'!$F$14:$F$20),TRUE)</f>
        <v>1</v>
      </c>
    </row>
    <row r="282" spans="1:19" hidden="1">
      <c r="A282" t="s">
        <v>2706</v>
      </c>
      <c r="B282" t="s">
        <v>3717</v>
      </c>
      <c r="C282" t="s">
        <v>338</v>
      </c>
      <c r="D282" t="s">
        <v>3363</v>
      </c>
      <c r="F282" s="422">
        <v>46022</v>
      </c>
      <c r="G282" s="422">
        <v>45896</v>
      </c>
      <c r="K282" t="s">
        <v>3405</v>
      </c>
      <c r="L282" t="s">
        <v>3718</v>
      </c>
      <c r="M282">
        <v>0</v>
      </c>
      <c r="N282">
        <v>341</v>
      </c>
      <c r="O282" t="str">
        <f>_xlfn.IFNA(VLOOKUP(Table2[[#This Row],[Lead Source]],'helper tab'!A:B,2,FALSE),"Exclude")</f>
        <v>Exclude</v>
      </c>
      <c r="P282" s="476">
        <f ca="1">TODAY() - Table2[[#This Row],[Created Date]]</f>
        <v>362</v>
      </c>
      <c r="Q282">
        <f>IF(OR(Table2[[#This Row],[Stage]]="Propose",Table2[[#This Row],[Stage]]="Procure"),1,0)</f>
        <v>0</v>
      </c>
      <c r="R282">
        <f>IF(Table2[[#This Row],[Stage]]="Closed Won",1,0)</f>
        <v>0</v>
      </c>
      <c r="S282" t="b">
        <f>IFERROR(_xlfn.XLOOKUP(Table2[[#This Row],[Opportunity ID]],'Aging Detail'!$H$14:$H$20,'Aging Detail'!$F$14:$F$20),TRUE)</f>
        <v>1</v>
      </c>
    </row>
    <row r="283" spans="1:19" hidden="1">
      <c r="A283" t="s">
        <v>1604</v>
      </c>
      <c r="B283" t="s">
        <v>3719</v>
      </c>
      <c r="C283" t="s">
        <v>338</v>
      </c>
      <c r="D283" t="s">
        <v>3363</v>
      </c>
      <c r="F283" s="422">
        <v>46022</v>
      </c>
      <c r="G283" s="422">
        <v>45628</v>
      </c>
      <c r="K283" t="s">
        <v>3405</v>
      </c>
      <c r="L283" t="s">
        <v>3720</v>
      </c>
      <c r="M283">
        <v>0</v>
      </c>
      <c r="N283">
        <v>609</v>
      </c>
      <c r="O283" t="str">
        <f>_xlfn.IFNA(VLOOKUP(Table2[[#This Row],[Lead Source]],'helper tab'!A:B,2,FALSE),"Exclude")</f>
        <v>Exclude</v>
      </c>
      <c r="P283" s="476">
        <f ca="1">TODAY() - Table2[[#This Row],[Created Date]]</f>
        <v>630</v>
      </c>
      <c r="Q283">
        <f>IF(OR(Table2[[#This Row],[Stage]]="Propose",Table2[[#This Row],[Stage]]="Procure"),1,0)</f>
        <v>0</v>
      </c>
      <c r="R283">
        <f>IF(Table2[[#This Row],[Stage]]="Closed Won",1,0)</f>
        <v>0</v>
      </c>
      <c r="S283" t="b">
        <f>IFERROR(_xlfn.XLOOKUP(Table2[[#This Row],[Opportunity ID]],'Aging Detail'!$H$14:$H$20,'Aging Detail'!$F$14:$F$20),TRUE)</f>
        <v>1</v>
      </c>
    </row>
    <row r="284" spans="1:19" hidden="1">
      <c r="A284" t="s">
        <v>3082</v>
      </c>
      <c r="B284" t="s">
        <v>3080</v>
      </c>
      <c r="C284" t="s">
        <v>1469</v>
      </c>
      <c r="D284" t="s">
        <v>3363</v>
      </c>
      <c r="E284">
        <v>204000</v>
      </c>
      <c r="F284" s="422">
        <v>46022</v>
      </c>
      <c r="G284" s="422">
        <v>45369</v>
      </c>
      <c r="H284" t="s">
        <v>1473</v>
      </c>
      <c r="K284" t="s">
        <v>3405</v>
      </c>
      <c r="L284" t="s">
        <v>3081</v>
      </c>
      <c r="M284">
        <v>99000</v>
      </c>
      <c r="N284">
        <v>455</v>
      </c>
      <c r="O284" t="str">
        <f>_xlfn.IFNA(VLOOKUP(Table2[[#This Row],[Lead Source]],'helper tab'!A:B,2,FALSE),"Exclude")</f>
        <v>Events</v>
      </c>
      <c r="P284" s="476">
        <f ca="1">TODAY() - Table2[[#This Row],[Created Date]]</f>
        <v>889</v>
      </c>
      <c r="Q284">
        <f>IF(OR(Table2[[#This Row],[Stage]]="Propose",Table2[[#This Row],[Stage]]="Procure"),1,0)</f>
        <v>0</v>
      </c>
      <c r="R284">
        <f>IF(Table2[[#This Row],[Stage]]="Closed Won",1,0)</f>
        <v>0</v>
      </c>
      <c r="S284" t="b">
        <f>IFERROR(_xlfn.XLOOKUP(Table2[[#This Row],[Opportunity ID]],'Aging Detail'!$H$14:$H$20,'Aging Detail'!$F$14:$F$20),TRUE)</f>
        <v>1</v>
      </c>
    </row>
    <row r="285" spans="1:19" hidden="1">
      <c r="A285" t="s">
        <v>3006</v>
      </c>
      <c r="B285" t="s">
        <v>3004</v>
      </c>
      <c r="C285" t="s">
        <v>1469</v>
      </c>
      <c r="D285" t="s">
        <v>3363</v>
      </c>
      <c r="E285">
        <v>50000</v>
      </c>
      <c r="F285" s="422">
        <v>46022</v>
      </c>
      <c r="G285" s="422">
        <v>45054</v>
      </c>
      <c r="H285" t="s">
        <v>1486</v>
      </c>
      <c r="K285" t="s">
        <v>3405</v>
      </c>
      <c r="L285" t="s">
        <v>3005</v>
      </c>
      <c r="M285">
        <v>50000</v>
      </c>
      <c r="N285">
        <v>425</v>
      </c>
      <c r="O285" t="str">
        <f>_xlfn.IFNA(VLOOKUP(Table2[[#This Row],[Lead Source]],'helper tab'!A:B,2,FALSE),"Exclude")</f>
        <v>Exclude</v>
      </c>
      <c r="P285" s="476">
        <f ca="1">TODAY() - Table2[[#This Row],[Created Date]]</f>
        <v>1204</v>
      </c>
      <c r="Q285">
        <f>IF(OR(Table2[[#This Row],[Stage]]="Propose",Table2[[#This Row],[Stage]]="Procure"),1,0)</f>
        <v>0</v>
      </c>
      <c r="R285">
        <f>IF(Table2[[#This Row],[Stage]]="Closed Won",1,0)</f>
        <v>0</v>
      </c>
      <c r="S285" t="b">
        <f>IFERROR(_xlfn.XLOOKUP(Table2[[#This Row],[Opportunity ID]],'Aging Detail'!$H$14:$H$20,'Aging Detail'!$F$14:$F$20),TRUE)</f>
        <v>1</v>
      </c>
    </row>
    <row r="286" spans="1:19" hidden="1">
      <c r="A286" t="s">
        <v>3168</v>
      </c>
      <c r="B286" t="s">
        <v>3166</v>
      </c>
      <c r="C286" t="s">
        <v>1469</v>
      </c>
      <c r="D286" t="s">
        <v>3363</v>
      </c>
      <c r="E286">
        <v>775600</v>
      </c>
      <c r="F286" s="422">
        <v>46022</v>
      </c>
      <c r="G286" s="422">
        <v>45433</v>
      </c>
      <c r="H286" t="s">
        <v>1483</v>
      </c>
      <c r="K286" t="s">
        <v>3405</v>
      </c>
      <c r="L286" t="s">
        <v>3167</v>
      </c>
      <c r="M286">
        <v>435600</v>
      </c>
      <c r="N286">
        <v>490</v>
      </c>
      <c r="O286" t="str">
        <f>_xlfn.IFNA(VLOOKUP(Table2[[#This Row],[Lead Source]],'helper tab'!A:B,2,FALSE),"Exclude")</f>
        <v>Cold</v>
      </c>
      <c r="P286" s="476">
        <f ca="1">TODAY() - Table2[[#This Row],[Created Date]]</f>
        <v>825</v>
      </c>
      <c r="Q286">
        <f>IF(OR(Table2[[#This Row],[Stage]]="Propose",Table2[[#This Row],[Stage]]="Procure"),1,0)</f>
        <v>0</v>
      </c>
      <c r="R286">
        <f>IF(Table2[[#This Row],[Stage]]="Closed Won",1,0)</f>
        <v>0</v>
      </c>
      <c r="S286" t="b">
        <f>IFERROR(_xlfn.XLOOKUP(Table2[[#This Row],[Opportunity ID]],'Aging Detail'!$H$14:$H$20,'Aging Detail'!$F$14:$F$20),TRUE)</f>
        <v>1</v>
      </c>
    </row>
    <row r="287" spans="1:19" hidden="1">
      <c r="A287" t="s">
        <v>3313</v>
      </c>
      <c r="B287" t="s">
        <v>3311</v>
      </c>
      <c r="C287" t="s">
        <v>1469</v>
      </c>
      <c r="D287" t="s">
        <v>3363</v>
      </c>
      <c r="E287">
        <v>50000</v>
      </c>
      <c r="F287" s="422">
        <v>46022</v>
      </c>
      <c r="G287" s="422">
        <v>45068</v>
      </c>
      <c r="H287" t="s">
        <v>1463</v>
      </c>
      <c r="K287" t="s">
        <v>3405</v>
      </c>
      <c r="L287" t="s">
        <v>3312</v>
      </c>
      <c r="M287">
        <v>50000</v>
      </c>
      <c r="N287">
        <v>542</v>
      </c>
      <c r="O287" t="str">
        <f>_xlfn.IFNA(VLOOKUP(Table2[[#This Row],[Lead Source]],'helper tab'!A:B,2,FALSE),"Exclude")</f>
        <v>Cold</v>
      </c>
      <c r="P287" s="476">
        <f ca="1">TODAY() - Table2[[#This Row],[Created Date]]</f>
        <v>1190</v>
      </c>
      <c r="Q287">
        <f>IF(OR(Table2[[#This Row],[Stage]]="Propose",Table2[[#This Row],[Stage]]="Procure"),1,0)</f>
        <v>0</v>
      </c>
      <c r="R287">
        <f>IF(Table2[[#This Row],[Stage]]="Closed Won",1,0)</f>
        <v>0</v>
      </c>
      <c r="S287" t="b">
        <f>IFERROR(_xlfn.XLOOKUP(Table2[[#This Row],[Opportunity ID]],'Aging Detail'!$H$14:$H$20,'Aging Detail'!$F$14:$F$20),TRUE)</f>
        <v>1</v>
      </c>
    </row>
    <row r="288" spans="1:19" hidden="1">
      <c r="A288" t="s">
        <v>3086</v>
      </c>
      <c r="B288" t="s">
        <v>3084</v>
      </c>
      <c r="C288" t="s">
        <v>1469</v>
      </c>
      <c r="D288" t="s">
        <v>3363</v>
      </c>
      <c r="E288">
        <v>50000</v>
      </c>
      <c r="F288" s="422">
        <v>46022</v>
      </c>
      <c r="G288" s="422">
        <v>45447</v>
      </c>
      <c r="H288" t="s">
        <v>1483</v>
      </c>
      <c r="K288" t="s">
        <v>3405</v>
      </c>
      <c r="L288" t="s">
        <v>3085</v>
      </c>
      <c r="M288">
        <v>50000</v>
      </c>
      <c r="N288">
        <v>455</v>
      </c>
      <c r="O288" t="str">
        <f>_xlfn.IFNA(VLOOKUP(Table2[[#This Row],[Lead Source]],'helper tab'!A:B,2,FALSE),"Exclude")</f>
        <v>Cold</v>
      </c>
      <c r="P288" s="476">
        <f ca="1">TODAY() - Table2[[#This Row],[Created Date]]</f>
        <v>811</v>
      </c>
      <c r="Q288">
        <f>IF(OR(Table2[[#This Row],[Stage]]="Propose",Table2[[#This Row],[Stage]]="Procure"),1,0)</f>
        <v>0</v>
      </c>
      <c r="R288">
        <f>IF(Table2[[#This Row],[Stage]]="Closed Won",1,0)</f>
        <v>0</v>
      </c>
      <c r="S288" t="b">
        <f>IFERROR(_xlfn.XLOOKUP(Table2[[#This Row],[Opportunity ID]],'Aging Detail'!$H$14:$H$20,'Aging Detail'!$F$14:$F$20),TRUE)</f>
        <v>1</v>
      </c>
    </row>
    <row r="289" spans="1:19" hidden="1">
      <c r="A289" t="s">
        <v>3721</v>
      </c>
      <c r="B289" t="s">
        <v>3722</v>
      </c>
      <c r="C289" t="s">
        <v>1469</v>
      </c>
      <c r="D289" t="s">
        <v>3363</v>
      </c>
      <c r="E289">
        <v>953000</v>
      </c>
      <c r="F289" s="422">
        <v>46022</v>
      </c>
      <c r="G289" s="422">
        <v>45334</v>
      </c>
      <c r="H289" t="s">
        <v>1473</v>
      </c>
      <c r="K289" t="s">
        <v>3405</v>
      </c>
      <c r="L289" t="s">
        <v>3723</v>
      </c>
      <c r="M289">
        <v>693000</v>
      </c>
      <c r="N289">
        <v>627</v>
      </c>
      <c r="O289" t="str">
        <f>_xlfn.IFNA(VLOOKUP(Table2[[#This Row],[Lead Source]],'helper tab'!A:B,2,FALSE),"Exclude")</f>
        <v>Events</v>
      </c>
      <c r="P289" s="476">
        <f ca="1">TODAY() - Table2[[#This Row],[Created Date]]</f>
        <v>924</v>
      </c>
      <c r="Q289">
        <f>IF(OR(Table2[[#This Row],[Stage]]="Propose",Table2[[#This Row],[Stage]]="Procure"),1,0)</f>
        <v>0</v>
      </c>
      <c r="R289">
        <f>IF(Table2[[#This Row],[Stage]]="Closed Won",1,0)</f>
        <v>0</v>
      </c>
      <c r="S289" t="b">
        <f>IFERROR(_xlfn.XLOOKUP(Table2[[#This Row],[Opportunity ID]],'Aging Detail'!$H$14:$H$20,'Aging Detail'!$F$14:$F$20),TRUE)</f>
        <v>1</v>
      </c>
    </row>
    <row r="290" spans="1:19" hidden="1">
      <c r="A290" t="s">
        <v>1678</v>
      </c>
      <c r="B290" t="s">
        <v>3724</v>
      </c>
      <c r="C290" t="s">
        <v>563</v>
      </c>
      <c r="D290" t="s">
        <v>3363</v>
      </c>
      <c r="E290">
        <v>315360</v>
      </c>
      <c r="F290" s="422">
        <v>46020</v>
      </c>
      <c r="G290" s="422">
        <v>44391</v>
      </c>
      <c r="H290" t="s">
        <v>1486</v>
      </c>
      <c r="K290" t="s">
        <v>3405</v>
      </c>
      <c r="L290" t="s">
        <v>3725</v>
      </c>
      <c r="M290">
        <v>215360</v>
      </c>
      <c r="N290">
        <v>217</v>
      </c>
      <c r="O290" t="str">
        <f>_xlfn.IFNA(VLOOKUP(Table2[[#This Row],[Lead Source]],'helper tab'!A:B,2,FALSE),"Exclude")</f>
        <v>Exclude</v>
      </c>
      <c r="P290" s="476">
        <f ca="1">TODAY() - Table2[[#This Row],[Created Date]]</f>
        <v>1867</v>
      </c>
      <c r="Q290">
        <f>IF(OR(Table2[[#This Row],[Stage]]="Propose",Table2[[#This Row],[Stage]]="Procure"),1,0)</f>
        <v>0</v>
      </c>
      <c r="R290">
        <f>IF(Table2[[#This Row],[Stage]]="Closed Won",1,0)</f>
        <v>1</v>
      </c>
      <c r="S290" t="b">
        <f>IFERROR(_xlfn.XLOOKUP(Table2[[#This Row],[Opportunity ID]],'Aging Detail'!$H$14:$H$20,'Aging Detail'!$F$14:$F$20),TRUE)</f>
        <v>1</v>
      </c>
    </row>
    <row r="291" spans="1:19" hidden="1">
      <c r="A291" t="s">
        <v>2706</v>
      </c>
      <c r="B291" t="s">
        <v>2704</v>
      </c>
      <c r="C291" t="s">
        <v>563</v>
      </c>
      <c r="D291" t="s">
        <v>3364</v>
      </c>
      <c r="E291">
        <v>5670</v>
      </c>
      <c r="F291" s="422">
        <v>45930</v>
      </c>
      <c r="G291" s="422">
        <v>45825</v>
      </c>
      <c r="K291" t="s">
        <v>3405</v>
      </c>
      <c r="L291" t="s">
        <v>2705</v>
      </c>
      <c r="M291">
        <v>0</v>
      </c>
      <c r="N291">
        <v>307</v>
      </c>
      <c r="O291" t="str">
        <f>_xlfn.IFNA(VLOOKUP(Table2[[#This Row],[Lead Source]],'helper tab'!A:B,2,FALSE),"Exclude")</f>
        <v>Exclude</v>
      </c>
      <c r="P291" s="476">
        <f ca="1">TODAY() - Table2[[#This Row],[Created Date]]</f>
        <v>433</v>
      </c>
      <c r="Q291">
        <f>IF(OR(Table2[[#This Row],[Stage]]="Propose",Table2[[#This Row],[Stage]]="Procure"),1,0)</f>
        <v>0</v>
      </c>
      <c r="R291">
        <f>IF(Table2[[#This Row],[Stage]]="Closed Won",1,0)</f>
        <v>1</v>
      </c>
      <c r="S291" t="b">
        <f>IFERROR(_xlfn.XLOOKUP(Table2[[#This Row],[Opportunity ID]],'Aging Detail'!$H$14:$H$20,'Aging Detail'!$F$14:$F$20),TRUE)</f>
        <v>1</v>
      </c>
    </row>
    <row r="292" spans="1:19" hidden="1">
      <c r="A292" t="s">
        <v>3170</v>
      </c>
      <c r="B292" t="s">
        <v>3170</v>
      </c>
      <c r="C292" t="s">
        <v>1469</v>
      </c>
      <c r="D292" t="s">
        <v>3364</v>
      </c>
      <c r="E292">
        <v>993400</v>
      </c>
      <c r="F292" s="422">
        <v>45930</v>
      </c>
      <c r="G292" s="422">
        <v>44858</v>
      </c>
      <c r="H292" t="s">
        <v>1486</v>
      </c>
      <c r="K292" t="s">
        <v>3405</v>
      </c>
      <c r="L292" t="s">
        <v>3171</v>
      </c>
      <c r="M292">
        <v>653400</v>
      </c>
      <c r="N292">
        <v>490</v>
      </c>
      <c r="O292" t="str">
        <f>_xlfn.IFNA(VLOOKUP(Table2[[#This Row],[Lead Source]],'helper tab'!A:B,2,FALSE),"Exclude")</f>
        <v>Exclude</v>
      </c>
      <c r="P292" s="476">
        <f ca="1">TODAY() - Table2[[#This Row],[Created Date]]</f>
        <v>1400</v>
      </c>
      <c r="Q292">
        <f>IF(OR(Table2[[#This Row],[Stage]]="Propose",Table2[[#This Row],[Stage]]="Procure"),1,0)</f>
        <v>0</v>
      </c>
      <c r="R292">
        <f>IF(Table2[[#This Row],[Stage]]="Closed Won",1,0)</f>
        <v>0</v>
      </c>
      <c r="S292" t="b">
        <f>IFERROR(_xlfn.XLOOKUP(Table2[[#This Row],[Opportunity ID]],'Aging Detail'!$H$14:$H$20,'Aging Detail'!$F$14:$F$20),TRUE)</f>
        <v>1</v>
      </c>
    </row>
    <row r="293" spans="1:19" hidden="1">
      <c r="A293" t="s">
        <v>1758</v>
      </c>
      <c r="B293" t="s">
        <v>3088</v>
      </c>
      <c r="C293" t="s">
        <v>1469</v>
      </c>
      <c r="D293" t="s">
        <v>3364</v>
      </c>
      <c r="E293">
        <v>301800</v>
      </c>
      <c r="F293" s="422">
        <v>45900</v>
      </c>
      <c r="G293" s="422">
        <v>45541</v>
      </c>
      <c r="K293" t="s">
        <v>3405</v>
      </c>
      <c r="L293" t="s">
        <v>3089</v>
      </c>
      <c r="M293">
        <v>223800</v>
      </c>
      <c r="N293">
        <v>455</v>
      </c>
      <c r="O293" t="str">
        <f>_xlfn.IFNA(VLOOKUP(Table2[[#This Row],[Lead Source]],'helper tab'!A:B,2,FALSE),"Exclude")</f>
        <v>Exclude</v>
      </c>
      <c r="P293" s="476">
        <f ca="1">TODAY() - Table2[[#This Row],[Created Date]]</f>
        <v>717</v>
      </c>
      <c r="Q293">
        <f>IF(OR(Table2[[#This Row],[Stage]]="Propose",Table2[[#This Row],[Stage]]="Procure"),1,0)</f>
        <v>0</v>
      </c>
      <c r="R293">
        <f>IF(Table2[[#This Row],[Stage]]="Closed Won",1,0)</f>
        <v>0</v>
      </c>
      <c r="S293" t="b">
        <f>IFERROR(_xlfn.XLOOKUP(Table2[[#This Row],[Opportunity ID]],'Aging Detail'!$H$14:$H$20,'Aging Detail'!$F$14:$F$20),TRUE)</f>
        <v>1</v>
      </c>
    </row>
    <row r="294" spans="1:19" hidden="1">
      <c r="A294" t="s">
        <v>1758</v>
      </c>
      <c r="B294" t="s">
        <v>2826</v>
      </c>
      <c r="C294" t="s">
        <v>563</v>
      </c>
      <c r="D294" t="s">
        <v>3364</v>
      </c>
      <c r="E294">
        <v>979416.6</v>
      </c>
      <c r="F294" s="422">
        <v>45884</v>
      </c>
      <c r="G294" s="422">
        <v>45539</v>
      </c>
      <c r="K294" t="s">
        <v>3405</v>
      </c>
      <c r="L294" t="s">
        <v>2827</v>
      </c>
      <c r="M294">
        <v>21288.6</v>
      </c>
      <c r="N294">
        <v>353</v>
      </c>
      <c r="O294" t="str">
        <f>_xlfn.IFNA(VLOOKUP(Table2[[#This Row],[Lead Source]],'helper tab'!A:B,2,FALSE),"Exclude")</f>
        <v>Exclude</v>
      </c>
      <c r="P294" s="476">
        <f ca="1">TODAY() - Table2[[#This Row],[Created Date]]</f>
        <v>719</v>
      </c>
      <c r="Q294">
        <f>IF(OR(Table2[[#This Row],[Stage]]="Propose",Table2[[#This Row],[Stage]]="Procure"),1,0)</f>
        <v>0</v>
      </c>
      <c r="R294">
        <f>IF(Table2[[#This Row],[Stage]]="Closed Won",1,0)</f>
        <v>1</v>
      </c>
      <c r="S294" t="b">
        <f>IFERROR(_xlfn.XLOOKUP(Table2[[#This Row],[Opportunity ID]],'Aging Detail'!$H$14:$H$20,'Aging Detail'!$F$14:$F$20),TRUE)</f>
        <v>1</v>
      </c>
    </row>
    <row r="295" spans="1:19" hidden="1">
      <c r="A295" t="s">
        <v>3309</v>
      </c>
      <c r="B295" t="s">
        <v>3307</v>
      </c>
      <c r="C295" t="s">
        <v>1469</v>
      </c>
      <c r="D295" t="s">
        <v>3364</v>
      </c>
      <c r="E295">
        <v>50000</v>
      </c>
      <c r="F295" s="422">
        <v>45855</v>
      </c>
      <c r="G295" s="422">
        <v>45490</v>
      </c>
      <c r="H295" t="s">
        <v>1463</v>
      </c>
      <c r="K295" t="s">
        <v>3405</v>
      </c>
      <c r="L295" t="s">
        <v>3308</v>
      </c>
      <c r="M295">
        <v>50000</v>
      </c>
      <c r="N295">
        <v>542</v>
      </c>
      <c r="O295" t="str">
        <f>_xlfn.IFNA(VLOOKUP(Table2[[#This Row],[Lead Source]],'helper tab'!A:B,2,FALSE),"Exclude")</f>
        <v>Cold</v>
      </c>
      <c r="P295" s="476">
        <f ca="1">TODAY() - Table2[[#This Row],[Created Date]]</f>
        <v>768</v>
      </c>
      <c r="Q295">
        <f>IF(OR(Table2[[#This Row],[Stage]]="Propose",Table2[[#This Row],[Stage]]="Procure"),1,0)</f>
        <v>0</v>
      </c>
      <c r="R295">
        <f>IF(Table2[[#This Row],[Stage]]="Closed Won",1,0)</f>
        <v>0</v>
      </c>
      <c r="S295" t="b">
        <f>IFERROR(_xlfn.XLOOKUP(Table2[[#This Row],[Opportunity ID]],'Aging Detail'!$H$14:$H$20,'Aging Detail'!$F$14:$F$20),TRUE)</f>
        <v>1</v>
      </c>
    </row>
    <row r="296" spans="1:19" hidden="1">
      <c r="A296" t="s">
        <v>1604</v>
      </c>
      <c r="B296" t="s">
        <v>2922</v>
      </c>
      <c r="C296" t="s">
        <v>563</v>
      </c>
      <c r="D296" t="s">
        <v>3364</v>
      </c>
      <c r="E296">
        <v>16975</v>
      </c>
      <c r="F296" s="422">
        <v>45841</v>
      </c>
      <c r="G296" s="422">
        <v>45708</v>
      </c>
      <c r="H296" t="s">
        <v>1484</v>
      </c>
      <c r="K296" t="s">
        <v>3405</v>
      </c>
      <c r="L296" t="s">
        <v>2923</v>
      </c>
      <c r="M296">
        <v>0</v>
      </c>
      <c r="N296">
        <v>391</v>
      </c>
      <c r="O296" t="str">
        <f>_xlfn.IFNA(VLOOKUP(Table2[[#This Row],[Lead Source]],'helper tab'!A:B,2,FALSE),"Exclude")</f>
        <v>Exclude</v>
      </c>
      <c r="P296" s="476">
        <f ca="1">TODAY() - Table2[[#This Row],[Created Date]]</f>
        <v>550</v>
      </c>
      <c r="Q296">
        <f>IF(OR(Table2[[#This Row],[Stage]]="Propose",Table2[[#This Row],[Stage]]="Procure"),1,0)</f>
        <v>0</v>
      </c>
      <c r="R296">
        <f>IF(Table2[[#This Row],[Stage]]="Closed Won",1,0)</f>
        <v>1</v>
      </c>
      <c r="S296" t="b">
        <f>IFERROR(_xlfn.XLOOKUP(Table2[[#This Row],[Opportunity ID]],'Aging Detail'!$H$14:$H$20,'Aging Detail'!$F$14:$F$20),TRUE)</f>
        <v>1</v>
      </c>
    </row>
    <row r="297" spans="1:19" hidden="1">
      <c r="A297" t="s">
        <v>1678</v>
      </c>
      <c r="B297" t="s">
        <v>2960</v>
      </c>
      <c r="C297" t="s">
        <v>563</v>
      </c>
      <c r="D297" t="s">
        <v>3415</v>
      </c>
      <c r="E297">
        <v>50000</v>
      </c>
      <c r="F297" s="422">
        <v>45834</v>
      </c>
      <c r="G297" s="422">
        <v>45649</v>
      </c>
      <c r="H297" t="s">
        <v>1465</v>
      </c>
      <c r="J297" t="s">
        <v>3726</v>
      </c>
      <c r="K297" t="s">
        <v>3405</v>
      </c>
      <c r="L297" t="s">
        <v>2961</v>
      </c>
      <c r="M297">
        <v>50000</v>
      </c>
      <c r="N297">
        <v>403</v>
      </c>
      <c r="O297" t="str">
        <f>_xlfn.IFNA(VLOOKUP(Table2[[#This Row],[Lead Source]],'helper tab'!A:B,2,FALSE),"Exclude")</f>
        <v>Exclude</v>
      </c>
      <c r="P297" s="476">
        <f ca="1">TODAY() - Table2[[#This Row],[Created Date]]</f>
        <v>609</v>
      </c>
      <c r="Q297">
        <f>IF(OR(Table2[[#This Row],[Stage]]="Propose",Table2[[#This Row],[Stage]]="Procure"),1,0)</f>
        <v>0</v>
      </c>
      <c r="R297">
        <f>IF(Table2[[#This Row],[Stage]]="Closed Won",1,0)</f>
        <v>1</v>
      </c>
      <c r="S297" t="b">
        <f>IFERROR(_xlfn.XLOOKUP(Table2[[#This Row],[Opportunity ID]],'Aging Detail'!$H$14:$H$20,'Aging Detail'!$F$14:$F$20),TRUE)</f>
        <v>1</v>
      </c>
    </row>
    <row r="298" spans="1:19" hidden="1">
      <c r="A298" t="s">
        <v>1604</v>
      </c>
      <c r="B298" t="s">
        <v>2891</v>
      </c>
      <c r="C298" t="s">
        <v>563</v>
      </c>
      <c r="D298" t="s">
        <v>3415</v>
      </c>
      <c r="F298" s="422">
        <v>45807</v>
      </c>
      <c r="G298" s="422">
        <v>45622</v>
      </c>
      <c r="K298" t="s">
        <v>3405</v>
      </c>
      <c r="L298" t="s">
        <v>2892</v>
      </c>
      <c r="M298">
        <v>0</v>
      </c>
      <c r="N298">
        <v>374</v>
      </c>
      <c r="O298" t="str">
        <f>_xlfn.IFNA(VLOOKUP(Table2[[#This Row],[Lead Source]],'helper tab'!A:B,2,FALSE),"Exclude")</f>
        <v>Exclude</v>
      </c>
      <c r="P298" s="476">
        <f ca="1">TODAY() - Table2[[#This Row],[Created Date]]</f>
        <v>636</v>
      </c>
      <c r="Q298">
        <f>IF(OR(Table2[[#This Row],[Stage]]="Propose",Table2[[#This Row],[Stage]]="Procure"),1,0)</f>
        <v>0</v>
      </c>
      <c r="R298">
        <f>IF(Table2[[#This Row],[Stage]]="Closed Won",1,0)</f>
        <v>1</v>
      </c>
      <c r="S298" t="b">
        <f>IFERROR(_xlfn.XLOOKUP(Table2[[#This Row],[Opportunity ID]],'Aging Detail'!$H$14:$H$20,'Aging Detail'!$F$14:$F$20),TRUE)</f>
        <v>1</v>
      </c>
    </row>
    <row r="299" spans="1:19" hidden="1">
      <c r="A299" t="s">
        <v>1604</v>
      </c>
      <c r="B299" t="s">
        <v>3146</v>
      </c>
      <c r="C299" t="s">
        <v>563</v>
      </c>
      <c r="D299" t="s">
        <v>3415</v>
      </c>
      <c r="F299" s="422">
        <v>45755</v>
      </c>
      <c r="G299" s="422">
        <v>45510</v>
      </c>
      <c r="H299" t="s">
        <v>1484</v>
      </c>
      <c r="K299" t="s">
        <v>3405</v>
      </c>
      <c r="L299" t="s">
        <v>3147</v>
      </c>
      <c r="M299">
        <v>0</v>
      </c>
      <c r="N299">
        <v>482</v>
      </c>
      <c r="O299" t="str">
        <f>_xlfn.IFNA(VLOOKUP(Table2[[#This Row],[Lead Source]],'helper tab'!A:B,2,FALSE),"Exclude")</f>
        <v>Exclude</v>
      </c>
      <c r="P299" s="476">
        <f ca="1">TODAY() - Table2[[#This Row],[Created Date]]</f>
        <v>748</v>
      </c>
      <c r="Q299">
        <f>IF(OR(Table2[[#This Row],[Stage]]="Propose",Table2[[#This Row],[Stage]]="Procure"),1,0)</f>
        <v>0</v>
      </c>
      <c r="R299">
        <f>IF(Table2[[#This Row],[Stage]]="Closed Won",1,0)</f>
        <v>1</v>
      </c>
      <c r="S299" t="b">
        <f>IFERROR(_xlfn.XLOOKUP(Table2[[#This Row],[Opportunity ID]],'Aging Detail'!$H$14:$H$20,'Aging Detail'!$F$14:$F$20),TRUE)</f>
        <v>1</v>
      </c>
    </row>
    <row r="300" spans="1:19" hidden="1">
      <c r="A300" t="s">
        <v>3082</v>
      </c>
      <c r="B300" t="s">
        <v>3727</v>
      </c>
      <c r="C300" t="s">
        <v>1469</v>
      </c>
      <c r="D300" t="s">
        <v>3366</v>
      </c>
      <c r="F300" s="422">
        <v>45747</v>
      </c>
      <c r="G300" s="422">
        <v>45140</v>
      </c>
      <c r="H300" t="s">
        <v>1463</v>
      </c>
      <c r="K300" t="s">
        <v>3405</v>
      </c>
      <c r="L300" t="s">
        <v>3728</v>
      </c>
      <c r="M300">
        <v>0</v>
      </c>
      <c r="N300">
        <v>1097</v>
      </c>
      <c r="O300" t="str">
        <f>_xlfn.IFNA(VLOOKUP(Table2[[#This Row],[Lead Source]],'helper tab'!A:B,2,FALSE),"Exclude")</f>
        <v>Cold</v>
      </c>
      <c r="P300" s="476">
        <f ca="1">TODAY() - Table2[[#This Row],[Created Date]]</f>
        <v>1118</v>
      </c>
      <c r="Q300">
        <f>IF(OR(Table2[[#This Row],[Stage]]="Propose",Table2[[#This Row],[Stage]]="Procure"),1,0)</f>
        <v>0</v>
      </c>
      <c r="R300">
        <f>IF(Table2[[#This Row],[Stage]]="Closed Won",1,0)</f>
        <v>0</v>
      </c>
      <c r="S300" t="b">
        <f>IFERROR(_xlfn.XLOOKUP(Table2[[#This Row],[Opportunity ID]],'Aging Detail'!$H$14:$H$20,'Aging Detail'!$F$14:$F$20),TRUE)</f>
        <v>1</v>
      </c>
    </row>
    <row r="301" spans="1:19" hidden="1">
      <c r="A301" t="s">
        <v>1674</v>
      </c>
      <c r="B301" t="s">
        <v>3729</v>
      </c>
      <c r="C301" t="s">
        <v>1469</v>
      </c>
      <c r="D301" t="s">
        <v>3366</v>
      </c>
      <c r="E301">
        <v>448900</v>
      </c>
      <c r="F301" s="422">
        <v>45747</v>
      </c>
      <c r="G301" s="422">
        <v>44550</v>
      </c>
      <c r="H301" t="s">
        <v>1486</v>
      </c>
      <c r="K301" t="s">
        <v>3405</v>
      </c>
      <c r="L301" t="s">
        <v>3730</v>
      </c>
      <c r="M301">
        <v>108900</v>
      </c>
      <c r="N301">
        <v>697</v>
      </c>
      <c r="O301" t="str">
        <f>_xlfn.IFNA(VLOOKUP(Table2[[#This Row],[Lead Source]],'helper tab'!A:B,2,FALSE),"Exclude")</f>
        <v>Exclude</v>
      </c>
      <c r="P301" s="476">
        <f ca="1">TODAY() - Table2[[#This Row],[Created Date]]</f>
        <v>1708</v>
      </c>
      <c r="Q301">
        <f>IF(OR(Table2[[#This Row],[Stage]]="Propose",Table2[[#This Row],[Stage]]="Procure"),1,0)</f>
        <v>0</v>
      </c>
      <c r="R301">
        <f>IF(Table2[[#This Row],[Stage]]="Closed Won",1,0)</f>
        <v>0</v>
      </c>
      <c r="S301" t="b">
        <f>IFERROR(_xlfn.XLOOKUP(Table2[[#This Row],[Opportunity ID]],'Aging Detail'!$H$14:$H$20,'Aging Detail'!$F$14:$F$20),TRUE)</f>
        <v>1</v>
      </c>
    </row>
    <row r="302" spans="1:19" hidden="1">
      <c r="A302" t="s">
        <v>2369</v>
      </c>
      <c r="B302" t="s">
        <v>3731</v>
      </c>
      <c r="C302" t="s">
        <v>1469</v>
      </c>
      <c r="D302" t="s">
        <v>3366</v>
      </c>
      <c r="F302" s="422">
        <v>45747</v>
      </c>
      <c r="G302" s="422">
        <v>44725</v>
      </c>
      <c r="H302" t="s">
        <v>1463</v>
      </c>
      <c r="K302" t="s">
        <v>3405</v>
      </c>
      <c r="L302" t="s">
        <v>3732</v>
      </c>
      <c r="M302">
        <v>0</v>
      </c>
      <c r="N302">
        <v>1512</v>
      </c>
      <c r="O302" t="str">
        <f>_xlfn.IFNA(VLOOKUP(Table2[[#This Row],[Lead Source]],'helper tab'!A:B,2,FALSE),"Exclude")</f>
        <v>Cold</v>
      </c>
      <c r="P302" s="476">
        <f ca="1">TODAY() - Table2[[#This Row],[Created Date]]</f>
        <v>1533</v>
      </c>
      <c r="Q302">
        <f>IF(OR(Table2[[#This Row],[Stage]]="Propose",Table2[[#This Row],[Stage]]="Procure"),1,0)</f>
        <v>0</v>
      </c>
      <c r="R302">
        <f>IF(Table2[[#This Row],[Stage]]="Closed Won",1,0)</f>
        <v>0</v>
      </c>
      <c r="S302" t="b">
        <f>IFERROR(_xlfn.XLOOKUP(Table2[[#This Row],[Opportunity ID]],'Aging Detail'!$H$14:$H$20,'Aging Detail'!$F$14:$F$20),TRUE)</f>
        <v>1</v>
      </c>
    </row>
    <row r="303" spans="1:19" hidden="1">
      <c r="A303" t="s">
        <v>883</v>
      </c>
      <c r="B303" t="s">
        <v>883</v>
      </c>
      <c r="C303" t="s">
        <v>1469</v>
      </c>
      <c r="D303" t="s">
        <v>3366</v>
      </c>
      <c r="F303" s="422">
        <v>45747</v>
      </c>
      <c r="G303" s="422">
        <v>44964</v>
      </c>
      <c r="H303" t="s">
        <v>148</v>
      </c>
      <c r="K303" t="s">
        <v>3405</v>
      </c>
      <c r="L303" t="s">
        <v>3733</v>
      </c>
      <c r="M303">
        <v>0</v>
      </c>
      <c r="N303">
        <v>1273</v>
      </c>
      <c r="O303" t="str">
        <f>_xlfn.IFNA(VLOOKUP(Table2[[#This Row],[Lead Source]],'helper tab'!A:B,2,FALSE),"Exclude")</f>
        <v>Alliances</v>
      </c>
      <c r="P303" s="476">
        <f ca="1">TODAY() - Table2[[#This Row],[Created Date]]</f>
        <v>1294</v>
      </c>
      <c r="Q303">
        <f>IF(OR(Table2[[#This Row],[Stage]]="Propose",Table2[[#This Row],[Stage]]="Procure"),1,0)</f>
        <v>0</v>
      </c>
      <c r="R303">
        <f>IF(Table2[[#This Row],[Stage]]="Closed Won",1,0)</f>
        <v>0</v>
      </c>
      <c r="S303" t="b">
        <f>IFERROR(_xlfn.XLOOKUP(Table2[[#This Row],[Opportunity ID]],'Aging Detail'!$H$14:$H$20,'Aging Detail'!$F$14:$F$20),TRUE)</f>
        <v>1</v>
      </c>
    </row>
    <row r="304" spans="1:19" hidden="1">
      <c r="A304" t="s">
        <v>3497</v>
      </c>
      <c r="B304" t="s">
        <v>3734</v>
      </c>
      <c r="C304" t="s">
        <v>563</v>
      </c>
      <c r="D304" t="s">
        <v>3366</v>
      </c>
      <c r="E304">
        <v>277800</v>
      </c>
      <c r="F304" s="422">
        <v>45702</v>
      </c>
      <c r="G304" s="422">
        <v>44629</v>
      </c>
      <c r="K304" t="s">
        <v>3405</v>
      </c>
      <c r="L304" t="s">
        <v>3735</v>
      </c>
      <c r="M304">
        <v>0</v>
      </c>
      <c r="N304">
        <v>525</v>
      </c>
      <c r="O304" t="str">
        <f>_xlfn.IFNA(VLOOKUP(Table2[[#This Row],[Lead Source]],'helper tab'!A:B,2,FALSE),"Exclude")</f>
        <v>Exclude</v>
      </c>
      <c r="P304" s="476">
        <f ca="1">TODAY() - Table2[[#This Row],[Created Date]]</f>
        <v>1629</v>
      </c>
      <c r="Q304">
        <f>IF(OR(Table2[[#This Row],[Stage]]="Propose",Table2[[#This Row],[Stage]]="Procure"),1,0)</f>
        <v>0</v>
      </c>
      <c r="R304">
        <f>IF(Table2[[#This Row],[Stage]]="Closed Won",1,0)</f>
        <v>1</v>
      </c>
      <c r="S304" t="b">
        <f>IFERROR(_xlfn.XLOOKUP(Table2[[#This Row],[Opportunity ID]],'Aging Detail'!$H$14:$H$20,'Aging Detail'!$F$14:$F$20),TRUE)</f>
        <v>1</v>
      </c>
    </row>
    <row r="305" spans="1:19" hidden="1">
      <c r="A305" t="s">
        <v>1604</v>
      </c>
      <c r="B305" t="s">
        <v>3736</v>
      </c>
      <c r="C305" t="s">
        <v>563</v>
      </c>
      <c r="D305" t="s">
        <v>3366</v>
      </c>
      <c r="F305" s="422">
        <v>45674</v>
      </c>
      <c r="G305" s="422">
        <v>45510</v>
      </c>
      <c r="H305" t="s">
        <v>1484</v>
      </c>
      <c r="K305" t="s">
        <v>3405</v>
      </c>
      <c r="L305" t="s">
        <v>3737</v>
      </c>
      <c r="M305">
        <v>0</v>
      </c>
      <c r="N305">
        <v>563</v>
      </c>
      <c r="O305" t="str">
        <f>_xlfn.IFNA(VLOOKUP(Table2[[#This Row],[Lead Source]],'helper tab'!A:B,2,FALSE),"Exclude")</f>
        <v>Exclude</v>
      </c>
      <c r="P305" s="476">
        <f ca="1">TODAY() - Table2[[#This Row],[Created Date]]</f>
        <v>748</v>
      </c>
      <c r="Q305">
        <f>IF(OR(Table2[[#This Row],[Stage]]="Propose",Table2[[#This Row],[Stage]]="Procure"),1,0)</f>
        <v>0</v>
      </c>
      <c r="R305">
        <f>IF(Table2[[#This Row],[Stage]]="Closed Won",1,0)</f>
        <v>1</v>
      </c>
      <c r="S305" t="b">
        <f>IFERROR(_xlfn.XLOOKUP(Table2[[#This Row],[Opportunity ID]],'Aging Detail'!$H$14:$H$20,'Aging Detail'!$F$14:$F$20),TRUE)</f>
        <v>1</v>
      </c>
    </row>
    <row r="306" spans="1:19" hidden="1">
      <c r="A306" t="s">
        <v>2203</v>
      </c>
      <c r="B306" t="s">
        <v>3738</v>
      </c>
      <c r="C306" t="s">
        <v>1469</v>
      </c>
      <c r="D306" t="s">
        <v>3368</v>
      </c>
      <c r="F306" s="422">
        <v>45657</v>
      </c>
      <c r="G306" s="422">
        <v>45370</v>
      </c>
      <c r="K306" t="s">
        <v>3405</v>
      </c>
      <c r="L306" t="s">
        <v>3739</v>
      </c>
      <c r="M306">
        <v>0</v>
      </c>
      <c r="N306">
        <v>703</v>
      </c>
      <c r="O306" t="str">
        <f>_xlfn.IFNA(VLOOKUP(Table2[[#This Row],[Lead Source]],'helper tab'!A:B,2,FALSE),"Exclude")</f>
        <v>Exclude</v>
      </c>
      <c r="P306" s="476">
        <f ca="1">TODAY() - Table2[[#This Row],[Created Date]]</f>
        <v>888</v>
      </c>
      <c r="Q306">
        <f>IF(OR(Table2[[#This Row],[Stage]]="Propose",Table2[[#This Row],[Stage]]="Procure"),1,0)</f>
        <v>0</v>
      </c>
      <c r="R306">
        <f>IF(Table2[[#This Row],[Stage]]="Closed Won",1,0)</f>
        <v>0</v>
      </c>
      <c r="S306" t="b">
        <f>IFERROR(_xlfn.XLOOKUP(Table2[[#This Row],[Opportunity ID]],'Aging Detail'!$H$14:$H$20,'Aging Detail'!$F$14:$F$20),TRUE)</f>
        <v>1</v>
      </c>
    </row>
    <row r="307" spans="1:19" hidden="1">
      <c r="A307" t="s">
        <v>2203</v>
      </c>
      <c r="B307" t="s">
        <v>3740</v>
      </c>
      <c r="C307" t="s">
        <v>408</v>
      </c>
      <c r="D307" t="s">
        <v>3368</v>
      </c>
      <c r="F307" s="422">
        <v>45657</v>
      </c>
      <c r="G307" s="422">
        <v>45369</v>
      </c>
      <c r="K307" t="s">
        <v>3405</v>
      </c>
      <c r="L307" t="s">
        <v>3741</v>
      </c>
      <c r="M307">
        <v>0</v>
      </c>
      <c r="N307">
        <v>868</v>
      </c>
      <c r="O307" t="str">
        <f>_xlfn.IFNA(VLOOKUP(Table2[[#This Row],[Lead Source]],'helper tab'!A:B,2,FALSE),"Exclude")</f>
        <v>Exclude</v>
      </c>
      <c r="P307" s="476">
        <f ca="1">TODAY() - Table2[[#This Row],[Created Date]]</f>
        <v>889</v>
      </c>
      <c r="Q307">
        <f>IF(OR(Table2[[#This Row],[Stage]]="Propose",Table2[[#This Row],[Stage]]="Procure"),1,0)</f>
        <v>0</v>
      </c>
      <c r="R307">
        <f>IF(Table2[[#This Row],[Stage]]="Closed Won",1,0)</f>
        <v>0</v>
      </c>
      <c r="S307" t="b">
        <f>IFERROR(_xlfn.XLOOKUP(Table2[[#This Row],[Opportunity ID]],'Aging Detail'!$H$14:$H$20,'Aging Detail'!$F$14:$F$20),TRUE)</f>
        <v>1</v>
      </c>
    </row>
    <row r="308" spans="1:19" hidden="1">
      <c r="A308" t="s">
        <v>1758</v>
      </c>
      <c r="B308" t="s">
        <v>3742</v>
      </c>
      <c r="C308" t="s">
        <v>338</v>
      </c>
      <c r="D308" t="s">
        <v>3368</v>
      </c>
      <c r="F308" s="422">
        <v>45657</v>
      </c>
      <c r="G308" s="422">
        <v>45345</v>
      </c>
      <c r="K308" t="s">
        <v>3405</v>
      </c>
      <c r="L308" t="s">
        <v>3743</v>
      </c>
      <c r="M308">
        <v>0</v>
      </c>
      <c r="N308">
        <v>892</v>
      </c>
      <c r="O308" t="str">
        <f>_xlfn.IFNA(VLOOKUP(Table2[[#This Row],[Lead Source]],'helper tab'!A:B,2,FALSE),"Exclude")</f>
        <v>Exclude</v>
      </c>
      <c r="P308" s="476">
        <f ca="1">TODAY() - Table2[[#This Row],[Created Date]]</f>
        <v>913</v>
      </c>
      <c r="Q308">
        <f>IF(OR(Table2[[#This Row],[Stage]]="Propose",Table2[[#This Row],[Stage]]="Procure"),1,0)</f>
        <v>0</v>
      </c>
      <c r="R308">
        <f>IF(Table2[[#This Row],[Stage]]="Closed Won",1,0)</f>
        <v>0</v>
      </c>
      <c r="S308" t="b">
        <f>IFERROR(_xlfn.XLOOKUP(Table2[[#This Row],[Opportunity ID]],'Aging Detail'!$H$14:$H$20,'Aging Detail'!$F$14:$F$20),TRUE)</f>
        <v>1</v>
      </c>
    </row>
    <row r="309" spans="1:19" hidden="1">
      <c r="A309" t="s">
        <v>2065</v>
      </c>
      <c r="B309" t="s">
        <v>3744</v>
      </c>
      <c r="C309" t="s">
        <v>1469</v>
      </c>
      <c r="D309" t="s">
        <v>3422</v>
      </c>
      <c r="E309">
        <v>0</v>
      </c>
      <c r="F309" s="422">
        <v>45558</v>
      </c>
      <c r="G309" s="422">
        <v>44924</v>
      </c>
      <c r="K309" t="s">
        <v>3405</v>
      </c>
      <c r="L309" t="s">
        <v>3745</v>
      </c>
      <c r="M309">
        <v>-87183</v>
      </c>
      <c r="N309">
        <v>679</v>
      </c>
      <c r="O309" t="str">
        <f>_xlfn.IFNA(VLOOKUP(Table2[[#This Row],[Lead Source]],'helper tab'!A:B,2,FALSE),"Exclude")</f>
        <v>Exclude</v>
      </c>
      <c r="P309" s="476">
        <f ca="1">TODAY() - Table2[[#This Row],[Created Date]]</f>
        <v>1334</v>
      </c>
      <c r="Q309">
        <f>IF(OR(Table2[[#This Row],[Stage]]="Propose",Table2[[#This Row],[Stage]]="Procure"),1,0)</f>
        <v>0</v>
      </c>
      <c r="R309">
        <f>IF(Table2[[#This Row],[Stage]]="Closed Won",1,0)</f>
        <v>0</v>
      </c>
      <c r="S309" t="b">
        <f>IFERROR(_xlfn.XLOOKUP(Table2[[#This Row],[Opportunity ID]],'Aging Detail'!$H$14:$H$20,'Aging Detail'!$F$14:$F$20),TRUE)</f>
        <v>1</v>
      </c>
    </row>
    <row r="310" spans="1:19" hidden="1">
      <c r="A310" t="s">
        <v>1758</v>
      </c>
      <c r="B310" t="s">
        <v>3746</v>
      </c>
      <c r="C310" t="s">
        <v>563</v>
      </c>
      <c r="D310" t="s">
        <v>3422</v>
      </c>
      <c r="E310">
        <v>958128</v>
      </c>
      <c r="F310" s="422">
        <v>45544</v>
      </c>
      <c r="G310" s="422">
        <v>45048</v>
      </c>
      <c r="H310" t="s">
        <v>1484</v>
      </c>
      <c r="K310" t="s">
        <v>3405</v>
      </c>
      <c r="L310" t="s">
        <v>3747</v>
      </c>
      <c r="M310">
        <v>30000</v>
      </c>
      <c r="N310">
        <v>693</v>
      </c>
      <c r="O310" t="str">
        <f>_xlfn.IFNA(VLOOKUP(Table2[[#This Row],[Lead Source]],'helper tab'!A:B,2,FALSE),"Exclude")</f>
        <v>Exclude</v>
      </c>
      <c r="P310" s="476">
        <f ca="1">TODAY() - Table2[[#This Row],[Created Date]]</f>
        <v>1210</v>
      </c>
      <c r="Q310">
        <f>IF(OR(Table2[[#This Row],[Stage]]="Propose",Table2[[#This Row],[Stage]]="Procure"),1,0)</f>
        <v>0</v>
      </c>
      <c r="R310">
        <f>IF(Table2[[#This Row],[Stage]]="Closed Won",1,0)</f>
        <v>1</v>
      </c>
      <c r="S310" t="b">
        <f>IFERROR(_xlfn.XLOOKUP(Table2[[#This Row],[Opportunity ID]],'Aging Detail'!$H$14:$H$20,'Aging Detail'!$F$14:$F$20),TRUE)</f>
        <v>1</v>
      </c>
    </row>
    <row r="311" spans="1:19" hidden="1">
      <c r="A311" t="s">
        <v>1758</v>
      </c>
      <c r="B311" t="s">
        <v>3748</v>
      </c>
      <c r="C311" t="s">
        <v>1469</v>
      </c>
      <c r="D311" t="s">
        <v>3422</v>
      </c>
      <c r="F311" s="422">
        <v>45535</v>
      </c>
      <c r="G311" s="422">
        <v>45425</v>
      </c>
      <c r="H311" t="s">
        <v>1484</v>
      </c>
      <c r="K311" t="s">
        <v>3405</v>
      </c>
      <c r="L311" t="s">
        <v>3749</v>
      </c>
      <c r="M311">
        <v>0</v>
      </c>
      <c r="N311">
        <v>711</v>
      </c>
      <c r="O311" t="str">
        <f>_xlfn.IFNA(VLOOKUP(Table2[[#This Row],[Lead Source]],'helper tab'!A:B,2,FALSE),"Exclude")</f>
        <v>Exclude</v>
      </c>
      <c r="P311" s="476">
        <f ca="1">TODAY() - Table2[[#This Row],[Created Date]]</f>
        <v>833</v>
      </c>
      <c r="Q311">
        <f>IF(OR(Table2[[#This Row],[Stage]]="Propose",Table2[[#This Row],[Stage]]="Procure"),1,0)</f>
        <v>0</v>
      </c>
      <c r="R311">
        <f>IF(Table2[[#This Row],[Stage]]="Closed Won",1,0)</f>
        <v>0</v>
      </c>
      <c r="S311" t="b">
        <f>IFERROR(_xlfn.XLOOKUP(Table2[[#This Row],[Opportunity ID]],'Aging Detail'!$H$14:$H$20,'Aging Detail'!$F$14:$F$20),TRUE)</f>
        <v>1</v>
      </c>
    </row>
    <row r="312" spans="1:19" hidden="1">
      <c r="A312" t="s">
        <v>3750</v>
      </c>
      <c r="B312" t="s">
        <v>3751</v>
      </c>
      <c r="C312" t="s">
        <v>563</v>
      </c>
      <c r="D312" t="s">
        <v>3604</v>
      </c>
      <c r="E312">
        <v>1430731</v>
      </c>
      <c r="F312" s="422">
        <v>45460</v>
      </c>
      <c r="G312" s="422">
        <v>44922</v>
      </c>
      <c r="K312" t="s">
        <v>3405</v>
      </c>
      <c r="L312" t="s">
        <v>3752</v>
      </c>
      <c r="M312">
        <v>1430751.74</v>
      </c>
      <c r="N312">
        <v>1315</v>
      </c>
      <c r="O312" t="str">
        <f>_xlfn.IFNA(VLOOKUP(Table2[[#This Row],[Lead Source]],'helper tab'!A:B,2,FALSE),"Exclude")</f>
        <v>Exclude</v>
      </c>
      <c r="P312" s="476">
        <f ca="1">TODAY() - Table2[[#This Row],[Created Date]]</f>
        <v>1336</v>
      </c>
      <c r="Q312">
        <f>IF(OR(Table2[[#This Row],[Stage]]="Propose",Table2[[#This Row],[Stage]]="Procure"),1,0)</f>
        <v>0</v>
      </c>
      <c r="R312">
        <f>IF(Table2[[#This Row],[Stage]]="Closed Won",1,0)</f>
        <v>1</v>
      </c>
      <c r="S312" t="b">
        <f>IFERROR(_xlfn.XLOOKUP(Table2[[#This Row],[Opportunity ID]],'Aging Detail'!$H$14:$H$20,'Aging Detail'!$F$14:$F$20),TRUE)</f>
        <v>1</v>
      </c>
    </row>
    <row r="313" spans="1:19" hidden="1">
      <c r="A313" t="s">
        <v>3497</v>
      </c>
      <c r="B313" t="s">
        <v>3753</v>
      </c>
      <c r="C313" t="s">
        <v>563</v>
      </c>
      <c r="D313" t="s">
        <v>3472</v>
      </c>
      <c r="F313" s="422">
        <v>45358</v>
      </c>
      <c r="G313" s="422">
        <v>45342</v>
      </c>
      <c r="H313" t="s">
        <v>1484</v>
      </c>
      <c r="K313" t="s">
        <v>3405</v>
      </c>
      <c r="L313" t="s">
        <v>3754</v>
      </c>
      <c r="M313">
        <v>0</v>
      </c>
      <c r="N313">
        <v>895</v>
      </c>
      <c r="O313" t="str">
        <f>_xlfn.IFNA(VLOOKUP(Table2[[#This Row],[Lead Source]],'helper tab'!A:B,2,FALSE),"Exclude")</f>
        <v>Exclude</v>
      </c>
      <c r="P313" s="476">
        <f ca="1">TODAY() - Table2[[#This Row],[Created Date]]</f>
        <v>916</v>
      </c>
      <c r="Q313">
        <f>IF(OR(Table2[[#This Row],[Stage]]="Propose",Table2[[#This Row],[Stage]]="Procure"),1,0)</f>
        <v>0</v>
      </c>
      <c r="R313">
        <f>IF(Table2[[#This Row],[Stage]]="Closed Won",1,0)</f>
        <v>1</v>
      </c>
      <c r="S313" t="b">
        <f>IFERROR(_xlfn.XLOOKUP(Table2[[#This Row],[Opportunity ID]],'Aging Detail'!$H$14:$H$20,'Aging Detail'!$F$14:$F$20),TRUE)</f>
        <v>1</v>
      </c>
    </row>
    <row r="314" spans="1:19" hidden="1">
      <c r="A314" t="s">
        <v>2706</v>
      </c>
      <c r="B314" t="s">
        <v>3755</v>
      </c>
      <c r="C314" t="s">
        <v>1472</v>
      </c>
      <c r="D314" t="s">
        <v>3612</v>
      </c>
      <c r="F314" s="422">
        <v>45291</v>
      </c>
      <c r="G314" s="422">
        <v>45149</v>
      </c>
      <c r="H314" t="s">
        <v>1484</v>
      </c>
      <c r="J314" t="s">
        <v>3756</v>
      </c>
      <c r="K314" t="s">
        <v>3405</v>
      </c>
      <c r="L314" t="s">
        <v>3757</v>
      </c>
      <c r="M314">
        <v>0</v>
      </c>
      <c r="N314">
        <v>1088</v>
      </c>
      <c r="O314" t="str">
        <f>_xlfn.IFNA(VLOOKUP(Table2[[#This Row],[Lead Source]],'helper tab'!A:B,2,FALSE),"Exclude")</f>
        <v>Exclude</v>
      </c>
      <c r="P314" s="476">
        <f ca="1">TODAY() - Table2[[#This Row],[Created Date]]</f>
        <v>1109</v>
      </c>
      <c r="Q314">
        <f>IF(OR(Table2[[#This Row],[Stage]]="Propose",Table2[[#This Row],[Stage]]="Procure"),1,0)</f>
        <v>0</v>
      </c>
      <c r="R314">
        <f>IF(Table2[[#This Row],[Stage]]="Closed Won",1,0)</f>
        <v>0</v>
      </c>
      <c r="S314" t="b">
        <f>IFERROR(_xlfn.XLOOKUP(Table2[[#This Row],[Opportunity ID]],'Aging Detail'!$H$14:$H$20,'Aging Detail'!$F$14:$F$20),TRUE)</f>
        <v>1</v>
      </c>
    </row>
    <row r="315" spans="1:19" hidden="1">
      <c r="A315" t="s">
        <v>2203</v>
      </c>
      <c r="B315" t="s">
        <v>3758</v>
      </c>
      <c r="C315" t="s">
        <v>563</v>
      </c>
      <c r="D315" t="s">
        <v>3612</v>
      </c>
      <c r="F315" s="422">
        <v>45278</v>
      </c>
      <c r="G315" s="422">
        <v>45139</v>
      </c>
      <c r="H315" t="s">
        <v>1486</v>
      </c>
      <c r="K315" t="s">
        <v>3405</v>
      </c>
      <c r="L315" t="s">
        <v>3759</v>
      </c>
      <c r="M315">
        <v>0</v>
      </c>
      <c r="N315">
        <v>1098</v>
      </c>
      <c r="O315" t="str">
        <f>_xlfn.IFNA(VLOOKUP(Table2[[#This Row],[Lead Source]],'helper tab'!A:B,2,FALSE),"Exclude")</f>
        <v>Exclude</v>
      </c>
      <c r="P315" s="476">
        <f ca="1">TODAY() - Table2[[#This Row],[Created Date]]</f>
        <v>1119</v>
      </c>
      <c r="Q315">
        <f>IF(OR(Table2[[#This Row],[Stage]]="Propose",Table2[[#This Row],[Stage]]="Procure"),1,0)</f>
        <v>0</v>
      </c>
      <c r="R315">
        <f>IF(Table2[[#This Row],[Stage]]="Closed Won",1,0)</f>
        <v>1</v>
      </c>
      <c r="S315" t="b">
        <f>IFERROR(_xlfn.XLOOKUP(Table2[[#This Row],[Opportunity ID]],'Aging Detail'!$H$14:$H$20,'Aging Detail'!$F$14:$F$20),TRUE)</f>
        <v>1</v>
      </c>
    </row>
    <row r="316" spans="1:19" hidden="1">
      <c r="A316" t="s">
        <v>3760</v>
      </c>
      <c r="B316" t="s">
        <v>3761</v>
      </c>
      <c r="C316" t="s">
        <v>563</v>
      </c>
      <c r="D316" t="s">
        <v>3612</v>
      </c>
      <c r="F316" s="422">
        <v>45251</v>
      </c>
      <c r="G316" s="422">
        <v>45189</v>
      </c>
      <c r="H316" t="s">
        <v>1484</v>
      </c>
      <c r="K316" t="s">
        <v>3405</v>
      </c>
      <c r="L316" t="s">
        <v>3762</v>
      </c>
      <c r="M316">
        <v>0</v>
      </c>
      <c r="N316">
        <v>1048</v>
      </c>
      <c r="O316" t="str">
        <f>_xlfn.IFNA(VLOOKUP(Table2[[#This Row],[Lead Source]],'helper tab'!A:B,2,FALSE),"Exclude")</f>
        <v>Exclude</v>
      </c>
      <c r="P316" s="476">
        <f ca="1">TODAY() - Table2[[#This Row],[Created Date]]</f>
        <v>1069</v>
      </c>
      <c r="Q316">
        <f>IF(OR(Table2[[#This Row],[Stage]]="Propose",Table2[[#This Row],[Stage]]="Procure"),1,0)</f>
        <v>0</v>
      </c>
      <c r="R316">
        <f>IF(Table2[[#This Row],[Stage]]="Closed Won",1,0)</f>
        <v>1</v>
      </c>
      <c r="S316" t="b">
        <f>IFERROR(_xlfn.XLOOKUP(Table2[[#This Row],[Opportunity ID]],'Aging Detail'!$H$14:$H$20,'Aging Detail'!$F$14:$F$20),TRUE)</f>
        <v>1</v>
      </c>
    </row>
    <row r="317" spans="1:19" hidden="1">
      <c r="A317" t="s">
        <v>1604</v>
      </c>
      <c r="B317" t="s">
        <v>3763</v>
      </c>
      <c r="C317" t="s">
        <v>563</v>
      </c>
      <c r="D317" t="s">
        <v>3617</v>
      </c>
      <c r="F317" s="422">
        <v>45170</v>
      </c>
      <c r="G317" s="422">
        <v>44049</v>
      </c>
      <c r="K317" t="s">
        <v>3405</v>
      </c>
      <c r="L317" t="s">
        <v>3764</v>
      </c>
      <c r="M317">
        <v>0</v>
      </c>
      <c r="N317">
        <v>2188</v>
      </c>
      <c r="O317" t="str">
        <f>_xlfn.IFNA(VLOOKUP(Table2[[#This Row],[Lead Source]],'helper tab'!A:B,2,FALSE),"Exclude")</f>
        <v>Exclude</v>
      </c>
      <c r="P317" s="476">
        <f ca="1">TODAY() - Table2[[#This Row],[Created Date]]</f>
        <v>2209</v>
      </c>
      <c r="Q317">
        <f>IF(OR(Table2[[#This Row],[Stage]]="Propose",Table2[[#This Row],[Stage]]="Procure"),1,0)</f>
        <v>0</v>
      </c>
      <c r="R317">
        <f>IF(Table2[[#This Row],[Stage]]="Closed Won",1,0)</f>
        <v>1</v>
      </c>
      <c r="S317" t="b">
        <f>IFERROR(_xlfn.XLOOKUP(Table2[[#This Row],[Opportunity ID]],'Aging Detail'!$H$14:$H$20,'Aging Detail'!$F$14:$F$20),TRUE)</f>
        <v>1</v>
      </c>
    </row>
    <row r="318" spans="1:19" hidden="1">
      <c r="A318" t="s">
        <v>1604</v>
      </c>
      <c r="B318" t="s">
        <v>3765</v>
      </c>
      <c r="C318" t="s">
        <v>563</v>
      </c>
      <c r="D318" t="s">
        <v>3617</v>
      </c>
      <c r="F318" s="422">
        <v>45170</v>
      </c>
      <c r="G318" s="422">
        <v>44042</v>
      </c>
      <c r="K318" t="s">
        <v>3405</v>
      </c>
      <c r="L318" t="s">
        <v>3766</v>
      </c>
      <c r="M318">
        <v>0</v>
      </c>
      <c r="N318">
        <v>2195</v>
      </c>
      <c r="O318" t="str">
        <f>_xlfn.IFNA(VLOOKUP(Table2[[#This Row],[Lead Source]],'helper tab'!A:B,2,FALSE),"Exclude")</f>
        <v>Exclude</v>
      </c>
      <c r="P318" s="476">
        <f ca="1">TODAY() - Table2[[#This Row],[Created Date]]</f>
        <v>2216</v>
      </c>
      <c r="Q318">
        <f>IF(OR(Table2[[#This Row],[Stage]]="Propose",Table2[[#This Row],[Stage]]="Procure"),1,0)</f>
        <v>0</v>
      </c>
      <c r="R318">
        <f>IF(Table2[[#This Row],[Stage]]="Closed Won",1,0)</f>
        <v>1</v>
      </c>
      <c r="S318" t="b">
        <f>IFERROR(_xlfn.XLOOKUP(Table2[[#This Row],[Opportunity ID]],'Aging Detail'!$H$14:$H$20,'Aging Detail'!$F$14:$F$20),TRUE)</f>
        <v>1</v>
      </c>
    </row>
    <row r="319" spans="1:19" hidden="1">
      <c r="A319" t="s">
        <v>1604</v>
      </c>
      <c r="B319" t="s">
        <v>3767</v>
      </c>
      <c r="C319" t="s">
        <v>563</v>
      </c>
      <c r="D319" t="s">
        <v>3617</v>
      </c>
      <c r="F319" s="422">
        <v>45170</v>
      </c>
      <c r="G319" s="422">
        <v>44007</v>
      </c>
      <c r="K319" t="s">
        <v>3405</v>
      </c>
      <c r="L319" t="s">
        <v>3768</v>
      </c>
      <c r="M319">
        <v>0</v>
      </c>
      <c r="N319">
        <v>2230</v>
      </c>
      <c r="O319" t="str">
        <f>_xlfn.IFNA(VLOOKUP(Table2[[#This Row],[Lead Source]],'helper tab'!A:B,2,FALSE),"Exclude")</f>
        <v>Exclude</v>
      </c>
      <c r="P319" s="476">
        <f ca="1">TODAY() - Table2[[#This Row],[Created Date]]</f>
        <v>2251</v>
      </c>
      <c r="Q319">
        <f>IF(OR(Table2[[#This Row],[Stage]]="Propose",Table2[[#This Row],[Stage]]="Procure"),1,0)</f>
        <v>0</v>
      </c>
      <c r="R319">
        <f>IF(Table2[[#This Row],[Stage]]="Closed Won",1,0)</f>
        <v>1</v>
      </c>
      <c r="S319" t="b">
        <f>IFERROR(_xlfn.XLOOKUP(Table2[[#This Row],[Opportunity ID]],'Aging Detail'!$H$14:$H$20,'Aging Detail'!$F$14:$F$20),TRUE)</f>
        <v>1</v>
      </c>
    </row>
    <row r="320" spans="1:19" hidden="1">
      <c r="A320" t="s">
        <v>1604</v>
      </c>
      <c r="B320" t="s">
        <v>3769</v>
      </c>
      <c r="C320" t="s">
        <v>563</v>
      </c>
      <c r="D320" t="s">
        <v>3617</v>
      </c>
      <c r="F320" s="422">
        <v>45170</v>
      </c>
      <c r="G320" s="422">
        <v>43978</v>
      </c>
      <c r="K320" t="s">
        <v>3405</v>
      </c>
      <c r="L320" t="s">
        <v>3770</v>
      </c>
      <c r="M320">
        <v>0</v>
      </c>
      <c r="N320">
        <v>2259</v>
      </c>
      <c r="O320" t="str">
        <f>_xlfn.IFNA(VLOOKUP(Table2[[#This Row],[Lead Source]],'helper tab'!A:B,2,FALSE),"Exclude")</f>
        <v>Exclude</v>
      </c>
      <c r="P320" s="476">
        <f ca="1">TODAY() - Table2[[#This Row],[Created Date]]</f>
        <v>2280</v>
      </c>
      <c r="Q320">
        <f>IF(OR(Table2[[#This Row],[Stage]]="Propose",Table2[[#This Row],[Stage]]="Procure"),1,0)</f>
        <v>0</v>
      </c>
      <c r="R320">
        <f>IF(Table2[[#This Row],[Stage]]="Closed Won",1,0)</f>
        <v>1</v>
      </c>
      <c r="S320" t="b">
        <f>IFERROR(_xlfn.XLOOKUP(Table2[[#This Row],[Opportunity ID]],'Aging Detail'!$H$14:$H$20,'Aging Detail'!$F$14:$F$20),TRUE)</f>
        <v>1</v>
      </c>
    </row>
    <row r="321" spans="1:19" hidden="1">
      <c r="A321" t="s">
        <v>1604</v>
      </c>
      <c r="B321" t="s">
        <v>3771</v>
      </c>
      <c r="C321" t="s">
        <v>563</v>
      </c>
      <c r="D321" t="s">
        <v>3617</v>
      </c>
      <c r="F321" s="422">
        <v>45169</v>
      </c>
      <c r="G321" s="422">
        <v>45092</v>
      </c>
      <c r="H321" t="s">
        <v>1484</v>
      </c>
      <c r="K321" t="s">
        <v>3405</v>
      </c>
      <c r="L321" t="s">
        <v>3772</v>
      </c>
      <c r="M321">
        <v>0</v>
      </c>
      <c r="N321">
        <v>1145</v>
      </c>
      <c r="O321" t="str">
        <f>_xlfn.IFNA(VLOOKUP(Table2[[#This Row],[Lead Source]],'helper tab'!A:B,2,FALSE),"Exclude")</f>
        <v>Exclude</v>
      </c>
      <c r="P321" s="476">
        <f ca="1">TODAY() - Table2[[#This Row],[Created Date]]</f>
        <v>1166</v>
      </c>
      <c r="Q321">
        <f>IF(OR(Table2[[#This Row],[Stage]]="Propose",Table2[[#This Row],[Stage]]="Procure"),1,0)</f>
        <v>0</v>
      </c>
      <c r="R321">
        <f>IF(Table2[[#This Row],[Stage]]="Closed Won",1,0)</f>
        <v>1</v>
      </c>
      <c r="S321" t="b">
        <f>IFERROR(_xlfn.XLOOKUP(Table2[[#This Row],[Opportunity ID]],'Aging Detail'!$H$14:$H$20,'Aging Detail'!$F$14:$F$20),TRUE)</f>
        <v>1</v>
      </c>
    </row>
    <row r="322" spans="1:19" hidden="1">
      <c r="A322" t="s">
        <v>1604</v>
      </c>
      <c r="B322" t="s">
        <v>3773</v>
      </c>
      <c r="C322" t="s">
        <v>563</v>
      </c>
      <c r="D322" t="s">
        <v>3617</v>
      </c>
      <c r="F322" s="422">
        <v>45169</v>
      </c>
      <c r="G322" s="422">
        <v>45068</v>
      </c>
      <c r="H322" t="s">
        <v>1486</v>
      </c>
      <c r="K322" t="s">
        <v>3405</v>
      </c>
      <c r="L322" t="s">
        <v>3774</v>
      </c>
      <c r="M322">
        <v>0</v>
      </c>
      <c r="N322">
        <v>1169</v>
      </c>
      <c r="O322" t="str">
        <f>_xlfn.IFNA(VLOOKUP(Table2[[#This Row],[Lead Source]],'helper tab'!A:B,2,FALSE),"Exclude")</f>
        <v>Exclude</v>
      </c>
      <c r="P322" s="476">
        <f ca="1">TODAY() - Table2[[#This Row],[Created Date]]</f>
        <v>1190</v>
      </c>
      <c r="Q322">
        <f>IF(OR(Table2[[#This Row],[Stage]]="Propose",Table2[[#This Row],[Stage]]="Procure"),1,0)</f>
        <v>0</v>
      </c>
      <c r="R322">
        <f>IF(Table2[[#This Row],[Stage]]="Closed Won",1,0)</f>
        <v>1</v>
      </c>
      <c r="S322" t="b">
        <f>IFERROR(_xlfn.XLOOKUP(Table2[[#This Row],[Opportunity ID]],'Aging Detail'!$H$14:$H$20,'Aging Detail'!$F$14:$F$20),TRUE)</f>
        <v>1</v>
      </c>
    </row>
    <row r="323" spans="1:19" hidden="1">
      <c r="A323" t="s">
        <v>3497</v>
      </c>
      <c r="B323" t="s">
        <v>3775</v>
      </c>
      <c r="C323" t="s">
        <v>563</v>
      </c>
      <c r="D323" t="s">
        <v>3776</v>
      </c>
      <c r="F323" s="422">
        <v>45070</v>
      </c>
      <c r="G323" s="422">
        <v>45009</v>
      </c>
      <c r="H323" t="s">
        <v>1486</v>
      </c>
      <c r="K323" t="s">
        <v>3405</v>
      </c>
      <c r="L323" t="s">
        <v>3777</v>
      </c>
      <c r="M323">
        <v>0</v>
      </c>
      <c r="N323">
        <v>1228</v>
      </c>
      <c r="O323" t="str">
        <f>_xlfn.IFNA(VLOOKUP(Table2[[#This Row],[Lead Source]],'helper tab'!A:B,2,FALSE),"Exclude")</f>
        <v>Exclude</v>
      </c>
      <c r="P323" s="476">
        <f ca="1">TODAY() - Table2[[#This Row],[Created Date]]</f>
        <v>1249</v>
      </c>
      <c r="Q323">
        <f>IF(OR(Table2[[#This Row],[Stage]]="Propose",Table2[[#This Row],[Stage]]="Procure"),1,0)</f>
        <v>0</v>
      </c>
      <c r="R323">
        <f>IF(Table2[[#This Row],[Stage]]="Closed Won",1,0)</f>
        <v>1</v>
      </c>
      <c r="S323" t="b">
        <f>IFERROR(_xlfn.XLOOKUP(Table2[[#This Row],[Opportunity ID]],'Aging Detail'!$H$14:$H$20,'Aging Detail'!$F$14:$F$20),TRUE)</f>
        <v>1</v>
      </c>
    </row>
    <row r="324" spans="1:19" hidden="1">
      <c r="A324" t="s">
        <v>1758</v>
      </c>
      <c r="B324" t="s">
        <v>3778</v>
      </c>
      <c r="C324" t="s">
        <v>563</v>
      </c>
      <c r="D324" t="s">
        <v>3776</v>
      </c>
      <c r="F324" s="422">
        <v>45028</v>
      </c>
      <c r="G324" s="422">
        <v>44816</v>
      </c>
      <c r="H324" t="s">
        <v>1484</v>
      </c>
      <c r="K324" t="s">
        <v>3405</v>
      </c>
      <c r="L324" t="s">
        <v>3779</v>
      </c>
      <c r="M324">
        <v>0</v>
      </c>
      <c r="N324">
        <v>1421</v>
      </c>
      <c r="O324" t="str">
        <f>_xlfn.IFNA(VLOOKUP(Table2[[#This Row],[Lead Source]],'helper tab'!A:B,2,FALSE),"Exclude")</f>
        <v>Exclude</v>
      </c>
      <c r="P324" s="476">
        <f ca="1">TODAY() - Table2[[#This Row],[Created Date]]</f>
        <v>1442</v>
      </c>
      <c r="Q324">
        <f>IF(OR(Table2[[#This Row],[Stage]]="Propose",Table2[[#This Row],[Stage]]="Procure"),1,0)</f>
        <v>0</v>
      </c>
      <c r="R324">
        <f>IF(Table2[[#This Row],[Stage]]="Closed Won",1,0)</f>
        <v>1</v>
      </c>
      <c r="S324" t="b">
        <f>IFERROR(_xlfn.XLOOKUP(Table2[[#This Row],[Opportunity ID]],'Aging Detail'!$H$14:$H$20,'Aging Detail'!$F$14:$F$20),TRUE)</f>
        <v>1</v>
      </c>
    </row>
    <row r="325" spans="1:19" hidden="1">
      <c r="A325" t="s">
        <v>2706</v>
      </c>
      <c r="B325" t="s">
        <v>3780</v>
      </c>
      <c r="C325" t="s">
        <v>563</v>
      </c>
      <c r="D325" t="s">
        <v>3371</v>
      </c>
      <c r="F325" s="422">
        <v>45014</v>
      </c>
      <c r="G325" s="422">
        <v>44263</v>
      </c>
      <c r="H325" t="s">
        <v>1486</v>
      </c>
      <c r="K325" t="s">
        <v>3405</v>
      </c>
      <c r="L325" t="s">
        <v>3781</v>
      </c>
      <c r="M325">
        <v>0</v>
      </c>
      <c r="N325">
        <v>1974</v>
      </c>
      <c r="O325" t="str">
        <f>_xlfn.IFNA(VLOOKUP(Table2[[#This Row],[Lead Source]],'helper tab'!A:B,2,FALSE),"Exclude")</f>
        <v>Exclude</v>
      </c>
      <c r="P325" s="476">
        <f ca="1">TODAY() - Table2[[#This Row],[Created Date]]</f>
        <v>1995</v>
      </c>
      <c r="Q325">
        <f>IF(OR(Table2[[#This Row],[Stage]]="Propose",Table2[[#This Row],[Stage]]="Procure"),1,0)</f>
        <v>0</v>
      </c>
      <c r="R325">
        <f>IF(Table2[[#This Row],[Stage]]="Closed Won",1,0)</f>
        <v>1</v>
      </c>
      <c r="S325" t="b">
        <f>IFERROR(_xlfn.XLOOKUP(Table2[[#This Row],[Opportunity ID]],'Aging Detail'!$H$14:$H$20,'Aging Detail'!$F$14:$F$20),TRUE)</f>
        <v>1</v>
      </c>
    </row>
    <row r="326" spans="1:19" hidden="1">
      <c r="A326" t="s">
        <v>1604</v>
      </c>
      <c r="B326" t="s">
        <v>3782</v>
      </c>
      <c r="C326" t="s">
        <v>563</v>
      </c>
      <c r="D326" t="s">
        <v>3371</v>
      </c>
      <c r="F326" s="422">
        <v>44981</v>
      </c>
      <c r="G326" s="422">
        <v>44839</v>
      </c>
      <c r="K326" t="s">
        <v>3405</v>
      </c>
      <c r="L326" t="s">
        <v>3783</v>
      </c>
      <c r="M326">
        <v>0</v>
      </c>
      <c r="N326">
        <v>1398</v>
      </c>
      <c r="O326" t="str">
        <f>_xlfn.IFNA(VLOOKUP(Table2[[#This Row],[Lead Source]],'helper tab'!A:B,2,FALSE),"Exclude")</f>
        <v>Exclude</v>
      </c>
      <c r="P326" s="476">
        <f ca="1">TODAY() - Table2[[#This Row],[Created Date]]</f>
        <v>1419</v>
      </c>
      <c r="Q326">
        <f>IF(OR(Table2[[#This Row],[Stage]]="Propose",Table2[[#This Row],[Stage]]="Procure"),1,0)</f>
        <v>0</v>
      </c>
      <c r="R326">
        <f>IF(Table2[[#This Row],[Stage]]="Closed Won",1,0)</f>
        <v>1</v>
      </c>
      <c r="S326" t="b">
        <f>IFERROR(_xlfn.XLOOKUP(Table2[[#This Row],[Opportunity ID]],'Aging Detail'!$H$14:$H$20,'Aging Detail'!$F$14:$F$20),TRUE)</f>
        <v>1</v>
      </c>
    </row>
    <row r="327" spans="1:19" hidden="1">
      <c r="A327" t="s">
        <v>1758</v>
      </c>
      <c r="B327" t="s">
        <v>3784</v>
      </c>
      <c r="C327" t="s">
        <v>408</v>
      </c>
      <c r="D327" t="s">
        <v>3399</v>
      </c>
      <c r="F327" s="422">
        <v>44926</v>
      </c>
      <c r="G327" s="422">
        <v>44845</v>
      </c>
      <c r="H327" t="s">
        <v>1486</v>
      </c>
      <c r="K327" t="s">
        <v>3405</v>
      </c>
      <c r="L327" t="s">
        <v>3785</v>
      </c>
      <c r="M327">
        <v>0</v>
      </c>
      <c r="N327">
        <v>1392</v>
      </c>
      <c r="O327" t="str">
        <f>_xlfn.IFNA(VLOOKUP(Table2[[#This Row],[Lead Source]],'helper tab'!A:B,2,FALSE),"Exclude")</f>
        <v>Exclude</v>
      </c>
      <c r="P327" s="476">
        <f ca="1">TODAY() - Table2[[#This Row],[Created Date]]</f>
        <v>1413</v>
      </c>
      <c r="Q327">
        <f>IF(OR(Table2[[#This Row],[Stage]]="Propose",Table2[[#This Row],[Stage]]="Procure"),1,0)</f>
        <v>0</v>
      </c>
      <c r="R327">
        <f>IF(Table2[[#This Row],[Stage]]="Closed Won",1,0)</f>
        <v>0</v>
      </c>
      <c r="S327" t="b">
        <f>IFERROR(_xlfn.XLOOKUP(Table2[[#This Row],[Opportunity ID]],'Aging Detail'!$H$14:$H$20,'Aging Detail'!$F$14:$F$20),TRUE)</f>
        <v>1</v>
      </c>
    </row>
    <row r="328" spans="1:19" hidden="1">
      <c r="A328" t="s">
        <v>1604</v>
      </c>
      <c r="B328" t="s">
        <v>3786</v>
      </c>
      <c r="C328" t="s">
        <v>563</v>
      </c>
      <c r="D328" t="s">
        <v>3399</v>
      </c>
      <c r="F328" s="422">
        <v>44837</v>
      </c>
      <c r="G328" s="422">
        <v>44613</v>
      </c>
      <c r="H328" t="s">
        <v>1484</v>
      </c>
      <c r="K328" t="s">
        <v>3405</v>
      </c>
      <c r="L328" t="s">
        <v>3787</v>
      </c>
      <c r="M328">
        <v>0</v>
      </c>
      <c r="N328">
        <v>1624</v>
      </c>
      <c r="O328" t="str">
        <f>_xlfn.IFNA(VLOOKUP(Table2[[#This Row],[Lead Source]],'helper tab'!A:B,2,FALSE),"Exclude")</f>
        <v>Exclude</v>
      </c>
      <c r="P328" s="476">
        <f ca="1">TODAY() - Table2[[#This Row],[Created Date]]</f>
        <v>1645</v>
      </c>
      <c r="Q328">
        <f>IF(OR(Table2[[#This Row],[Stage]]="Propose",Table2[[#This Row],[Stage]]="Procure"),1,0)</f>
        <v>0</v>
      </c>
      <c r="R328">
        <f>IF(Table2[[#This Row],[Stage]]="Closed Won",1,0)</f>
        <v>1</v>
      </c>
      <c r="S328" t="b">
        <f>IFERROR(_xlfn.XLOOKUP(Table2[[#This Row],[Opportunity ID]],'Aging Detail'!$H$14:$H$20,'Aging Detail'!$F$14:$F$20),TRUE)</f>
        <v>1</v>
      </c>
    </row>
    <row r="329" spans="1:19" hidden="1">
      <c r="A329" t="s">
        <v>3750</v>
      </c>
      <c r="B329" t="s">
        <v>3788</v>
      </c>
      <c r="C329" t="s">
        <v>563</v>
      </c>
      <c r="D329" t="s">
        <v>3789</v>
      </c>
      <c r="F329" s="422">
        <v>44789</v>
      </c>
      <c r="G329" s="422">
        <v>44781</v>
      </c>
      <c r="H329" t="s">
        <v>1484</v>
      </c>
      <c r="K329" t="s">
        <v>3405</v>
      </c>
      <c r="L329" t="s">
        <v>3790</v>
      </c>
      <c r="M329">
        <v>0</v>
      </c>
      <c r="N329">
        <v>1456</v>
      </c>
      <c r="O329" t="str">
        <f>_xlfn.IFNA(VLOOKUP(Table2[[#This Row],[Lead Source]],'helper tab'!A:B,2,FALSE),"Exclude")</f>
        <v>Exclude</v>
      </c>
      <c r="P329" s="476">
        <f ca="1">TODAY() - Table2[[#This Row],[Created Date]]</f>
        <v>1477</v>
      </c>
      <c r="Q329">
        <f>IF(OR(Table2[[#This Row],[Stage]]="Propose",Table2[[#This Row],[Stage]]="Procure"),1,0)</f>
        <v>0</v>
      </c>
      <c r="R329">
        <f>IF(Table2[[#This Row],[Stage]]="Closed Won",1,0)</f>
        <v>1</v>
      </c>
      <c r="S329" t="b">
        <f>IFERROR(_xlfn.XLOOKUP(Table2[[#This Row],[Opportunity ID]],'Aging Detail'!$H$14:$H$20,'Aging Detail'!$F$14:$F$20),TRUE)</f>
        <v>1</v>
      </c>
    </row>
    <row r="330" spans="1:19" hidden="1">
      <c r="A330" t="s">
        <v>3760</v>
      </c>
      <c r="B330" t="s">
        <v>3791</v>
      </c>
      <c r="C330" t="s">
        <v>563</v>
      </c>
      <c r="D330" t="s">
        <v>3404</v>
      </c>
      <c r="F330" s="422">
        <v>44705</v>
      </c>
      <c r="G330" s="422">
        <v>44614</v>
      </c>
      <c r="H330" t="s">
        <v>1486</v>
      </c>
      <c r="K330" t="s">
        <v>3405</v>
      </c>
      <c r="L330" t="s">
        <v>3792</v>
      </c>
      <c r="M330">
        <v>0</v>
      </c>
      <c r="N330">
        <v>1623</v>
      </c>
      <c r="O330" t="str">
        <f>_xlfn.IFNA(VLOOKUP(Table2[[#This Row],[Lead Source]],'helper tab'!A:B,2,FALSE),"Exclude")</f>
        <v>Exclude</v>
      </c>
      <c r="P330" s="476">
        <f ca="1">TODAY() - Table2[[#This Row],[Created Date]]</f>
        <v>1644</v>
      </c>
      <c r="Q330">
        <f>IF(OR(Table2[[#This Row],[Stage]]="Propose",Table2[[#This Row],[Stage]]="Procure"),1,0)</f>
        <v>0</v>
      </c>
      <c r="R330">
        <f>IF(Table2[[#This Row],[Stage]]="Closed Won",1,0)</f>
        <v>1</v>
      </c>
      <c r="S330" t="b">
        <f>IFERROR(_xlfn.XLOOKUP(Table2[[#This Row],[Opportunity ID]],'Aging Detail'!$H$14:$H$20,'Aging Detail'!$F$14:$F$20),TRUE)</f>
        <v>1</v>
      </c>
    </row>
    <row r="331" spans="1:19" hidden="1">
      <c r="A331" t="s">
        <v>1758</v>
      </c>
      <c r="B331" t="s">
        <v>3793</v>
      </c>
      <c r="C331" t="s">
        <v>563</v>
      </c>
      <c r="D331" t="s">
        <v>3499</v>
      </c>
      <c r="F331" s="422">
        <v>44651</v>
      </c>
      <c r="G331" s="422">
        <v>44482</v>
      </c>
      <c r="K331" t="s">
        <v>3405</v>
      </c>
      <c r="L331" t="s">
        <v>3794</v>
      </c>
      <c r="M331">
        <v>0</v>
      </c>
      <c r="N331">
        <v>1755</v>
      </c>
      <c r="O331" t="str">
        <f>_xlfn.IFNA(VLOOKUP(Table2[[#This Row],[Lead Source]],'helper tab'!A:B,2,FALSE),"Exclude")</f>
        <v>Exclude</v>
      </c>
      <c r="P331" s="476">
        <f ca="1">TODAY() - Table2[[#This Row],[Created Date]]</f>
        <v>1776</v>
      </c>
      <c r="Q331">
        <f>IF(OR(Table2[[#This Row],[Stage]]="Propose",Table2[[#This Row],[Stage]]="Procure"),1,0)</f>
        <v>0</v>
      </c>
      <c r="R331">
        <f>IF(Table2[[#This Row],[Stage]]="Closed Won",1,0)</f>
        <v>1</v>
      </c>
      <c r="S331" t="b">
        <f>IFERROR(_xlfn.XLOOKUP(Table2[[#This Row],[Opportunity ID]],'Aging Detail'!$H$14:$H$20,'Aging Detail'!$F$14:$F$20),TRUE)</f>
        <v>1</v>
      </c>
    </row>
    <row r="332" spans="1:19" hidden="1">
      <c r="A332" t="s">
        <v>2065</v>
      </c>
      <c r="B332" t="s">
        <v>3795</v>
      </c>
      <c r="C332" t="s">
        <v>563</v>
      </c>
      <c r="D332" t="s">
        <v>3499</v>
      </c>
      <c r="F332" s="422">
        <v>44607</v>
      </c>
      <c r="G332" s="422">
        <v>44540</v>
      </c>
      <c r="H332" t="s">
        <v>1463</v>
      </c>
      <c r="K332" t="s">
        <v>3405</v>
      </c>
      <c r="L332" t="s">
        <v>3796</v>
      </c>
      <c r="M332">
        <v>0</v>
      </c>
      <c r="N332">
        <v>1697</v>
      </c>
      <c r="O332" t="str">
        <f>_xlfn.IFNA(VLOOKUP(Table2[[#This Row],[Lead Source]],'helper tab'!A:B,2,FALSE),"Exclude")</f>
        <v>Cold</v>
      </c>
      <c r="P332" s="476">
        <f ca="1">TODAY() - Table2[[#This Row],[Created Date]]</f>
        <v>1718</v>
      </c>
      <c r="Q332">
        <f>IF(OR(Table2[[#This Row],[Stage]]="Propose",Table2[[#This Row],[Stage]]="Procure"),1,0)</f>
        <v>0</v>
      </c>
      <c r="R332">
        <f>IF(Table2[[#This Row],[Stage]]="Closed Won",1,0)</f>
        <v>1</v>
      </c>
      <c r="S332" t="b">
        <f>IFERROR(_xlfn.XLOOKUP(Table2[[#This Row],[Opportunity ID]],'Aging Detail'!$H$14:$H$20,'Aging Detail'!$F$14:$F$20),TRUE)</f>
        <v>1</v>
      </c>
    </row>
    <row r="333" spans="1:19" hidden="1">
      <c r="A333" t="s">
        <v>2065</v>
      </c>
      <c r="B333" t="s">
        <v>3797</v>
      </c>
      <c r="C333" t="s">
        <v>563</v>
      </c>
      <c r="D333" t="s">
        <v>3798</v>
      </c>
      <c r="F333" s="422">
        <v>44516</v>
      </c>
      <c r="G333" s="422">
        <v>44433</v>
      </c>
      <c r="H333" t="s">
        <v>1486</v>
      </c>
      <c r="K333" t="s">
        <v>3405</v>
      </c>
      <c r="L333" t="s">
        <v>3799</v>
      </c>
      <c r="M333">
        <v>0</v>
      </c>
      <c r="N333">
        <v>1804</v>
      </c>
      <c r="O333" t="str">
        <f>_xlfn.IFNA(VLOOKUP(Table2[[#This Row],[Lead Source]],'helper tab'!A:B,2,FALSE),"Exclude")</f>
        <v>Exclude</v>
      </c>
      <c r="P333" s="476">
        <f ca="1">TODAY() - Table2[[#This Row],[Created Date]]</f>
        <v>1825</v>
      </c>
      <c r="Q333">
        <f>IF(OR(Table2[[#This Row],[Stage]]="Propose",Table2[[#This Row],[Stage]]="Procure"),1,0)</f>
        <v>0</v>
      </c>
      <c r="R333">
        <f>IF(Table2[[#This Row],[Stage]]="Closed Won",1,0)</f>
        <v>1</v>
      </c>
      <c r="S333" t="b">
        <f>IFERROR(_xlfn.XLOOKUP(Table2[[#This Row],[Opportunity ID]],'Aging Detail'!$H$14:$H$20,'Aging Detail'!$F$14:$F$20),TRUE)</f>
        <v>1</v>
      </c>
    </row>
    <row r="334" spans="1:19" hidden="1">
      <c r="A334" t="s">
        <v>2065</v>
      </c>
      <c r="B334" t="s">
        <v>3800</v>
      </c>
      <c r="C334" t="s">
        <v>563</v>
      </c>
      <c r="D334" t="s">
        <v>3798</v>
      </c>
      <c r="F334" s="422">
        <v>44516</v>
      </c>
      <c r="G334" s="422">
        <v>44420</v>
      </c>
      <c r="K334" t="s">
        <v>3405</v>
      </c>
      <c r="L334" t="s">
        <v>3801</v>
      </c>
      <c r="M334">
        <v>0</v>
      </c>
      <c r="N334">
        <v>1817</v>
      </c>
      <c r="O334" t="str">
        <f>_xlfn.IFNA(VLOOKUP(Table2[[#This Row],[Lead Source]],'helper tab'!A:B,2,FALSE),"Exclude")</f>
        <v>Exclude</v>
      </c>
      <c r="P334" s="476">
        <f ca="1">TODAY() - Table2[[#This Row],[Created Date]]</f>
        <v>1838</v>
      </c>
      <c r="Q334">
        <f>IF(OR(Table2[[#This Row],[Stage]]="Propose",Table2[[#This Row],[Stage]]="Procure"),1,0)</f>
        <v>0</v>
      </c>
      <c r="R334">
        <f>IF(Table2[[#This Row],[Stage]]="Closed Won",1,0)</f>
        <v>1</v>
      </c>
      <c r="S334" t="b">
        <f>IFERROR(_xlfn.XLOOKUP(Table2[[#This Row],[Opportunity ID]],'Aging Detail'!$H$14:$H$20,'Aging Detail'!$F$14:$F$20),TRUE)</f>
        <v>1</v>
      </c>
    </row>
    <row r="335" spans="1:19" hidden="1">
      <c r="A335" t="s">
        <v>2065</v>
      </c>
      <c r="B335" t="s">
        <v>3802</v>
      </c>
      <c r="C335" t="s">
        <v>563</v>
      </c>
      <c r="D335" t="s">
        <v>3798</v>
      </c>
      <c r="F335" s="422">
        <v>44511</v>
      </c>
      <c r="G335" s="422">
        <v>44475</v>
      </c>
      <c r="K335" t="s">
        <v>3405</v>
      </c>
      <c r="L335" t="s">
        <v>3803</v>
      </c>
      <c r="M335">
        <v>0</v>
      </c>
      <c r="N335">
        <v>1762</v>
      </c>
      <c r="O335" t="str">
        <f>_xlfn.IFNA(VLOOKUP(Table2[[#This Row],[Lead Source]],'helper tab'!A:B,2,FALSE),"Exclude")</f>
        <v>Exclude</v>
      </c>
      <c r="P335" s="476">
        <f ca="1">TODAY() - Table2[[#This Row],[Created Date]]</f>
        <v>1783</v>
      </c>
      <c r="Q335">
        <f>IF(OR(Table2[[#This Row],[Stage]]="Propose",Table2[[#This Row],[Stage]]="Procure"),1,0)</f>
        <v>0</v>
      </c>
      <c r="R335">
        <f>IF(Table2[[#This Row],[Stage]]="Closed Won",1,0)</f>
        <v>1</v>
      </c>
      <c r="S335" t="b">
        <f>IFERROR(_xlfn.XLOOKUP(Table2[[#This Row],[Opportunity ID]],'Aging Detail'!$H$14:$H$20,'Aging Detail'!$F$14:$F$20),TRUE)</f>
        <v>1</v>
      </c>
    </row>
    <row r="336" spans="1:19" hidden="1">
      <c r="A336" t="s">
        <v>2065</v>
      </c>
      <c r="B336" t="s">
        <v>3804</v>
      </c>
      <c r="C336" t="s">
        <v>563</v>
      </c>
      <c r="D336" t="s">
        <v>3798</v>
      </c>
      <c r="F336" s="422">
        <v>44511</v>
      </c>
      <c r="G336" s="422">
        <v>44179</v>
      </c>
      <c r="K336" t="s">
        <v>3405</v>
      </c>
      <c r="L336" t="s">
        <v>3805</v>
      </c>
      <c r="M336">
        <v>0</v>
      </c>
      <c r="N336">
        <v>2058</v>
      </c>
      <c r="O336" t="str">
        <f>_xlfn.IFNA(VLOOKUP(Table2[[#This Row],[Lead Source]],'helper tab'!A:B,2,FALSE),"Exclude")</f>
        <v>Exclude</v>
      </c>
      <c r="P336" s="476">
        <f ca="1">TODAY() - Table2[[#This Row],[Created Date]]</f>
        <v>2079</v>
      </c>
      <c r="Q336">
        <f>IF(OR(Table2[[#This Row],[Stage]]="Propose",Table2[[#This Row],[Stage]]="Procure"),1,0)</f>
        <v>0</v>
      </c>
      <c r="R336">
        <f>IF(Table2[[#This Row],[Stage]]="Closed Won",1,0)</f>
        <v>1</v>
      </c>
      <c r="S336" t="b">
        <f>IFERROR(_xlfn.XLOOKUP(Table2[[#This Row],[Opportunity ID]],'Aging Detail'!$H$14:$H$20,'Aging Detail'!$F$14:$F$20),TRUE)</f>
        <v>1</v>
      </c>
    </row>
    <row r="337" spans="1:19" hidden="1">
      <c r="A337" t="s">
        <v>1604</v>
      </c>
      <c r="B337" t="s">
        <v>3806</v>
      </c>
      <c r="C337" t="s">
        <v>563</v>
      </c>
      <c r="D337" t="s">
        <v>3798</v>
      </c>
      <c r="F337" s="422">
        <v>44496</v>
      </c>
      <c r="G337" s="422">
        <v>44403</v>
      </c>
      <c r="H337" t="s">
        <v>1486</v>
      </c>
      <c r="K337" t="s">
        <v>3405</v>
      </c>
      <c r="L337" t="s">
        <v>3807</v>
      </c>
      <c r="M337">
        <v>0</v>
      </c>
      <c r="N337">
        <v>1834</v>
      </c>
      <c r="O337" t="str">
        <f>_xlfn.IFNA(VLOOKUP(Table2[[#This Row],[Lead Source]],'helper tab'!A:B,2,FALSE),"Exclude")</f>
        <v>Exclude</v>
      </c>
      <c r="P337" s="476">
        <f ca="1">TODAY() - Table2[[#This Row],[Created Date]]</f>
        <v>1855</v>
      </c>
      <c r="Q337">
        <f>IF(OR(Table2[[#This Row],[Stage]]="Propose",Table2[[#This Row],[Stage]]="Procure"),1,0)</f>
        <v>0</v>
      </c>
      <c r="R337">
        <f>IF(Table2[[#This Row],[Stage]]="Closed Won",1,0)</f>
        <v>1</v>
      </c>
      <c r="S337" t="b">
        <f>IFERROR(_xlfn.XLOOKUP(Table2[[#This Row],[Opportunity ID]],'Aging Detail'!$H$14:$H$20,'Aging Detail'!$F$14:$F$20),TRUE)</f>
        <v>1</v>
      </c>
    </row>
    <row r="338" spans="1:19" hidden="1">
      <c r="A338" t="s">
        <v>1604</v>
      </c>
      <c r="B338" t="s">
        <v>3808</v>
      </c>
      <c r="C338" t="s">
        <v>563</v>
      </c>
      <c r="D338" t="s">
        <v>3409</v>
      </c>
      <c r="F338" s="422">
        <v>44469</v>
      </c>
      <c r="G338" s="422">
        <v>44405</v>
      </c>
      <c r="H338" t="s">
        <v>1484</v>
      </c>
      <c r="K338" t="s">
        <v>3405</v>
      </c>
      <c r="L338" t="s">
        <v>3809</v>
      </c>
      <c r="M338">
        <v>0</v>
      </c>
      <c r="N338">
        <v>1832</v>
      </c>
      <c r="O338" t="str">
        <f>_xlfn.IFNA(VLOOKUP(Table2[[#This Row],[Lead Source]],'helper tab'!A:B,2,FALSE),"Exclude")</f>
        <v>Exclude</v>
      </c>
      <c r="P338" s="476">
        <f ca="1">TODAY() - Table2[[#This Row],[Created Date]]</f>
        <v>1853</v>
      </c>
      <c r="Q338">
        <f>IF(OR(Table2[[#This Row],[Stage]]="Propose",Table2[[#This Row],[Stage]]="Procure"),1,0)</f>
        <v>0</v>
      </c>
      <c r="R338">
        <f>IF(Table2[[#This Row],[Stage]]="Closed Won",1,0)</f>
        <v>1</v>
      </c>
      <c r="S338" t="b">
        <f>IFERROR(_xlfn.XLOOKUP(Table2[[#This Row],[Opportunity ID]],'Aging Detail'!$H$14:$H$20,'Aging Detail'!$F$14:$F$20),TRUE)</f>
        <v>1</v>
      </c>
    </row>
    <row r="339" spans="1:19" hidden="1">
      <c r="A339" t="s">
        <v>1604</v>
      </c>
      <c r="B339" t="s">
        <v>3810</v>
      </c>
      <c r="C339" t="s">
        <v>3408</v>
      </c>
      <c r="D339" t="s">
        <v>3409</v>
      </c>
      <c r="F339" s="422">
        <v>44469</v>
      </c>
      <c r="G339" s="422">
        <v>44341</v>
      </c>
      <c r="H339" t="s">
        <v>1486</v>
      </c>
      <c r="K339" t="s">
        <v>3405</v>
      </c>
      <c r="L339" t="s">
        <v>3811</v>
      </c>
      <c r="M339">
        <v>0</v>
      </c>
      <c r="N339">
        <v>738</v>
      </c>
      <c r="O339" t="str">
        <f>_xlfn.IFNA(VLOOKUP(Table2[[#This Row],[Lead Source]],'helper tab'!A:B,2,FALSE),"Exclude")</f>
        <v>Exclude</v>
      </c>
      <c r="P339" s="476">
        <f ca="1">TODAY() - Table2[[#This Row],[Created Date]]</f>
        <v>1917</v>
      </c>
      <c r="Q339">
        <f>IF(OR(Table2[[#This Row],[Stage]]="Propose",Table2[[#This Row],[Stage]]="Procure"),1,0)</f>
        <v>0</v>
      </c>
      <c r="R339">
        <f>IF(Table2[[#This Row],[Stage]]="Closed Won",1,0)</f>
        <v>0</v>
      </c>
      <c r="S339" t="b">
        <f>IFERROR(_xlfn.XLOOKUP(Table2[[#This Row],[Opportunity ID]],'Aging Detail'!$H$14:$H$20,'Aging Detail'!$F$14:$F$20),TRUE)</f>
        <v>1</v>
      </c>
    </row>
    <row r="340" spans="1:19" hidden="1">
      <c r="A340" t="s">
        <v>3497</v>
      </c>
      <c r="B340" t="s">
        <v>3812</v>
      </c>
      <c r="C340" t="s">
        <v>563</v>
      </c>
      <c r="D340" t="s">
        <v>3409</v>
      </c>
      <c r="F340" s="422">
        <v>44449</v>
      </c>
      <c r="G340" s="422">
        <v>44349</v>
      </c>
      <c r="H340" t="s">
        <v>148</v>
      </c>
      <c r="K340" t="s">
        <v>3405</v>
      </c>
      <c r="L340" t="s">
        <v>3813</v>
      </c>
      <c r="M340">
        <v>0</v>
      </c>
      <c r="N340">
        <v>1888</v>
      </c>
      <c r="O340" t="str">
        <f>_xlfn.IFNA(VLOOKUP(Table2[[#This Row],[Lead Source]],'helper tab'!A:B,2,FALSE),"Exclude")</f>
        <v>Alliances</v>
      </c>
      <c r="P340" s="476">
        <f ca="1">TODAY() - Table2[[#This Row],[Created Date]]</f>
        <v>1909</v>
      </c>
      <c r="Q340">
        <f>IF(OR(Table2[[#This Row],[Stage]]="Propose",Table2[[#This Row],[Stage]]="Procure"),1,0)</f>
        <v>0</v>
      </c>
      <c r="R340">
        <f>IF(Table2[[#This Row],[Stage]]="Closed Won",1,0)</f>
        <v>1</v>
      </c>
      <c r="S340" t="b">
        <f>IFERROR(_xlfn.XLOOKUP(Table2[[#This Row],[Opportunity ID]],'Aging Detail'!$H$14:$H$20,'Aging Detail'!$F$14:$F$20),TRUE)</f>
        <v>1</v>
      </c>
    </row>
    <row r="341" spans="1:19" hidden="1">
      <c r="A341" t="s">
        <v>1604</v>
      </c>
      <c r="B341" t="s">
        <v>3814</v>
      </c>
      <c r="C341" t="s">
        <v>563</v>
      </c>
      <c r="D341" t="s">
        <v>3815</v>
      </c>
      <c r="F341" s="422">
        <v>44354</v>
      </c>
      <c r="G341" s="422">
        <v>44335</v>
      </c>
      <c r="H341" t="s">
        <v>1486</v>
      </c>
      <c r="K341" t="s">
        <v>3405</v>
      </c>
      <c r="L341" t="s">
        <v>3816</v>
      </c>
      <c r="M341">
        <v>0</v>
      </c>
      <c r="N341">
        <v>1902</v>
      </c>
      <c r="O341" t="str">
        <f>_xlfn.IFNA(VLOOKUP(Table2[[#This Row],[Lead Source]],'helper tab'!A:B,2,FALSE),"Exclude")</f>
        <v>Exclude</v>
      </c>
      <c r="P341" s="476">
        <f ca="1">TODAY() - Table2[[#This Row],[Created Date]]</f>
        <v>1923</v>
      </c>
      <c r="Q341">
        <f>IF(OR(Table2[[#This Row],[Stage]]="Propose",Table2[[#This Row],[Stage]]="Procure"),1,0)</f>
        <v>0</v>
      </c>
      <c r="R341">
        <f>IF(Table2[[#This Row],[Stage]]="Closed Won",1,0)</f>
        <v>1</v>
      </c>
      <c r="S341" t="b">
        <f>IFERROR(_xlfn.XLOOKUP(Table2[[#This Row],[Opportunity ID]],'Aging Detail'!$H$14:$H$20,'Aging Detail'!$F$14:$F$20),TRUE)</f>
        <v>1</v>
      </c>
    </row>
    <row r="342" spans="1:19" hidden="1">
      <c r="A342" t="s">
        <v>2065</v>
      </c>
      <c r="B342" t="s">
        <v>3817</v>
      </c>
      <c r="C342" t="s">
        <v>563</v>
      </c>
      <c r="D342" t="s">
        <v>3504</v>
      </c>
      <c r="F342" s="422">
        <v>44195</v>
      </c>
      <c r="G342" s="422">
        <v>43817</v>
      </c>
      <c r="K342" t="s">
        <v>3405</v>
      </c>
      <c r="L342" t="s">
        <v>3818</v>
      </c>
      <c r="M342">
        <v>0</v>
      </c>
      <c r="N342">
        <v>2420</v>
      </c>
      <c r="O342" t="str">
        <f>_xlfn.IFNA(VLOOKUP(Table2[[#This Row],[Lead Source]],'helper tab'!A:B,2,FALSE),"Exclude")</f>
        <v>Exclude</v>
      </c>
      <c r="P342" s="476">
        <f ca="1">TODAY() - Table2[[#This Row],[Created Date]]</f>
        <v>2441</v>
      </c>
      <c r="Q342">
        <f>IF(OR(Table2[[#This Row],[Stage]]="Propose",Table2[[#This Row],[Stage]]="Procure"),1,0)</f>
        <v>0</v>
      </c>
      <c r="R342">
        <f>IF(Table2[[#This Row],[Stage]]="Closed Won",1,0)</f>
        <v>1</v>
      </c>
      <c r="S342" t="b">
        <f>IFERROR(_xlfn.XLOOKUP(Table2[[#This Row],[Opportunity ID]],'Aging Detail'!$H$14:$H$20,'Aging Detail'!$F$14:$F$20),TRUE)</f>
        <v>1</v>
      </c>
    </row>
    <row r="343" spans="1:19" hidden="1">
      <c r="A343" t="s">
        <v>2065</v>
      </c>
      <c r="B343" t="s">
        <v>3819</v>
      </c>
      <c r="C343" t="s">
        <v>563</v>
      </c>
      <c r="D343" t="s">
        <v>3504</v>
      </c>
      <c r="F343" s="422">
        <v>44194</v>
      </c>
      <c r="G343" s="422">
        <v>43908</v>
      </c>
      <c r="H343" t="s">
        <v>1486</v>
      </c>
      <c r="K343" t="s">
        <v>3405</v>
      </c>
      <c r="L343" t="s">
        <v>3820</v>
      </c>
      <c r="M343">
        <v>0</v>
      </c>
      <c r="N343">
        <v>2329</v>
      </c>
      <c r="O343" t="str">
        <f>_xlfn.IFNA(VLOOKUP(Table2[[#This Row],[Lead Source]],'helper tab'!A:B,2,FALSE),"Exclude")</f>
        <v>Exclude</v>
      </c>
      <c r="P343" s="476">
        <f ca="1">TODAY() - Table2[[#This Row],[Created Date]]</f>
        <v>2350</v>
      </c>
      <c r="Q343">
        <f>IF(OR(Table2[[#This Row],[Stage]]="Propose",Table2[[#This Row],[Stage]]="Procure"),1,0)</f>
        <v>0</v>
      </c>
      <c r="R343">
        <f>IF(Table2[[#This Row],[Stage]]="Closed Won",1,0)</f>
        <v>1</v>
      </c>
      <c r="S343" t="b">
        <f>IFERROR(_xlfn.XLOOKUP(Table2[[#This Row],[Opportunity ID]],'Aging Detail'!$H$14:$H$20,'Aging Detail'!$F$14:$F$20),TRUE)</f>
        <v>1</v>
      </c>
    </row>
    <row r="344" spans="1:19" hidden="1">
      <c r="A344" t="s">
        <v>1758</v>
      </c>
      <c r="B344" t="s">
        <v>3821</v>
      </c>
      <c r="C344" t="s">
        <v>563</v>
      </c>
      <c r="D344" t="s">
        <v>3504</v>
      </c>
      <c r="F344" s="422">
        <v>44159</v>
      </c>
      <c r="G344" s="422">
        <v>44159</v>
      </c>
      <c r="H344" t="s">
        <v>1488</v>
      </c>
      <c r="K344" t="s">
        <v>3405</v>
      </c>
      <c r="L344" t="s">
        <v>3822</v>
      </c>
      <c r="M344">
        <v>0</v>
      </c>
      <c r="N344">
        <v>2078</v>
      </c>
      <c r="O344" t="str">
        <f>_xlfn.IFNA(VLOOKUP(Table2[[#This Row],[Lead Source]],'helper tab'!A:B,2,FALSE),"Exclude")</f>
        <v>Alliances</v>
      </c>
      <c r="P344" s="476">
        <f ca="1">TODAY() - Table2[[#This Row],[Created Date]]</f>
        <v>2099</v>
      </c>
      <c r="Q344">
        <f>IF(OR(Table2[[#This Row],[Stage]]="Propose",Table2[[#This Row],[Stage]]="Procure"),1,0)</f>
        <v>0</v>
      </c>
      <c r="R344">
        <f>IF(Table2[[#This Row],[Stage]]="Closed Won",1,0)</f>
        <v>1</v>
      </c>
      <c r="S344" t="b">
        <f>IFERROR(_xlfn.XLOOKUP(Table2[[#This Row],[Opportunity ID]],'Aging Detail'!$H$14:$H$20,'Aging Detail'!$F$14:$F$20),TRUE)</f>
        <v>1</v>
      </c>
    </row>
    <row r="345" spans="1:19" hidden="1">
      <c r="A345" t="s">
        <v>1758</v>
      </c>
      <c r="B345" t="s">
        <v>3823</v>
      </c>
      <c r="C345" t="s">
        <v>563</v>
      </c>
      <c r="D345" t="s">
        <v>3504</v>
      </c>
      <c r="F345" s="422">
        <v>44159</v>
      </c>
      <c r="G345" s="422">
        <v>43853</v>
      </c>
      <c r="H345" t="s">
        <v>1486</v>
      </c>
      <c r="K345" t="s">
        <v>3405</v>
      </c>
      <c r="L345" t="s">
        <v>3824</v>
      </c>
      <c r="M345">
        <v>0</v>
      </c>
      <c r="N345">
        <v>2384</v>
      </c>
      <c r="O345" t="str">
        <f>_xlfn.IFNA(VLOOKUP(Table2[[#This Row],[Lead Source]],'helper tab'!A:B,2,FALSE),"Exclude")</f>
        <v>Exclude</v>
      </c>
      <c r="P345" s="476">
        <f ca="1">TODAY() - Table2[[#This Row],[Created Date]]</f>
        <v>2405</v>
      </c>
      <c r="Q345">
        <f>IF(OR(Table2[[#This Row],[Stage]]="Propose",Table2[[#This Row],[Stage]]="Procure"),1,0)</f>
        <v>0</v>
      </c>
      <c r="R345">
        <f>IF(Table2[[#This Row],[Stage]]="Closed Won",1,0)</f>
        <v>1</v>
      </c>
      <c r="S345" t="b">
        <f>IFERROR(_xlfn.XLOOKUP(Table2[[#This Row],[Opportunity ID]],'Aging Detail'!$H$14:$H$20,'Aging Detail'!$F$14:$F$20),TRUE)</f>
        <v>1</v>
      </c>
    </row>
    <row r="346" spans="1:19" hidden="1">
      <c r="A346" t="s">
        <v>1708</v>
      </c>
      <c r="B346" t="s">
        <v>3825</v>
      </c>
      <c r="C346" t="s">
        <v>563</v>
      </c>
      <c r="D346" t="s">
        <v>3504</v>
      </c>
      <c r="F346" s="422">
        <v>44158</v>
      </c>
      <c r="G346" s="422">
        <v>43815</v>
      </c>
      <c r="H346" t="s">
        <v>1486</v>
      </c>
      <c r="K346" t="s">
        <v>3405</v>
      </c>
      <c r="L346" t="s">
        <v>3826</v>
      </c>
      <c r="M346">
        <v>0</v>
      </c>
      <c r="N346">
        <v>2422</v>
      </c>
      <c r="O346" t="str">
        <f>_xlfn.IFNA(VLOOKUP(Table2[[#This Row],[Lead Source]],'helper tab'!A:B,2,FALSE),"Exclude")</f>
        <v>Exclude</v>
      </c>
      <c r="P346" s="476">
        <f ca="1">TODAY() - Table2[[#This Row],[Created Date]]</f>
        <v>2443</v>
      </c>
      <c r="Q346">
        <f>IF(OR(Table2[[#This Row],[Stage]]="Propose",Table2[[#This Row],[Stage]]="Procure"),1,0)</f>
        <v>0</v>
      </c>
      <c r="R346">
        <f>IF(Table2[[#This Row],[Stage]]="Closed Won",1,0)</f>
        <v>1</v>
      </c>
      <c r="S346" t="b">
        <f>IFERROR(_xlfn.XLOOKUP(Table2[[#This Row],[Opportunity ID]],'Aging Detail'!$H$14:$H$20,'Aging Detail'!$F$14:$F$20),TRUE)</f>
        <v>1</v>
      </c>
    </row>
    <row r="347" spans="1:19" hidden="1">
      <c r="A347" t="s">
        <v>1708</v>
      </c>
      <c r="B347" t="s">
        <v>3827</v>
      </c>
      <c r="C347" t="s">
        <v>563</v>
      </c>
      <c r="D347" t="s">
        <v>3504</v>
      </c>
      <c r="F347" s="422">
        <v>44158</v>
      </c>
      <c r="G347" s="422">
        <v>44090</v>
      </c>
      <c r="H347" t="s">
        <v>1486</v>
      </c>
      <c r="K347" t="s">
        <v>3405</v>
      </c>
      <c r="L347" t="s">
        <v>3828</v>
      </c>
      <c r="M347">
        <v>0</v>
      </c>
      <c r="N347">
        <v>2147</v>
      </c>
      <c r="O347" t="str">
        <f>_xlfn.IFNA(VLOOKUP(Table2[[#This Row],[Lead Source]],'helper tab'!A:B,2,FALSE),"Exclude")</f>
        <v>Exclude</v>
      </c>
      <c r="P347" s="476">
        <f ca="1">TODAY() - Table2[[#This Row],[Created Date]]</f>
        <v>2168</v>
      </c>
      <c r="Q347">
        <f>IF(OR(Table2[[#This Row],[Stage]]="Propose",Table2[[#This Row],[Stage]]="Procure"),1,0)</f>
        <v>0</v>
      </c>
      <c r="R347">
        <f>IF(Table2[[#This Row],[Stage]]="Closed Won",1,0)</f>
        <v>1</v>
      </c>
      <c r="S347" t="b">
        <f>IFERROR(_xlfn.XLOOKUP(Table2[[#This Row],[Opportunity ID]],'Aging Detail'!$H$14:$H$20,'Aging Detail'!$F$14:$F$20),TRUE)</f>
        <v>1</v>
      </c>
    </row>
    <row r="348" spans="1:19" hidden="1">
      <c r="A348" t="s">
        <v>2065</v>
      </c>
      <c r="B348" t="s">
        <v>3829</v>
      </c>
      <c r="C348" t="s">
        <v>563</v>
      </c>
      <c r="D348" t="s">
        <v>3830</v>
      </c>
      <c r="F348" s="422">
        <v>44074</v>
      </c>
      <c r="G348" s="422">
        <v>43860</v>
      </c>
      <c r="H348" t="s">
        <v>1486</v>
      </c>
      <c r="K348" t="s">
        <v>3405</v>
      </c>
      <c r="L348" t="s">
        <v>3831</v>
      </c>
      <c r="M348">
        <v>0</v>
      </c>
      <c r="N348">
        <v>2377</v>
      </c>
      <c r="O348" t="str">
        <f>_xlfn.IFNA(VLOOKUP(Table2[[#This Row],[Lead Source]],'helper tab'!A:B,2,FALSE),"Exclude")</f>
        <v>Exclude</v>
      </c>
      <c r="P348" s="476">
        <f ca="1">TODAY() - Table2[[#This Row],[Created Date]]</f>
        <v>2398</v>
      </c>
      <c r="Q348">
        <f>IF(OR(Table2[[#This Row],[Stage]]="Propose",Table2[[#This Row],[Stage]]="Procure"),1,0)</f>
        <v>0</v>
      </c>
      <c r="R348">
        <f>IF(Table2[[#This Row],[Stage]]="Closed Won",1,0)</f>
        <v>1</v>
      </c>
      <c r="S348" t="b">
        <f>IFERROR(_xlfn.XLOOKUP(Table2[[#This Row],[Opportunity ID]],'Aging Detail'!$H$14:$H$20,'Aging Detail'!$F$14:$F$20),TRUE)</f>
        <v>1</v>
      </c>
    </row>
    <row r="349" spans="1:19" hidden="1">
      <c r="A349" t="s">
        <v>1604</v>
      </c>
      <c r="B349" t="s">
        <v>3832</v>
      </c>
      <c r="C349" t="s">
        <v>563</v>
      </c>
      <c r="D349" t="s">
        <v>3830</v>
      </c>
      <c r="F349" s="422">
        <v>44061</v>
      </c>
      <c r="G349" s="422">
        <v>44056</v>
      </c>
      <c r="H349" t="s">
        <v>1486</v>
      </c>
      <c r="K349" t="s">
        <v>3405</v>
      </c>
      <c r="L349" t="s">
        <v>3833</v>
      </c>
      <c r="M349">
        <v>0</v>
      </c>
      <c r="N349">
        <v>2181</v>
      </c>
      <c r="O349" t="str">
        <f>_xlfn.IFNA(VLOOKUP(Table2[[#This Row],[Lead Source]],'helper tab'!A:B,2,FALSE),"Exclude")</f>
        <v>Exclude</v>
      </c>
      <c r="P349" s="476">
        <f ca="1">TODAY() - Table2[[#This Row],[Created Date]]</f>
        <v>2202</v>
      </c>
      <c r="Q349">
        <f>IF(OR(Table2[[#This Row],[Stage]]="Propose",Table2[[#This Row],[Stage]]="Procure"),1,0)</f>
        <v>0</v>
      </c>
      <c r="R349">
        <f>IF(Table2[[#This Row],[Stage]]="Closed Won",1,0)</f>
        <v>1</v>
      </c>
      <c r="S349" t="b">
        <f>IFERROR(_xlfn.XLOOKUP(Table2[[#This Row],[Opportunity ID]],'Aging Detail'!$H$14:$H$20,'Aging Detail'!$F$14:$F$20),TRUE)</f>
        <v>1</v>
      </c>
    </row>
    <row r="350" spans="1:19" hidden="1">
      <c r="A350" t="s">
        <v>1604</v>
      </c>
      <c r="B350" t="s">
        <v>3834</v>
      </c>
      <c r="C350" t="s">
        <v>3408</v>
      </c>
      <c r="D350" t="s">
        <v>3830</v>
      </c>
      <c r="F350" s="422">
        <v>44049</v>
      </c>
      <c r="G350" s="422">
        <v>43972</v>
      </c>
      <c r="H350" t="s">
        <v>1486</v>
      </c>
      <c r="K350" t="s">
        <v>3405</v>
      </c>
      <c r="L350" t="s">
        <v>3835</v>
      </c>
      <c r="M350">
        <v>0</v>
      </c>
      <c r="N350">
        <v>767</v>
      </c>
      <c r="O350" t="str">
        <f>_xlfn.IFNA(VLOOKUP(Table2[[#This Row],[Lead Source]],'helper tab'!A:B,2,FALSE),"Exclude")</f>
        <v>Exclude</v>
      </c>
      <c r="P350" s="476">
        <f ca="1">TODAY() - Table2[[#This Row],[Created Date]]</f>
        <v>2286</v>
      </c>
      <c r="Q350">
        <f>IF(OR(Table2[[#This Row],[Stage]]="Propose",Table2[[#This Row],[Stage]]="Procure"),1,0)</f>
        <v>0</v>
      </c>
      <c r="R350">
        <f>IF(Table2[[#This Row],[Stage]]="Closed Won",1,0)</f>
        <v>0</v>
      </c>
      <c r="S350" t="b">
        <f>IFERROR(_xlfn.XLOOKUP(Table2[[#This Row],[Opportunity ID]],'Aging Detail'!$H$14:$H$20,'Aging Detail'!$F$14:$F$20),TRUE)</f>
        <v>1</v>
      </c>
    </row>
    <row r="351" spans="1:19" hidden="1">
      <c r="A351" t="s">
        <v>1604</v>
      </c>
      <c r="B351" t="s">
        <v>3836</v>
      </c>
      <c r="C351" t="s">
        <v>563</v>
      </c>
      <c r="D351" t="s">
        <v>3830</v>
      </c>
      <c r="F351" s="422">
        <v>44048</v>
      </c>
      <c r="G351" s="422">
        <v>43852</v>
      </c>
      <c r="H351" t="s">
        <v>1486</v>
      </c>
      <c r="K351" t="s">
        <v>3405</v>
      </c>
      <c r="L351" t="s">
        <v>3837</v>
      </c>
      <c r="M351">
        <v>0</v>
      </c>
      <c r="N351">
        <v>2385</v>
      </c>
      <c r="O351" t="str">
        <f>_xlfn.IFNA(VLOOKUP(Table2[[#This Row],[Lead Source]],'helper tab'!A:B,2,FALSE),"Exclude")</f>
        <v>Exclude</v>
      </c>
      <c r="P351" s="476">
        <f ca="1">TODAY() - Table2[[#This Row],[Created Date]]</f>
        <v>2406</v>
      </c>
      <c r="Q351">
        <f>IF(OR(Table2[[#This Row],[Stage]]="Propose",Table2[[#This Row],[Stage]]="Procure"),1,0)</f>
        <v>0</v>
      </c>
      <c r="R351">
        <f>IF(Table2[[#This Row],[Stage]]="Closed Won",1,0)</f>
        <v>1</v>
      </c>
      <c r="S351" t="b">
        <f>IFERROR(_xlfn.XLOOKUP(Table2[[#This Row],[Opportunity ID]],'Aging Detail'!$H$14:$H$20,'Aging Detail'!$F$14:$F$20),TRUE)</f>
        <v>1</v>
      </c>
    </row>
    <row r="352" spans="1:19" hidden="1">
      <c r="A352" t="s">
        <v>1604</v>
      </c>
      <c r="B352" t="s">
        <v>3838</v>
      </c>
      <c r="C352" t="s">
        <v>563</v>
      </c>
      <c r="D352" t="s">
        <v>3830</v>
      </c>
      <c r="F352" s="422">
        <v>44039</v>
      </c>
      <c r="G352" s="422">
        <v>43808</v>
      </c>
      <c r="H352" t="s">
        <v>1484</v>
      </c>
      <c r="K352" t="s">
        <v>3405</v>
      </c>
      <c r="L352" t="s">
        <v>3839</v>
      </c>
      <c r="M352">
        <v>0</v>
      </c>
      <c r="N352">
        <v>2429</v>
      </c>
      <c r="O352" t="str">
        <f>_xlfn.IFNA(VLOOKUP(Table2[[#This Row],[Lead Source]],'helper tab'!A:B,2,FALSE),"Exclude")</f>
        <v>Exclude</v>
      </c>
      <c r="P352" s="476">
        <f ca="1">TODAY() - Table2[[#This Row],[Created Date]]</f>
        <v>2450</v>
      </c>
      <c r="Q352">
        <f>IF(OR(Table2[[#This Row],[Stage]]="Propose",Table2[[#This Row],[Stage]]="Procure"),1,0)</f>
        <v>0</v>
      </c>
      <c r="R352">
        <f>IF(Table2[[#This Row],[Stage]]="Closed Won",1,0)</f>
        <v>1</v>
      </c>
      <c r="S352" t="b">
        <f>IFERROR(_xlfn.XLOOKUP(Table2[[#This Row],[Opportunity ID]],'Aging Detail'!$H$14:$H$20,'Aging Detail'!$F$14:$F$20),TRUE)</f>
        <v>1</v>
      </c>
    </row>
    <row r="353" spans="1:19" hidden="1">
      <c r="A353" t="s">
        <v>1604</v>
      </c>
      <c r="B353" t="s">
        <v>3840</v>
      </c>
      <c r="C353" t="s">
        <v>563</v>
      </c>
      <c r="D353" t="s">
        <v>3830</v>
      </c>
      <c r="F353" s="422">
        <v>44034</v>
      </c>
      <c r="G353" s="422">
        <v>43852</v>
      </c>
      <c r="H353" t="s">
        <v>1486</v>
      </c>
      <c r="K353" t="s">
        <v>3405</v>
      </c>
      <c r="L353" t="s">
        <v>3841</v>
      </c>
      <c r="M353">
        <v>0</v>
      </c>
      <c r="N353">
        <v>2385</v>
      </c>
      <c r="O353" t="str">
        <f>_xlfn.IFNA(VLOOKUP(Table2[[#This Row],[Lead Source]],'helper tab'!A:B,2,FALSE),"Exclude")</f>
        <v>Exclude</v>
      </c>
      <c r="P353" s="476">
        <f ca="1">TODAY() - Table2[[#This Row],[Created Date]]</f>
        <v>2406</v>
      </c>
      <c r="Q353">
        <f>IF(OR(Table2[[#This Row],[Stage]]="Propose",Table2[[#This Row],[Stage]]="Procure"),1,0)</f>
        <v>0</v>
      </c>
      <c r="R353">
        <f>IF(Table2[[#This Row],[Stage]]="Closed Won",1,0)</f>
        <v>1</v>
      </c>
      <c r="S353" t="b">
        <f>IFERROR(_xlfn.XLOOKUP(Table2[[#This Row],[Opportunity ID]],'Aging Detail'!$H$14:$H$20,'Aging Detail'!$F$14:$F$20),TRUE)</f>
        <v>1</v>
      </c>
    </row>
    <row r="354" spans="1:19" hidden="1">
      <c r="A354" t="s">
        <v>1812</v>
      </c>
      <c r="B354" t="s">
        <v>3842</v>
      </c>
      <c r="C354" t="s">
        <v>563</v>
      </c>
      <c r="D354" t="s">
        <v>3830</v>
      </c>
      <c r="F354" s="422">
        <v>44027</v>
      </c>
      <c r="G354" s="422">
        <v>43746</v>
      </c>
      <c r="H354" t="s">
        <v>1484</v>
      </c>
      <c r="K354" t="s">
        <v>3405</v>
      </c>
      <c r="L354" t="s">
        <v>3843</v>
      </c>
      <c r="M354">
        <v>0</v>
      </c>
      <c r="N354">
        <v>2491</v>
      </c>
      <c r="O354" t="str">
        <f>_xlfn.IFNA(VLOOKUP(Table2[[#This Row],[Lead Source]],'helper tab'!A:B,2,FALSE),"Exclude")</f>
        <v>Exclude</v>
      </c>
      <c r="P354" s="476">
        <f ca="1">TODAY() - Table2[[#This Row],[Created Date]]</f>
        <v>2512</v>
      </c>
      <c r="Q354">
        <f>IF(OR(Table2[[#This Row],[Stage]]="Propose",Table2[[#This Row],[Stage]]="Procure"),1,0)</f>
        <v>0</v>
      </c>
      <c r="R354">
        <f>IF(Table2[[#This Row],[Stage]]="Closed Won",1,0)</f>
        <v>1</v>
      </c>
      <c r="S354" t="b">
        <f>IFERROR(_xlfn.XLOOKUP(Table2[[#This Row],[Opportunity ID]],'Aging Detail'!$H$14:$H$20,'Aging Detail'!$F$14:$F$20),TRUE)</f>
        <v>1</v>
      </c>
    </row>
    <row r="355" spans="1:19" hidden="1">
      <c r="A355" t="s">
        <v>1604</v>
      </c>
      <c r="B355" t="s">
        <v>3844</v>
      </c>
      <c r="C355" t="s">
        <v>563</v>
      </c>
      <c r="D355" t="s">
        <v>3845</v>
      </c>
      <c r="F355" s="422">
        <v>44007</v>
      </c>
      <c r="G355" s="422">
        <v>43553</v>
      </c>
      <c r="H355" t="s">
        <v>1484</v>
      </c>
      <c r="K355" t="s">
        <v>3405</v>
      </c>
      <c r="L355" t="s">
        <v>3846</v>
      </c>
      <c r="M355">
        <v>0</v>
      </c>
      <c r="N355">
        <v>2684</v>
      </c>
      <c r="O355" t="str">
        <f>_xlfn.IFNA(VLOOKUP(Table2[[#This Row],[Lead Source]],'helper tab'!A:B,2,FALSE),"Exclude")</f>
        <v>Exclude</v>
      </c>
      <c r="P355" s="476">
        <f ca="1">TODAY() - Table2[[#This Row],[Created Date]]</f>
        <v>2705</v>
      </c>
      <c r="Q355">
        <f>IF(OR(Table2[[#This Row],[Stage]]="Propose",Table2[[#This Row],[Stage]]="Procure"),1,0)</f>
        <v>0</v>
      </c>
      <c r="R355">
        <f>IF(Table2[[#This Row],[Stage]]="Closed Won",1,0)</f>
        <v>1</v>
      </c>
      <c r="S355" t="b">
        <f>IFERROR(_xlfn.XLOOKUP(Table2[[#This Row],[Opportunity ID]],'Aging Detail'!$H$14:$H$20,'Aging Detail'!$F$14:$F$20),TRUE)</f>
        <v>1</v>
      </c>
    </row>
    <row r="356" spans="1:19" hidden="1">
      <c r="A356" t="s">
        <v>1604</v>
      </c>
      <c r="B356" t="s">
        <v>3847</v>
      </c>
      <c r="C356" t="s">
        <v>3408</v>
      </c>
      <c r="D356" t="s">
        <v>3845</v>
      </c>
      <c r="F356" s="422">
        <v>43978</v>
      </c>
      <c r="G356" s="422">
        <v>43907</v>
      </c>
      <c r="H356" t="s">
        <v>1486</v>
      </c>
      <c r="K356" t="s">
        <v>3405</v>
      </c>
      <c r="L356" t="s">
        <v>3848</v>
      </c>
      <c r="M356">
        <v>0</v>
      </c>
      <c r="N356">
        <v>767</v>
      </c>
      <c r="O356" t="str">
        <f>_xlfn.IFNA(VLOOKUP(Table2[[#This Row],[Lead Source]],'helper tab'!A:B,2,FALSE),"Exclude")</f>
        <v>Exclude</v>
      </c>
      <c r="P356" s="476">
        <f ca="1">TODAY() - Table2[[#This Row],[Created Date]]</f>
        <v>2351</v>
      </c>
      <c r="Q356">
        <f>IF(OR(Table2[[#This Row],[Stage]]="Propose",Table2[[#This Row],[Stage]]="Procure"),1,0)</f>
        <v>0</v>
      </c>
      <c r="R356">
        <f>IF(Table2[[#This Row],[Stage]]="Closed Won",1,0)</f>
        <v>0</v>
      </c>
      <c r="S356" t="b">
        <f>IFERROR(_xlfn.XLOOKUP(Table2[[#This Row],[Opportunity ID]],'Aging Detail'!$H$14:$H$20,'Aging Detail'!$F$14:$F$20),TRUE)</f>
        <v>1</v>
      </c>
    </row>
    <row r="357" spans="1:19" hidden="1">
      <c r="A357" t="s">
        <v>1758</v>
      </c>
      <c r="B357" t="s">
        <v>3849</v>
      </c>
      <c r="C357" t="s">
        <v>563</v>
      </c>
      <c r="D357" t="s">
        <v>3850</v>
      </c>
      <c r="F357" s="422">
        <v>43860</v>
      </c>
      <c r="G357" s="422">
        <v>43621</v>
      </c>
      <c r="H357" t="s">
        <v>1473</v>
      </c>
      <c r="K357" t="s">
        <v>3405</v>
      </c>
      <c r="L357" t="s">
        <v>3851</v>
      </c>
      <c r="M357">
        <v>0</v>
      </c>
      <c r="N357">
        <v>2616</v>
      </c>
      <c r="O357" t="str">
        <f>_xlfn.IFNA(VLOOKUP(Table2[[#This Row],[Lead Source]],'helper tab'!A:B,2,FALSE),"Exclude")</f>
        <v>Events</v>
      </c>
      <c r="P357" s="476">
        <f ca="1">TODAY() - Table2[[#This Row],[Created Date]]</f>
        <v>2637</v>
      </c>
      <c r="Q357">
        <f>IF(OR(Table2[[#This Row],[Stage]]="Propose",Table2[[#This Row],[Stage]]="Procure"),1,0)</f>
        <v>0</v>
      </c>
      <c r="R357">
        <f>IF(Table2[[#This Row],[Stage]]="Closed Won",1,0)</f>
        <v>1</v>
      </c>
      <c r="S357" t="b">
        <f>IFERROR(_xlfn.XLOOKUP(Table2[[#This Row],[Opportunity ID]],'Aging Detail'!$H$14:$H$20,'Aging Detail'!$F$14:$F$20),TRUE)</f>
        <v>1</v>
      </c>
    </row>
    <row r="358" spans="1:19" hidden="1">
      <c r="A358" t="s">
        <v>2065</v>
      </c>
      <c r="B358" t="s">
        <v>3852</v>
      </c>
      <c r="C358" t="s">
        <v>563</v>
      </c>
      <c r="D358" t="s">
        <v>3853</v>
      </c>
      <c r="F358" s="422">
        <v>43817</v>
      </c>
      <c r="G358" s="422">
        <v>43481</v>
      </c>
      <c r="H358" t="s">
        <v>1486</v>
      </c>
      <c r="K358" t="s">
        <v>3405</v>
      </c>
      <c r="L358" t="s">
        <v>3854</v>
      </c>
      <c r="M358">
        <v>0</v>
      </c>
      <c r="N358">
        <v>2756</v>
      </c>
      <c r="O358" t="str">
        <f>_xlfn.IFNA(VLOOKUP(Table2[[#This Row],[Lead Source]],'helper tab'!A:B,2,FALSE),"Exclude")</f>
        <v>Exclude</v>
      </c>
      <c r="P358" s="476">
        <f ca="1">TODAY() - Table2[[#This Row],[Created Date]]</f>
        <v>2777</v>
      </c>
      <c r="Q358">
        <f>IF(OR(Table2[[#This Row],[Stage]]="Propose",Table2[[#This Row],[Stage]]="Procure"),1,0)</f>
        <v>0</v>
      </c>
      <c r="R358">
        <f>IF(Table2[[#This Row],[Stage]]="Closed Won",1,0)</f>
        <v>1</v>
      </c>
      <c r="S358" t="b">
        <f>IFERROR(_xlfn.XLOOKUP(Table2[[#This Row],[Opportunity ID]],'Aging Detail'!$H$14:$H$20,'Aging Detail'!$F$14:$F$20),TRUE)</f>
        <v>1</v>
      </c>
    </row>
    <row r="359" spans="1:19" hidden="1">
      <c r="A359" t="s">
        <v>1708</v>
      </c>
      <c r="B359" t="s">
        <v>3855</v>
      </c>
      <c r="C359" t="s">
        <v>563</v>
      </c>
      <c r="D359" t="s">
        <v>3853</v>
      </c>
      <c r="F359" s="422">
        <v>43810</v>
      </c>
      <c r="G359" s="422">
        <v>43731</v>
      </c>
      <c r="H359" t="s">
        <v>1486</v>
      </c>
      <c r="K359" t="s">
        <v>3405</v>
      </c>
      <c r="L359" t="s">
        <v>3856</v>
      </c>
      <c r="M359">
        <v>0</v>
      </c>
      <c r="N359">
        <v>2506</v>
      </c>
      <c r="O359" t="str">
        <f>_xlfn.IFNA(VLOOKUP(Table2[[#This Row],[Lead Source]],'helper tab'!A:B,2,FALSE),"Exclude")</f>
        <v>Exclude</v>
      </c>
      <c r="P359" s="476">
        <f ca="1">TODAY() - Table2[[#This Row],[Created Date]]</f>
        <v>2527</v>
      </c>
      <c r="Q359">
        <f>IF(OR(Table2[[#This Row],[Stage]]="Propose",Table2[[#This Row],[Stage]]="Procure"),1,0)</f>
        <v>0</v>
      </c>
      <c r="R359">
        <f>IF(Table2[[#This Row],[Stage]]="Closed Won",1,0)</f>
        <v>1</v>
      </c>
      <c r="S359" t="b">
        <f>IFERROR(_xlfn.XLOOKUP(Table2[[#This Row],[Opportunity ID]],'Aging Detail'!$H$14:$H$20,'Aging Detail'!$F$14:$F$20),TRUE)</f>
        <v>1</v>
      </c>
    </row>
    <row r="360" spans="1:19" hidden="1">
      <c r="A360" t="s">
        <v>1812</v>
      </c>
      <c r="B360" t="s">
        <v>3857</v>
      </c>
      <c r="C360" t="s">
        <v>563</v>
      </c>
      <c r="D360" t="s">
        <v>3853</v>
      </c>
      <c r="F360" s="422">
        <v>43753</v>
      </c>
      <c r="G360" s="422">
        <v>43742</v>
      </c>
      <c r="H360" t="s">
        <v>1484</v>
      </c>
      <c r="K360" t="s">
        <v>3405</v>
      </c>
      <c r="L360" t="s">
        <v>3858</v>
      </c>
      <c r="M360">
        <v>0</v>
      </c>
      <c r="N360">
        <v>2495</v>
      </c>
      <c r="O360" t="str">
        <f>_xlfn.IFNA(VLOOKUP(Table2[[#This Row],[Lead Source]],'helper tab'!A:B,2,FALSE),"Exclude")</f>
        <v>Exclude</v>
      </c>
      <c r="P360" s="476">
        <f ca="1">TODAY() - Table2[[#This Row],[Created Date]]</f>
        <v>2516</v>
      </c>
      <c r="Q360">
        <f>IF(OR(Table2[[#This Row],[Stage]]="Propose",Table2[[#This Row],[Stage]]="Procure"),1,0)</f>
        <v>0</v>
      </c>
      <c r="R360">
        <f>IF(Table2[[#This Row],[Stage]]="Closed Won",1,0)</f>
        <v>1</v>
      </c>
      <c r="S360" t="b">
        <f>IFERROR(_xlfn.XLOOKUP(Table2[[#This Row],[Opportunity ID]],'Aging Detail'!$H$14:$H$20,'Aging Detail'!$F$14:$F$20),TRUE)</f>
        <v>1</v>
      </c>
    </row>
    <row r="361" spans="1:19" hidden="1">
      <c r="A361" t="s">
        <v>2065</v>
      </c>
      <c r="B361" t="s">
        <v>3859</v>
      </c>
      <c r="C361" t="s">
        <v>563</v>
      </c>
      <c r="D361" t="s">
        <v>3860</v>
      </c>
      <c r="F361" s="422">
        <v>43735</v>
      </c>
      <c r="G361" s="422">
        <v>43669</v>
      </c>
      <c r="H361" t="s">
        <v>1486</v>
      </c>
      <c r="K361" t="s">
        <v>3405</v>
      </c>
      <c r="L361" t="s">
        <v>3861</v>
      </c>
      <c r="M361">
        <v>0</v>
      </c>
      <c r="N361">
        <v>2568</v>
      </c>
      <c r="O361" t="str">
        <f>_xlfn.IFNA(VLOOKUP(Table2[[#This Row],[Lead Source]],'helper tab'!A:B,2,FALSE),"Exclude")</f>
        <v>Exclude</v>
      </c>
      <c r="P361" s="476">
        <f ca="1">TODAY() - Table2[[#This Row],[Created Date]]</f>
        <v>2589</v>
      </c>
      <c r="Q361">
        <f>IF(OR(Table2[[#This Row],[Stage]]="Propose",Table2[[#This Row],[Stage]]="Procure"),1,0)</f>
        <v>0</v>
      </c>
      <c r="R361">
        <f>IF(Table2[[#This Row],[Stage]]="Closed Won",1,0)</f>
        <v>1</v>
      </c>
      <c r="S361" t="b">
        <f>IFERROR(_xlfn.XLOOKUP(Table2[[#This Row],[Opportunity ID]],'Aging Detail'!$H$14:$H$20,'Aging Detail'!$F$14:$F$20),TRUE)</f>
        <v>1</v>
      </c>
    </row>
    <row r="362" spans="1:19" hidden="1">
      <c r="A362" t="s">
        <v>1708</v>
      </c>
      <c r="B362" t="s">
        <v>3862</v>
      </c>
      <c r="C362" t="s">
        <v>563</v>
      </c>
      <c r="D362" t="s">
        <v>3860</v>
      </c>
      <c r="F362" s="422">
        <v>43714</v>
      </c>
      <c r="G362" s="422">
        <v>43654</v>
      </c>
      <c r="H362" t="s">
        <v>1486</v>
      </c>
      <c r="K362" t="s">
        <v>3405</v>
      </c>
      <c r="L362" t="s">
        <v>3863</v>
      </c>
      <c r="M362">
        <v>0</v>
      </c>
      <c r="N362">
        <v>2583</v>
      </c>
      <c r="O362" t="str">
        <f>_xlfn.IFNA(VLOOKUP(Table2[[#This Row],[Lead Source]],'helper tab'!A:B,2,FALSE),"Exclude")</f>
        <v>Exclude</v>
      </c>
      <c r="P362" s="476">
        <f ca="1">TODAY() - Table2[[#This Row],[Created Date]]</f>
        <v>2604</v>
      </c>
      <c r="Q362">
        <f>IF(OR(Table2[[#This Row],[Stage]]="Propose",Table2[[#This Row],[Stage]]="Procure"),1,0)</f>
        <v>0</v>
      </c>
      <c r="R362">
        <f>IF(Table2[[#This Row],[Stage]]="Closed Won",1,0)</f>
        <v>1</v>
      </c>
      <c r="S362" t="b">
        <f>IFERROR(_xlfn.XLOOKUP(Table2[[#This Row],[Opportunity ID]],'Aging Detail'!$H$14:$H$20,'Aging Detail'!$F$14:$F$20),TRUE)</f>
        <v>1</v>
      </c>
    </row>
    <row r="363" spans="1:19">
      <c r="A363" t="s">
        <v>3864</v>
      </c>
      <c r="B363" t="s">
        <v>3864</v>
      </c>
      <c r="C363" t="s">
        <v>338</v>
      </c>
      <c r="D363" t="s">
        <v>3457</v>
      </c>
      <c r="E363">
        <v>139200</v>
      </c>
      <c r="F363" s="422">
        <v>46752</v>
      </c>
      <c r="G363" s="422">
        <v>46155</v>
      </c>
      <c r="H363" t="s">
        <v>29</v>
      </c>
      <c r="J363" t="s">
        <v>3865</v>
      </c>
      <c r="K363" t="s">
        <v>3374</v>
      </c>
      <c r="L363" t="s">
        <v>3866</v>
      </c>
      <c r="M363">
        <v>79200</v>
      </c>
      <c r="N363">
        <v>82</v>
      </c>
      <c r="O363" t="str">
        <f>_xlfn.IFNA(VLOOKUP(Table2[[#This Row],[Lead Source]],'helper tab'!A:B,2,FALSE),"Exclude")</f>
        <v>Events</v>
      </c>
      <c r="P363" s="476">
        <f ca="1">TODAY() - Table2[[#This Row],[Created Date]]</f>
        <v>103</v>
      </c>
      <c r="Q363">
        <f>IF(OR(Table2[[#This Row],[Stage]]="Propose",Table2[[#This Row],[Stage]]="Procure"),1,0)</f>
        <v>0</v>
      </c>
      <c r="R363">
        <f>IF(Table2[[#This Row],[Stage]]="Closed Won",1,0)</f>
        <v>0</v>
      </c>
      <c r="S363" t="b">
        <f>IFERROR(_xlfn.XLOOKUP(Table2[[#This Row],[Opportunity ID]],'Aging Detail'!$H$14:$H$20,'Aging Detail'!$F$14:$F$20),TRUE)</f>
        <v>1</v>
      </c>
    </row>
    <row r="364" spans="1:19" hidden="1">
      <c r="A364" t="s">
        <v>1552</v>
      </c>
      <c r="B364" t="s">
        <v>763</v>
      </c>
      <c r="C364" t="s">
        <v>1462</v>
      </c>
      <c r="D364" t="s">
        <v>3457</v>
      </c>
      <c r="E364">
        <v>50000</v>
      </c>
      <c r="F364" s="422">
        <v>46752</v>
      </c>
      <c r="G364" s="422">
        <v>45938</v>
      </c>
      <c r="H364" t="s">
        <v>470</v>
      </c>
      <c r="J364" t="s">
        <v>3360</v>
      </c>
      <c r="K364" t="s">
        <v>3374</v>
      </c>
      <c r="L364" t="s">
        <v>1551</v>
      </c>
      <c r="M364">
        <v>50000</v>
      </c>
      <c r="N364">
        <v>4</v>
      </c>
      <c r="O364" t="str">
        <f>_xlfn.IFNA(VLOOKUP(Table2[[#This Row],[Lead Source]],'helper tab'!A:B,2,FALSE),"Exclude")</f>
        <v>Digital</v>
      </c>
      <c r="P364" s="476">
        <f ca="1">TODAY() - Table2[[#This Row],[Created Date]]</f>
        <v>320</v>
      </c>
      <c r="Q364">
        <f>IF(OR(Table2[[#This Row],[Stage]]="Propose",Table2[[#This Row],[Stage]]="Procure"),1,0)</f>
        <v>0</v>
      </c>
      <c r="R364">
        <f>IF(Table2[[#This Row],[Stage]]="Closed Won",1,0)</f>
        <v>0</v>
      </c>
      <c r="S364" t="b">
        <f>IFERROR(_xlfn.XLOOKUP(Table2[[#This Row],[Opportunity ID]],'Aging Detail'!$H$14:$H$20,'Aging Detail'!$F$14:$F$20),TRUE)</f>
        <v>1</v>
      </c>
    </row>
    <row r="365" spans="1:19" hidden="1">
      <c r="A365" t="s">
        <v>396</v>
      </c>
      <c r="B365" t="s">
        <v>407</v>
      </c>
      <c r="C365" t="s">
        <v>408</v>
      </c>
      <c r="D365" t="s">
        <v>3457</v>
      </c>
      <c r="E365">
        <v>1140000</v>
      </c>
      <c r="F365" s="422">
        <v>46752</v>
      </c>
      <c r="G365" s="422">
        <v>45622</v>
      </c>
      <c r="H365" t="s">
        <v>404</v>
      </c>
      <c r="J365" t="s">
        <v>3360</v>
      </c>
      <c r="K365" t="s">
        <v>3374</v>
      </c>
      <c r="L365" t="s">
        <v>3867</v>
      </c>
      <c r="M365">
        <v>1080000</v>
      </c>
      <c r="N365">
        <v>615</v>
      </c>
      <c r="O365" t="str">
        <f>_xlfn.IFNA(VLOOKUP(Table2[[#This Row],[Lead Source]],'helper tab'!A:B,2,FALSE),"Exclude")</f>
        <v>Digital</v>
      </c>
      <c r="P365" s="476">
        <f ca="1">TODAY() - Table2[[#This Row],[Created Date]]</f>
        <v>636</v>
      </c>
      <c r="Q365">
        <f>IF(OR(Table2[[#This Row],[Stage]]="Propose",Table2[[#This Row],[Stage]]="Procure"),1,0)</f>
        <v>0</v>
      </c>
      <c r="R365">
        <f>IF(Table2[[#This Row],[Stage]]="Closed Won",1,0)</f>
        <v>0</v>
      </c>
      <c r="S365" t="b">
        <f>IFERROR(_xlfn.XLOOKUP(Table2[[#This Row],[Opportunity ID]],'Aging Detail'!$H$14:$H$20,'Aging Detail'!$F$14:$F$20),TRUE)</f>
        <v>1</v>
      </c>
    </row>
    <row r="366" spans="1:19" hidden="1">
      <c r="A366" t="s">
        <v>3868</v>
      </c>
      <c r="B366" t="s">
        <v>3869</v>
      </c>
      <c r="C366" t="s">
        <v>408</v>
      </c>
      <c r="D366" t="s">
        <v>3385</v>
      </c>
      <c r="E366">
        <v>278000</v>
      </c>
      <c r="F366" s="422">
        <v>46660</v>
      </c>
      <c r="G366" s="422">
        <v>45441</v>
      </c>
      <c r="H366" t="s">
        <v>1473</v>
      </c>
      <c r="K366" t="s">
        <v>3374</v>
      </c>
      <c r="L366" t="s">
        <v>3870</v>
      </c>
      <c r="M366">
        <v>198000</v>
      </c>
      <c r="N366">
        <v>215</v>
      </c>
      <c r="O366" t="str">
        <f>_xlfn.IFNA(VLOOKUP(Table2[[#This Row],[Lead Source]],'helper tab'!A:B,2,FALSE),"Exclude")</f>
        <v>Events</v>
      </c>
      <c r="P366" s="476">
        <f ca="1">TODAY() - Table2[[#This Row],[Created Date]]</f>
        <v>817</v>
      </c>
      <c r="Q366">
        <f>IF(OR(Table2[[#This Row],[Stage]]="Propose",Table2[[#This Row],[Stage]]="Procure"),1,0)</f>
        <v>0</v>
      </c>
      <c r="R366">
        <f>IF(Table2[[#This Row],[Stage]]="Closed Won",1,0)</f>
        <v>0</v>
      </c>
      <c r="S366" t="b">
        <f>IFERROR(_xlfn.XLOOKUP(Table2[[#This Row],[Opportunity ID]],'Aging Detail'!$H$14:$H$20,'Aging Detail'!$F$14:$F$20),TRUE)</f>
        <v>1</v>
      </c>
    </row>
    <row r="367" spans="1:19" hidden="1">
      <c r="A367" t="s">
        <v>3871</v>
      </c>
      <c r="B367" t="s">
        <v>3872</v>
      </c>
      <c r="C367" t="s">
        <v>408</v>
      </c>
      <c r="D367" t="s">
        <v>3385</v>
      </c>
      <c r="E367">
        <v>103200</v>
      </c>
      <c r="F367" s="422">
        <v>46660</v>
      </c>
      <c r="G367" s="422">
        <v>45076</v>
      </c>
      <c r="H367" t="s">
        <v>1486</v>
      </c>
      <c r="K367" t="s">
        <v>3374</v>
      </c>
      <c r="L367" t="s">
        <v>3873</v>
      </c>
      <c r="M367">
        <v>43200</v>
      </c>
      <c r="N367">
        <v>215</v>
      </c>
      <c r="O367" t="str">
        <f>_xlfn.IFNA(VLOOKUP(Table2[[#This Row],[Lead Source]],'helper tab'!A:B,2,FALSE),"Exclude")</f>
        <v>Exclude</v>
      </c>
      <c r="P367" s="476">
        <f ca="1">TODAY() - Table2[[#This Row],[Created Date]]</f>
        <v>1182</v>
      </c>
      <c r="Q367">
        <f>IF(OR(Table2[[#This Row],[Stage]]="Propose",Table2[[#This Row],[Stage]]="Procure"),1,0)</f>
        <v>0</v>
      </c>
      <c r="R367">
        <f>IF(Table2[[#This Row],[Stage]]="Closed Won",1,0)</f>
        <v>0</v>
      </c>
      <c r="S367" t="b">
        <f>IFERROR(_xlfn.XLOOKUP(Table2[[#This Row],[Opportunity ID]],'Aging Detail'!$H$14:$H$20,'Aging Detail'!$F$14:$F$20),TRUE)</f>
        <v>1</v>
      </c>
    </row>
    <row r="368" spans="1:19">
      <c r="A368" t="s">
        <v>3874</v>
      </c>
      <c r="B368" t="s">
        <v>3875</v>
      </c>
      <c r="C368" t="s">
        <v>408</v>
      </c>
      <c r="D368" t="s">
        <v>3349</v>
      </c>
      <c r="E368">
        <v>124800</v>
      </c>
      <c r="F368" s="422">
        <v>46568</v>
      </c>
      <c r="G368" s="422">
        <v>46183</v>
      </c>
      <c r="H368" t="s">
        <v>29</v>
      </c>
      <c r="J368" t="s">
        <v>3694</v>
      </c>
      <c r="K368" t="s">
        <v>3374</v>
      </c>
      <c r="L368" t="s">
        <v>3876</v>
      </c>
      <c r="M368">
        <v>64800</v>
      </c>
      <c r="N368">
        <v>4</v>
      </c>
      <c r="O368" t="str">
        <f>_xlfn.IFNA(VLOOKUP(Table2[[#This Row],[Lead Source]],'helper tab'!A:B,2,FALSE),"Exclude")</f>
        <v>Events</v>
      </c>
      <c r="P368" s="476">
        <f ca="1">TODAY() - Table2[[#This Row],[Created Date]]</f>
        <v>75</v>
      </c>
      <c r="Q368">
        <f>IF(OR(Table2[[#This Row],[Stage]]="Propose",Table2[[#This Row],[Stage]]="Procure"),1,0)</f>
        <v>0</v>
      </c>
      <c r="R368">
        <f>IF(Table2[[#This Row],[Stage]]="Closed Won",1,0)</f>
        <v>0</v>
      </c>
      <c r="S368" t="b">
        <f>IFERROR(_xlfn.XLOOKUP(Table2[[#This Row],[Opportunity ID]],'Aging Detail'!$H$14:$H$20,'Aging Detail'!$F$14:$F$20),TRUE)</f>
        <v>1</v>
      </c>
    </row>
    <row r="369" spans="1:19">
      <c r="A369" t="s">
        <v>3877</v>
      </c>
      <c r="B369" t="s">
        <v>3878</v>
      </c>
      <c r="C369" t="s">
        <v>338</v>
      </c>
      <c r="D369" t="s">
        <v>3349</v>
      </c>
      <c r="E369">
        <v>276000</v>
      </c>
      <c r="F369" s="422">
        <v>46568</v>
      </c>
      <c r="G369" s="422">
        <v>46174</v>
      </c>
      <c r="H369" t="s">
        <v>1464</v>
      </c>
      <c r="J369" t="s">
        <v>3484</v>
      </c>
      <c r="K369" t="s">
        <v>3374</v>
      </c>
      <c r="L369" t="s">
        <v>3879</v>
      </c>
      <c r="M369">
        <v>216000</v>
      </c>
      <c r="N369">
        <v>63</v>
      </c>
      <c r="O369" t="str">
        <f>_xlfn.IFNA(VLOOKUP(Table2[[#This Row],[Lead Source]],'helper tab'!A:B,2,FALSE),"Exclude")</f>
        <v>Cold</v>
      </c>
      <c r="P369" s="476">
        <f ca="1">TODAY() - Table2[[#This Row],[Created Date]]</f>
        <v>84</v>
      </c>
      <c r="Q369">
        <f>IF(OR(Table2[[#This Row],[Stage]]="Propose",Table2[[#This Row],[Stage]]="Procure"),1,0)</f>
        <v>0</v>
      </c>
      <c r="R369">
        <f>IF(Table2[[#This Row],[Stage]]="Closed Won",1,0)</f>
        <v>0</v>
      </c>
      <c r="S369" t="b">
        <f>IFERROR(_xlfn.XLOOKUP(Table2[[#This Row],[Opportunity ID]],'Aging Detail'!$H$14:$H$20,'Aging Detail'!$F$14:$F$20),TRUE)</f>
        <v>1</v>
      </c>
    </row>
    <row r="370" spans="1:19" hidden="1">
      <c r="A370" t="s">
        <v>3880</v>
      </c>
      <c r="B370" t="s">
        <v>3881</v>
      </c>
      <c r="C370" t="s">
        <v>408</v>
      </c>
      <c r="D370" t="s">
        <v>3349</v>
      </c>
      <c r="F370" s="422">
        <v>46568</v>
      </c>
      <c r="G370" s="422">
        <v>45880</v>
      </c>
      <c r="H370" t="s">
        <v>1562</v>
      </c>
      <c r="J370" t="s">
        <v>3484</v>
      </c>
      <c r="K370" t="s">
        <v>3374</v>
      </c>
      <c r="L370" t="s">
        <v>3882</v>
      </c>
      <c r="M370">
        <v>0</v>
      </c>
      <c r="N370">
        <v>5</v>
      </c>
      <c r="O370" t="str">
        <f>_xlfn.IFNA(VLOOKUP(Table2[[#This Row],[Lead Source]],'helper tab'!A:B,2,FALSE),"Exclude")</f>
        <v>Exclude</v>
      </c>
      <c r="P370" s="476">
        <f ca="1">TODAY() - Table2[[#This Row],[Created Date]]</f>
        <v>378</v>
      </c>
      <c r="Q370">
        <f>IF(OR(Table2[[#This Row],[Stage]]="Propose",Table2[[#This Row],[Stage]]="Procure"),1,0)</f>
        <v>0</v>
      </c>
      <c r="R370">
        <f>IF(Table2[[#This Row],[Stage]]="Closed Won",1,0)</f>
        <v>0</v>
      </c>
      <c r="S370" t="b">
        <f>IFERROR(_xlfn.XLOOKUP(Table2[[#This Row],[Opportunity ID]],'Aging Detail'!$H$14:$H$20,'Aging Detail'!$F$14:$F$20),TRUE)</f>
        <v>1</v>
      </c>
    </row>
    <row r="371" spans="1:19" hidden="1">
      <c r="A371" t="s">
        <v>3883</v>
      </c>
      <c r="B371" t="s">
        <v>3884</v>
      </c>
      <c r="C371" t="s">
        <v>408</v>
      </c>
      <c r="D371" t="s">
        <v>3349</v>
      </c>
      <c r="E371">
        <v>168000</v>
      </c>
      <c r="F371" s="422">
        <v>46568</v>
      </c>
      <c r="G371" s="422">
        <v>45853</v>
      </c>
      <c r="H371" t="s">
        <v>29</v>
      </c>
      <c r="J371" t="s">
        <v>3484</v>
      </c>
      <c r="K371" t="s">
        <v>3374</v>
      </c>
      <c r="L371" t="s">
        <v>3885</v>
      </c>
      <c r="M371">
        <v>0</v>
      </c>
      <c r="N371">
        <v>368</v>
      </c>
      <c r="O371" t="str">
        <f>_xlfn.IFNA(VLOOKUP(Table2[[#This Row],[Lead Source]],'helper tab'!A:B,2,FALSE),"Exclude")</f>
        <v>Events</v>
      </c>
      <c r="P371" s="476">
        <f ca="1">TODAY() - Table2[[#This Row],[Created Date]]</f>
        <v>405</v>
      </c>
      <c r="Q371">
        <f>IF(OR(Table2[[#This Row],[Stage]]="Propose",Table2[[#This Row],[Stage]]="Procure"),1,0)</f>
        <v>0</v>
      </c>
      <c r="R371">
        <f>IF(Table2[[#This Row],[Stage]]="Closed Won",1,0)</f>
        <v>0</v>
      </c>
      <c r="S371" t="b">
        <f>IFERROR(_xlfn.XLOOKUP(Table2[[#This Row],[Opportunity ID]],'Aging Detail'!$H$14:$H$20,'Aging Detail'!$F$14:$F$20),TRUE)</f>
        <v>1</v>
      </c>
    </row>
    <row r="372" spans="1:19" hidden="1">
      <c r="A372" t="s">
        <v>3886</v>
      </c>
      <c r="B372" t="s">
        <v>3886</v>
      </c>
      <c r="C372" t="s">
        <v>408</v>
      </c>
      <c r="D372" t="s">
        <v>3349</v>
      </c>
      <c r="E372">
        <v>124640</v>
      </c>
      <c r="F372" s="422">
        <v>46568</v>
      </c>
      <c r="G372" s="422">
        <v>45467</v>
      </c>
      <c r="H372" t="s">
        <v>1475</v>
      </c>
      <c r="K372" t="s">
        <v>3374</v>
      </c>
      <c r="L372" t="s">
        <v>3887</v>
      </c>
      <c r="M372">
        <v>44640</v>
      </c>
      <c r="N372">
        <v>668</v>
      </c>
      <c r="O372" t="str">
        <f>_xlfn.IFNA(VLOOKUP(Table2[[#This Row],[Lead Source]],'helper tab'!A:B,2,FALSE),"Exclude")</f>
        <v>Exclude</v>
      </c>
      <c r="P372" s="476">
        <f ca="1">TODAY() - Table2[[#This Row],[Created Date]]</f>
        <v>791</v>
      </c>
      <c r="Q372">
        <f>IF(OR(Table2[[#This Row],[Stage]]="Propose",Table2[[#This Row],[Stage]]="Procure"),1,0)</f>
        <v>0</v>
      </c>
      <c r="R372">
        <f>IF(Table2[[#This Row],[Stage]]="Closed Won",1,0)</f>
        <v>0</v>
      </c>
      <c r="S372" t="b">
        <f>IFERROR(_xlfn.XLOOKUP(Table2[[#This Row],[Opportunity ID]],'Aging Detail'!$H$14:$H$20,'Aging Detail'!$F$14:$F$20),TRUE)</f>
        <v>1</v>
      </c>
    </row>
    <row r="373" spans="1:19" hidden="1">
      <c r="A373" t="s">
        <v>3888</v>
      </c>
      <c r="B373" t="s">
        <v>3889</v>
      </c>
      <c r="C373" t="s">
        <v>408</v>
      </c>
      <c r="D373" t="s">
        <v>3349</v>
      </c>
      <c r="F373" s="422">
        <v>46568</v>
      </c>
      <c r="G373" s="422">
        <v>45401</v>
      </c>
      <c r="H373" t="s">
        <v>1468</v>
      </c>
      <c r="K373" t="s">
        <v>3374</v>
      </c>
      <c r="L373" t="s">
        <v>3890</v>
      </c>
      <c r="M373">
        <v>0</v>
      </c>
      <c r="N373">
        <v>836</v>
      </c>
      <c r="O373" t="str">
        <f>_xlfn.IFNA(VLOOKUP(Table2[[#This Row],[Lead Source]],'helper tab'!A:B,2,FALSE),"Exclude")</f>
        <v>Events</v>
      </c>
      <c r="P373" s="476">
        <f ca="1">TODAY() - Table2[[#This Row],[Created Date]]</f>
        <v>857</v>
      </c>
      <c r="Q373">
        <f>IF(OR(Table2[[#This Row],[Stage]]="Propose",Table2[[#This Row],[Stage]]="Procure"),1,0)</f>
        <v>0</v>
      </c>
      <c r="R373">
        <f>IF(Table2[[#This Row],[Stage]]="Closed Won",1,0)</f>
        <v>0</v>
      </c>
      <c r="S373" t="b">
        <f>IFERROR(_xlfn.XLOOKUP(Table2[[#This Row],[Opportunity ID]],'Aging Detail'!$H$14:$H$20,'Aging Detail'!$F$14:$F$20),TRUE)</f>
        <v>1</v>
      </c>
    </row>
    <row r="374" spans="1:19" hidden="1">
      <c r="A374" t="s">
        <v>3891</v>
      </c>
      <c r="B374" t="s">
        <v>3892</v>
      </c>
      <c r="C374" t="s">
        <v>338</v>
      </c>
      <c r="D374" t="s">
        <v>3349</v>
      </c>
      <c r="E374">
        <v>557800</v>
      </c>
      <c r="F374" s="422">
        <v>46568</v>
      </c>
      <c r="G374" s="422">
        <v>45257</v>
      </c>
      <c r="H374" t="s">
        <v>1473</v>
      </c>
      <c r="K374" t="s">
        <v>3374</v>
      </c>
      <c r="L374" t="s">
        <v>3893</v>
      </c>
      <c r="M374">
        <v>217800</v>
      </c>
      <c r="N374">
        <v>391</v>
      </c>
      <c r="O374" t="str">
        <f>_xlfn.IFNA(VLOOKUP(Table2[[#This Row],[Lead Source]],'helper tab'!A:B,2,FALSE),"Exclude")</f>
        <v>Events</v>
      </c>
      <c r="P374" s="476">
        <f ca="1">TODAY() - Table2[[#This Row],[Created Date]]</f>
        <v>1001</v>
      </c>
      <c r="Q374">
        <f>IF(OR(Table2[[#This Row],[Stage]]="Propose",Table2[[#This Row],[Stage]]="Procure"),1,0)</f>
        <v>0</v>
      </c>
      <c r="R374">
        <f>IF(Table2[[#This Row],[Stage]]="Closed Won",1,0)</f>
        <v>0</v>
      </c>
      <c r="S374" t="b">
        <f>IFERROR(_xlfn.XLOOKUP(Table2[[#This Row],[Opportunity ID]],'Aging Detail'!$H$14:$H$20,'Aging Detail'!$F$14:$F$20),TRUE)</f>
        <v>1</v>
      </c>
    </row>
    <row r="375" spans="1:19" hidden="1">
      <c r="A375" t="s">
        <v>3894</v>
      </c>
      <c r="B375" t="s">
        <v>3895</v>
      </c>
      <c r="C375" t="s">
        <v>338</v>
      </c>
      <c r="D375" t="s">
        <v>3349</v>
      </c>
      <c r="E375">
        <v>458800</v>
      </c>
      <c r="F375" s="422">
        <v>46568</v>
      </c>
      <c r="G375" s="422">
        <v>45016</v>
      </c>
      <c r="H375" t="s">
        <v>1486</v>
      </c>
      <c r="K375" t="s">
        <v>3374</v>
      </c>
      <c r="L375" t="s">
        <v>3896</v>
      </c>
      <c r="M375">
        <v>118800</v>
      </c>
      <c r="N375">
        <v>391</v>
      </c>
      <c r="O375" t="str">
        <f>_xlfn.IFNA(VLOOKUP(Table2[[#This Row],[Lead Source]],'helper tab'!A:B,2,FALSE),"Exclude")</f>
        <v>Exclude</v>
      </c>
      <c r="P375" s="476">
        <f ca="1">TODAY() - Table2[[#This Row],[Created Date]]</f>
        <v>1242</v>
      </c>
      <c r="Q375">
        <f>IF(OR(Table2[[#This Row],[Stage]]="Propose",Table2[[#This Row],[Stage]]="Procure"),1,0)</f>
        <v>0</v>
      </c>
      <c r="R375">
        <f>IF(Table2[[#This Row],[Stage]]="Closed Won",1,0)</f>
        <v>0</v>
      </c>
      <c r="S375" t="b">
        <f>IFERROR(_xlfn.XLOOKUP(Table2[[#This Row],[Opportunity ID]],'Aging Detail'!$H$14:$H$20,'Aging Detail'!$F$14:$F$20),TRUE)</f>
        <v>1</v>
      </c>
    </row>
    <row r="376" spans="1:19" hidden="1">
      <c r="A376" t="s">
        <v>3888</v>
      </c>
      <c r="B376" t="s">
        <v>3897</v>
      </c>
      <c r="C376" t="s">
        <v>408</v>
      </c>
      <c r="D376" t="s">
        <v>3349</v>
      </c>
      <c r="F376" s="422">
        <v>46568</v>
      </c>
      <c r="G376" s="422">
        <v>45401</v>
      </c>
      <c r="H376" t="s">
        <v>1468</v>
      </c>
      <c r="K376" t="s">
        <v>3374</v>
      </c>
      <c r="L376" t="s">
        <v>3898</v>
      </c>
      <c r="M376">
        <v>0</v>
      </c>
      <c r="N376">
        <v>836</v>
      </c>
      <c r="O376" t="str">
        <f>_xlfn.IFNA(VLOOKUP(Table2[[#This Row],[Lead Source]],'helper tab'!A:B,2,FALSE),"Exclude")</f>
        <v>Events</v>
      </c>
      <c r="P376" s="476">
        <f ca="1">TODAY() - Table2[[#This Row],[Created Date]]</f>
        <v>857</v>
      </c>
      <c r="Q376">
        <f>IF(OR(Table2[[#This Row],[Stage]]="Propose",Table2[[#This Row],[Stage]]="Procure"),1,0)</f>
        <v>0</v>
      </c>
      <c r="R376">
        <f>IF(Table2[[#This Row],[Stage]]="Closed Won",1,0)</f>
        <v>0</v>
      </c>
      <c r="S376" t="b">
        <f>IFERROR(_xlfn.XLOOKUP(Table2[[#This Row],[Opportunity ID]],'Aging Detail'!$H$14:$H$20,'Aging Detail'!$F$14:$F$20),TRUE)</f>
        <v>1</v>
      </c>
    </row>
    <row r="377" spans="1:19" hidden="1">
      <c r="A377" t="s">
        <v>3894</v>
      </c>
      <c r="B377" t="s">
        <v>3899</v>
      </c>
      <c r="C377" t="s">
        <v>338</v>
      </c>
      <c r="D377" t="s">
        <v>3349</v>
      </c>
      <c r="E377">
        <v>162600</v>
      </c>
      <c r="F377" s="422">
        <v>46568</v>
      </c>
      <c r="G377" s="422">
        <v>45098</v>
      </c>
      <c r="H377" t="s">
        <v>1486</v>
      </c>
      <c r="K377" t="s">
        <v>3374</v>
      </c>
      <c r="L377" t="s">
        <v>3900</v>
      </c>
      <c r="M377">
        <v>57600</v>
      </c>
      <c r="N377">
        <v>391</v>
      </c>
      <c r="O377" t="str">
        <f>_xlfn.IFNA(VLOOKUP(Table2[[#This Row],[Lead Source]],'helper tab'!A:B,2,FALSE),"Exclude")</f>
        <v>Exclude</v>
      </c>
      <c r="P377" s="476">
        <f ca="1">TODAY() - Table2[[#This Row],[Created Date]]</f>
        <v>1160</v>
      </c>
      <c r="Q377">
        <f>IF(OR(Table2[[#This Row],[Stage]]="Propose",Table2[[#This Row],[Stage]]="Procure"),1,0)</f>
        <v>0</v>
      </c>
      <c r="R377">
        <f>IF(Table2[[#This Row],[Stage]]="Closed Won",1,0)</f>
        <v>0</v>
      </c>
      <c r="S377" t="b">
        <f>IFERROR(_xlfn.XLOOKUP(Table2[[#This Row],[Opportunity ID]],'Aging Detail'!$H$14:$H$20,'Aging Detail'!$F$14:$F$20),TRUE)</f>
        <v>1</v>
      </c>
    </row>
    <row r="378" spans="1:19" hidden="1">
      <c r="A378" t="s">
        <v>3888</v>
      </c>
      <c r="B378" t="s">
        <v>3901</v>
      </c>
      <c r="C378" t="s">
        <v>408</v>
      </c>
      <c r="D378" t="s">
        <v>3349</v>
      </c>
      <c r="E378">
        <v>161500</v>
      </c>
      <c r="F378" s="422">
        <v>46568</v>
      </c>
      <c r="G378" s="422">
        <v>45307</v>
      </c>
      <c r="H378" t="s">
        <v>1486</v>
      </c>
      <c r="K378" t="s">
        <v>3374</v>
      </c>
      <c r="L378" t="s">
        <v>3902</v>
      </c>
      <c r="M378">
        <v>174000</v>
      </c>
      <c r="N378">
        <v>145</v>
      </c>
      <c r="O378" t="str">
        <f>_xlfn.IFNA(VLOOKUP(Table2[[#This Row],[Lead Source]],'helper tab'!A:B,2,FALSE),"Exclude")</f>
        <v>Exclude</v>
      </c>
      <c r="P378" s="476">
        <f ca="1">TODAY() - Table2[[#This Row],[Created Date]]</f>
        <v>951</v>
      </c>
      <c r="Q378">
        <f>IF(OR(Table2[[#This Row],[Stage]]="Propose",Table2[[#This Row],[Stage]]="Procure"),1,0)</f>
        <v>0</v>
      </c>
      <c r="R378">
        <f>IF(Table2[[#This Row],[Stage]]="Closed Won",1,0)</f>
        <v>0</v>
      </c>
      <c r="S378" t="b">
        <f>IFERROR(_xlfn.XLOOKUP(Table2[[#This Row],[Opportunity ID]],'Aging Detail'!$H$14:$H$20,'Aging Detail'!$F$14:$F$20),TRUE)</f>
        <v>1</v>
      </c>
    </row>
    <row r="379" spans="1:19" hidden="1">
      <c r="A379" t="s">
        <v>1808</v>
      </c>
      <c r="B379" t="s">
        <v>1806</v>
      </c>
      <c r="C379" t="s">
        <v>1469</v>
      </c>
      <c r="D379" t="s">
        <v>3359</v>
      </c>
      <c r="E379">
        <v>276000</v>
      </c>
      <c r="F379" s="422">
        <v>46387</v>
      </c>
      <c r="G379" s="422">
        <v>45758</v>
      </c>
      <c r="H379" t="s">
        <v>1464</v>
      </c>
      <c r="K379" t="s">
        <v>3374</v>
      </c>
      <c r="L379" t="s">
        <v>1807</v>
      </c>
      <c r="M379">
        <v>216000</v>
      </c>
      <c r="N379">
        <v>38</v>
      </c>
      <c r="O379" t="str">
        <f>_xlfn.IFNA(VLOOKUP(Table2[[#This Row],[Lead Source]],'helper tab'!A:B,2,FALSE),"Exclude")</f>
        <v>Cold</v>
      </c>
      <c r="P379" s="476">
        <f ca="1">TODAY() - Table2[[#This Row],[Created Date]]</f>
        <v>500</v>
      </c>
      <c r="Q379">
        <f>IF(OR(Table2[[#This Row],[Stage]]="Propose",Table2[[#This Row],[Stage]]="Procure"),1,0)</f>
        <v>0</v>
      </c>
      <c r="R379">
        <f>IF(Table2[[#This Row],[Stage]]="Closed Won",1,0)</f>
        <v>0</v>
      </c>
      <c r="S379" t="b">
        <f>IFERROR(_xlfn.XLOOKUP(Table2[[#This Row],[Opportunity ID]],'Aging Detail'!$H$14:$H$20,'Aging Detail'!$F$14:$F$20),TRUE)</f>
        <v>1</v>
      </c>
    </row>
    <row r="380" spans="1:19">
      <c r="A380" t="s">
        <v>1564</v>
      </c>
      <c r="B380" t="s">
        <v>1561</v>
      </c>
      <c r="C380" t="s">
        <v>1462</v>
      </c>
      <c r="D380" t="s">
        <v>3359</v>
      </c>
      <c r="E380">
        <v>178800</v>
      </c>
      <c r="F380" s="422">
        <v>46374</v>
      </c>
      <c r="G380" s="422">
        <v>46137</v>
      </c>
      <c r="H380" t="s">
        <v>1465</v>
      </c>
      <c r="J380" t="s">
        <v>3484</v>
      </c>
      <c r="K380" t="s">
        <v>3374</v>
      </c>
      <c r="L380" t="s">
        <v>1563</v>
      </c>
      <c r="M380">
        <v>118800</v>
      </c>
      <c r="N380">
        <v>4</v>
      </c>
      <c r="O380" t="str">
        <f>_xlfn.IFNA(VLOOKUP(Table2[[#This Row],[Lead Source]],'helper tab'!A:B,2,FALSE),"Exclude")</f>
        <v>Exclude</v>
      </c>
      <c r="P380" s="476">
        <f ca="1">TODAY() - Table2[[#This Row],[Created Date]]</f>
        <v>121</v>
      </c>
      <c r="Q380">
        <f>IF(OR(Table2[[#This Row],[Stage]]="Propose",Table2[[#This Row],[Stage]]="Procure"),1,0)</f>
        <v>0</v>
      </c>
      <c r="R380">
        <f>IF(Table2[[#This Row],[Stage]]="Closed Won",1,0)</f>
        <v>0</v>
      </c>
      <c r="S380" t="b">
        <f>IFERROR(_xlfn.XLOOKUP(Table2[[#This Row],[Opportunity ID]],'Aging Detail'!$H$14:$H$20,'Aging Detail'!$F$14:$F$20),TRUE)</f>
        <v>1</v>
      </c>
    </row>
    <row r="381" spans="1:19">
      <c r="A381" t="s">
        <v>516</v>
      </c>
      <c r="B381" t="s">
        <v>1558</v>
      </c>
      <c r="C381" t="s">
        <v>1462</v>
      </c>
      <c r="D381" t="s">
        <v>3359</v>
      </c>
      <c r="E381">
        <v>617600</v>
      </c>
      <c r="F381" s="422">
        <v>46374</v>
      </c>
      <c r="G381" s="422">
        <v>46097</v>
      </c>
      <c r="H381" t="s">
        <v>1465</v>
      </c>
      <c r="K381" t="s">
        <v>3374</v>
      </c>
      <c r="L381" t="s">
        <v>1559</v>
      </c>
      <c r="M381">
        <v>537600</v>
      </c>
      <c r="N381">
        <v>4</v>
      </c>
      <c r="O381" t="str">
        <f>_xlfn.IFNA(VLOOKUP(Table2[[#This Row],[Lead Source]],'helper tab'!A:B,2,FALSE),"Exclude")</f>
        <v>Exclude</v>
      </c>
      <c r="P381" s="476">
        <f ca="1">TODAY() - Table2[[#This Row],[Created Date]]</f>
        <v>161</v>
      </c>
      <c r="Q381">
        <f>IF(OR(Table2[[#This Row],[Stage]]="Propose",Table2[[#This Row],[Stage]]="Procure"),1,0)</f>
        <v>0</v>
      </c>
      <c r="R381">
        <f>IF(Table2[[#This Row],[Stage]]="Closed Won",1,0)</f>
        <v>0</v>
      </c>
      <c r="S381" t="b">
        <f>IFERROR(_xlfn.XLOOKUP(Table2[[#This Row],[Opportunity ID]],'Aging Detail'!$H$14:$H$20,'Aging Detail'!$F$14:$F$20),TRUE)</f>
        <v>1</v>
      </c>
    </row>
    <row r="382" spans="1:19">
      <c r="A382" t="s">
        <v>3903</v>
      </c>
      <c r="B382" t="s">
        <v>3904</v>
      </c>
      <c r="C382" t="s">
        <v>408</v>
      </c>
      <c r="D382" t="s">
        <v>3359</v>
      </c>
      <c r="E382">
        <v>50000</v>
      </c>
      <c r="F382" s="422">
        <v>46374</v>
      </c>
      <c r="G382" s="422">
        <v>46037</v>
      </c>
      <c r="H382" t="s">
        <v>1465</v>
      </c>
      <c r="J382" t="s">
        <v>3484</v>
      </c>
      <c r="K382" t="s">
        <v>3374</v>
      </c>
      <c r="L382" t="s">
        <v>3905</v>
      </c>
      <c r="M382">
        <v>50000</v>
      </c>
      <c r="N382">
        <v>5</v>
      </c>
      <c r="O382" t="str">
        <f>_xlfn.IFNA(VLOOKUP(Table2[[#This Row],[Lead Source]],'helper tab'!A:B,2,FALSE),"Exclude")</f>
        <v>Exclude</v>
      </c>
      <c r="P382" s="476">
        <f ca="1">TODAY() - Table2[[#This Row],[Created Date]]</f>
        <v>221</v>
      </c>
      <c r="Q382">
        <f>IF(OR(Table2[[#This Row],[Stage]]="Propose",Table2[[#This Row],[Stage]]="Procure"),1,0)</f>
        <v>0</v>
      </c>
      <c r="R382">
        <f>IF(Table2[[#This Row],[Stage]]="Closed Won",1,0)</f>
        <v>0</v>
      </c>
      <c r="S382" t="b">
        <f>IFERROR(_xlfn.XLOOKUP(Table2[[#This Row],[Opportunity ID]],'Aging Detail'!$H$14:$H$20,'Aging Detail'!$F$14:$F$20),TRUE)</f>
        <v>1</v>
      </c>
    </row>
    <row r="383" spans="1:19">
      <c r="A383" t="s">
        <v>3906</v>
      </c>
      <c r="B383" t="s">
        <v>3907</v>
      </c>
      <c r="C383" t="s">
        <v>338</v>
      </c>
      <c r="D383" t="s">
        <v>3359</v>
      </c>
      <c r="E383">
        <v>50000</v>
      </c>
      <c r="F383" s="422">
        <v>46374</v>
      </c>
      <c r="G383" s="422">
        <v>46037</v>
      </c>
      <c r="H383" t="s">
        <v>1465</v>
      </c>
      <c r="J383" t="s">
        <v>3908</v>
      </c>
      <c r="K383" t="s">
        <v>3374</v>
      </c>
      <c r="L383" t="s">
        <v>3909</v>
      </c>
      <c r="M383">
        <v>50000</v>
      </c>
      <c r="N383">
        <v>200</v>
      </c>
      <c r="O383" t="str">
        <f>_xlfn.IFNA(VLOOKUP(Table2[[#This Row],[Lead Source]],'helper tab'!A:B,2,FALSE),"Exclude")</f>
        <v>Exclude</v>
      </c>
      <c r="P383" s="476">
        <f ca="1">TODAY() - Table2[[#This Row],[Created Date]]</f>
        <v>221</v>
      </c>
      <c r="Q383">
        <f>IF(OR(Table2[[#This Row],[Stage]]="Propose",Table2[[#This Row],[Stage]]="Procure"),1,0)</f>
        <v>0</v>
      </c>
      <c r="R383">
        <f>IF(Table2[[#This Row],[Stage]]="Closed Won",1,0)</f>
        <v>0</v>
      </c>
      <c r="S383" t="b">
        <f>IFERROR(_xlfn.XLOOKUP(Table2[[#This Row],[Opportunity ID]],'Aging Detail'!$H$14:$H$20,'Aging Detail'!$F$14:$F$20),TRUE)</f>
        <v>1</v>
      </c>
    </row>
    <row r="384" spans="1:19">
      <c r="A384" t="s">
        <v>1556</v>
      </c>
      <c r="B384" t="s">
        <v>1554</v>
      </c>
      <c r="C384" t="s">
        <v>1462</v>
      </c>
      <c r="D384" t="s">
        <v>3361</v>
      </c>
      <c r="E384">
        <v>100400</v>
      </c>
      <c r="F384" s="422">
        <v>46283</v>
      </c>
      <c r="G384" s="422">
        <v>46097</v>
      </c>
      <c r="H384" t="s">
        <v>1465</v>
      </c>
      <c r="J384" t="s">
        <v>3484</v>
      </c>
      <c r="K384" t="s">
        <v>3374</v>
      </c>
      <c r="L384" t="s">
        <v>1555</v>
      </c>
      <c r="M384">
        <v>50400</v>
      </c>
      <c r="N384">
        <v>4</v>
      </c>
      <c r="O384" t="str">
        <f>_xlfn.IFNA(VLOOKUP(Table2[[#This Row],[Lead Source]],'helper tab'!A:B,2,FALSE),"Exclude")</f>
        <v>Exclude</v>
      </c>
      <c r="P384" s="476">
        <f ca="1">TODAY() - Table2[[#This Row],[Created Date]]</f>
        <v>161</v>
      </c>
      <c r="Q384">
        <f>IF(OR(Table2[[#This Row],[Stage]]="Propose",Table2[[#This Row],[Stage]]="Procure"),1,0)</f>
        <v>0</v>
      </c>
      <c r="R384">
        <f>IF(Table2[[#This Row],[Stage]]="Closed Won",1,0)</f>
        <v>0</v>
      </c>
      <c r="S384" t="b">
        <f>IFERROR(_xlfn.XLOOKUP(Table2[[#This Row],[Opportunity ID]],'Aging Detail'!$H$14:$H$20,'Aging Detail'!$F$14:$F$20),TRUE)</f>
        <v>1</v>
      </c>
    </row>
    <row r="385" spans="1:19">
      <c r="A385" t="s">
        <v>516</v>
      </c>
      <c r="B385" t="s">
        <v>3910</v>
      </c>
      <c r="C385" t="s">
        <v>408</v>
      </c>
      <c r="D385" t="s">
        <v>3362</v>
      </c>
      <c r="E385">
        <v>0</v>
      </c>
      <c r="F385" s="422">
        <v>46142</v>
      </c>
      <c r="G385" s="422">
        <v>46085</v>
      </c>
      <c r="K385" t="s">
        <v>3374</v>
      </c>
      <c r="L385" t="s">
        <v>3911</v>
      </c>
      <c r="M385">
        <v>0</v>
      </c>
      <c r="N385">
        <v>152</v>
      </c>
      <c r="O385" t="str">
        <f>_xlfn.IFNA(VLOOKUP(Table2[[#This Row],[Lead Source]],'helper tab'!A:B,2,FALSE),"Exclude")</f>
        <v>Exclude</v>
      </c>
      <c r="P385" s="476">
        <f ca="1">TODAY() - Table2[[#This Row],[Created Date]]</f>
        <v>173</v>
      </c>
      <c r="Q385">
        <f>IF(OR(Table2[[#This Row],[Stage]]="Propose",Table2[[#This Row],[Stage]]="Procure"),1,0)</f>
        <v>0</v>
      </c>
      <c r="R385">
        <f>IF(Table2[[#This Row],[Stage]]="Closed Won",1,0)</f>
        <v>0</v>
      </c>
      <c r="S385" t="b">
        <f>IFERROR(_xlfn.XLOOKUP(Table2[[#This Row],[Opportunity ID]],'Aging Detail'!$H$14:$H$20,'Aging Detail'!$F$14:$F$20),TRUE)</f>
        <v>1</v>
      </c>
    </row>
    <row r="386" spans="1:19" hidden="1">
      <c r="A386" t="s">
        <v>1767</v>
      </c>
      <c r="B386" t="s">
        <v>3912</v>
      </c>
      <c r="C386" t="s">
        <v>338</v>
      </c>
      <c r="D386" t="s">
        <v>3363</v>
      </c>
      <c r="E386">
        <v>0</v>
      </c>
      <c r="F386" s="422">
        <v>45966</v>
      </c>
      <c r="G386" s="422">
        <v>45965</v>
      </c>
      <c r="H386" t="s">
        <v>1465</v>
      </c>
      <c r="K386" t="s">
        <v>3374</v>
      </c>
      <c r="L386" t="s">
        <v>3913</v>
      </c>
      <c r="M386">
        <v>0</v>
      </c>
      <c r="N386">
        <v>272</v>
      </c>
      <c r="O386" t="str">
        <f>_xlfn.IFNA(VLOOKUP(Table2[[#This Row],[Lead Source]],'helper tab'!A:B,2,FALSE),"Exclude")</f>
        <v>Exclude</v>
      </c>
      <c r="P386" s="476">
        <f ca="1">TODAY() - Table2[[#This Row],[Created Date]]</f>
        <v>293</v>
      </c>
      <c r="Q386">
        <f>IF(OR(Table2[[#This Row],[Stage]]="Propose",Table2[[#This Row],[Stage]]="Procure"),1,0)</f>
        <v>0</v>
      </c>
      <c r="R386">
        <f>IF(Table2[[#This Row],[Stage]]="Closed Won",1,0)</f>
        <v>0</v>
      </c>
      <c r="S386" t="b">
        <f>IFERROR(_xlfn.XLOOKUP(Table2[[#This Row],[Opportunity ID]],'Aging Detail'!$H$14:$H$20,'Aging Detail'!$F$14:$F$20),TRUE)</f>
        <v>1</v>
      </c>
    </row>
    <row r="387" spans="1:19" hidden="1">
      <c r="A387" t="s">
        <v>516</v>
      </c>
      <c r="B387" t="s">
        <v>525</v>
      </c>
      <c r="C387" t="s">
        <v>563</v>
      </c>
      <c r="D387" t="s">
        <v>3364</v>
      </c>
      <c r="E387">
        <v>1642160</v>
      </c>
      <c r="F387" s="422">
        <v>45911</v>
      </c>
      <c r="G387" s="422">
        <v>45420</v>
      </c>
      <c r="H387" t="s">
        <v>202</v>
      </c>
      <c r="J387" t="s">
        <v>3914</v>
      </c>
      <c r="K387" t="s">
        <v>3374</v>
      </c>
      <c r="L387" t="s">
        <v>2720</v>
      </c>
      <c r="M387">
        <v>576000</v>
      </c>
      <c r="N387">
        <v>312</v>
      </c>
      <c r="O387" t="str">
        <f>_xlfn.IFNA(VLOOKUP(Table2[[#This Row],[Lead Source]],'helper tab'!A:B,2,FALSE),"Exclude")</f>
        <v>Digital</v>
      </c>
      <c r="P387" s="476">
        <f ca="1">TODAY() - Table2[[#This Row],[Created Date]]</f>
        <v>838</v>
      </c>
      <c r="Q387">
        <f>IF(OR(Table2[[#This Row],[Stage]]="Propose",Table2[[#This Row],[Stage]]="Procure"),1,0)</f>
        <v>0</v>
      </c>
      <c r="R387">
        <f>IF(Table2[[#This Row],[Stage]]="Closed Won",1,0)</f>
        <v>1</v>
      </c>
      <c r="S387" t="b">
        <f>IFERROR(_xlfn.XLOOKUP(Table2[[#This Row],[Opportunity ID]],'Aging Detail'!$H$14:$H$20,'Aging Detail'!$F$14:$F$20),TRUE)</f>
        <v>1</v>
      </c>
    </row>
    <row r="388" spans="1:19" hidden="1">
      <c r="A388" t="s">
        <v>3915</v>
      </c>
      <c r="B388" t="s">
        <v>3916</v>
      </c>
      <c r="C388" t="s">
        <v>1469</v>
      </c>
      <c r="D388" t="s">
        <v>3415</v>
      </c>
      <c r="F388" s="422">
        <v>45784</v>
      </c>
      <c r="G388" s="422">
        <v>45419</v>
      </c>
      <c r="H388" t="s">
        <v>1486</v>
      </c>
      <c r="K388" t="s">
        <v>3374</v>
      </c>
      <c r="L388" t="s">
        <v>3917</v>
      </c>
      <c r="M388">
        <v>0</v>
      </c>
      <c r="N388">
        <v>818</v>
      </c>
      <c r="O388" t="str">
        <f>_xlfn.IFNA(VLOOKUP(Table2[[#This Row],[Lead Source]],'helper tab'!A:B,2,FALSE),"Exclude")</f>
        <v>Exclude</v>
      </c>
      <c r="P388" s="476">
        <f ca="1">TODAY() - Table2[[#This Row],[Created Date]]</f>
        <v>839</v>
      </c>
      <c r="Q388">
        <f>IF(OR(Table2[[#This Row],[Stage]]="Propose",Table2[[#This Row],[Stage]]="Procure"),1,0)</f>
        <v>0</v>
      </c>
      <c r="R388">
        <f>IF(Table2[[#This Row],[Stage]]="Closed Won",1,0)</f>
        <v>0</v>
      </c>
      <c r="S388" t="b">
        <f>IFERROR(_xlfn.XLOOKUP(Table2[[#This Row],[Opportunity ID]],'Aging Detail'!$H$14:$H$20,'Aging Detail'!$F$14:$F$20),TRUE)</f>
        <v>1</v>
      </c>
    </row>
    <row r="389" spans="1:19" hidden="1">
      <c r="A389" t="s">
        <v>3888</v>
      </c>
      <c r="B389" t="s">
        <v>3918</v>
      </c>
      <c r="C389" t="s">
        <v>1469</v>
      </c>
      <c r="D389" t="s">
        <v>3366</v>
      </c>
      <c r="E389">
        <v>12500</v>
      </c>
      <c r="F389" s="422">
        <v>45703</v>
      </c>
      <c r="G389" s="422">
        <v>45365</v>
      </c>
      <c r="K389" t="s">
        <v>3374</v>
      </c>
      <c r="L389" t="s">
        <v>3919</v>
      </c>
      <c r="M389">
        <v>12500</v>
      </c>
      <c r="N389">
        <v>704</v>
      </c>
      <c r="O389" t="str">
        <f>_xlfn.IFNA(VLOOKUP(Table2[[#This Row],[Lead Source]],'helper tab'!A:B,2,FALSE),"Exclude")</f>
        <v>Exclude</v>
      </c>
      <c r="P389" s="476">
        <f ca="1">TODAY() - Table2[[#This Row],[Created Date]]</f>
        <v>893</v>
      </c>
      <c r="Q389">
        <f>IF(OR(Table2[[#This Row],[Stage]]="Propose",Table2[[#This Row],[Stage]]="Procure"),1,0)</f>
        <v>0</v>
      </c>
      <c r="R389">
        <f>IF(Table2[[#This Row],[Stage]]="Closed Won",1,0)</f>
        <v>0</v>
      </c>
      <c r="S389" t="b">
        <f>IFERROR(_xlfn.XLOOKUP(Table2[[#This Row],[Opportunity ID]],'Aging Detail'!$H$14:$H$20,'Aging Detail'!$F$14:$F$20),TRUE)</f>
        <v>1</v>
      </c>
    </row>
    <row r="390" spans="1:19" hidden="1">
      <c r="A390" t="s">
        <v>3920</v>
      </c>
      <c r="B390" t="s">
        <v>3921</v>
      </c>
      <c r="C390" t="s">
        <v>1469</v>
      </c>
      <c r="D390" t="s">
        <v>3422</v>
      </c>
      <c r="E390">
        <v>50000</v>
      </c>
      <c r="F390" s="422">
        <v>45482</v>
      </c>
      <c r="G390" s="422">
        <v>45303</v>
      </c>
      <c r="H390" t="s">
        <v>1486</v>
      </c>
      <c r="K390" t="s">
        <v>3374</v>
      </c>
      <c r="L390" t="s">
        <v>3922</v>
      </c>
      <c r="M390">
        <v>50000</v>
      </c>
      <c r="N390">
        <v>738</v>
      </c>
      <c r="O390" t="str">
        <f>_xlfn.IFNA(VLOOKUP(Table2[[#This Row],[Lead Source]],'helper tab'!A:B,2,FALSE),"Exclude")</f>
        <v>Exclude</v>
      </c>
      <c r="P390" s="476">
        <f ca="1">TODAY() - Table2[[#This Row],[Created Date]]</f>
        <v>955</v>
      </c>
      <c r="Q390">
        <f>IF(OR(Table2[[#This Row],[Stage]]="Propose",Table2[[#This Row],[Stage]]="Procure"),1,0)</f>
        <v>0</v>
      </c>
      <c r="R390">
        <f>IF(Table2[[#This Row],[Stage]]="Closed Won",1,0)</f>
        <v>0</v>
      </c>
      <c r="S390" t="b">
        <f>IFERROR(_xlfn.XLOOKUP(Table2[[#This Row],[Opportunity ID]],'Aging Detail'!$H$14:$H$20,'Aging Detail'!$F$14:$F$20),TRUE)</f>
        <v>1</v>
      </c>
    </row>
    <row r="391" spans="1:19" hidden="1">
      <c r="A391" t="s">
        <v>3923</v>
      </c>
      <c r="B391" t="s">
        <v>3924</v>
      </c>
      <c r="C391" t="s">
        <v>1469</v>
      </c>
      <c r="D391" t="s">
        <v>3666</v>
      </c>
      <c r="F391" s="422">
        <v>73050</v>
      </c>
      <c r="G391" s="422">
        <v>44574</v>
      </c>
      <c r="H391" t="s">
        <v>1484</v>
      </c>
      <c r="K391" t="s">
        <v>3365</v>
      </c>
      <c r="L391" t="s">
        <v>3925</v>
      </c>
      <c r="M391">
        <v>0</v>
      </c>
      <c r="N391">
        <v>1663</v>
      </c>
      <c r="O391" t="str">
        <f>_xlfn.IFNA(VLOOKUP(Table2[[#This Row],[Lead Source]],'helper tab'!A:B,2,FALSE),"Exclude")</f>
        <v>Exclude</v>
      </c>
      <c r="P391" s="476">
        <f ca="1">TODAY() - Table2[[#This Row],[Created Date]]</f>
        <v>1684</v>
      </c>
      <c r="Q391">
        <f>IF(OR(Table2[[#This Row],[Stage]]="Propose",Table2[[#This Row],[Stage]]="Procure"),1,0)</f>
        <v>0</v>
      </c>
      <c r="R391">
        <f>IF(Table2[[#This Row],[Stage]]="Closed Won",1,0)</f>
        <v>0</v>
      </c>
      <c r="S391" t="b">
        <f>IFERROR(_xlfn.XLOOKUP(Table2[[#This Row],[Opportunity ID]],'Aging Detail'!$H$14:$H$20,'Aging Detail'!$F$14:$F$20),TRUE)</f>
        <v>1</v>
      </c>
    </row>
    <row r="392" spans="1:19" hidden="1">
      <c r="A392" t="s">
        <v>3926</v>
      </c>
      <c r="B392" t="s">
        <v>3927</v>
      </c>
      <c r="C392" t="s">
        <v>1469</v>
      </c>
      <c r="D392" t="s">
        <v>3666</v>
      </c>
      <c r="F392" s="422">
        <v>73050</v>
      </c>
      <c r="G392" s="422">
        <v>44832</v>
      </c>
      <c r="H392" t="s">
        <v>1484</v>
      </c>
      <c r="K392" t="s">
        <v>3365</v>
      </c>
      <c r="L392" t="s">
        <v>3928</v>
      </c>
      <c r="M392">
        <v>0</v>
      </c>
      <c r="N392">
        <v>1405</v>
      </c>
      <c r="O392" t="str">
        <f>_xlfn.IFNA(VLOOKUP(Table2[[#This Row],[Lead Source]],'helper tab'!A:B,2,FALSE),"Exclude")</f>
        <v>Exclude</v>
      </c>
      <c r="P392" s="476">
        <f ca="1">TODAY() - Table2[[#This Row],[Created Date]]</f>
        <v>1426</v>
      </c>
      <c r="Q392">
        <f>IF(OR(Table2[[#This Row],[Stage]]="Propose",Table2[[#This Row],[Stage]]="Procure"),1,0)</f>
        <v>0</v>
      </c>
      <c r="R392">
        <f>IF(Table2[[#This Row],[Stage]]="Closed Won",1,0)</f>
        <v>0</v>
      </c>
      <c r="S392" t="b">
        <f>IFERROR(_xlfn.XLOOKUP(Table2[[#This Row],[Opportunity ID]],'Aging Detail'!$H$14:$H$20,'Aging Detail'!$F$14:$F$20),TRUE)</f>
        <v>1</v>
      </c>
    </row>
    <row r="393" spans="1:19" hidden="1">
      <c r="A393" t="s">
        <v>2305</v>
      </c>
      <c r="B393" t="s">
        <v>2303</v>
      </c>
      <c r="C393" t="s">
        <v>1469</v>
      </c>
      <c r="D393" t="s">
        <v>3385</v>
      </c>
      <c r="F393" s="422">
        <v>46660</v>
      </c>
      <c r="G393" s="422">
        <v>45370</v>
      </c>
      <c r="K393" t="s">
        <v>3365</v>
      </c>
      <c r="L393" t="s">
        <v>2304</v>
      </c>
      <c r="M393">
        <v>0</v>
      </c>
      <c r="N393">
        <v>194</v>
      </c>
      <c r="O393" t="str">
        <f>_xlfn.IFNA(VLOOKUP(Table2[[#This Row],[Lead Source]],'helper tab'!A:B,2,FALSE),"Exclude")</f>
        <v>Exclude</v>
      </c>
      <c r="P393" s="476">
        <f ca="1">TODAY() - Table2[[#This Row],[Created Date]]</f>
        <v>888</v>
      </c>
      <c r="Q393">
        <f>IF(OR(Table2[[#This Row],[Stage]]="Propose",Table2[[#This Row],[Stage]]="Procure"),1,0)</f>
        <v>0</v>
      </c>
      <c r="R393">
        <f>IF(Table2[[#This Row],[Stage]]="Closed Won",1,0)</f>
        <v>0</v>
      </c>
      <c r="S393" t="b">
        <f>IFERROR(_xlfn.XLOOKUP(Table2[[#This Row],[Opportunity ID]],'Aging Detail'!$H$14:$H$20,'Aging Detail'!$F$14:$F$20),TRUE)</f>
        <v>1</v>
      </c>
    </row>
    <row r="394" spans="1:19" hidden="1">
      <c r="A394" t="s">
        <v>3929</v>
      </c>
      <c r="B394" t="s">
        <v>3930</v>
      </c>
      <c r="C394" t="s">
        <v>1462</v>
      </c>
      <c r="D394" t="s">
        <v>3385</v>
      </c>
      <c r="E394">
        <v>2957060</v>
      </c>
      <c r="F394" s="422">
        <v>46619</v>
      </c>
      <c r="G394" s="422">
        <v>44414</v>
      </c>
      <c r="H394" t="s">
        <v>1486</v>
      </c>
      <c r="K394" t="s">
        <v>3365</v>
      </c>
      <c r="L394" t="s">
        <v>3931</v>
      </c>
      <c r="M394">
        <v>2725560</v>
      </c>
      <c r="N394">
        <v>4</v>
      </c>
      <c r="O394" t="str">
        <f>_xlfn.IFNA(VLOOKUP(Table2[[#This Row],[Lead Source]],'helper tab'!A:B,2,FALSE),"Exclude")</f>
        <v>Exclude</v>
      </c>
      <c r="P394" s="476">
        <f ca="1">TODAY() - Table2[[#This Row],[Created Date]]</f>
        <v>1844</v>
      </c>
      <c r="Q394">
        <f>IF(OR(Table2[[#This Row],[Stage]]="Propose",Table2[[#This Row],[Stage]]="Procure"),1,0)</f>
        <v>0</v>
      </c>
      <c r="R394">
        <f>IF(Table2[[#This Row],[Stage]]="Closed Won",1,0)</f>
        <v>0</v>
      </c>
      <c r="S394" t="b">
        <f>IFERROR(_xlfn.XLOOKUP(Table2[[#This Row],[Opportunity ID]],'Aging Detail'!$H$14:$H$20,'Aging Detail'!$F$14:$F$20),TRUE)</f>
        <v>1</v>
      </c>
    </row>
    <row r="395" spans="1:19" hidden="1">
      <c r="A395" t="s">
        <v>3932</v>
      </c>
      <c r="B395" t="s">
        <v>3933</v>
      </c>
      <c r="C395" t="s">
        <v>338</v>
      </c>
      <c r="D395" t="s">
        <v>3385</v>
      </c>
      <c r="E395">
        <v>1972000</v>
      </c>
      <c r="F395" s="422">
        <v>46569</v>
      </c>
      <c r="G395" s="422">
        <v>44783</v>
      </c>
      <c r="H395" t="s">
        <v>1486</v>
      </c>
      <c r="K395" t="s">
        <v>3365</v>
      </c>
      <c r="L395" t="s">
        <v>3934</v>
      </c>
      <c r="M395">
        <v>1632000</v>
      </c>
      <c r="N395">
        <v>1454</v>
      </c>
      <c r="O395" t="str">
        <f>_xlfn.IFNA(VLOOKUP(Table2[[#This Row],[Lead Source]],'helper tab'!A:B,2,FALSE),"Exclude")</f>
        <v>Exclude</v>
      </c>
      <c r="P395" s="476">
        <f ca="1">TODAY() - Table2[[#This Row],[Created Date]]</f>
        <v>1475</v>
      </c>
      <c r="Q395">
        <f>IF(OR(Table2[[#This Row],[Stage]]="Propose",Table2[[#This Row],[Stage]]="Procure"),1,0)</f>
        <v>0</v>
      </c>
      <c r="R395">
        <f>IF(Table2[[#This Row],[Stage]]="Closed Won",1,0)</f>
        <v>0</v>
      </c>
      <c r="S395" t="b">
        <f>IFERROR(_xlfn.XLOOKUP(Table2[[#This Row],[Opportunity ID]],'Aging Detail'!$H$14:$H$20,'Aging Detail'!$F$14:$F$20),TRUE)</f>
        <v>1</v>
      </c>
    </row>
    <row r="396" spans="1:19" hidden="1">
      <c r="A396" t="s">
        <v>2301</v>
      </c>
      <c r="B396" t="s">
        <v>3935</v>
      </c>
      <c r="C396" t="s">
        <v>338</v>
      </c>
      <c r="D396" t="s">
        <v>3349</v>
      </c>
      <c r="E396">
        <v>200000</v>
      </c>
      <c r="F396" s="422">
        <v>46493</v>
      </c>
      <c r="G396" s="422">
        <v>45197</v>
      </c>
      <c r="H396" t="s">
        <v>1484</v>
      </c>
      <c r="K396" t="s">
        <v>3365</v>
      </c>
      <c r="L396" t="s">
        <v>3936</v>
      </c>
      <c r="M396">
        <v>200000</v>
      </c>
      <c r="N396">
        <v>1040</v>
      </c>
      <c r="O396" t="str">
        <f>_xlfn.IFNA(VLOOKUP(Table2[[#This Row],[Lead Source]],'helper tab'!A:B,2,FALSE),"Exclude")</f>
        <v>Exclude</v>
      </c>
      <c r="P396" s="476">
        <f ca="1">TODAY() - Table2[[#This Row],[Created Date]]</f>
        <v>1061</v>
      </c>
      <c r="Q396">
        <f>IF(OR(Table2[[#This Row],[Stage]]="Propose",Table2[[#This Row],[Stage]]="Procure"),1,0)</f>
        <v>0</v>
      </c>
      <c r="R396">
        <f>IF(Table2[[#This Row],[Stage]]="Closed Won",1,0)</f>
        <v>0</v>
      </c>
      <c r="S396" t="b">
        <f>IFERROR(_xlfn.XLOOKUP(Table2[[#This Row],[Opportunity ID]],'Aging Detail'!$H$14:$H$20,'Aging Detail'!$F$14:$F$20),TRUE)</f>
        <v>1</v>
      </c>
    </row>
    <row r="397" spans="1:19" hidden="1">
      <c r="A397" t="s">
        <v>3937</v>
      </c>
      <c r="B397" t="s">
        <v>3938</v>
      </c>
      <c r="C397" t="s">
        <v>338</v>
      </c>
      <c r="D397" t="s">
        <v>3352</v>
      </c>
      <c r="E397">
        <v>311250</v>
      </c>
      <c r="F397" s="422">
        <v>46471</v>
      </c>
      <c r="G397" s="422">
        <v>44526</v>
      </c>
      <c r="H397" t="s">
        <v>1486</v>
      </c>
      <c r="K397" t="s">
        <v>3365</v>
      </c>
      <c r="L397" t="s">
        <v>3939</v>
      </c>
      <c r="M397">
        <v>311250</v>
      </c>
      <c r="N397">
        <v>1711</v>
      </c>
      <c r="O397" t="str">
        <f>_xlfn.IFNA(VLOOKUP(Table2[[#This Row],[Lead Source]],'helper tab'!A:B,2,FALSE),"Exclude")</f>
        <v>Exclude</v>
      </c>
      <c r="P397" s="476">
        <f ca="1">TODAY() - Table2[[#This Row],[Created Date]]</f>
        <v>1732</v>
      </c>
      <c r="Q397">
        <f>IF(OR(Table2[[#This Row],[Stage]]="Propose",Table2[[#This Row],[Stage]]="Procure"),1,0)</f>
        <v>0</v>
      </c>
      <c r="R397">
        <f>IF(Table2[[#This Row],[Stage]]="Closed Won",1,0)</f>
        <v>0</v>
      </c>
      <c r="S397" t="b">
        <f>IFERROR(_xlfn.XLOOKUP(Table2[[#This Row],[Opportunity ID]],'Aging Detail'!$H$14:$H$20,'Aging Detail'!$F$14:$F$20),TRUE)</f>
        <v>1</v>
      </c>
    </row>
    <row r="398" spans="1:19" hidden="1">
      <c r="A398" t="s">
        <v>3937</v>
      </c>
      <c r="B398" t="s">
        <v>3940</v>
      </c>
      <c r="C398" t="s">
        <v>408</v>
      </c>
      <c r="D398" t="s">
        <v>3359</v>
      </c>
      <c r="F398" s="422">
        <v>46387</v>
      </c>
      <c r="G398" s="422">
        <v>44579</v>
      </c>
      <c r="H398" t="s">
        <v>1484</v>
      </c>
      <c r="K398" t="s">
        <v>3365</v>
      </c>
      <c r="L398" t="s">
        <v>3941</v>
      </c>
      <c r="M398">
        <v>0</v>
      </c>
      <c r="N398">
        <v>1658</v>
      </c>
      <c r="O398" t="str">
        <f>_xlfn.IFNA(VLOOKUP(Table2[[#This Row],[Lead Source]],'helper tab'!A:B,2,FALSE),"Exclude")</f>
        <v>Exclude</v>
      </c>
      <c r="P398" s="476">
        <f ca="1">TODAY() - Table2[[#This Row],[Created Date]]</f>
        <v>1679</v>
      </c>
      <c r="Q398">
        <f>IF(OR(Table2[[#This Row],[Stage]]="Propose",Table2[[#This Row],[Stage]]="Procure"),1,0)</f>
        <v>0</v>
      </c>
      <c r="R398">
        <f>IF(Table2[[#This Row],[Stage]]="Closed Won",1,0)</f>
        <v>0</v>
      </c>
      <c r="S398" t="b">
        <f>IFERROR(_xlfn.XLOOKUP(Table2[[#This Row],[Opportunity ID]],'Aging Detail'!$H$14:$H$20,'Aging Detail'!$F$14:$F$20),TRUE)</f>
        <v>1</v>
      </c>
    </row>
    <row r="399" spans="1:19" hidden="1">
      <c r="A399" t="s">
        <v>2301</v>
      </c>
      <c r="B399" t="s">
        <v>2340</v>
      </c>
      <c r="C399" t="s">
        <v>1462</v>
      </c>
      <c r="D399" t="s">
        <v>3359</v>
      </c>
      <c r="E399">
        <v>151200</v>
      </c>
      <c r="F399" s="422">
        <v>46374</v>
      </c>
      <c r="G399" s="422">
        <v>45700</v>
      </c>
      <c r="K399" t="s">
        <v>3365</v>
      </c>
      <c r="L399" t="s">
        <v>2341</v>
      </c>
      <c r="M399">
        <v>151200</v>
      </c>
      <c r="N399">
        <v>202</v>
      </c>
      <c r="O399" t="str">
        <f>_xlfn.IFNA(VLOOKUP(Table2[[#This Row],[Lead Source]],'helper tab'!A:B,2,FALSE),"Exclude")</f>
        <v>Exclude</v>
      </c>
      <c r="P399" s="476">
        <f ca="1">TODAY() - Table2[[#This Row],[Created Date]]</f>
        <v>558</v>
      </c>
      <c r="Q399">
        <f>IF(OR(Table2[[#This Row],[Stage]]="Propose",Table2[[#This Row],[Stage]]="Procure"),1,0)</f>
        <v>0</v>
      </c>
      <c r="R399">
        <f>IF(Table2[[#This Row],[Stage]]="Closed Won",1,0)</f>
        <v>0</v>
      </c>
      <c r="S399" t="b">
        <f>IFERROR(_xlfn.XLOOKUP(Table2[[#This Row],[Opportunity ID]],'Aging Detail'!$H$14:$H$20,'Aging Detail'!$F$14:$F$20),TRUE)</f>
        <v>1</v>
      </c>
    </row>
    <row r="400" spans="1:19">
      <c r="A400" t="s">
        <v>3937</v>
      </c>
      <c r="B400" t="s">
        <v>3942</v>
      </c>
      <c r="C400" t="s">
        <v>408</v>
      </c>
      <c r="D400" t="s">
        <v>3359</v>
      </c>
      <c r="F400" s="422">
        <v>46345</v>
      </c>
      <c r="G400" s="422">
        <v>46134</v>
      </c>
      <c r="K400" t="s">
        <v>3365</v>
      </c>
      <c r="L400" t="s">
        <v>3943</v>
      </c>
      <c r="M400">
        <v>0</v>
      </c>
      <c r="N400">
        <v>103</v>
      </c>
      <c r="O400" t="str">
        <f>_xlfn.IFNA(VLOOKUP(Table2[[#This Row],[Lead Source]],'helper tab'!A:B,2,FALSE),"Exclude")</f>
        <v>Exclude</v>
      </c>
      <c r="P400" s="476">
        <f ca="1">TODAY() - Table2[[#This Row],[Created Date]]</f>
        <v>124</v>
      </c>
      <c r="Q400">
        <f>IF(OR(Table2[[#This Row],[Stage]]="Propose",Table2[[#This Row],[Stage]]="Procure"),1,0)</f>
        <v>0</v>
      </c>
      <c r="R400">
        <f>IF(Table2[[#This Row],[Stage]]="Closed Won",1,0)</f>
        <v>0</v>
      </c>
      <c r="S400" t="b">
        <f>IFERROR(_xlfn.XLOOKUP(Table2[[#This Row],[Opportunity ID]],'Aging Detail'!$H$14:$H$20,'Aging Detail'!$F$14:$F$20),TRUE)</f>
        <v>1</v>
      </c>
    </row>
    <row r="401" spans="1:19">
      <c r="A401" t="s">
        <v>3944</v>
      </c>
      <c r="B401" t="s">
        <v>3945</v>
      </c>
      <c r="C401" t="s">
        <v>338</v>
      </c>
      <c r="D401" t="s">
        <v>3362</v>
      </c>
      <c r="F401" s="422">
        <v>46203</v>
      </c>
      <c r="G401" s="422">
        <v>46125</v>
      </c>
      <c r="H401" t="s">
        <v>29</v>
      </c>
      <c r="J401" t="s">
        <v>3946</v>
      </c>
      <c r="K401" t="s">
        <v>3365</v>
      </c>
      <c r="L401" t="s">
        <v>3947</v>
      </c>
      <c r="M401">
        <v>0</v>
      </c>
      <c r="N401">
        <v>112</v>
      </c>
      <c r="O401" t="str">
        <f>_xlfn.IFNA(VLOOKUP(Table2[[#This Row],[Lead Source]],'helper tab'!A:B,2,FALSE),"Exclude")</f>
        <v>Events</v>
      </c>
      <c r="P401" s="476">
        <f ca="1">TODAY() - Table2[[#This Row],[Created Date]]</f>
        <v>133</v>
      </c>
      <c r="Q401">
        <f>IF(OR(Table2[[#This Row],[Stage]]="Propose",Table2[[#This Row],[Stage]]="Procure"),1,0)</f>
        <v>0</v>
      </c>
      <c r="R401">
        <f>IF(Table2[[#This Row],[Stage]]="Closed Won",1,0)</f>
        <v>0</v>
      </c>
      <c r="S401" t="b">
        <f>IFERROR(_xlfn.XLOOKUP(Table2[[#This Row],[Opportunity ID]],'Aging Detail'!$H$14:$H$20,'Aging Detail'!$F$14:$F$20),TRUE)</f>
        <v>1</v>
      </c>
    </row>
    <row r="402" spans="1:19" hidden="1">
      <c r="A402" t="s">
        <v>2301</v>
      </c>
      <c r="B402" t="s">
        <v>2299</v>
      </c>
      <c r="C402" t="s">
        <v>563</v>
      </c>
      <c r="D402" t="s">
        <v>3380</v>
      </c>
      <c r="E402">
        <v>363528</v>
      </c>
      <c r="F402" s="422">
        <v>46042</v>
      </c>
      <c r="G402" s="422">
        <v>45700</v>
      </c>
      <c r="K402" t="s">
        <v>3365</v>
      </c>
      <c r="L402" t="s">
        <v>2300</v>
      </c>
      <c r="M402">
        <v>363528</v>
      </c>
      <c r="N402">
        <v>193</v>
      </c>
      <c r="O402" t="str">
        <f>_xlfn.IFNA(VLOOKUP(Table2[[#This Row],[Lead Source]],'helper tab'!A:B,2,FALSE),"Exclude")</f>
        <v>Exclude</v>
      </c>
      <c r="P402" s="476">
        <f ca="1">TODAY() - Table2[[#This Row],[Created Date]]</f>
        <v>558</v>
      </c>
      <c r="Q402">
        <f>IF(OR(Table2[[#This Row],[Stage]]="Propose",Table2[[#This Row],[Stage]]="Procure"),1,0)</f>
        <v>0</v>
      </c>
      <c r="R402">
        <f>IF(Table2[[#This Row],[Stage]]="Closed Won",1,0)</f>
        <v>1</v>
      </c>
      <c r="S402" t="b">
        <f>IFERROR(_xlfn.XLOOKUP(Table2[[#This Row],[Opportunity ID]],'Aging Detail'!$H$14:$H$20,'Aging Detail'!$F$14:$F$20),TRUE)</f>
        <v>1</v>
      </c>
    </row>
    <row r="403" spans="1:19" hidden="1">
      <c r="A403" t="s">
        <v>2301</v>
      </c>
      <c r="B403" t="s">
        <v>2389</v>
      </c>
      <c r="C403" t="s">
        <v>563</v>
      </c>
      <c r="D403" t="s">
        <v>3363</v>
      </c>
      <c r="E403">
        <v>76461.84</v>
      </c>
      <c r="F403" s="422">
        <v>46022</v>
      </c>
      <c r="G403" s="422">
        <v>46022</v>
      </c>
      <c r="K403" t="s">
        <v>3365</v>
      </c>
      <c r="L403" t="s">
        <v>2390</v>
      </c>
      <c r="M403">
        <v>76461.84</v>
      </c>
      <c r="N403">
        <v>215</v>
      </c>
      <c r="O403" t="str">
        <f>_xlfn.IFNA(VLOOKUP(Table2[[#This Row],[Lead Source]],'helper tab'!A:B,2,FALSE),"Exclude")</f>
        <v>Exclude</v>
      </c>
      <c r="P403" s="476">
        <f ca="1">TODAY() - Table2[[#This Row],[Created Date]]</f>
        <v>236</v>
      </c>
      <c r="Q403">
        <f>IF(OR(Table2[[#This Row],[Stage]]="Propose",Table2[[#This Row],[Stage]]="Procure"),1,0)</f>
        <v>0</v>
      </c>
      <c r="R403">
        <f>IF(Table2[[#This Row],[Stage]]="Closed Won",1,0)</f>
        <v>1</v>
      </c>
      <c r="S403" t="b">
        <f>IFERROR(_xlfn.XLOOKUP(Table2[[#This Row],[Opportunity ID]],'Aging Detail'!$H$14:$H$20,'Aging Detail'!$F$14:$F$20),TRUE)</f>
        <v>1</v>
      </c>
    </row>
    <row r="404" spans="1:19" hidden="1">
      <c r="A404" t="s">
        <v>3937</v>
      </c>
      <c r="B404" t="s">
        <v>3948</v>
      </c>
      <c r="C404" t="s">
        <v>408</v>
      </c>
      <c r="D404" t="s">
        <v>3363</v>
      </c>
      <c r="E404">
        <v>21000</v>
      </c>
      <c r="F404" s="422">
        <v>46010</v>
      </c>
      <c r="G404" s="422">
        <v>45678</v>
      </c>
      <c r="K404" t="s">
        <v>3365</v>
      </c>
      <c r="L404" t="s">
        <v>3949</v>
      </c>
      <c r="M404">
        <v>0</v>
      </c>
      <c r="N404">
        <v>559</v>
      </c>
      <c r="O404" t="str">
        <f>_xlfn.IFNA(VLOOKUP(Table2[[#This Row],[Lead Source]],'helper tab'!A:B,2,FALSE),"Exclude")</f>
        <v>Exclude</v>
      </c>
      <c r="P404" s="476">
        <f ca="1">TODAY() - Table2[[#This Row],[Created Date]]</f>
        <v>580</v>
      </c>
      <c r="Q404">
        <f>IF(OR(Table2[[#This Row],[Stage]]="Propose",Table2[[#This Row],[Stage]]="Procure"),1,0)</f>
        <v>0</v>
      </c>
      <c r="R404">
        <f>IF(Table2[[#This Row],[Stage]]="Closed Won",1,0)</f>
        <v>0</v>
      </c>
      <c r="S404" t="b">
        <f>IFERROR(_xlfn.XLOOKUP(Table2[[#This Row],[Opportunity ID]],'Aging Detail'!$H$14:$H$20,'Aging Detail'!$F$14:$F$20),TRUE)</f>
        <v>1</v>
      </c>
    </row>
    <row r="405" spans="1:19" hidden="1">
      <c r="A405" t="s">
        <v>3932</v>
      </c>
      <c r="B405" t="s">
        <v>3950</v>
      </c>
      <c r="C405" t="s">
        <v>1469</v>
      </c>
      <c r="D405" t="s">
        <v>3363</v>
      </c>
      <c r="F405" s="422">
        <v>45931</v>
      </c>
      <c r="G405" s="422">
        <v>44270</v>
      </c>
      <c r="H405" t="s">
        <v>1486</v>
      </c>
      <c r="K405" t="s">
        <v>3365</v>
      </c>
      <c r="L405" t="s">
        <v>3951</v>
      </c>
      <c r="M405">
        <v>0</v>
      </c>
      <c r="N405">
        <v>1967</v>
      </c>
      <c r="O405" t="str">
        <f>_xlfn.IFNA(VLOOKUP(Table2[[#This Row],[Lead Source]],'helper tab'!A:B,2,FALSE),"Exclude")</f>
        <v>Exclude</v>
      </c>
      <c r="P405" s="476">
        <f ca="1">TODAY() - Table2[[#This Row],[Created Date]]</f>
        <v>1988</v>
      </c>
      <c r="Q405">
        <f>IF(OR(Table2[[#This Row],[Stage]]="Propose",Table2[[#This Row],[Stage]]="Procure"),1,0)</f>
        <v>0</v>
      </c>
      <c r="R405">
        <f>IF(Table2[[#This Row],[Stage]]="Closed Won",1,0)</f>
        <v>0</v>
      </c>
      <c r="S405" t="b">
        <f>IFERROR(_xlfn.XLOOKUP(Table2[[#This Row],[Opportunity ID]],'Aging Detail'!$H$14:$H$20,'Aging Detail'!$F$14:$F$20),TRUE)</f>
        <v>1</v>
      </c>
    </row>
    <row r="406" spans="1:19" hidden="1">
      <c r="A406" t="s">
        <v>2301</v>
      </c>
      <c r="B406" t="s">
        <v>2991</v>
      </c>
      <c r="C406" t="s">
        <v>563</v>
      </c>
      <c r="D406" t="s">
        <v>3415</v>
      </c>
      <c r="E406">
        <v>1076559.75</v>
      </c>
      <c r="F406" s="422">
        <v>45814</v>
      </c>
      <c r="G406" s="422">
        <v>45432</v>
      </c>
      <c r="K406" t="s">
        <v>3365</v>
      </c>
      <c r="L406" t="s">
        <v>2992</v>
      </c>
      <c r="M406">
        <v>0</v>
      </c>
      <c r="N406">
        <v>420</v>
      </c>
      <c r="O406" t="str">
        <f>_xlfn.IFNA(VLOOKUP(Table2[[#This Row],[Lead Source]],'helper tab'!A:B,2,FALSE),"Exclude")</f>
        <v>Exclude</v>
      </c>
      <c r="P406" s="476">
        <f ca="1">TODAY() - Table2[[#This Row],[Created Date]]</f>
        <v>826</v>
      </c>
      <c r="Q406">
        <f>IF(OR(Table2[[#This Row],[Stage]]="Propose",Table2[[#This Row],[Stage]]="Procure"),1,0)</f>
        <v>0</v>
      </c>
      <c r="R406">
        <f>IF(Table2[[#This Row],[Stage]]="Closed Won",1,0)</f>
        <v>1</v>
      </c>
      <c r="S406" t="b">
        <f>IFERROR(_xlfn.XLOOKUP(Table2[[#This Row],[Opportunity ID]],'Aging Detail'!$H$14:$H$20,'Aging Detail'!$F$14:$F$20),TRUE)</f>
        <v>1</v>
      </c>
    </row>
    <row r="407" spans="1:19" hidden="1">
      <c r="A407" t="s">
        <v>3937</v>
      </c>
      <c r="B407" t="s">
        <v>3952</v>
      </c>
      <c r="C407" t="s">
        <v>1469</v>
      </c>
      <c r="D407" t="s">
        <v>3422</v>
      </c>
      <c r="E407">
        <v>15000</v>
      </c>
      <c r="F407" s="422">
        <v>45565</v>
      </c>
      <c r="G407" s="422">
        <v>45225</v>
      </c>
      <c r="H407" t="s">
        <v>1484</v>
      </c>
      <c r="K407" t="s">
        <v>3365</v>
      </c>
      <c r="L407" t="s">
        <v>3953</v>
      </c>
      <c r="M407">
        <v>15000</v>
      </c>
      <c r="N407">
        <v>692</v>
      </c>
      <c r="O407" t="str">
        <f>_xlfn.IFNA(VLOOKUP(Table2[[#This Row],[Lead Source]],'helper tab'!A:B,2,FALSE),"Exclude")</f>
        <v>Exclude</v>
      </c>
      <c r="P407" s="476">
        <f ca="1">TODAY() - Table2[[#This Row],[Created Date]]</f>
        <v>1033</v>
      </c>
      <c r="Q407">
        <f>IF(OR(Table2[[#This Row],[Stage]]="Propose",Table2[[#This Row],[Stage]]="Procure"),1,0)</f>
        <v>0</v>
      </c>
      <c r="R407">
        <f>IF(Table2[[#This Row],[Stage]]="Closed Won",1,0)</f>
        <v>0</v>
      </c>
      <c r="S407" t="b">
        <f>IFERROR(_xlfn.XLOOKUP(Table2[[#This Row],[Opportunity ID]],'Aging Detail'!$H$14:$H$20,'Aging Detail'!$F$14:$F$20),TRUE)</f>
        <v>1</v>
      </c>
    </row>
    <row r="408" spans="1:19" hidden="1">
      <c r="A408" t="s">
        <v>3937</v>
      </c>
      <c r="B408" t="s">
        <v>3954</v>
      </c>
      <c r="C408" t="s">
        <v>563</v>
      </c>
      <c r="D408" t="s">
        <v>3422</v>
      </c>
      <c r="E408">
        <v>325248</v>
      </c>
      <c r="F408" s="422">
        <v>45565</v>
      </c>
      <c r="G408" s="422">
        <v>44557</v>
      </c>
      <c r="H408" t="s">
        <v>1473</v>
      </c>
      <c r="K408" t="s">
        <v>3365</v>
      </c>
      <c r="L408" t="s">
        <v>3955</v>
      </c>
      <c r="M408">
        <v>-26752</v>
      </c>
      <c r="N408">
        <v>671</v>
      </c>
      <c r="O408" t="str">
        <f>_xlfn.IFNA(VLOOKUP(Table2[[#This Row],[Lead Source]],'helper tab'!A:B,2,FALSE),"Exclude")</f>
        <v>Events</v>
      </c>
      <c r="P408" s="476">
        <f ca="1">TODAY() - Table2[[#This Row],[Created Date]]</f>
        <v>1701</v>
      </c>
      <c r="Q408">
        <f>IF(OR(Table2[[#This Row],[Stage]]="Propose",Table2[[#This Row],[Stage]]="Procure"),1,0)</f>
        <v>0</v>
      </c>
      <c r="R408">
        <f>IF(Table2[[#This Row],[Stage]]="Closed Won",1,0)</f>
        <v>1</v>
      </c>
      <c r="S408" t="b">
        <f>IFERROR(_xlfn.XLOOKUP(Table2[[#This Row],[Opportunity ID]],'Aging Detail'!$H$14:$H$20,'Aging Detail'!$F$14:$F$20),TRUE)</f>
        <v>1</v>
      </c>
    </row>
    <row r="409" spans="1:19" hidden="1">
      <c r="A409" t="s">
        <v>3926</v>
      </c>
      <c r="B409" t="s">
        <v>3956</v>
      </c>
      <c r="C409" t="s">
        <v>563</v>
      </c>
      <c r="D409" t="s">
        <v>3422</v>
      </c>
      <c r="E409">
        <v>44900</v>
      </c>
      <c r="F409" s="422">
        <v>45518</v>
      </c>
      <c r="G409" s="422">
        <v>45162</v>
      </c>
      <c r="H409" t="s">
        <v>1486</v>
      </c>
      <c r="K409" t="s">
        <v>3365</v>
      </c>
      <c r="L409" t="s">
        <v>3957</v>
      </c>
      <c r="M409">
        <v>0</v>
      </c>
      <c r="N409">
        <v>718</v>
      </c>
      <c r="O409" t="str">
        <f>_xlfn.IFNA(VLOOKUP(Table2[[#This Row],[Lead Source]],'helper tab'!A:B,2,FALSE),"Exclude")</f>
        <v>Exclude</v>
      </c>
      <c r="P409" s="476">
        <f ca="1">TODAY() - Table2[[#This Row],[Created Date]]</f>
        <v>1096</v>
      </c>
      <c r="Q409">
        <f>IF(OR(Table2[[#This Row],[Stage]]="Propose",Table2[[#This Row],[Stage]]="Procure"),1,0)</f>
        <v>0</v>
      </c>
      <c r="R409">
        <f>IF(Table2[[#This Row],[Stage]]="Closed Won",1,0)</f>
        <v>1</v>
      </c>
      <c r="S409" t="b">
        <f>IFERROR(_xlfn.XLOOKUP(Table2[[#This Row],[Opportunity ID]],'Aging Detail'!$H$14:$H$20,'Aging Detail'!$F$14:$F$20),TRUE)</f>
        <v>1</v>
      </c>
    </row>
    <row r="410" spans="1:19" hidden="1">
      <c r="A410" t="s">
        <v>3926</v>
      </c>
      <c r="B410" t="s">
        <v>3958</v>
      </c>
      <c r="C410" t="s">
        <v>563</v>
      </c>
      <c r="D410" t="s">
        <v>3422</v>
      </c>
      <c r="E410">
        <v>117554</v>
      </c>
      <c r="F410" s="422">
        <v>45518</v>
      </c>
      <c r="G410" s="422">
        <v>44977</v>
      </c>
      <c r="H410" t="s">
        <v>1486</v>
      </c>
      <c r="K410" t="s">
        <v>3365</v>
      </c>
      <c r="L410" t="s">
        <v>3959</v>
      </c>
      <c r="M410">
        <v>0</v>
      </c>
      <c r="N410">
        <v>718</v>
      </c>
      <c r="O410" t="str">
        <f>_xlfn.IFNA(VLOOKUP(Table2[[#This Row],[Lead Source]],'helper tab'!A:B,2,FALSE),"Exclude")</f>
        <v>Exclude</v>
      </c>
      <c r="P410" s="476">
        <f ca="1">TODAY() - Table2[[#This Row],[Created Date]]</f>
        <v>1281</v>
      </c>
      <c r="Q410">
        <f>IF(OR(Table2[[#This Row],[Stage]]="Propose",Table2[[#This Row],[Stage]]="Procure"),1,0)</f>
        <v>0</v>
      </c>
      <c r="R410">
        <f>IF(Table2[[#This Row],[Stage]]="Closed Won",1,0)</f>
        <v>1</v>
      </c>
      <c r="S410" t="b">
        <f>IFERROR(_xlfn.XLOOKUP(Table2[[#This Row],[Opportunity ID]],'Aging Detail'!$H$14:$H$20,'Aging Detail'!$F$14:$F$20),TRUE)</f>
        <v>1</v>
      </c>
    </row>
    <row r="411" spans="1:19" hidden="1">
      <c r="A411" t="s">
        <v>2301</v>
      </c>
      <c r="B411" t="s">
        <v>3960</v>
      </c>
      <c r="C411" t="s">
        <v>563</v>
      </c>
      <c r="D411" t="s">
        <v>3604</v>
      </c>
      <c r="F411" s="422">
        <v>45473</v>
      </c>
      <c r="G411" s="422">
        <v>45474</v>
      </c>
      <c r="H411" t="s">
        <v>1484</v>
      </c>
      <c r="K411" t="s">
        <v>3365</v>
      </c>
      <c r="L411" t="s">
        <v>3961</v>
      </c>
      <c r="M411">
        <v>0</v>
      </c>
      <c r="N411">
        <v>763</v>
      </c>
      <c r="O411" t="str">
        <f>_xlfn.IFNA(VLOOKUP(Table2[[#This Row],[Lead Source]],'helper tab'!A:B,2,FALSE),"Exclude")</f>
        <v>Exclude</v>
      </c>
      <c r="P411" s="476">
        <f ca="1">TODAY() - Table2[[#This Row],[Created Date]]</f>
        <v>784</v>
      </c>
      <c r="Q411">
        <f>IF(OR(Table2[[#This Row],[Stage]]="Propose",Table2[[#This Row],[Stage]]="Procure"),1,0)</f>
        <v>0</v>
      </c>
      <c r="R411">
        <f>IF(Table2[[#This Row],[Stage]]="Closed Won",1,0)</f>
        <v>1</v>
      </c>
      <c r="S411" t="b">
        <f>IFERROR(_xlfn.XLOOKUP(Table2[[#This Row],[Opportunity ID]],'Aging Detail'!$H$14:$H$20,'Aging Detail'!$F$14:$F$20),TRUE)</f>
        <v>1</v>
      </c>
    </row>
    <row r="412" spans="1:19" hidden="1">
      <c r="A412" t="s">
        <v>2301</v>
      </c>
      <c r="B412" t="s">
        <v>3962</v>
      </c>
      <c r="C412" t="s">
        <v>563</v>
      </c>
      <c r="D412" t="s">
        <v>3604</v>
      </c>
      <c r="F412" s="422">
        <v>45432</v>
      </c>
      <c r="G412" s="422">
        <v>45069</v>
      </c>
      <c r="K412" t="s">
        <v>3365</v>
      </c>
      <c r="L412" t="s">
        <v>3963</v>
      </c>
      <c r="M412">
        <v>0</v>
      </c>
      <c r="N412">
        <v>1168</v>
      </c>
      <c r="O412" t="str">
        <f>_xlfn.IFNA(VLOOKUP(Table2[[#This Row],[Lead Source]],'helper tab'!A:B,2,FALSE),"Exclude")</f>
        <v>Exclude</v>
      </c>
      <c r="P412" s="476">
        <f ca="1">TODAY() - Table2[[#This Row],[Created Date]]</f>
        <v>1189</v>
      </c>
      <c r="Q412">
        <f>IF(OR(Table2[[#This Row],[Stage]]="Propose",Table2[[#This Row],[Stage]]="Procure"),1,0)</f>
        <v>0</v>
      </c>
      <c r="R412">
        <f>IF(Table2[[#This Row],[Stage]]="Closed Won",1,0)</f>
        <v>1</v>
      </c>
      <c r="S412" t="b">
        <f>IFERROR(_xlfn.XLOOKUP(Table2[[#This Row],[Opportunity ID]],'Aging Detail'!$H$14:$H$20,'Aging Detail'!$F$14:$F$20),TRUE)</f>
        <v>1</v>
      </c>
    </row>
    <row r="413" spans="1:19" hidden="1">
      <c r="A413" t="s">
        <v>2301</v>
      </c>
      <c r="B413" t="s">
        <v>3964</v>
      </c>
      <c r="C413" t="s">
        <v>563</v>
      </c>
      <c r="D413" t="s">
        <v>3604</v>
      </c>
      <c r="F413" s="422">
        <v>45432</v>
      </c>
      <c r="G413" s="422">
        <v>45211</v>
      </c>
      <c r="H413" t="s">
        <v>1484</v>
      </c>
      <c r="K413" t="s">
        <v>3365</v>
      </c>
      <c r="L413" t="s">
        <v>3965</v>
      </c>
      <c r="M413">
        <v>0</v>
      </c>
      <c r="N413">
        <v>1026</v>
      </c>
      <c r="O413" t="str">
        <f>_xlfn.IFNA(VLOOKUP(Table2[[#This Row],[Lead Source]],'helper tab'!A:B,2,FALSE),"Exclude")</f>
        <v>Exclude</v>
      </c>
      <c r="P413" s="476">
        <f ca="1">TODAY() - Table2[[#This Row],[Created Date]]</f>
        <v>1047</v>
      </c>
      <c r="Q413">
        <f>IF(OR(Table2[[#This Row],[Stage]]="Propose",Table2[[#This Row],[Stage]]="Procure"),1,0)</f>
        <v>0</v>
      </c>
      <c r="R413">
        <f>IF(Table2[[#This Row],[Stage]]="Closed Won",1,0)</f>
        <v>1</v>
      </c>
      <c r="S413" t="b">
        <f>IFERROR(_xlfn.XLOOKUP(Table2[[#This Row],[Opportunity ID]],'Aging Detail'!$H$14:$H$20,'Aging Detail'!$F$14:$F$20),TRUE)</f>
        <v>1</v>
      </c>
    </row>
    <row r="414" spans="1:19" hidden="1">
      <c r="A414" t="s">
        <v>3926</v>
      </c>
      <c r="B414" t="s">
        <v>3966</v>
      </c>
      <c r="C414" t="s">
        <v>563</v>
      </c>
      <c r="D414" t="s">
        <v>3472</v>
      </c>
      <c r="F414" s="422">
        <v>45292</v>
      </c>
      <c r="G414" s="422">
        <v>44382</v>
      </c>
      <c r="K414" t="s">
        <v>3365</v>
      </c>
      <c r="L414" t="s">
        <v>3967</v>
      </c>
      <c r="M414">
        <v>0</v>
      </c>
      <c r="N414">
        <v>1855</v>
      </c>
      <c r="O414" t="str">
        <f>_xlfn.IFNA(VLOOKUP(Table2[[#This Row],[Lead Source]],'helper tab'!A:B,2,FALSE),"Exclude")</f>
        <v>Exclude</v>
      </c>
      <c r="P414" s="476">
        <f ca="1">TODAY() - Table2[[#This Row],[Created Date]]</f>
        <v>1876</v>
      </c>
      <c r="Q414">
        <f>IF(OR(Table2[[#This Row],[Stage]]="Propose",Table2[[#This Row],[Stage]]="Procure"),1,0)</f>
        <v>0</v>
      </c>
      <c r="R414">
        <f>IF(Table2[[#This Row],[Stage]]="Closed Won",1,0)</f>
        <v>1</v>
      </c>
      <c r="S414" t="b">
        <f>IFERROR(_xlfn.XLOOKUP(Table2[[#This Row],[Opportunity ID]],'Aging Detail'!$H$14:$H$20,'Aging Detail'!$F$14:$F$20),TRUE)</f>
        <v>1</v>
      </c>
    </row>
    <row r="415" spans="1:19" hidden="1">
      <c r="A415" t="s">
        <v>3923</v>
      </c>
      <c r="B415" t="s">
        <v>3968</v>
      </c>
      <c r="C415" t="s">
        <v>1469</v>
      </c>
      <c r="D415" t="s">
        <v>3472</v>
      </c>
      <c r="F415" s="422">
        <v>45292</v>
      </c>
      <c r="G415" s="422">
        <v>44922</v>
      </c>
      <c r="K415" t="s">
        <v>3365</v>
      </c>
      <c r="L415" t="s">
        <v>3969</v>
      </c>
      <c r="M415">
        <v>0</v>
      </c>
      <c r="N415">
        <v>1315</v>
      </c>
      <c r="O415" t="str">
        <f>_xlfn.IFNA(VLOOKUP(Table2[[#This Row],[Lead Source]],'helper tab'!A:B,2,FALSE),"Exclude")</f>
        <v>Exclude</v>
      </c>
      <c r="P415" s="476">
        <f ca="1">TODAY() - Table2[[#This Row],[Created Date]]</f>
        <v>1336</v>
      </c>
      <c r="Q415">
        <f>IF(OR(Table2[[#This Row],[Stage]]="Propose",Table2[[#This Row],[Stage]]="Procure"),1,0)</f>
        <v>0</v>
      </c>
      <c r="R415">
        <f>IF(Table2[[#This Row],[Stage]]="Closed Won",1,0)</f>
        <v>0</v>
      </c>
      <c r="S415" t="b">
        <f>IFERROR(_xlfn.XLOOKUP(Table2[[#This Row],[Opportunity ID]],'Aging Detail'!$H$14:$H$20,'Aging Detail'!$F$14:$F$20),TRUE)</f>
        <v>1</v>
      </c>
    </row>
    <row r="416" spans="1:19" hidden="1">
      <c r="A416" t="s">
        <v>3926</v>
      </c>
      <c r="B416" t="s">
        <v>3970</v>
      </c>
      <c r="C416" t="s">
        <v>563</v>
      </c>
      <c r="D416" t="s">
        <v>3612</v>
      </c>
      <c r="F416" s="422">
        <v>45291</v>
      </c>
      <c r="G416" s="422">
        <v>45100</v>
      </c>
      <c r="H416" t="s">
        <v>1484</v>
      </c>
      <c r="K416" t="s">
        <v>3365</v>
      </c>
      <c r="L416" t="s">
        <v>3971</v>
      </c>
      <c r="M416">
        <v>0</v>
      </c>
      <c r="N416">
        <v>1137</v>
      </c>
      <c r="O416" t="str">
        <f>_xlfn.IFNA(VLOOKUP(Table2[[#This Row],[Lead Source]],'helper tab'!A:B,2,FALSE),"Exclude")</f>
        <v>Exclude</v>
      </c>
      <c r="P416" s="476">
        <f ca="1">TODAY() - Table2[[#This Row],[Created Date]]</f>
        <v>1158</v>
      </c>
      <c r="Q416">
        <f>IF(OR(Table2[[#This Row],[Stage]]="Propose",Table2[[#This Row],[Stage]]="Procure"),1,0)</f>
        <v>0</v>
      </c>
      <c r="R416">
        <f>IF(Table2[[#This Row],[Stage]]="Closed Won",1,0)</f>
        <v>1</v>
      </c>
      <c r="S416" t="b">
        <f>IFERROR(_xlfn.XLOOKUP(Table2[[#This Row],[Opportunity ID]],'Aging Detail'!$H$14:$H$20,'Aging Detail'!$F$14:$F$20),TRUE)</f>
        <v>1</v>
      </c>
    </row>
    <row r="417" spans="1:19" hidden="1">
      <c r="A417" t="s">
        <v>3937</v>
      </c>
      <c r="B417" t="s">
        <v>3972</v>
      </c>
      <c r="C417" t="s">
        <v>563</v>
      </c>
      <c r="D417" t="s">
        <v>3612</v>
      </c>
      <c r="F417" s="422">
        <v>45268</v>
      </c>
      <c r="G417" s="422">
        <v>45211</v>
      </c>
      <c r="H417" t="s">
        <v>1484</v>
      </c>
      <c r="K417" t="s">
        <v>3365</v>
      </c>
      <c r="L417" t="s">
        <v>3973</v>
      </c>
      <c r="M417">
        <v>0</v>
      </c>
      <c r="N417">
        <v>1026</v>
      </c>
      <c r="O417" t="str">
        <f>_xlfn.IFNA(VLOOKUP(Table2[[#This Row],[Lead Source]],'helper tab'!A:B,2,FALSE),"Exclude")</f>
        <v>Exclude</v>
      </c>
      <c r="P417" s="476">
        <f ca="1">TODAY() - Table2[[#This Row],[Created Date]]</f>
        <v>1047</v>
      </c>
      <c r="Q417">
        <f>IF(OR(Table2[[#This Row],[Stage]]="Propose",Table2[[#This Row],[Stage]]="Procure"),1,0)</f>
        <v>0</v>
      </c>
      <c r="R417">
        <f>IF(Table2[[#This Row],[Stage]]="Closed Won",1,0)</f>
        <v>1</v>
      </c>
      <c r="S417" t="b">
        <f>IFERROR(_xlfn.XLOOKUP(Table2[[#This Row],[Opportunity ID]],'Aging Detail'!$H$14:$H$20,'Aging Detail'!$F$14:$F$20),TRUE)</f>
        <v>1</v>
      </c>
    </row>
    <row r="418" spans="1:19" hidden="1">
      <c r="A418" t="s">
        <v>2639</v>
      </c>
      <c r="B418" t="s">
        <v>3974</v>
      </c>
      <c r="C418" t="s">
        <v>563</v>
      </c>
      <c r="D418" t="s">
        <v>3612</v>
      </c>
      <c r="F418" s="422">
        <v>45229</v>
      </c>
      <c r="G418" s="422">
        <v>45225</v>
      </c>
      <c r="H418" t="s">
        <v>1484</v>
      </c>
      <c r="K418" t="s">
        <v>3365</v>
      </c>
      <c r="L418" t="s">
        <v>3975</v>
      </c>
      <c r="M418">
        <v>0</v>
      </c>
      <c r="N418">
        <v>1012</v>
      </c>
      <c r="O418" t="str">
        <f>_xlfn.IFNA(VLOOKUP(Table2[[#This Row],[Lead Source]],'helper tab'!A:B,2,FALSE),"Exclude")</f>
        <v>Exclude</v>
      </c>
      <c r="P418" s="476">
        <f ca="1">TODAY() - Table2[[#This Row],[Created Date]]</f>
        <v>1033</v>
      </c>
      <c r="Q418">
        <f>IF(OR(Table2[[#This Row],[Stage]]="Propose",Table2[[#This Row],[Stage]]="Procure"),1,0)</f>
        <v>0</v>
      </c>
      <c r="R418">
        <f>IF(Table2[[#This Row],[Stage]]="Closed Won",1,0)</f>
        <v>1</v>
      </c>
      <c r="S418" t="b">
        <f>IFERROR(_xlfn.XLOOKUP(Table2[[#This Row],[Opportunity ID]],'Aging Detail'!$H$14:$H$20,'Aging Detail'!$F$14:$F$20),TRUE)</f>
        <v>1</v>
      </c>
    </row>
    <row r="419" spans="1:19" hidden="1">
      <c r="A419" t="s">
        <v>2301</v>
      </c>
      <c r="B419" t="s">
        <v>3976</v>
      </c>
      <c r="C419" t="s">
        <v>563</v>
      </c>
      <c r="D419" t="s">
        <v>3776</v>
      </c>
      <c r="F419" s="422">
        <v>45069</v>
      </c>
      <c r="G419" s="422">
        <v>44670</v>
      </c>
      <c r="K419" t="s">
        <v>3365</v>
      </c>
      <c r="L419" t="s">
        <v>3977</v>
      </c>
      <c r="M419">
        <v>0</v>
      </c>
      <c r="N419">
        <v>1567</v>
      </c>
      <c r="O419" t="str">
        <f>_xlfn.IFNA(VLOOKUP(Table2[[#This Row],[Lead Source]],'helper tab'!A:B,2,FALSE),"Exclude")</f>
        <v>Exclude</v>
      </c>
      <c r="P419" s="476">
        <f ca="1">TODAY() - Table2[[#This Row],[Created Date]]</f>
        <v>1588</v>
      </c>
      <c r="Q419">
        <f>IF(OR(Table2[[#This Row],[Stage]]="Propose",Table2[[#This Row],[Stage]]="Procure"),1,0)</f>
        <v>0</v>
      </c>
      <c r="R419">
        <f>IF(Table2[[#This Row],[Stage]]="Closed Won",1,0)</f>
        <v>1</v>
      </c>
      <c r="S419" t="b">
        <f>IFERROR(_xlfn.XLOOKUP(Table2[[#This Row],[Opportunity ID]],'Aging Detail'!$H$14:$H$20,'Aging Detail'!$F$14:$F$20),TRUE)</f>
        <v>1</v>
      </c>
    </row>
    <row r="420" spans="1:19" hidden="1">
      <c r="A420" t="s">
        <v>3937</v>
      </c>
      <c r="B420" t="s">
        <v>3978</v>
      </c>
      <c r="C420" t="s">
        <v>563</v>
      </c>
      <c r="D420" t="s">
        <v>3371</v>
      </c>
      <c r="F420" s="422">
        <v>44957</v>
      </c>
      <c r="G420" s="422">
        <v>44830</v>
      </c>
      <c r="H420" t="s">
        <v>1486</v>
      </c>
      <c r="K420" t="s">
        <v>3365</v>
      </c>
      <c r="L420" t="s">
        <v>3979</v>
      </c>
      <c r="M420">
        <v>0</v>
      </c>
      <c r="N420">
        <v>1407</v>
      </c>
      <c r="O420" t="str">
        <f>_xlfn.IFNA(VLOOKUP(Table2[[#This Row],[Lead Source]],'helper tab'!A:B,2,FALSE),"Exclude")</f>
        <v>Exclude</v>
      </c>
      <c r="P420" s="476">
        <f ca="1">TODAY() - Table2[[#This Row],[Created Date]]</f>
        <v>1428</v>
      </c>
      <c r="Q420">
        <f>IF(OR(Table2[[#This Row],[Stage]]="Propose",Table2[[#This Row],[Stage]]="Procure"),1,0)</f>
        <v>0</v>
      </c>
      <c r="R420">
        <f>IF(Table2[[#This Row],[Stage]]="Closed Won",1,0)</f>
        <v>1</v>
      </c>
      <c r="S420" t="b">
        <f>IFERROR(_xlfn.XLOOKUP(Table2[[#This Row],[Opportunity ID]],'Aging Detail'!$H$14:$H$20,'Aging Detail'!$F$14:$F$20),TRUE)</f>
        <v>1</v>
      </c>
    </row>
    <row r="421" spans="1:19" hidden="1">
      <c r="A421" t="s">
        <v>2301</v>
      </c>
      <c r="B421" t="s">
        <v>3980</v>
      </c>
      <c r="C421" t="s">
        <v>563</v>
      </c>
      <c r="D421" t="s">
        <v>3399</v>
      </c>
      <c r="F421" s="422">
        <v>44924</v>
      </c>
      <c r="G421" s="422">
        <v>44834</v>
      </c>
      <c r="H421" t="s">
        <v>1484</v>
      </c>
      <c r="K421" t="s">
        <v>3365</v>
      </c>
      <c r="L421" t="s">
        <v>3981</v>
      </c>
      <c r="M421">
        <v>0</v>
      </c>
      <c r="N421">
        <v>1403</v>
      </c>
      <c r="O421" t="str">
        <f>_xlfn.IFNA(VLOOKUP(Table2[[#This Row],[Lead Source]],'helper tab'!A:B,2,FALSE),"Exclude")</f>
        <v>Exclude</v>
      </c>
      <c r="P421" s="476">
        <f ca="1">TODAY() - Table2[[#This Row],[Created Date]]</f>
        <v>1424</v>
      </c>
      <c r="Q421">
        <f>IF(OR(Table2[[#This Row],[Stage]]="Propose",Table2[[#This Row],[Stage]]="Procure"),1,0)</f>
        <v>0</v>
      </c>
      <c r="R421">
        <f>IF(Table2[[#This Row],[Stage]]="Closed Won",1,0)</f>
        <v>1</v>
      </c>
      <c r="S421" t="b">
        <f>IFERROR(_xlfn.XLOOKUP(Table2[[#This Row],[Opportunity ID]],'Aging Detail'!$H$14:$H$20,'Aging Detail'!$F$14:$F$20),TRUE)</f>
        <v>1</v>
      </c>
    </row>
    <row r="422" spans="1:19" hidden="1">
      <c r="A422" t="s">
        <v>3923</v>
      </c>
      <c r="B422" t="s">
        <v>3982</v>
      </c>
      <c r="C422" t="s">
        <v>563</v>
      </c>
      <c r="D422" t="s">
        <v>3399</v>
      </c>
      <c r="F422" s="422">
        <v>44835</v>
      </c>
      <c r="G422" s="422">
        <v>43644</v>
      </c>
      <c r="K422" t="s">
        <v>3365</v>
      </c>
      <c r="L422" t="s">
        <v>3983</v>
      </c>
      <c r="M422">
        <v>0</v>
      </c>
      <c r="N422">
        <v>2593</v>
      </c>
      <c r="O422" t="str">
        <f>_xlfn.IFNA(VLOOKUP(Table2[[#This Row],[Lead Source]],'helper tab'!A:B,2,FALSE),"Exclude")</f>
        <v>Exclude</v>
      </c>
      <c r="P422" s="476">
        <f ca="1">TODAY() - Table2[[#This Row],[Created Date]]</f>
        <v>2614</v>
      </c>
      <c r="Q422">
        <f>IF(OR(Table2[[#This Row],[Stage]]="Propose",Table2[[#This Row],[Stage]]="Procure"),1,0)</f>
        <v>0</v>
      </c>
      <c r="R422">
        <f>IF(Table2[[#This Row],[Stage]]="Closed Won",1,0)</f>
        <v>1</v>
      </c>
      <c r="S422" t="b">
        <f>IFERROR(_xlfn.XLOOKUP(Table2[[#This Row],[Opportunity ID]],'Aging Detail'!$H$14:$H$20,'Aging Detail'!$F$14:$F$20),TRUE)</f>
        <v>1</v>
      </c>
    </row>
    <row r="423" spans="1:19" hidden="1">
      <c r="A423" t="s">
        <v>2301</v>
      </c>
      <c r="B423" t="s">
        <v>3984</v>
      </c>
      <c r="C423" t="s">
        <v>563</v>
      </c>
      <c r="D423" t="s">
        <v>3404</v>
      </c>
      <c r="F423" s="422">
        <v>44670</v>
      </c>
      <c r="G423" s="422">
        <v>44313</v>
      </c>
      <c r="K423" t="s">
        <v>3365</v>
      </c>
      <c r="L423" t="s">
        <v>3985</v>
      </c>
      <c r="M423">
        <v>0</v>
      </c>
      <c r="N423">
        <v>1924</v>
      </c>
      <c r="O423" t="str">
        <f>_xlfn.IFNA(VLOOKUP(Table2[[#This Row],[Lead Source]],'helper tab'!A:B,2,FALSE),"Exclude")</f>
        <v>Exclude</v>
      </c>
      <c r="P423" s="476">
        <f ca="1">TODAY() - Table2[[#This Row],[Created Date]]</f>
        <v>1945</v>
      </c>
      <c r="Q423">
        <f>IF(OR(Table2[[#This Row],[Stage]]="Propose",Table2[[#This Row],[Stage]]="Procure"),1,0)</f>
        <v>0</v>
      </c>
      <c r="R423">
        <f>IF(Table2[[#This Row],[Stage]]="Closed Won",1,0)</f>
        <v>1</v>
      </c>
      <c r="S423" t="b">
        <f>IFERROR(_xlfn.XLOOKUP(Table2[[#This Row],[Opportunity ID]],'Aging Detail'!$H$14:$H$20,'Aging Detail'!$F$14:$F$20),TRUE)</f>
        <v>1</v>
      </c>
    </row>
    <row r="424" spans="1:19" hidden="1">
      <c r="A424" t="s">
        <v>3937</v>
      </c>
      <c r="B424" t="s">
        <v>3986</v>
      </c>
      <c r="C424" t="s">
        <v>563</v>
      </c>
      <c r="D424" t="s">
        <v>3499</v>
      </c>
      <c r="F424" s="422">
        <v>44572</v>
      </c>
      <c r="G424" s="422">
        <v>44460</v>
      </c>
      <c r="H424" t="s">
        <v>1484</v>
      </c>
      <c r="K424" t="s">
        <v>3365</v>
      </c>
      <c r="L424" t="s">
        <v>3987</v>
      </c>
      <c r="M424">
        <v>0</v>
      </c>
      <c r="N424">
        <v>1777</v>
      </c>
      <c r="O424" t="str">
        <f>_xlfn.IFNA(VLOOKUP(Table2[[#This Row],[Lead Source]],'helper tab'!A:B,2,FALSE),"Exclude")</f>
        <v>Exclude</v>
      </c>
      <c r="P424" s="476">
        <f ca="1">TODAY() - Table2[[#This Row],[Created Date]]</f>
        <v>1798</v>
      </c>
      <c r="Q424">
        <f>IF(OR(Table2[[#This Row],[Stage]]="Propose",Table2[[#This Row],[Stage]]="Procure"),1,0)</f>
        <v>0</v>
      </c>
      <c r="R424">
        <f>IF(Table2[[#This Row],[Stage]]="Closed Won",1,0)</f>
        <v>1</v>
      </c>
      <c r="S424" t="b">
        <f>IFERROR(_xlfn.XLOOKUP(Table2[[#This Row],[Opportunity ID]],'Aging Detail'!$H$14:$H$20,'Aging Detail'!$F$14:$F$20),TRUE)</f>
        <v>1</v>
      </c>
    </row>
    <row r="425" spans="1:19" hidden="1">
      <c r="A425" t="s">
        <v>3937</v>
      </c>
      <c r="B425" t="s">
        <v>3988</v>
      </c>
      <c r="C425" t="s">
        <v>563</v>
      </c>
      <c r="D425" t="s">
        <v>3798</v>
      </c>
      <c r="F425" s="422">
        <v>44547</v>
      </c>
      <c r="G425" s="422">
        <v>44539</v>
      </c>
      <c r="H425" t="s">
        <v>1484</v>
      </c>
      <c r="K425" t="s">
        <v>3365</v>
      </c>
      <c r="L425" t="s">
        <v>3989</v>
      </c>
      <c r="M425">
        <v>0</v>
      </c>
      <c r="N425">
        <v>1698</v>
      </c>
      <c r="O425" t="str">
        <f>_xlfn.IFNA(VLOOKUP(Table2[[#This Row],[Lead Source]],'helper tab'!A:B,2,FALSE),"Exclude")</f>
        <v>Exclude</v>
      </c>
      <c r="P425" s="476">
        <f ca="1">TODAY() - Table2[[#This Row],[Created Date]]</f>
        <v>1719</v>
      </c>
      <c r="Q425">
        <f>IF(OR(Table2[[#This Row],[Stage]]="Propose",Table2[[#This Row],[Stage]]="Procure"),1,0)</f>
        <v>0</v>
      </c>
      <c r="R425">
        <f>IF(Table2[[#This Row],[Stage]]="Closed Won",1,0)</f>
        <v>1</v>
      </c>
      <c r="S425" t="b">
        <f>IFERROR(_xlfn.XLOOKUP(Table2[[#This Row],[Opportunity ID]],'Aging Detail'!$H$14:$H$20,'Aging Detail'!$F$14:$F$20),TRUE)</f>
        <v>1</v>
      </c>
    </row>
    <row r="426" spans="1:19" hidden="1">
      <c r="A426" t="s">
        <v>2301</v>
      </c>
      <c r="B426" t="s">
        <v>3990</v>
      </c>
      <c r="C426" t="s">
        <v>563</v>
      </c>
      <c r="D426" t="s">
        <v>3798</v>
      </c>
      <c r="F426" s="422">
        <v>44531</v>
      </c>
      <c r="G426" s="422">
        <v>44467</v>
      </c>
      <c r="K426" t="s">
        <v>3365</v>
      </c>
      <c r="L426" t="s">
        <v>3991</v>
      </c>
      <c r="M426">
        <v>0</v>
      </c>
      <c r="N426">
        <v>1770</v>
      </c>
      <c r="O426" t="str">
        <f>_xlfn.IFNA(VLOOKUP(Table2[[#This Row],[Lead Source]],'helper tab'!A:B,2,FALSE),"Exclude")</f>
        <v>Exclude</v>
      </c>
      <c r="P426" s="476">
        <f ca="1">TODAY() - Table2[[#This Row],[Created Date]]</f>
        <v>1791</v>
      </c>
      <c r="Q426">
        <f>IF(OR(Table2[[#This Row],[Stage]]="Propose",Table2[[#This Row],[Stage]]="Procure"),1,0)</f>
        <v>0</v>
      </c>
      <c r="R426">
        <f>IF(Table2[[#This Row],[Stage]]="Closed Won",1,0)</f>
        <v>1</v>
      </c>
      <c r="S426" t="b">
        <f>IFERROR(_xlfn.XLOOKUP(Table2[[#This Row],[Opportunity ID]],'Aging Detail'!$H$14:$H$20,'Aging Detail'!$F$14:$F$20),TRUE)</f>
        <v>1</v>
      </c>
    </row>
    <row r="427" spans="1:19" hidden="1">
      <c r="A427" t="s">
        <v>2301</v>
      </c>
      <c r="B427" t="s">
        <v>3992</v>
      </c>
      <c r="C427" t="s">
        <v>563</v>
      </c>
      <c r="D427" t="s">
        <v>3798</v>
      </c>
      <c r="F427" s="422">
        <v>44483</v>
      </c>
      <c r="G427" s="422">
        <v>44386</v>
      </c>
      <c r="H427" t="s">
        <v>1484</v>
      </c>
      <c r="K427" t="s">
        <v>3365</v>
      </c>
      <c r="L427" t="s">
        <v>3993</v>
      </c>
      <c r="M427">
        <v>0</v>
      </c>
      <c r="N427">
        <v>1851</v>
      </c>
      <c r="O427" t="str">
        <f>_xlfn.IFNA(VLOOKUP(Table2[[#This Row],[Lead Source]],'helper tab'!A:B,2,FALSE),"Exclude")</f>
        <v>Exclude</v>
      </c>
      <c r="P427" s="476">
        <f ca="1">TODAY() - Table2[[#This Row],[Created Date]]</f>
        <v>1872</v>
      </c>
      <c r="Q427">
        <f>IF(OR(Table2[[#This Row],[Stage]]="Propose",Table2[[#This Row],[Stage]]="Procure"),1,0)</f>
        <v>0</v>
      </c>
      <c r="R427">
        <f>IF(Table2[[#This Row],[Stage]]="Closed Won",1,0)</f>
        <v>1</v>
      </c>
      <c r="S427" t="b">
        <f>IFERROR(_xlfn.XLOOKUP(Table2[[#This Row],[Opportunity ID]],'Aging Detail'!$H$14:$H$20,'Aging Detail'!$F$14:$F$20),TRUE)</f>
        <v>1</v>
      </c>
    </row>
    <row r="428" spans="1:19" hidden="1">
      <c r="A428" t="s">
        <v>3923</v>
      </c>
      <c r="B428" t="s">
        <v>3994</v>
      </c>
      <c r="C428" t="s">
        <v>563</v>
      </c>
      <c r="D428" t="s">
        <v>3507</v>
      </c>
      <c r="F428" s="422">
        <v>44257</v>
      </c>
      <c r="G428" s="422">
        <v>44187</v>
      </c>
      <c r="H428" t="s">
        <v>1486</v>
      </c>
      <c r="K428" t="s">
        <v>3365</v>
      </c>
      <c r="L428" t="s">
        <v>3995</v>
      </c>
      <c r="M428">
        <v>0</v>
      </c>
      <c r="N428">
        <v>2050</v>
      </c>
      <c r="O428" t="str">
        <f>_xlfn.IFNA(VLOOKUP(Table2[[#This Row],[Lead Source]],'helper tab'!A:B,2,FALSE),"Exclude")</f>
        <v>Exclude</v>
      </c>
      <c r="P428" s="476">
        <f ca="1">TODAY() - Table2[[#This Row],[Created Date]]</f>
        <v>2071</v>
      </c>
      <c r="Q428">
        <f>IF(OR(Table2[[#This Row],[Stage]]="Propose",Table2[[#This Row],[Stage]]="Procure"),1,0)</f>
        <v>0</v>
      </c>
      <c r="R428">
        <f>IF(Table2[[#This Row],[Stage]]="Closed Won",1,0)</f>
        <v>1</v>
      </c>
      <c r="S428" t="b">
        <f>IFERROR(_xlfn.XLOOKUP(Table2[[#This Row],[Opportunity ID]],'Aging Detail'!$H$14:$H$20,'Aging Detail'!$F$14:$F$20),TRUE)</f>
        <v>1</v>
      </c>
    </row>
    <row r="429" spans="1:19" hidden="1">
      <c r="A429" t="s">
        <v>3996</v>
      </c>
      <c r="B429" t="s">
        <v>3996</v>
      </c>
      <c r="C429" t="s">
        <v>1462</v>
      </c>
      <c r="D429" t="s">
        <v>3997</v>
      </c>
      <c r="E429">
        <v>1092000</v>
      </c>
      <c r="F429" s="422">
        <v>47088</v>
      </c>
      <c r="G429" s="422">
        <v>45280</v>
      </c>
      <c r="H429" t="s">
        <v>1485</v>
      </c>
      <c r="K429" t="s">
        <v>3379</v>
      </c>
      <c r="L429" t="s">
        <v>3998</v>
      </c>
      <c r="M429">
        <v>792000</v>
      </c>
      <c r="N429">
        <v>665</v>
      </c>
      <c r="O429" t="str">
        <f>_xlfn.IFNA(VLOOKUP(Table2[[#This Row],[Lead Source]],'helper tab'!A:B,2,FALSE),"Exclude")</f>
        <v>Digital</v>
      </c>
      <c r="P429" s="476">
        <f ca="1">TODAY() - Table2[[#This Row],[Created Date]]</f>
        <v>978</v>
      </c>
      <c r="Q429">
        <f>IF(OR(Table2[[#This Row],[Stage]]="Propose",Table2[[#This Row],[Stage]]="Procure"),1,0)</f>
        <v>0</v>
      </c>
      <c r="R429">
        <f>IF(Table2[[#This Row],[Stage]]="Closed Won",1,0)</f>
        <v>0</v>
      </c>
      <c r="S429" t="b">
        <f>IFERROR(_xlfn.XLOOKUP(Table2[[#This Row],[Opportunity ID]],'Aging Detail'!$H$14:$H$20,'Aging Detail'!$F$14:$F$20),TRUE)</f>
        <v>1</v>
      </c>
    </row>
    <row r="430" spans="1:19" hidden="1">
      <c r="A430" t="s">
        <v>1568</v>
      </c>
      <c r="B430" t="s">
        <v>3029</v>
      </c>
      <c r="C430" t="s">
        <v>1462</v>
      </c>
      <c r="D430" t="s">
        <v>3457</v>
      </c>
      <c r="E430">
        <v>312000</v>
      </c>
      <c r="F430" s="422">
        <v>46717</v>
      </c>
      <c r="G430" s="422">
        <v>45789</v>
      </c>
      <c r="H430" t="s">
        <v>1465</v>
      </c>
      <c r="K430" t="s">
        <v>3379</v>
      </c>
      <c r="L430" t="s">
        <v>3030</v>
      </c>
      <c r="M430">
        <v>216000</v>
      </c>
      <c r="N430">
        <v>438</v>
      </c>
      <c r="O430" t="str">
        <f>_xlfn.IFNA(VLOOKUP(Table2[[#This Row],[Lead Source]],'helper tab'!A:B,2,FALSE),"Exclude")</f>
        <v>Exclude</v>
      </c>
      <c r="P430" s="476">
        <f ca="1">TODAY() - Table2[[#This Row],[Created Date]]</f>
        <v>469</v>
      </c>
      <c r="Q430">
        <f>IF(OR(Table2[[#This Row],[Stage]]="Propose",Table2[[#This Row],[Stage]]="Procure"),1,0)</f>
        <v>0</v>
      </c>
      <c r="R430">
        <f>IF(Table2[[#This Row],[Stage]]="Closed Won",1,0)</f>
        <v>0</v>
      </c>
      <c r="S430" t="b">
        <f>IFERROR(_xlfn.XLOOKUP(Table2[[#This Row],[Opportunity ID]],'Aging Detail'!$H$14:$H$20,'Aging Detail'!$F$14:$F$20),TRUE)</f>
        <v>1</v>
      </c>
    </row>
    <row r="431" spans="1:19">
      <c r="A431" t="s">
        <v>2158</v>
      </c>
      <c r="B431" t="s">
        <v>2156</v>
      </c>
      <c r="C431" t="s">
        <v>1462</v>
      </c>
      <c r="D431" t="s">
        <v>3385</v>
      </c>
      <c r="E431">
        <v>267800</v>
      </c>
      <c r="F431" s="422">
        <v>46654</v>
      </c>
      <c r="G431" s="422">
        <v>46098</v>
      </c>
      <c r="H431" t="s">
        <v>1465</v>
      </c>
      <c r="K431" t="s">
        <v>3379</v>
      </c>
      <c r="L431" t="s">
        <v>2157</v>
      </c>
      <c r="M431">
        <v>172800</v>
      </c>
      <c r="N431">
        <v>139</v>
      </c>
      <c r="O431" t="str">
        <f>_xlfn.IFNA(VLOOKUP(Table2[[#This Row],[Lead Source]],'helper tab'!A:B,2,FALSE),"Exclude")</f>
        <v>Exclude</v>
      </c>
      <c r="P431" s="476">
        <f ca="1">TODAY() - Table2[[#This Row],[Created Date]]</f>
        <v>160</v>
      </c>
      <c r="Q431">
        <f>IF(OR(Table2[[#This Row],[Stage]]="Propose",Table2[[#This Row],[Stage]]="Procure"),1,0)</f>
        <v>0</v>
      </c>
      <c r="R431">
        <f>IF(Table2[[#This Row],[Stage]]="Closed Won",1,0)</f>
        <v>0</v>
      </c>
      <c r="S431" t="b">
        <f>IFERROR(_xlfn.XLOOKUP(Table2[[#This Row],[Opportunity ID]],'Aging Detail'!$H$14:$H$20,'Aging Detail'!$F$14:$F$20),TRUE)</f>
        <v>1</v>
      </c>
    </row>
    <row r="432" spans="1:19">
      <c r="A432" t="s">
        <v>1573</v>
      </c>
      <c r="B432" t="s">
        <v>1570</v>
      </c>
      <c r="C432" t="s">
        <v>1462</v>
      </c>
      <c r="D432" t="s">
        <v>3349</v>
      </c>
      <c r="E432">
        <v>189600</v>
      </c>
      <c r="F432" s="422">
        <v>46568</v>
      </c>
      <c r="G432" s="422">
        <v>46118</v>
      </c>
      <c r="H432" t="s">
        <v>1571</v>
      </c>
      <c r="K432" t="s">
        <v>3379</v>
      </c>
      <c r="L432" t="s">
        <v>1572</v>
      </c>
      <c r="M432">
        <v>129600</v>
      </c>
      <c r="N432">
        <v>5</v>
      </c>
      <c r="O432" t="str">
        <f>_xlfn.IFNA(VLOOKUP(Table2[[#This Row],[Lead Source]],'helper tab'!A:B,2,FALSE),"Exclude")</f>
        <v>Exclude</v>
      </c>
      <c r="P432" s="476">
        <f ca="1">TODAY() - Table2[[#This Row],[Created Date]]</f>
        <v>140</v>
      </c>
      <c r="Q432">
        <f>IF(OR(Table2[[#This Row],[Stage]]="Propose",Table2[[#This Row],[Stage]]="Procure"),1,0)</f>
        <v>0</v>
      </c>
      <c r="R432">
        <f>IF(Table2[[#This Row],[Stage]]="Closed Won",1,0)</f>
        <v>0</v>
      </c>
      <c r="S432" t="b">
        <f>IFERROR(_xlfn.XLOOKUP(Table2[[#This Row],[Opportunity ID]],'Aging Detail'!$H$14:$H$20,'Aging Detail'!$F$14:$F$20),TRUE)</f>
        <v>1</v>
      </c>
    </row>
    <row r="433" spans="1:19" hidden="1">
      <c r="A433" t="s">
        <v>2158</v>
      </c>
      <c r="B433" t="s">
        <v>3999</v>
      </c>
      <c r="C433" t="s">
        <v>526</v>
      </c>
      <c r="D433" t="s">
        <v>3349</v>
      </c>
      <c r="E433">
        <v>469400</v>
      </c>
      <c r="F433" s="422">
        <v>46563</v>
      </c>
      <c r="G433" s="422">
        <v>45544</v>
      </c>
      <c r="H433" t="s">
        <v>1465</v>
      </c>
      <c r="K433" t="s">
        <v>3379</v>
      </c>
      <c r="L433" t="s">
        <v>4000</v>
      </c>
      <c r="M433">
        <v>374400</v>
      </c>
      <c r="N433">
        <v>563</v>
      </c>
      <c r="O433" t="str">
        <f>_xlfn.IFNA(VLOOKUP(Table2[[#This Row],[Lead Source]],'helper tab'!A:B,2,FALSE),"Exclude")</f>
        <v>Exclude</v>
      </c>
      <c r="P433" s="476">
        <f ca="1">TODAY() - Table2[[#This Row],[Created Date]]</f>
        <v>714</v>
      </c>
      <c r="Q433">
        <f>IF(OR(Table2[[#This Row],[Stage]]="Propose",Table2[[#This Row],[Stage]]="Procure"),1,0)</f>
        <v>1</v>
      </c>
      <c r="R433">
        <f>IF(Table2[[#This Row],[Stage]]="Closed Won",1,0)</f>
        <v>0</v>
      </c>
      <c r="S433" t="b">
        <f>IFERROR(_xlfn.XLOOKUP(Table2[[#This Row],[Opportunity ID]],'Aging Detail'!$H$14:$H$20,'Aging Detail'!$F$14:$F$20),TRUE)</f>
        <v>1</v>
      </c>
    </row>
    <row r="434" spans="1:19" hidden="1">
      <c r="A434" t="s">
        <v>4001</v>
      </c>
      <c r="B434" t="s">
        <v>4002</v>
      </c>
      <c r="C434" t="s">
        <v>1462</v>
      </c>
      <c r="D434" t="s">
        <v>3349</v>
      </c>
      <c r="E434">
        <v>442200</v>
      </c>
      <c r="F434" s="422">
        <v>46563</v>
      </c>
      <c r="G434" s="422">
        <v>45247</v>
      </c>
      <c r="H434" t="s">
        <v>1486</v>
      </c>
      <c r="K434" t="s">
        <v>3379</v>
      </c>
      <c r="L434" t="s">
        <v>4003</v>
      </c>
      <c r="M434">
        <v>277200</v>
      </c>
      <c r="N434">
        <v>665</v>
      </c>
      <c r="O434" t="str">
        <f>_xlfn.IFNA(VLOOKUP(Table2[[#This Row],[Lead Source]],'helper tab'!A:B,2,FALSE),"Exclude")</f>
        <v>Exclude</v>
      </c>
      <c r="P434" s="476">
        <f ca="1">TODAY() - Table2[[#This Row],[Created Date]]</f>
        <v>1011</v>
      </c>
      <c r="Q434">
        <f>IF(OR(Table2[[#This Row],[Stage]]="Propose",Table2[[#This Row],[Stage]]="Procure"),1,0)</f>
        <v>0</v>
      </c>
      <c r="R434">
        <f>IF(Table2[[#This Row],[Stage]]="Closed Won",1,0)</f>
        <v>0</v>
      </c>
      <c r="S434" t="b">
        <f>IFERROR(_xlfn.XLOOKUP(Table2[[#This Row],[Opportunity ID]],'Aging Detail'!$H$14:$H$20,'Aging Detail'!$F$14:$F$20),TRUE)</f>
        <v>1</v>
      </c>
    </row>
    <row r="435" spans="1:19">
      <c r="A435" t="s">
        <v>1577</v>
      </c>
      <c r="B435" t="s">
        <v>1733</v>
      </c>
      <c r="C435" t="s">
        <v>1462</v>
      </c>
      <c r="D435" t="s">
        <v>3352</v>
      </c>
      <c r="E435">
        <v>566272</v>
      </c>
      <c r="F435" s="422">
        <v>46472</v>
      </c>
      <c r="G435" s="422">
        <v>46209</v>
      </c>
      <c r="H435" t="s">
        <v>1465</v>
      </c>
      <c r="K435" t="s">
        <v>3379</v>
      </c>
      <c r="L435" t="s">
        <v>1734</v>
      </c>
      <c r="M435">
        <v>391272</v>
      </c>
      <c r="N435">
        <v>28</v>
      </c>
      <c r="O435" t="str">
        <f>_xlfn.IFNA(VLOOKUP(Table2[[#This Row],[Lead Source]],'helper tab'!A:B,2,FALSE),"Exclude")</f>
        <v>Exclude</v>
      </c>
      <c r="P435" s="476">
        <f ca="1">TODAY() - Table2[[#This Row],[Created Date]]</f>
        <v>49</v>
      </c>
      <c r="Q435">
        <f>IF(OR(Table2[[#This Row],[Stage]]="Propose",Table2[[#This Row],[Stage]]="Procure"),1,0)</f>
        <v>0</v>
      </c>
      <c r="R435">
        <f>IF(Table2[[#This Row],[Stage]]="Closed Won",1,0)</f>
        <v>0</v>
      </c>
      <c r="S435" t="b">
        <f>IFERROR(_xlfn.XLOOKUP(Table2[[#This Row],[Opportunity ID]],'Aging Detail'!$H$14:$H$20,'Aging Detail'!$F$14:$F$20),TRUE)</f>
        <v>1</v>
      </c>
    </row>
    <row r="436" spans="1:19">
      <c r="A436" t="s">
        <v>1577</v>
      </c>
      <c r="B436" t="s">
        <v>1575</v>
      </c>
      <c r="C436" t="s">
        <v>462</v>
      </c>
      <c r="D436" t="s">
        <v>3352</v>
      </c>
      <c r="E436">
        <v>100000</v>
      </c>
      <c r="F436" s="422">
        <v>46395</v>
      </c>
      <c r="G436" s="422">
        <v>46212</v>
      </c>
      <c r="H436" t="s">
        <v>1465</v>
      </c>
      <c r="K436" t="s">
        <v>3379</v>
      </c>
      <c r="L436" t="s">
        <v>1576</v>
      </c>
      <c r="M436">
        <v>100000</v>
      </c>
      <c r="N436">
        <v>5</v>
      </c>
      <c r="O436" t="str">
        <f>_xlfn.IFNA(VLOOKUP(Table2[[#This Row],[Lead Source]],'helper tab'!A:B,2,FALSE),"Exclude")</f>
        <v>Exclude</v>
      </c>
      <c r="P436" s="476">
        <f ca="1">TODAY() - Table2[[#This Row],[Created Date]]</f>
        <v>46</v>
      </c>
      <c r="Q436">
        <f>IF(OR(Table2[[#This Row],[Stage]]="Propose",Table2[[#This Row],[Stage]]="Procure"),1,0)</f>
        <v>1</v>
      </c>
      <c r="R436">
        <f>IF(Table2[[#This Row],[Stage]]="Closed Won",1,0)</f>
        <v>0</v>
      </c>
      <c r="S436" t="b">
        <f>IFERROR(_xlfn.XLOOKUP(Table2[[#This Row],[Opportunity ID]],'Aging Detail'!$H$14:$H$20,'Aging Detail'!$F$14:$F$20),TRUE)</f>
        <v>1</v>
      </c>
    </row>
    <row r="437" spans="1:19" hidden="1">
      <c r="A437" t="s">
        <v>1945</v>
      </c>
      <c r="B437" t="s">
        <v>1943</v>
      </c>
      <c r="C437" t="s">
        <v>1469</v>
      </c>
      <c r="D437" t="s">
        <v>3359</v>
      </c>
      <c r="E437">
        <v>359200</v>
      </c>
      <c r="F437" s="422">
        <v>46381</v>
      </c>
      <c r="G437" s="422">
        <v>45981</v>
      </c>
      <c r="H437" t="s">
        <v>1465</v>
      </c>
      <c r="K437" t="s">
        <v>3379</v>
      </c>
      <c r="L437" t="s">
        <v>1944</v>
      </c>
      <c r="M437">
        <v>259200</v>
      </c>
      <c r="N437">
        <v>74</v>
      </c>
      <c r="O437" t="str">
        <f>_xlfn.IFNA(VLOOKUP(Table2[[#This Row],[Lead Source]],'helper tab'!A:B,2,FALSE),"Exclude")</f>
        <v>Exclude</v>
      </c>
      <c r="P437" s="476">
        <f ca="1">TODAY() - Table2[[#This Row],[Created Date]]</f>
        <v>277</v>
      </c>
      <c r="Q437">
        <f>IF(OR(Table2[[#This Row],[Stage]]="Propose",Table2[[#This Row],[Stage]]="Procure"),1,0)</f>
        <v>0</v>
      </c>
      <c r="R437">
        <f>IF(Table2[[#This Row],[Stage]]="Closed Won",1,0)</f>
        <v>0</v>
      </c>
      <c r="S437" t="b">
        <f>IFERROR(_xlfn.XLOOKUP(Table2[[#This Row],[Opportunity ID]],'Aging Detail'!$H$14:$H$20,'Aging Detail'!$F$14:$F$20),TRUE)</f>
        <v>1</v>
      </c>
    </row>
    <row r="438" spans="1:19" hidden="1">
      <c r="A438" t="s">
        <v>2034</v>
      </c>
      <c r="B438" t="s">
        <v>4004</v>
      </c>
      <c r="C438" t="s">
        <v>1462</v>
      </c>
      <c r="D438" t="s">
        <v>3359</v>
      </c>
      <c r="E438">
        <v>889200</v>
      </c>
      <c r="F438" s="422">
        <v>46381</v>
      </c>
      <c r="G438" s="422">
        <v>45513</v>
      </c>
      <c r="H438" t="s">
        <v>1465</v>
      </c>
      <c r="J438" t="s">
        <v>3484</v>
      </c>
      <c r="K438" t="s">
        <v>3379</v>
      </c>
      <c r="L438" t="s">
        <v>4005</v>
      </c>
      <c r="M438">
        <v>619200</v>
      </c>
      <c r="N438">
        <v>665</v>
      </c>
      <c r="O438" t="str">
        <f>_xlfn.IFNA(VLOOKUP(Table2[[#This Row],[Lead Source]],'helper tab'!A:B,2,FALSE),"Exclude")</f>
        <v>Exclude</v>
      </c>
      <c r="P438" s="476">
        <f ca="1">TODAY() - Table2[[#This Row],[Created Date]]</f>
        <v>745</v>
      </c>
      <c r="Q438">
        <f>IF(OR(Table2[[#This Row],[Stage]]="Propose",Table2[[#This Row],[Stage]]="Procure"),1,0)</f>
        <v>0</v>
      </c>
      <c r="R438">
        <f>IF(Table2[[#This Row],[Stage]]="Closed Won",1,0)</f>
        <v>0</v>
      </c>
      <c r="S438" t="b">
        <f>IFERROR(_xlfn.XLOOKUP(Table2[[#This Row],[Opportunity ID]],'Aging Detail'!$H$14:$H$20,'Aging Detail'!$F$14:$F$20),TRUE)</f>
        <v>1</v>
      </c>
    </row>
    <row r="439" spans="1:19" hidden="1">
      <c r="A439" t="s">
        <v>1568</v>
      </c>
      <c r="B439" t="s">
        <v>2283</v>
      </c>
      <c r="C439" t="s">
        <v>1462</v>
      </c>
      <c r="D439" t="s">
        <v>3359</v>
      </c>
      <c r="E439">
        <v>864000</v>
      </c>
      <c r="F439" s="422">
        <v>46377</v>
      </c>
      <c r="G439" s="422">
        <v>45610</v>
      </c>
      <c r="H439" t="s">
        <v>1468</v>
      </c>
      <c r="K439" t="s">
        <v>3379</v>
      </c>
      <c r="L439" t="s">
        <v>2284</v>
      </c>
      <c r="M439">
        <v>864000</v>
      </c>
      <c r="N439">
        <v>185</v>
      </c>
      <c r="O439" t="str">
        <f>_xlfn.IFNA(VLOOKUP(Table2[[#This Row],[Lead Source]],'helper tab'!A:B,2,FALSE),"Exclude")</f>
        <v>Events</v>
      </c>
      <c r="P439" s="476">
        <f ca="1">TODAY() - Table2[[#This Row],[Created Date]]</f>
        <v>648</v>
      </c>
      <c r="Q439">
        <f>IF(OR(Table2[[#This Row],[Stage]]="Propose",Table2[[#This Row],[Stage]]="Procure"),1,0)</f>
        <v>0</v>
      </c>
      <c r="R439">
        <f>IF(Table2[[#This Row],[Stage]]="Closed Won",1,0)</f>
        <v>0</v>
      </c>
      <c r="S439" t="b">
        <f>IFERROR(_xlfn.XLOOKUP(Table2[[#This Row],[Opportunity ID]],'Aging Detail'!$H$14:$H$20,'Aging Detail'!$F$14:$F$20),TRUE)</f>
        <v>1</v>
      </c>
    </row>
    <row r="440" spans="1:19" hidden="1">
      <c r="A440" t="s">
        <v>4006</v>
      </c>
      <c r="B440" t="s">
        <v>4007</v>
      </c>
      <c r="C440" t="s">
        <v>462</v>
      </c>
      <c r="D440" t="s">
        <v>3359</v>
      </c>
      <c r="E440">
        <v>818640</v>
      </c>
      <c r="F440" s="422">
        <v>46377</v>
      </c>
      <c r="G440" s="422">
        <v>44839</v>
      </c>
      <c r="H440" t="s">
        <v>1486</v>
      </c>
      <c r="K440" t="s">
        <v>3379</v>
      </c>
      <c r="L440" t="s">
        <v>4008</v>
      </c>
      <c r="M440">
        <v>584640</v>
      </c>
      <c r="N440">
        <v>665</v>
      </c>
      <c r="O440" t="str">
        <f>_xlfn.IFNA(VLOOKUP(Table2[[#This Row],[Lead Source]],'helper tab'!A:B,2,FALSE),"Exclude")</f>
        <v>Exclude</v>
      </c>
      <c r="P440" s="476">
        <f ca="1">TODAY() - Table2[[#This Row],[Created Date]]</f>
        <v>1419</v>
      </c>
      <c r="Q440">
        <f>IF(OR(Table2[[#This Row],[Stage]]="Propose",Table2[[#This Row],[Stage]]="Procure"),1,0)</f>
        <v>1</v>
      </c>
      <c r="R440">
        <f>IF(Table2[[#This Row],[Stage]]="Closed Won",1,0)</f>
        <v>0</v>
      </c>
      <c r="S440" t="b">
        <f>IFERROR(_xlfn.XLOOKUP(Table2[[#This Row],[Opportunity ID]],'Aging Detail'!$H$14:$H$20,'Aging Detail'!$F$14:$F$20),TRUE)</f>
        <v>1</v>
      </c>
    </row>
    <row r="441" spans="1:19" hidden="1">
      <c r="A441" t="s">
        <v>2158</v>
      </c>
      <c r="B441" t="s">
        <v>2489</v>
      </c>
      <c r="C441" t="s">
        <v>526</v>
      </c>
      <c r="D441" t="s">
        <v>3359</v>
      </c>
      <c r="E441">
        <v>534176</v>
      </c>
      <c r="F441" s="422">
        <v>46374</v>
      </c>
      <c r="G441" s="422">
        <v>45929</v>
      </c>
      <c r="H441" t="s">
        <v>1465</v>
      </c>
      <c r="K441" t="s">
        <v>3379</v>
      </c>
      <c r="L441" t="s">
        <v>2490</v>
      </c>
      <c r="M441">
        <v>410904</v>
      </c>
      <c r="N441">
        <v>259</v>
      </c>
      <c r="O441" t="str">
        <f>_xlfn.IFNA(VLOOKUP(Table2[[#This Row],[Lead Source]],'helper tab'!A:B,2,FALSE),"Exclude")</f>
        <v>Exclude</v>
      </c>
      <c r="P441" s="476">
        <f ca="1">TODAY() - Table2[[#This Row],[Created Date]]</f>
        <v>329</v>
      </c>
      <c r="Q441">
        <f>IF(OR(Table2[[#This Row],[Stage]]="Propose",Table2[[#This Row],[Stage]]="Procure"),1,0)</f>
        <v>1</v>
      </c>
      <c r="R441">
        <f>IF(Table2[[#This Row],[Stage]]="Closed Won",1,0)</f>
        <v>0</v>
      </c>
      <c r="S441" t="b">
        <f>IFERROR(_xlfn.XLOOKUP(Table2[[#This Row],[Opportunity ID]],'Aging Detail'!$H$14:$H$20,'Aging Detail'!$F$14:$F$20),TRUE)</f>
        <v>1</v>
      </c>
    </row>
    <row r="442" spans="1:19" hidden="1">
      <c r="A442" t="s">
        <v>1568</v>
      </c>
      <c r="B442" t="s">
        <v>4009</v>
      </c>
      <c r="C442" t="s">
        <v>1462</v>
      </c>
      <c r="D442" t="s">
        <v>3359</v>
      </c>
      <c r="E442">
        <v>356000</v>
      </c>
      <c r="F442" s="422">
        <v>46374</v>
      </c>
      <c r="G442" s="422">
        <v>45593</v>
      </c>
      <c r="H442" t="s">
        <v>1465</v>
      </c>
      <c r="K442" t="s">
        <v>3379</v>
      </c>
      <c r="L442" t="s">
        <v>4010</v>
      </c>
      <c r="M442">
        <v>216000</v>
      </c>
      <c r="N442">
        <v>644</v>
      </c>
      <c r="O442" t="str">
        <f>_xlfn.IFNA(VLOOKUP(Table2[[#This Row],[Lead Source]],'helper tab'!A:B,2,FALSE),"Exclude")</f>
        <v>Exclude</v>
      </c>
      <c r="P442" s="476">
        <f ca="1">TODAY() - Table2[[#This Row],[Created Date]]</f>
        <v>665</v>
      </c>
      <c r="Q442">
        <f>IF(OR(Table2[[#This Row],[Stage]]="Propose",Table2[[#This Row],[Stage]]="Procure"),1,0)</f>
        <v>0</v>
      </c>
      <c r="R442">
        <f>IF(Table2[[#This Row],[Stage]]="Closed Won",1,0)</f>
        <v>0</v>
      </c>
      <c r="S442" t="b">
        <f>IFERROR(_xlfn.XLOOKUP(Table2[[#This Row],[Opportunity ID]],'Aging Detail'!$H$14:$H$20,'Aging Detail'!$F$14:$F$20),TRUE)</f>
        <v>1</v>
      </c>
    </row>
    <row r="443" spans="1:19" hidden="1">
      <c r="A443" t="s">
        <v>1170</v>
      </c>
      <c r="B443" t="s">
        <v>4011</v>
      </c>
      <c r="C443" t="s">
        <v>526</v>
      </c>
      <c r="D443" t="s">
        <v>3359</v>
      </c>
      <c r="E443">
        <v>1033193</v>
      </c>
      <c r="F443" s="422">
        <v>46371</v>
      </c>
      <c r="G443" s="422">
        <v>44603</v>
      </c>
      <c r="H443" t="s">
        <v>1486</v>
      </c>
      <c r="K443" t="s">
        <v>3379</v>
      </c>
      <c r="L443" t="s">
        <v>4012</v>
      </c>
      <c r="M443">
        <v>733193</v>
      </c>
      <c r="N443">
        <v>1634</v>
      </c>
      <c r="O443" t="str">
        <f>_xlfn.IFNA(VLOOKUP(Table2[[#This Row],[Lead Source]],'helper tab'!A:B,2,FALSE),"Exclude")</f>
        <v>Exclude</v>
      </c>
      <c r="P443" s="476">
        <f ca="1">TODAY() - Table2[[#This Row],[Created Date]]</f>
        <v>1655</v>
      </c>
      <c r="Q443">
        <f>IF(OR(Table2[[#This Row],[Stage]]="Propose",Table2[[#This Row],[Stage]]="Procure"),1,0)</f>
        <v>1</v>
      </c>
      <c r="R443">
        <f>IF(Table2[[#This Row],[Stage]]="Closed Won",1,0)</f>
        <v>0</v>
      </c>
      <c r="S443" t="b">
        <f>IFERROR(_xlfn.XLOOKUP(Table2[[#This Row],[Opportunity ID]],'Aging Detail'!$H$14:$H$20,'Aging Detail'!$F$14:$F$20),TRUE)</f>
        <v>1</v>
      </c>
    </row>
    <row r="444" spans="1:19" hidden="1">
      <c r="A444" t="s">
        <v>1568</v>
      </c>
      <c r="B444" t="s">
        <v>2276</v>
      </c>
      <c r="C444" t="s">
        <v>526</v>
      </c>
      <c r="D444" t="s">
        <v>3359</v>
      </c>
      <c r="E444">
        <v>25000</v>
      </c>
      <c r="F444" s="422">
        <v>46325</v>
      </c>
      <c r="G444" s="422">
        <v>45565</v>
      </c>
      <c r="H444" t="s">
        <v>1465</v>
      </c>
      <c r="K444" t="s">
        <v>3379</v>
      </c>
      <c r="L444" t="s">
        <v>2277</v>
      </c>
      <c r="M444">
        <v>25000</v>
      </c>
      <c r="N444">
        <v>182</v>
      </c>
      <c r="O444" t="str">
        <f>_xlfn.IFNA(VLOOKUP(Table2[[#This Row],[Lead Source]],'helper tab'!A:B,2,FALSE),"Exclude")</f>
        <v>Exclude</v>
      </c>
      <c r="P444" s="476">
        <f ca="1">TODAY() - Table2[[#This Row],[Created Date]]</f>
        <v>693</v>
      </c>
      <c r="Q444">
        <f>IF(OR(Table2[[#This Row],[Stage]]="Propose",Table2[[#This Row],[Stage]]="Procure"),1,0)</f>
        <v>1</v>
      </c>
      <c r="R444">
        <f>IF(Table2[[#This Row],[Stage]]="Closed Won",1,0)</f>
        <v>0</v>
      </c>
      <c r="S444" t="b">
        <f>IFERROR(_xlfn.XLOOKUP(Table2[[#This Row],[Opportunity ID]],'Aging Detail'!$H$14:$H$20,'Aging Detail'!$F$14:$F$20),TRUE)</f>
        <v>1</v>
      </c>
    </row>
    <row r="445" spans="1:19" hidden="1">
      <c r="A445" t="s">
        <v>2477</v>
      </c>
      <c r="B445" t="s">
        <v>2475</v>
      </c>
      <c r="C445" t="s">
        <v>1469</v>
      </c>
      <c r="D445" t="s">
        <v>3359</v>
      </c>
      <c r="E445">
        <v>654800</v>
      </c>
      <c r="F445" s="422">
        <v>46325</v>
      </c>
      <c r="G445" s="422">
        <v>44874</v>
      </c>
      <c r="H445" t="s">
        <v>148</v>
      </c>
      <c r="K445" t="s">
        <v>3379</v>
      </c>
      <c r="L445" t="s">
        <v>2476</v>
      </c>
      <c r="M445">
        <v>394800</v>
      </c>
      <c r="N445">
        <v>255</v>
      </c>
      <c r="O445" t="str">
        <f>_xlfn.IFNA(VLOOKUP(Table2[[#This Row],[Lead Source]],'helper tab'!A:B,2,FALSE),"Exclude")</f>
        <v>Alliances</v>
      </c>
      <c r="P445" s="476">
        <f ca="1">TODAY() - Table2[[#This Row],[Created Date]]</f>
        <v>1384</v>
      </c>
      <c r="Q445">
        <f>IF(OR(Table2[[#This Row],[Stage]]="Propose",Table2[[#This Row],[Stage]]="Procure"),1,0)</f>
        <v>0</v>
      </c>
      <c r="R445">
        <f>IF(Table2[[#This Row],[Stage]]="Closed Won",1,0)</f>
        <v>0</v>
      </c>
      <c r="S445" t="b">
        <f>IFERROR(_xlfn.XLOOKUP(Table2[[#This Row],[Opportunity ID]],'Aging Detail'!$H$14:$H$20,'Aging Detail'!$F$14:$F$20),TRUE)</f>
        <v>1</v>
      </c>
    </row>
    <row r="446" spans="1:19">
      <c r="A446" t="s">
        <v>2034</v>
      </c>
      <c r="B446" t="s">
        <v>2032</v>
      </c>
      <c r="C446" t="s">
        <v>462</v>
      </c>
      <c r="D446" t="s">
        <v>3361</v>
      </c>
      <c r="E446">
        <v>75000</v>
      </c>
      <c r="F446" s="422">
        <v>46290</v>
      </c>
      <c r="G446" s="422">
        <v>46120</v>
      </c>
      <c r="H446" t="s">
        <v>1465</v>
      </c>
      <c r="K446" t="s">
        <v>3379</v>
      </c>
      <c r="L446" t="s">
        <v>2033</v>
      </c>
      <c r="M446">
        <v>75000</v>
      </c>
      <c r="N446">
        <v>110</v>
      </c>
      <c r="O446" t="str">
        <f>_xlfn.IFNA(VLOOKUP(Table2[[#This Row],[Lead Source]],'helper tab'!A:B,2,FALSE),"Exclude")</f>
        <v>Exclude</v>
      </c>
      <c r="P446" s="476">
        <f ca="1">TODAY() - Table2[[#This Row],[Created Date]]</f>
        <v>138</v>
      </c>
      <c r="Q446">
        <f>IF(OR(Table2[[#This Row],[Stage]]="Propose",Table2[[#This Row],[Stage]]="Procure"),1,0)</f>
        <v>1</v>
      </c>
      <c r="R446">
        <f>IF(Table2[[#This Row],[Stage]]="Closed Won",1,0)</f>
        <v>0</v>
      </c>
      <c r="S446" t="b">
        <f>IFERROR(_xlfn.XLOOKUP(Table2[[#This Row],[Opportunity ID]],'Aging Detail'!$H$14:$H$20,'Aging Detail'!$F$14:$F$20),TRUE)</f>
        <v>1</v>
      </c>
    </row>
    <row r="447" spans="1:19" hidden="1">
      <c r="A447" t="s">
        <v>4013</v>
      </c>
      <c r="B447" t="s">
        <v>4014</v>
      </c>
      <c r="C447" t="s">
        <v>1469</v>
      </c>
      <c r="D447" t="s">
        <v>3361</v>
      </c>
      <c r="E447">
        <v>646800</v>
      </c>
      <c r="F447" s="422">
        <v>46290</v>
      </c>
      <c r="G447" s="422">
        <v>43794</v>
      </c>
      <c r="H447" t="s">
        <v>1463</v>
      </c>
      <c r="K447" t="s">
        <v>3379</v>
      </c>
      <c r="L447" t="s">
        <v>87</v>
      </c>
      <c r="M447">
        <v>346800</v>
      </c>
      <c r="N447">
        <v>157</v>
      </c>
      <c r="O447" t="str">
        <f>_xlfn.IFNA(VLOOKUP(Table2[[#This Row],[Lead Source]],'helper tab'!A:B,2,FALSE),"Exclude")</f>
        <v>Cold</v>
      </c>
      <c r="P447" s="476">
        <f ca="1">TODAY() - Table2[[#This Row],[Created Date]]</f>
        <v>2464</v>
      </c>
      <c r="Q447">
        <f>IF(OR(Table2[[#This Row],[Stage]]="Propose",Table2[[#This Row],[Stage]]="Procure"),1,0)</f>
        <v>0</v>
      </c>
      <c r="R447">
        <f>IF(Table2[[#This Row],[Stage]]="Closed Won",1,0)</f>
        <v>0</v>
      </c>
      <c r="S447" t="b">
        <f>IFERROR(_xlfn.XLOOKUP(Table2[[#This Row],[Opportunity ID]],'Aging Detail'!$H$14:$H$20,'Aging Detail'!$F$14:$F$20),TRUE)</f>
        <v>0</v>
      </c>
    </row>
    <row r="448" spans="1:19" hidden="1">
      <c r="A448" t="s">
        <v>4006</v>
      </c>
      <c r="B448" t="s">
        <v>4015</v>
      </c>
      <c r="C448" t="s">
        <v>526</v>
      </c>
      <c r="D448" t="s">
        <v>3361</v>
      </c>
      <c r="E448">
        <v>100000</v>
      </c>
      <c r="F448" s="422">
        <v>46262</v>
      </c>
      <c r="G448" s="422">
        <v>45323</v>
      </c>
      <c r="H448" t="s">
        <v>1486</v>
      </c>
      <c r="K448" t="s">
        <v>3379</v>
      </c>
      <c r="L448" t="s">
        <v>4016</v>
      </c>
      <c r="M448">
        <v>100000</v>
      </c>
      <c r="N448">
        <v>738</v>
      </c>
      <c r="O448" t="str">
        <f>_xlfn.IFNA(VLOOKUP(Table2[[#This Row],[Lead Source]],'helper tab'!A:B,2,FALSE),"Exclude")</f>
        <v>Exclude</v>
      </c>
      <c r="P448" s="476">
        <f ca="1">TODAY() - Table2[[#This Row],[Created Date]]</f>
        <v>935</v>
      </c>
      <c r="Q448">
        <f>IF(OR(Table2[[#This Row],[Stage]]="Propose",Table2[[#This Row],[Stage]]="Procure"),1,0)</f>
        <v>1</v>
      </c>
      <c r="R448">
        <f>IF(Table2[[#This Row],[Stage]]="Closed Won",1,0)</f>
        <v>0</v>
      </c>
      <c r="S448" t="b">
        <f>IFERROR(_xlfn.XLOOKUP(Table2[[#This Row],[Opportunity ID]],'Aging Detail'!$H$14:$H$20,'Aging Detail'!$F$14:$F$20),TRUE)</f>
        <v>1</v>
      </c>
    </row>
    <row r="449" spans="1:19" hidden="1">
      <c r="A449" t="s">
        <v>1568</v>
      </c>
      <c r="B449" t="s">
        <v>2281</v>
      </c>
      <c r="C449" t="s">
        <v>526</v>
      </c>
      <c r="D449" t="s">
        <v>3361</v>
      </c>
      <c r="E449">
        <v>247500</v>
      </c>
      <c r="F449" s="422">
        <v>46234</v>
      </c>
      <c r="G449" s="422">
        <v>45937</v>
      </c>
      <c r="H449" t="s">
        <v>1465</v>
      </c>
      <c r="K449" t="s">
        <v>3379</v>
      </c>
      <c r="L449" t="s">
        <v>2282</v>
      </c>
      <c r="M449">
        <v>247500</v>
      </c>
      <c r="N449">
        <v>185</v>
      </c>
      <c r="O449" t="str">
        <f>_xlfn.IFNA(VLOOKUP(Table2[[#This Row],[Lead Source]],'helper tab'!A:B,2,FALSE),"Exclude")</f>
        <v>Exclude</v>
      </c>
      <c r="P449" s="476">
        <f ca="1">TODAY() - Table2[[#This Row],[Created Date]]</f>
        <v>321</v>
      </c>
      <c r="Q449">
        <f>IF(OR(Table2[[#This Row],[Stage]]="Propose",Table2[[#This Row],[Stage]]="Procure"),1,0)</f>
        <v>1</v>
      </c>
      <c r="R449">
        <f>IF(Table2[[#This Row],[Stage]]="Closed Won",1,0)</f>
        <v>0</v>
      </c>
      <c r="S449" t="b">
        <f>IFERROR(_xlfn.XLOOKUP(Table2[[#This Row],[Opportunity ID]],'Aging Detail'!$H$14:$H$20,'Aging Detail'!$F$14:$F$20),TRUE)</f>
        <v>1</v>
      </c>
    </row>
    <row r="450" spans="1:19" hidden="1">
      <c r="A450" t="s">
        <v>1568</v>
      </c>
      <c r="B450" t="s">
        <v>1566</v>
      </c>
      <c r="C450" t="s">
        <v>1469</v>
      </c>
      <c r="D450" t="s">
        <v>3361</v>
      </c>
      <c r="E450">
        <v>25000</v>
      </c>
      <c r="F450" s="422">
        <v>46232</v>
      </c>
      <c r="G450" s="422">
        <v>45750</v>
      </c>
      <c r="H450" t="s">
        <v>1465</v>
      </c>
      <c r="K450" t="s">
        <v>3379</v>
      </c>
      <c r="L450" t="s">
        <v>1567</v>
      </c>
      <c r="M450">
        <v>25000</v>
      </c>
      <c r="N450">
        <v>5</v>
      </c>
      <c r="O450" t="str">
        <f>_xlfn.IFNA(VLOOKUP(Table2[[#This Row],[Lead Source]],'helper tab'!A:B,2,FALSE),"Exclude")</f>
        <v>Exclude</v>
      </c>
      <c r="P450" s="476">
        <f ca="1">TODAY() - Table2[[#This Row],[Created Date]]</f>
        <v>508</v>
      </c>
      <c r="Q450">
        <f>IF(OR(Table2[[#This Row],[Stage]]="Propose",Table2[[#This Row],[Stage]]="Procure"),1,0)</f>
        <v>0</v>
      </c>
      <c r="R450">
        <f>IF(Table2[[#This Row],[Stage]]="Closed Won",1,0)</f>
        <v>0</v>
      </c>
      <c r="S450" t="b">
        <f>IFERROR(_xlfn.XLOOKUP(Table2[[#This Row],[Opportunity ID]],'Aging Detail'!$H$14:$H$20,'Aging Detail'!$F$14:$F$20),TRUE)</f>
        <v>1</v>
      </c>
    </row>
    <row r="451" spans="1:19" hidden="1">
      <c r="A451" t="s">
        <v>1637</v>
      </c>
      <c r="B451" t="s">
        <v>1637</v>
      </c>
      <c r="C451" t="s">
        <v>1469</v>
      </c>
      <c r="D451" t="s">
        <v>3361</v>
      </c>
      <c r="E451">
        <v>1132000</v>
      </c>
      <c r="F451" s="422">
        <v>46223</v>
      </c>
      <c r="G451" s="422">
        <v>45580</v>
      </c>
      <c r="H451" t="s">
        <v>1465</v>
      </c>
      <c r="K451" t="s">
        <v>3379</v>
      </c>
      <c r="L451" t="s">
        <v>1638</v>
      </c>
      <c r="M451">
        <v>792000</v>
      </c>
      <c r="N451">
        <v>14</v>
      </c>
      <c r="O451" t="str">
        <f>_xlfn.IFNA(VLOOKUP(Table2[[#This Row],[Lead Source]],'helper tab'!A:B,2,FALSE),"Exclude")</f>
        <v>Exclude</v>
      </c>
      <c r="P451" s="476">
        <f ca="1">TODAY() - Table2[[#This Row],[Created Date]]</f>
        <v>678</v>
      </c>
      <c r="Q451">
        <f>IF(OR(Table2[[#This Row],[Stage]]="Propose",Table2[[#This Row],[Stage]]="Procure"),1,0)</f>
        <v>0</v>
      </c>
      <c r="R451">
        <f>IF(Table2[[#This Row],[Stage]]="Closed Won",1,0)</f>
        <v>0</v>
      </c>
      <c r="S451" t="b">
        <f>IFERROR(_xlfn.XLOOKUP(Table2[[#This Row],[Opportunity ID]],'Aging Detail'!$H$14:$H$20,'Aging Detail'!$F$14:$F$20),TRUE)</f>
        <v>1</v>
      </c>
    </row>
    <row r="452" spans="1:19">
      <c r="A452" t="s">
        <v>1655</v>
      </c>
      <c r="B452" t="s">
        <v>1655</v>
      </c>
      <c r="C452" t="s">
        <v>1469</v>
      </c>
      <c r="D452" t="s">
        <v>3361</v>
      </c>
      <c r="E452">
        <v>75000</v>
      </c>
      <c r="F452" s="422">
        <v>46212</v>
      </c>
      <c r="G452" s="422">
        <v>46126</v>
      </c>
      <c r="H452" t="s">
        <v>29</v>
      </c>
      <c r="J452" t="s">
        <v>4017</v>
      </c>
      <c r="K452" t="s">
        <v>3379</v>
      </c>
      <c r="L452" t="s">
        <v>1656</v>
      </c>
      <c r="M452">
        <v>75000</v>
      </c>
      <c r="N452">
        <v>25</v>
      </c>
      <c r="O452" t="str">
        <f>_xlfn.IFNA(VLOOKUP(Table2[[#This Row],[Lead Source]],'helper tab'!A:B,2,FALSE),"Exclude")</f>
        <v>Events</v>
      </c>
      <c r="P452" s="476">
        <f ca="1">TODAY() - Table2[[#This Row],[Created Date]]</f>
        <v>132</v>
      </c>
      <c r="Q452">
        <f>IF(OR(Table2[[#This Row],[Stage]]="Propose",Table2[[#This Row],[Stage]]="Procure"),1,0)</f>
        <v>0</v>
      </c>
      <c r="R452">
        <f>IF(Table2[[#This Row],[Stage]]="Closed Won",1,0)</f>
        <v>0</v>
      </c>
      <c r="S452" t="b">
        <f>IFERROR(_xlfn.XLOOKUP(Table2[[#This Row],[Opportunity ID]],'Aging Detail'!$H$14:$H$20,'Aging Detail'!$F$14:$F$20),TRUE)</f>
        <v>1</v>
      </c>
    </row>
    <row r="453" spans="1:19" hidden="1">
      <c r="A453" t="s">
        <v>2662</v>
      </c>
      <c r="B453" t="s">
        <v>2660</v>
      </c>
      <c r="C453" t="s">
        <v>1469</v>
      </c>
      <c r="D453" t="s">
        <v>3362</v>
      </c>
      <c r="E453">
        <v>318200</v>
      </c>
      <c r="F453" s="422">
        <v>46203</v>
      </c>
      <c r="G453" s="422">
        <v>45786</v>
      </c>
      <c r="H453" t="s">
        <v>1473</v>
      </c>
      <c r="J453" t="s">
        <v>4018</v>
      </c>
      <c r="K453" t="s">
        <v>3379</v>
      </c>
      <c r="L453" t="s">
        <v>2661</v>
      </c>
      <c r="M453">
        <v>178200</v>
      </c>
      <c r="N453">
        <v>301</v>
      </c>
      <c r="O453" t="str">
        <f>_xlfn.IFNA(VLOOKUP(Table2[[#This Row],[Lead Source]],'helper tab'!A:B,2,FALSE),"Exclude")</f>
        <v>Events</v>
      </c>
      <c r="P453" s="476">
        <f ca="1">TODAY() - Table2[[#This Row],[Created Date]]</f>
        <v>472</v>
      </c>
      <c r="Q453">
        <f>IF(OR(Table2[[#This Row],[Stage]]="Propose",Table2[[#This Row],[Stage]]="Procure"),1,0)</f>
        <v>0</v>
      </c>
      <c r="R453">
        <f>IF(Table2[[#This Row],[Stage]]="Closed Won",1,0)</f>
        <v>0</v>
      </c>
      <c r="S453" t="b">
        <f>IFERROR(_xlfn.XLOOKUP(Table2[[#This Row],[Opportunity ID]],'Aging Detail'!$H$14:$H$20,'Aging Detail'!$F$14:$F$20),TRUE)</f>
        <v>1</v>
      </c>
    </row>
    <row r="454" spans="1:19" hidden="1">
      <c r="A454" t="s">
        <v>2653</v>
      </c>
      <c r="B454" t="s">
        <v>2653</v>
      </c>
      <c r="C454" t="s">
        <v>1469</v>
      </c>
      <c r="D454" t="s">
        <v>3362</v>
      </c>
      <c r="E454">
        <v>245600</v>
      </c>
      <c r="F454" s="422">
        <v>46203</v>
      </c>
      <c r="G454" s="422">
        <v>45734</v>
      </c>
      <c r="H454" t="s">
        <v>1468</v>
      </c>
      <c r="K454" t="s">
        <v>3379</v>
      </c>
      <c r="L454" t="s">
        <v>2654</v>
      </c>
      <c r="M454">
        <v>105600</v>
      </c>
      <c r="N454">
        <v>301</v>
      </c>
      <c r="O454" t="str">
        <f>_xlfn.IFNA(VLOOKUP(Table2[[#This Row],[Lead Source]],'helper tab'!A:B,2,FALSE),"Exclude")</f>
        <v>Events</v>
      </c>
      <c r="P454" s="476">
        <f ca="1">TODAY() - Table2[[#This Row],[Created Date]]</f>
        <v>524</v>
      </c>
      <c r="Q454">
        <f>IF(OR(Table2[[#This Row],[Stage]]="Propose",Table2[[#This Row],[Stage]]="Procure"),1,0)</f>
        <v>0</v>
      </c>
      <c r="R454">
        <f>IF(Table2[[#This Row],[Stage]]="Closed Won",1,0)</f>
        <v>0</v>
      </c>
      <c r="S454" t="b">
        <f>IFERROR(_xlfn.XLOOKUP(Table2[[#This Row],[Opportunity ID]],'Aging Detail'!$H$14:$H$20,'Aging Detail'!$F$14:$F$20),TRUE)</f>
        <v>1</v>
      </c>
    </row>
    <row r="455" spans="1:19" hidden="1">
      <c r="A455" t="s">
        <v>4019</v>
      </c>
      <c r="B455" t="s">
        <v>4019</v>
      </c>
      <c r="C455" t="s">
        <v>1469</v>
      </c>
      <c r="D455" t="s">
        <v>3362</v>
      </c>
      <c r="E455">
        <v>892000</v>
      </c>
      <c r="F455" s="422">
        <v>46190</v>
      </c>
      <c r="G455" s="422">
        <v>44250</v>
      </c>
      <c r="H455" t="s">
        <v>1486</v>
      </c>
      <c r="K455" t="s">
        <v>3379</v>
      </c>
      <c r="L455" t="s">
        <v>4020</v>
      </c>
      <c r="M455">
        <v>792000</v>
      </c>
      <c r="N455">
        <v>242</v>
      </c>
      <c r="O455" t="str">
        <f>_xlfn.IFNA(VLOOKUP(Table2[[#This Row],[Lead Source]],'helper tab'!A:B,2,FALSE),"Exclude")</f>
        <v>Exclude</v>
      </c>
      <c r="P455" s="476">
        <f ca="1">TODAY() - Table2[[#This Row],[Created Date]]</f>
        <v>2008</v>
      </c>
      <c r="Q455">
        <f>IF(OR(Table2[[#This Row],[Stage]]="Propose",Table2[[#This Row],[Stage]]="Procure"),1,0)</f>
        <v>0</v>
      </c>
      <c r="R455">
        <f>IF(Table2[[#This Row],[Stage]]="Closed Won",1,0)</f>
        <v>0</v>
      </c>
      <c r="S455" t="b">
        <f>IFERROR(_xlfn.XLOOKUP(Table2[[#This Row],[Opportunity ID]],'Aging Detail'!$H$14:$H$20,'Aging Detail'!$F$14:$F$20),TRUE)</f>
        <v>1</v>
      </c>
    </row>
    <row r="456" spans="1:19" hidden="1">
      <c r="A456" t="s">
        <v>2658</v>
      </c>
      <c r="B456" t="s">
        <v>2656</v>
      </c>
      <c r="C456" t="s">
        <v>1469</v>
      </c>
      <c r="D456" t="s">
        <v>3362</v>
      </c>
      <c r="E456">
        <v>616000</v>
      </c>
      <c r="F456" s="422">
        <v>46157</v>
      </c>
      <c r="G456" s="422">
        <v>45468</v>
      </c>
      <c r="H456" t="s">
        <v>1486</v>
      </c>
      <c r="K456" t="s">
        <v>3379</v>
      </c>
      <c r="L456" t="s">
        <v>2657</v>
      </c>
      <c r="M456">
        <v>276000</v>
      </c>
      <c r="N456">
        <v>301</v>
      </c>
      <c r="O456" t="str">
        <f>_xlfn.IFNA(VLOOKUP(Table2[[#This Row],[Lead Source]],'helper tab'!A:B,2,FALSE),"Exclude")</f>
        <v>Exclude</v>
      </c>
      <c r="P456" s="476">
        <f ca="1">TODAY() - Table2[[#This Row],[Created Date]]</f>
        <v>790</v>
      </c>
      <c r="Q456">
        <f>IF(OR(Table2[[#This Row],[Stage]]="Propose",Table2[[#This Row],[Stage]]="Procure"),1,0)</f>
        <v>0</v>
      </c>
      <c r="R456">
        <f>IF(Table2[[#This Row],[Stage]]="Closed Won",1,0)</f>
        <v>0</v>
      </c>
      <c r="S456" t="b">
        <f>IFERROR(_xlfn.XLOOKUP(Table2[[#This Row],[Opportunity ID]],'Aging Detail'!$H$14:$H$20,'Aging Detail'!$F$14:$F$20),TRUE)</f>
        <v>1</v>
      </c>
    </row>
    <row r="457" spans="1:19" hidden="1">
      <c r="A457" t="s">
        <v>1973</v>
      </c>
      <c r="B457" t="s">
        <v>1971</v>
      </c>
      <c r="C457" t="s">
        <v>1469</v>
      </c>
      <c r="D457" t="s">
        <v>3362</v>
      </c>
      <c r="E457">
        <v>250000</v>
      </c>
      <c r="F457" s="422">
        <v>46155</v>
      </c>
      <c r="G457" s="422">
        <v>45513</v>
      </c>
      <c r="H457" t="s">
        <v>1465</v>
      </c>
      <c r="K457" t="s">
        <v>3379</v>
      </c>
      <c r="L457" t="s">
        <v>1972</v>
      </c>
      <c r="M457">
        <v>100000</v>
      </c>
      <c r="N457">
        <v>82</v>
      </c>
      <c r="O457" t="str">
        <f>_xlfn.IFNA(VLOOKUP(Table2[[#This Row],[Lead Source]],'helper tab'!A:B,2,FALSE),"Exclude")</f>
        <v>Exclude</v>
      </c>
      <c r="P457" s="476">
        <f ca="1">TODAY() - Table2[[#This Row],[Created Date]]</f>
        <v>745</v>
      </c>
      <c r="Q457">
        <f>IF(OR(Table2[[#This Row],[Stage]]="Propose",Table2[[#This Row],[Stage]]="Procure"),1,0)</f>
        <v>0</v>
      </c>
      <c r="R457">
        <f>IF(Table2[[#This Row],[Stage]]="Closed Won",1,0)</f>
        <v>0</v>
      </c>
      <c r="S457" t="b">
        <f>IFERROR(_xlfn.XLOOKUP(Table2[[#This Row],[Opportunity ID]],'Aging Detail'!$H$14:$H$20,'Aging Detail'!$F$14:$F$20),TRUE)</f>
        <v>1</v>
      </c>
    </row>
    <row r="458" spans="1:19" hidden="1">
      <c r="A458" t="s">
        <v>4021</v>
      </c>
      <c r="B458" t="s">
        <v>4021</v>
      </c>
      <c r="C458" t="s">
        <v>1469</v>
      </c>
      <c r="D458" t="s">
        <v>3363</v>
      </c>
      <c r="E458">
        <v>690060</v>
      </c>
      <c r="F458" s="422">
        <v>46022</v>
      </c>
      <c r="G458" s="422">
        <v>44337</v>
      </c>
      <c r="H458" t="s">
        <v>1486</v>
      </c>
      <c r="K458" t="s">
        <v>3379</v>
      </c>
      <c r="L458" t="s">
        <v>4022</v>
      </c>
      <c r="M458">
        <v>390060</v>
      </c>
      <c r="N458">
        <v>301</v>
      </c>
      <c r="O458" t="str">
        <f>_xlfn.IFNA(VLOOKUP(Table2[[#This Row],[Lead Source]],'helper tab'!A:B,2,FALSE),"Exclude")</f>
        <v>Exclude</v>
      </c>
      <c r="P458" s="476">
        <f ca="1">TODAY() - Table2[[#This Row],[Created Date]]</f>
        <v>1921</v>
      </c>
      <c r="Q458">
        <f>IF(OR(Table2[[#This Row],[Stage]]="Propose",Table2[[#This Row],[Stage]]="Procure"),1,0)</f>
        <v>0</v>
      </c>
      <c r="R458">
        <f>IF(Table2[[#This Row],[Stage]]="Closed Won",1,0)</f>
        <v>0</v>
      </c>
      <c r="S458" t="b">
        <f>IFERROR(_xlfn.XLOOKUP(Table2[[#This Row],[Opportunity ID]],'Aging Detail'!$H$14:$H$20,'Aging Detail'!$F$14:$F$20),TRUE)</f>
        <v>1</v>
      </c>
    </row>
    <row r="459" spans="1:19" hidden="1">
      <c r="A459" t="s">
        <v>4023</v>
      </c>
      <c r="B459" t="s">
        <v>4024</v>
      </c>
      <c r="C459" t="s">
        <v>1469</v>
      </c>
      <c r="D459" t="s">
        <v>3363</v>
      </c>
      <c r="E459">
        <v>525000</v>
      </c>
      <c r="F459" s="422">
        <v>46022</v>
      </c>
      <c r="G459" s="422">
        <v>45425</v>
      </c>
      <c r="H459" t="s">
        <v>1473</v>
      </c>
      <c r="K459" t="s">
        <v>3379</v>
      </c>
      <c r="L459" t="s">
        <v>4025</v>
      </c>
      <c r="M459">
        <v>420000</v>
      </c>
      <c r="N459">
        <v>563</v>
      </c>
      <c r="O459" t="str">
        <f>_xlfn.IFNA(VLOOKUP(Table2[[#This Row],[Lead Source]],'helper tab'!A:B,2,FALSE),"Exclude")</f>
        <v>Events</v>
      </c>
      <c r="P459" s="476">
        <f ca="1">TODAY() - Table2[[#This Row],[Created Date]]</f>
        <v>833</v>
      </c>
      <c r="Q459">
        <f>IF(OR(Table2[[#This Row],[Stage]]="Propose",Table2[[#This Row],[Stage]]="Procure"),1,0)</f>
        <v>0</v>
      </c>
      <c r="R459">
        <f>IF(Table2[[#This Row],[Stage]]="Closed Won",1,0)</f>
        <v>0</v>
      </c>
      <c r="S459" t="b">
        <f>IFERROR(_xlfn.XLOOKUP(Table2[[#This Row],[Opportunity ID]],'Aging Detail'!$H$14:$H$20,'Aging Detail'!$F$14:$F$20),TRUE)</f>
        <v>1</v>
      </c>
    </row>
    <row r="460" spans="1:19" hidden="1">
      <c r="A460" t="s">
        <v>4023</v>
      </c>
      <c r="B460" t="s">
        <v>4026</v>
      </c>
      <c r="C460" t="s">
        <v>1469</v>
      </c>
      <c r="D460" t="s">
        <v>3363</v>
      </c>
      <c r="E460">
        <v>50000</v>
      </c>
      <c r="F460" s="422">
        <v>46022</v>
      </c>
      <c r="G460" s="422">
        <v>45139</v>
      </c>
      <c r="H460" t="s">
        <v>1463</v>
      </c>
      <c r="K460" t="s">
        <v>3379</v>
      </c>
      <c r="L460" t="s">
        <v>4027</v>
      </c>
      <c r="M460">
        <v>50000</v>
      </c>
      <c r="N460">
        <v>563</v>
      </c>
      <c r="O460" t="str">
        <f>_xlfn.IFNA(VLOOKUP(Table2[[#This Row],[Lead Source]],'helper tab'!A:B,2,FALSE),"Exclude")</f>
        <v>Cold</v>
      </c>
      <c r="P460" s="476">
        <f ca="1">TODAY() - Table2[[#This Row],[Created Date]]</f>
        <v>1119</v>
      </c>
      <c r="Q460">
        <f>IF(OR(Table2[[#This Row],[Stage]]="Propose",Table2[[#This Row],[Stage]]="Procure"),1,0)</f>
        <v>0</v>
      </c>
      <c r="R460">
        <f>IF(Table2[[#This Row],[Stage]]="Closed Won",1,0)</f>
        <v>0</v>
      </c>
      <c r="S460" t="b">
        <f>IFERROR(_xlfn.XLOOKUP(Table2[[#This Row],[Opportunity ID]],'Aging Detail'!$H$14:$H$20,'Aging Detail'!$F$14:$F$20),TRUE)</f>
        <v>1</v>
      </c>
    </row>
    <row r="461" spans="1:19" hidden="1">
      <c r="A461" t="s">
        <v>2664</v>
      </c>
      <c r="B461" t="s">
        <v>2664</v>
      </c>
      <c r="C461" t="s">
        <v>1469</v>
      </c>
      <c r="D461" t="s">
        <v>3363</v>
      </c>
      <c r="E461">
        <v>696000</v>
      </c>
      <c r="F461" s="422">
        <v>46022</v>
      </c>
      <c r="G461" s="422">
        <v>45057</v>
      </c>
      <c r="H461" t="s">
        <v>1463</v>
      </c>
      <c r="K461" t="s">
        <v>3379</v>
      </c>
      <c r="L461" t="s">
        <v>2665</v>
      </c>
      <c r="M461">
        <v>396000</v>
      </c>
      <c r="N461">
        <v>301</v>
      </c>
      <c r="O461" t="str">
        <f>_xlfn.IFNA(VLOOKUP(Table2[[#This Row],[Lead Source]],'helper tab'!A:B,2,FALSE),"Exclude")</f>
        <v>Cold</v>
      </c>
      <c r="P461" s="476">
        <f ca="1">TODAY() - Table2[[#This Row],[Created Date]]</f>
        <v>1201</v>
      </c>
      <c r="Q461">
        <f>IF(OR(Table2[[#This Row],[Stage]]="Propose",Table2[[#This Row],[Stage]]="Procure"),1,0)</f>
        <v>0</v>
      </c>
      <c r="R461">
        <f>IF(Table2[[#This Row],[Stage]]="Closed Won",1,0)</f>
        <v>0</v>
      </c>
      <c r="S461" t="b">
        <f>IFERROR(_xlfn.XLOOKUP(Table2[[#This Row],[Opportunity ID]],'Aging Detail'!$H$14:$H$20,'Aging Detail'!$F$14:$F$20),TRUE)</f>
        <v>1</v>
      </c>
    </row>
    <row r="462" spans="1:19" hidden="1">
      <c r="A462" t="s">
        <v>3074</v>
      </c>
      <c r="B462" t="s">
        <v>3074</v>
      </c>
      <c r="C462" t="s">
        <v>1469</v>
      </c>
      <c r="D462" t="s">
        <v>3363</v>
      </c>
      <c r="E462">
        <v>537600</v>
      </c>
      <c r="F462" s="422">
        <v>46022</v>
      </c>
      <c r="G462" s="422">
        <v>44977</v>
      </c>
      <c r="H462" t="s">
        <v>1463</v>
      </c>
      <c r="K462" t="s">
        <v>3379</v>
      </c>
      <c r="L462" t="s">
        <v>3075</v>
      </c>
      <c r="M462">
        <v>237600</v>
      </c>
      <c r="N462">
        <v>451</v>
      </c>
      <c r="O462" t="str">
        <f>_xlfn.IFNA(VLOOKUP(Table2[[#This Row],[Lead Source]],'helper tab'!A:B,2,FALSE),"Exclude")</f>
        <v>Cold</v>
      </c>
      <c r="P462" s="476">
        <f ca="1">TODAY() - Table2[[#This Row],[Created Date]]</f>
        <v>1281</v>
      </c>
      <c r="Q462">
        <f>IF(OR(Table2[[#This Row],[Stage]]="Propose",Table2[[#This Row],[Stage]]="Procure"),1,0)</f>
        <v>0</v>
      </c>
      <c r="R462">
        <f>IF(Table2[[#This Row],[Stage]]="Closed Won",1,0)</f>
        <v>0</v>
      </c>
      <c r="S462" t="b">
        <f>IFERROR(_xlfn.XLOOKUP(Table2[[#This Row],[Opportunity ID]],'Aging Detail'!$H$14:$H$20,'Aging Detail'!$F$14:$F$20),TRUE)</f>
        <v>1</v>
      </c>
    </row>
    <row r="463" spans="1:19" hidden="1">
      <c r="A463" t="s">
        <v>2669</v>
      </c>
      <c r="B463" t="s">
        <v>2667</v>
      </c>
      <c r="C463" t="s">
        <v>1469</v>
      </c>
      <c r="D463" t="s">
        <v>3363</v>
      </c>
      <c r="E463">
        <v>3900000</v>
      </c>
      <c r="F463" s="422">
        <v>46022</v>
      </c>
      <c r="G463" s="422">
        <v>45026</v>
      </c>
      <c r="H463" t="s">
        <v>1486</v>
      </c>
      <c r="K463" t="s">
        <v>3379</v>
      </c>
      <c r="L463" t="s">
        <v>2668</v>
      </c>
      <c r="M463">
        <v>3600000</v>
      </c>
      <c r="N463">
        <v>301</v>
      </c>
      <c r="O463" t="str">
        <f>_xlfn.IFNA(VLOOKUP(Table2[[#This Row],[Lead Source]],'helper tab'!A:B,2,FALSE),"Exclude")</f>
        <v>Exclude</v>
      </c>
      <c r="P463" s="476">
        <f ca="1">TODAY() - Table2[[#This Row],[Created Date]]</f>
        <v>1232</v>
      </c>
      <c r="Q463">
        <f>IF(OR(Table2[[#This Row],[Stage]]="Propose",Table2[[#This Row],[Stage]]="Procure"),1,0)</f>
        <v>0</v>
      </c>
      <c r="R463">
        <f>IF(Table2[[#This Row],[Stage]]="Closed Won",1,0)</f>
        <v>0</v>
      </c>
      <c r="S463" t="b">
        <f>IFERROR(_xlfn.XLOOKUP(Table2[[#This Row],[Opportunity ID]],'Aging Detail'!$H$14:$H$20,'Aging Detail'!$F$14:$F$20),TRUE)</f>
        <v>1</v>
      </c>
    </row>
    <row r="464" spans="1:19" hidden="1">
      <c r="A464" t="s">
        <v>3131</v>
      </c>
      <c r="B464" t="s">
        <v>3129</v>
      </c>
      <c r="C464" t="s">
        <v>1469</v>
      </c>
      <c r="D464" t="s">
        <v>3363</v>
      </c>
      <c r="E464">
        <v>656400</v>
      </c>
      <c r="F464" s="422">
        <v>46022</v>
      </c>
      <c r="G464" s="422">
        <v>44862</v>
      </c>
      <c r="H464" t="s">
        <v>1463</v>
      </c>
      <c r="K464" t="s">
        <v>3379</v>
      </c>
      <c r="L464" t="s">
        <v>3130</v>
      </c>
      <c r="M464">
        <v>356400</v>
      </c>
      <c r="N464">
        <v>480</v>
      </c>
      <c r="O464" t="str">
        <f>_xlfn.IFNA(VLOOKUP(Table2[[#This Row],[Lead Source]],'helper tab'!A:B,2,FALSE),"Exclude")</f>
        <v>Cold</v>
      </c>
      <c r="P464" s="476">
        <f ca="1">TODAY() - Table2[[#This Row],[Created Date]]</f>
        <v>1396</v>
      </c>
      <c r="Q464">
        <f>IF(OR(Table2[[#This Row],[Stage]]="Propose",Table2[[#This Row],[Stage]]="Procure"),1,0)</f>
        <v>0</v>
      </c>
      <c r="R464">
        <f>IF(Table2[[#This Row],[Stage]]="Closed Won",1,0)</f>
        <v>0</v>
      </c>
      <c r="S464" t="b">
        <f>IFERROR(_xlfn.XLOOKUP(Table2[[#This Row],[Opportunity ID]],'Aging Detail'!$H$14:$H$20,'Aging Detail'!$F$14:$F$20),TRUE)</f>
        <v>1</v>
      </c>
    </row>
    <row r="465" spans="1:19" hidden="1">
      <c r="A465" t="s">
        <v>1568</v>
      </c>
      <c r="B465" t="s">
        <v>2641</v>
      </c>
      <c r="C465" t="s">
        <v>563</v>
      </c>
      <c r="D465" t="s">
        <v>3363</v>
      </c>
      <c r="E465">
        <v>168750</v>
      </c>
      <c r="F465" s="422">
        <v>45938</v>
      </c>
      <c r="G465" s="422">
        <v>45922</v>
      </c>
      <c r="H465" t="s">
        <v>1465</v>
      </c>
      <c r="K465" t="s">
        <v>3379</v>
      </c>
      <c r="L465" t="s">
        <v>2642</v>
      </c>
      <c r="M465">
        <v>0</v>
      </c>
      <c r="N465">
        <v>299</v>
      </c>
      <c r="O465" t="str">
        <f>_xlfn.IFNA(VLOOKUP(Table2[[#This Row],[Lead Source]],'helper tab'!A:B,2,FALSE),"Exclude")</f>
        <v>Exclude</v>
      </c>
      <c r="P465" s="476">
        <f ca="1">TODAY() - Table2[[#This Row],[Created Date]]</f>
        <v>336</v>
      </c>
      <c r="Q465">
        <f>IF(OR(Table2[[#This Row],[Stage]]="Propose",Table2[[#This Row],[Stage]]="Procure"),1,0)</f>
        <v>0</v>
      </c>
      <c r="R465">
        <f>IF(Table2[[#This Row],[Stage]]="Closed Won",1,0)</f>
        <v>1</v>
      </c>
      <c r="S465" t="b">
        <f>IFERROR(_xlfn.XLOOKUP(Table2[[#This Row],[Opportunity ID]],'Aging Detail'!$H$14:$H$20,'Aging Detail'!$F$14:$F$20),TRUE)</f>
        <v>1</v>
      </c>
    </row>
    <row r="466" spans="1:19" hidden="1">
      <c r="A466" t="s">
        <v>3063</v>
      </c>
      <c r="B466" t="s">
        <v>3063</v>
      </c>
      <c r="C466" t="s">
        <v>1469</v>
      </c>
      <c r="D466" t="s">
        <v>3364</v>
      </c>
      <c r="E466">
        <v>900000</v>
      </c>
      <c r="F466" s="422">
        <v>45930</v>
      </c>
      <c r="G466" s="422">
        <v>45068</v>
      </c>
      <c r="H466" t="s">
        <v>1463</v>
      </c>
      <c r="K466" t="s">
        <v>3379</v>
      </c>
      <c r="L466" t="s">
        <v>3064</v>
      </c>
      <c r="M466">
        <v>600000</v>
      </c>
      <c r="N466">
        <v>448</v>
      </c>
      <c r="O466" t="str">
        <f>_xlfn.IFNA(VLOOKUP(Table2[[#This Row],[Lead Source]],'helper tab'!A:B,2,FALSE),"Exclude")</f>
        <v>Cold</v>
      </c>
      <c r="P466" s="476">
        <f ca="1">TODAY() - Table2[[#This Row],[Created Date]]</f>
        <v>1190</v>
      </c>
      <c r="Q466">
        <f>IF(OR(Table2[[#This Row],[Stage]]="Propose",Table2[[#This Row],[Stage]]="Procure"),1,0)</f>
        <v>0</v>
      </c>
      <c r="R466">
        <f>IF(Table2[[#This Row],[Stage]]="Closed Won",1,0)</f>
        <v>0</v>
      </c>
      <c r="S466" t="b">
        <f>IFERROR(_xlfn.XLOOKUP(Table2[[#This Row],[Opportunity ID]],'Aging Detail'!$H$14:$H$20,'Aging Detail'!$F$14:$F$20),TRUE)</f>
        <v>1</v>
      </c>
    </row>
    <row r="467" spans="1:19" hidden="1">
      <c r="A467" t="s">
        <v>4028</v>
      </c>
      <c r="B467" t="s">
        <v>4029</v>
      </c>
      <c r="C467" t="s">
        <v>1469</v>
      </c>
      <c r="D467" t="s">
        <v>3415</v>
      </c>
      <c r="E467">
        <v>279300</v>
      </c>
      <c r="F467" s="422">
        <v>45838</v>
      </c>
      <c r="G467" s="422">
        <v>44886</v>
      </c>
      <c r="H467" t="s">
        <v>148</v>
      </c>
      <c r="K467" t="s">
        <v>3379</v>
      </c>
      <c r="L467" t="s">
        <v>4030</v>
      </c>
      <c r="M467">
        <v>136800</v>
      </c>
      <c r="N467">
        <v>738</v>
      </c>
      <c r="O467" t="str">
        <f>_xlfn.IFNA(VLOOKUP(Table2[[#This Row],[Lead Source]],'helper tab'!A:B,2,FALSE),"Exclude")</f>
        <v>Alliances</v>
      </c>
      <c r="P467" s="476">
        <f ca="1">TODAY() - Table2[[#This Row],[Created Date]]</f>
        <v>1372</v>
      </c>
      <c r="Q467">
        <f>IF(OR(Table2[[#This Row],[Stage]]="Propose",Table2[[#This Row],[Stage]]="Procure"),1,0)</f>
        <v>0</v>
      </c>
      <c r="R467">
        <f>IF(Table2[[#This Row],[Stage]]="Closed Won",1,0)</f>
        <v>0</v>
      </c>
      <c r="S467" t="b">
        <f>IFERROR(_xlfn.XLOOKUP(Table2[[#This Row],[Opportunity ID]],'Aging Detail'!$H$14:$H$20,'Aging Detail'!$F$14:$F$20),TRUE)</f>
        <v>1</v>
      </c>
    </row>
    <row r="468" spans="1:19" hidden="1">
      <c r="A468" t="s">
        <v>1568</v>
      </c>
      <c r="B468" t="s">
        <v>2951</v>
      </c>
      <c r="C468" t="s">
        <v>563</v>
      </c>
      <c r="D468" t="s">
        <v>3415</v>
      </c>
      <c r="E468">
        <v>108000</v>
      </c>
      <c r="F468" s="422">
        <v>45835</v>
      </c>
      <c r="G468" s="422">
        <v>45757</v>
      </c>
      <c r="H468" t="s">
        <v>1465</v>
      </c>
      <c r="K468" t="s">
        <v>3379</v>
      </c>
      <c r="L468" t="s">
        <v>2952</v>
      </c>
      <c r="M468">
        <v>108000</v>
      </c>
      <c r="N468">
        <v>402</v>
      </c>
      <c r="O468" t="str">
        <f>_xlfn.IFNA(VLOOKUP(Table2[[#This Row],[Lead Source]],'helper tab'!A:B,2,FALSE),"Exclude")</f>
        <v>Exclude</v>
      </c>
      <c r="P468" s="476">
        <f ca="1">TODAY() - Table2[[#This Row],[Created Date]]</f>
        <v>501</v>
      </c>
      <c r="Q468">
        <f>IF(OR(Table2[[#This Row],[Stage]]="Propose",Table2[[#This Row],[Stage]]="Procure"),1,0)</f>
        <v>0</v>
      </c>
      <c r="R468">
        <f>IF(Table2[[#This Row],[Stage]]="Closed Won",1,0)</f>
        <v>1</v>
      </c>
      <c r="S468" t="b">
        <f>IFERROR(_xlfn.XLOOKUP(Table2[[#This Row],[Opportunity ID]],'Aging Detail'!$H$14:$H$20,'Aging Detail'!$F$14:$F$20),TRUE)</f>
        <v>1</v>
      </c>
    </row>
    <row r="469" spans="1:19" hidden="1">
      <c r="A469" t="s">
        <v>1568</v>
      </c>
      <c r="B469" t="s">
        <v>3032</v>
      </c>
      <c r="C469" t="s">
        <v>563</v>
      </c>
      <c r="D469" t="s">
        <v>3415</v>
      </c>
      <c r="E469">
        <v>18000</v>
      </c>
      <c r="F469" s="422">
        <v>45798</v>
      </c>
      <c r="G469" s="422">
        <v>45775</v>
      </c>
      <c r="H469" t="s">
        <v>1465</v>
      </c>
      <c r="K469" t="s">
        <v>3379</v>
      </c>
      <c r="L469" t="s">
        <v>3033</v>
      </c>
      <c r="M469">
        <v>0</v>
      </c>
      <c r="N469">
        <v>439</v>
      </c>
      <c r="O469" t="str">
        <f>_xlfn.IFNA(VLOOKUP(Table2[[#This Row],[Lead Source]],'helper tab'!A:B,2,FALSE),"Exclude")</f>
        <v>Exclude</v>
      </c>
      <c r="P469" s="476">
        <f ca="1">TODAY() - Table2[[#This Row],[Created Date]]</f>
        <v>483</v>
      </c>
      <c r="Q469">
        <f>IF(OR(Table2[[#This Row],[Stage]]="Propose",Table2[[#This Row],[Stage]]="Procure"),1,0)</f>
        <v>0</v>
      </c>
      <c r="R469">
        <f>IF(Table2[[#This Row],[Stage]]="Closed Won",1,0)</f>
        <v>1</v>
      </c>
      <c r="S469" t="b">
        <f>IFERROR(_xlfn.XLOOKUP(Table2[[#This Row],[Opportunity ID]],'Aging Detail'!$H$14:$H$20,'Aging Detail'!$F$14:$F$20),TRUE)</f>
        <v>1</v>
      </c>
    </row>
    <row r="470" spans="1:19" hidden="1">
      <c r="A470" t="s">
        <v>1568</v>
      </c>
      <c r="B470" t="s">
        <v>3032</v>
      </c>
      <c r="C470" t="s">
        <v>563</v>
      </c>
      <c r="D470" t="s">
        <v>3415</v>
      </c>
      <c r="E470">
        <v>18000</v>
      </c>
      <c r="F470" s="422">
        <v>45776</v>
      </c>
      <c r="G470" s="422">
        <v>45775</v>
      </c>
      <c r="H470" t="s">
        <v>1465</v>
      </c>
      <c r="K470" t="s">
        <v>3379</v>
      </c>
      <c r="L470" t="s">
        <v>3100</v>
      </c>
      <c r="M470">
        <v>0</v>
      </c>
      <c r="N470">
        <v>461</v>
      </c>
      <c r="O470" t="str">
        <f>_xlfn.IFNA(VLOOKUP(Table2[[#This Row],[Lead Source]],'helper tab'!A:B,2,FALSE),"Exclude")</f>
        <v>Exclude</v>
      </c>
      <c r="P470" s="476">
        <f ca="1">TODAY() - Table2[[#This Row],[Created Date]]</f>
        <v>483</v>
      </c>
      <c r="Q470">
        <f>IF(OR(Table2[[#This Row],[Stage]]="Propose",Table2[[#This Row],[Stage]]="Procure"),1,0)</f>
        <v>0</v>
      </c>
      <c r="R470">
        <f>IF(Table2[[#This Row],[Stage]]="Closed Won",1,0)</f>
        <v>1</v>
      </c>
      <c r="S470" t="b">
        <f>IFERROR(_xlfn.XLOOKUP(Table2[[#This Row],[Opportunity ID]],'Aging Detail'!$H$14:$H$20,'Aging Detail'!$F$14:$F$20),TRUE)</f>
        <v>1</v>
      </c>
    </row>
    <row r="471" spans="1:19" hidden="1">
      <c r="A471" t="s">
        <v>4031</v>
      </c>
      <c r="B471" t="s">
        <v>4032</v>
      </c>
      <c r="C471" t="s">
        <v>1469</v>
      </c>
      <c r="D471" t="s">
        <v>3366</v>
      </c>
      <c r="E471">
        <v>320000</v>
      </c>
      <c r="F471" s="422">
        <v>45747</v>
      </c>
      <c r="G471" s="422">
        <v>45359</v>
      </c>
      <c r="H471" t="s">
        <v>1486</v>
      </c>
      <c r="K471" t="s">
        <v>3379</v>
      </c>
      <c r="L471" t="s">
        <v>4033</v>
      </c>
      <c r="M471">
        <v>180000</v>
      </c>
      <c r="N471">
        <v>644</v>
      </c>
      <c r="O471" t="str">
        <f>_xlfn.IFNA(VLOOKUP(Table2[[#This Row],[Lead Source]],'helper tab'!A:B,2,FALSE),"Exclude")</f>
        <v>Exclude</v>
      </c>
      <c r="P471" s="476">
        <f ca="1">TODAY() - Table2[[#This Row],[Created Date]]</f>
        <v>899</v>
      </c>
      <c r="Q471">
        <f>IF(OR(Table2[[#This Row],[Stage]]="Propose",Table2[[#This Row],[Stage]]="Procure"),1,0)</f>
        <v>0</v>
      </c>
      <c r="R471">
        <f>IF(Table2[[#This Row],[Stage]]="Closed Won",1,0)</f>
        <v>0</v>
      </c>
      <c r="S471" t="b">
        <f>IFERROR(_xlfn.XLOOKUP(Table2[[#This Row],[Opportunity ID]],'Aging Detail'!$H$14:$H$20,'Aging Detail'!$F$14:$F$20),TRUE)</f>
        <v>1</v>
      </c>
    </row>
    <row r="472" spans="1:19" hidden="1">
      <c r="A472" t="s">
        <v>4034</v>
      </c>
      <c r="B472" t="s">
        <v>4035</v>
      </c>
      <c r="C472" t="s">
        <v>1469</v>
      </c>
      <c r="D472" t="s">
        <v>3366</v>
      </c>
      <c r="E472">
        <v>726000</v>
      </c>
      <c r="F472" s="422">
        <v>45747</v>
      </c>
      <c r="G472" s="422">
        <v>44277</v>
      </c>
      <c r="H472" t="s">
        <v>1486</v>
      </c>
      <c r="K472" t="s">
        <v>3379</v>
      </c>
      <c r="L472" t="s">
        <v>4036</v>
      </c>
      <c r="M472">
        <v>426000</v>
      </c>
      <c r="N472">
        <v>627</v>
      </c>
      <c r="O472" t="str">
        <f>_xlfn.IFNA(VLOOKUP(Table2[[#This Row],[Lead Source]],'helper tab'!A:B,2,FALSE),"Exclude")</f>
        <v>Exclude</v>
      </c>
      <c r="P472" s="476">
        <f ca="1">TODAY() - Table2[[#This Row],[Created Date]]</f>
        <v>1981</v>
      </c>
      <c r="Q472">
        <f>IF(OR(Table2[[#This Row],[Stage]]="Propose",Table2[[#This Row],[Stage]]="Procure"),1,0)</f>
        <v>0</v>
      </c>
      <c r="R472">
        <f>IF(Table2[[#This Row],[Stage]]="Closed Won",1,0)</f>
        <v>0</v>
      </c>
      <c r="S472" t="b">
        <f>IFERROR(_xlfn.XLOOKUP(Table2[[#This Row],[Opportunity ID]],'Aging Detail'!$H$14:$H$20,'Aging Detail'!$F$14:$F$20),TRUE)</f>
        <v>1</v>
      </c>
    </row>
    <row r="473" spans="1:19" hidden="1">
      <c r="A473" t="s">
        <v>1646</v>
      </c>
      <c r="B473" t="s">
        <v>3195</v>
      </c>
      <c r="C473" t="s">
        <v>563</v>
      </c>
      <c r="D473" t="s">
        <v>3366</v>
      </c>
      <c r="E473">
        <v>802994.62</v>
      </c>
      <c r="F473" s="422">
        <v>45737</v>
      </c>
      <c r="G473" s="422">
        <v>45363</v>
      </c>
      <c r="K473" t="s">
        <v>3379</v>
      </c>
      <c r="L473" t="s">
        <v>3196</v>
      </c>
      <c r="M473">
        <v>57930</v>
      </c>
      <c r="N473">
        <v>497</v>
      </c>
      <c r="O473" t="str">
        <f>_xlfn.IFNA(VLOOKUP(Table2[[#This Row],[Lead Source]],'helper tab'!A:B,2,FALSE),"Exclude")</f>
        <v>Exclude</v>
      </c>
      <c r="P473" s="476">
        <f ca="1">TODAY() - Table2[[#This Row],[Created Date]]</f>
        <v>895</v>
      </c>
      <c r="Q473">
        <f>IF(OR(Table2[[#This Row],[Stage]]="Propose",Table2[[#This Row],[Stage]]="Procure"),1,0)</f>
        <v>0</v>
      </c>
      <c r="R473">
        <f>IF(Table2[[#This Row],[Stage]]="Closed Won",1,0)</f>
        <v>1</v>
      </c>
      <c r="S473" t="b">
        <f>IFERROR(_xlfn.XLOOKUP(Table2[[#This Row],[Opportunity ID]],'Aging Detail'!$H$14:$H$20,'Aging Detail'!$F$14:$F$20),TRUE)</f>
        <v>1</v>
      </c>
    </row>
    <row r="474" spans="1:19" hidden="1">
      <c r="A474" t="s">
        <v>1568</v>
      </c>
      <c r="B474" t="s">
        <v>3252</v>
      </c>
      <c r="C474" t="s">
        <v>563</v>
      </c>
      <c r="D474" t="s">
        <v>3366</v>
      </c>
      <c r="E474">
        <v>44000</v>
      </c>
      <c r="F474" s="422">
        <v>45716</v>
      </c>
      <c r="G474" s="422">
        <v>45716</v>
      </c>
      <c r="K474" t="s">
        <v>3379</v>
      </c>
      <c r="L474" t="s">
        <v>3253</v>
      </c>
      <c r="M474">
        <v>0</v>
      </c>
      <c r="N474">
        <v>521</v>
      </c>
      <c r="O474" t="str">
        <f>_xlfn.IFNA(VLOOKUP(Table2[[#This Row],[Lead Source]],'helper tab'!A:B,2,FALSE),"Exclude")</f>
        <v>Exclude</v>
      </c>
      <c r="P474" s="476">
        <f ca="1">TODAY() - Table2[[#This Row],[Created Date]]</f>
        <v>542</v>
      </c>
      <c r="Q474">
        <f>IF(OR(Table2[[#This Row],[Stage]]="Propose",Table2[[#This Row],[Stage]]="Procure"),1,0)</f>
        <v>0</v>
      </c>
      <c r="R474">
        <f>IF(Table2[[#This Row],[Stage]]="Closed Won",1,0)</f>
        <v>1</v>
      </c>
      <c r="S474" t="b">
        <f>IFERROR(_xlfn.XLOOKUP(Table2[[#This Row],[Opportunity ID]],'Aging Detail'!$H$14:$H$20,'Aging Detail'!$F$14:$F$20),TRUE)</f>
        <v>1</v>
      </c>
    </row>
    <row r="475" spans="1:19" hidden="1">
      <c r="A475" t="s">
        <v>1646</v>
      </c>
      <c r="B475" t="s">
        <v>3178</v>
      </c>
      <c r="C475" t="s">
        <v>563</v>
      </c>
      <c r="D475" t="s">
        <v>3366</v>
      </c>
      <c r="E475">
        <v>0</v>
      </c>
      <c r="F475" s="422">
        <v>45677</v>
      </c>
      <c r="G475" s="422">
        <v>45586</v>
      </c>
      <c r="H475" t="s">
        <v>1465</v>
      </c>
      <c r="K475" t="s">
        <v>3379</v>
      </c>
      <c r="L475" t="s">
        <v>3179</v>
      </c>
      <c r="M475">
        <v>0</v>
      </c>
      <c r="N475">
        <v>493</v>
      </c>
      <c r="O475" t="str">
        <f>_xlfn.IFNA(VLOOKUP(Table2[[#This Row],[Lead Source]],'helper tab'!A:B,2,FALSE),"Exclude")</f>
        <v>Exclude</v>
      </c>
      <c r="P475" s="476">
        <f ca="1">TODAY() - Table2[[#This Row],[Created Date]]</f>
        <v>672</v>
      </c>
      <c r="Q475">
        <f>IF(OR(Table2[[#This Row],[Stage]]="Propose",Table2[[#This Row],[Stage]]="Procure"),1,0)</f>
        <v>0</v>
      </c>
      <c r="R475">
        <f>IF(Table2[[#This Row],[Stage]]="Closed Won",1,0)</f>
        <v>1</v>
      </c>
      <c r="S475" t="b">
        <f>IFERROR(_xlfn.XLOOKUP(Table2[[#This Row],[Opportunity ID]],'Aging Detail'!$H$14:$H$20,'Aging Detail'!$F$14:$F$20),TRUE)</f>
        <v>1</v>
      </c>
    </row>
    <row r="476" spans="1:19" hidden="1">
      <c r="A476" t="s">
        <v>4028</v>
      </c>
      <c r="B476" t="s">
        <v>4037</v>
      </c>
      <c r="C476" t="s">
        <v>1469</v>
      </c>
      <c r="D476" t="s">
        <v>3368</v>
      </c>
      <c r="E476">
        <v>50000</v>
      </c>
      <c r="F476" s="422">
        <v>45657</v>
      </c>
      <c r="G476" s="422">
        <v>44886</v>
      </c>
      <c r="H476" t="s">
        <v>148</v>
      </c>
      <c r="K476" t="s">
        <v>3379</v>
      </c>
      <c r="L476" t="s">
        <v>4038</v>
      </c>
      <c r="M476">
        <v>50000</v>
      </c>
      <c r="N476">
        <v>738</v>
      </c>
      <c r="O476" t="str">
        <f>_xlfn.IFNA(VLOOKUP(Table2[[#This Row],[Lead Source]],'helper tab'!A:B,2,FALSE),"Exclude")</f>
        <v>Alliances</v>
      </c>
      <c r="P476" s="476">
        <f ca="1">TODAY() - Table2[[#This Row],[Created Date]]</f>
        <v>1372</v>
      </c>
      <c r="Q476">
        <f>IF(OR(Table2[[#This Row],[Stage]]="Propose",Table2[[#This Row],[Stage]]="Procure"),1,0)</f>
        <v>0</v>
      </c>
      <c r="R476">
        <f>IF(Table2[[#This Row],[Stage]]="Closed Won",1,0)</f>
        <v>0</v>
      </c>
      <c r="S476" t="b">
        <f>IFERROR(_xlfn.XLOOKUP(Table2[[#This Row],[Opportunity ID]],'Aging Detail'!$H$14:$H$20,'Aging Detail'!$F$14:$F$20),TRUE)</f>
        <v>1</v>
      </c>
    </row>
    <row r="477" spans="1:19" hidden="1">
      <c r="A477" t="s">
        <v>1585</v>
      </c>
      <c r="B477" t="s">
        <v>4039</v>
      </c>
      <c r="C477" t="s">
        <v>1469</v>
      </c>
      <c r="D477" t="s">
        <v>3368</v>
      </c>
      <c r="E477">
        <v>923985</v>
      </c>
      <c r="F477" s="422">
        <v>45657</v>
      </c>
      <c r="G477" s="422">
        <v>44391</v>
      </c>
      <c r="H477" t="s">
        <v>1486</v>
      </c>
      <c r="K477" t="s">
        <v>3379</v>
      </c>
      <c r="L477" t="s">
        <v>4040</v>
      </c>
      <c r="M477">
        <v>623985</v>
      </c>
      <c r="N477">
        <v>644</v>
      </c>
      <c r="O477" t="str">
        <f>_xlfn.IFNA(VLOOKUP(Table2[[#This Row],[Lead Source]],'helper tab'!A:B,2,FALSE),"Exclude")</f>
        <v>Exclude</v>
      </c>
      <c r="P477" s="476">
        <f ca="1">TODAY() - Table2[[#This Row],[Created Date]]</f>
        <v>1867</v>
      </c>
      <c r="Q477">
        <f>IF(OR(Table2[[#This Row],[Stage]]="Propose",Table2[[#This Row],[Stage]]="Procure"),1,0)</f>
        <v>0</v>
      </c>
      <c r="R477">
        <f>IF(Table2[[#This Row],[Stage]]="Closed Won",1,0)</f>
        <v>0</v>
      </c>
      <c r="S477" t="b">
        <f>IFERROR(_xlfn.XLOOKUP(Table2[[#This Row],[Opportunity ID]],'Aging Detail'!$H$14:$H$20,'Aging Detail'!$F$14:$F$20),TRUE)</f>
        <v>1</v>
      </c>
    </row>
    <row r="478" spans="1:19" hidden="1">
      <c r="A478" t="s">
        <v>4041</v>
      </c>
      <c r="B478" t="s">
        <v>4042</v>
      </c>
      <c r="C478" t="s">
        <v>563</v>
      </c>
      <c r="D478" t="s">
        <v>3368</v>
      </c>
      <c r="E478">
        <v>28080</v>
      </c>
      <c r="F478" s="422">
        <v>45644</v>
      </c>
      <c r="G478" s="422">
        <v>45607</v>
      </c>
      <c r="H478" t="s">
        <v>1465</v>
      </c>
      <c r="K478" t="s">
        <v>3379</v>
      </c>
      <c r="L478" t="s">
        <v>4043</v>
      </c>
      <c r="M478">
        <v>28080</v>
      </c>
      <c r="N478">
        <v>593</v>
      </c>
      <c r="O478" t="str">
        <f>_xlfn.IFNA(VLOOKUP(Table2[[#This Row],[Lead Source]],'helper tab'!A:B,2,FALSE),"Exclude")</f>
        <v>Exclude</v>
      </c>
      <c r="P478" s="476">
        <f ca="1">TODAY() - Table2[[#This Row],[Created Date]]</f>
        <v>651</v>
      </c>
      <c r="Q478">
        <f>IF(OR(Table2[[#This Row],[Stage]]="Propose",Table2[[#This Row],[Stage]]="Procure"),1,0)</f>
        <v>0</v>
      </c>
      <c r="R478">
        <f>IF(Table2[[#This Row],[Stage]]="Closed Won",1,0)</f>
        <v>1</v>
      </c>
      <c r="S478" t="b">
        <f>IFERROR(_xlfn.XLOOKUP(Table2[[#This Row],[Opportunity ID]],'Aging Detail'!$H$14:$H$20,'Aging Detail'!$F$14:$F$20),TRUE)</f>
        <v>1</v>
      </c>
    </row>
    <row r="479" spans="1:19" hidden="1">
      <c r="A479" t="s">
        <v>4006</v>
      </c>
      <c r="B479" t="s">
        <v>4044</v>
      </c>
      <c r="C479" t="s">
        <v>563</v>
      </c>
      <c r="D479" t="s">
        <v>3368</v>
      </c>
      <c r="E479">
        <v>0</v>
      </c>
      <c r="F479" s="422">
        <v>45566</v>
      </c>
      <c r="G479" s="422">
        <v>45567</v>
      </c>
      <c r="H479" t="s">
        <v>1486</v>
      </c>
      <c r="K479" t="s">
        <v>3379</v>
      </c>
      <c r="L479" t="s">
        <v>4045</v>
      </c>
      <c r="M479">
        <v>0</v>
      </c>
      <c r="N479">
        <v>670</v>
      </c>
      <c r="O479" t="str">
        <f>_xlfn.IFNA(VLOOKUP(Table2[[#This Row],[Lead Source]],'helper tab'!A:B,2,FALSE),"Exclude")</f>
        <v>Exclude</v>
      </c>
      <c r="P479" s="476">
        <f ca="1">TODAY() - Table2[[#This Row],[Created Date]]</f>
        <v>691</v>
      </c>
      <c r="Q479">
        <f>IF(OR(Table2[[#This Row],[Stage]]="Propose",Table2[[#This Row],[Stage]]="Procure"),1,0)</f>
        <v>0</v>
      </c>
      <c r="R479">
        <f>IF(Table2[[#This Row],[Stage]]="Closed Won",1,0)</f>
        <v>1</v>
      </c>
      <c r="S479" t="b">
        <f>IFERROR(_xlfn.XLOOKUP(Table2[[#This Row],[Opportunity ID]],'Aging Detail'!$H$14:$H$20,'Aging Detail'!$F$14:$F$20),TRUE)</f>
        <v>1</v>
      </c>
    </row>
    <row r="480" spans="1:19" hidden="1">
      <c r="A480" t="s">
        <v>1568</v>
      </c>
      <c r="B480" t="s">
        <v>4046</v>
      </c>
      <c r="C480" t="s">
        <v>563</v>
      </c>
      <c r="D480" t="s">
        <v>3422</v>
      </c>
      <c r="E480">
        <v>1341500</v>
      </c>
      <c r="F480" s="422">
        <v>45562</v>
      </c>
      <c r="G480" s="422">
        <v>44205</v>
      </c>
      <c r="H480" t="s">
        <v>1463</v>
      </c>
      <c r="K480" t="s">
        <v>3379</v>
      </c>
      <c r="L480" t="s">
        <v>4047</v>
      </c>
      <c r="M480">
        <v>1216500</v>
      </c>
      <c r="N480">
        <v>675</v>
      </c>
      <c r="O480" t="str">
        <f>_xlfn.IFNA(VLOOKUP(Table2[[#This Row],[Lead Source]],'helper tab'!A:B,2,FALSE),"Exclude")</f>
        <v>Cold</v>
      </c>
      <c r="P480" s="476">
        <f ca="1">TODAY() - Table2[[#This Row],[Created Date]]</f>
        <v>2053</v>
      </c>
      <c r="Q480">
        <f>IF(OR(Table2[[#This Row],[Stage]]="Propose",Table2[[#This Row],[Stage]]="Procure"),1,0)</f>
        <v>0</v>
      </c>
      <c r="R480">
        <f>IF(Table2[[#This Row],[Stage]]="Closed Won",1,0)</f>
        <v>1</v>
      </c>
      <c r="S480" t="b">
        <f>IFERROR(_xlfn.XLOOKUP(Table2[[#This Row],[Opportunity ID]],'Aging Detail'!$H$14:$H$20,'Aging Detail'!$F$14:$F$20),TRUE)</f>
        <v>1</v>
      </c>
    </row>
    <row r="481" spans="1:19" hidden="1">
      <c r="A481" t="s">
        <v>1748</v>
      </c>
      <c r="B481" t="s">
        <v>4048</v>
      </c>
      <c r="C481" t="s">
        <v>563</v>
      </c>
      <c r="D481" t="s">
        <v>3422</v>
      </c>
      <c r="E481">
        <v>100000</v>
      </c>
      <c r="F481" s="422">
        <v>45526</v>
      </c>
      <c r="G481" s="422">
        <v>45531</v>
      </c>
      <c r="H481" t="s">
        <v>1465</v>
      </c>
      <c r="K481" t="s">
        <v>3379</v>
      </c>
      <c r="L481" t="s">
        <v>4049</v>
      </c>
      <c r="M481">
        <v>0</v>
      </c>
      <c r="N481">
        <v>706</v>
      </c>
      <c r="O481" t="str">
        <f>_xlfn.IFNA(VLOOKUP(Table2[[#This Row],[Lead Source]],'helper tab'!A:B,2,FALSE),"Exclude")</f>
        <v>Exclude</v>
      </c>
      <c r="P481" s="476">
        <f ca="1">TODAY() - Table2[[#This Row],[Created Date]]</f>
        <v>727</v>
      </c>
      <c r="Q481">
        <f>IF(OR(Table2[[#This Row],[Stage]]="Propose",Table2[[#This Row],[Stage]]="Procure"),1,0)</f>
        <v>0</v>
      </c>
      <c r="R481">
        <f>IF(Table2[[#This Row],[Stage]]="Closed Won",1,0)</f>
        <v>1</v>
      </c>
      <c r="S481" t="b">
        <f>IFERROR(_xlfn.XLOOKUP(Table2[[#This Row],[Opportunity ID]],'Aging Detail'!$H$14:$H$20,'Aging Detail'!$F$14:$F$20),TRUE)</f>
        <v>1</v>
      </c>
    </row>
    <row r="482" spans="1:19" hidden="1">
      <c r="A482" t="s">
        <v>4050</v>
      </c>
      <c r="B482" t="s">
        <v>4051</v>
      </c>
      <c r="C482" t="s">
        <v>563</v>
      </c>
      <c r="D482" t="s">
        <v>3422</v>
      </c>
      <c r="F482" s="422">
        <v>45492</v>
      </c>
      <c r="G482" s="422">
        <v>45495</v>
      </c>
      <c r="H482" t="s">
        <v>1484</v>
      </c>
      <c r="K482" t="s">
        <v>3379</v>
      </c>
      <c r="L482" t="s">
        <v>4052</v>
      </c>
      <c r="M482">
        <v>0</v>
      </c>
      <c r="N482">
        <v>742</v>
      </c>
      <c r="O482" t="str">
        <f>_xlfn.IFNA(VLOOKUP(Table2[[#This Row],[Lead Source]],'helper tab'!A:B,2,FALSE),"Exclude")</f>
        <v>Exclude</v>
      </c>
      <c r="P482" s="476">
        <f ca="1">TODAY() - Table2[[#This Row],[Created Date]]</f>
        <v>763</v>
      </c>
      <c r="Q482">
        <f>IF(OR(Table2[[#This Row],[Stage]]="Propose",Table2[[#This Row],[Stage]]="Procure"),1,0)</f>
        <v>0</v>
      </c>
      <c r="R482">
        <f>IF(Table2[[#This Row],[Stage]]="Closed Won",1,0)</f>
        <v>1</v>
      </c>
      <c r="S482" t="b">
        <f>IFERROR(_xlfn.XLOOKUP(Table2[[#This Row],[Opportunity ID]],'Aging Detail'!$H$14:$H$20,'Aging Detail'!$F$14:$F$20),TRUE)</f>
        <v>1</v>
      </c>
    </row>
    <row r="483" spans="1:19" hidden="1">
      <c r="A483" t="s">
        <v>1568</v>
      </c>
      <c r="B483" t="s">
        <v>4053</v>
      </c>
      <c r="C483" t="s">
        <v>563</v>
      </c>
      <c r="D483" t="s">
        <v>3422</v>
      </c>
      <c r="F483" s="422">
        <v>45475</v>
      </c>
      <c r="G483" s="422">
        <v>45372</v>
      </c>
      <c r="H483" t="s">
        <v>1465</v>
      </c>
      <c r="K483" t="s">
        <v>3379</v>
      </c>
      <c r="L483" t="s">
        <v>4054</v>
      </c>
      <c r="M483">
        <v>0</v>
      </c>
      <c r="N483">
        <v>738</v>
      </c>
      <c r="O483" t="str">
        <f>_xlfn.IFNA(VLOOKUP(Table2[[#This Row],[Lead Source]],'helper tab'!A:B,2,FALSE),"Exclude")</f>
        <v>Exclude</v>
      </c>
      <c r="P483" s="476">
        <f ca="1">TODAY() - Table2[[#This Row],[Created Date]]</f>
        <v>886</v>
      </c>
      <c r="Q483">
        <f>IF(OR(Table2[[#This Row],[Stage]]="Propose",Table2[[#This Row],[Stage]]="Procure"),1,0)</f>
        <v>0</v>
      </c>
      <c r="R483">
        <f>IF(Table2[[#This Row],[Stage]]="Closed Won",1,0)</f>
        <v>1</v>
      </c>
      <c r="S483" t="b">
        <f>IFERROR(_xlfn.XLOOKUP(Table2[[#This Row],[Opportunity ID]],'Aging Detail'!$H$14:$H$20,'Aging Detail'!$F$14:$F$20),TRUE)</f>
        <v>1</v>
      </c>
    </row>
    <row r="484" spans="1:19" hidden="1">
      <c r="A484" t="s">
        <v>4041</v>
      </c>
      <c r="B484" t="s">
        <v>4041</v>
      </c>
      <c r="C484" t="s">
        <v>563</v>
      </c>
      <c r="D484" t="s">
        <v>3604</v>
      </c>
      <c r="E484">
        <v>140000</v>
      </c>
      <c r="F484" s="422">
        <v>45387</v>
      </c>
      <c r="G484" s="422">
        <v>45007</v>
      </c>
      <c r="H484" t="s">
        <v>1473</v>
      </c>
      <c r="K484" t="s">
        <v>3379</v>
      </c>
      <c r="L484" t="s">
        <v>4055</v>
      </c>
      <c r="M484">
        <v>0</v>
      </c>
      <c r="N484">
        <v>1230</v>
      </c>
      <c r="O484" t="str">
        <f>_xlfn.IFNA(VLOOKUP(Table2[[#This Row],[Lead Source]],'helper tab'!A:B,2,FALSE),"Exclude")</f>
        <v>Events</v>
      </c>
      <c r="P484" s="476">
        <f ca="1">TODAY() - Table2[[#This Row],[Created Date]]</f>
        <v>1251</v>
      </c>
      <c r="Q484">
        <f>IF(OR(Table2[[#This Row],[Stage]]="Propose",Table2[[#This Row],[Stage]]="Procure"),1,0)</f>
        <v>0</v>
      </c>
      <c r="R484">
        <f>IF(Table2[[#This Row],[Stage]]="Closed Won",1,0)</f>
        <v>1</v>
      </c>
      <c r="S484" t="b">
        <f>IFERROR(_xlfn.XLOOKUP(Table2[[#This Row],[Opportunity ID]],'Aging Detail'!$H$14:$H$20,'Aging Detail'!$F$14:$F$20),TRUE)</f>
        <v>1</v>
      </c>
    </row>
    <row r="485" spans="1:19" hidden="1">
      <c r="A485" t="s">
        <v>1646</v>
      </c>
      <c r="B485" t="s">
        <v>4056</v>
      </c>
      <c r="C485" t="s">
        <v>563</v>
      </c>
      <c r="D485" t="s">
        <v>3472</v>
      </c>
      <c r="E485">
        <v>1328510</v>
      </c>
      <c r="F485" s="422">
        <v>45351</v>
      </c>
      <c r="G485" s="422">
        <v>44581</v>
      </c>
      <c r="H485" t="s">
        <v>1486</v>
      </c>
      <c r="K485" t="s">
        <v>3379</v>
      </c>
      <c r="L485" t="s">
        <v>4057</v>
      </c>
      <c r="M485">
        <v>386430</v>
      </c>
      <c r="N485">
        <v>1656</v>
      </c>
      <c r="O485" t="str">
        <f>_xlfn.IFNA(VLOOKUP(Table2[[#This Row],[Lead Source]],'helper tab'!A:B,2,FALSE),"Exclude")</f>
        <v>Exclude</v>
      </c>
      <c r="P485" s="476">
        <f ca="1">TODAY() - Table2[[#This Row],[Created Date]]</f>
        <v>1677</v>
      </c>
      <c r="Q485">
        <f>IF(OR(Table2[[#This Row],[Stage]]="Propose",Table2[[#This Row],[Stage]]="Procure"),1,0)</f>
        <v>0</v>
      </c>
      <c r="R485">
        <f>IF(Table2[[#This Row],[Stage]]="Closed Won",1,0)</f>
        <v>1</v>
      </c>
      <c r="S485" t="b">
        <f>IFERROR(_xlfn.XLOOKUP(Table2[[#This Row],[Opportunity ID]],'Aging Detail'!$H$14:$H$20,'Aging Detail'!$F$14:$F$20),TRUE)</f>
        <v>1</v>
      </c>
    </row>
    <row r="486" spans="1:19" hidden="1">
      <c r="A486" t="s">
        <v>1748</v>
      </c>
      <c r="B486" t="s">
        <v>1748</v>
      </c>
      <c r="C486" t="s">
        <v>563</v>
      </c>
      <c r="D486" t="s">
        <v>3612</v>
      </c>
      <c r="F486" s="422">
        <v>45275</v>
      </c>
      <c r="G486" s="422">
        <v>45224</v>
      </c>
      <c r="H486" t="s">
        <v>1489</v>
      </c>
      <c r="K486" t="s">
        <v>3379</v>
      </c>
      <c r="L486" t="s">
        <v>4058</v>
      </c>
      <c r="M486">
        <v>0</v>
      </c>
      <c r="N486">
        <v>1013</v>
      </c>
      <c r="O486" t="str">
        <f>_xlfn.IFNA(VLOOKUP(Table2[[#This Row],[Lead Source]],'helper tab'!A:B,2,FALSE),"Exclude")</f>
        <v>Cold</v>
      </c>
      <c r="P486" s="476">
        <f ca="1">TODAY() - Table2[[#This Row],[Created Date]]</f>
        <v>1034</v>
      </c>
      <c r="Q486">
        <f>IF(OR(Table2[[#This Row],[Stage]]="Propose",Table2[[#This Row],[Stage]]="Procure"),1,0)</f>
        <v>0</v>
      </c>
      <c r="R486">
        <f>IF(Table2[[#This Row],[Stage]]="Closed Won",1,0)</f>
        <v>1</v>
      </c>
      <c r="S486" t="b">
        <f>IFERROR(_xlfn.XLOOKUP(Table2[[#This Row],[Opportunity ID]],'Aging Detail'!$H$14:$H$20,'Aging Detail'!$F$14:$F$20),TRUE)</f>
        <v>1</v>
      </c>
    </row>
    <row r="487" spans="1:19" hidden="1">
      <c r="A487" t="s">
        <v>1568</v>
      </c>
      <c r="B487" t="s">
        <v>4059</v>
      </c>
      <c r="C487" t="s">
        <v>563</v>
      </c>
      <c r="D487" t="s">
        <v>3776</v>
      </c>
      <c r="F487" s="422">
        <v>45019</v>
      </c>
      <c r="G487" s="422">
        <v>45019</v>
      </c>
      <c r="H487" t="s">
        <v>1486</v>
      </c>
      <c r="K487" t="s">
        <v>3379</v>
      </c>
      <c r="L487" t="s">
        <v>4060</v>
      </c>
      <c r="M487">
        <v>0</v>
      </c>
      <c r="N487">
        <v>1218</v>
      </c>
      <c r="O487" t="str">
        <f>_xlfn.IFNA(VLOOKUP(Table2[[#This Row],[Lead Source]],'helper tab'!A:B,2,FALSE),"Exclude")</f>
        <v>Exclude</v>
      </c>
      <c r="P487" s="476">
        <f ca="1">TODAY() - Table2[[#This Row],[Created Date]]</f>
        <v>1239</v>
      </c>
      <c r="Q487">
        <f>IF(OR(Table2[[#This Row],[Stage]]="Propose",Table2[[#This Row],[Stage]]="Procure"),1,0)</f>
        <v>0</v>
      </c>
      <c r="R487">
        <f>IF(Table2[[#This Row],[Stage]]="Closed Won",1,0)</f>
        <v>1</v>
      </c>
      <c r="S487" t="b">
        <f>IFERROR(_xlfn.XLOOKUP(Table2[[#This Row],[Opportunity ID]],'Aging Detail'!$H$14:$H$20,'Aging Detail'!$F$14:$F$20),TRUE)</f>
        <v>1</v>
      </c>
    </row>
    <row r="488" spans="1:19" hidden="1">
      <c r="A488" t="s">
        <v>1568</v>
      </c>
      <c r="B488" t="s">
        <v>4061</v>
      </c>
      <c r="C488" t="s">
        <v>563</v>
      </c>
      <c r="D488" t="s">
        <v>3371</v>
      </c>
      <c r="F488" s="422">
        <v>45016</v>
      </c>
      <c r="G488" s="422">
        <v>44544</v>
      </c>
      <c r="H488" t="s">
        <v>1486</v>
      </c>
      <c r="K488" t="s">
        <v>3379</v>
      </c>
      <c r="L488" t="s">
        <v>4062</v>
      </c>
      <c r="M488">
        <v>0</v>
      </c>
      <c r="N488">
        <v>1693</v>
      </c>
      <c r="O488" t="str">
        <f>_xlfn.IFNA(VLOOKUP(Table2[[#This Row],[Lead Source]],'helper tab'!A:B,2,FALSE),"Exclude")</f>
        <v>Exclude</v>
      </c>
      <c r="P488" s="476">
        <f ca="1">TODAY() - Table2[[#This Row],[Created Date]]</f>
        <v>1714</v>
      </c>
      <c r="Q488">
        <f>IF(OR(Table2[[#This Row],[Stage]]="Propose",Table2[[#This Row],[Stage]]="Procure"),1,0)</f>
        <v>0</v>
      </c>
      <c r="R488">
        <f>IF(Table2[[#This Row],[Stage]]="Closed Won",1,0)</f>
        <v>1</v>
      </c>
      <c r="S488" t="b">
        <f>IFERROR(_xlfn.XLOOKUP(Table2[[#This Row],[Opportunity ID]],'Aging Detail'!$H$14:$H$20,'Aging Detail'!$F$14:$F$20),TRUE)</f>
        <v>1</v>
      </c>
    </row>
    <row r="489" spans="1:19" hidden="1">
      <c r="A489" t="s">
        <v>1646</v>
      </c>
      <c r="B489" t="s">
        <v>4063</v>
      </c>
      <c r="C489" t="s">
        <v>563</v>
      </c>
      <c r="D489" t="s">
        <v>3371</v>
      </c>
      <c r="F489" s="422">
        <v>44953</v>
      </c>
      <c r="G489" s="422">
        <v>44704</v>
      </c>
      <c r="H489" t="s">
        <v>1486</v>
      </c>
      <c r="K489" t="s">
        <v>3379</v>
      </c>
      <c r="L489" t="s">
        <v>4064</v>
      </c>
      <c r="M489">
        <v>0</v>
      </c>
      <c r="N489">
        <v>1533</v>
      </c>
      <c r="O489" t="str">
        <f>_xlfn.IFNA(VLOOKUP(Table2[[#This Row],[Lead Source]],'helper tab'!A:B,2,FALSE),"Exclude")</f>
        <v>Exclude</v>
      </c>
      <c r="P489" s="476">
        <f ca="1">TODAY() - Table2[[#This Row],[Created Date]]</f>
        <v>1554</v>
      </c>
      <c r="Q489">
        <f>IF(OR(Table2[[#This Row],[Stage]]="Propose",Table2[[#This Row],[Stage]]="Procure"),1,0)</f>
        <v>0</v>
      </c>
      <c r="R489">
        <f>IF(Table2[[#This Row],[Stage]]="Closed Won",1,0)</f>
        <v>1</v>
      </c>
      <c r="S489" t="b">
        <f>IFERROR(_xlfn.XLOOKUP(Table2[[#This Row],[Opportunity ID]],'Aging Detail'!$H$14:$H$20,'Aging Detail'!$F$14:$F$20),TRUE)</f>
        <v>1</v>
      </c>
    </row>
    <row r="490" spans="1:19" hidden="1">
      <c r="A490" t="s">
        <v>4050</v>
      </c>
      <c r="B490" t="s">
        <v>4065</v>
      </c>
      <c r="C490" t="s">
        <v>563</v>
      </c>
      <c r="D490" t="s">
        <v>3404</v>
      </c>
      <c r="F490" s="422">
        <v>44742</v>
      </c>
      <c r="G490" s="422">
        <v>44323</v>
      </c>
      <c r="H490" t="s">
        <v>1486</v>
      </c>
      <c r="K490" t="s">
        <v>3379</v>
      </c>
      <c r="L490" t="s">
        <v>4066</v>
      </c>
      <c r="M490">
        <v>0</v>
      </c>
      <c r="N490">
        <v>1914</v>
      </c>
      <c r="O490" t="str">
        <f>_xlfn.IFNA(VLOOKUP(Table2[[#This Row],[Lead Source]],'helper tab'!A:B,2,FALSE),"Exclude")</f>
        <v>Exclude</v>
      </c>
      <c r="P490" s="476">
        <f ca="1">TODAY() - Table2[[#This Row],[Created Date]]</f>
        <v>1935</v>
      </c>
      <c r="Q490">
        <f>IF(OR(Table2[[#This Row],[Stage]]="Propose",Table2[[#This Row],[Stage]]="Procure"),1,0)</f>
        <v>0</v>
      </c>
      <c r="R490">
        <f>IF(Table2[[#This Row],[Stage]]="Closed Won",1,0)</f>
        <v>1</v>
      </c>
      <c r="S490" t="b">
        <f>IFERROR(_xlfn.XLOOKUP(Table2[[#This Row],[Opportunity ID]],'Aging Detail'!$H$14:$H$20,'Aging Detail'!$F$14:$F$20),TRUE)</f>
        <v>1</v>
      </c>
    </row>
    <row r="491" spans="1:19" hidden="1">
      <c r="A491" t="s">
        <v>1887</v>
      </c>
      <c r="B491" t="s">
        <v>4067</v>
      </c>
      <c r="C491" t="s">
        <v>563</v>
      </c>
      <c r="D491" t="s">
        <v>3798</v>
      </c>
      <c r="F491" s="422">
        <v>44529</v>
      </c>
      <c r="G491" s="422">
        <v>44496</v>
      </c>
      <c r="H491" t="s">
        <v>1486</v>
      </c>
      <c r="K491" t="s">
        <v>3379</v>
      </c>
      <c r="L491" t="s">
        <v>4068</v>
      </c>
      <c r="M491">
        <v>0</v>
      </c>
      <c r="N491">
        <v>1741</v>
      </c>
      <c r="O491" t="str">
        <f>_xlfn.IFNA(VLOOKUP(Table2[[#This Row],[Lead Source]],'helper tab'!A:B,2,FALSE),"Exclude")</f>
        <v>Exclude</v>
      </c>
      <c r="P491" s="476">
        <f ca="1">TODAY() - Table2[[#This Row],[Created Date]]</f>
        <v>1762</v>
      </c>
      <c r="Q491">
        <f>IF(OR(Table2[[#This Row],[Stage]]="Propose",Table2[[#This Row],[Stage]]="Procure"),1,0)</f>
        <v>0</v>
      </c>
      <c r="R491">
        <f>IF(Table2[[#This Row],[Stage]]="Closed Won",1,0)</f>
        <v>1</v>
      </c>
      <c r="S491" t="b">
        <f>IFERROR(_xlfn.XLOOKUP(Table2[[#This Row],[Opportunity ID]],'Aging Detail'!$H$14:$H$20,'Aging Detail'!$F$14:$F$20),TRUE)</f>
        <v>1</v>
      </c>
    </row>
    <row r="492" spans="1:19" hidden="1">
      <c r="A492" t="s">
        <v>1887</v>
      </c>
      <c r="B492" t="s">
        <v>4069</v>
      </c>
      <c r="C492" t="s">
        <v>563</v>
      </c>
      <c r="D492" t="s">
        <v>3798</v>
      </c>
      <c r="F492" s="422">
        <v>44529</v>
      </c>
      <c r="G492" s="422">
        <v>44462</v>
      </c>
      <c r="H492" t="s">
        <v>1486</v>
      </c>
      <c r="K492" t="s">
        <v>3379</v>
      </c>
      <c r="L492" t="s">
        <v>4070</v>
      </c>
      <c r="M492">
        <v>0</v>
      </c>
      <c r="N492">
        <v>1775</v>
      </c>
      <c r="O492" t="str">
        <f>_xlfn.IFNA(VLOOKUP(Table2[[#This Row],[Lead Source]],'helper tab'!A:B,2,FALSE),"Exclude")</f>
        <v>Exclude</v>
      </c>
      <c r="P492" s="476">
        <f ca="1">TODAY() - Table2[[#This Row],[Created Date]]</f>
        <v>1796</v>
      </c>
      <c r="Q492">
        <f>IF(OR(Table2[[#This Row],[Stage]]="Propose",Table2[[#This Row],[Stage]]="Procure"),1,0)</f>
        <v>0</v>
      </c>
      <c r="R492">
        <f>IF(Table2[[#This Row],[Stage]]="Closed Won",1,0)</f>
        <v>1</v>
      </c>
      <c r="S492" t="b">
        <f>IFERROR(_xlfn.XLOOKUP(Table2[[#This Row],[Opportunity ID]],'Aging Detail'!$H$14:$H$20,'Aging Detail'!$F$14:$F$20),TRUE)</f>
        <v>1</v>
      </c>
    </row>
    <row r="493" spans="1:19" hidden="1">
      <c r="A493" t="s">
        <v>1887</v>
      </c>
      <c r="B493" t="s">
        <v>4071</v>
      </c>
      <c r="C493" t="s">
        <v>563</v>
      </c>
      <c r="D493" t="s">
        <v>3798</v>
      </c>
      <c r="F493" s="422">
        <v>44481</v>
      </c>
      <c r="G493" s="422">
        <v>44475</v>
      </c>
      <c r="K493" t="s">
        <v>3379</v>
      </c>
      <c r="L493" t="s">
        <v>4072</v>
      </c>
      <c r="M493">
        <v>0</v>
      </c>
      <c r="N493">
        <v>1762</v>
      </c>
      <c r="O493" t="str">
        <f>_xlfn.IFNA(VLOOKUP(Table2[[#This Row],[Lead Source]],'helper tab'!A:B,2,FALSE),"Exclude")</f>
        <v>Exclude</v>
      </c>
      <c r="P493" s="476">
        <f ca="1">TODAY() - Table2[[#This Row],[Created Date]]</f>
        <v>1783</v>
      </c>
      <c r="Q493">
        <f>IF(OR(Table2[[#This Row],[Stage]]="Propose",Table2[[#This Row],[Stage]]="Procure"),1,0)</f>
        <v>0</v>
      </c>
      <c r="R493">
        <f>IF(Table2[[#This Row],[Stage]]="Closed Won",1,0)</f>
        <v>1</v>
      </c>
      <c r="S493" t="b">
        <f>IFERROR(_xlfn.XLOOKUP(Table2[[#This Row],[Opportunity ID]],'Aging Detail'!$H$14:$H$20,'Aging Detail'!$F$14:$F$20),TRUE)</f>
        <v>1</v>
      </c>
    </row>
    <row r="494" spans="1:19" hidden="1">
      <c r="A494" t="s">
        <v>1887</v>
      </c>
      <c r="B494" t="s">
        <v>4073</v>
      </c>
      <c r="C494" t="s">
        <v>563</v>
      </c>
      <c r="D494" t="s">
        <v>3798</v>
      </c>
      <c r="F494" s="422">
        <v>44481</v>
      </c>
      <c r="G494" s="422">
        <v>44475</v>
      </c>
      <c r="H494" t="s">
        <v>1484</v>
      </c>
      <c r="K494" t="s">
        <v>3379</v>
      </c>
      <c r="L494" t="s">
        <v>4074</v>
      </c>
      <c r="M494">
        <v>0</v>
      </c>
      <c r="N494">
        <v>1762</v>
      </c>
      <c r="O494" t="str">
        <f>_xlfn.IFNA(VLOOKUP(Table2[[#This Row],[Lead Source]],'helper tab'!A:B,2,FALSE),"Exclude")</f>
        <v>Exclude</v>
      </c>
      <c r="P494" s="476">
        <f ca="1">TODAY() - Table2[[#This Row],[Created Date]]</f>
        <v>1783</v>
      </c>
      <c r="Q494">
        <f>IF(OR(Table2[[#This Row],[Stage]]="Propose",Table2[[#This Row],[Stage]]="Procure"),1,0)</f>
        <v>0</v>
      </c>
      <c r="R494">
        <f>IF(Table2[[#This Row],[Stage]]="Closed Won",1,0)</f>
        <v>1</v>
      </c>
      <c r="S494" t="b">
        <f>IFERROR(_xlfn.XLOOKUP(Table2[[#This Row],[Opportunity ID]],'Aging Detail'!$H$14:$H$20,'Aging Detail'!$F$14:$F$20),TRUE)</f>
        <v>1</v>
      </c>
    </row>
    <row r="495" spans="1:19" hidden="1">
      <c r="A495" t="s">
        <v>1887</v>
      </c>
      <c r="B495" t="s">
        <v>4075</v>
      </c>
      <c r="C495" t="s">
        <v>563</v>
      </c>
      <c r="D495" t="s">
        <v>3815</v>
      </c>
      <c r="F495" s="422">
        <v>44358</v>
      </c>
      <c r="G495" s="422">
        <v>44292</v>
      </c>
      <c r="H495" t="s">
        <v>1463</v>
      </c>
      <c r="K495" t="s">
        <v>3379</v>
      </c>
      <c r="L495" t="s">
        <v>4076</v>
      </c>
      <c r="M495">
        <v>0</v>
      </c>
      <c r="N495">
        <v>1945</v>
      </c>
      <c r="O495" t="str">
        <f>_xlfn.IFNA(VLOOKUP(Table2[[#This Row],[Lead Source]],'helper tab'!A:B,2,FALSE),"Exclude")</f>
        <v>Cold</v>
      </c>
      <c r="P495" s="476">
        <f ca="1">TODAY() - Table2[[#This Row],[Created Date]]</f>
        <v>1966</v>
      </c>
      <c r="Q495">
        <f>IF(OR(Table2[[#This Row],[Stage]]="Propose",Table2[[#This Row],[Stage]]="Procure"),1,0)</f>
        <v>0</v>
      </c>
      <c r="R495">
        <f>IF(Table2[[#This Row],[Stage]]="Closed Won",1,0)</f>
        <v>1</v>
      </c>
      <c r="S495" t="b">
        <f>IFERROR(_xlfn.XLOOKUP(Table2[[#This Row],[Opportunity ID]],'Aging Detail'!$H$14:$H$20,'Aging Detail'!$F$14:$F$20),TRUE)</f>
        <v>1</v>
      </c>
    </row>
    <row r="496" spans="1:19" hidden="1">
      <c r="A496" t="s">
        <v>566</v>
      </c>
      <c r="B496" t="s">
        <v>4077</v>
      </c>
      <c r="C496" t="s">
        <v>591</v>
      </c>
      <c r="D496" t="s">
        <v>3435</v>
      </c>
      <c r="E496">
        <v>79200</v>
      </c>
      <c r="F496" s="422">
        <v>46955</v>
      </c>
      <c r="G496" s="422">
        <v>45859</v>
      </c>
      <c r="H496" t="s">
        <v>202</v>
      </c>
      <c r="K496" t="s">
        <v>3386</v>
      </c>
      <c r="L496" t="s">
        <v>4078</v>
      </c>
      <c r="M496">
        <v>0</v>
      </c>
      <c r="N496">
        <v>378</v>
      </c>
      <c r="O496" t="str">
        <f>_xlfn.IFNA(VLOOKUP(Table2[[#This Row],[Lead Source]],'helper tab'!A:B,2,FALSE),"Exclude")</f>
        <v>Digital</v>
      </c>
      <c r="P496" s="476">
        <f ca="1">TODAY() - Table2[[#This Row],[Created Date]]</f>
        <v>399</v>
      </c>
      <c r="Q496">
        <f>IF(OR(Table2[[#This Row],[Stage]]="Propose",Table2[[#This Row],[Stage]]="Procure"),1,0)</f>
        <v>0</v>
      </c>
      <c r="R496">
        <f>IF(Table2[[#This Row],[Stage]]="Closed Won",1,0)</f>
        <v>0</v>
      </c>
      <c r="S496" t="b">
        <f>IFERROR(_xlfn.XLOOKUP(Table2[[#This Row],[Opportunity ID]],'Aging Detail'!$H$14:$H$20,'Aging Detail'!$F$14:$F$20),TRUE)</f>
        <v>1</v>
      </c>
    </row>
    <row r="497" spans="1:19" hidden="1">
      <c r="A497" t="s">
        <v>566</v>
      </c>
      <c r="B497" t="s">
        <v>4079</v>
      </c>
      <c r="C497" t="s">
        <v>408</v>
      </c>
      <c r="D497" t="s">
        <v>3457</v>
      </c>
      <c r="E497">
        <v>60000</v>
      </c>
      <c r="F497" s="422">
        <v>46681</v>
      </c>
      <c r="G497" s="422">
        <v>45869</v>
      </c>
      <c r="H497" t="s">
        <v>1562</v>
      </c>
      <c r="J497" t="s">
        <v>3484</v>
      </c>
      <c r="K497" t="s">
        <v>3386</v>
      </c>
      <c r="L497" t="s">
        <v>4080</v>
      </c>
      <c r="M497">
        <v>60000</v>
      </c>
      <c r="N497">
        <v>367</v>
      </c>
      <c r="O497" t="str">
        <f>_xlfn.IFNA(VLOOKUP(Table2[[#This Row],[Lead Source]],'helper tab'!A:B,2,FALSE),"Exclude")</f>
        <v>Exclude</v>
      </c>
      <c r="P497" s="476">
        <f ca="1">TODAY() - Table2[[#This Row],[Created Date]]</f>
        <v>389</v>
      </c>
      <c r="Q497">
        <f>IF(OR(Table2[[#This Row],[Stage]]="Propose",Table2[[#This Row],[Stage]]="Procure"),1,0)</f>
        <v>0</v>
      </c>
      <c r="R497">
        <f>IF(Table2[[#This Row],[Stage]]="Closed Won",1,0)</f>
        <v>0</v>
      </c>
      <c r="S497" t="b">
        <f>IFERROR(_xlfn.XLOOKUP(Table2[[#This Row],[Opportunity ID]],'Aging Detail'!$H$14:$H$20,'Aging Detail'!$F$14:$F$20),TRUE)</f>
        <v>1</v>
      </c>
    </row>
    <row r="498" spans="1:19" hidden="1">
      <c r="A498" t="s">
        <v>622</v>
      </c>
      <c r="B498" t="s">
        <v>622</v>
      </c>
      <c r="C498" t="s">
        <v>338</v>
      </c>
      <c r="D498" t="s">
        <v>3385</v>
      </c>
      <c r="E498">
        <v>136500</v>
      </c>
      <c r="F498" s="422">
        <v>46624</v>
      </c>
      <c r="G498" s="422">
        <v>45833</v>
      </c>
      <c r="H498" t="s">
        <v>404</v>
      </c>
      <c r="K498" t="s">
        <v>3386</v>
      </c>
      <c r="L498" t="s">
        <v>4081</v>
      </c>
      <c r="M498">
        <v>136500</v>
      </c>
      <c r="N498">
        <v>404</v>
      </c>
      <c r="O498" t="str">
        <f>_xlfn.IFNA(VLOOKUP(Table2[[#This Row],[Lead Source]],'helper tab'!A:B,2,FALSE),"Exclude")</f>
        <v>Digital</v>
      </c>
      <c r="P498" s="476">
        <f ca="1">TODAY() - Table2[[#This Row],[Created Date]]</f>
        <v>425</v>
      </c>
      <c r="Q498">
        <f>IF(OR(Table2[[#This Row],[Stage]]="Propose",Table2[[#This Row],[Stage]]="Procure"),1,0)</f>
        <v>0</v>
      </c>
      <c r="R498">
        <f>IF(Table2[[#This Row],[Stage]]="Closed Won",1,0)</f>
        <v>0</v>
      </c>
      <c r="S498" t="b">
        <f>IFERROR(_xlfn.XLOOKUP(Table2[[#This Row],[Opportunity ID]],'Aging Detail'!$H$14:$H$20,'Aging Detail'!$F$14:$F$20),TRUE)</f>
        <v>1</v>
      </c>
    </row>
    <row r="499" spans="1:19" hidden="1">
      <c r="A499" t="s">
        <v>4082</v>
      </c>
      <c r="B499" t="s">
        <v>4083</v>
      </c>
      <c r="C499" t="s">
        <v>338</v>
      </c>
      <c r="D499" t="s">
        <v>3352</v>
      </c>
      <c r="E499">
        <v>100000</v>
      </c>
      <c r="F499" s="422">
        <v>46466</v>
      </c>
      <c r="G499" s="422">
        <v>45961</v>
      </c>
      <c r="H499" t="s">
        <v>1468</v>
      </c>
      <c r="K499" t="s">
        <v>3386</v>
      </c>
      <c r="L499" t="s">
        <v>4084</v>
      </c>
      <c r="M499">
        <v>100000</v>
      </c>
      <c r="N499">
        <v>276</v>
      </c>
      <c r="O499" t="str">
        <f>_xlfn.IFNA(VLOOKUP(Table2[[#This Row],[Lead Source]],'helper tab'!A:B,2,FALSE),"Exclude")</f>
        <v>Events</v>
      </c>
      <c r="P499" s="476">
        <f ca="1">TODAY() - Table2[[#This Row],[Created Date]]</f>
        <v>297</v>
      </c>
      <c r="Q499">
        <f>IF(OR(Table2[[#This Row],[Stage]]="Propose",Table2[[#This Row],[Stage]]="Procure"),1,0)</f>
        <v>0</v>
      </c>
      <c r="R499">
        <f>IF(Table2[[#This Row],[Stage]]="Closed Won",1,0)</f>
        <v>0</v>
      </c>
      <c r="S499" t="b">
        <f>IFERROR(_xlfn.XLOOKUP(Table2[[#This Row],[Opportunity ID]],'Aging Detail'!$H$14:$H$20,'Aging Detail'!$F$14:$F$20),TRUE)</f>
        <v>1</v>
      </c>
    </row>
    <row r="500" spans="1:19" hidden="1">
      <c r="A500" t="s">
        <v>4085</v>
      </c>
      <c r="B500" t="s">
        <v>4086</v>
      </c>
      <c r="C500" t="s">
        <v>408</v>
      </c>
      <c r="D500" t="s">
        <v>3352</v>
      </c>
      <c r="E500">
        <v>678180</v>
      </c>
      <c r="F500" s="422">
        <v>46411</v>
      </c>
      <c r="G500" s="422">
        <v>43707</v>
      </c>
      <c r="H500" t="s">
        <v>1463</v>
      </c>
      <c r="K500" t="s">
        <v>3386</v>
      </c>
      <c r="L500" t="s">
        <v>85</v>
      </c>
      <c r="M500">
        <v>378180</v>
      </c>
      <c r="N500">
        <v>2530</v>
      </c>
      <c r="O500" t="str">
        <f>_xlfn.IFNA(VLOOKUP(Table2[[#This Row],[Lead Source]],'helper tab'!A:B,2,FALSE),"Exclude")</f>
        <v>Cold</v>
      </c>
      <c r="P500" s="476">
        <f ca="1">TODAY() - Table2[[#This Row],[Created Date]]</f>
        <v>2551</v>
      </c>
      <c r="Q500">
        <f>IF(OR(Table2[[#This Row],[Stage]]="Propose",Table2[[#This Row],[Stage]]="Procure"),1,0)</f>
        <v>0</v>
      </c>
      <c r="R500">
        <f>IF(Table2[[#This Row],[Stage]]="Closed Won",1,0)</f>
        <v>0</v>
      </c>
      <c r="S500" t="b">
        <f>IFERROR(_xlfn.XLOOKUP(Table2[[#This Row],[Opportunity ID]],'Aging Detail'!$H$14:$H$20,'Aging Detail'!$F$14:$F$20),TRUE)</f>
        <v>0</v>
      </c>
    </row>
    <row r="501" spans="1:19" hidden="1">
      <c r="A501" t="s">
        <v>732</v>
      </c>
      <c r="B501" t="s">
        <v>4087</v>
      </c>
      <c r="C501" t="s">
        <v>338</v>
      </c>
      <c r="D501" t="s">
        <v>3359</v>
      </c>
      <c r="E501">
        <v>510000</v>
      </c>
      <c r="F501" s="422">
        <v>46386</v>
      </c>
      <c r="G501" s="422">
        <v>45908</v>
      </c>
      <c r="H501" t="s">
        <v>148</v>
      </c>
      <c r="K501" t="s">
        <v>3386</v>
      </c>
      <c r="L501" t="s">
        <v>4088</v>
      </c>
      <c r="M501">
        <v>370000</v>
      </c>
      <c r="N501">
        <v>329</v>
      </c>
      <c r="O501" t="str">
        <f>_xlfn.IFNA(VLOOKUP(Table2[[#This Row],[Lead Source]],'helper tab'!A:B,2,FALSE),"Exclude")</f>
        <v>Alliances</v>
      </c>
      <c r="P501" s="476">
        <f ca="1">TODAY() - Table2[[#This Row],[Created Date]]</f>
        <v>350</v>
      </c>
      <c r="Q501">
        <f>IF(OR(Table2[[#This Row],[Stage]]="Propose",Table2[[#This Row],[Stage]]="Procure"),1,0)</f>
        <v>0</v>
      </c>
      <c r="R501">
        <f>IF(Table2[[#This Row],[Stage]]="Closed Won",1,0)</f>
        <v>0</v>
      </c>
      <c r="S501" t="b">
        <f>IFERROR(_xlfn.XLOOKUP(Table2[[#This Row],[Opportunity ID]],'Aging Detail'!$H$14:$H$20,'Aging Detail'!$F$14:$F$20),TRUE)</f>
        <v>1</v>
      </c>
    </row>
    <row r="502" spans="1:19">
      <c r="A502" t="s">
        <v>4089</v>
      </c>
      <c r="B502" t="s">
        <v>4090</v>
      </c>
      <c r="C502" t="s">
        <v>338</v>
      </c>
      <c r="D502" t="s">
        <v>3359</v>
      </c>
      <c r="E502">
        <v>326600</v>
      </c>
      <c r="F502" s="422">
        <v>46378</v>
      </c>
      <c r="G502" s="422">
        <v>46119</v>
      </c>
      <c r="H502" t="s">
        <v>1475</v>
      </c>
      <c r="K502" t="s">
        <v>3386</v>
      </c>
      <c r="L502" t="s">
        <v>4091</v>
      </c>
      <c r="M502">
        <v>201600</v>
      </c>
      <c r="N502">
        <v>118</v>
      </c>
      <c r="O502" t="str">
        <f>_xlfn.IFNA(VLOOKUP(Table2[[#This Row],[Lead Source]],'helper tab'!A:B,2,FALSE),"Exclude")</f>
        <v>Exclude</v>
      </c>
      <c r="P502" s="476">
        <f ca="1">TODAY() - Table2[[#This Row],[Created Date]]</f>
        <v>139</v>
      </c>
      <c r="Q502">
        <f>IF(OR(Table2[[#This Row],[Stage]]="Propose",Table2[[#This Row],[Stage]]="Procure"),1,0)</f>
        <v>0</v>
      </c>
      <c r="R502">
        <f>IF(Table2[[#This Row],[Stage]]="Closed Won",1,0)</f>
        <v>0</v>
      </c>
      <c r="S502" t="b">
        <f>IFERROR(_xlfn.XLOOKUP(Table2[[#This Row],[Opportunity ID]],'Aging Detail'!$H$14:$H$20,'Aging Detail'!$F$14:$F$20),TRUE)</f>
        <v>1</v>
      </c>
    </row>
    <row r="503" spans="1:19" hidden="1">
      <c r="A503" t="s">
        <v>4089</v>
      </c>
      <c r="B503" t="s">
        <v>4092</v>
      </c>
      <c r="C503" t="s">
        <v>338</v>
      </c>
      <c r="D503" t="s">
        <v>3359</v>
      </c>
      <c r="E503">
        <v>100000</v>
      </c>
      <c r="F503" s="422">
        <v>46366</v>
      </c>
      <c r="G503" s="422">
        <v>45931</v>
      </c>
      <c r="H503" t="s">
        <v>1465</v>
      </c>
      <c r="K503" t="s">
        <v>3386</v>
      </c>
      <c r="L503" t="s">
        <v>4093</v>
      </c>
      <c r="M503">
        <v>100000</v>
      </c>
      <c r="N503">
        <v>306</v>
      </c>
      <c r="O503" t="str">
        <f>_xlfn.IFNA(VLOOKUP(Table2[[#This Row],[Lead Source]],'helper tab'!A:B,2,FALSE),"Exclude")</f>
        <v>Exclude</v>
      </c>
      <c r="P503" s="476">
        <f ca="1">TODAY() - Table2[[#This Row],[Created Date]]</f>
        <v>327</v>
      </c>
      <c r="Q503">
        <f>IF(OR(Table2[[#This Row],[Stage]]="Propose",Table2[[#This Row],[Stage]]="Procure"),1,0)</f>
        <v>0</v>
      </c>
      <c r="R503">
        <f>IF(Table2[[#This Row],[Stage]]="Closed Won",1,0)</f>
        <v>0</v>
      </c>
      <c r="S503" t="b">
        <f>IFERROR(_xlfn.XLOOKUP(Table2[[#This Row],[Opportunity ID]],'Aging Detail'!$H$14:$H$20,'Aging Detail'!$F$14:$F$20),TRUE)</f>
        <v>1</v>
      </c>
    </row>
    <row r="504" spans="1:19">
      <c r="A504" t="s">
        <v>4089</v>
      </c>
      <c r="B504" t="s">
        <v>4094</v>
      </c>
      <c r="C504" t="s">
        <v>338</v>
      </c>
      <c r="D504" t="s">
        <v>3359</v>
      </c>
      <c r="E504">
        <v>506000</v>
      </c>
      <c r="F504" s="422">
        <v>46359</v>
      </c>
      <c r="G504" s="422">
        <v>46126</v>
      </c>
      <c r="H504" t="s">
        <v>1475</v>
      </c>
      <c r="K504" t="s">
        <v>3386</v>
      </c>
      <c r="L504" t="s">
        <v>4095</v>
      </c>
      <c r="M504">
        <v>420000</v>
      </c>
      <c r="N504">
        <v>111</v>
      </c>
      <c r="O504" t="str">
        <f>_xlfn.IFNA(VLOOKUP(Table2[[#This Row],[Lead Source]],'helper tab'!A:B,2,FALSE),"Exclude")</f>
        <v>Exclude</v>
      </c>
      <c r="P504" s="476">
        <f ca="1">TODAY() - Table2[[#This Row],[Created Date]]</f>
        <v>132</v>
      </c>
      <c r="Q504">
        <f>IF(OR(Table2[[#This Row],[Stage]]="Propose",Table2[[#This Row],[Stage]]="Procure"),1,0)</f>
        <v>0</v>
      </c>
      <c r="R504">
        <f>IF(Table2[[#This Row],[Stage]]="Closed Won",1,0)</f>
        <v>0</v>
      </c>
      <c r="S504" t="b">
        <f>IFERROR(_xlfn.XLOOKUP(Table2[[#This Row],[Opportunity ID]],'Aging Detail'!$H$14:$H$20,'Aging Detail'!$F$14:$F$20),TRUE)</f>
        <v>1</v>
      </c>
    </row>
    <row r="505" spans="1:19" hidden="1">
      <c r="A505" t="s">
        <v>1903</v>
      </c>
      <c r="B505" t="s">
        <v>1901</v>
      </c>
      <c r="C505" t="s">
        <v>462</v>
      </c>
      <c r="D505" t="s">
        <v>3359</v>
      </c>
      <c r="E505">
        <v>510000</v>
      </c>
      <c r="F505" s="422">
        <v>46348</v>
      </c>
      <c r="G505" s="422">
        <v>45966</v>
      </c>
      <c r="H505" t="s">
        <v>1464</v>
      </c>
      <c r="K505" t="s">
        <v>3386</v>
      </c>
      <c r="L505" t="s">
        <v>1902</v>
      </c>
      <c r="M505">
        <v>450000</v>
      </c>
      <c r="N505">
        <v>54</v>
      </c>
      <c r="O505" t="str">
        <f>_xlfn.IFNA(VLOOKUP(Table2[[#This Row],[Lead Source]],'helper tab'!A:B,2,FALSE),"Exclude")</f>
        <v>Cold</v>
      </c>
      <c r="P505" s="476">
        <f ca="1">TODAY() - Table2[[#This Row],[Created Date]]</f>
        <v>292</v>
      </c>
      <c r="Q505">
        <f>IF(OR(Table2[[#This Row],[Stage]]="Propose",Table2[[#This Row],[Stage]]="Procure"),1,0)</f>
        <v>1</v>
      </c>
      <c r="R505">
        <f>IF(Table2[[#This Row],[Stage]]="Closed Won",1,0)</f>
        <v>0</v>
      </c>
      <c r="S505" t="b">
        <f>IFERROR(_xlfn.XLOOKUP(Table2[[#This Row],[Opportunity ID]],'Aging Detail'!$H$14:$H$20,'Aging Detail'!$F$14:$F$20),TRUE)</f>
        <v>1</v>
      </c>
    </row>
    <row r="506" spans="1:19">
      <c r="A506" t="s">
        <v>4096</v>
      </c>
      <c r="B506" t="s">
        <v>4096</v>
      </c>
      <c r="C506" t="s">
        <v>338</v>
      </c>
      <c r="D506" t="s">
        <v>3359</v>
      </c>
      <c r="E506">
        <v>366000</v>
      </c>
      <c r="F506" s="422">
        <v>46345</v>
      </c>
      <c r="G506" s="422">
        <v>46051</v>
      </c>
      <c r="H506" t="s">
        <v>29</v>
      </c>
      <c r="J506" t="s">
        <v>4097</v>
      </c>
      <c r="K506" t="s">
        <v>3386</v>
      </c>
      <c r="L506" t="s">
        <v>4098</v>
      </c>
      <c r="M506">
        <v>306000</v>
      </c>
      <c r="N506">
        <v>186</v>
      </c>
      <c r="O506" t="str">
        <f>_xlfn.IFNA(VLOOKUP(Table2[[#This Row],[Lead Source]],'helper tab'!A:B,2,FALSE),"Exclude")</f>
        <v>Events</v>
      </c>
      <c r="P506" s="476">
        <f ca="1">TODAY() - Table2[[#This Row],[Created Date]]</f>
        <v>207</v>
      </c>
      <c r="Q506">
        <f>IF(OR(Table2[[#This Row],[Stage]]="Propose",Table2[[#This Row],[Stage]]="Procure"),1,0)</f>
        <v>0</v>
      </c>
      <c r="R506">
        <f>IF(Table2[[#This Row],[Stage]]="Closed Won",1,0)</f>
        <v>0</v>
      </c>
      <c r="S506" t="b">
        <f>IFERROR(_xlfn.XLOOKUP(Table2[[#This Row],[Opportunity ID]],'Aging Detail'!$H$14:$H$20,'Aging Detail'!$F$14:$F$20),TRUE)</f>
        <v>1</v>
      </c>
    </row>
    <row r="507" spans="1:19">
      <c r="A507" t="s">
        <v>4099</v>
      </c>
      <c r="B507" t="s">
        <v>4100</v>
      </c>
      <c r="C507" t="s">
        <v>408</v>
      </c>
      <c r="D507" t="s">
        <v>3359</v>
      </c>
      <c r="E507">
        <v>357000</v>
      </c>
      <c r="F507" s="422">
        <v>46344</v>
      </c>
      <c r="G507" s="422">
        <v>46170</v>
      </c>
      <c r="H507" t="s">
        <v>29</v>
      </c>
      <c r="J507" t="s">
        <v>3360</v>
      </c>
      <c r="K507" t="s">
        <v>3386</v>
      </c>
      <c r="L507" t="s">
        <v>4101</v>
      </c>
      <c r="M507">
        <v>297000</v>
      </c>
      <c r="N507">
        <v>32</v>
      </c>
      <c r="O507" t="str">
        <f>_xlfn.IFNA(VLOOKUP(Table2[[#This Row],[Lead Source]],'helper tab'!A:B,2,FALSE),"Exclude")</f>
        <v>Events</v>
      </c>
      <c r="P507" s="476">
        <f ca="1">TODAY() - Table2[[#This Row],[Created Date]]</f>
        <v>88</v>
      </c>
      <c r="Q507">
        <f>IF(OR(Table2[[#This Row],[Stage]]="Propose",Table2[[#This Row],[Stage]]="Procure"),1,0)</f>
        <v>0</v>
      </c>
      <c r="R507">
        <f>IF(Table2[[#This Row],[Stage]]="Closed Won",1,0)</f>
        <v>0</v>
      </c>
      <c r="S507" t="b">
        <f>IFERROR(_xlfn.XLOOKUP(Table2[[#This Row],[Opportunity ID]],'Aging Detail'!$H$14:$H$20,'Aging Detail'!$F$14:$F$20),TRUE)</f>
        <v>1</v>
      </c>
    </row>
    <row r="508" spans="1:19">
      <c r="A508" t="s">
        <v>4102</v>
      </c>
      <c r="B508" t="s">
        <v>4103</v>
      </c>
      <c r="C508" t="s">
        <v>408</v>
      </c>
      <c r="D508" t="s">
        <v>3359</v>
      </c>
      <c r="E508">
        <v>368736</v>
      </c>
      <c r="F508" s="422">
        <v>46323</v>
      </c>
      <c r="G508" s="422">
        <v>46142</v>
      </c>
      <c r="H508" t="s">
        <v>29</v>
      </c>
      <c r="K508" t="s">
        <v>3386</v>
      </c>
      <c r="L508" t="s">
        <v>4104</v>
      </c>
      <c r="M508">
        <v>281736</v>
      </c>
      <c r="N508">
        <v>7</v>
      </c>
      <c r="O508" t="str">
        <f>_xlfn.IFNA(VLOOKUP(Table2[[#This Row],[Lead Source]],'helper tab'!A:B,2,FALSE),"Exclude")</f>
        <v>Events</v>
      </c>
      <c r="P508" s="476">
        <f ca="1">TODAY() - Table2[[#This Row],[Created Date]]</f>
        <v>116</v>
      </c>
      <c r="Q508">
        <f>IF(OR(Table2[[#This Row],[Stage]]="Propose",Table2[[#This Row],[Stage]]="Procure"),1,0)</f>
        <v>0</v>
      </c>
      <c r="R508">
        <f>IF(Table2[[#This Row],[Stage]]="Closed Won",1,0)</f>
        <v>0</v>
      </c>
      <c r="S508" t="b">
        <f>IFERROR(_xlfn.XLOOKUP(Table2[[#This Row],[Opportunity ID]],'Aging Detail'!$H$14:$H$20,'Aging Detail'!$F$14:$F$20),TRUE)</f>
        <v>1</v>
      </c>
    </row>
    <row r="509" spans="1:19">
      <c r="A509" t="s">
        <v>566</v>
      </c>
      <c r="B509" t="s">
        <v>4105</v>
      </c>
      <c r="C509" t="s">
        <v>338</v>
      </c>
      <c r="D509" t="s">
        <v>3361</v>
      </c>
      <c r="E509">
        <v>17250</v>
      </c>
      <c r="F509" s="422">
        <v>46293</v>
      </c>
      <c r="G509" s="422">
        <v>46059</v>
      </c>
      <c r="H509" t="s">
        <v>1465</v>
      </c>
      <c r="K509" t="s">
        <v>3386</v>
      </c>
      <c r="L509" t="s">
        <v>4106</v>
      </c>
      <c r="M509">
        <v>17250</v>
      </c>
      <c r="N509">
        <v>178</v>
      </c>
      <c r="O509" t="str">
        <f>_xlfn.IFNA(VLOOKUP(Table2[[#This Row],[Lead Source]],'helper tab'!A:B,2,FALSE),"Exclude")</f>
        <v>Exclude</v>
      </c>
      <c r="P509" s="476">
        <f ca="1">TODAY() - Table2[[#This Row],[Created Date]]</f>
        <v>199</v>
      </c>
      <c r="Q509">
        <f>IF(OR(Table2[[#This Row],[Stage]]="Propose",Table2[[#This Row],[Stage]]="Procure"),1,0)</f>
        <v>0</v>
      </c>
      <c r="R509">
        <f>IF(Table2[[#This Row],[Stage]]="Closed Won",1,0)</f>
        <v>0</v>
      </c>
      <c r="S509" t="b">
        <f>IFERROR(_xlfn.XLOOKUP(Table2[[#This Row],[Opportunity ID]],'Aging Detail'!$H$14:$H$20,'Aging Detail'!$F$14:$F$20),TRUE)</f>
        <v>1</v>
      </c>
    </row>
    <row r="510" spans="1:19" hidden="1">
      <c r="A510" t="s">
        <v>1788</v>
      </c>
      <c r="B510" t="s">
        <v>2232</v>
      </c>
      <c r="C510" t="s">
        <v>526</v>
      </c>
      <c r="D510" t="s">
        <v>3361</v>
      </c>
      <c r="E510">
        <v>63000</v>
      </c>
      <c r="F510" s="422">
        <v>46289</v>
      </c>
      <c r="G510" s="422">
        <v>45961</v>
      </c>
      <c r="H510" t="s">
        <v>1475</v>
      </c>
      <c r="K510" t="s">
        <v>3386</v>
      </c>
      <c r="L510" t="s">
        <v>2233</v>
      </c>
      <c r="M510">
        <v>63000</v>
      </c>
      <c r="N510">
        <v>174</v>
      </c>
      <c r="O510" t="str">
        <f>_xlfn.IFNA(VLOOKUP(Table2[[#This Row],[Lead Source]],'helper tab'!A:B,2,FALSE),"Exclude")</f>
        <v>Exclude</v>
      </c>
      <c r="P510" s="476">
        <f ca="1">TODAY() - Table2[[#This Row],[Created Date]]</f>
        <v>297</v>
      </c>
      <c r="Q510">
        <f>IF(OR(Table2[[#This Row],[Stage]]="Propose",Table2[[#This Row],[Stage]]="Procure"),1,0)</f>
        <v>1</v>
      </c>
      <c r="R510">
        <f>IF(Table2[[#This Row],[Stage]]="Closed Won",1,0)</f>
        <v>0</v>
      </c>
      <c r="S510" t="b">
        <f>IFERROR(_xlfn.XLOOKUP(Table2[[#This Row],[Opportunity ID]],'Aging Detail'!$H$14:$H$20,'Aging Detail'!$F$14:$F$20),TRUE)</f>
        <v>1</v>
      </c>
    </row>
    <row r="511" spans="1:19">
      <c r="A511" t="s">
        <v>1903</v>
      </c>
      <c r="B511" t="s">
        <v>4107</v>
      </c>
      <c r="C511" t="s">
        <v>338</v>
      </c>
      <c r="D511" t="s">
        <v>3361</v>
      </c>
      <c r="E511">
        <v>100000</v>
      </c>
      <c r="F511" s="422">
        <v>46282</v>
      </c>
      <c r="G511" s="422">
        <v>46205</v>
      </c>
      <c r="H511" t="s">
        <v>2255</v>
      </c>
      <c r="K511" t="s">
        <v>3386</v>
      </c>
      <c r="L511" t="s">
        <v>4108</v>
      </c>
      <c r="M511">
        <v>100000</v>
      </c>
      <c r="N511">
        <v>32</v>
      </c>
      <c r="O511" t="str">
        <f>_xlfn.IFNA(VLOOKUP(Table2[[#This Row],[Lead Source]],'helper tab'!A:B,2,FALSE),"Exclude")</f>
        <v>Exclude</v>
      </c>
      <c r="P511" s="476">
        <f ca="1">TODAY() - Table2[[#This Row],[Created Date]]</f>
        <v>53</v>
      </c>
      <c r="Q511">
        <f>IF(OR(Table2[[#This Row],[Stage]]="Propose",Table2[[#This Row],[Stage]]="Procure"),1,0)</f>
        <v>0</v>
      </c>
      <c r="R511">
        <f>IF(Table2[[#This Row],[Stage]]="Closed Won",1,0)</f>
        <v>0</v>
      </c>
      <c r="S511" t="b">
        <f>IFERROR(_xlfn.XLOOKUP(Table2[[#This Row],[Opportunity ID]],'Aging Detail'!$H$14:$H$20,'Aging Detail'!$F$14:$F$20),TRUE)</f>
        <v>1</v>
      </c>
    </row>
    <row r="512" spans="1:19">
      <c r="A512" t="s">
        <v>566</v>
      </c>
      <c r="B512" t="s">
        <v>4109</v>
      </c>
      <c r="C512" t="s">
        <v>462</v>
      </c>
      <c r="D512" t="s">
        <v>3361</v>
      </c>
      <c r="E512">
        <v>100000</v>
      </c>
      <c r="F512" s="422">
        <v>46262</v>
      </c>
      <c r="G512" s="422">
        <v>46213</v>
      </c>
      <c r="K512" t="s">
        <v>3386</v>
      </c>
      <c r="L512" t="s">
        <v>4110</v>
      </c>
      <c r="M512">
        <v>100000</v>
      </c>
      <c r="N512">
        <v>24</v>
      </c>
      <c r="O512" t="str">
        <f>_xlfn.IFNA(VLOOKUP(Table2[[#This Row],[Lead Source]],'helper tab'!A:B,2,FALSE),"Exclude")</f>
        <v>Exclude</v>
      </c>
      <c r="P512" s="476">
        <f ca="1">TODAY() - Table2[[#This Row],[Created Date]]</f>
        <v>45</v>
      </c>
      <c r="Q512">
        <f>IF(OR(Table2[[#This Row],[Stage]]="Propose",Table2[[#This Row],[Stage]]="Procure"),1,0)</f>
        <v>1</v>
      </c>
      <c r="R512">
        <f>IF(Table2[[#This Row],[Stage]]="Closed Won",1,0)</f>
        <v>0</v>
      </c>
      <c r="S512" t="b">
        <f>IFERROR(_xlfn.XLOOKUP(Table2[[#This Row],[Opportunity ID]],'Aging Detail'!$H$14:$H$20,'Aging Detail'!$F$14:$F$20),TRUE)</f>
        <v>1</v>
      </c>
    </row>
    <row r="513" spans="1:19">
      <c r="A513" t="s">
        <v>1788</v>
      </c>
      <c r="B513" t="s">
        <v>1786</v>
      </c>
      <c r="C513" t="s">
        <v>563</v>
      </c>
      <c r="D513" t="s">
        <v>3362</v>
      </c>
      <c r="E513">
        <v>500423.85</v>
      </c>
      <c r="F513" s="422">
        <v>46202</v>
      </c>
      <c r="G513" s="422">
        <v>46059</v>
      </c>
      <c r="H513" t="s">
        <v>1465</v>
      </c>
      <c r="K513" t="s">
        <v>3386</v>
      </c>
      <c r="L513" t="s">
        <v>1787</v>
      </c>
      <c r="M513">
        <v>166807.95000000001</v>
      </c>
      <c r="N513">
        <v>33</v>
      </c>
      <c r="O513" t="str">
        <f>_xlfn.IFNA(VLOOKUP(Table2[[#This Row],[Lead Source]],'helper tab'!A:B,2,FALSE),"Exclude")</f>
        <v>Exclude</v>
      </c>
      <c r="P513" s="476">
        <f ca="1">TODAY() - Table2[[#This Row],[Created Date]]</f>
        <v>199</v>
      </c>
      <c r="Q513">
        <f>IF(OR(Table2[[#This Row],[Stage]]="Propose",Table2[[#This Row],[Stage]]="Procure"),1,0)</f>
        <v>0</v>
      </c>
      <c r="R513">
        <f>IF(Table2[[#This Row],[Stage]]="Closed Won",1,0)</f>
        <v>1</v>
      </c>
      <c r="S513" t="b">
        <f>IFERROR(_xlfn.XLOOKUP(Table2[[#This Row],[Opportunity ID]],'Aging Detail'!$H$14:$H$20,'Aging Detail'!$F$14:$F$20),TRUE)</f>
        <v>1</v>
      </c>
    </row>
    <row r="514" spans="1:19" hidden="1">
      <c r="A514" t="s">
        <v>647</v>
      </c>
      <c r="B514" t="s">
        <v>652</v>
      </c>
      <c r="C514" t="s">
        <v>563</v>
      </c>
      <c r="D514" t="s">
        <v>3362</v>
      </c>
      <c r="E514">
        <v>342355</v>
      </c>
      <c r="F514" s="422">
        <v>46202</v>
      </c>
      <c r="G514" s="422">
        <v>45834</v>
      </c>
      <c r="H514" t="s">
        <v>470</v>
      </c>
      <c r="J514" t="s">
        <v>820</v>
      </c>
      <c r="K514" t="s">
        <v>3386</v>
      </c>
      <c r="L514" t="s">
        <v>1793</v>
      </c>
      <c r="M514">
        <v>90785</v>
      </c>
      <c r="N514">
        <v>34</v>
      </c>
      <c r="O514" t="str">
        <f>_xlfn.IFNA(VLOOKUP(Table2[[#This Row],[Lead Source]],'helper tab'!A:B,2,FALSE),"Exclude")</f>
        <v>Digital</v>
      </c>
      <c r="P514" s="476">
        <f ca="1">TODAY() - Table2[[#This Row],[Created Date]]</f>
        <v>424</v>
      </c>
      <c r="Q514">
        <f>IF(OR(Table2[[#This Row],[Stage]]="Propose",Table2[[#This Row],[Stage]]="Procure"),1,0)</f>
        <v>0</v>
      </c>
      <c r="R514">
        <f>IF(Table2[[#This Row],[Stage]]="Closed Won",1,0)</f>
        <v>1</v>
      </c>
      <c r="S514" t="b">
        <f>IFERROR(_xlfn.XLOOKUP(Table2[[#This Row],[Opportunity ID]],'Aging Detail'!$H$14:$H$20,'Aging Detail'!$F$14:$F$20),TRUE)</f>
        <v>1</v>
      </c>
    </row>
    <row r="515" spans="1:19">
      <c r="A515" t="s">
        <v>1788</v>
      </c>
      <c r="B515" t="s">
        <v>2116</v>
      </c>
      <c r="C515" t="s">
        <v>563</v>
      </c>
      <c r="D515" t="s">
        <v>3380</v>
      </c>
      <c r="E515">
        <v>9000</v>
      </c>
      <c r="F515" s="422">
        <v>46108</v>
      </c>
      <c r="G515" s="422">
        <v>46069</v>
      </c>
      <c r="H515" t="s">
        <v>148</v>
      </c>
      <c r="K515" t="s">
        <v>3386</v>
      </c>
      <c r="L515" t="s">
        <v>2117</v>
      </c>
      <c r="M515">
        <v>9000</v>
      </c>
      <c r="N515">
        <v>126</v>
      </c>
      <c r="O515" t="str">
        <f>_xlfn.IFNA(VLOOKUP(Table2[[#This Row],[Lead Source]],'helper tab'!A:B,2,FALSE),"Exclude")</f>
        <v>Alliances</v>
      </c>
      <c r="P515" s="476">
        <f ca="1">TODAY() - Table2[[#This Row],[Created Date]]</f>
        <v>189</v>
      </c>
      <c r="Q515">
        <f>IF(OR(Table2[[#This Row],[Stage]]="Propose",Table2[[#This Row],[Stage]]="Procure"),1,0)</f>
        <v>0</v>
      </c>
      <c r="R515">
        <f>IF(Table2[[#This Row],[Stage]]="Closed Won",1,0)</f>
        <v>1</v>
      </c>
      <c r="S515" t="b">
        <f>IFERROR(_xlfn.XLOOKUP(Table2[[#This Row],[Opportunity ID]],'Aging Detail'!$H$14:$H$20,'Aging Detail'!$F$14:$F$20),TRUE)</f>
        <v>1</v>
      </c>
    </row>
    <row r="516" spans="1:19" hidden="1">
      <c r="A516" t="s">
        <v>1788</v>
      </c>
      <c r="B516" t="s">
        <v>2400</v>
      </c>
      <c r="C516" t="s">
        <v>563</v>
      </c>
      <c r="D516" t="s">
        <v>3363</v>
      </c>
      <c r="E516">
        <v>168144</v>
      </c>
      <c r="F516" s="422">
        <v>46006</v>
      </c>
      <c r="G516" s="422">
        <v>45765</v>
      </c>
      <c r="H516" t="s">
        <v>148</v>
      </c>
      <c r="K516" t="s">
        <v>3386</v>
      </c>
      <c r="L516" t="s">
        <v>97</v>
      </c>
      <c r="M516">
        <v>123144</v>
      </c>
      <c r="N516">
        <v>217</v>
      </c>
      <c r="O516" t="str">
        <f>_xlfn.IFNA(VLOOKUP(Table2[[#This Row],[Lead Source]],'helper tab'!A:B,2,FALSE),"Exclude")</f>
        <v>Alliances</v>
      </c>
      <c r="P516" s="476">
        <f ca="1">TODAY() - Table2[[#This Row],[Created Date]]</f>
        <v>493</v>
      </c>
      <c r="Q516">
        <f>IF(OR(Table2[[#This Row],[Stage]]="Propose",Table2[[#This Row],[Stage]]="Procure"),1,0)</f>
        <v>0</v>
      </c>
      <c r="R516">
        <f>IF(Table2[[#This Row],[Stage]]="Closed Won",1,0)</f>
        <v>1</v>
      </c>
      <c r="S516" t="b">
        <f>IFERROR(_xlfn.XLOOKUP(Table2[[#This Row],[Opportunity ID]],'Aging Detail'!$H$14:$H$20,'Aging Detail'!$F$14:$F$20),TRUE)</f>
        <v>1</v>
      </c>
    </row>
    <row r="517" spans="1:19" hidden="1">
      <c r="A517" t="s">
        <v>566</v>
      </c>
      <c r="B517" t="s">
        <v>566</v>
      </c>
      <c r="C517" t="s">
        <v>563</v>
      </c>
      <c r="D517" t="s">
        <v>3364</v>
      </c>
      <c r="E517">
        <v>249200</v>
      </c>
      <c r="F517" s="422">
        <v>45859</v>
      </c>
      <c r="G517" s="422">
        <v>45716</v>
      </c>
      <c r="H517" t="s">
        <v>202</v>
      </c>
      <c r="J517" t="s">
        <v>4111</v>
      </c>
      <c r="K517" t="s">
        <v>3386</v>
      </c>
      <c r="L517" t="s">
        <v>2897</v>
      </c>
      <c r="M517">
        <v>79200</v>
      </c>
      <c r="N517">
        <v>378</v>
      </c>
      <c r="O517" t="str">
        <f>_xlfn.IFNA(VLOOKUP(Table2[[#This Row],[Lead Source]],'helper tab'!A:B,2,FALSE),"Exclude")</f>
        <v>Digital</v>
      </c>
      <c r="P517" s="476">
        <f ca="1">TODAY() - Table2[[#This Row],[Created Date]]</f>
        <v>542</v>
      </c>
      <c r="Q517">
        <f>IF(OR(Table2[[#This Row],[Stage]]="Propose",Table2[[#This Row],[Stage]]="Procure"),1,0)</f>
        <v>0</v>
      </c>
      <c r="R517">
        <f>IF(Table2[[#This Row],[Stage]]="Closed Won",1,0)</f>
        <v>1</v>
      </c>
      <c r="S517" t="b">
        <f>IFERROR(_xlfn.XLOOKUP(Table2[[#This Row],[Opportunity ID]],'Aging Detail'!$H$14:$H$20,'Aging Detail'!$F$14:$F$20),TRUE)</f>
        <v>1</v>
      </c>
    </row>
    <row r="518" spans="1:19" hidden="1">
      <c r="A518" t="s">
        <v>4112</v>
      </c>
      <c r="B518" t="s">
        <v>4113</v>
      </c>
      <c r="C518" t="s">
        <v>1469</v>
      </c>
      <c r="D518" t="s">
        <v>3366</v>
      </c>
      <c r="E518">
        <v>322800</v>
      </c>
      <c r="F518" s="422">
        <v>45688</v>
      </c>
      <c r="G518" s="422">
        <v>45317</v>
      </c>
      <c r="H518" t="s">
        <v>1483</v>
      </c>
      <c r="K518" t="s">
        <v>3386</v>
      </c>
      <c r="L518" t="s">
        <v>4114</v>
      </c>
      <c r="M518">
        <v>217800</v>
      </c>
      <c r="N518">
        <v>650</v>
      </c>
      <c r="O518" t="str">
        <f>_xlfn.IFNA(VLOOKUP(Table2[[#This Row],[Lead Source]],'helper tab'!A:B,2,FALSE),"Exclude")</f>
        <v>Cold</v>
      </c>
      <c r="P518" s="476">
        <f ca="1">TODAY() - Table2[[#This Row],[Created Date]]</f>
        <v>941</v>
      </c>
      <c r="Q518">
        <f>IF(OR(Table2[[#This Row],[Stage]]="Propose",Table2[[#This Row],[Stage]]="Procure"),1,0)</f>
        <v>0</v>
      </c>
      <c r="R518">
        <f>IF(Table2[[#This Row],[Stage]]="Closed Won",1,0)</f>
        <v>0</v>
      </c>
      <c r="S518" t="b">
        <f>IFERROR(_xlfn.XLOOKUP(Table2[[#This Row],[Opportunity ID]],'Aging Detail'!$H$14:$H$20,'Aging Detail'!$F$14:$F$20),TRUE)</f>
        <v>1</v>
      </c>
    </row>
    <row r="519" spans="1:19" hidden="1">
      <c r="A519" t="s">
        <v>1743</v>
      </c>
      <c r="B519" t="s">
        <v>1743</v>
      </c>
      <c r="C519" t="s">
        <v>1469</v>
      </c>
      <c r="D519" t="s">
        <v>3457</v>
      </c>
      <c r="E519">
        <v>577600</v>
      </c>
      <c r="F519" s="422">
        <v>46738</v>
      </c>
      <c r="G519" s="422">
        <v>45694</v>
      </c>
      <c r="H519" t="s">
        <v>1478</v>
      </c>
      <c r="J519" t="s">
        <v>4115</v>
      </c>
      <c r="K519" t="s">
        <v>3390</v>
      </c>
      <c r="L519" t="s">
        <v>1744</v>
      </c>
      <c r="M519">
        <v>237600</v>
      </c>
      <c r="N519">
        <v>28</v>
      </c>
      <c r="O519" t="str">
        <f>_xlfn.IFNA(VLOOKUP(Table2[[#This Row],[Lead Source]],'helper tab'!A:B,2,FALSE),"Exclude")</f>
        <v>Digital</v>
      </c>
      <c r="P519" s="476">
        <f ca="1">TODAY() - Table2[[#This Row],[Created Date]]</f>
        <v>564</v>
      </c>
      <c r="Q519">
        <f>IF(OR(Table2[[#This Row],[Stage]]="Propose",Table2[[#This Row],[Stage]]="Procure"),1,0)</f>
        <v>0</v>
      </c>
      <c r="R519">
        <f>IF(Table2[[#This Row],[Stage]]="Closed Won",1,0)</f>
        <v>0</v>
      </c>
      <c r="S519" t="b">
        <f>IFERROR(_xlfn.XLOOKUP(Table2[[#This Row],[Opportunity ID]],'Aging Detail'!$H$14:$H$20,'Aging Detail'!$F$14:$F$20),TRUE)</f>
        <v>1</v>
      </c>
    </row>
    <row r="520" spans="1:19" hidden="1">
      <c r="A520" t="s">
        <v>4116</v>
      </c>
      <c r="B520" t="s">
        <v>4117</v>
      </c>
      <c r="C520" t="s">
        <v>338</v>
      </c>
      <c r="D520" t="s">
        <v>3457</v>
      </c>
      <c r="E520">
        <v>934000</v>
      </c>
      <c r="F520" s="422">
        <v>46703</v>
      </c>
      <c r="G520" s="422">
        <v>45728</v>
      </c>
      <c r="H520" t="s">
        <v>1465</v>
      </c>
      <c r="K520" t="s">
        <v>3390</v>
      </c>
      <c r="L520" t="s">
        <v>4118</v>
      </c>
      <c r="M520">
        <v>594000</v>
      </c>
      <c r="N520">
        <v>509</v>
      </c>
      <c r="O520" t="str">
        <f>_xlfn.IFNA(VLOOKUP(Table2[[#This Row],[Lead Source]],'helper tab'!A:B,2,FALSE),"Exclude")</f>
        <v>Exclude</v>
      </c>
      <c r="P520" s="476">
        <f ca="1">TODAY() - Table2[[#This Row],[Created Date]]</f>
        <v>530</v>
      </c>
      <c r="Q520">
        <f>IF(OR(Table2[[#This Row],[Stage]]="Propose",Table2[[#This Row],[Stage]]="Procure"),1,0)</f>
        <v>0</v>
      </c>
      <c r="R520">
        <f>IF(Table2[[#This Row],[Stage]]="Closed Won",1,0)</f>
        <v>0</v>
      </c>
      <c r="S520" t="b">
        <f>IFERROR(_xlfn.XLOOKUP(Table2[[#This Row],[Opportunity ID]],'Aging Detail'!$H$14:$H$20,'Aging Detail'!$F$14:$F$20),TRUE)</f>
        <v>1</v>
      </c>
    </row>
    <row r="521" spans="1:19" hidden="1">
      <c r="A521" t="s">
        <v>4119</v>
      </c>
      <c r="B521" t="s">
        <v>4119</v>
      </c>
      <c r="C521" t="s">
        <v>338</v>
      </c>
      <c r="D521" t="s">
        <v>3457</v>
      </c>
      <c r="E521">
        <v>477200</v>
      </c>
      <c r="F521" s="422">
        <v>46661</v>
      </c>
      <c r="G521" s="422">
        <v>45761</v>
      </c>
      <c r="H521" t="s">
        <v>1465</v>
      </c>
      <c r="K521" t="s">
        <v>3390</v>
      </c>
      <c r="L521" t="s">
        <v>4120</v>
      </c>
      <c r="M521">
        <v>277200</v>
      </c>
      <c r="N521">
        <v>476</v>
      </c>
      <c r="O521" t="str">
        <f>_xlfn.IFNA(VLOOKUP(Table2[[#This Row],[Lead Source]],'helper tab'!A:B,2,FALSE),"Exclude")</f>
        <v>Exclude</v>
      </c>
      <c r="P521" s="476">
        <f ca="1">TODAY() - Table2[[#This Row],[Created Date]]</f>
        <v>497</v>
      </c>
      <c r="Q521">
        <f>IF(OR(Table2[[#This Row],[Stage]]="Propose",Table2[[#This Row],[Stage]]="Procure"),1,0)</f>
        <v>0</v>
      </c>
      <c r="R521">
        <f>IF(Table2[[#This Row],[Stage]]="Closed Won",1,0)</f>
        <v>0</v>
      </c>
      <c r="S521" t="b">
        <f>IFERROR(_xlfn.XLOOKUP(Table2[[#This Row],[Opportunity ID]],'Aging Detail'!$H$14:$H$20,'Aging Detail'!$F$14:$F$20),TRUE)</f>
        <v>1</v>
      </c>
    </row>
    <row r="522" spans="1:19" hidden="1">
      <c r="A522" t="s">
        <v>1730</v>
      </c>
      <c r="B522" t="s">
        <v>1730</v>
      </c>
      <c r="C522" t="s">
        <v>1469</v>
      </c>
      <c r="D522" t="s">
        <v>3385</v>
      </c>
      <c r="E522">
        <v>656000</v>
      </c>
      <c r="F522" s="422">
        <v>46654</v>
      </c>
      <c r="G522" s="422">
        <v>45915</v>
      </c>
      <c r="H522" t="s">
        <v>1465</v>
      </c>
      <c r="K522" t="s">
        <v>3390</v>
      </c>
      <c r="L522" t="s">
        <v>1731</v>
      </c>
      <c r="M522">
        <v>396000</v>
      </c>
      <c r="N522">
        <v>28</v>
      </c>
      <c r="O522" t="str">
        <f>_xlfn.IFNA(VLOOKUP(Table2[[#This Row],[Lead Source]],'helper tab'!A:B,2,FALSE),"Exclude")</f>
        <v>Exclude</v>
      </c>
      <c r="P522" s="476">
        <f ca="1">TODAY() - Table2[[#This Row],[Created Date]]</f>
        <v>343</v>
      </c>
      <c r="Q522">
        <f>IF(OR(Table2[[#This Row],[Stage]]="Propose",Table2[[#This Row],[Stage]]="Procure"),1,0)</f>
        <v>0</v>
      </c>
      <c r="R522">
        <f>IF(Table2[[#This Row],[Stage]]="Closed Won",1,0)</f>
        <v>0</v>
      </c>
      <c r="S522" t="b">
        <f>IFERROR(_xlfn.XLOOKUP(Table2[[#This Row],[Opportunity ID]],'Aging Detail'!$H$14:$H$20,'Aging Detail'!$F$14:$F$20),TRUE)</f>
        <v>1</v>
      </c>
    </row>
    <row r="523" spans="1:19" hidden="1">
      <c r="A523" t="s">
        <v>1740</v>
      </c>
      <c r="B523" t="s">
        <v>1740</v>
      </c>
      <c r="C523" t="s">
        <v>1469</v>
      </c>
      <c r="D523" t="s">
        <v>3385</v>
      </c>
      <c r="E523">
        <v>656800</v>
      </c>
      <c r="F523" s="422">
        <v>46654</v>
      </c>
      <c r="G523" s="422">
        <v>45694</v>
      </c>
      <c r="H523" t="s">
        <v>1464</v>
      </c>
      <c r="K523" t="s">
        <v>3390</v>
      </c>
      <c r="L523" t="s">
        <v>1741</v>
      </c>
      <c r="M523">
        <v>316800</v>
      </c>
      <c r="N523">
        <v>28</v>
      </c>
      <c r="O523" t="str">
        <f>_xlfn.IFNA(VLOOKUP(Table2[[#This Row],[Lead Source]],'helper tab'!A:B,2,FALSE),"Exclude")</f>
        <v>Cold</v>
      </c>
      <c r="P523" s="476">
        <f ca="1">TODAY() - Table2[[#This Row],[Created Date]]</f>
        <v>564</v>
      </c>
      <c r="Q523">
        <f>IF(OR(Table2[[#This Row],[Stage]]="Propose",Table2[[#This Row],[Stage]]="Procure"),1,0)</f>
        <v>0</v>
      </c>
      <c r="R523">
        <f>IF(Table2[[#This Row],[Stage]]="Closed Won",1,0)</f>
        <v>0</v>
      </c>
      <c r="S523" t="b">
        <f>IFERROR(_xlfn.XLOOKUP(Table2[[#This Row],[Opportunity ID]],'Aging Detail'!$H$14:$H$20,'Aging Detail'!$F$14:$F$20),TRUE)</f>
        <v>1</v>
      </c>
    </row>
    <row r="524" spans="1:19" hidden="1">
      <c r="A524" t="s">
        <v>746</v>
      </c>
      <c r="B524" t="s">
        <v>746</v>
      </c>
      <c r="C524" t="s">
        <v>408</v>
      </c>
      <c r="D524" t="s">
        <v>3385</v>
      </c>
      <c r="E524">
        <v>458800</v>
      </c>
      <c r="F524" s="422">
        <v>46633</v>
      </c>
      <c r="G524" s="422">
        <v>45904</v>
      </c>
      <c r="H524" t="s">
        <v>202</v>
      </c>
      <c r="J524" t="s">
        <v>4121</v>
      </c>
      <c r="K524" t="s">
        <v>3390</v>
      </c>
      <c r="L524" t="s">
        <v>4122</v>
      </c>
      <c r="M524">
        <v>118800</v>
      </c>
      <c r="N524">
        <v>333</v>
      </c>
      <c r="O524" t="str">
        <f>_xlfn.IFNA(VLOOKUP(Table2[[#This Row],[Lead Source]],'helper tab'!A:B,2,FALSE),"Exclude")</f>
        <v>Digital</v>
      </c>
      <c r="P524" s="476">
        <f ca="1">TODAY() - Table2[[#This Row],[Created Date]]</f>
        <v>354</v>
      </c>
      <c r="Q524">
        <f>IF(OR(Table2[[#This Row],[Stage]]="Propose",Table2[[#This Row],[Stage]]="Procure"),1,0)</f>
        <v>0</v>
      </c>
      <c r="R524">
        <f>IF(Table2[[#This Row],[Stage]]="Closed Won",1,0)</f>
        <v>0</v>
      </c>
      <c r="S524" t="b">
        <f>IFERROR(_xlfn.XLOOKUP(Table2[[#This Row],[Opportunity ID]],'Aging Detail'!$H$14:$H$20,'Aging Detail'!$F$14:$F$20),TRUE)</f>
        <v>1</v>
      </c>
    </row>
    <row r="525" spans="1:19" hidden="1">
      <c r="A525" t="s">
        <v>330</v>
      </c>
      <c r="B525" t="s">
        <v>330</v>
      </c>
      <c r="C525" t="s">
        <v>1469</v>
      </c>
      <c r="D525" t="s">
        <v>3349</v>
      </c>
      <c r="E525">
        <v>577600</v>
      </c>
      <c r="F525" s="422">
        <v>46500</v>
      </c>
      <c r="G525" s="422">
        <v>45686</v>
      </c>
      <c r="H525" t="s">
        <v>319</v>
      </c>
      <c r="J525" t="s">
        <v>3360</v>
      </c>
      <c r="K525" t="s">
        <v>3390</v>
      </c>
      <c r="L525" t="s">
        <v>1736</v>
      </c>
      <c r="M525">
        <v>237600</v>
      </c>
      <c r="N525">
        <v>28</v>
      </c>
      <c r="O525" t="str">
        <f>_xlfn.IFNA(VLOOKUP(Table2[[#This Row],[Lead Source]],'helper tab'!A:B,2,FALSE),"Exclude")</f>
        <v>Digital</v>
      </c>
      <c r="P525" s="476">
        <f ca="1">TODAY() - Table2[[#This Row],[Created Date]]</f>
        <v>572</v>
      </c>
      <c r="Q525">
        <f>IF(OR(Table2[[#This Row],[Stage]]="Propose",Table2[[#This Row],[Stage]]="Procure"),1,0)</f>
        <v>0</v>
      </c>
      <c r="R525">
        <f>IF(Table2[[#This Row],[Stage]]="Closed Won",1,0)</f>
        <v>0</v>
      </c>
      <c r="S525" t="b">
        <f>IFERROR(_xlfn.XLOOKUP(Table2[[#This Row],[Opportunity ID]],'Aging Detail'!$H$14:$H$20,'Aging Detail'!$F$14:$F$20),TRUE)</f>
        <v>1</v>
      </c>
    </row>
    <row r="526" spans="1:19" hidden="1">
      <c r="A526" t="s">
        <v>574</v>
      </c>
      <c r="B526" t="s">
        <v>574</v>
      </c>
      <c r="C526" t="s">
        <v>338</v>
      </c>
      <c r="D526" t="s">
        <v>3352</v>
      </c>
      <c r="E526">
        <v>235640</v>
      </c>
      <c r="F526" s="422">
        <v>46450</v>
      </c>
      <c r="G526" s="422">
        <v>45743</v>
      </c>
      <c r="H526" t="s">
        <v>202</v>
      </c>
      <c r="J526" t="s">
        <v>4123</v>
      </c>
      <c r="K526" t="s">
        <v>3390</v>
      </c>
      <c r="L526" t="s">
        <v>4124</v>
      </c>
      <c r="M526">
        <v>35640</v>
      </c>
      <c r="N526">
        <v>494</v>
      </c>
      <c r="O526" t="str">
        <f>_xlfn.IFNA(VLOOKUP(Table2[[#This Row],[Lead Source]],'helper tab'!A:B,2,FALSE),"Exclude")</f>
        <v>Digital</v>
      </c>
      <c r="P526" s="476">
        <f ca="1">TODAY() - Table2[[#This Row],[Created Date]]</f>
        <v>515</v>
      </c>
      <c r="Q526">
        <f>IF(OR(Table2[[#This Row],[Stage]]="Propose",Table2[[#This Row],[Stage]]="Procure"),1,0)</f>
        <v>0</v>
      </c>
      <c r="R526">
        <f>IF(Table2[[#This Row],[Stage]]="Closed Won",1,0)</f>
        <v>0</v>
      </c>
      <c r="S526" t="b">
        <f>IFERROR(_xlfn.XLOOKUP(Table2[[#This Row],[Opportunity ID]],'Aging Detail'!$H$14:$H$20,'Aging Detail'!$F$14:$F$20),TRUE)</f>
        <v>1</v>
      </c>
    </row>
    <row r="527" spans="1:19">
      <c r="A527" t="s">
        <v>1914</v>
      </c>
      <c r="B527" t="s">
        <v>1914</v>
      </c>
      <c r="C527" t="s">
        <v>462</v>
      </c>
      <c r="D527" t="s">
        <v>3359</v>
      </c>
      <c r="E527">
        <v>616040</v>
      </c>
      <c r="F527" s="422">
        <v>46360</v>
      </c>
      <c r="G527" s="422">
        <v>46113</v>
      </c>
      <c r="H527" t="s">
        <v>29</v>
      </c>
      <c r="J527" t="s">
        <v>3484</v>
      </c>
      <c r="K527" t="s">
        <v>3390</v>
      </c>
      <c r="L527" t="s">
        <v>1915</v>
      </c>
      <c r="M527">
        <v>281040</v>
      </c>
      <c r="N527">
        <v>60</v>
      </c>
      <c r="O527" t="str">
        <f>_xlfn.IFNA(VLOOKUP(Table2[[#This Row],[Lead Source]],'helper tab'!A:B,2,FALSE),"Exclude")</f>
        <v>Events</v>
      </c>
      <c r="P527" s="476">
        <f ca="1">TODAY() - Table2[[#This Row],[Created Date]]</f>
        <v>145</v>
      </c>
      <c r="Q527">
        <f>IF(OR(Table2[[#This Row],[Stage]]="Propose",Table2[[#This Row],[Stage]]="Procure"),1,0)</f>
        <v>1</v>
      </c>
      <c r="R527">
        <f>IF(Table2[[#This Row],[Stage]]="Closed Won",1,0)</f>
        <v>0</v>
      </c>
      <c r="S527" t="b">
        <f>IFERROR(_xlfn.XLOOKUP(Table2[[#This Row],[Opportunity ID]],'Aging Detail'!$H$14:$H$20,'Aging Detail'!$F$14:$F$20),TRUE)</f>
        <v>1</v>
      </c>
    </row>
    <row r="528" spans="1:19" hidden="1">
      <c r="A528" t="s">
        <v>2021</v>
      </c>
      <c r="B528" t="s">
        <v>2021</v>
      </c>
      <c r="C528" t="s">
        <v>1462</v>
      </c>
      <c r="D528" t="s">
        <v>3359</v>
      </c>
      <c r="E528">
        <v>1330000</v>
      </c>
      <c r="F528" s="422">
        <v>46325</v>
      </c>
      <c r="G528" s="422">
        <v>45789</v>
      </c>
      <c r="H528" t="s">
        <v>1464</v>
      </c>
      <c r="K528" t="s">
        <v>3390</v>
      </c>
      <c r="L528" t="s">
        <v>2873</v>
      </c>
      <c r="M528">
        <v>990000</v>
      </c>
      <c r="N528">
        <v>368</v>
      </c>
      <c r="O528" t="str">
        <f>_xlfn.IFNA(VLOOKUP(Table2[[#This Row],[Lead Source]],'helper tab'!A:B,2,FALSE),"Exclude")</f>
        <v>Cold</v>
      </c>
      <c r="P528" s="476">
        <f ca="1">TODAY() - Table2[[#This Row],[Created Date]]</f>
        <v>469</v>
      </c>
      <c r="Q528">
        <f>IF(OR(Table2[[#This Row],[Stage]]="Propose",Table2[[#This Row],[Stage]]="Procure"),1,0)</f>
        <v>0</v>
      </c>
      <c r="R528">
        <f>IF(Table2[[#This Row],[Stage]]="Closed Won",1,0)</f>
        <v>0</v>
      </c>
      <c r="S528" t="b">
        <f>IFERROR(_xlfn.XLOOKUP(Table2[[#This Row],[Opportunity ID]],'Aging Detail'!$H$14:$H$20,'Aging Detail'!$F$14:$F$20),TRUE)</f>
        <v>1</v>
      </c>
    </row>
    <row r="529" spans="1:19" hidden="1">
      <c r="A529" t="s">
        <v>2526</v>
      </c>
      <c r="B529" t="s">
        <v>2526</v>
      </c>
      <c r="C529" t="s">
        <v>1462</v>
      </c>
      <c r="D529" t="s">
        <v>3361</v>
      </c>
      <c r="E529">
        <v>557800</v>
      </c>
      <c r="F529" s="422">
        <v>46290</v>
      </c>
      <c r="G529" s="422">
        <v>45930</v>
      </c>
      <c r="H529" t="s">
        <v>1468</v>
      </c>
      <c r="J529" t="s">
        <v>3360</v>
      </c>
      <c r="K529" t="s">
        <v>3390</v>
      </c>
      <c r="L529" t="s">
        <v>2527</v>
      </c>
      <c r="M529">
        <v>217800</v>
      </c>
      <c r="N529">
        <v>266</v>
      </c>
      <c r="O529" t="str">
        <f>_xlfn.IFNA(VLOOKUP(Table2[[#This Row],[Lead Source]],'helper tab'!A:B,2,FALSE),"Exclude")</f>
        <v>Events</v>
      </c>
      <c r="P529" s="476">
        <f ca="1">TODAY() - Table2[[#This Row],[Created Date]]</f>
        <v>328</v>
      </c>
      <c r="Q529">
        <f>IF(OR(Table2[[#This Row],[Stage]]="Propose",Table2[[#This Row],[Stage]]="Procure"),1,0)</f>
        <v>0</v>
      </c>
      <c r="R529">
        <f>IF(Table2[[#This Row],[Stage]]="Closed Won",1,0)</f>
        <v>0</v>
      </c>
      <c r="S529" t="b">
        <f>IFERROR(_xlfn.XLOOKUP(Table2[[#This Row],[Opportunity ID]],'Aging Detail'!$H$14:$H$20,'Aging Detail'!$F$14:$F$20),TRUE)</f>
        <v>1</v>
      </c>
    </row>
    <row r="530" spans="1:19" hidden="1">
      <c r="A530" t="s">
        <v>746</v>
      </c>
      <c r="B530" t="s">
        <v>2041</v>
      </c>
      <c r="C530" t="s">
        <v>1469</v>
      </c>
      <c r="D530" t="s">
        <v>3361</v>
      </c>
      <c r="E530">
        <v>99560</v>
      </c>
      <c r="F530" s="422">
        <v>46290</v>
      </c>
      <c r="G530" s="422">
        <v>45915</v>
      </c>
      <c r="H530" t="s">
        <v>202</v>
      </c>
      <c r="K530" t="s">
        <v>3390</v>
      </c>
      <c r="L530" t="s">
        <v>2042</v>
      </c>
      <c r="M530">
        <v>34560</v>
      </c>
      <c r="N530">
        <v>111</v>
      </c>
      <c r="O530" t="str">
        <f>_xlfn.IFNA(VLOOKUP(Table2[[#This Row],[Lead Source]],'helper tab'!A:B,2,FALSE),"Exclude")</f>
        <v>Digital</v>
      </c>
      <c r="P530" s="476">
        <f ca="1">TODAY() - Table2[[#This Row],[Created Date]]</f>
        <v>343</v>
      </c>
      <c r="Q530">
        <f>IF(OR(Table2[[#This Row],[Stage]]="Propose",Table2[[#This Row],[Stage]]="Procure"),1,0)</f>
        <v>0</v>
      </c>
      <c r="R530">
        <f>IF(Table2[[#This Row],[Stage]]="Closed Won",1,0)</f>
        <v>0</v>
      </c>
      <c r="S530" t="b">
        <f>IFERROR(_xlfn.XLOOKUP(Table2[[#This Row],[Opportunity ID]],'Aging Detail'!$H$14:$H$20,'Aging Detail'!$F$14:$F$20),TRUE)</f>
        <v>1</v>
      </c>
    </row>
    <row r="531" spans="1:19">
      <c r="A531" t="s">
        <v>2021</v>
      </c>
      <c r="B531" t="s">
        <v>2019</v>
      </c>
      <c r="C531" t="s">
        <v>1462</v>
      </c>
      <c r="D531" t="s">
        <v>3361</v>
      </c>
      <c r="F531" s="422">
        <v>46262</v>
      </c>
      <c r="G531" s="422">
        <v>46132</v>
      </c>
      <c r="H531" t="s">
        <v>1465</v>
      </c>
      <c r="K531" t="s">
        <v>3390</v>
      </c>
      <c r="L531" t="s">
        <v>2020</v>
      </c>
      <c r="M531">
        <v>0</v>
      </c>
      <c r="N531">
        <v>105</v>
      </c>
      <c r="O531" t="str">
        <f>_xlfn.IFNA(VLOOKUP(Table2[[#This Row],[Lead Source]],'helper tab'!A:B,2,FALSE),"Exclude")</f>
        <v>Exclude</v>
      </c>
      <c r="P531" s="476">
        <f ca="1">TODAY() - Table2[[#This Row],[Created Date]]</f>
        <v>126</v>
      </c>
      <c r="Q531">
        <f>IF(OR(Table2[[#This Row],[Stage]]="Propose",Table2[[#This Row],[Stage]]="Procure"),1,0)</f>
        <v>0</v>
      </c>
      <c r="R531">
        <f>IF(Table2[[#This Row],[Stage]]="Closed Won",1,0)</f>
        <v>0</v>
      </c>
      <c r="S531" t="b">
        <f>IFERROR(_xlfn.XLOOKUP(Table2[[#This Row],[Opportunity ID]],'Aging Detail'!$H$14:$H$20,'Aging Detail'!$F$14:$F$20),TRUE)</f>
        <v>1</v>
      </c>
    </row>
    <row r="532" spans="1:19" hidden="1">
      <c r="A532" t="s">
        <v>1589</v>
      </c>
      <c r="B532" t="s">
        <v>1589</v>
      </c>
      <c r="C532" t="s">
        <v>462</v>
      </c>
      <c r="D532" t="s">
        <v>3361</v>
      </c>
      <c r="E532">
        <v>241015.6</v>
      </c>
      <c r="F532" s="422">
        <v>46262</v>
      </c>
      <c r="G532" s="422">
        <v>45973</v>
      </c>
      <c r="H532" t="s">
        <v>1468</v>
      </c>
      <c r="K532" t="s">
        <v>3390</v>
      </c>
      <c r="L532" t="s">
        <v>2121</v>
      </c>
      <c r="M532">
        <v>201015.6</v>
      </c>
      <c r="N532">
        <v>126</v>
      </c>
      <c r="O532" t="str">
        <f>_xlfn.IFNA(VLOOKUP(Table2[[#This Row],[Lead Source]],'helper tab'!A:B,2,FALSE),"Exclude")</f>
        <v>Events</v>
      </c>
      <c r="P532" s="476">
        <f ca="1">TODAY() - Table2[[#This Row],[Created Date]]</f>
        <v>285</v>
      </c>
      <c r="Q532">
        <f>IF(OR(Table2[[#This Row],[Stage]]="Propose",Table2[[#This Row],[Stage]]="Procure"),1,0)</f>
        <v>1</v>
      </c>
      <c r="R532">
        <f>IF(Table2[[#This Row],[Stage]]="Closed Won",1,0)</f>
        <v>0</v>
      </c>
      <c r="S532" t="b">
        <f>IFERROR(_xlfn.XLOOKUP(Table2[[#This Row],[Opportunity ID]],'Aging Detail'!$H$14:$H$20,'Aging Detail'!$F$14:$F$20),TRUE)</f>
        <v>1</v>
      </c>
    </row>
    <row r="533" spans="1:19">
      <c r="A533" t="s">
        <v>1589</v>
      </c>
      <c r="B533" t="s">
        <v>1587</v>
      </c>
      <c r="C533" t="s">
        <v>526</v>
      </c>
      <c r="D533" t="s">
        <v>3361</v>
      </c>
      <c r="F533" s="422">
        <v>46234</v>
      </c>
      <c r="G533" s="422">
        <v>46225</v>
      </c>
      <c r="H533" t="s">
        <v>29</v>
      </c>
      <c r="K533" t="s">
        <v>3390</v>
      </c>
      <c r="L533" t="s">
        <v>1588</v>
      </c>
      <c r="M533">
        <v>0</v>
      </c>
      <c r="N533">
        <v>5</v>
      </c>
      <c r="O533" t="str">
        <f>_xlfn.IFNA(VLOOKUP(Table2[[#This Row],[Lead Source]],'helper tab'!A:B,2,FALSE),"Exclude")</f>
        <v>Events</v>
      </c>
      <c r="P533" s="476">
        <f ca="1">TODAY() - Table2[[#This Row],[Created Date]]</f>
        <v>33</v>
      </c>
      <c r="Q533">
        <f>IF(OR(Table2[[#This Row],[Stage]]="Propose",Table2[[#This Row],[Stage]]="Procure"),1,0)</f>
        <v>1</v>
      </c>
      <c r="R533">
        <f>IF(Table2[[#This Row],[Stage]]="Closed Won",1,0)</f>
        <v>0</v>
      </c>
      <c r="S533" t="b">
        <f>IFERROR(_xlfn.XLOOKUP(Table2[[#This Row],[Opportunity ID]],'Aging Detail'!$H$14:$H$20,'Aging Detail'!$F$14:$F$20),TRUE)</f>
        <v>1</v>
      </c>
    </row>
    <row r="534" spans="1:19" hidden="1">
      <c r="A534" t="s">
        <v>1589</v>
      </c>
      <c r="B534" t="s">
        <v>1589</v>
      </c>
      <c r="C534" t="s">
        <v>1469</v>
      </c>
      <c r="D534" t="s">
        <v>3362</v>
      </c>
      <c r="E534">
        <v>0</v>
      </c>
      <c r="F534" s="422">
        <v>46136</v>
      </c>
      <c r="G534" s="422">
        <v>45972</v>
      </c>
      <c r="H534" t="s">
        <v>1468</v>
      </c>
      <c r="J534" t="s">
        <v>3360</v>
      </c>
      <c r="K534" t="s">
        <v>3390</v>
      </c>
      <c r="L534" t="s">
        <v>2090</v>
      </c>
      <c r="M534">
        <v>0</v>
      </c>
      <c r="N534">
        <v>123</v>
      </c>
      <c r="O534" t="str">
        <f>_xlfn.IFNA(VLOOKUP(Table2[[#This Row],[Lead Source]],'helper tab'!A:B,2,FALSE),"Exclude")</f>
        <v>Events</v>
      </c>
      <c r="P534" s="476">
        <f ca="1">TODAY() - Table2[[#This Row],[Created Date]]</f>
        <v>286</v>
      </c>
      <c r="Q534">
        <f>IF(OR(Table2[[#This Row],[Stage]]="Propose",Table2[[#This Row],[Stage]]="Procure"),1,0)</f>
        <v>0</v>
      </c>
      <c r="R534">
        <f>IF(Table2[[#This Row],[Stage]]="Closed Won",1,0)</f>
        <v>0</v>
      </c>
      <c r="S534" t="b">
        <f>IFERROR(_xlfn.XLOOKUP(Table2[[#This Row],[Opportunity ID]],'Aging Detail'!$H$14:$H$20,'Aging Detail'!$F$14:$F$20),TRUE)</f>
        <v>1</v>
      </c>
    </row>
  </sheetData>
  <hyperlinks>
    <hyperlink ref="B1" r:id="rId1" xr:uid="{45C7E697-FC11-4784-8CF4-D5C3FE18D317}"/>
  </hyperlinks>
  <pageMargins left="0.7" right="0.7" top="0.75" bottom="0.75" header="0.3" footer="0.3"/>
  <tableParts count="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46"/>
  <sheetViews>
    <sheetView zoomScale="80" zoomScaleNormal="80" workbookViewId="0">
      <selection activeCell="J1" sqref="J1:J1048576"/>
    </sheetView>
  </sheetViews>
  <sheetFormatPr defaultColWidth="8.7109375" defaultRowHeight="15"/>
  <cols>
    <col min="1" max="1" width="18" bestFit="1" customWidth="1"/>
    <col min="2" max="2" width="20.7109375" bestFit="1" customWidth="1"/>
    <col min="3" max="3" width="35.42578125" bestFit="1" customWidth="1"/>
    <col min="4" max="4" width="30.7109375" bestFit="1" customWidth="1"/>
    <col min="5" max="5" width="68.7109375" bestFit="1" customWidth="1"/>
    <col min="6" max="6" width="16.42578125" bestFit="1" customWidth="1"/>
    <col min="7" max="7" width="63.42578125" bestFit="1" customWidth="1"/>
    <col min="8" max="8" width="11.42578125" bestFit="1" customWidth="1"/>
    <col min="9" max="9" width="26.7109375" bestFit="1" customWidth="1"/>
  </cols>
  <sheetData>
    <row r="1" spans="1:14">
      <c r="A1" s="368" t="s">
        <v>4125</v>
      </c>
      <c r="B1" s="368" t="s">
        <v>4126</v>
      </c>
      <c r="C1" s="368" t="s">
        <v>4127</v>
      </c>
      <c r="D1" s="368" t="s">
        <v>1461</v>
      </c>
      <c r="E1" s="368" t="s">
        <v>189</v>
      </c>
      <c r="F1" s="369" t="s">
        <v>4128</v>
      </c>
      <c r="G1" s="369"/>
      <c r="H1" s="369" t="s">
        <v>4129</v>
      </c>
      <c r="I1" s="367"/>
      <c r="J1" s="434" t="s">
        <v>4</v>
      </c>
      <c r="K1" s="369" t="s">
        <v>4130</v>
      </c>
      <c r="M1" t="s">
        <v>4131</v>
      </c>
    </row>
    <row r="2" spans="1:14" ht="15.75" customHeight="1">
      <c r="A2" s="370">
        <v>45462</v>
      </c>
      <c r="B2" s="370" t="s">
        <v>3379</v>
      </c>
      <c r="C2" s="371" t="s">
        <v>454</v>
      </c>
      <c r="D2" s="372" t="s">
        <v>462</v>
      </c>
      <c r="E2" s="371" t="s">
        <v>4132</v>
      </c>
      <c r="F2" s="373">
        <v>451980</v>
      </c>
      <c r="G2" s="33" t="s">
        <v>461</v>
      </c>
      <c r="H2">
        <v>4</v>
      </c>
      <c r="I2" s="374" t="s">
        <v>4133</v>
      </c>
      <c r="J2" t="str">
        <f>IF(
  ISNUMBER(SEARCH("event",LOWER(E2))),"Events",
  IF(
    OR(
      ISNUMBER(SEARCH("website",LOWER(E2))),
      ISNUMBER(SEARCH("google",LOWER(E2))),
      ISNUMBER(SEARCH("bing",LOWER(E2))),
      ISNUMBER(SEARCH("g2",LOWER(E2))),
      ISNUMBER(SEARCH("webinar",LOWER(E2))),
      ISNUMBER(SEARCH("linkedin",LOWER(E2)))
    ),
    "Digital",
    IF(
      OR(
        ISNUMBER(SEARCH("partner",LOWER(E2))),
        ISNUMBER(SEARCH("alliance",LOWER(E2))),
        ISNUMBER(SEARCH("referral",LOWER(E2)))
      ),
      "Alliances",
      IF(
        OR(
          ISNUMBER(SEARCH("memoryblue",LOWER(E2))),
          ISNUMBER(SEARCH("nathan",LOWER(E2))),
          ISNUMBER(SEARCH("outbound",LOWER(E2))),
          ISNUMBER(SEARCH("cold",LOWER(E2)))
        ),
        "Cold Outreach",
        ""
      )
    )
  )
)</f>
        <v>Digital</v>
      </c>
      <c r="K2" t="e">
        <f>VLOOKUP(G2,Table2[[#All],[Opportunity Name]:[Channel]],12,0)</f>
        <v>#N/A</v>
      </c>
      <c r="M2" t="e">
        <f>K2=J2</f>
        <v>#N/A</v>
      </c>
      <c r="N2" t="s">
        <v>4134</v>
      </c>
    </row>
    <row r="3" spans="1:14" ht="15.75" customHeight="1">
      <c r="A3" s="375">
        <v>45846</v>
      </c>
      <c r="B3" s="372" t="s">
        <v>3350</v>
      </c>
      <c r="C3" s="371" t="s">
        <v>2054</v>
      </c>
      <c r="D3" s="372" t="s">
        <v>408</v>
      </c>
      <c r="E3" s="372" t="s">
        <v>4135</v>
      </c>
      <c r="F3" s="448">
        <v>35000</v>
      </c>
      <c r="G3" s="33" t="s">
        <v>2052</v>
      </c>
      <c r="H3">
        <v>2</v>
      </c>
      <c r="I3" s="376"/>
      <c r="J3" t="str">
        <f t="shared" ref="J3:J24" si="0">IF(
ISNUMBER(SEARCH("event",LOWER(E3))),"Events",
IF(
OR(
ISNUMBER(SEARCH("website",LOWER(E3))),
ISNUMBER(SEARCH("google",LOWER(E3))),
ISNUMBER(SEARCH("bing",LOWER(E3))),
ISNUMBER(SEARCH("g2",LOWER(E3))),
ISNUMBER(SEARCH("webinar",LOWER(E3))),
ISNUMBER(SEARCH("linkedin",LOWER(E3)))
),
"Digital",
IF(
OR(
ISNUMBER(SEARCH("partner",LOWER(E3))),
ISNUMBER(SEARCH("alliance",LOWER(E3))),
ISNUMBER(SEARCH("referral",LOWER(E3)))
),
"Alliances",
IF(
OR(
ISNUMBER(SEARCH("memoryblue",LOWER(E3))),
ISNUMBER(SEARCH("nathan",LOWER(E3))),
ISNUMBER(SEARCH("outbound",LOWER(E3))),
ISNUMBER(SEARCH("cold",LOWER(E3)))
),
"Cold Outreach",
""
)
)
)
)</f>
        <v>Events</v>
      </c>
      <c r="K3">
        <f>VLOOKUP(G3,Table2[[#All],[Opportunity Name]:[Channel]],12,0)</f>
        <v>35000</v>
      </c>
      <c r="M3" t="b">
        <f t="shared" ref="M3:M46" si="1">K3=J3</f>
        <v>0</v>
      </c>
      <c r="N3" t="s">
        <v>4136</v>
      </c>
    </row>
    <row r="4" spans="1:14" ht="15.75" customHeight="1">
      <c r="A4" s="370">
        <v>45664</v>
      </c>
      <c r="B4" s="445" t="s">
        <v>4137</v>
      </c>
      <c r="C4" s="446" t="s">
        <v>555</v>
      </c>
      <c r="D4" s="446" t="s">
        <v>563</v>
      </c>
      <c r="E4" s="446" t="s">
        <v>4138</v>
      </c>
      <c r="F4" s="451">
        <v>30000</v>
      </c>
      <c r="G4" s="33" t="s">
        <v>562</v>
      </c>
      <c r="H4" s="370">
        <v>45721</v>
      </c>
      <c r="I4" t="s">
        <v>4139</v>
      </c>
      <c r="J4" t="str">
        <f t="shared" si="0"/>
        <v>Digital</v>
      </c>
      <c r="K4" t="s">
        <v>32</v>
      </c>
      <c r="L4" t="s">
        <v>4140</v>
      </c>
      <c r="M4" t="b">
        <f t="shared" si="1"/>
        <v>0</v>
      </c>
    </row>
    <row r="5" spans="1:14" ht="15.75" customHeight="1">
      <c r="A5" s="370">
        <v>45751</v>
      </c>
      <c r="B5" s="445" t="s">
        <v>3379</v>
      </c>
      <c r="C5" s="446" t="s">
        <v>592</v>
      </c>
      <c r="D5" s="446" t="s">
        <v>4141</v>
      </c>
      <c r="E5" s="447" t="s">
        <v>4142</v>
      </c>
      <c r="F5" s="449">
        <v>8550</v>
      </c>
      <c r="G5" s="33" t="s">
        <v>2894</v>
      </c>
      <c r="H5" s="370">
        <v>45731</v>
      </c>
      <c r="I5" t="s">
        <v>4139</v>
      </c>
      <c r="J5" t="str">
        <f t="shared" si="0"/>
        <v>Digital</v>
      </c>
      <c r="K5" t="s">
        <v>32</v>
      </c>
      <c r="L5" t="s">
        <v>4140</v>
      </c>
      <c r="M5" t="b">
        <f t="shared" si="1"/>
        <v>0</v>
      </c>
    </row>
    <row r="6" spans="1:14" ht="15.75" customHeight="1">
      <c r="A6" s="375">
        <v>45789</v>
      </c>
      <c r="B6" s="377" t="s">
        <v>3390</v>
      </c>
      <c r="C6" s="378" t="s">
        <v>2021</v>
      </c>
      <c r="D6" s="377" t="s">
        <v>1462</v>
      </c>
      <c r="E6" s="378" t="s">
        <v>4143</v>
      </c>
      <c r="F6" s="453">
        <v>1330000</v>
      </c>
      <c r="G6" s="33" t="s">
        <v>2021</v>
      </c>
      <c r="H6">
        <v>3</v>
      </c>
      <c r="I6" s="387" t="s">
        <v>4133</v>
      </c>
      <c r="J6" t="str">
        <f t="shared" si="0"/>
        <v>Events</v>
      </c>
      <c r="K6" t="s">
        <v>30</v>
      </c>
      <c r="M6" t="b">
        <f t="shared" si="1"/>
        <v>0</v>
      </c>
      <c r="N6" t="s">
        <v>4144</v>
      </c>
    </row>
    <row r="7" spans="1:14" ht="15.75" customHeight="1">
      <c r="A7" s="375">
        <v>45679</v>
      </c>
      <c r="B7" s="377" t="s">
        <v>3405</v>
      </c>
      <c r="C7" s="378" t="s">
        <v>481</v>
      </c>
      <c r="D7" s="377" t="s">
        <v>462</v>
      </c>
      <c r="E7" s="378" t="s">
        <v>4145</v>
      </c>
      <c r="F7" s="379">
        <v>232800</v>
      </c>
      <c r="G7" s="33" t="s">
        <v>481</v>
      </c>
      <c r="H7">
        <v>4</v>
      </c>
      <c r="I7" s="374" t="s">
        <v>4133</v>
      </c>
      <c r="J7" t="str">
        <f t="shared" si="0"/>
        <v>Digital</v>
      </c>
      <c r="K7" t="s">
        <v>27</v>
      </c>
      <c r="M7" t="b">
        <f t="shared" si="1"/>
        <v>1</v>
      </c>
    </row>
    <row r="8" spans="1:14" ht="15.75" customHeight="1">
      <c r="A8" s="375">
        <v>45716</v>
      </c>
      <c r="B8" s="377" t="s">
        <v>3405</v>
      </c>
      <c r="C8" s="378" t="s">
        <v>486</v>
      </c>
      <c r="D8" s="377" t="s">
        <v>462</v>
      </c>
      <c r="E8" s="378" t="s">
        <v>4145</v>
      </c>
      <c r="F8" s="379">
        <v>271200</v>
      </c>
      <c r="G8" s="33" t="s">
        <v>486</v>
      </c>
      <c r="H8">
        <v>4</v>
      </c>
      <c r="I8" s="374" t="s">
        <v>4133</v>
      </c>
      <c r="J8" t="str">
        <f t="shared" si="0"/>
        <v>Digital</v>
      </c>
      <c r="K8" t="s">
        <v>27</v>
      </c>
      <c r="M8" t="b">
        <f t="shared" si="1"/>
        <v>1</v>
      </c>
    </row>
    <row r="9" spans="1:14" ht="15.75" customHeight="1">
      <c r="A9" s="375">
        <v>45716</v>
      </c>
      <c r="B9" s="377" t="s">
        <v>3386</v>
      </c>
      <c r="C9" s="378" t="s">
        <v>566</v>
      </c>
      <c r="D9" s="377" t="s">
        <v>4141</v>
      </c>
      <c r="E9" s="378" t="s">
        <v>572</v>
      </c>
      <c r="F9" s="379">
        <v>279200</v>
      </c>
      <c r="G9" s="33" t="s">
        <v>566</v>
      </c>
      <c r="H9" t="s">
        <v>4146</v>
      </c>
      <c r="I9" s="382">
        <v>279200</v>
      </c>
      <c r="J9" t="str">
        <f t="shared" si="0"/>
        <v>Digital</v>
      </c>
      <c r="K9" t="s">
        <v>27</v>
      </c>
      <c r="M9" t="b">
        <f t="shared" si="1"/>
        <v>1</v>
      </c>
    </row>
    <row r="10" spans="1:14" ht="15.75" customHeight="1">
      <c r="A10" s="375">
        <v>45743</v>
      </c>
      <c r="B10" s="377" t="s">
        <v>3390</v>
      </c>
      <c r="C10" s="378" t="s">
        <v>574</v>
      </c>
      <c r="D10" s="377" t="s">
        <v>338</v>
      </c>
      <c r="E10" s="378" t="s">
        <v>202</v>
      </c>
      <c r="F10" s="379">
        <v>437600</v>
      </c>
      <c r="G10" s="33" t="s">
        <v>574</v>
      </c>
      <c r="H10">
        <v>1</v>
      </c>
      <c r="I10" s="376"/>
      <c r="J10" t="str">
        <f t="shared" si="0"/>
        <v>Digital</v>
      </c>
      <c r="K10" t="s">
        <v>27</v>
      </c>
      <c r="M10" t="b">
        <f t="shared" si="1"/>
        <v>1</v>
      </c>
    </row>
    <row r="11" spans="1:14" ht="15.75" customHeight="1">
      <c r="A11" s="375">
        <v>45765</v>
      </c>
      <c r="B11" s="377" t="s">
        <v>4147</v>
      </c>
      <c r="C11" s="378" t="s">
        <v>302</v>
      </c>
      <c r="D11" s="377" t="s">
        <v>338</v>
      </c>
      <c r="E11" s="377" t="s">
        <v>4148</v>
      </c>
      <c r="F11" s="379">
        <v>100000</v>
      </c>
      <c r="G11" s="33" t="s">
        <v>302</v>
      </c>
      <c r="H11">
        <v>1</v>
      </c>
      <c r="I11" s="376"/>
      <c r="J11" t="str">
        <f t="shared" si="0"/>
        <v>Digital</v>
      </c>
      <c r="K11" t="s">
        <v>27</v>
      </c>
      <c r="M11" t="b">
        <f t="shared" si="1"/>
        <v>1</v>
      </c>
    </row>
    <row r="12" spans="1:14" ht="15.75" customHeight="1">
      <c r="A12" s="375">
        <v>45802</v>
      </c>
      <c r="B12" s="377" t="s">
        <v>3386</v>
      </c>
      <c r="C12" s="378" t="s">
        <v>622</v>
      </c>
      <c r="D12" s="377" t="s">
        <v>338</v>
      </c>
      <c r="E12" s="378" t="s">
        <v>4145</v>
      </c>
      <c r="F12" s="379">
        <v>136500</v>
      </c>
      <c r="G12" s="33" t="s">
        <v>622</v>
      </c>
      <c r="H12">
        <v>1</v>
      </c>
      <c r="I12" s="376"/>
      <c r="J12" t="str">
        <f t="shared" si="0"/>
        <v>Digital</v>
      </c>
      <c r="K12" t="s">
        <v>27</v>
      </c>
      <c r="M12" t="b">
        <f t="shared" si="1"/>
        <v>1</v>
      </c>
    </row>
    <row r="13" spans="1:14" ht="15.75" customHeight="1">
      <c r="A13" s="375">
        <v>45834</v>
      </c>
      <c r="B13" s="384" t="s">
        <v>3386</v>
      </c>
      <c r="C13" s="385" t="s">
        <v>647</v>
      </c>
      <c r="D13" s="384" t="s">
        <v>1462</v>
      </c>
      <c r="E13" s="384" t="s">
        <v>4148</v>
      </c>
      <c r="F13" s="386">
        <v>100000</v>
      </c>
      <c r="G13" s="33" t="s">
        <v>652</v>
      </c>
      <c r="H13">
        <v>3</v>
      </c>
      <c r="I13" s="374" t="s">
        <v>4133</v>
      </c>
      <c r="J13" t="str">
        <f t="shared" si="0"/>
        <v>Digital</v>
      </c>
      <c r="K13" t="s">
        <v>27</v>
      </c>
      <c r="M13" t="b">
        <f t="shared" si="1"/>
        <v>1</v>
      </c>
    </row>
    <row r="14" spans="1:14" ht="15.75" customHeight="1">
      <c r="A14" s="375">
        <v>45904</v>
      </c>
      <c r="B14" s="384" t="s">
        <v>3390</v>
      </c>
      <c r="C14" s="388" t="s">
        <v>746</v>
      </c>
      <c r="D14" s="384" t="s">
        <v>408</v>
      </c>
      <c r="E14" s="384" t="s">
        <v>439</v>
      </c>
      <c r="F14" s="386">
        <v>458800</v>
      </c>
      <c r="G14" s="33" t="s">
        <v>746</v>
      </c>
      <c r="H14">
        <v>2</v>
      </c>
      <c r="I14" s="376"/>
      <c r="J14" t="str">
        <f t="shared" si="0"/>
        <v>Digital</v>
      </c>
      <c r="K14" t="s">
        <v>27</v>
      </c>
      <c r="M14" t="b">
        <f t="shared" si="1"/>
        <v>1</v>
      </c>
    </row>
    <row r="15" spans="1:14" ht="15.75" customHeight="1">
      <c r="A15" s="375">
        <v>45938</v>
      </c>
      <c r="B15" s="384" t="s">
        <v>3374</v>
      </c>
      <c r="C15" s="388" t="s">
        <v>1552</v>
      </c>
      <c r="D15" s="384" t="s">
        <v>338</v>
      </c>
      <c r="E15" s="384" t="s">
        <v>439</v>
      </c>
      <c r="F15" s="379">
        <v>50000</v>
      </c>
      <c r="G15" s="33" t="s">
        <v>763</v>
      </c>
      <c r="H15">
        <v>1</v>
      </c>
      <c r="I15" s="376"/>
      <c r="J15" t="str">
        <f t="shared" si="0"/>
        <v>Digital</v>
      </c>
      <c r="K15" t="s">
        <v>27</v>
      </c>
      <c r="M15" t="b">
        <f t="shared" si="1"/>
        <v>1</v>
      </c>
    </row>
    <row r="16" spans="1:14" ht="15.75" customHeight="1">
      <c r="A16" s="375">
        <v>46059</v>
      </c>
      <c r="B16" s="384" t="s">
        <v>3390</v>
      </c>
      <c r="C16" s="388" t="s">
        <v>1046</v>
      </c>
      <c r="D16" s="377" t="s">
        <v>408</v>
      </c>
      <c r="E16" s="385" t="s">
        <v>4145</v>
      </c>
      <c r="F16" s="379">
        <v>2405000</v>
      </c>
      <c r="G16" s="33" t="s">
        <v>3439</v>
      </c>
      <c r="H16">
        <v>2</v>
      </c>
      <c r="I16" s="376"/>
      <c r="J16" t="str">
        <f t="shared" si="0"/>
        <v>Digital</v>
      </c>
      <c r="K16" t="s">
        <v>27</v>
      </c>
      <c r="M16" t="b">
        <f t="shared" si="1"/>
        <v>1</v>
      </c>
    </row>
    <row r="17" spans="1:14" ht="15.75" customHeight="1">
      <c r="A17" s="375">
        <v>46059</v>
      </c>
      <c r="B17" s="384" t="s">
        <v>3390</v>
      </c>
      <c r="C17" s="388" t="s">
        <v>1046</v>
      </c>
      <c r="D17" s="384" t="s">
        <v>408</v>
      </c>
      <c r="E17" s="385" t="s">
        <v>4145</v>
      </c>
      <c r="F17" s="442">
        <v>2340000</v>
      </c>
      <c r="G17" s="455" t="s">
        <v>4149</v>
      </c>
      <c r="H17">
        <v>2</v>
      </c>
      <c r="I17" s="376"/>
      <c r="J17" t="str">
        <f t="shared" si="0"/>
        <v>Digital</v>
      </c>
      <c r="K17" t="s">
        <v>27</v>
      </c>
      <c r="M17" t="b">
        <f t="shared" si="1"/>
        <v>1</v>
      </c>
    </row>
    <row r="18" spans="1:14" ht="31.5" customHeight="1">
      <c r="A18" s="375">
        <v>45694</v>
      </c>
      <c r="B18" s="384" t="s">
        <v>3390</v>
      </c>
      <c r="C18" s="385" t="s">
        <v>1743</v>
      </c>
      <c r="D18" s="377" t="s">
        <v>338</v>
      </c>
      <c r="E18" s="384" t="s">
        <v>1478</v>
      </c>
      <c r="F18" s="452">
        <v>577600</v>
      </c>
      <c r="G18" s="33" t="s">
        <v>1743</v>
      </c>
      <c r="H18">
        <v>1</v>
      </c>
      <c r="I18" s="376"/>
      <c r="J18" t="str">
        <f t="shared" si="0"/>
        <v>Digital</v>
      </c>
      <c r="K18" t="s">
        <v>29</v>
      </c>
      <c r="M18" t="b">
        <f t="shared" si="1"/>
        <v>0</v>
      </c>
    </row>
    <row r="19" spans="1:14" ht="15.75" customHeight="1">
      <c r="A19" s="375">
        <v>45737</v>
      </c>
      <c r="B19" s="384" t="s">
        <v>3350</v>
      </c>
      <c r="C19" s="385" t="s">
        <v>1722</v>
      </c>
      <c r="D19" s="384" t="s">
        <v>408</v>
      </c>
      <c r="E19" s="385" t="s">
        <v>4150</v>
      </c>
      <c r="F19" s="383">
        <v>205640</v>
      </c>
      <c r="G19" s="33" t="s">
        <v>4151</v>
      </c>
      <c r="H19">
        <v>2</v>
      </c>
      <c r="I19" s="376" t="s">
        <v>387</v>
      </c>
      <c r="J19" t="str">
        <f t="shared" si="0"/>
        <v>Events</v>
      </c>
      <c r="K19" t="s">
        <v>29</v>
      </c>
      <c r="M19" t="b">
        <f t="shared" si="1"/>
        <v>1</v>
      </c>
    </row>
    <row r="20" spans="1:14" ht="15.75" customHeight="1">
      <c r="A20" s="375">
        <v>45743</v>
      </c>
      <c r="B20" s="384" t="s">
        <v>3350</v>
      </c>
      <c r="C20" s="385" t="s">
        <v>4152</v>
      </c>
      <c r="D20" s="384" t="s">
        <v>408</v>
      </c>
      <c r="E20" s="385" t="s">
        <v>4153</v>
      </c>
      <c r="F20" s="383">
        <v>920000</v>
      </c>
      <c r="G20" s="33" t="s">
        <v>3654</v>
      </c>
      <c r="H20">
        <v>2</v>
      </c>
      <c r="I20" s="376" t="s">
        <v>387</v>
      </c>
      <c r="J20" t="str">
        <f t="shared" si="0"/>
        <v>Events</v>
      </c>
      <c r="K20" t="s">
        <v>29</v>
      </c>
      <c r="M20" t="b">
        <f t="shared" si="1"/>
        <v>1</v>
      </c>
    </row>
    <row r="21" spans="1:14" ht="15.75" customHeight="1">
      <c r="A21" s="375">
        <v>45821</v>
      </c>
      <c r="B21" s="384" t="s">
        <v>3350</v>
      </c>
      <c r="C21" s="385" t="s">
        <v>763</v>
      </c>
      <c r="D21" s="384" t="s">
        <v>408</v>
      </c>
      <c r="E21" s="384" t="s">
        <v>4154</v>
      </c>
      <c r="F21" s="383">
        <v>35000</v>
      </c>
      <c r="G21" s="33" t="s">
        <v>1855</v>
      </c>
      <c r="H21">
        <v>2</v>
      </c>
      <c r="I21" s="376"/>
      <c r="J21" t="str">
        <f t="shared" si="0"/>
        <v>Events</v>
      </c>
      <c r="K21" t="s">
        <v>29</v>
      </c>
      <c r="M21" t="b">
        <f t="shared" si="1"/>
        <v>1</v>
      </c>
    </row>
    <row r="22" spans="1:14" ht="15.75" customHeight="1">
      <c r="A22" s="375">
        <v>45869</v>
      </c>
      <c r="B22" s="384" t="s">
        <v>3350</v>
      </c>
      <c r="C22" s="388" t="s">
        <v>4155</v>
      </c>
      <c r="D22" s="384" t="s">
        <v>408</v>
      </c>
      <c r="E22" s="384" t="s">
        <v>4154</v>
      </c>
      <c r="F22" s="383">
        <v>35000</v>
      </c>
      <c r="G22" s="33" t="s">
        <v>2188</v>
      </c>
      <c r="H22">
        <v>2</v>
      </c>
      <c r="I22" s="376"/>
      <c r="J22" t="str">
        <f t="shared" si="0"/>
        <v>Events</v>
      </c>
      <c r="K22" t="s">
        <v>29</v>
      </c>
      <c r="M22" t="b">
        <f t="shared" si="1"/>
        <v>1</v>
      </c>
    </row>
    <row r="23" spans="1:14" ht="15.75" customHeight="1">
      <c r="A23" s="375">
        <v>45930</v>
      </c>
      <c r="B23" s="384" t="s">
        <v>3390</v>
      </c>
      <c r="C23" s="388" t="s">
        <v>2526</v>
      </c>
      <c r="D23" s="384" t="s">
        <v>1462</v>
      </c>
      <c r="E23" s="384" t="s">
        <v>4156</v>
      </c>
      <c r="F23" s="383">
        <v>557800</v>
      </c>
      <c r="G23" s="33" t="s">
        <v>2526</v>
      </c>
      <c r="H23">
        <v>3</v>
      </c>
      <c r="I23" s="387" t="s">
        <v>4133</v>
      </c>
      <c r="J23" t="str">
        <f t="shared" si="0"/>
        <v>Events</v>
      </c>
      <c r="K23" t="s">
        <v>29</v>
      </c>
      <c r="M23" t="b">
        <f t="shared" si="1"/>
        <v>1</v>
      </c>
    </row>
    <row r="24" spans="1:14" ht="15.75" customHeight="1">
      <c r="A24" s="375">
        <v>46038</v>
      </c>
      <c r="B24" s="384" t="s">
        <v>3398</v>
      </c>
      <c r="C24" s="388" t="s">
        <v>1020</v>
      </c>
      <c r="D24" s="384" t="s">
        <v>338</v>
      </c>
      <c r="E24" s="384" t="s">
        <v>4157</v>
      </c>
      <c r="F24" s="383">
        <v>636000</v>
      </c>
      <c r="G24" s="33" t="s">
        <v>1020</v>
      </c>
      <c r="H24">
        <v>1</v>
      </c>
      <c r="I24" s="376"/>
      <c r="J24" t="str">
        <f t="shared" si="0"/>
        <v>Events</v>
      </c>
      <c r="K24" t="s">
        <v>29</v>
      </c>
      <c r="M24" t="b">
        <f t="shared" si="1"/>
        <v>1</v>
      </c>
    </row>
    <row r="25" spans="1:14" ht="15.75" customHeight="1">
      <c r="A25" s="375">
        <v>45622</v>
      </c>
      <c r="B25" s="384" t="s">
        <v>3374</v>
      </c>
      <c r="C25" s="385" t="s">
        <v>4158</v>
      </c>
      <c r="D25" s="384" t="s">
        <v>408</v>
      </c>
      <c r="E25" s="385" t="s">
        <v>4145</v>
      </c>
      <c r="F25" s="379">
        <v>1140000</v>
      </c>
      <c r="G25" s="33" t="s">
        <v>407</v>
      </c>
      <c r="H25">
        <v>2</v>
      </c>
      <c r="I25" s="376"/>
      <c r="J25" t="str">
        <f>IF(
  ISNUMBER(SEARCH("event",LOWER(E25))),"Events",
  IF(
    OR(
      ISNUMBER(SEARCH("website",LOWER(E25))),
      ISNUMBER(SEARCH("google",LOWER(E25))),
      ISNUMBER(SEARCH("bing",LOWER(E25))),
      ISNUMBER(SEARCH("g2",LOWER(E25))),
      ISNUMBER(SEARCH("webinar",LOWER(E25))),
      ISNUMBER(SEARCH("linkedin",LOWER(E25)))
    ),
    "Digital",
    IF(
      OR(
        ISNUMBER(SEARCH("partner",LOWER(E25))),
        ISNUMBER(SEARCH("alliance",LOWER(E25))),
        ISNUMBER(SEARCH("referral",LOWER(E25)))
      ),
      "Alliances",
      IF(
        OR(
          ISNUMBER(SEARCH("memoryblue",LOWER(E25))),
          ISNUMBER(SEARCH("nathan",LOWER(E25))),
          ISNUMBER(SEARCH("outbound",LOWER(E25))),
          ISNUMBER(SEARCH("cold",LOWER(E25)))
        ),
        "Cold Outreach",
        ""
      )
    )
  )
)</f>
        <v>Digital</v>
      </c>
      <c r="K25">
        <f>VLOOKUP(G25,Table2[[#All],[Opportunity Name]:[Channel]],12,0)</f>
        <v>1080000</v>
      </c>
      <c r="M25" t="b">
        <f t="shared" si="1"/>
        <v>0</v>
      </c>
    </row>
    <row r="26" spans="1:14" ht="15.75" customHeight="1">
      <c r="A26" s="375">
        <v>45694</v>
      </c>
      <c r="B26" s="384" t="s">
        <v>3398</v>
      </c>
      <c r="C26" s="385" t="s">
        <v>464</v>
      </c>
      <c r="D26" s="384" t="s">
        <v>338</v>
      </c>
      <c r="E26" s="384" t="s">
        <v>4148</v>
      </c>
      <c r="F26" s="379">
        <v>0</v>
      </c>
      <c r="G26" s="380" t="s">
        <v>471</v>
      </c>
      <c r="H26" s="381" t="s">
        <v>4159</v>
      </c>
      <c r="I26" s="376" t="s">
        <v>4160</v>
      </c>
      <c r="J26" t="str">
        <f t="shared" ref="J26:J46" si="2">IF(
ISNUMBER(SEARCH("event",LOWER(E26))),"Events",
IF(
OR(
ISNUMBER(SEARCH("website",LOWER(E26))),
ISNUMBER(SEARCH("google",LOWER(E26))),
ISNUMBER(SEARCH("bing",LOWER(E26))),
ISNUMBER(SEARCH("g2",LOWER(E26))),
ISNUMBER(SEARCH("webinar",LOWER(E26))),
ISNUMBER(SEARCH("linkedin",LOWER(E26)))
),
"Digital",
IF(
OR(
ISNUMBER(SEARCH("partner",LOWER(E26))),
ISNUMBER(SEARCH("alliance",LOWER(E26))),
ISNUMBER(SEARCH("referral",LOWER(E26)))
),
"Alliances",
IF(
OR(
ISNUMBER(SEARCH("memoryblue",LOWER(E26))),
ISNUMBER(SEARCH("nathan",LOWER(E26))),
ISNUMBER(SEARCH("outbound",LOWER(E26))),
ISNUMBER(SEARCH("cold",LOWER(E26)))
),
"Cold Outreach",
""
)
)
)
)</f>
        <v>Digital</v>
      </c>
      <c r="K26">
        <f>VLOOKUP(G26,Table2[[#All],[Opportunity Name]:[Channel]],12,0)</f>
        <v>0</v>
      </c>
      <c r="M26" t="b">
        <f t="shared" si="1"/>
        <v>0</v>
      </c>
    </row>
    <row r="27" spans="1:14" ht="15.75" customHeight="1">
      <c r="A27" s="375">
        <v>45698</v>
      </c>
      <c r="B27" s="384" t="s">
        <v>3390</v>
      </c>
      <c r="C27" s="385" t="s">
        <v>4161</v>
      </c>
      <c r="D27" s="384" t="s">
        <v>408</v>
      </c>
      <c r="E27" s="385" t="s">
        <v>4162</v>
      </c>
      <c r="F27" s="379">
        <v>0</v>
      </c>
      <c r="G27" s="33" t="s">
        <v>514</v>
      </c>
      <c r="H27" s="381" t="s">
        <v>4159</v>
      </c>
      <c r="I27" s="376" t="s">
        <v>4163</v>
      </c>
      <c r="J27" t="str">
        <f t="shared" si="2"/>
        <v>Digital</v>
      </c>
      <c r="K27" t="e">
        <f>VLOOKUP(G27,Table2[[#All],[Opportunity Name]:[Channel]],12,0)</f>
        <v>#N/A</v>
      </c>
      <c r="M27" t="e">
        <f t="shared" si="1"/>
        <v>#N/A</v>
      </c>
      <c r="N27" t="s">
        <v>4164</v>
      </c>
    </row>
    <row r="28" spans="1:14" ht="15.75" customHeight="1">
      <c r="A28" s="375">
        <v>45734</v>
      </c>
      <c r="B28" s="384" t="s">
        <v>3379</v>
      </c>
      <c r="C28" s="385" t="s">
        <v>2653</v>
      </c>
      <c r="D28" s="384" t="s">
        <v>1462</v>
      </c>
      <c r="E28" s="385" t="s">
        <v>4165</v>
      </c>
      <c r="F28" s="389"/>
      <c r="G28" s="33" t="s">
        <v>2653</v>
      </c>
      <c r="H28" s="381" t="s">
        <v>4159</v>
      </c>
      <c r="I28" s="376" t="s">
        <v>1469</v>
      </c>
      <c r="J28" t="str">
        <f t="shared" si="2"/>
        <v>Events</v>
      </c>
      <c r="K28">
        <f>VLOOKUP(G28,Table2[[#All],[Opportunity Name]:[Channel]],12,0)</f>
        <v>105600</v>
      </c>
      <c r="M28" t="b">
        <f t="shared" si="1"/>
        <v>0</v>
      </c>
    </row>
    <row r="29" spans="1:14" ht="15.75" customHeight="1">
      <c r="A29" s="375">
        <v>45786</v>
      </c>
      <c r="B29" s="384" t="s">
        <v>3379</v>
      </c>
      <c r="C29" s="385" t="s">
        <v>2660</v>
      </c>
      <c r="D29" s="384" t="s">
        <v>338</v>
      </c>
      <c r="E29" s="385" t="s">
        <v>4166</v>
      </c>
      <c r="F29" s="389"/>
      <c r="G29" s="33" t="s">
        <v>2660</v>
      </c>
      <c r="H29" s="381" t="s">
        <v>4167</v>
      </c>
      <c r="I29" s="376"/>
      <c r="J29" t="str">
        <f t="shared" si="2"/>
        <v>Events</v>
      </c>
      <c r="K29">
        <f>VLOOKUP(G29,Table2[[#All],[Opportunity Name]:[Channel]],12,0)</f>
        <v>178200</v>
      </c>
      <c r="M29" t="b">
        <f t="shared" si="1"/>
        <v>0</v>
      </c>
    </row>
    <row r="30" spans="1:14" ht="15.75" customHeight="1">
      <c r="A30" s="375">
        <v>45822</v>
      </c>
      <c r="B30" s="384" t="s">
        <v>3350</v>
      </c>
      <c r="C30" s="385" t="s">
        <v>763</v>
      </c>
      <c r="D30" s="377" t="s">
        <v>408</v>
      </c>
      <c r="E30" s="384" t="s">
        <v>4154</v>
      </c>
      <c r="F30" s="389">
        <v>396400</v>
      </c>
      <c r="G30" s="33" t="s">
        <v>3635</v>
      </c>
      <c r="H30">
        <v>2</v>
      </c>
      <c r="I30" s="376"/>
      <c r="J30" t="str">
        <f t="shared" si="2"/>
        <v>Events</v>
      </c>
      <c r="K30">
        <f>VLOOKUP(G30,Table2[[#All],[Opportunity Name]:[Channel]],12,0)</f>
        <v>356400</v>
      </c>
      <c r="M30" t="b">
        <f>K30=J30</f>
        <v>0</v>
      </c>
    </row>
    <row r="31" spans="1:14" ht="15.75" customHeight="1">
      <c r="A31" s="375">
        <v>45835</v>
      </c>
      <c r="B31" s="384" t="s">
        <v>3405</v>
      </c>
      <c r="C31" s="385" t="s">
        <v>2203</v>
      </c>
      <c r="D31" s="384" t="s">
        <v>338</v>
      </c>
      <c r="E31" s="384" t="s">
        <v>4168</v>
      </c>
      <c r="F31" s="389"/>
      <c r="G31" s="33" t="s">
        <v>2207</v>
      </c>
      <c r="H31" s="381" t="s">
        <v>4167</v>
      </c>
      <c r="I31" s="376"/>
      <c r="J31" t="str">
        <f t="shared" si="2"/>
        <v>Events</v>
      </c>
      <c r="K31">
        <f>VLOOKUP(G31,Table2[[#All],[Opportunity Name]:[Channel]],12,0)</f>
        <v>50000</v>
      </c>
      <c r="M31" t="b">
        <f t="shared" si="1"/>
        <v>0</v>
      </c>
    </row>
    <row r="32" spans="1:14" ht="15.75" customHeight="1">
      <c r="A32" s="375">
        <v>45836</v>
      </c>
      <c r="B32" s="384" t="s">
        <v>3405</v>
      </c>
      <c r="C32" s="385" t="s">
        <v>2203</v>
      </c>
      <c r="D32" s="384" t="s">
        <v>1462</v>
      </c>
      <c r="E32" s="384" t="s">
        <v>4168</v>
      </c>
      <c r="F32" s="389"/>
      <c r="G32" s="33" t="s">
        <v>2377</v>
      </c>
      <c r="H32" s="381" t="s">
        <v>4167</v>
      </c>
      <c r="I32" s="376"/>
      <c r="J32" t="str">
        <f t="shared" si="2"/>
        <v>Events</v>
      </c>
      <c r="K32">
        <f>VLOOKUP(G32,Table2[[#All],[Opportunity Name]:[Channel]],12,0)</f>
        <v>1080000</v>
      </c>
      <c r="M32" t="b">
        <f t="shared" si="1"/>
        <v>0</v>
      </c>
      <c r="N32" t="s">
        <v>4134</v>
      </c>
    </row>
    <row r="33" spans="1:14" ht="15.75" customHeight="1">
      <c r="A33" s="375">
        <v>45838</v>
      </c>
      <c r="B33" s="384" t="s">
        <v>3405</v>
      </c>
      <c r="C33" s="385" t="s">
        <v>2203</v>
      </c>
      <c r="D33" s="377" t="s">
        <v>338</v>
      </c>
      <c r="E33" s="384" t="s">
        <v>4168</v>
      </c>
      <c r="F33" s="389"/>
      <c r="G33" s="33" t="s">
        <v>2201</v>
      </c>
      <c r="H33" s="381" t="s">
        <v>4167</v>
      </c>
      <c r="I33" s="376"/>
      <c r="J33" t="str">
        <f t="shared" si="2"/>
        <v>Events</v>
      </c>
      <c r="K33">
        <f>VLOOKUP(G33,Table2[[#All],[Opportunity Name]:[Channel]],12,0)</f>
        <v>114000</v>
      </c>
      <c r="M33" t="b">
        <f t="shared" si="1"/>
        <v>0</v>
      </c>
    </row>
    <row r="34" spans="1:14" ht="15.75" customHeight="1">
      <c r="A34" s="375">
        <v>45853</v>
      </c>
      <c r="B34" s="384" t="s">
        <v>3374</v>
      </c>
      <c r="C34" s="385" t="s">
        <v>4169</v>
      </c>
      <c r="D34" s="384" t="s">
        <v>408</v>
      </c>
      <c r="E34" s="384" t="s">
        <v>4168</v>
      </c>
      <c r="F34" s="389">
        <v>168000</v>
      </c>
      <c r="G34" s="33" t="s">
        <v>3884</v>
      </c>
      <c r="H34">
        <v>2</v>
      </c>
      <c r="I34" s="376"/>
      <c r="J34" t="str">
        <f t="shared" si="2"/>
        <v>Events</v>
      </c>
      <c r="K34">
        <f>VLOOKUP(G34,Table2[[#All],[Opportunity Name]:[Channel]],12,0)</f>
        <v>0</v>
      </c>
      <c r="M34" t="b">
        <f t="shared" si="1"/>
        <v>0</v>
      </c>
    </row>
    <row r="35" spans="1:14" ht="15.75" customHeight="1">
      <c r="A35" s="375">
        <v>45867</v>
      </c>
      <c r="B35" s="384" t="s">
        <v>3350</v>
      </c>
      <c r="C35" s="385" t="s">
        <v>2338</v>
      </c>
      <c r="D35" s="384" t="s">
        <v>408</v>
      </c>
      <c r="E35" s="384" t="s">
        <v>4135</v>
      </c>
      <c r="F35" s="389"/>
      <c r="G35" s="456" t="s">
        <v>2336</v>
      </c>
      <c r="H35" s="381" t="s">
        <v>4167</v>
      </c>
      <c r="I35" s="376"/>
      <c r="J35" t="str">
        <f t="shared" si="2"/>
        <v>Events</v>
      </c>
      <c r="K35">
        <f>VLOOKUP(G35,Table2[[#All],[Opportunity Name]:[Channel]],12,0)</f>
        <v>35000</v>
      </c>
      <c r="M35" t="b">
        <f t="shared" si="1"/>
        <v>0</v>
      </c>
    </row>
    <row r="36" spans="1:14" ht="15.75" customHeight="1">
      <c r="A36" s="375">
        <v>45905</v>
      </c>
      <c r="B36" s="384" t="s">
        <v>3390</v>
      </c>
      <c r="C36" s="388" t="s">
        <v>746</v>
      </c>
      <c r="D36" s="384" t="s">
        <v>338</v>
      </c>
      <c r="E36" s="384" t="s">
        <v>439</v>
      </c>
      <c r="F36" s="386">
        <v>99560</v>
      </c>
      <c r="G36" s="33" t="s">
        <v>2041</v>
      </c>
      <c r="H36">
        <v>1</v>
      </c>
      <c r="I36" s="376"/>
      <c r="J36" t="str">
        <f t="shared" si="2"/>
        <v>Digital</v>
      </c>
      <c r="K36">
        <f>VLOOKUP(G36,Table2[[#All],[Opportunity Name]:[Channel]],12,0)</f>
        <v>34560</v>
      </c>
      <c r="M36" t="b">
        <f t="shared" si="1"/>
        <v>0</v>
      </c>
    </row>
    <row r="37" spans="1:14" ht="15.75" customHeight="1">
      <c r="A37" s="375">
        <v>45961</v>
      </c>
      <c r="B37" s="384" t="s">
        <v>3386</v>
      </c>
      <c r="C37" s="388" t="s">
        <v>4082</v>
      </c>
      <c r="D37" s="384" t="s">
        <v>338</v>
      </c>
      <c r="E37" s="384" t="s">
        <v>4156</v>
      </c>
      <c r="F37" s="389">
        <v>100000</v>
      </c>
      <c r="G37" s="33" t="s">
        <v>4083</v>
      </c>
      <c r="H37">
        <v>1</v>
      </c>
      <c r="I37" s="376"/>
      <c r="J37" t="str">
        <f t="shared" si="2"/>
        <v>Events</v>
      </c>
      <c r="K37">
        <f>VLOOKUP(G37,Table2[[#All],[Opportunity Name]:[Channel]],12,0)</f>
        <v>100000</v>
      </c>
      <c r="M37" t="b">
        <f t="shared" si="1"/>
        <v>0</v>
      </c>
      <c r="N37" t="s">
        <v>4136</v>
      </c>
    </row>
    <row r="38" spans="1:14" ht="15.75" customHeight="1">
      <c r="A38" s="375">
        <v>45973</v>
      </c>
      <c r="B38" s="384" t="s">
        <v>3390</v>
      </c>
      <c r="C38" s="388" t="s">
        <v>1589</v>
      </c>
      <c r="D38" s="384" t="s">
        <v>1462</v>
      </c>
      <c r="E38" s="384" t="s">
        <v>4170</v>
      </c>
      <c r="F38" s="389">
        <v>775600</v>
      </c>
      <c r="G38" s="33" t="s">
        <v>1589</v>
      </c>
      <c r="H38">
        <v>3</v>
      </c>
      <c r="I38" s="387" t="s">
        <v>4133</v>
      </c>
      <c r="J38" t="str">
        <f t="shared" si="2"/>
        <v>Events</v>
      </c>
      <c r="K38">
        <f>VLOOKUP(G38,Table2[[#All],[Opportunity Name]:[Channel]],12,0)</f>
        <v>201015.6</v>
      </c>
      <c r="M38" t="b">
        <f t="shared" si="1"/>
        <v>0</v>
      </c>
    </row>
    <row r="39" spans="1:14" ht="15.75" customHeight="1">
      <c r="A39" s="375">
        <v>45978</v>
      </c>
      <c r="B39" s="384" t="s">
        <v>3350</v>
      </c>
      <c r="C39" s="388" t="s">
        <v>377</v>
      </c>
      <c r="D39" s="384" t="s">
        <v>1462</v>
      </c>
      <c r="E39" s="384" t="s">
        <v>4171</v>
      </c>
      <c r="F39" s="389">
        <v>640000</v>
      </c>
      <c r="G39" s="33" t="s">
        <v>2492</v>
      </c>
      <c r="H39">
        <v>3</v>
      </c>
      <c r="I39" s="387" t="s">
        <v>4133</v>
      </c>
      <c r="J39" t="str">
        <f t="shared" si="2"/>
        <v>Events</v>
      </c>
      <c r="K39">
        <f>VLOOKUP(G39,Table2[[#All],[Opportunity Name]:[Channel]],12,0)</f>
        <v>50000</v>
      </c>
      <c r="M39" t="b">
        <f t="shared" si="1"/>
        <v>0</v>
      </c>
    </row>
    <row r="40" spans="1:14" ht="15.75" customHeight="1">
      <c r="A40" s="375">
        <v>46051</v>
      </c>
      <c r="B40" s="384" t="s">
        <v>3386</v>
      </c>
      <c r="C40" s="388" t="s">
        <v>4172</v>
      </c>
      <c r="D40" s="384" t="s">
        <v>338</v>
      </c>
      <c r="E40" s="384" t="s">
        <v>4157</v>
      </c>
      <c r="F40" s="448">
        <v>366000</v>
      </c>
      <c r="G40" s="33" t="s">
        <v>4096</v>
      </c>
      <c r="H40">
        <v>1</v>
      </c>
      <c r="I40" s="376"/>
      <c r="J40" t="str">
        <f t="shared" si="2"/>
        <v>Events</v>
      </c>
      <c r="K40">
        <f>VLOOKUP(G40,Table2[[#All],[Opportunity Name]:[Channel]],12,0)</f>
        <v>306000</v>
      </c>
      <c r="M40" t="b">
        <f t="shared" si="1"/>
        <v>0</v>
      </c>
    </row>
    <row r="41" spans="1:14" ht="15.75" customHeight="1">
      <c r="A41" s="393" t="s">
        <v>4173</v>
      </c>
      <c r="B41" s="370" t="s">
        <v>3379</v>
      </c>
      <c r="C41" t="s">
        <v>592</v>
      </c>
      <c r="D41" t="s">
        <v>591</v>
      </c>
      <c r="E41" s="394" t="s">
        <v>4174</v>
      </c>
      <c r="F41" s="450">
        <v>214000</v>
      </c>
      <c r="G41" s="398" t="s">
        <v>3110</v>
      </c>
      <c r="H41" s="370">
        <v>45731</v>
      </c>
      <c r="I41" t="s">
        <v>4139</v>
      </c>
      <c r="J41" t="str">
        <f t="shared" si="2"/>
        <v>Digital</v>
      </c>
      <c r="K41">
        <f>VLOOKUP(G41,Table2[[#All],[Opportunity Name]:[Channel]],12,0)</f>
        <v>73000</v>
      </c>
      <c r="M41" t="b">
        <f t="shared" si="1"/>
        <v>0</v>
      </c>
      <c r="N41" t="s">
        <v>4175</v>
      </c>
    </row>
    <row r="42" spans="1:14" ht="15.75" customHeight="1">
      <c r="A42" s="370">
        <v>45420</v>
      </c>
      <c r="B42" s="370" t="s">
        <v>3374</v>
      </c>
      <c r="C42" t="s">
        <v>516</v>
      </c>
      <c r="D42" t="s">
        <v>526</v>
      </c>
      <c r="E42" t="s">
        <v>4176</v>
      </c>
      <c r="F42" s="396">
        <v>686000</v>
      </c>
      <c r="G42" s="33" t="s">
        <v>525</v>
      </c>
      <c r="H42" s="370">
        <v>45694</v>
      </c>
      <c r="I42" t="s">
        <v>4133</v>
      </c>
      <c r="J42" t="str">
        <f t="shared" si="2"/>
        <v>Digital</v>
      </c>
      <c r="K42">
        <f>VLOOKUP(G42,Table2[[#All],[Opportunity Name]:[Channel]],12,0)</f>
        <v>576000</v>
      </c>
      <c r="M42" t="b">
        <f t="shared" si="1"/>
        <v>0</v>
      </c>
      <c r="N42" t="s">
        <v>4136</v>
      </c>
    </row>
    <row r="43" spans="1:14" ht="15.75" customHeight="1">
      <c r="A43" s="370">
        <v>45597</v>
      </c>
      <c r="B43" s="370" t="s">
        <v>3398</v>
      </c>
      <c r="C43" t="s">
        <v>582</v>
      </c>
      <c r="D43" t="s">
        <v>563</v>
      </c>
      <c r="E43" t="s">
        <v>4177</v>
      </c>
      <c r="F43" s="396">
        <v>50000</v>
      </c>
      <c r="G43" s="454" t="s">
        <v>3185</v>
      </c>
      <c r="H43" s="370">
        <v>45729</v>
      </c>
      <c r="I43" t="s">
        <v>4139</v>
      </c>
      <c r="J43" t="str">
        <f t="shared" si="2"/>
        <v>Digital</v>
      </c>
      <c r="K43">
        <f>VLOOKUP(G43,Table2[[#All],[Opportunity Name]:[Channel]],12,0)</f>
        <v>50000</v>
      </c>
      <c r="M43" t="b">
        <f t="shared" si="1"/>
        <v>0</v>
      </c>
      <c r="N43" t="s">
        <v>4136</v>
      </c>
    </row>
    <row r="44" spans="1:14" ht="15.75" customHeight="1">
      <c r="A44" s="370">
        <v>45686</v>
      </c>
      <c r="B44" t="s">
        <v>3390</v>
      </c>
      <c r="C44" t="s">
        <v>330</v>
      </c>
      <c r="D44" t="s">
        <v>338</v>
      </c>
      <c r="E44" t="s">
        <v>4178</v>
      </c>
      <c r="F44" s="397">
        <v>577600</v>
      </c>
      <c r="G44" s="398" t="s">
        <v>330</v>
      </c>
      <c r="H44" s="370">
        <v>45522</v>
      </c>
      <c r="J44" t="str">
        <f t="shared" si="2"/>
        <v>Digital</v>
      </c>
      <c r="K44">
        <f>VLOOKUP(G44,Table2[[#All],[Opportunity Name]:[Channel]],12,0)</f>
        <v>237600</v>
      </c>
      <c r="M44" t="b">
        <f t="shared" si="1"/>
        <v>0</v>
      </c>
    </row>
    <row r="45" spans="1:14" ht="15.75">
      <c r="A45" s="370">
        <v>45821</v>
      </c>
      <c r="B45" s="370" t="s">
        <v>3405</v>
      </c>
      <c r="C45" t="s">
        <v>3086</v>
      </c>
      <c r="D45" t="s">
        <v>338</v>
      </c>
      <c r="E45" t="s">
        <v>4179</v>
      </c>
      <c r="F45" s="396">
        <v>50000</v>
      </c>
      <c r="G45" s="33" t="s">
        <v>3702</v>
      </c>
      <c r="H45" s="370">
        <v>45721</v>
      </c>
      <c r="J45" t="str">
        <f t="shared" si="2"/>
        <v>Digital</v>
      </c>
      <c r="K45">
        <f>VLOOKUP(G45,Table2[[#All],[Opportunity Name]:[Channel]],12,0)</f>
        <v>50000</v>
      </c>
      <c r="M45" t="b">
        <f t="shared" si="1"/>
        <v>0</v>
      </c>
    </row>
    <row r="46" spans="1:14" ht="15.75">
      <c r="A46" s="370">
        <v>45838</v>
      </c>
      <c r="B46" s="370" t="s">
        <v>3405</v>
      </c>
      <c r="C46" t="s">
        <v>3086</v>
      </c>
      <c r="D46" t="s">
        <v>338</v>
      </c>
      <c r="E46" t="s">
        <v>4179</v>
      </c>
      <c r="F46" s="396">
        <v>182400</v>
      </c>
      <c r="G46" s="33" t="s">
        <v>3679</v>
      </c>
      <c r="H46" s="370">
        <v>45721</v>
      </c>
      <c r="J46" t="str">
        <f t="shared" si="2"/>
        <v>Digital</v>
      </c>
      <c r="K46">
        <f>VLOOKUP(G46,Table2[[#All],[Opportunity Name]:[Channel]],12,0)</f>
        <v>182400</v>
      </c>
      <c r="M46" t="b">
        <f t="shared" si="1"/>
        <v>0</v>
      </c>
    </row>
  </sheetData>
  <autoFilter ref="A1:M46" xr:uid="{00000000-0001-0000-0800-000000000000}"/>
  <hyperlinks>
    <hyperlink ref="G7" r:id="rId1" display="https://intradiem2023.lightning.force.com/lightning/r/006V500000B6SmTIAV/view" xr:uid="{C0C49566-C987-49CB-B608-70A3B1762A3F}"/>
    <hyperlink ref="G8" r:id="rId2" display="https://intradiem2023.lightning.force.com/lightning/r/006V500000CJ5DCIA1/view" xr:uid="{F9A150E9-F8D0-473C-8186-84261FD7C7A6}"/>
    <hyperlink ref="G26" r:id="rId3" xr:uid="{82AC83AC-A900-4B83-83A9-ABEB97967040}"/>
    <hyperlink ref="G9" r:id="rId4" xr:uid="{68D8FF87-AE8D-4C0F-937B-BFBEA9AC1C91}"/>
    <hyperlink ref="G27" r:id="rId5" display="https://intradiem2023.lightning.force.com/lightning/r/006V500000BjNoXIAV/view" xr:uid="{8CD49AF1-AFFD-4E69-9FA1-7148140D51EA}"/>
    <hyperlink ref="G10" r:id="rId6" xr:uid="{0C92A0AF-E56E-4C77-A702-8BC84A26C3C3}"/>
    <hyperlink ref="G11" r:id="rId7" xr:uid="{FE77825C-D82A-4081-AB17-B77246E7B1FB}"/>
    <hyperlink ref="G28" r:id="rId8" xr:uid="{2042F369-99FF-4810-BDBA-0685AD976929}"/>
    <hyperlink ref="G19" r:id="rId9" xr:uid="{BFD9062D-DDBE-4A3C-A239-DD50C9B9D6E9}"/>
    <hyperlink ref="G20" r:id="rId10" xr:uid="{87BAB03A-999B-4AF5-82D4-42B109A0F073}"/>
    <hyperlink ref="G29" r:id="rId11" xr:uid="{D69552DE-6D78-483C-A257-8543B00D97F0}"/>
    <hyperlink ref="G6" r:id="rId12" xr:uid="{389596CC-1C13-4AA5-B538-5A9BA37BFF59}"/>
    <hyperlink ref="G13" r:id="rId13" xr:uid="{B30FF341-0D05-4D15-BB8D-95ED7086FF56}"/>
    <hyperlink ref="G12" r:id="rId14" xr:uid="{0EE8B16B-D851-4489-A793-8E45B17E3981}"/>
    <hyperlink ref="G21" r:id="rId15" display="Teleperformance" xr:uid="{3CF7BFB5-6A5B-48D7-908F-84883D296145}"/>
    <hyperlink ref="G31" r:id="rId16" xr:uid="{0AE470DD-B127-44FB-9197-A44A745BACA2}"/>
    <hyperlink ref="G33" r:id="rId17" xr:uid="{BA08C4BD-8192-4588-8348-1F2AD5C6562E}"/>
    <hyperlink ref="G25" r:id="rId18" xr:uid="{1E28E421-3A54-4601-AF20-706E20E5F756}"/>
    <hyperlink ref="G2" r:id="rId19" display="https://intradiem2023.lightning.force.com/lightning/r/006V50000052eDAIAY/view" xr:uid="{4093D357-079D-4AB3-B325-347475328433}"/>
    <hyperlink ref="G3" r:id="rId20" xr:uid="{B12C3F21-3D27-42A0-B7A6-1F43862282C2}"/>
    <hyperlink ref="G34" r:id="rId21" xr:uid="{60720AA2-0728-4DB0-8E57-4E1AF851DE78}"/>
    <hyperlink ref="G22" r:id="rId22" xr:uid="{72C39B0C-1297-41A1-B0AB-80E1C98244FF}"/>
    <hyperlink ref="G14" r:id="rId23" xr:uid="{DFDDE56D-8801-4E5E-94A9-1EFE304531DD}"/>
    <hyperlink ref="G18" r:id="rId24" display="https://intradiem2023.lightning.force.com/lightning/r/006V500000Bc6PRIAZ/view" xr:uid="{577E55DA-0FC7-4F2F-A306-194A8E022B53}"/>
    <hyperlink ref="G23" r:id="rId25" xr:uid="{B68DFE32-A9FE-4EBE-BB41-0AE60C0B17A6}"/>
    <hyperlink ref="G15" r:id="rId26" xr:uid="{7D716DA5-D4DA-44B1-A739-653C6AAFBBBA}"/>
    <hyperlink ref="G30" r:id="rId27" xr:uid="{E7009900-89A7-4E2D-B2B3-F191EB71B8D3}"/>
    <hyperlink ref="G32" r:id="rId28" xr:uid="{41124EAE-EC3D-48E3-A0AA-3ECED6500D78}"/>
    <hyperlink ref="G36" r:id="rId29" xr:uid="{BCF0E447-167F-4F88-B174-2375C81D8B17}"/>
    <hyperlink ref="G37" r:id="rId30" xr:uid="{9233C210-36E7-4EC4-A453-AF427CDE506B}"/>
    <hyperlink ref="G38" r:id="rId31" xr:uid="{62B8B6D8-948D-4433-B313-5752803167DE}"/>
    <hyperlink ref="G39" r:id="rId32" xr:uid="{4926F5CE-E64B-4819-870C-DAFAC9CC01C2}"/>
    <hyperlink ref="G24" r:id="rId33" xr:uid="{E99CB127-E087-45A9-B87E-569E0D35BB63}"/>
    <hyperlink ref="G40" r:id="rId34" xr:uid="{8BBF18C8-BEB0-46ED-9FF6-721CC0B0466E}"/>
    <hyperlink ref="G16" r:id="rId35" xr:uid="{22F3390F-7E0D-483D-A988-4CD2D33E9EE9}"/>
    <hyperlink ref="G17" r:id="rId36" display="_x000a_Alorica - Front Office" xr:uid="{1BEC88DA-DC61-453B-A614-9DBF03275E5F}"/>
    <hyperlink ref="G42" r:id="rId37" display="https://intradiem2023.lightning.force.com/lightning/r/006V50000052Z8MIAU/view" xr:uid="{4D4A420A-C590-4CB3-BF77-4B1F4FCAAA30}"/>
    <hyperlink ref="G4" r:id="rId38" xr:uid="{8F841666-4457-49E2-9467-16F92DFF9FB5}"/>
    <hyperlink ref="G43" r:id="rId39" xr:uid="{F2837EF3-3FD2-4680-8A19-7D435B070104}"/>
    <hyperlink ref="G45" r:id="rId40" xr:uid="{A56FBAE4-7778-489E-A466-2C947479AFDE}"/>
    <hyperlink ref="G46" r:id="rId41" xr:uid="{294A61C0-AB90-44A5-8108-FFE7975F4741}"/>
    <hyperlink ref="G5" r:id="rId42" xr:uid="{B04B5583-87B1-4A77-83E3-1EB86F0B5D02}"/>
    <hyperlink ref="G41" r:id="rId43" xr:uid="{F1BFA947-1890-429E-986C-9A1F3160B675}"/>
  </hyperlinks>
  <pageMargins left="0.7" right="0.7" top="0.75" bottom="0.75" header="0.3" footer="0.3"/>
  <legacyDrawing r:id="rId4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W250"/>
  <sheetViews>
    <sheetView topLeftCell="O1" workbookViewId="0">
      <selection activeCell="R5" sqref="R5"/>
    </sheetView>
  </sheetViews>
  <sheetFormatPr defaultColWidth="8.7109375" defaultRowHeight="15"/>
  <cols>
    <col min="1" max="1" width="24.28515625" customWidth="1"/>
    <col min="2" max="2" width="34" bestFit="1" customWidth="1"/>
    <col min="3" max="3" width="46.42578125" bestFit="1" customWidth="1"/>
    <col min="4" max="4" width="28.42578125" bestFit="1" customWidth="1"/>
    <col min="5" max="5" width="16.42578125" customWidth="1"/>
    <col min="6" max="6" width="14.28515625" customWidth="1"/>
    <col min="7" max="7" width="30" bestFit="1" customWidth="1"/>
    <col min="8" max="8" width="20.42578125" bestFit="1" customWidth="1"/>
    <col min="9" max="9" width="21" bestFit="1" customWidth="1"/>
    <col min="10" max="10" width="17.42578125" bestFit="1" customWidth="1"/>
    <col min="11" max="11" width="9.7109375" customWidth="1"/>
    <col min="12" max="12" width="12.7109375" customWidth="1"/>
    <col min="13" max="13" width="17.42578125" customWidth="1"/>
    <col min="14" max="14" width="41.28515625" bestFit="1" customWidth="1"/>
    <col min="15" max="15" width="18.28515625" customWidth="1"/>
    <col min="16" max="16" width="21" customWidth="1"/>
    <col min="17" max="17" width="34.28515625" customWidth="1"/>
    <col min="18" max="20" width="33.7109375" customWidth="1"/>
    <col min="21" max="21" width="27" bestFit="1" customWidth="1"/>
    <col min="22" max="22" width="14.42578125" style="422" bestFit="1" customWidth="1"/>
    <col min="23" max="23" width="21.42578125" customWidth="1"/>
  </cols>
  <sheetData>
    <row r="1" spans="1:23">
      <c r="A1" t="s">
        <v>4180</v>
      </c>
      <c r="B1" s="33" t="s">
        <v>4181</v>
      </c>
    </row>
    <row r="2" spans="1:23">
      <c r="A2" t="s">
        <v>4182</v>
      </c>
      <c r="B2" t="s">
        <v>4183</v>
      </c>
      <c r="C2" t="s">
        <v>4184</v>
      </c>
      <c r="D2" t="s">
        <v>186</v>
      </c>
      <c r="E2" t="s">
        <v>4185</v>
      </c>
      <c r="F2" t="s">
        <v>4186</v>
      </c>
      <c r="G2" t="s">
        <v>4187</v>
      </c>
      <c r="H2" t="s">
        <v>4188</v>
      </c>
      <c r="I2" t="s">
        <v>4189</v>
      </c>
      <c r="J2" t="s">
        <v>189</v>
      </c>
      <c r="K2" t="s">
        <v>4190</v>
      </c>
      <c r="L2" t="s">
        <v>4191</v>
      </c>
      <c r="M2" t="s">
        <v>4192</v>
      </c>
      <c r="N2" t="s">
        <v>4193</v>
      </c>
      <c r="O2" t="s">
        <v>4194</v>
      </c>
      <c r="P2" t="s">
        <v>4195</v>
      </c>
      <c r="Q2" t="s">
        <v>4196</v>
      </c>
      <c r="R2" t="s">
        <v>4197</v>
      </c>
      <c r="S2" t="s">
        <v>4198</v>
      </c>
      <c r="T2" t="s">
        <v>4199</v>
      </c>
      <c r="U2" t="s">
        <v>4200</v>
      </c>
      <c r="V2" s="422" t="s">
        <v>4201</v>
      </c>
      <c r="W2" t="s">
        <v>4202</v>
      </c>
    </row>
    <row r="3" spans="1:23">
      <c r="A3" t="s">
        <v>4203</v>
      </c>
      <c r="B3" t="s">
        <v>4204</v>
      </c>
      <c r="D3" t="s">
        <v>4205</v>
      </c>
      <c r="G3" t="s">
        <v>4206</v>
      </c>
      <c r="H3" t="s">
        <v>4207</v>
      </c>
      <c r="I3" t="s">
        <v>4208</v>
      </c>
      <c r="J3" t="s">
        <v>4209</v>
      </c>
      <c r="K3">
        <v>3</v>
      </c>
      <c r="L3">
        <v>0</v>
      </c>
      <c r="Q3" s="422">
        <v>46055</v>
      </c>
      <c r="U3" t="s">
        <v>155</v>
      </c>
      <c r="V3" s="422">
        <v>45658</v>
      </c>
      <c r="W3" s="422" t="str">
        <f t="shared" ref="W3:W66" si="0">IF(
OR(D3="Scheduling 1st customer meet",D3="Delivered 12 Minute Meeting",D3="Scheduling 2nd customer meet",D3="Converted to opportunity",D3="Delivered 12 Minute Meeting",D3="Delivered 40 Minute Meeting"),
IF(ISNUMBER(R3),R3,IF(ISNUMBER(V3),V3,"")),
""
)</f>
        <v/>
      </c>
    </row>
    <row r="4" spans="1:23">
      <c r="A4" t="s">
        <v>4210</v>
      </c>
      <c r="B4" t="s">
        <v>4204</v>
      </c>
      <c r="C4" t="s">
        <v>4211</v>
      </c>
      <c r="D4" t="s">
        <v>4205</v>
      </c>
      <c r="G4" t="s">
        <v>4212</v>
      </c>
      <c r="H4" t="s">
        <v>3374</v>
      </c>
      <c r="I4" t="s">
        <v>4213</v>
      </c>
      <c r="J4" t="s">
        <v>4209</v>
      </c>
      <c r="L4">
        <v>0</v>
      </c>
      <c r="Q4" s="422">
        <v>46052</v>
      </c>
      <c r="U4" t="s">
        <v>155</v>
      </c>
      <c r="V4" s="422">
        <v>45658</v>
      </c>
      <c r="W4" s="422" t="str">
        <f t="shared" si="0"/>
        <v/>
      </c>
    </row>
    <row r="5" spans="1:23">
      <c r="A5" t="s">
        <v>4214</v>
      </c>
      <c r="B5" t="s">
        <v>4215</v>
      </c>
      <c r="D5" t="s">
        <v>4216</v>
      </c>
      <c r="E5">
        <v>162000</v>
      </c>
      <c r="F5">
        <v>900</v>
      </c>
      <c r="H5" t="s">
        <v>3350</v>
      </c>
      <c r="I5" t="s">
        <v>4213</v>
      </c>
      <c r="J5" t="s">
        <v>4209</v>
      </c>
      <c r="K5">
        <v>2</v>
      </c>
      <c r="L5">
        <v>0</v>
      </c>
      <c r="Q5" s="422">
        <v>46055</v>
      </c>
      <c r="U5" t="s">
        <v>155</v>
      </c>
      <c r="V5" s="422">
        <v>45839</v>
      </c>
      <c r="W5" s="422" t="str">
        <f t="shared" si="0"/>
        <v/>
      </c>
    </row>
    <row r="6" spans="1:23">
      <c r="A6" t="s">
        <v>4217</v>
      </c>
      <c r="B6" t="s">
        <v>4215</v>
      </c>
      <c r="D6" t="s">
        <v>4218</v>
      </c>
      <c r="G6" t="s">
        <v>4219</v>
      </c>
      <c r="H6" t="s">
        <v>3350</v>
      </c>
      <c r="I6" t="s">
        <v>4220</v>
      </c>
      <c r="J6" t="s">
        <v>4209</v>
      </c>
      <c r="K6">
        <v>3</v>
      </c>
      <c r="L6">
        <v>0</v>
      </c>
      <c r="Q6" s="422">
        <v>46052</v>
      </c>
      <c r="U6" t="s">
        <v>155</v>
      </c>
      <c r="V6" s="422">
        <v>45658</v>
      </c>
      <c r="W6" s="422">
        <f t="shared" si="0"/>
        <v>45658</v>
      </c>
    </row>
    <row r="7" spans="1:23">
      <c r="A7" t="s">
        <v>4221</v>
      </c>
      <c r="B7" t="s">
        <v>4215</v>
      </c>
      <c r="C7" t="s">
        <v>3485</v>
      </c>
      <c r="D7" t="s">
        <v>4222</v>
      </c>
      <c r="E7">
        <v>300960</v>
      </c>
      <c r="F7">
        <v>1100</v>
      </c>
      <c r="G7" t="s">
        <v>4223</v>
      </c>
      <c r="H7" t="s">
        <v>3350</v>
      </c>
      <c r="I7" t="s">
        <v>4213</v>
      </c>
      <c r="J7" t="s">
        <v>4209</v>
      </c>
      <c r="K7">
        <v>1</v>
      </c>
      <c r="L7">
        <v>1</v>
      </c>
      <c r="M7" s="422">
        <v>46107</v>
      </c>
      <c r="N7" t="s">
        <v>3486</v>
      </c>
      <c r="P7" t="s">
        <v>4224</v>
      </c>
      <c r="Q7" s="422">
        <v>46055</v>
      </c>
      <c r="R7" s="422">
        <v>46043</v>
      </c>
      <c r="S7" s="422">
        <v>46107</v>
      </c>
      <c r="T7" s="422">
        <v>46068</v>
      </c>
      <c r="U7" t="s">
        <v>155</v>
      </c>
      <c r="V7" s="422">
        <v>46055</v>
      </c>
      <c r="W7" s="422">
        <f t="shared" si="0"/>
        <v>46043</v>
      </c>
    </row>
    <row r="8" spans="1:23">
      <c r="A8" t="s">
        <v>4225</v>
      </c>
      <c r="B8" t="s">
        <v>4215</v>
      </c>
      <c r="C8" t="s">
        <v>4226</v>
      </c>
      <c r="D8" t="s">
        <v>4218</v>
      </c>
      <c r="H8" t="s">
        <v>3350</v>
      </c>
      <c r="I8" t="s">
        <v>4220</v>
      </c>
      <c r="J8" t="s">
        <v>4209</v>
      </c>
      <c r="K8">
        <v>3</v>
      </c>
      <c r="L8">
        <v>0</v>
      </c>
      <c r="Q8" s="422">
        <v>46052</v>
      </c>
      <c r="R8" s="422">
        <v>46068</v>
      </c>
      <c r="U8" t="s">
        <v>155</v>
      </c>
      <c r="V8" s="422">
        <v>45658</v>
      </c>
      <c r="W8" s="422">
        <f t="shared" si="0"/>
        <v>46068</v>
      </c>
    </row>
    <row r="9" spans="1:23">
      <c r="A9" t="s">
        <v>4227</v>
      </c>
      <c r="B9" t="s">
        <v>4215</v>
      </c>
      <c r="C9" t="s">
        <v>4228</v>
      </c>
      <c r="D9" t="s">
        <v>4218</v>
      </c>
      <c r="G9" t="s">
        <v>4206</v>
      </c>
      <c r="H9" t="s">
        <v>3350</v>
      </c>
      <c r="I9" t="s">
        <v>4220</v>
      </c>
      <c r="J9" t="s">
        <v>4209</v>
      </c>
      <c r="K9">
        <v>3</v>
      </c>
      <c r="L9">
        <v>0</v>
      </c>
      <c r="Q9" s="422">
        <v>46055</v>
      </c>
      <c r="R9" s="422">
        <v>46068</v>
      </c>
      <c r="U9" t="s">
        <v>155</v>
      </c>
      <c r="V9" s="422">
        <v>45658</v>
      </c>
      <c r="W9" s="422">
        <f t="shared" si="0"/>
        <v>46068</v>
      </c>
    </row>
    <row r="10" spans="1:23">
      <c r="A10" t="s">
        <v>4229</v>
      </c>
      <c r="B10" t="s">
        <v>4215</v>
      </c>
      <c r="C10" t="s">
        <v>4230</v>
      </c>
      <c r="D10" t="s">
        <v>4216</v>
      </c>
      <c r="E10">
        <v>180000</v>
      </c>
      <c r="F10">
        <v>1000</v>
      </c>
      <c r="H10" t="s">
        <v>3350</v>
      </c>
      <c r="I10" t="s">
        <v>4213</v>
      </c>
      <c r="J10" t="s">
        <v>4209</v>
      </c>
      <c r="K10">
        <v>2</v>
      </c>
      <c r="L10">
        <v>0</v>
      </c>
      <c r="Q10" s="422">
        <v>46055</v>
      </c>
      <c r="T10" s="422">
        <v>46068</v>
      </c>
      <c r="U10" t="s">
        <v>155</v>
      </c>
      <c r="V10" s="422">
        <v>46055</v>
      </c>
      <c r="W10" s="422" t="str">
        <f t="shared" si="0"/>
        <v/>
      </c>
    </row>
    <row r="11" spans="1:23">
      <c r="A11" t="s">
        <v>4231</v>
      </c>
      <c r="B11" t="s">
        <v>4215</v>
      </c>
      <c r="C11" t="s">
        <v>4232</v>
      </c>
      <c r="D11" t="s">
        <v>4218</v>
      </c>
      <c r="G11" t="s">
        <v>4233</v>
      </c>
      <c r="H11" t="s">
        <v>3350</v>
      </c>
      <c r="I11" t="s">
        <v>4220</v>
      </c>
      <c r="J11" t="s">
        <v>4209</v>
      </c>
      <c r="K11">
        <v>3</v>
      </c>
      <c r="L11">
        <v>0</v>
      </c>
      <c r="Q11" s="422">
        <v>46052</v>
      </c>
      <c r="R11" s="422">
        <v>46066</v>
      </c>
      <c r="U11" t="s">
        <v>155</v>
      </c>
      <c r="V11" s="422">
        <v>45658</v>
      </c>
      <c r="W11" s="422">
        <f t="shared" si="0"/>
        <v>46066</v>
      </c>
    </row>
    <row r="12" spans="1:23">
      <c r="A12" t="s">
        <v>4234</v>
      </c>
      <c r="B12" t="s">
        <v>4215</v>
      </c>
      <c r="C12" t="s">
        <v>4235</v>
      </c>
      <c r="D12" t="s">
        <v>4216</v>
      </c>
      <c r="E12">
        <v>72000</v>
      </c>
      <c r="F12">
        <v>400</v>
      </c>
      <c r="H12" t="s">
        <v>3350</v>
      </c>
      <c r="I12" t="s">
        <v>4213</v>
      </c>
      <c r="J12" t="s">
        <v>4209</v>
      </c>
      <c r="K12">
        <v>2</v>
      </c>
      <c r="L12">
        <v>0</v>
      </c>
      <c r="Q12" s="422">
        <v>46055</v>
      </c>
      <c r="U12" t="s">
        <v>155</v>
      </c>
      <c r="V12" s="422">
        <v>45839</v>
      </c>
      <c r="W12" s="422" t="str">
        <f t="shared" si="0"/>
        <v/>
      </c>
    </row>
    <row r="13" spans="1:23">
      <c r="A13" t="s">
        <v>4236</v>
      </c>
      <c r="B13" t="s">
        <v>4215</v>
      </c>
      <c r="C13" t="s">
        <v>4237</v>
      </c>
      <c r="D13" t="s">
        <v>4218</v>
      </c>
      <c r="G13" t="s">
        <v>4233</v>
      </c>
      <c r="H13" t="s">
        <v>3350</v>
      </c>
      <c r="I13" t="s">
        <v>4220</v>
      </c>
      <c r="J13" t="s">
        <v>4209</v>
      </c>
      <c r="K13">
        <v>3</v>
      </c>
      <c r="L13">
        <v>0</v>
      </c>
      <c r="Q13" s="422">
        <v>46052</v>
      </c>
      <c r="U13" t="s">
        <v>155</v>
      </c>
      <c r="V13" s="422">
        <v>45658</v>
      </c>
      <c r="W13" s="422">
        <f t="shared" si="0"/>
        <v>45658</v>
      </c>
    </row>
    <row r="14" spans="1:23">
      <c r="A14" t="s">
        <v>4238</v>
      </c>
      <c r="B14" t="s">
        <v>4215</v>
      </c>
      <c r="C14" t="s">
        <v>2289</v>
      </c>
      <c r="D14" t="s">
        <v>4216</v>
      </c>
      <c r="E14">
        <v>117000</v>
      </c>
      <c r="F14">
        <v>650</v>
      </c>
      <c r="G14" t="s">
        <v>4219</v>
      </c>
      <c r="H14" t="s">
        <v>3350</v>
      </c>
      <c r="I14" t="s">
        <v>4213</v>
      </c>
      <c r="J14" t="s">
        <v>4209</v>
      </c>
      <c r="K14">
        <v>2</v>
      </c>
      <c r="L14">
        <v>0</v>
      </c>
      <c r="Q14" s="422">
        <v>46052</v>
      </c>
      <c r="U14" t="s">
        <v>155</v>
      </c>
      <c r="V14" s="422">
        <v>45839</v>
      </c>
      <c r="W14" s="422" t="str">
        <f t="shared" si="0"/>
        <v/>
      </c>
    </row>
    <row r="15" spans="1:23">
      <c r="A15" t="s">
        <v>4239</v>
      </c>
      <c r="B15" t="s">
        <v>4215</v>
      </c>
      <c r="C15" t="s">
        <v>1552</v>
      </c>
      <c r="D15" t="s">
        <v>4218</v>
      </c>
      <c r="G15" t="s">
        <v>4233</v>
      </c>
      <c r="H15" t="s">
        <v>3350</v>
      </c>
      <c r="I15" t="s">
        <v>4220</v>
      </c>
      <c r="J15" t="s">
        <v>4209</v>
      </c>
      <c r="K15">
        <v>3</v>
      </c>
      <c r="L15">
        <v>0</v>
      </c>
      <c r="Q15" s="422">
        <v>46052</v>
      </c>
      <c r="U15" t="s">
        <v>155</v>
      </c>
      <c r="V15" s="422">
        <v>45658</v>
      </c>
      <c r="W15" s="422">
        <f t="shared" si="0"/>
        <v>45658</v>
      </c>
    </row>
    <row r="16" spans="1:23">
      <c r="A16" t="s">
        <v>4240</v>
      </c>
      <c r="B16" t="s">
        <v>4215</v>
      </c>
      <c r="C16" t="s">
        <v>3534</v>
      </c>
      <c r="D16" t="s">
        <v>4241</v>
      </c>
      <c r="E16">
        <v>180000</v>
      </c>
      <c r="F16">
        <v>1000</v>
      </c>
      <c r="G16" t="s">
        <v>4219</v>
      </c>
      <c r="H16" t="s">
        <v>3350</v>
      </c>
      <c r="I16" t="s">
        <v>4220</v>
      </c>
      <c r="J16" t="s">
        <v>4209</v>
      </c>
      <c r="K16">
        <v>2</v>
      </c>
      <c r="L16">
        <v>0</v>
      </c>
      <c r="Q16" s="422">
        <v>46052</v>
      </c>
      <c r="U16" t="s">
        <v>155</v>
      </c>
      <c r="V16" s="422">
        <v>45839</v>
      </c>
      <c r="W16" s="422" t="str">
        <f t="shared" si="0"/>
        <v/>
      </c>
    </row>
    <row r="17" spans="1:23">
      <c r="A17" t="s">
        <v>4242</v>
      </c>
      <c r="B17" t="s">
        <v>4215</v>
      </c>
      <c r="C17" t="s">
        <v>4243</v>
      </c>
      <c r="D17" t="s">
        <v>4218</v>
      </c>
      <c r="E17">
        <v>540000</v>
      </c>
      <c r="F17">
        <v>3000</v>
      </c>
      <c r="H17" t="s">
        <v>3350</v>
      </c>
      <c r="I17" t="s">
        <v>4213</v>
      </c>
      <c r="J17" t="s">
        <v>4209</v>
      </c>
      <c r="K17">
        <v>1</v>
      </c>
      <c r="L17">
        <v>0</v>
      </c>
      <c r="Q17" s="422">
        <v>46052</v>
      </c>
      <c r="U17" t="s">
        <v>155</v>
      </c>
      <c r="V17" s="422">
        <v>45839</v>
      </c>
      <c r="W17" s="422">
        <f t="shared" si="0"/>
        <v>45839</v>
      </c>
    </row>
    <row r="18" spans="1:23">
      <c r="A18" t="s">
        <v>4244</v>
      </c>
      <c r="B18" t="s">
        <v>4245</v>
      </c>
      <c r="C18" t="s">
        <v>4246</v>
      </c>
      <c r="D18" t="s">
        <v>4205</v>
      </c>
      <c r="E18">
        <v>72000</v>
      </c>
      <c r="F18">
        <v>400</v>
      </c>
      <c r="G18" t="s">
        <v>4247</v>
      </c>
      <c r="H18" t="s">
        <v>3390</v>
      </c>
      <c r="I18" t="s">
        <v>4213</v>
      </c>
      <c r="J18" t="s">
        <v>4209</v>
      </c>
      <c r="K18">
        <v>1</v>
      </c>
      <c r="L18">
        <v>0</v>
      </c>
      <c r="Q18" s="422">
        <v>46052</v>
      </c>
      <c r="U18" t="s">
        <v>155</v>
      </c>
      <c r="V18" s="422">
        <v>45839</v>
      </c>
      <c r="W18" s="422" t="str">
        <f t="shared" si="0"/>
        <v/>
      </c>
    </row>
    <row r="19" spans="1:23">
      <c r="A19" t="s">
        <v>4248</v>
      </c>
      <c r="B19" t="s">
        <v>4245</v>
      </c>
      <c r="C19" t="s">
        <v>4249</v>
      </c>
      <c r="D19" t="s">
        <v>4205</v>
      </c>
      <c r="G19" t="s">
        <v>4212</v>
      </c>
      <c r="H19" t="s">
        <v>3390</v>
      </c>
      <c r="I19" t="s">
        <v>4220</v>
      </c>
      <c r="J19" t="s">
        <v>4209</v>
      </c>
      <c r="K19">
        <v>3</v>
      </c>
      <c r="L19">
        <v>0</v>
      </c>
      <c r="Q19" s="422">
        <v>46052</v>
      </c>
      <c r="U19" t="s">
        <v>155</v>
      </c>
      <c r="V19" s="422">
        <v>46052</v>
      </c>
      <c r="W19" s="422" t="str">
        <f t="shared" si="0"/>
        <v/>
      </c>
    </row>
    <row r="20" spans="1:23">
      <c r="A20" t="s">
        <v>4250</v>
      </c>
      <c r="B20" t="s">
        <v>4204</v>
      </c>
      <c r="C20" t="s">
        <v>4251</v>
      </c>
      <c r="D20" t="s">
        <v>4205</v>
      </c>
      <c r="G20" t="s">
        <v>4212</v>
      </c>
      <c r="H20" t="s">
        <v>3390</v>
      </c>
      <c r="I20" t="s">
        <v>4213</v>
      </c>
      <c r="J20" t="s">
        <v>4209</v>
      </c>
      <c r="K20">
        <v>3</v>
      </c>
      <c r="L20">
        <v>0</v>
      </c>
      <c r="Q20" s="422">
        <v>46052</v>
      </c>
      <c r="U20" t="s">
        <v>155</v>
      </c>
      <c r="V20" s="422">
        <v>45658</v>
      </c>
      <c r="W20" s="422" t="str">
        <f t="shared" si="0"/>
        <v/>
      </c>
    </row>
    <row r="21" spans="1:23">
      <c r="A21" t="s">
        <v>4252</v>
      </c>
      <c r="B21" t="s">
        <v>4245</v>
      </c>
      <c r="C21" t="s">
        <v>4253</v>
      </c>
      <c r="D21" t="s">
        <v>4218</v>
      </c>
      <c r="E21">
        <v>410400</v>
      </c>
      <c r="F21">
        <v>1200</v>
      </c>
      <c r="G21" t="s">
        <v>4254</v>
      </c>
      <c r="H21" t="s">
        <v>3386</v>
      </c>
      <c r="I21" t="s">
        <v>4220</v>
      </c>
      <c r="J21" t="s">
        <v>4209</v>
      </c>
      <c r="K21">
        <v>3</v>
      </c>
      <c r="L21">
        <v>0</v>
      </c>
      <c r="O21" s="422">
        <v>46181</v>
      </c>
      <c r="P21" t="s">
        <v>4224</v>
      </c>
      <c r="Q21" s="422">
        <v>46052</v>
      </c>
      <c r="R21" s="422">
        <v>46066</v>
      </c>
      <c r="T21" s="422">
        <v>45722</v>
      </c>
      <c r="U21" t="s">
        <v>155</v>
      </c>
      <c r="V21" s="422">
        <v>45658</v>
      </c>
      <c r="W21" s="422">
        <f t="shared" si="0"/>
        <v>46066</v>
      </c>
    </row>
    <row r="22" spans="1:23">
      <c r="A22" t="s">
        <v>4255</v>
      </c>
      <c r="B22" t="s">
        <v>4245</v>
      </c>
      <c r="C22" t="s">
        <v>4256</v>
      </c>
      <c r="D22" t="s">
        <v>4205</v>
      </c>
      <c r="F22">
        <v>400</v>
      </c>
      <c r="G22" t="s">
        <v>4247</v>
      </c>
      <c r="I22" t="s">
        <v>4220</v>
      </c>
      <c r="J22" t="s">
        <v>4209</v>
      </c>
      <c r="K22">
        <v>1</v>
      </c>
      <c r="L22">
        <v>0</v>
      </c>
      <c r="O22" s="422">
        <v>46099</v>
      </c>
      <c r="P22" t="s">
        <v>4224</v>
      </c>
      <c r="Q22" s="422">
        <v>46085</v>
      </c>
      <c r="T22" s="422">
        <v>46086</v>
      </c>
      <c r="U22" t="s">
        <v>155</v>
      </c>
      <c r="V22" s="422">
        <v>46085</v>
      </c>
      <c r="W22" s="422" t="str">
        <f t="shared" si="0"/>
        <v/>
      </c>
    </row>
    <row r="23" spans="1:23">
      <c r="A23" t="s">
        <v>4257</v>
      </c>
      <c r="B23" t="s">
        <v>4204</v>
      </c>
      <c r="C23" t="s">
        <v>4258</v>
      </c>
      <c r="D23" t="s">
        <v>4205</v>
      </c>
      <c r="G23" t="s">
        <v>4254</v>
      </c>
      <c r="I23" t="s">
        <v>4208</v>
      </c>
      <c r="J23" t="s">
        <v>4209</v>
      </c>
      <c r="L23">
        <v>0</v>
      </c>
      <c r="Q23" s="422">
        <v>46052</v>
      </c>
      <c r="U23" t="s">
        <v>155</v>
      </c>
      <c r="V23" s="422">
        <v>45658</v>
      </c>
      <c r="W23" s="422" t="str">
        <f t="shared" si="0"/>
        <v/>
      </c>
    </row>
    <row r="24" spans="1:23">
      <c r="A24" t="s">
        <v>4259</v>
      </c>
      <c r="B24" t="s">
        <v>4215</v>
      </c>
      <c r="C24" t="s">
        <v>4260</v>
      </c>
      <c r="D24" t="s">
        <v>4218</v>
      </c>
      <c r="E24">
        <v>1425600</v>
      </c>
      <c r="F24">
        <v>6000</v>
      </c>
      <c r="G24" t="s">
        <v>4261</v>
      </c>
      <c r="J24" t="s">
        <v>4209</v>
      </c>
      <c r="K24">
        <v>3</v>
      </c>
      <c r="L24">
        <v>0</v>
      </c>
      <c r="Q24" s="422">
        <v>46125</v>
      </c>
      <c r="R24" s="422">
        <v>46125</v>
      </c>
      <c r="U24" t="s">
        <v>2174</v>
      </c>
      <c r="V24" s="422">
        <v>46125</v>
      </c>
      <c r="W24" s="422">
        <f t="shared" si="0"/>
        <v>46125</v>
      </c>
    </row>
    <row r="25" spans="1:23">
      <c r="A25" t="s">
        <v>4262</v>
      </c>
      <c r="B25" t="s">
        <v>4245</v>
      </c>
      <c r="C25" t="s">
        <v>1945</v>
      </c>
      <c r="D25" t="s">
        <v>4205</v>
      </c>
      <c r="E25">
        <v>50000</v>
      </c>
      <c r="F25">
        <v>200</v>
      </c>
      <c r="H25" t="s">
        <v>3379</v>
      </c>
      <c r="I25" t="s">
        <v>4220</v>
      </c>
      <c r="J25" t="s">
        <v>4263</v>
      </c>
      <c r="K25">
        <v>1</v>
      </c>
      <c r="L25">
        <v>0</v>
      </c>
      <c r="O25" s="422">
        <v>46170</v>
      </c>
      <c r="P25" t="s">
        <v>4264</v>
      </c>
      <c r="Q25" s="422">
        <v>46073</v>
      </c>
      <c r="R25" s="422">
        <v>46073</v>
      </c>
      <c r="S25" s="422">
        <v>46108</v>
      </c>
      <c r="T25" s="422">
        <v>46073</v>
      </c>
      <c r="U25" t="s">
        <v>4265</v>
      </c>
      <c r="V25" s="422">
        <v>46073</v>
      </c>
      <c r="W25" s="422" t="str">
        <f t="shared" si="0"/>
        <v/>
      </c>
    </row>
    <row r="26" spans="1:23">
      <c r="A26" t="s">
        <v>4266</v>
      </c>
      <c r="B26" t="s">
        <v>4204</v>
      </c>
      <c r="C26" t="s">
        <v>4267</v>
      </c>
      <c r="D26" t="s">
        <v>4205</v>
      </c>
      <c r="G26" t="s">
        <v>4268</v>
      </c>
      <c r="H26" t="s">
        <v>3405</v>
      </c>
      <c r="I26" t="s">
        <v>4213</v>
      </c>
      <c r="J26" t="s">
        <v>4209</v>
      </c>
      <c r="K26">
        <v>3</v>
      </c>
      <c r="L26">
        <v>0</v>
      </c>
      <c r="Q26" s="422">
        <v>46052</v>
      </c>
      <c r="U26" t="s">
        <v>2037</v>
      </c>
      <c r="V26" s="422">
        <v>45658</v>
      </c>
      <c r="W26" s="422" t="str">
        <f t="shared" si="0"/>
        <v/>
      </c>
    </row>
    <row r="27" spans="1:23">
      <c r="A27" t="s">
        <v>4269</v>
      </c>
      <c r="B27" t="s">
        <v>4204</v>
      </c>
      <c r="C27" t="s">
        <v>4270</v>
      </c>
      <c r="D27" t="s">
        <v>4205</v>
      </c>
      <c r="G27" t="s">
        <v>4268</v>
      </c>
      <c r="H27" t="s">
        <v>3405</v>
      </c>
      <c r="I27" t="s">
        <v>4213</v>
      </c>
      <c r="J27" t="s">
        <v>4209</v>
      </c>
      <c r="K27">
        <v>3</v>
      </c>
      <c r="L27">
        <v>0</v>
      </c>
      <c r="Q27" s="422">
        <v>46052</v>
      </c>
      <c r="U27" t="s">
        <v>2037</v>
      </c>
      <c r="V27" s="422">
        <v>45658</v>
      </c>
      <c r="W27" s="422" t="str">
        <f t="shared" si="0"/>
        <v/>
      </c>
    </row>
    <row r="28" spans="1:23">
      <c r="A28" t="s">
        <v>4271</v>
      </c>
      <c r="B28" t="s">
        <v>4245</v>
      </c>
      <c r="C28" t="s">
        <v>4272</v>
      </c>
      <c r="D28" t="s">
        <v>4222</v>
      </c>
      <c r="E28">
        <v>600000</v>
      </c>
      <c r="F28">
        <v>2000</v>
      </c>
      <c r="G28" t="s">
        <v>4268</v>
      </c>
      <c r="H28" t="s">
        <v>3379</v>
      </c>
      <c r="I28" t="s">
        <v>4213</v>
      </c>
      <c r="J28" t="s">
        <v>4209</v>
      </c>
      <c r="K28">
        <v>3</v>
      </c>
      <c r="L28">
        <v>0</v>
      </c>
      <c r="Q28" s="422">
        <v>46052</v>
      </c>
      <c r="U28" t="s">
        <v>2037</v>
      </c>
      <c r="V28" s="422">
        <v>45658</v>
      </c>
      <c r="W28" s="422">
        <f t="shared" si="0"/>
        <v>45658</v>
      </c>
    </row>
    <row r="29" spans="1:23">
      <c r="A29" t="s">
        <v>4273</v>
      </c>
      <c r="B29" t="s">
        <v>4245</v>
      </c>
      <c r="C29" t="s">
        <v>3996</v>
      </c>
      <c r="D29" t="s">
        <v>4205</v>
      </c>
      <c r="E29">
        <v>1360000</v>
      </c>
      <c r="F29">
        <v>4000</v>
      </c>
      <c r="G29" t="s">
        <v>4268</v>
      </c>
      <c r="H29" t="s">
        <v>3379</v>
      </c>
      <c r="I29" t="s">
        <v>4220</v>
      </c>
      <c r="J29" t="s">
        <v>4209</v>
      </c>
      <c r="K29">
        <v>1</v>
      </c>
      <c r="L29">
        <v>0</v>
      </c>
      <c r="O29" s="422">
        <v>46162</v>
      </c>
      <c r="Q29" s="422">
        <v>46052</v>
      </c>
      <c r="T29" s="422">
        <v>46135</v>
      </c>
      <c r="U29" t="s">
        <v>2037</v>
      </c>
      <c r="V29" s="422">
        <v>45658</v>
      </c>
      <c r="W29" s="422" t="str">
        <f t="shared" si="0"/>
        <v/>
      </c>
    </row>
    <row r="30" spans="1:23">
      <c r="A30" t="s">
        <v>4274</v>
      </c>
      <c r="B30" t="s">
        <v>4204</v>
      </c>
      <c r="C30" t="s">
        <v>4275</v>
      </c>
      <c r="D30" t="s">
        <v>4205</v>
      </c>
      <c r="G30" t="s">
        <v>4276</v>
      </c>
      <c r="H30" t="s">
        <v>3379</v>
      </c>
      <c r="I30" t="s">
        <v>4213</v>
      </c>
      <c r="J30" t="s">
        <v>4209</v>
      </c>
      <c r="K30">
        <v>3</v>
      </c>
      <c r="L30">
        <v>0</v>
      </c>
      <c r="Q30" s="422">
        <v>46052</v>
      </c>
      <c r="U30" t="s">
        <v>2037</v>
      </c>
      <c r="V30" s="422">
        <v>45658</v>
      </c>
      <c r="W30" s="422" t="str">
        <f t="shared" si="0"/>
        <v/>
      </c>
    </row>
    <row r="31" spans="1:23">
      <c r="A31" t="s">
        <v>4277</v>
      </c>
      <c r="B31" t="s">
        <v>4204</v>
      </c>
      <c r="C31" t="s">
        <v>3571</v>
      </c>
      <c r="D31" t="s">
        <v>4205</v>
      </c>
      <c r="G31" t="s">
        <v>4276</v>
      </c>
      <c r="H31" t="s">
        <v>3398</v>
      </c>
      <c r="I31" t="s">
        <v>4213</v>
      </c>
      <c r="J31" t="s">
        <v>4209</v>
      </c>
      <c r="K31">
        <v>3</v>
      </c>
      <c r="L31">
        <v>0</v>
      </c>
      <c r="Q31" s="422">
        <v>46052</v>
      </c>
      <c r="U31" t="s">
        <v>2037</v>
      </c>
      <c r="V31" s="422">
        <v>45658</v>
      </c>
      <c r="W31" s="422" t="str">
        <f t="shared" si="0"/>
        <v/>
      </c>
    </row>
    <row r="32" spans="1:23">
      <c r="A32" t="s">
        <v>4278</v>
      </c>
      <c r="B32" t="s">
        <v>4245</v>
      </c>
      <c r="C32" t="s">
        <v>4279</v>
      </c>
      <c r="D32" t="s">
        <v>4205</v>
      </c>
      <c r="E32">
        <v>6840000</v>
      </c>
      <c r="F32">
        <v>20000</v>
      </c>
      <c r="G32" t="s">
        <v>4280</v>
      </c>
      <c r="H32" t="s">
        <v>3390</v>
      </c>
      <c r="I32" t="s">
        <v>4220</v>
      </c>
      <c r="J32" t="s">
        <v>4209</v>
      </c>
      <c r="K32">
        <v>2</v>
      </c>
      <c r="L32">
        <v>0</v>
      </c>
      <c r="Q32" s="422">
        <v>46052</v>
      </c>
      <c r="U32" t="s">
        <v>2037</v>
      </c>
      <c r="V32" s="422">
        <v>45839</v>
      </c>
      <c r="W32" s="422" t="str">
        <f t="shared" si="0"/>
        <v/>
      </c>
    </row>
    <row r="33" spans="1:23">
      <c r="A33" t="s">
        <v>4281</v>
      </c>
      <c r="B33" t="s">
        <v>4245</v>
      </c>
      <c r="C33" t="s">
        <v>4282</v>
      </c>
      <c r="D33" t="s">
        <v>4205</v>
      </c>
      <c r="E33">
        <v>1361000</v>
      </c>
      <c r="F33">
        <v>4000</v>
      </c>
      <c r="G33" t="s">
        <v>4283</v>
      </c>
      <c r="H33" t="s">
        <v>3390</v>
      </c>
      <c r="I33" t="s">
        <v>4220</v>
      </c>
      <c r="J33" t="s">
        <v>4209</v>
      </c>
      <c r="K33">
        <v>2</v>
      </c>
      <c r="L33">
        <v>0</v>
      </c>
      <c r="O33" s="422">
        <v>46120</v>
      </c>
      <c r="Q33" s="422">
        <v>46052</v>
      </c>
      <c r="R33" s="422">
        <v>46113</v>
      </c>
      <c r="U33" t="s">
        <v>2037</v>
      </c>
      <c r="V33" s="422">
        <v>45839</v>
      </c>
      <c r="W33" s="422" t="str">
        <f t="shared" si="0"/>
        <v/>
      </c>
    </row>
    <row r="34" spans="1:23">
      <c r="A34" t="s">
        <v>4284</v>
      </c>
      <c r="B34" t="s">
        <v>4204</v>
      </c>
      <c r="C34" t="s">
        <v>4285</v>
      </c>
      <c r="D34" t="s">
        <v>4205</v>
      </c>
      <c r="H34" t="s">
        <v>3405</v>
      </c>
      <c r="I34" t="s">
        <v>4213</v>
      </c>
      <c r="J34" t="s">
        <v>4209</v>
      </c>
      <c r="K34">
        <v>3</v>
      </c>
      <c r="L34">
        <v>0</v>
      </c>
      <c r="Q34" s="422">
        <v>46052</v>
      </c>
      <c r="U34" t="s">
        <v>154</v>
      </c>
      <c r="V34" s="422">
        <v>45658</v>
      </c>
      <c r="W34" s="422" t="str">
        <f t="shared" si="0"/>
        <v/>
      </c>
    </row>
    <row r="35" spans="1:23">
      <c r="A35" t="s">
        <v>4286</v>
      </c>
      <c r="B35" t="s">
        <v>4204</v>
      </c>
      <c r="C35" t="s">
        <v>4287</v>
      </c>
      <c r="D35" t="s">
        <v>4218</v>
      </c>
      <c r="F35">
        <v>200</v>
      </c>
      <c r="G35" t="s">
        <v>4288</v>
      </c>
      <c r="H35" t="s">
        <v>3374</v>
      </c>
      <c r="I35" t="s">
        <v>4220</v>
      </c>
      <c r="J35" t="s">
        <v>4209</v>
      </c>
      <c r="K35">
        <v>2</v>
      </c>
      <c r="L35">
        <v>0</v>
      </c>
      <c r="Q35" s="422">
        <v>46052</v>
      </c>
      <c r="U35" t="s">
        <v>154</v>
      </c>
      <c r="V35" s="422">
        <v>46052</v>
      </c>
      <c r="W35" s="422">
        <f t="shared" si="0"/>
        <v>46052</v>
      </c>
    </row>
    <row r="36" spans="1:23">
      <c r="A36" t="s">
        <v>4289</v>
      </c>
      <c r="B36" t="s">
        <v>4204</v>
      </c>
      <c r="C36" t="s">
        <v>3515</v>
      </c>
      <c r="D36" t="s">
        <v>4241</v>
      </c>
      <c r="H36" t="s">
        <v>3374</v>
      </c>
      <c r="I36" t="s">
        <v>4220</v>
      </c>
      <c r="J36" t="s">
        <v>4209</v>
      </c>
      <c r="K36">
        <v>3</v>
      </c>
      <c r="L36">
        <v>0</v>
      </c>
      <c r="Q36" s="422">
        <v>46052</v>
      </c>
      <c r="U36" t="s">
        <v>154</v>
      </c>
      <c r="V36" s="422">
        <v>45839</v>
      </c>
      <c r="W36" s="422" t="str">
        <f t="shared" si="0"/>
        <v/>
      </c>
    </row>
    <row r="37" spans="1:23">
      <c r="A37" t="s">
        <v>4290</v>
      </c>
      <c r="B37" t="s">
        <v>4204</v>
      </c>
      <c r="C37" t="s">
        <v>754</v>
      </c>
      <c r="D37" t="s">
        <v>4218</v>
      </c>
      <c r="H37" t="s">
        <v>3374</v>
      </c>
      <c r="I37" t="s">
        <v>4208</v>
      </c>
      <c r="J37" t="s">
        <v>4209</v>
      </c>
      <c r="K37">
        <v>3</v>
      </c>
      <c r="L37">
        <v>0</v>
      </c>
      <c r="Q37" s="422">
        <v>46052</v>
      </c>
      <c r="U37" t="s">
        <v>154</v>
      </c>
      <c r="V37" s="422">
        <v>45658</v>
      </c>
      <c r="W37" s="422">
        <f t="shared" si="0"/>
        <v>45658</v>
      </c>
    </row>
    <row r="38" spans="1:23">
      <c r="A38" t="s">
        <v>4291</v>
      </c>
      <c r="B38" t="s">
        <v>4204</v>
      </c>
      <c r="C38" t="s">
        <v>3411</v>
      </c>
      <c r="D38" t="s">
        <v>4218</v>
      </c>
      <c r="G38" t="s">
        <v>4288</v>
      </c>
      <c r="H38" t="s">
        <v>3374</v>
      </c>
      <c r="I38" t="s">
        <v>4208</v>
      </c>
      <c r="J38" t="s">
        <v>4209</v>
      </c>
      <c r="K38">
        <v>3</v>
      </c>
      <c r="L38">
        <v>0</v>
      </c>
      <c r="Q38" s="422">
        <v>46052</v>
      </c>
      <c r="U38" t="s">
        <v>154</v>
      </c>
      <c r="V38" s="422">
        <v>46052</v>
      </c>
      <c r="W38" s="422">
        <f t="shared" si="0"/>
        <v>46052</v>
      </c>
    </row>
    <row r="39" spans="1:23">
      <c r="A39" t="s">
        <v>4292</v>
      </c>
      <c r="B39" t="s">
        <v>4204</v>
      </c>
      <c r="C39" t="s">
        <v>4293</v>
      </c>
      <c r="D39" t="s">
        <v>4218</v>
      </c>
      <c r="H39" t="s">
        <v>3374</v>
      </c>
      <c r="I39" t="s">
        <v>4208</v>
      </c>
      <c r="J39" t="s">
        <v>4209</v>
      </c>
      <c r="K39">
        <v>3</v>
      </c>
      <c r="L39">
        <v>0</v>
      </c>
      <c r="Q39" s="422">
        <v>46052</v>
      </c>
      <c r="U39" t="s">
        <v>154</v>
      </c>
      <c r="V39" s="422">
        <v>45658</v>
      </c>
      <c r="W39" s="422">
        <f t="shared" si="0"/>
        <v>45658</v>
      </c>
    </row>
    <row r="40" spans="1:23">
      <c r="A40" t="s">
        <v>4294</v>
      </c>
      <c r="B40" t="s">
        <v>4204</v>
      </c>
      <c r="C40" t="s">
        <v>4295</v>
      </c>
      <c r="D40" t="s">
        <v>4205</v>
      </c>
      <c r="F40">
        <v>350</v>
      </c>
      <c r="G40" t="s">
        <v>4296</v>
      </c>
      <c r="H40" t="s">
        <v>3374</v>
      </c>
      <c r="I40" t="s">
        <v>4208</v>
      </c>
      <c r="J40" t="s">
        <v>4209</v>
      </c>
      <c r="L40">
        <v>0</v>
      </c>
      <c r="Q40" s="422">
        <v>46052</v>
      </c>
      <c r="U40" t="s">
        <v>154</v>
      </c>
      <c r="V40" s="422">
        <v>45658</v>
      </c>
      <c r="W40" s="422" t="str">
        <f t="shared" si="0"/>
        <v/>
      </c>
    </row>
    <row r="41" spans="1:23">
      <c r="A41" t="s">
        <v>4297</v>
      </c>
      <c r="B41" t="s">
        <v>4204</v>
      </c>
      <c r="C41" t="s">
        <v>1027</v>
      </c>
      <c r="D41" t="s">
        <v>4205</v>
      </c>
      <c r="G41" t="s">
        <v>4298</v>
      </c>
      <c r="H41" t="s">
        <v>3374</v>
      </c>
      <c r="J41" t="s">
        <v>4209</v>
      </c>
      <c r="K41">
        <v>3</v>
      </c>
      <c r="L41">
        <v>0</v>
      </c>
      <c r="Q41" s="422">
        <v>46052</v>
      </c>
      <c r="U41" t="s">
        <v>154</v>
      </c>
      <c r="V41" s="422">
        <v>46052</v>
      </c>
      <c r="W41" s="422" t="str">
        <f t="shared" si="0"/>
        <v/>
      </c>
    </row>
    <row r="42" spans="1:23">
      <c r="A42" t="s">
        <v>4299</v>
      </c>
      <c r="B42" t="s">
        <v>4204</v>
      </c>
      <c r="C42" t="s">
        <v>592</v>
      </c>
      <c r="D42" t="s">
        <v>4222</v>
      </c>
      <c r="E42">
        <v>174000</v>
      </c>
      <c r="F42">
        <v>500</v>
      </c>
      <c r="G42" t="s">
        <v>4300</v>
      </c>
      <c r="H42" t="s">
        <v>4301</v>
      </c>
      <c r="I42" t="s">
        <v>4220</v>
      </c>
      <c r="J42" t="s">
        <v>4209</v>
      </c>
      <c r="K42">
        <v>1</v>
      </c>
      <c r="L42">
        <v>1</v>
      </c>
      <c r="M42" s="422">
        <v>46133</v>
      </c>
      <c r="N42" t="s">
        <v>4302</v>
      </c>
      <c r="O42" s="422">
        <v>46115</v>
      </c>
      <c r="P42" t="s">
        <v>4224</v>
      </c>
      <c r="Q42" s="422">
        <v>46094</v>
      </c>
      <c r="R42" s="422">
        <v>46094</v>
      </c>
      <c r="S42" s="422">
        <v>46133</v>
      </c>
      <c r="T42" s="422">
        <v>46094</v>
      </c>
      <c r="U42" t="s">
        <v>154</v>
      </c>
      <c r="V42" s="422">
        <v>46094</v>
      </c>
      <c r="W42" s="422">
        <f t="shared" si="0"/>
        <v>46094</v>
      </c>
    </row>
    <row r="43" spans="1:23">
      <c r="A43" t="s">
        <v>4303</v>
      </c>
      <c r="B43" t="s">
        <v>4204</v>
      </c>
      <c r="C43" t="s">
        <v>592</v>
      </c>
      <c r="D43" t="s">
        <v>4222</v>
      </c>
      <c r="E43">
        <v>30000</v>
      </c>
      <c r="F43">
        <v>1</v>
      </c>
      <c r="G43" t="s">
        <v>4300</v>
      </c>
      <c r="H43" t="s">
        <v>4301</v>
      </c>
      <c r="I43" t="s">
        <v>4220</v>
      </c>
      <c r="J43" t="s">
        <v>4209</v>
      </c>
      <c r="K43">
        <v>1</v>
      </c>
      <c r="L43">
        <v>1</v>
      </c>
      <c r="M43" s="422">
        <v>46092</v>
      </c>
      <c r="N43" t="s">
        <v>1659</v>
      </c>
      <c r="O43" s="422">
        <v>46133</v>
      </c>
      <c r="P43" t="s">
        <v>4224</v>
      </c>
      <c r="Q43" s="422">
        <v>46094</v>
      </c>
      <c r="R43" s="422">
        <v>46092</v>
      </c>
      <c r="S43" s="422">
        <v>46092</v>
      </c>
      <c r="T43" s="422">
        <v>46092</v>
      </c>
      <c r="U43" t="s">
        <v>154</v>
      </c>
      <c r="V43" s="422">
        <v>46094</v>
      </c>
      <c r="W43" s="422">
        <f t="shared" si="0"/>
        <v>46092</v>
      </c>
    </row>
    <row r="44" spans="1:23">
      <c r="A44" t="s">
        <v>4304</v>
      </c>
      <c r="B44" t="s">
        <v>4215</v>
      </c>
      <c r="C44" t="s">
        <v>2174</v>
      </c>
      <c r="D44" t="s">
        <v>4218</v>
      </c>
      <c r="E44">
        <v>748800</v>
      </c>
      <c r="F44">
        <v>3000</v>
      </c>
      <c r="G44" t="s">
        <v>4305</v>
      </c>
      <c r="H44" t="s">
        <v>3365</v>
      </c>
      <c r="I44" t="s">
        <v>4213</v>
      </c>
      <c r="J44" t="s">
        <v>4209</v>
      </c>
      <c r="K44">
        <v>1</v>
      </c>
      <c r="L44">
        <v>0</v>
      </c>
      <c r="P44" t="s">
        <v>4224</v>
      </c>
      <c r="Q44" s="422">
        <v>46095</v>
      </c>
      <c r="R44" s="422">
        <v>46095</v>
      </c>
      <c r="T44" s="422">
        <v>46093</v>
      </c>
      <c r="U44" t="s">
        <v>3527</v>
      </c>
      <c r="V44" s="422">
        <v>46095</v>
      </c>
      <c r="W44" s="422">
        <f t="shared" si="0"/>
        <v>46095</v>
      </c>
    </row>
    <row r="45" spans="1:23">
      <c r="A45" t="s">
        <v>4306</v>
      </c>
      <c r="B45" t="s">
        <v>4204</v>
      </c>
      <c r="C45" t="s">
        <v>4307</v>
      </c>
      <c r="D45" t="s">
        <v>4205</v>
      </c>
      <c r="H45" t="s">
        <v>3398</v>
      </c>
      <c r="I45" t="s">
        <v>4208</v>
      </c>
      <c r="J45" t="s">
        <v>4209</v>
      </c>
      <c r="K45">
        <v>2</v>
      </c>
      <c r="L45">
        <v>0</v>
      </c>
      <c r="Q45" s="422">
        <v>46052</v>
      </c>
      <c r="U45" t="s">
        <v>2447</v>
      </c>
      <c r="V45" s="422">
        <v>45658</v>
      </c>
      <c r="W45" s="422" t="str">
        <f t="shared" si="0"/>
        <v/>
      </c>
    </row>
    <row r="46" spans="1:23">
      <c r="A46" t="s">
        <v>4308</v>
      </c>
      <c r="B46" t="s">
        <v>4215</v>
      </c>
      <c r="C46" t="s">
        <v>4309</v>
      </c>
      <c r="D46" t="s">
        <v>4310</v>
      </c>
      <c r="E46">
        <v>106000</v>
      </c>
      <c r="F46">
        <v>490</v>
      </c>
      <c r="G46" t="s">
        <v>4311</v>
      </c>
      <c r="H46" t="s">
        <v>3365</v>
      </c>
      <c r="I46" t="s">
        <v>4213</v>
      </c>
      <c r="J46" t="s">
        <v>4209</v>
      </c>
      <c r="K46">
        <v>3</v>
      </c>
      <c r="L46">
        <v>0</v>
      </c>
      <c r="Q46" s="422">
        <v>46224</v>
      </c>
      <c r="S46" s="422">
        <v>46224</v>
      </c>
      <c r="U46" t="s">
        <v>1698</v>
      </c>
      <c r="V46" s="422">
        <v>46224</v>
      </c>
      <c r="W46" s="422">
        <f t="shared" si="0"/>
        <v>46224</v>
      </c>
    </row>
    <row r="47" spans="1:23">
      <c r="A47" t="s">
        <v>4312</v>
      </c>
      <c r="B47" t="s">
        <v>4204</v>
      </c>
      <c r="C47" t="s">
        <v>2639</v>
      </c>
      <c r="D47" t="s">
        <v>4222</v>
      </c>
      <c r="F47">
        <v>100</v>
      </c>
      <c r="G47" t="s">
        <v>4313</v>
      </c>
      <c r="H47" t="s">
        <v>3365</v>
      </c>
      <c r="I47" t="s">
        <v>4220</v>
      </c>
      <c r="J47" t="s">
        <v>4209</v>
      </c>
      <c r="L47">
        <v>1</v>
      </c>
      <c r="M47" s="422">
        <v>45938</v>
      </c>
      <c r="N47" t="s">
        <v>2637</v>
      </c>
      <c r="Q47" s="422">
        <v>46052</v>
      </c>
      <c r="U47" t="s">
        <v>1698</v>
      </c>
      <c r="V47" s="422">
        <v>46052</v>
      </c>
      <c r="W47" s="422">
        <f t="shared" si="0"/>
        <v>46052</v>
      </c>
    </row>
    <row r="48" spans="1:23">
      <c r="A48" t="s">
        <v>4314</v>
      </c>
      <c r="B48" t="s">
        <v>4215</v>
      </c>
      <c r="C48" t="s">
        <v>4315</v>
      </c>
      <c r="D48" t="s">
        <v>4216</v>
      </c>
      <c r="E48">
        <v>154000</v>
      </c>
      <c r="F48">
        <v>800</v>
      </c>
      <c r="G48" t="s">
        <v>4316</v>
      </c>
      <c r="H48" t="s">
        <v>3350</v>
      </c>
      <c r="J48" t="s">
        <v>4209</v>
      </c>
      <c r="K48">
        <v>3</v>
      </c>
      <c r="L48">
        <v>0</v>
      </c>
      <c r="O48" s="422">
        <v>46190</v>
      </c>
      <c r="P48" t="s">
        <v>4224</v>
      </c>
      <c r="Q48" s="422">
        <v>46184</v>
      </c>
      <c r="T48" s="422">
        <v>46184</v>
      </c>
      <c r="U48" t="s">
        <v>1698</v>
      </c>
      <c r="V48" s="422">
        <v>46184</v>
      </c>
      <c r="W48" s="422" t="str">
        <f t="shared" si="0"/>
        <v/>
      </c>
    </row>
    <row r="49" spans="1:23">
      <c r="A49" t="s">
        <v>4317</v>
      </c>
      <c r="B49" t="s">
        <v>4215</v>
      </c>
      <c r="C49" t="s">
        <v>4318</v>
      </c>
      <c r="D49" t="s">
        <v>4216</v>
      </c>
      <c r="E49">
        <v>231840</v>
      </c>
      <c r="F49">
        <v>1200</v>
      </c>
      <c r="G49" t="s">
        <v>4316</v>
      </c>
      <c r="H49" t="s">
        <v>3350</v>
      </c>
      <c r="I49" t="s">
        <v>4213</v>
      </c>
      <c r="J49" t="s">
        <v>4209</v>
      </c>
      <c r="K49">
        <v>3</v>
      </c>
      <c r="L49">
        <v>0</v>
      </c>
      <c r="O49" s="422">
        <v>46190</v>
      </c>
      <c r="P49" t="s">
        <v>4224</v>
      </c>
      <c r="Q49" s="422">
        <v>46184</v>
      </c>
      <c r="T49" s="422">
        <v>46184</v>
      </c>
      <c r="U49" t="s">
        <v>1698</v>
      </c>
      <c r="V49" s="422">
        <v>46184</v>
      </c>
      <c r="W49" s="422" t="str">
        <f t="shared" si="0"/>
        <v/>
      </c>
    </row>
    <row r="50" spans="1:23">
      <c r="A50" t="s">
        <v>4319</v>
      </c>
      <c r="B50" t="s">
        <v>4215</v>
      </c>
      <c r="C50" t="s">
        <v>3356</v>
      </c>
      <c r="D50" t="s">
        <v>4222</v>
      </c>
      <c r="E50">
        <v>216000</v>
      </c>
      <c r="F50">
        <v>1000</v>
      </c>
      <c r="G50" t="s">
        <v>4316</v>
      </c>
      <c r="H50" t="s">
        <v>3350</v>
      </c>
      <c r="I50" t="s">
        <v>4213</v>
      </c>
      <c r="J50" t="s">
        <v>4209</v>
      </c>
      <c r="K50">
        <v>1</v>
      </c>
      <c r="L50">
        <v>1</v>
      </c>
      <c r="M50" s="422">
        <v>46204</v>
      </c>
      <c r="N50" t="s">
        <v>3357</v>
      </c>
      <c r="O50" s="422">
        <v>46190</v>
      </c>
      <c r="P50" t="s">
        <v>4224</v>
      </c>
      <c r="Q50" s="422">
        <v>46184</v>
      </c>
      <c r="S50" s="422">
        <v>46203</v>
      </c>
      <c r="T50" s="422">
        <v>46184</v>
      </c>
      <c r="U50" t="s">
        <v>1698</v>
      </c>
      <c r="V50" s="422">
        <v>46184</v>
      </c>
      <c r="W50" s="422">
        <f t="shared" si="0"/>
        <v>46184</v>
      </c>
    </row>
    <row r="51" spans="1:23">
      <c r="A51" t="s">
        <v>4320</v>
      </c>
      <c r="B51" t="s">
        <v>4215</v>
      </c>
      <c r="C51" t="s">
        <v>4321</v>
      </c>
      <c r="D51" t="s">
        <v>4241</v>
      </c>
      <c r="E51">
        <v>162000</v>
      </c>
      <c r="F51">
        <v>1000</v>
      </c>
      <c r="G51" t="s">
        <v>4316</v>
      </c>
      <c r="H51" t="s">
        <v>3350</v>
      </c>
      <c r="I51" t="s">
        <v>4220</v>
      </c>
      <c r="J51" t="s">
        <v>4209</v>
      </c>
      <c r="K51">
        <v>3</v>
      </c>
      <c r="L51">
        <v>0</v>
      </c>
      <c r="Q51" s="422">
        <v>46068</v>
      </c>
      <c r="U51" t="s">
        <v>1698</v>
      </c>
      <c r="V51" s="422">
        <v>45839</v>
      </c>
      <c r="W51" s="422" t="str">
        <f t="shared" si="0"/>
        <v/>
      </c>
    </row>
    <row r="52" spans="1:23">
      <c r="A52" t="s">
        <v>4322</v>
      </c>
      <c r="B52" t="s">
        <v>4215</v>
      </c>
      <c r="C52" t="s">
        <v>4323</v>
      </c>
      <c r="D52" t="s">
        <v>4218</v>
      </c>
      <c r="E52">
        <v>194400</v>
      </c>
      <c r="F52">
        <v>1200</v>
      </c>
      <c r="G52" t="s">
        <v>4324</v>
      </c>
      <c r="H52" t="s">
        <v>3350</v>
      </c>
      <c r="I52" t="s">
        <v>4220</v>
      </c>
      <c r="J52" t="s">
        <v>4209</v>
      </c>
      <c r="K52">
        <v>2</v>
      </c>
      <c r="L52">
        <v>0</v>
      </c>
      <c r="Q52" s="422">
        <v>46052</v>
      </c>
      <c r="U52" t="s">
        <v>1698</v>
      </c>
      <c r="V52" s="422">
        <v>45839</v>
      </c>
      <c r="W52" s="422">
        <f t="shared" si="0"/>
        <v>45839</v>
      </c>
    </row>
    <row r="53" spans="1:23">
      <c r="A53" t="s">
        <v>4325</v>
      </c>
      <c r="B53" t="s">
        <v>4215</v>
      </c>
      <c r="C53" t="s">
        <v>4326</v>
      </c>
      <c r="D53" t="s">
        <v>4218</v>
      </c>
      <c r="E53">
        <v>16200</v>
      </c>
      <c r="F53">
        <v>100</v>
      </c>
      <c r="G53" t="s">
        <v>4316</v>
      </c>
      <c r="H53" t="s">
        <v>3350</v>
      </c>
      <c r="I53" t="s">
        <v>4213</v>
      </c>
      <c r="J53" t="s">
        <v>4209</v>
      </c>
      <c r="K53">
        <v>2</v>
      </c>
      <c r="L53">
        <v>0</v>
      </c>
      <c r="Q53" s="422">
        <v>46052</v>
      </c>
      <c r="R53" s="422">
        <v>46079</v>
      </c>
      <c r="U53" t="s">
        <v>1698</v>
      </c>
      <c r="V53" s="422">
        <v>46052</v>
      </c>
      <c r="W53" s="422">
        <f t="shared" si="0"/>
        <v>46079</v>
      </c>
    </row>
    <row r="54" spans="1:23">
      <c r="A54" t="s">
        <v>4327</v>
      </c>
      <c r="B54" t="s">
        <v>4215</v>
      </c>
      <c r="C54" t="s">
        <v>1926</v>
      </c>
      <c r="D54" t="s">
        <v>4222</v>
      </c>
      <c r="E54">
        <v>273600</v>
      </c>
      <c r="F54">
        <v>550</v>
      </c>
      <c r="G54" t="s">
        <v>4316</v>
      </c>
      <c r="H54" t="s">
        <v>3350</v>
      </c>
      <c r="I54" t="s">
        <v>4220</v>
      </c>
      <c r="J54" t="s">
        <v>4209</v>
      </c>
      <c r="K54">
        <v>1</v>
      </c>
      <c r="L54">
        <v>1</v>
      </c>
      <c r="M54" s="422">
        <v>46171</v>
      </c>
      <c r="N54" t="s">
        <v>1928</v>
      </c>
      <c r="O54" s="422">
        <v>46077</v>
      </c>
      <c r="P54" t="s">
        <v>4224</v>
      </c>
      <c r="Q54" s="422">
        <v>46072</v>
      </c>
      <c r="R54" s="422">
        <v>46077</v>
      </c>
      <c r="S54" s="422">
        <v>46170</v>
      </c>
      <c r="T54" s="422">
        <v>46072</v>
      </c>
      <c r="U54" t="s">
        <v>1698</v>
      </c>
      <c r="V54" s="422">
        <v>46077</v>
      </c>
      <c r="W54" s="422">
        <f t="shared" si="0"/>
        <v>46077</v>
      </c>
    </row>
    <row r="55" spans="1:23">
      <c r="A55" t="s">
        <v>4328</v>
      </c>
      <c r="B55" t="s">
        <v>4215</v>
      </c>
      <c r="C55" t="s">
        <v>4329</v>
      </c>
      <c r="D55" t="s">
        <v>4241</v>
      </c>
      <c r="H55" t="s">
        <v>3350</v>
      </c>
      <c r="I55" t="s">
        <v>4213</v>
      </c>
      <c r="J55" t="s">
        <v>4209</v>
      </c>
      <c r="K55">
        <v>3</v>
      </c>
      <c r="L55">
        <v>0</v>
      </c>
      <c r="Q55" s="422">
        <v>46052</v>
      </c>
      <c r="U55" t="s">
        <v>1698</v>
      </c>
      <c r="V55" s="422">
        <v>45931</v>
      </c>
      <c r="W55" s="422" t="str">
        <f t="shared" si="0"/>
        <v/>
      </c>
    </row>
    <row r="56" spans="1:23">
      <c r="A56" t="s">
        <v>4330</v>
      </c>
      <c r="B56" t="s">
        <v>4215</v>
      </c>
      <c r="C56" t="s">
        <v>4331</v>
      </c>
      <c r="D56" t="s">
        <v>4241</v>
      </c>
      <c r="G56" t="s">
        <v>4313</v>
      </c>
      <c r="H56" t="s">
        <v>3350</v>
      </c>
      <c r="I56" t="s">
        <v>4220</v>
      </c>
      <c r="J56" t="s">
        <v>4209</v>
      </c>
      <c r="K56">
        <v>3</v>
      </c>
      <c r="L56">
        <v>0</v>
      </c>
      <c r="O56" s="422">
        <v>46150</v>
      </c>
      <c r="Q56" s="422">
        <v>46052</v>
      </c>
      <c r="U56" t="s">
        <v>1698</v>
      </c>
      <c r="V56" s="422">
        <v>45931</v>
      </c>
      <c r="W56" s="422" t="str">
        <f t="shared" si="0"/>
        <v/>
      </c>
    </row>
    <row r="57" spans="1:23">
      <c r="A57" t="s">
        <v>4332</v>
      </c>
      <c r="B57" t="s">
        <v>4215</v>
      </c>
      <c r="C57" t="s">
        <v>4333</v>
      </c>
      <c r="D57" t="s">
        <v>4216</v>
      </c>
      <c r="E57">
        <v>81000</v>
      </c>
      <c r="F57">
        <v>500</v>
      </c>
      <c r="G57" t="s">
        <v>4324</v>
      </c>
      <c r="H57" t="s">
        <v>3350</v>
      </c>
      <c r="I57" t="s">
        <v>4220</v>
      </c>
      <c r="J57" t="s">
        <v>4209</v>
      </c>
      <c r="K57">
        <v>3</v>
      </c>
      <c r="L57">
        <v>0</v>
      </c>
      <c r="Q57" s="422">
        <v>46052</v>
      </c>
      <c r="U57" t="s">
        <v>1698</v>
      </c>
      <c r="V57" s="422">
        <v>45748</v>
      </c>
      <c r="W57" s="422" t="str">
        <f t="shared" si="0"/>
        <v/>
      </c>
    </row>
    <row r="58" spans="1:23">
      <c r="A58" t="s">
        <v>4334</v>
      </c>
      <c r="B58" t="s">
        <v>4215</v>
      </c>
      <c r="C58" t="s">
        <v>4335</v>
      </c>
      <c r="D58" t="s">
        <v>4216</v>
      </c>
      <c r="E58">
        <v>154000</v>
      </c>
      <c r="F58">
        <v>800</v>
      </c>
      <c r="G58" t="s">
        <v>4316</v>
      </c>
      <c r="J58" t="s">
        <v>4209</v>
      </c>
      <c r="K58">
        <v>3</v>
      </c>
      <c r="L58">
        <v>0</v>
      </c>
      <c r="O58" s="422">
        <v>46190</v>
      </c>
      <c r="P58" t="s">
        <v>4224</v>
      </c>
      <c r="Q58" s="422">
        <v>46184</v>
      </c>
      <c r="T58" s="422">
        <v>46184</v>
      </c>
      <c r="U58" t="s">
        <v>1698</v>
      </c>
      <c r="V58" s="422">
        <v>46184</v>
      </c>
      <c r="W58" s="422" t="str">
        <f t="shared" si="0"/>
        <v/>
      </c>
    </row>
    <row r="59" spans="1:23">
      <c r="A59" t="s">
        <v>1848</v>
      </c>
      <c r="B59" t="s">
        <v>4215</v>
      </c>
      <c r="C59" t="s">
        <v>1850</v>
      </c>
      <c r="D59" t="s">
        <v>4222</v>
      </c>
      <c r="E59">
        <v>20000</v>
      </c>
      <c r="F59">
        <v>200</v>
      </c>
      <c r="G59" t="s">
        <v>4316</v>
      </c>
      <c r="I59" t="s">
        <v>4213</v>
      </c>
      <c r="J59" t="s">
        <v>4209</v>
      </c>
      <c r="K59">
        <v>1</v>
      </c>
      <c r="L59">
        <v>1</v>
      </c>
      <c r="M59" s="422">
        <v>46168</v>
      </c>
      <c r="N59" t="s">
        <v>1848</v>
      </c>
      <c r="O59" s="422">
        <v>46167</v>
      </c>
      <c r="Q59" s="422">
        <v>46163</v>
      </c>
      <c r="R59" s="422">
        <v>46163</v>
      </c>
      <c r="U59" t="s">
        <v>1698</v>
      </c>
      <c r="V59" s="422">
        <v>46163</v>
      </c>
      <c r="W59" s="422">
        <f t="shared" si="0"/>
        <v>46163</v>
      </c>
    </row>
    <row r="60" spans="1:23">
      <c r="A60" t="s">
        <v>4336</v>
      </c>
      <c r="B60" t="s">
        <v>4245</v>
      </c>
      <c r="C60" t="s">
        <v>4337</v>
      </c>
      <c r="D60" t="s">
        <v>4310</v>
      </c>
      <c r="E60">
        <v>104000</v>
      </c>
      <c r="F60">
        <v>400</v>
      </c>
      <c r="G60" t="s">
        <v>4338</v>
      </c>
      <c r="H60" t="s">
        <v>4339</v>
      </c>
      <c r="J60" t="s">
        <v>4209</v>
      </c>
      <c r="L60">
        <v>0</v>
      </c>
      <c r="O60" s="422">
        <v>46240</v>
      </c>
      <c r="P60" t="s">
        <v>4224</v>
      </c>
      <c r="Q60" s="422">
        <v>46079</v>
      </c>
      <c r="R60" s="422">
        <v>46191</v>
      </c>
      <c r="S60" s="422">
        <v>46212</v>
      </c>
      <c r="U60" t="s">
        <v>1873</v>
      </c>
      <c r="V60" s="422">
        <v>46079</v>
      </c>
      <c r="W60" s="422">
        <f t="shared" si="0"/>
        <v>46191</v>
      </c>
    </row>
    <row r="61" spans="1:23">
      <c r="A61" t="s">
        <v>4340</v>
      </c>
      <c r="B61" t="s">
        <v>4245</v>
      </c>
      <c r="C61" t="s">
        <v>4341</v>
      </c>
      <c r="D61" t="s">
        <v>4216</v>
      </c>
      <c r="E61">
        <v>36000</v>
      </c>
      <c r="F61">
        <v>300</v>
      </c>
      <c r="G61" t="s">
        <v>4338</v>
      </c>
      <c r="H61" t="s">
        <v>3405</v>
      </c>
      <c r="I61" t="s">
        <v>4220</v>
      </c>
      <c r="J61" t="s">
        <v>4209</v>
      </c>
      <c r="K61">
        <v>3</v>
      </c>
      <c r="L61">
        <v>0</v>
      </c>
      <c r="O61" s="422">
        <v>46154</v>
      </c>
      <c r="Q61" s="422">
        <v>46052</v>
      </c>
      <c r="T61" s="422">
        <v>46094</v>
      </c>
      <c r="U61" t="s">
        <v>1873</v>
      </c>
      <c r="V61" s="422">
        <v>45931</v>
      </c>
      <c r="W61" s="422" t="str">
        <f t="shared" si="0"/>
        <v/>
      </c>
    </row>
    <row r="62" spans="1:23">
      <c r="A62" t="s">
        <v>4342</v>
      </c>
      <c r="B62" t="s">
        <v>4245</v>
      </c>
      <c r="C62" t="s">
        <v>4343</v>
      </c>
      <c r="D62" t="s">
        <v>4310</v>
      </c>
      <c r="E62">
        <v>200000</v>
      </c>
      <c r="F62">
        <v>500</v>
      </c>
      <c r="G62" t="s">
        <v>4338</v>
      </c>
      <c r="I62" t="s">
        <v>4208</v>
      </c>
      <c r="J62" t="s">
        <v>4209</v>
      </c>
      <c r="K62">
        <v>2</v>
      </c>
      <c r="L62">
        <v>0</v>
      </c>
      <c r="O62" s="422">
        <v>46252</v>
      </c>
      <c r="P62" t="s">
        <v>4224</v>
      </c>
      <c r="Q62" s="422">
        <v>46170</v>
      </c>
      <c r="R62" s="422">
        <v>46170</v>
      </c>
      <c r="S62" s="422">
        <v>46176</v>
      </c>
      <c r="T62" s="422">
        <v>46162</v>
      </c>
      <c r="U62" t="s">
        <v>1873</v>
      </c>
      <c r="V62" s="422">
        <v>46170</v>
      </c>
      <c r="W62" s="422">
        <f t="shared" si="0"/>
        <v>46170</v>
      </c>
    </row>
    <row r="63" spans="1:23">
      <c r="A63" t="s">
        <v>4344</v>
      </c>
      <c r="B63" t="s">
        <v>4245</v>
      </c>
      <c r="C63" t="s">
        <v>4345</v>
      </c>
      <c r="D63" t="s">
        <v>4205</v>
      </c>
      <c r="G63" t="s">
        <v>4346</v>
      </c>
      <c r="I63" t="s">
        <v>4220</v>
      </c>
      <c r="J63" t="s">
        <v>4209</v>
      </c>
      <c r="K63">
        <v>3</v>
      </c>
      <c r="L63">
        <v>0</v>
      </c>
      <c r="Q63" s="422">
        <v>46052</v>
      </c>
      <c r="T63" s="422">
        <v>46086</v>
      </c>
      <c r="U63" t="s">
        <v>1873</v>
      </c>
      <c r="V63" s="422">
        <v>45931</v>
      </c>
      <c r="W63" s="422" t="str">
        <f t="shared" si="0"/>
        <v/>
      </c>
    </row>
    <row r="64" spans="1:23">
      <c r="A64" t="s">
        <v>4347</v>
      </c>
      <c r="B64" t="s">
        <v>4204</v>
      </c>
      <c r="C64" t="s">
        <v>2203</v>
      </c>
      <c r="D64" t="s">
        <v>4216</v>
      </c>
      <c r="E64">
        <v>684000</v>
      </c>
      <c r="F64">
        <v>5000</v>
      </c>
      <c r="G64" t="s">
        <v>4348</v>
      </c>
      <c r="H64" t="s">
        <v>3405</v>
      </c>
      <c r="I64" t="s">
        <v>4220</v>
      </c>
      <c r="J64" t="s">
        <v>4209</v>
      </c>
      <c r="K64">
        <v>1</v>
      </c>
      <c r="L64">
        <v>0</v>
      </c>
      <c r="O64" s="422">
        <v>46227</v>
      </c>
      <c r="P64" t="s">
        <v>4224</v>
      </c>
      <c r="Q64" s="422">
        <v>46141</v>
      </c>
      <c r="T64" s="422">
        <v>46141</v>
      </c>
      <c r="U64" t="s">
        <v>4349</v>
      </c>
      <c r="V64" s="422">
        <v>46141</v>
      </c>
      <c r="W64" s="422" t="str">
        <f t="shared" si="0"/>
        <v/>
      </c>
    </row>
    <row r="65" spans="1:23">
      <c r="A65" t="s">
        <v>4350</v>
      </c>
      <c r="B65" t="s">
        <v>4204</v>
      </c>
      <c r="C65" t="s">
        <v>2669</v>
      </c>
      <c r="D65" t="s">
        <v>4216</v>
      </c>
      <c r="E65">
        <v>1950000</v>
      </c>
      <c r="F65">
        <v>30000</v>
      </c>
      <c r="G65" t="s">
        <v>4351</v>
      </c>
      <c r="H65" t="s">
        <v>3379</v>
      </c>
      <c r="I65" t="s">
        <v>4220</v>
      </c>
      <c r="J65" t="s">
        <v>4209</v>
      </c>
      <c r="K65">
        <v>1</v>
      </c>
      <c r="L65">
        <v>0</v>
      </c>
      <c r="O65" s="422">
        <v>46248</v>
      </c>
      <c r="P65" t="s">
        <v>4224</v>
      </c>
      <c r="Q65" s="422">
        <v>46133</v>
      </c>
      <c r="T65" s="422">
        <v>46178</v>
      </c>
      <c r="U65" t="s">
        <v>4349</v>
      </c>
      <c r="V65" s="422">
        <v>46133</v>
      </c>
      <c r="W65" s="422" t="str">
        <f t="shared" si="0"/>
        <v/>
      </c>
    </row>
    <row r="66" spans="1:23">
      <c r="A66" t="s">
        <v>4352</v>
      </c>
      <c r="B66" t="s">
        <v>4245</v>
      </c>
      <c r="C66" t="s">
        <v>4034</v>
      </c>
      <c r="D66" t="s">
        <v>4241</v>
      </c>
      <c r="E66">
        <v>2052000</v>
      </c>
      <c r="F66">
        <v>6000</v>
      </c>
      <c r="G66" t="s">
        <v>4353</v>
      </c>
      <c r="H66" t="s">
        <v>3390</v>
      </c>
      <c r="I66" t="s">
        <v>4220</v>
      </c>
      <c r="J66" t="s">
        <v>4209</v>
      </c>
      <c r="K66">
        <v>3</v>
      </c>
      <c r="L66">
        <v>0</v>
      </c>
      <c r="O66" s="422">
        <v>46286</v>
      </c>
      <c r="P66" t="s">
        <v>4224</v>
      </c>
      <c r="Q66" s="422">
        <v>46052</v>
      </c>
      <c r="T66" s="422">
        <v>46076</v>
      </c>
      <c r="U66" t="s">
        <v>3447</v>
      </c>
      <c r="V66" s="422">
        <v>45658</v>
      </c>
      <c r="W66" s="422" t="str">
        <f t="shared" si="0"/>
        <v/>
      </c>
    </row>
    <row r="67" spans="1:23">
      <c r="A67" t="s">
        <v>4354</v>
      </c>
      <c r="B67" t="s">
        <v>4204</v>
      </c>
      <c r="C67" t="s">
        <v>3445</v>
      </c>
      <c r="D67" t="s">
        <v>4222</v>
      </c>
      <c r="G67" t="s">
        <v>4353</v>
      </c>
      <c r="I67" t="s">
        <v>4208</v>
      </c>
      <c r="J67" t="s">
        <v>4263</v>
      </c>
      <c r="L67">
        <v>1</v>
      </c>
      <c r="M67" s="422">
        <v>46023</v>
      </c>
      <c r="N67" t="s">
        <v>3446</v>
      </c>
      <c r="Q67" s="422">
        <v>46052</v>
      </c>
      <c r="U67" t="s">
        <v>3447</v>
      </c>
      <c r="V67" s="422">
        <v>45658</v>
      </c>
      <c r="W67" s="422">
        <f t="shared" ref="W67:W130" si="1">IF(
OR(D67="Scheduling 1st customer meet",D67="Delivered 12 Minute Meeting",D67="Scheduling 2nd customer meet",D67="Converted to opportunity",D67="Delivered 12 Minute Meeting",D67="Delivered 40 Minute Meeting"),
IF(ISNUMBER(R67),R67,IF(ISNUMBER(V67),V67,"")),
""
)</f>
        <v>45658</v>
      </c>
    </row>
    <row r="68" spans="1:23">
      <c r="A68" t="s">
        <v>4355</v>
      </c>
      <c r="B68" t="s">
        <v>4204</v>
      </c>
      <c r="C68" t="s">
        <v>4356</v>
      </c>
      <c r="D68" t="s">
        <v>4205</v>
      </c>
      <c r="E68">
        <v>581400</v>
      </c>
      <c r="F68">
        <v>1700</v>
      </c>
      <c r="G68" t="s">
        <v>4357</v>
      </c>
      <c r="H68" t="s">
        <v>3405</v>
      </c>
      <c r="I68" t="s">
        <v>4220</v>
      </c>
      <c r="J68" t="s">
        <v>4209</v>
      </c>
      <c r="K68">
        <v>1</v>
      </c>
      <c r="L68">
        <v>0</v>
      </c>
      <c r="O68" s="422">
        <v>46233</v>
      </c>
      <c r="P68" t="s">
        <v>4224</v>
      </c>
      <c r="Q68" s="422">
        <v>46052</v>
      </c>
      <c r="R68" s="422">
        <v>46016</v>
      </c>
      <c r="T68" s="422">
        <v>45821</v>
      </c>
      <c r="U68" t="s">
        <v>1841</v>
      </c>
      <c r="V68" s="422">
        <v>46052</v>
      </c>
      <c r="W68" s="422" t="str">
        <f t="shared" si="1"/>
        <v/>
      </c>
    </row>
    <row r="69" spans="1:23">
      <c r="A69" t="s">
        <v>4358</v>
      </c>
      <c r="B69" t="s">
        <v>4204</v>
      </c>
      <c r="C69" t="s">
        <v>2437</v>
      </c>
      <c r="D69" t="s">
        <v>4205</v>
      </c>
      <c r="G69" t="s">
        <v>4359</v>
      </c>
      <c r="H69" t="s">
        <v>3405</v>
      </c>
      <c r="I69" t="s">
        <v>4208</v>
      </c>
      <c r="J69" t="s">
        <v>4209</v>
      </c>
      <c r="K69">
        <v>3</v>
      </c>
      <c r="L69">
        <v>0</v>
      </c>
      <c r="Q69" s="422">
        <v>46052</v>
      </c>
      <c r="U69" t="s">
        <v>1841</v>
      </c>
      <c r="V69" s="422">
        <v>46052</v>
      </c>
      <c r="W69" s="422" t="str">
        <f t="shared" si="1"/>
        <v/>
      </c>
    </row>
    <row r="70" spans="1:23">
      <c r="A70" t="s">
        <v>4360</v>
      </c>
      <c r="B70" t="s">
        <v>4204</v>
      </c>
      <c r="C70" t="s">
        <v>4361</v>
      </c>
      <c r="D70" t="s">
        <v>4241</v>
      </c>
      <c r="E70">
        <v>171000</v>
      </c>
      <c r="F70">
        <v>500</v>
      </c>
      <c r="G70" t="s">
        <v>4362</v>
      </c>
      <c r="H70" t="s">
        <v>3379</v>
      </c>
      <c r="I70" t="s">
        <v>4220</v>
      </c>
      <c r="J70" t="s">
        <v>4209</v>
      </c>
      <c r="K70">
        <v>3</v>
      </c>
      <c r="L70">
        <v>0</v>
      </c>
      <c r="O70" s="422">
        <v>46170</v>
      </c>
      <c r="P70" t="s">
        <v>4224</v>
      </c>
      <c r="Q70" s="422">
        <v>46142</v>
      </c>
      <c r="U70" t="s">
        <v>1841</v>
      </c>
      <c r="V70" s="422">
        <v>46142</v>
      </c>
      <c r="W70" s="422" t="str">
        <f t="shared" si="1"/>
        <v/>
      </c>
    </row>
    <row r="71" spans="1:23">
      <c r="A71" t="s">
        <v>4363</v>
      </c>
      <c r="B71" t="s">
        <v>4204</v>
      </c>
      <c r="C71" t="s">
        <v>4364</v>
      </c>
      <c r="D71" t="s">
        <v>4216</v>
      </c>
      <c r="E71">
        <v>2000000</v>
      </c>
      <c r="F71">
        <v>6000</v>
      </c>
      <c r="G71" t="s">
        <v>4365</v>
      </c>
      <c r="H71" t="s">
        <v>3379</v>
      </c>
      <c r="I71" t="s">
        <v>4220</v>
      </c>
      <c r="J71" t="s">
        <v>4209</v>
      </c>
      <c r="K71">
        <v>2</v>
      </c>
      <c r="L71">
        <v>0</v>
      </c>
      <c r="O71" s="422">
        <v>46206</v>
      </c>
      <c r="P71" t="s">
        <v>4224</v>
      </c>
      <c r="Q71" s="422">
        <v>46153</v>
      </c>
      <c r="T71" s="422">
        <v>46154</v>
      </c>
      <c r="U71" t="s">
        <v>1841</v>
      </c>
      <c r="V71" s="422">
        <v>46153</v>
      </c>
      <c r="W71" s="422" t="str">
        <f t="shared" si="1"/>
        <v/>
      </c>
    </row>
    <row r="72" spans="1:23">
      <c r="A72" t="s">
        <v>4366</v>
      </c>
      <c r="B72" t="s">
        <v>4204</v>
      </c>
      <c r="C72" t="s">
        <v>2017</v>
      </c>
      <c r="D72" t="s">
        <v>4310</v>
      </c>
      <c r="E72">
        <v>360000</v>
      </c>
      <c r="F72">
        <v>3000</v>
      </c>
      <c r="G72" t="s">
        <v>4367</v>
      </c>
      <c r="H72" t="s">
        <v>3379</v>
      </c>
      <c r="I72" t="s">
        <v>4220</v>
      </c>
      <c r="J72" t="s">
        <v>4209</v>
      </c>
      <c r="K72">
        <v>1</v>
      </c>
      <c r="L72">
        <v>0</v>
      </c>
      <c r="O72" s="422">
        <v>46237</v>
      </c>
      <c r="P72" t="s">
        <v>4224</v>
      </c>
      <c r="Q72" s="422">
        <v>46232</v>
      </c>
      <c r="R72" s="422">
        <v>46232</v>
      </c>
      <c r="S72" s="422">
        <v>46232</v>
      </c>
      <c r="T72" s="422">
        <v>46232</v>
      </c>
      <c r="U72" t="s">
        <v>1841</v>
      </c>
      <c r="V72" s="422">
        <v>46232</v>
      </c>
      <c r="W72" s="422">
        <f t="shared" si="1"/>
        <v>46232</v>
      </c>
    </row>
    <row r="73" spans="1:23">
      <c r="A73" t="s">
        <v>4368</v>
      </c>
      <c r="B73" t="s">
        <v>4204</v>
      </c>
      <c r="C73" t="s">
        <v>4019</v>
      </c>
      <c r="D73" t="s">
        <v>4205</v>
      </c>
      <c r="E73">
        <v>360000</v>
      </c>
      <c r="F73">
        <v>2000</v>
      </c>
      <c r="G73" t="s">
        <v>4369</v>
      </c>
      <c r="H73" t="s">
        <v>3379</v>
      </c>
      <c r="I73" t="s">
        <v>4220</v>
      </c>
      <c r="J73" t="s">
        <v>4209</v>
      </c>
      <c r="K73">
        <v>1</v>
      </c>
      <c r="L73">
        <v>0</v>
      </c>
      <c r="O73" s="422">
        <v>46199</v>
      </c>
      <c r="P73" t="s">
        <v>4224</v>
      </c>
      <c r="Q73" s="422">
        <v>46052</v>
      </c>
      <c r="R73" s="422">
        <v>46076</v>
      </c>
      <c r="T73" s="422">
        <v>45966</v>
      </c>
      <c r="U73" t="s">
        <v>1841</v>
      </c>
      <c r="V73" s="422">
        <v>46052</v>
      </c>
      <c r="W73" s="422" t="str">
        <f t="shared" si="1"/>
        <v/>
      </c>
    </row>
    <row r="74" spans="1:23">
      <c r="A74" t="s">
        <v>4370</v>
      </c>
      <c r="B74" t="s">
        <v>4204</v>
      </c>
      <c r="C74" t="s">
        <v>140</v>
      </c>
      <c r="D74" t="s">
        <v>4222</v>
      </c>
      <c r="E74">
        <v>684000</v>
      </c>
      <c r="F74">
        <v>2000</v>
      </c>
      <c r="G74" t="s">
        <v>4371</v>
      </c>
      <c r="H74" t="s">
        <v>3374</v>
      </c>
      <c r="I74" t="s">
        <v>4220</v>
      </c>
      <c r="J74" t="s">
        <v>4209</v>
      </c>
      <c r="L74">
        <v>1</v>
      </c>
      <c r="M74" s="422">
        <v>45793</v>
      </c>
      <c r="N74" t="s">
        <v>3433</v>
      </c>
      <c r="O74" s="422">
        <v>46136</v>
      </c>
      <c r="P74" t="s">
        <v>4224</v>
      </c>
      <c r="Q74" s="422">
        <v>46052</v>
      </c>
      <c r="R74" s="422">
        <v>46038</v>
      </c>
      <c r="S74" s="422">
        <v>46059</v>
      </c>
      <c r="T74" s="422">
        <v>45940</v>
      </c>
      <c r="U74" t="s">
        <v>1841</v>
      </c>
      <c r="V74" s="422">
        <v>46052</v>
      </c>
      <c r="W74" s="422">
        <f t="shared" si="1"/>
        <v>46038</v>
      </c>
    </row>
    <row r="75" spans="1:23">
      <c r="A75" t="s">
        <v>4372</v>
      </c>
      <c r="B75" t="s">
        <v>4204</v>
      </c>
      <c r="C75" t="s">
        <v>3430</v>
      </c>
      <c r="D75" t="s">
        <v>4222</v>
      </c>
      <c r="E75">
        <v>150000</v>
      </c>
      <c r="F75">
        <v>200</v>
      </c>
      <c r="G75" t="s">
        <v>4373</v>
      </c>
      <c r="H75" t="s">
        <v>3374</v>
      </c>
      <c r="I75" t="s">
        <v>4208</v>
      </c>
      <c r="J75" t="s">
        <v>4209</v>
      </c>
      <c r="K75">
        <v>3</v>
      </c>
      <c r="L75">
        <v>1</v>
      </c>
      <c r="M75" s="422">
        <v>46225</v>
      </c>
      <c r="N75" t="s">
        <v>3431</v>
      </c>
      <c r="P75" t="s">
        <v>4224</v>
      </c>
      <c r="Q75" s="422">
        <v>46052</v>
      </c>
      <c r="R75" s="422">
        <v>46205</v>
      </c>
      <c r="S75" s="422">
        <v>46213</v>
      </c>
      <c r="T75" s="422">
        <v>45821</v>
      </c>
      <c r="U75" t="s">
        <v>1841</v>
      </c>
      <c r="V75" s="422">
        <v>45821</v>
      </c>
      <c r="W75" s="422">
        <f t="shared" si="1"/>
        <v>46205</v>
      </c>
    </row>
    <row r="76" spans="1:23">
      <c r="A76" t="s">
        <v>4374</v>
      </c>
      <c r="B76" t="s">
        <v>4204</v>
      </c>
      <c r="C76" t="s">
        <v>4375</v>
      </c>
      <c r="D76" t="s">
        <v>4218</v>
      </c>
      <c r="E76">
        <v>180000</v>
      </c>
      <c r="F76">
        <v>1000</v>
      </c>
      <c r="G76" t="s">
        <v>4357</v>
      </c>
      <c r="H76" t="s">
        <v>3390</v>
      </c>
      <c r="I76" t="s">
        <v>4220</v>
      </c>
      <c r="J76" t="s">
        <v>4209</v>
      </c>
      <c r="K76">
        <v>2</v>
      </c>
      <c r="L76">
        <v>0</v>
      </c>
      <c r="O76" s="422">
        <v>46240</v>
      </c>
      <c r="Q76" s="422">
        <v>46052</v>
      </c>
      <c r="U76" t="s">
        <v>1841</v>
      </c>
      <c r="V76" s="422">
        <v>46052</v>
      </c>
      <c r="W76" s="422">
        <f t="shared" si="1"/>
        <v>46052</v>
      </c>
    </row>
    <row r="77" spans="1:23">
      <c r="A77" t="s">
        <v>4376</v>
      </c>
      <c r="B77" t="s">
        <v>4204</v>
      </c>
      <c r="C77" t="s">
        <v>1046</v>
      </c>
      <c r="D77" t="s">
        <v>4222</v>
      </c>
      <c r="E77">
        <v>2052000</v>
      </c>
      <c r="F77">
        <v>6000</v>
      </c>
      <c r="G77" t="s">
        <v>4377</v>
      </c>
      <c r="H77" t="s">
        <v>3390</v>
      </c>
      <c r="I77" t="s">
        <v>4220</v>
      </c>
      <c r="J77" t="s">
        <v>4209</v>
      </c>
      <c r="K77">
        <v>1</v>
      </c>
      <c r="L77">
        <v>0</v>
      </c>
      <c r="M77" s="422">
        <v>46169</v>
      </c>
      <c r="N77" t="s">
        <v>1840</v>
      </c>
      <c r="O77" s="422">
        <v>46189</v>
      </c>
      <c r="P77" t="s">
        <v>4224</v>
      </c>
      <c r="Q77" s="422">
        <v>46086</v>
      </c>
      <c r="R77" s="422">
        <v>46169</v>
      </c>
      <c r="S77" s="422">
        <v>46188</v>
      </c>
      <c r="T77" s="422">
        <v>46094</v>
      </c>
      <c r="U77" t="s">
        <v>1841</v>
      </c>
      <c r="V77" s="422">
        <v>46086</v>
      </c>
      <c r="W77" s="422">
        <f t="shared" si="1"/>
        <v>46169</v>
      </c>
    </row>
    <row r="78" spans="1:23">
      <c r="A78" t="s">
        <v>4378</v>
      </c>
      <c r="B78" t="s">
        <v>4204</v>
      </c>
      <c r="C78" t="s">
        <v>4379</v>
      </c>
      <c r="D78" t="s">
        <v>4241</v>
      </c>
      <c r="E78">
        <v>126000</v>
      </c>
      <c r="F78">
        <v>700</v>
      </c>
      <c r="G78" t="s">
        <v>4380</v>
      </c>
      <c r="H78" t="s">
        <v>3386</v>
      </c>
      <c r="I78" t="s">
        <v>4220</v>
      </c>
      <c r="J78" t="s">
        <v>4209</v>
      </c>
      <c r="K78">
        <v>2</v>
      </c>
      <c r="L78">
        <v>0</v>
      </c>
      <c r="O78" s="422">
        <v>46120</v>
      </c>
      <c r="P78" t="s">
        <v>4224</v>
      </c>
      <c r="Q78" s="422">
        <v>46052</v>
      </c>
      <c r="U78" t="s">
        <v>1841</v>
      </c>
      <c r="V78" s="422">
        <v>46052</v>
      </c>
      <c r="W78" s="422" t="str">
        <f t="shared" si="1"/>
        <v/>
      </c>
    </row>
    <row r="79" spans="1:23">
      <c r="A79" t="s">
        <v>4381</v>
      </c>
      <c r="B79" t="s">
        <v>4204</v>
      </c>
      <c r="C79" t="s">
        <v>4382</v>
      </c>
      <c r="D79" t="s">
        <v>4241</v>
      </c>
      <c r="H79" t="s">
        <v>3386</v>
      </c>
      <c r="I79" t="s">
        <v>4208</v>
      </c>
      <c r="J79" t="s">
        <v>4209</v>
      </c>
      <c r="K79">
        <v>3</v>
      </c>
      <c r="L79">
        <v>0</v>
      </c>
      <c r="Q79" s="422">
        <v>46055</v>
      </c>
      <c r="U79" t="s">
        <v>1841</v>
      </c>
      <c r="V79" s="422">
        <v>46055</v>
      </c>
      <c r="W79" s="422" t="str">
        <f t="shared" si="1"/>
        <v/>
      </c>
    </row>
    <row r="80" spans="1:23">
      <c r="A80" t="s">
        <v>4383</v>
      </c>
      <c r="B80" t="s">
        <v>4204</v>
      </c>
      <c r="C80" t="s">
        <v>4384</v>
      </c>
      <c r="D80" t="s">
        <v>4241</v>
      </c>
      <c r="I80" t="s">
        <v>4208</v>
      </c>
      <c r="J80" t="s">
        <v>4209</v>
      </c>
      <c r="K80">
        <v>2</v>
      </c>
      <c r="L80">
        <v>0</v>
      </c>
      <c r="Q80" s="422">
        <v>46052</v>
      </c>
      <c r="U80" t="s">
        <v>1841</v>
      </c>
      <c r="V80" s="422">
        <v>46052</v>
      </c>
      <c r="W80" s="422" t="str">
        <f t="shared" si="1"/>
        <v/>
      </c>
    </row>
    <row r="81" spans="1:23">
      <c r="A81" t="s">
        <v>4385</v>
      </c>
      <c r="B81" t="s">
        <v>4204</v>
      </c>
      <c r="C81" t="s">
        <v>4386</v>
      </c>
      <c r="D81" t="s">
        <v>4241</v>
      </c>
      <c r="I81" t="s">
        <v>4208</v>
      </c>
      <c r="J81" t="s">
        <v>4209</v>
      </c>
      <c r="K81">
        <v>2</v>
      </c>
      <c r="L81">
        <v>0</v>
      </c>
      <c r="Q81" s="422">
        <v>46052</v>
      </c>
      <c r="U81" t="s">
        <v>1841</v>
      </c>
      <c r="V81" s="422">
        <v>46052</v>
      </c>
      <c r="W81" s="422" t="str">
        <f t="shared" si="1"/>
        <v/>
      </c>
    </row>
    <row r="82" spans="1:23">
      <c r="A82" t="s">
        <v>4387</v>
      </c>
      <c r="B82" t="s">
        <v>4388</v>
      </c>
      <c r="C82" t="s">
        <v>4389</v>
      </c>
      <c r="D82" t="s">
        <v>4222</v>
      </c>
      <c r="G82" t="s">
        <v>4390</v>
      </c>
      <c r="H82" t="s">
        <v>4204</v>
      </c>
      <c r="J82" t="s">
        <v>4209</v>
      </c>
      <c r="L82">
        <v>1</v>
      </c>
      <c r="M82" s="422">
        <v>46062</v>
      </c>
      <c r="Q82" s="422">
        <v>46062</v>
      </c>
      <c r="U82" t="s">
        <v>4391</v>
      </c>
      <c r="V82" s="422">
        <v>46062</v>
      </c>
      <c r="W82" s="422">
        <f t="shared" si="1"/>
        <v>46062</v>
      </c>
    </row>
    <row r="83" spans="1:23">
      <c r="A83" t="s">
        <v>4392</v>
      </c>
      <c r="B83" t="s">
        <v>4393</v>
      </c>
      <c r="C83" t="s">
        <v>4389</v>
      </c>
      <c r="D83" t="s">
        <v>4241</v>
      </c>
      <c r="H83" t="s">
        <v>4388</v>
      </c>
      <c r="J83" t="s">
        <v>4209</v>
      </c>
      <c r="L83">
        <v>0</v>
      </c>
      <c r="Q83" s="422">
        <v>46078</v>
      </c>
      <c r="U83" t="s">
        <v>4391</v>
      </c>
      <c r="V83" s="422">
        <v>46078</v>
      </c>
      <c r="W83" s="422" t="str">
        <f t="shared" si="1"/>
        <v/>
      </c>
    </row>
    <row r="84" spans="1:23">
      <c r="A84" t="s">
        <v>4394</v>
      </c>
      <c r="B84" t="s">
        <v>4204</v>
      </c>
      <c r="C84" t="s">
        <v>3750</v>
      </c>
      <c r="D84" t="s">
        <v>4205</v>
      </c>
      <c r="G84" t="s">
        <v>4395</v>
      </c>
      <c r="H84" t="s">
        <v>4396</v>
      </c>
      <c r="I84" t="s">
        <v>4208</v>
      </c>
      <c r="J84" t="s">
        <v>4209</v>
      </c>
      <c r="L84">
        <v>0</v>
      </c>
      <c r="Q84" s="422">
        <v>46052</v>
      </c>
      <c r="U84" t="s">
        <v>169</v>
      </c>
      <c r="V84" s="422">
        <v>45748</v>
      </c>
      <c r="W84" s="422" t="str">
        <f t="shared" si="1"/>
        <v/>
      </c>
    </row>
    <row r="85" spans="1:23">
      <c r="A85" t="s">
        <v>4397</v>
      </c>
      <c r="B85" t="s">
        <v>4204</v>
      </c>
      <c r="C85" t="s">
        <v>4398</v>
      </c>
      <c r="D85" t="s">
        <v>4218</v>
      </c>
      <c r="E85">
        <v>243360</v>
      </c>
      <c r="F85">
        <v>1300</v>
      </c>
      <c r="G85" t="s">
        <v>4399</v>
      </c>
      <c r="H85" t="s">
        <v>3405</v>
      </c>
      <c r="I85" t="s">
        <v>4220</v>
      </c>
      <c r="J85" t="s">
        <v>4209</v>
      </c>
      <c r="K85">
        <v>3</v>
      </c>
      <c r="L85">
        <v>0</v>
      </c>
      <c r="O85" s="422">
        <v>46136</v>
      </c>
      <c r="P85" t="s">
        <v>4224</v>
      </c>
      <c r="Q85" s="422">
        <v>46052</v>
      </c>
      <c r="R85" s="422">
        <v>46114</v>
      </c>
      <c r="T85" s="422">
        <v>45974</v>
      </c>
      <c r="U85" t="s">
        <v>169</v>
      </c>
      <c r="V85" s="422">
        <v>45748</v>
      </c>
      <c r="W85" s="422">
        <f t="shared" si="1"/>
        <v>46114</v>
      </c>
    </row>
    <row r="86" spans="1:23">
      <c r="A86" t="s">
        <v>4400</v>
      </c>
      <c r="B86" t="s">
        <v>4204</v>
      </c>
      <c r="C86" t="s">
        <v>4401</v>
      </c>
      <c r="D86" t="s">
        <v>4222</v>
      </c>
      <c r="E86">
        <v>21000</v>
      </c>
      <c r="F86">
        <v>2</v>
      </c>
      <c r="G86" t="s">
        <v>4402</v>
      </c>
      <c r="H86" t="s">
        <v>3405</v>
      </c>
      <c r="I86" t="s">
        <v>4220</v>
      </c>
      <c r="J86" t="s">
        <v>4209</v>
      </c>
      <c r="K86">
        <v>1</v>
      </c>
      <c r="L86">
        <v>1</v>
      </c>
      <c r="M86" s="422">
        <v>46084</v>
      </c>
      <c r="N86" t="s">
        <v>3467</v>
      </c>
      <c r="P86" t="s">
        <v>4224</v>
      </c>
      <c r="Q86" s="422">
        <v>46084</v>
      </c>
      <c r="R86" s="422">
        <v>46084</v>
      </c>
      <c r="S86" s="422">
        <v>46084</v>
      </c>
      <c r="T86" s="422">
        <v>46084</v>
      </c>
      <c r="U86" t="s">
        <v>169</v>
      </c>
      <c r="V86" s="422">
        <v>46084</v>
      </c>
      <c r="W86" s="422">
        <f t="shared" si="1"/>
        <v>46084</v>
      </c>
    </row>
    <row r="87" spans="1:23">
      <c r="A87" t="s">
        <v>4403</v>
      </c>
      <c r="B87" t="s">
        <v>4204</v>
      </c>
      <c r="C87" t="s">
        <v>2382</v>
      </c>
      <c r="D87" t="s">
        <v>4218</v>
      </c>
      <c r="H87" t="s">
        <v>3405</v>
      </c>
      <c r="I87" t="s">
        <v>4208</v>
      </c>
      <c r="J87" t="s">
        <v>4209</v>
      </c>
      <c r="K87">
        <v>3</v>
      </c>
      <c r="L87">
        <v>0</v>
      </c>
      <c r="O87" s="422">
        <v>46136</v>
      </c>
      <c r="P87" t="s">
        <v>4224</v>
      </c>
      <c r="Q87" s="422">
        <v>46052</v>
      </c>
      <c r="R87" s="422">
        <v>46127</v>
      </c>
      <c r="U87" t="s">
        <v>169</v>
      </c>
      <c r="V87" s="422">
        <v>45658</v>
      </c>
      <c r="W87" s="422">
        <f t="shared" si="1"/>
        <v>46127</v>
      </c>
    </row>
    <row r="88" spans="1:23">
      <c r="A88" t="s">
        <v>4404</v>
      </c>
      <c r="B88" t="s">
        <v>4204</v>
      </c>
      <c r="C88" t="s">
        <v>1667</v>
      </c>
      <c r="D88" t="s">
        <v>4222</v>
      </c>
      <c r="F88">
        <v>2000</v>
      </c>
      <c r="G88" t="s">
        <v>4402</v>
      </c>
      <c r="H88" t="s">
        <v>3405</v>
      </c>
      <c r="I88" t="s">
        <v>4220</v>
      </c>
      <c r="J88" t="s">
        <v>4209</v>
      </c>
      <c r="L88">
        <v>1</v>
      </c>
      <c r="M88" s="422">
        <v>45931</v>
      </c>
      <c r="N88" t="s">
        <v>2425</v>
      </c>
      <c r="Q88" s="422">
        <v>46052</v>
      </c>
      <c r="U88" t="s">
        <v>169</v>
      </c>
      <c r="V88" s="422">
        <v>45931</v>
      </c>
      <c r="W88" s="422">
        <f t="shared" si="1"/>
        <v>45931</v>
      </c>
    </row>
    <row r="89" spans="1:23">
      <c r="A89" t="s">
        <v>4405</v>
      </c>
      <c r="B89" t="s">
        <v>4204</v>
      </c>
      <c r="C89" t="s">
        <v>2706</v>
      </c>
      <c r="D89" t="s">
        <v>4205</v>
      </c>
      <c r="F89">
        <v>3000</v>
      </c>
      <c r="G89" t="s">
        <v>4406</v>
      </c>
      <c r="H89" t="s">
        <v>3405</v>
      </c>
      <c r="I89" t="s">
        <v>4213</v>
      </c>
      <c r="J89" t="s">
        <v>4209</v>
      </c>
      <c r="K89">
        <v>2</v>
      </c>
      <c r="L89">
        <v>0</v>
      </c>
      <c r="Q89" s="422">
        <v>46052</v>
      </c>
      <c r="U89" t="s">
        <v>169</v>
      </c>
      <c r="V89" s="422">
        <v>45839</v>
      </c>
      <c r="W89" s="422" t="str">
        <f t="shared" si="1"/>
        <v/>
      </c>
    </row>
    <row r="90" spans="1:23">
      <c r="A90" t="s">
        <v>4407</v>
      </c>
      <c r="B90" t="s">
        <v>4204</v>
      </c>
      <c r="C90" t="s">
        <v>1581</v>
      </c>
      <c r="D90" t="s">
        <v>4222</v>
      </c>
      <c r="E90">
        <v>400000</v>
      </c>
      <c r="F90">
        <v>7000</v>
      </c>
      <c r="G90" t="s">
        <v>4406</v>
      </c>
      <c r="H90" t="s">
        <v>3379</v>
      </c>
      <c r="I90" t="s">
        <v>4213</v>
      </c>
      <c r="J90" t="s">
        <v>4209</v>
      </c>
      <c r="K90">
        <v>1</v>
      </c>
      <c r="L90">
        <v>1</v>
      </c>
      <c r="M90" s="422">
        <v>46168</v>
      </c>
      <c r="N90" t="s">
        <v>1579</v>
      </c>
      <c r="O90" s="422">
        <v>46171</v>
      </c>
      <c r="P90" t="s">
        <v>4224</v>
      </c>
      <c r="Q90" s="422">
        <v>46064</v>
      </c>
      <c r="R90" s="422">
        <v>46163</v>
      </c>
      <c r="S90" s="422">
        <v>46163</v>
      </c>
      <c r="T90" s="422">
        <v>46065</v>
      </c>
      <c r="U90" t="s">
        <v>169</v>
      </c>
      <c r="V90" s="422">
        <v>46064</v>
      </c>
      <c r="W90" s="422">
        <f t="shared" si="1"/>
        <v>46163</v>
      </c>
    </row>
    <row r="91" spans="1:23">
      <c r="A91" t="s">
        <v>4408</v>
      </c>
      <c r="B91" t="s">
        <v>4204</v>
      </c>
      <c r="C91" t="s">
        <v>1170</v>
      </c>
      <c r="D91" t="s">
        <v>4310</v>
      </c>
      <c r="E91">
        <v>733193</v>
      </c>
      <c r="F91">
        <v>2500</v>
      </c>
      <c r="G91" t="s">
        <v>4409</v>
      </c>
      <c r="H91" t="s">
        <v>3379</v>
      </c>
      <c r="I91" t="s">
        <v>4213</v>
      </c>
      <c r="J91" t="s">
        <v>4209</v>
      </c>
      <c r="K91">
        <v>1</v>
      </c>
      <c r="L91">
        <v>0</v>
      </c>
      <c r="O91" s="422">
        <v>46232</v>
      </c>
      <c r="P91" t="s">
        <v>4224</v>
      </c>
      <c r="Q91" s="422">
        <v>46150</v>
      </c>
      <c r="R91" s="422">
        <v>46150</v>
      </c>
      <c r="S91" s="422">
        <v>46153</v>
      </c>
      <c r="T91" s="422">
        <v>46150</v>
      </c>
      <c r="U91" t="s">
        <v>169</v>
      </c>
      <c r="V91" s="422">
        <v>46150</v>
      </c>
      <c r="W91" s="422">
        <f t="shared" si="1"/>
        <v>46150</v>
      </c>
    </row>
    <row r="92" spans="1:23">
      <c r="A92" t="s">
        <v>4410</v>
      </c>
      <c r="B92" t="s">
        <v>4204</v>
      </c>
      <c r="C92" t="s">
        <v>1170</v>
      </c>
      <c r="D92" t="s">
        <v>4310</v>
      </c>
      <c r="E92">
        <v>50000</v>
      </c>
      <c r="F92">
        <v>200</v>
      </c>
      <c r="G92" t="s">
        <v>4409</v>
      </c>
      <c r="H92" t="s">
        <v>3379</v>
      </c>
      <c r="I92" t="s">
        <v>4213</v>
      </c>
      <c r="J92" t="s">
        <v>4209</v>
      </c>
      <c r="K92">
        <v>1</v>
      </c>
      <c r="L92">
        <v>0</v>
      </c>
      <c r="O92" s="422">
        <v>46157</v>
      </c>
      <c r="P92" t="s">
        <v>4224</v>
      </c>
      <c r="Q92" s="422">
        <v>46052</v>
      </c>
      <c r="R92" s="422">
        <v>46078</v>
      </c>
      <c r="S92" s="422">
        <v>46153</v>
      </c>
      <c r="T92" s="422">
        <v>46038</v>
      </c>
      <c r="U92" t="s">
        <v>169</v>
      </c>
      <c r="V92" s="422">
        <v>46052</v>
      </c>
      <c r="W92" s="422">
        <f t="shared" si="1"/>
        <v>46078</v>
      </c>
    </row>
    <row r="93" spans="1:23">
      <c r="A93" t="s">
        <v>4411</v>
      </c>
      <c r="B93" t="s">
        <v>4204</v>
      </c>
      <c r="C93" t="s">
        <v>4023</v>
      </c>
      <c r="D93" t="s">
        <v>4205</v>
      </c>
      <c r="G93" t="s">
        <v>4412</v>
      </c>
      <c r="H93" t="s">
        <v>3379</v>
      </c>
      <c r="I93" t="s">
        <v>4208</v>
      </c>
      <c r="J93" t="s">
        <v>4209</v>
      </c>
      <c r="K93">
        <v>3</v>
      </c>
      <c r="L93">
        <v>0</v>
      </c>
      <c r="Q93" s="422">
        <v>46052</v>
      </c>
      <c r="U93" t="s">
        <v>169</v>
      </c>
      <c r="V93" s="422">
        <v>45658</v>
      </c>
      <c r="W93" s="422" t="str">
        <f t="shared" si="1"/>
        <v/>
      </c>
    </row>
    <row r="94" spans="1:23">
      <c r="A94" t="s">
        <v>4413</v>
      </c>
      <c r="B94" t="s">
        <v>4204</v>
      </c>
      <c r="C94" t="s">
        <v>1585</v>
      </c>
      <c r="D94" t="s">
        <v>4222</v>
      </c>
      <c r="F94">
        <v>9000</v>
      </c>
      <c r="G94" t="s">
        <v>4414</v>
      </c>
      <c r="H94" t="s">
        <v>3379</v>
      </c>
      <c r="I94" t="s">
        <v>4220</v>
      </c>
      <c r="J94" t="s">
        <v>4209</v>
      </c>
      <c r="L94">
        <v>1</v>
      </c>
      <c r="M94" s="422">
        <v>45995</v>
      </c>
      <c r="N94" t="s">
        <v>1583</v>
      </c>
      <c r="Q94" s="422">
        <v>46052</v>
      </c>
      <c r="U94" t="s">
        <v>169</v>
      </c>
      <c r="V94" s="422">
        <v>45931</v>
      </c>
      <c r="W94" s="422">
        <f t="shared" si="1"/>
        <v>45931</v>
      </c>
    </row>
    <row r="95" spans="1:23">
      <c r="A95" t="s">
        <v>4415</v>
      </c>
      <c r="B95" t="s">
        <v>4204</v>
      </c>
      <c r="C95" t="s">
        <v>4416</v>
      </c>
      <c r="D95" t="s">
        <v>4216</v>
      </c>
      <c r="E95">
        <v>171000</v>
      </c>
      <c r="F95">
        <v>500</v>
      </c>
      <c r="G95" t="s">
        <v>4417</v>
      </c>
      <c r="H95" t="s">
        <v>3379</v>
      </c>
      <c r="I95" t="s">
        <v>4220</v>
      </c>
      <c r="J95" t="s">
        <v>4209</v>
      </c>
      <c r="K95">
        <v>3</v>
      </c>
      <c r="L95">
        <v>0</v>
      </c>
      <c r="O95" s="422">
        <v>46136</v>
      </c>
      <c r="Q95" s="422">
        <v>46052</v>
      </c>
      <c r="T95" s="422">
        <v>46127</v>
      </c>
      <c r="U95" t="s">
        <v>169</v>
      </c>
      <c r="V95" s="422">
        <v>45748</v>
      </c>
      <c r="W95" s="422" t="str">
        <f t="shared" si="1"/>
        <v/>
      </c>
    </row>
    <row r="96" spans="1:23">
      <c r="A96" t="s">
        <v>4418</v>
      </c>
      <c r="B96" t="s">
        <v>4204</v>
      </c>
      <c r="C96" t="s">
        <v>2009</v>
      </c>
      <c r="D96" t="s">
        <v>4222</v>
      </c>
      <c r="E96">
        <v>1368000</v>
      </c>
      <c r="F96">
        <v>3800</v>
      </c>
      <c r="G96" t="s">
        <v>4399</v>
      </c>
      <c r="H96" t="s">
        <v>3379</v>
      </c>
      <c r="I96" t="s">
        <v>4208</v>
      </c>
      <c r="J96" t="s">
        <v>4209</v>
      </c>
      <c r="K96">
        <v>1</v>
      </c>
      <c r="L96">
        <v>1</v>
      </c>
      <c r="M96" s="422">
        <v>46078</v>
      </c>
      <c r="N96" t="s">
        <v>2007</v>
      </c>
      <c r="O96" s="422">
        <v>46171</v>
      </c>
      <c r="P96" t="s">
        <v>4224</v>
      </c>
      <c r="Q96" s="422">
        <v>46052</v>
      </c>
      <c r="R96" s="422">
        <v>46076</v>
      </c>
      <c r="S96" s="422">
        <v>46077</v>
      </c>
      <c r="T96" s="422">
        <v>46070</v>
      </c>
      <c r="U96" t="s">
        <v>169</v>
      </c>
      <c r="V96" s="422">
        <v>46052</v>
      </c>
      <c r="W96" s="422">
        <f t="shared" si="1"/>
        <v>46076</v>
      </c>
    </row>
    <row r="97" spans="1:23">
      <c r="A97" t="s">
        <v>4419</v>
      </c>
      <c r="B97" t="s">
        <v>4204</v>
      </c>
      <c r="C97" t="s">
        <v>1637</v>
      </c>
      <c r="D97" t="s">
        <v>4218</v>
      </c>
      <c r="E97">
        <v>1026000</v>
      </c>
      <c r="F97">
        <v>2000</v>
      </c>
      <c r="G97" t="s">
        <v>4420</v>
      </c>
      <c r="H97" t="s">
        <v>3379</v>
      </c>
      <c r="I97" t="s">
        <v>4220</v>
      </c>
      <c r="J97" t="s">
        <v>4209</v>
      </c>
      <c r="K97">
        <v>1</v>
      </c>
      <c r="L97">
        <v>0</v>
      </c>
      <c r="O97" s="422">
        <v>46184</v>
      </c>
      <c r="P97" t="s">
        <v>4224</v>
      </c>
      <c r="Q97" s="422">
        <v>46052</v>
      </c>
      <c r="R97" s="422">
        <v>46104</v>
      </c>
      <c r="T97" s="422">
        <v>46104</v>
      </c>
      <c r="U97" t="s">
        <v>169</v>
      </c>
      <c r="V97" s="422">
        <v>45748</v>
      </c>
      <c r="W97" s="422">
        <f t="shared" si="1"/>
        <v>46104</v>
      </c>
    </row>
    <row r="98" spans="1:23">
      <c r="A98" t="s">
        <v>4421</v>
      </c>
      <c r="B98" t="s">
        <v>4204</v>
      </c>
      <c r="C98" t="s">
        <v>4422</v>
      </c>
      <c r="D98" t="s">
        <v>4216</v>
      </c>
      <c r="E98">
        <v>615000</v>
      </c>
      <c r="F98">
        <v>1800</v>
      </c>
      <c r="G98" t="s">
        <v>4417</v>
      </c>
      <c r="H98" t="s">
        <v>3398</v>
      </c>
      <c r="I98" t="s">
        <v>4220</v>
      </c>
      <c r="J98" t="s">
        <v>4209</v>
      </c>
      <c r="K98">
        <v>2</v>
      </c>
      <c r="L98">
        <v>0</v>
      </c>
      <c r="O98" s="422">
        <v>46150</v>
      </c>
      <c r="P98" t="s">
        <v>4224</v>
      </c>
      <c r="Q98" s="422">
        <v>46052</v>
      </c>
      <c r="T98" s="422">
        <v>46090</v>
      </c>
      <c r="U98" t="s">
        <v>169</v>
      </c>
      <c r="V98" s="422">
        <v>45658</v>
      </c>
      <c r="W98" s="422" t="str">
        <f t="shared" si="1"/>
        <v/>
      </c>
    </row>
    <row r="99" spans="1:23">
      <c r="A99" t="s">
        <v>4423</v>
      </c>
      <c r="B99" t="s">
        <v>4204</v>
      </c>
      <c r="C99" t="s">
        <v>1162</v>
      </c>
      <c r="D99" t="s">
        <v>4218</v>
      </c>
      <c r="H99" t="s">
        <v>3398</v>
      </c>
      <c r="I99" t="s">
        <v>4208</v>
      </c>
      <c r="J99" t="s">
        <v>4209</v>
      </c>
      <c r="K99">
        <v>2</v>
      </c>
      <c r="L99">
        <v>0</v>
      </c>
      <c r="Q99" s="422">
        <v>46052</v>
      </c>
      <c r="U99" t="s">
        <v>169</v>
      </c>
      <c r="V99" s="422">
        <v>45931</v>
      </c>
      <c r="W99" s="422">
        <f t="shared" si="1"/>
        <v>45931</v>
      </c>
    </row>
    <row r="100" spans="1:23">
      <c r="A100" t="s">
        <v>4424</v>
      </c>
      <c r="B100" t="s">
        <v>4204</v>
      </c>
      <c r="C100" t="s">
        <v>4425</v>
      </c>
      <c r="D100" t="s">
        <v>4205</v>
      </c>
      <c r="F100">
        <v>500</v>
      </c>
      <c r="G100" t="s">
        <v>4426</v>
      </c>
      <c r="H100" t="s">
        <v>3374</v>
      </c>
      <c r="I100" t="s">
        <v>4213</v>
      </c>
      <c r="J100" t="s">
        <v>4209</v>
      </c>
      <c r="K100">
        <v>3</v>
      </c>
      <c r="L100">
        <v>0</v>
      </c>
      <c r="Q100" s="422">
        <v>46055</v>
      </c>
      <c r="U100" t="s">
        <v>169</v>
      </c>
      <c r="V100" s="422">
        <v>45931</v>
      </c>
      <c r="W100" s="422" t="str">
        <f t="shared" si="1"/>
        <v/>
      </c>
    </row>
    <row r="101" spans="1:23">
      <c r="A101" t="s">
        <v>4427</v>
      </c>
      <c r="B101" t="s">
        <v>4204</v>
      </c>
      <c r="C101" t="s">
        <v>4428</v>
      </c>
      <c r="D101" t="s">
        <v>4216</v>
      </c>
      <c r="E101">
        <v>84240</v>
      </c>
      <c r="F101">
        <v>450</v>
      </c>
      <c r="G101" t="s">
        <v>4426</v>
      </c>
      <c r="H101" t="s">
        <v>3374</v>
      </c>
      <c r="I101" t="s">
        <v>4213</v>
      </c>
      <c r="J101" t="s">
        <v>4209</v>
      </c>
      <c r="K101">
        <v>2</v>
      </c>
      <c r="L101">
        <v>0</v>
      </c>
      <c r="Q101" s="422">
        <v>46052</v>
      </c>
      <c r="U101" t="s">
        <v>169</v>
      </c>
      <c r="V101" s="422">
        <v>45931</v>
      </c>
      <c r="W101" s="422" t="str">
        <f t="shared" si="1"/>
        <v/>
      </c>
    </row>
    <row r="102" spans="1:23">
      <c r="A102" t="s">
        <v>4429</v>
      </c>
      <c r="B102" t="s">
        <v>4204</v>
      </c>
      <c r="C102" t="s">
        <v>4430</v>
      </c>
      <c r="D102" t="s">
        <v>4216</v>
      </c>
      <c r="E102">
        <v>56160</v>
      </c>
      <c r="F102">
        <v>300</v>
      </c>
      <c r="G102" t="s">
        <v>4426</v>
      </c>
      <c r="H102" t="s">
        <v>3374</v>
      </c>
      <c r="I102" t="s">
        <v>4213</v>
      </c>
      <c r="J102" t="s">
        <v>4209</v>
      </c>
      <c r="K102">
        <v>2</v>
      </c>
      <c r="L102">
        <v>0</v>
      </c>
      <c r="Q102" s="422">
        <v>46052</v>
      </c>
      <c r="U102" t="s">
        <v>169</v>
      </c>
      <c r="V102" s="422">
        <v>45931</v>
      </c>
      <c r="W102" s="422" t="str">
        <f t="shared" si="1"/>
        <v/>
      </c>
    </row>
    <row r="103" spans="1:23">
      <c r="A103" t="s">
        <v>4431</v>
      </c>
      <c r="B103" t="s">
        <v>4204</v>
      </c>
      <c r="C103" t="s">
        <v>4432</v>
      </c>
      <c r="D103" t="s">
        <v>4205</v>
      </c>
      <c r="G103" t="s">
        <v>4433</v>
      </c>
      <c r="H103" t="s">
        <v>3350</v>
      </c>
      <c r="I103" t="s">
        <v>4208</v>
      </c>
      <c r="J103" t="s">
        <v>4209</v>
      </c>
      <c r="K103">
        <v>3</v>
      </c>
      <c r="L103">
        <v>0</v>
      </c>
      <c r="Q103" s="422">
        <v>46052</v>
      </c>
      <c r="U103" t="s">
        <v>169</v>
      </c>
      <c r="V103" s="422">
        <v>45748</v>
      </c>
      <c r="W103" s="422" t="str">
        <f t="shared" si="1"/>
        <v/>
      </c>
    </row>
    <row r="104" spans="1:23">
      <c r="A104" t="s">
        <v>4434</v>
      </c>
      <c r="B104" t="s">
        <v>4204</v>
      </c>
      <c r="C104" t="s">
        <v>3293</v>
      </c>
      <c r="D104" t="s">
        <v>4205</v>
      </c>
      <c r="G104" t="s">
        <v>4433</v>
      </c>
      <c r="H104" t="s">
        <v>3350</v>
      </c>
      <c r="I104" t="s">
        <v>4208</v>
      </c>
      <c r="J104" t="s">
        <v>4209</v>
      </c>
      <c r="K104">
        <v>2</v>
      </c>
      <c r="L104">
        <v>0</v>
      </c>
      <c r="Q104" s="422">
        <v>46052</v>
      </c>
      <c r="U104" t="s">
        <v>169</v>
      </c>
      <c r="V104" s="422">
        <v>45839</v>
      </c>
      <c r="W104" s="422" t="str">
        <f t="shared" si="1"/>
        <v/>
      </c>
    </row>
    <row r="105" spans="1:23">
      <c r="A105" t="s">
        <v>4435</v>
      </c>
      <c r="B105" t="s">
        <v>4204</v>
      </c>
      <c r="D105" t="s">
        <v>4216</v>
      </c>
      <c r="H105" t="s">
        <v>4204</v>
      </c>
      <c r="I105" t="s">
        <v>4220</v>
      </c>
      <c r="J105" t="s">
        <v>4209</v>
      </c>
      <c r="K105">
        <v>2</v>
      </c>
      <c r="L105">
        <v>0</v>
      </c>
      <c r="Q105" s="422">
        <v>46055</v>
      </c>
      <c r="U105" t="s">
        <v>169</v>
      </c>
      <c r="V105" s="422">
        <v>45931</v>
      </c>
      <c r="W105" s="422" t="str">
        <f t="shared" si="1"/>
        <v/>
      </c>
    </row>
    <row r="106" spans="1:23">
      <c r="A106" t="s">
        <v>4436</v>
      </c>
      <c r="B106" t="s">
        <v>4204</v>
      </c>
      <c r="D106" t="s">
        <v>4216</v>
      </c>
      <c r="H106" t="s">
        <v>4204</v>
      </c>
      <c r="I106" t="s">
        <v>4220</v>
      </c>
      <c r="J106" t="s">
        <v>4209</v>
      </c>
      <c r="K106">
        <v>2</v>
      </c>
      <c r="L106">
        <v>0</v>
      </c>
      <c r="Q106" s="422">
        <v>46055</v>
      </c>
      <c r="U106" t="s">
        <v>169</v>
      </c>
      <c r="V106" s="422">
        <v>45931</v>
      </c>
      <c r="W106" s="422" t="str">
        <f t="shared" si="1"/>
        <v/>
      </c>
    </row>
    <row r="107" spans="1:23">
      <c r="A107" t="s">
        <v>4437</v>
      </c>
      <c r="B107" t="s">
        <v>4204</v>
      </c>
      <c r="D107" t="s">
        <v>4216</v>
      </c>
      <c r="H107" t="s">
        <v>4204</v>
      </c>
      <c r="I107" t="s">
        <v>4220</v>
      </c>
      <c r="J107" t="s">
        <v>4209</v>
      </c>
      <c r="K107">
        <v>2</v>
      </c>
      <c r="L107">
        <v>0</v>
      </c>
      <c r="Q107" s="422">
        <v>46055</v>
      </c>
      <c r="U107" t="s">
        <v>169</v>
      </c>
      <c r="V107" s="422">
        <v>45931</v>
      </c>
      <c r="W107" s="422" t="str">
        <f t="shared" si="1"/>
        <v/>
      </c>
    </row>
    <row r="108" spans="1:23">
      <c r="A108" t="s">
        <v>4438</v>
      </c>
      <c r="B108" t="s">
        <v>4204</v>
      </c>
      <c r="C108" t="s">
        <v>4439</v>
      </c>
      <c r="D108" t="s">
        <v>4216</v>
      </c>
      <c r="H108" t="s">
        <v>4204</v>
      </c>
      <c r="I108" t="s">
        <v>4220</v>
      </c>
      <c r="J108" t="s">
        <v>4209</v>
      </c>
      <c r="K108">
        <v>2</v>
      </c>
      <c r="L108">
        <v>0</v>
      </c>
      <c r="Q108" s="422">
        <v>46055</v>
      </c>
      <c r="U108" t="s">
        <v>169</v>
      </c>
      <c r="V108" s="422">
        <v>45931</v>
      </c>
      <c r="W108" s="422" t="str">
        <f t="shared" si="1"/>
        <v/>
      </c>
    </row>
    <row r="109" spans="1:23">
      <c r="A109" t="s">
        <v>4440</v>
      </c>
      <c r="B109" t="s">
        <v>4204</v>
      </c>
      <c r="C109" t="s">
        <v>4441</v>
      </c>
      <c r="D109" t="s">
        <v>4216</v>
      </c>
      <c r="H109" t="s">
        <v>4204</v>
      </c>
      <c r="I109" t="s">
        <v>4220</v>
      </c>
      <c r="J109" t="s">
        <v>4209</v>
      </c>
      <c r="K109">
        <v>2</v>
      </c>
      <c r="L109">
        <v>0</v>
      </c>
      <c r="Q109" s="422">
        <v>46055</v>
      </c>
      <c r="U109" t="s">
        <v>169</v>
      </c>
      <c r="V109" s="422">
        <v>45931</v>
      </c>
      <c r="W109" s="422" t="str">
        <f t="shared" si="1"/>
        <v/>
      </c>
    </row>
    <row r="110" spans="1:23">
      <c r="A110" t="s">
        <v>4442</v>
      </c>
      <c r="B110" t="s">
        <v>4204</v>
      </c>
      <c r="C110" t="s">
        <v>4443</v>
      </c>
      <c r="D110" t="s">
        <v>4216</v>
      </c>
      <c r="H110" t="s">
        <v>4204</v>
      </c>
      <c r="I110" t="s">
        <v>4220</v>
      </c>
      <c r="J110" t="s">
        <v>4209</v>
      </c>
      <c r="K110">
        <v>2</v>
      </c>
      <c r="L110">
        <v>0</v>
      </c>
      <c r="Q110" s="422">
        <v>46055</v>
      </c>
      <c r="U110" t="s">
        <v>169</v>
      </c>
      <c r="V110" s="422">
        <v>45931</v>
      </c>
      <c r="W110" s="422" t="str">
        <f t="shared" si="1"/>
        <v/>
      </c>
    </row>
    <row r="111" spans="1:23">
      <c r="A111" t="s">
        <v>4444</v>
      </c>
      <c r="B111" t="s">
        <v>4204</v>
      </c>
      <c r="C111" t="s">
        <v>4445</v>
      </c>
      <c r="D111" t="s">
        <v>4216</v>
      </c>
      <c r="H111" t="s">
        <v>4204</v>
      </c>
      <c r="I111" t="s">
        <v>4220</v>
      </c>
      <c r="J111" t="s">
        <v>4209</v>
      </c>
      <c r="K111">
        <v>2</v>
      </c>
      <c r="L111">
        <v>0</v>
      </c>
      <c r="Q111" s="422">
        <v>46055</v>
      </c>
      <c r="U111" t="s">
        <v>169</v>
      </c>
      <c r="V111" s="422">
        <v>45931</v>
      </c>
      <c r="W111" s="422" t="str">
        <f t="shared" si="1"/>
        <v/>
      </c>
    </row>
    <row r="112" spans="1:23">
      <c r="A112" t="s">
        <v>4446</v>
      </c>
      <c r="B112" t="s">
        <v>4204</v>
      </c>
      <c r="C112" t="s">
        <v>4447</v>
      </c>
      <c r="D112" t="s">
        <v>4222</v>
      </c>
      <c r="F112">
        <v>200</v>
      </c>
      <c r="G112" t="s">
        <v>4448</v>
      </c>
      <c r="H112" t="s">
        <v>4204</v>
      </c>
      <c r="I112" t="s">
        <v>4208</v>
      </c>
      <c r="J112" t="s">
        <v>4209</v>
      </c>
      <c r="L112">
        <v>1</v>
      </c>
      <c r="M112" s="422">
        <v>46001</v>
      </c>
      <c r="N112" t="s">
        <v>4449</v>
      </c>
      <c r="Q112" s="422">
        <v>46052</v>
      </c>
      <c r="U112" t="s">
        <v>169</v>
      </c>
      <c r="V112" s="422">
        <v>45931</v>
      </c>
      <c r="W112" s="422">
        <f t="shared" si="1"/>
        <v>45931</v>
      </c>
    </row>
    <row r="113" spans="1:23">
      <c r="A113" t="s">
        <v>4450</v>
      </c>
      <c r="B113" t="s">
        <v>4204</v>
      </c>
      <c r="C113" t="s">
        <v>4451</v>
      </c>
      <c r="D113" t="s">
        <v>4216</v>
      </c>
      <c r="E113">
        <v>216000</v>
      </c>
      <c r="F113">
        <v>800</v>
      </c>
      <c r="G113" t="s">
        <v>4406</v>
      </c>
      <c r="H113" t="s">
        <v>3390</v>
      </c>
      <c r="I113" t="s">
        <v>4220</v>
      </c>
      <c r="J113" t="s">
        <v>4209</v>
      </c>
      <c r="K113">
        <v>1</v>
      </c>
      <c r="L113">
        <v>0</v>
      </c>
      <c r="O113" s="422">
        <v>46185</v>
      </c>
      <c r="P113" t="s">
        <v>4224</v>
      </c>
      <c r="Q113" s="422">
        <v>46127</v>
      </c>
      <c r="T113" s="422">
        <v>46127</v>
      </c>
      <c r="U113" t="s">
        <v>169</v>
      </c>
      <c r="V113" s="422">
        <v>46127</v>
      </c>
      <c r="W113" s="422" t="str">
        <f t="shared" si="1"/>
        <v/>
      </c>
    </row>
    <row r="114" spans="1:23">
      <c r="A114" t="s">
        <v>4452</v>
      </c>
      <c r="B114" t="s">
        <v>4204</v>
      </c>
      <c r="C114" t="s">
        <v>4453</v>
      </c>
      <c r="D114" t="s">
        <v>4241</v>
      </c>
      <c r="E114">
        <v>250000</v>
      </c>
      <c r="F114">
        <v>1000</v>
      </c>
      <c r="G114" t="s">
        <v>4454</v>
      </c>
      <c r="H114" t="s">
        <v>3390</v>
      </c>
      <c r="I114" t="s">
        <v>4213</v>
      </c>
      <c r="J114" t="s">
        <v>4209</v>
      </c>
      <c r="K114">
        <v>3</v>
      </c>
      <c r="L114">
        <v>0</v>
      </c>
      <c r="O114" s="422">
        <v>46164</v>
      </c>
      <c r="P114" t="s">
        <v>4224</v>
      </c>
      <c r="Q114" s="422">
        <v>46114</v>
      </c>
      <c r="U114" t="s">
        <v>169</v>
      </c>
      <c r="V114" s="422">
        <v>46114</v>
      </c>
      <c r="W114" s="422" t="str">
        <f t="shared" si="1"/>
        <v/>
      </c>
    </row>
    <row r="115" spans="1:23">
      <c r="A115" t="s">
        <v>4455</v>
      </c>
      <c r="B115" t="s">
        <v>4204</v>
      </c>
      <c r="C115" t="s">
        <v>1528</v>
      </c>
      <c r="D115" t="s">
        <v>4222</v>
      </c>
      <c r="E115">
        <v>43896</v>
      </c>
      <c r="F115">
        <v>300</v>
      </c>
      <c r="G115" t="s">
        <v>4406</v>
      </c>
      <c r="H115" t="s">
        <v>3390</v>
      </c>
      <c r="I115" t="s">
        <v>4220</v>
      </c>
      <c r="J115" t="s">
        <v>4209</v>
      </c>
      <c r="K115">
        <v>1</v>
      </c>
      <c r="L115">
        <v>1</v>
      </c>
      <c r="M115" s="422">
        <v>46195</v>
      </c>
      <c r="N115" t="s">
        <v>1526</v>
      </c>
      <c r="O115" s="422">
        <v>46198</v>
      </c>
      <c r="P115" t="s">
        <v>4224</v>
      </c>
      <c r="Q115" s="422">
        <v>46183</v>
      </c>
      <c r="R115" s="422">
        <v>46189</v>
      </c>
      <c r="S115" s="422">
        <v>46189</v>
      </c>
      <c r="T115" s="422">
        <v>46183</v>
      </c>
      <c r="U115" t="s">
        <v>169</v>
      </c>
      <c r="V115" s="422">
        <v>46183</v>
      </c>
      <c r="W115" s="422">
        <f t="shared" si="1"/>
        <v>46189</v>
      </c>
    </row>
    <row r="116" spans="1:23">
      <c r="A116" t="s">
        <v>4456</v>
      </c>
      <c r="B116" t="s">
        <v>4204</v>
      </c>
      <c r="C116" t="s">
        <v>4457</v>
      </c>
      <c r="D116" t="s">
        <v>4218</v>
      </c>
      <c r="E116">
        <v>478800</v>
      </c>
      <c r="F116">
        <v>1400</v>
      </c>
      <c r="G116" t="s">
        <v>4420</v>
      </c>
      <c r="H116" t="s">
        <v>3390</v>
      </c>
      <c r="I116" t="s">
        <v>4208</v>
      </c>
      <c r="J116" t="s">
        <v>4209</v>
      </c>
      <c r="K116">
        <v>1</v>
      </c>
      <c r="L116">
        <v>0</v>
      </c>
      <c r="O116" s="422">
        <v>46184</v>
      </c>
      <c r="P116" t="s">
        <v>4224</v>
      </c>
      <c r="Q116" s="422">
        <v>46052</v>
      </c>
      <c r="T116" s="422">
        <v>46091</v>
      </c>
      <c r="U116" t="s">
        <v>169</v>
      </c>
      <c r="V116" s="422">
        <v>45748</v>
      </c>
      <c r="W116" s="422">
        <f t="shared" si="1"/>
        <v>45748</v>
      </c>
    </row>
    <row r="117" spans="1:23">
      <c r="A117" t="s">
        <v>4458</v>
      </c>
      <c r="B117" t="s">
        <v>4204</v>
      </c>
      <c r="C117" t="s">
        <v>4459</v>
      </c>
      <c r="D117" t="s">
        <v>4205</v>
      </c>
      <c r="E117">
        <v>557000</v>
      </c>
      <c r="F117">
        <v>1630</v>
      </c>
      <c r="G117" t="s">
        <v>4460</v>
      </c>
      <c r="H117" t="s">
        <v>3390</v>
      </c>
      <c r="I117" t="s">
        <v>4208</v>
      </c>
      <c r="J117" t="s">
        <v>4209</v>
      </c>
      <c r="K117">
        <v>2</v>
      </c>
      <c r="L117">
        <v>0</v>
      </c>
      <c r="P117" t="s">
        <v>4224</v>
      </c>
      <c r="Q117" s="422">
        <v>46055</v>
      </c>
      <c r="T117" s="422">
        <v>45929</v>
      </c>
      <c r="U117" t="s">
        <v>169</v>
      </c>
      <c r="V117" s="422">
        <v>45748</v>
      </c>
      <c r="W117" s="422" t="str">
        <f t="shared" si="1"/>
        <v/>
      </c>
    </row>
    <row r="118" spans="1:23">
      <c r="A118" t="s">
        <v>4461</v>
      </c>
      <c r="B118" t="s">
        <v>4204</v>
      </c>
      <c r="C118" t="s">
        <v>4462</v>
      </c>
      <c r="D118" t="s">
        <v>4218</v>
      </c>
      <c r="E118">
        <v>120000</v>
      </c>
      <c r="F118">
        <v>400</v>
      </c>
      <c r="G118" t="s">
        <v>4463</v>
      </c>
      <c r="H118" t="s">
        <v>3390</v>
      </c>
      <c r="I118" t="s">
        <v>4220</v>
      </c>
      <c r="J118" t="s">
        <v>4209</v>
      </c>
      <c r="K118">
        <v>3</v>
      </c>
      <c r="L118">
        <v>0</v>
      </c>
      <c r="Q118" s="422">
        <v>46052</v>
      </c>
      <c r="U118" t="s">
        <v>169</v>
      </c>
      <c r="V118" s="422">
        <v>45839</v>
      </c>
      <c r="W118" s="422">
        <f t="shared" si="1"/>
        <v>45839</v>
      </c>
    </row>
    <row r="119" spans="1:23">
      <c r="A119" t="s">
        <v>4464</v>
      </c>
      <c r="B119" t="s">
        <v>4204</v>
      </c>
      <c r="C119" t="s">
        <v>4465</v>
      </c>
      <c r="D119" t="s">
        <v>4216</v>
      </c>
      <c r="E119">
        <v>2394000</v>
      </c>
      <c r="F119">
        <v>7000</v>
      </c>
      <c r="G119" t="s">
        <v>4406</v>
      </c>
      <c r="H119" t="s">
        <v>3390</v>
      </c>
      <c r="I119" t="s">
        <v>4213</v>
      </c>
      <c r="J119" t="s">
        <v>4209</v>
      </c>
      <c r="K119">
        <v>2</v>
      </c>
      <c r="L119">
        <v>0</v>
      </c>
      <c r="O119" s="422">
        <v>46184</v>
      </c>
      <c r="P119" t="s">
        <v>4224</v>
      </c>
      <c r="Q119" s="422">
        <v>46065</v>
      </c>
      <c r="T119" s="422">
        <v>46078</v>
      </c>
      <c r="U119" t="s">
        <v>169</v>
      </c>
      <c r="V119" s="422">
        <v>46065</v>
      </c>
      <c r="W119" s="422" t="str">
        <f t="shared" si="1"/>
        <v/>
      </c>
    </row>
    <row r="120" spans="1:23">
      <c r="A120" t="s">
        <v>4466</v>
      </c>
      <c r="B120" t="s">
        <v>4204</v>
      </c>
      <c r="C120" t="s">
        <v>4467</v>
      </c>
      <c r="D120" t="s">
        <v>4218</v>
      </c>
      <c r="E120">
        <v>581400</v>
      </c>
      <c r="F120">
        <v>1700</v>
      </c>
      <c r="G120" t="s">
        <v>4417</v>
      </c>
      <c r="H120" t="s">
        <v>3390</v>
      </c>
      <c r="I120" t="s">
        <v>4213</v>
      </c>
      <c r="J120" t="s">
        <v>4209</v>
      </c>
      <c r="K120">
        <v>1</v>
      </c>
      <c r="L120">
        <v>0</v>
      </c>
      <c r="O120" s="422">
        <v>46184</v>
      </c>
      <c r="P120" t="s">
        <v>4224</v>
      </c>
      <c r="Q120" s="422">
        <v>46052</v>
      </c>
      <c r="R120" s="422">
        <v>46119</v>
      </c>
      <c r="T120" s="422">
        <v>46070</v>
      </c>
      <c r="U120" t="s">
        <v>169</v>
      </c>
      <c r="V120" s="422">
        <v>45931</v>
      </c>
      <c r="W120" s="422">
        <f t="shared" si="1"/>
        <v>46119</v>
      </c>
    </row>
    <row r="121" spans="1:23">
      <c r="A121" t="s">
        <v>4468</v>
      </c>
      <c r="B121" t="s">
        <v>4204</v>
      </c>
      <c r="C121" t="s">
        <v>4469</v>
      </c>
      <c r="D121" t="s">
        <v>4218</v>
      </c>
      <c r="E121">
        <v>1026000</v>
      </c>
      <c r="F121">
        <v>3000</v>
      </c>
      <c r="G121" t="s">
        <v>4417</v>
      </c>
      <c r="H121" t="s">
        <v>3390</v>
      </c>
      <c r="I121" t="s">
        <v>4208</v>
      </c>
      <c r="J121" t="s">
        <v>4209</v>
      </c>
      <c r="K121">
        <v>1</v>
      </c>
      <c r="L121">
        <v>0</v>
      </c>
      <c r="O121" s="422">
        <v>46184</v>
      </c>
      <c r="P121" t="s">
        <v>4224</v>
      </c>
      <c r="Q121" s="422">
        <v>46052</v>
      </c>
      <c r="R121" s="422">
        <v>46087</v>
      </c>
      <c r="T121" s="422">
        <v>46070</v>
      </c>
      <c r="U121" t="s">
        <v>169</v>
      </c>
      <c r="V121" s="422">
        <v>46052</v>
      </c>
      <c r="W121" s="422">
        <f t="shared" si="1"/>
        <v>46087</v>
      </c>
    </row>
    <row r="122" spans="1:23">
      <c r="A122" t="s">
        <v>4470</v>
      </c>
      <c r="B122" t="s">
        <v>4204</v>
      </c>
      <c r="C122" t="s">
        <v>4471</v>
      </c>
      <c r="D122" t="s">
        <v>4218</v>
      </c>
      <c r="E122">
        <v>342000</v>
      </c>
      <c r="F122">
        <v>900</v>
      </c>
      <c r="G122" t="s">
        <v>4463</v>
      </c>
      <c r="H122" t="s">
        <v>3390</v>
      </c>
      <c r="I122" t="s">
        <v>4220</v>
      </c>
      <c r="J122" t="s">
        <v>4209</v>
      </c>
      <c r="K122">
        <v>2</v>
      </c>
      <c r="L122">
        <v>0</v>
      </c>
      <c r="O122" s="422">
        <v>46164</v>
      </c>
      <c r="P122" t="s">
        <v>4224</v>
      </c>
      <c r="Q122" s="422">
        <v>46052</v>
      </c>
      <c r="R122" s="422">
        <v>46114</v>
      </c>
      <c r="T122" s="422">
        <v>45888</v>
      </c>
      <c r="U122" t="s">
        <v>169</v>
      </c>
      <c r="V122" s="422">
        <v>46052</v>
      </c>
      <c r="W122" s="422">
        <f t="shared" si="1"/>
        <v>46114</v>
      </c>
    </row>
    <row r="123" spans="1:23">
      <c r="A123" t="s">
        <v>4472</v>
      </c>
      <c r="B123" t="s">
        <v>4204</v>
      </c>
      <c r="C123" t="s">
        <v>2021</v>
      </c>
      <c r="D123" t="s">
        <v>4205</v>
      </c>
      <c r="H123" t="s">
        <v>3390</v>
      </c>
      <c r="I123" t="s">
        <v>4220</v>
      </c>
      <c r="J123" t="s">
        <v>4209</v>
      </c>
      <c r="L123">
        <v>0</v>
      </c>
      <c r="Q123" s="422">
        <v>46052</v>
      </c>
      <c r="U123" t="s">
        <v>169</v>
      </c>
      <c r="V123" s="422">
        <v>45748</v>
      </c>
      <c r="W123" s="422" t="str">
        <f t="shared" si="1"/>
        <v/>
      </c>
    </row>
    <row r="124" spans="1:23">
      <c r="A124" t="s">
        <v>4473</v>
      </c>
      <c r="B124" t="s">
        <v>4204</v>
      </c>
      <c r="C124" t="s">
        <v>4474</v>
      </c>
      <c r="D124" t="s">
        <v>4205</v>
      </c>
      <c r="E124">
        <v>112320</v>
      </c>
      <c r="F124">
        <v>600</v>
      </c>
      <c r="G124" t="s">
        <v>4463</v>
      </c>
      <c r="H124" t="s">
        <v>3390</v>
      </c>
      <c r="I124" t="s">
        <v>4220</v>
      </c>
      <c r="J124" t="s">
        <v>4209</v>
      </c>
      <c r="K124">
        <v>1</v>
      </c>
      <c r="L124">
        <v>0</v>
      </c>
      <c r="Q124" s="422">
        <v>46052</v>
      </c>
      <c r="U124" t="s">
        <v>169</v>
      </c>
      <c r="V124" s="422">
        <v>45839</v>
      </c>
      <c r="W124" s="422" t="str">
        <f t="shared" si="1"/>
        <v/>
      </c>
    </row>
    <row r="125" spans="1:23">
      <c r="A125" t="s">
        <v>4475</v>
      </c>
      <c r="B125" t="s">
        <v>4204</v>
      </c>
      <c r="C125" t="s">
        <v>4476</v>
      </c>
      <c r="D125" t="s">
        <v>4205</v>
      </c>
      <c r="E125">
        <v>411840</v>
      </c>
      <c r="F125">
        <v>950</v>
      </c>
      <c r="G125" t="s">
        <v>4477</v>
      </c>
      <c r="H125" t="s">
        <v>3390</v>
      </c>
      <c r="I125" t="s">
        <v>4213</v>
      </c>
      <c r="J125" t="s">
        <v>4209</v>
      </c>
      <c r="K125">
        <v>3</v>
      </c>
      <c r="L125">
        <v>0</v>
      </c>
      <c r="Q125" s="422">
        <v>46052</v>
      </c>
      <c r="U125" t="s">
        <v>169</v>
      </c>
      <c r="V125" s="422">
        <v>45839</v>
      </c>
      <c r="W125" s="422" t="str">
        <f t="shared" si="1"/>
        <v/>
      </c>
    </row>
    <row r="126" spans="1:23">
      <c r="A126" t="s">
        <v>4478</v>
      </c>
      <c r="B126" t="s">
        <v>4204</v>
      </c>
      <c r="C126" t="s">
        <v>4479</v>
      </c>
      <c r="D126" t="s">
        <v>4205</v>
      </c>
      <c r="E126">
        <v>1026000</v>
      </c>
      <c r="F126">
        <v>3000</v>
      </c>
      <c r="G126" t="s">
        <v>4480</v>
      </c>
      <c r="H126" t="s">
        <v>3390</v>
      </c>
      <c r="I126" t="s">
        <v>4208</v>
      </c>
      <c r="J126" t="s">
        <v>4209</v>
      </c>
      <c r="K126">
        <v>1</v>
      </c>
      <c r="L126">
        <v>0</v>
      </c>
      <c r="O126" s="422">
        <v>46227</v>
      </c>
      <c r="P126" t="s">
        <v>4224</v>
      </c>
      <c r="Q126" s="422">
        <v>46052</v>
      </c>
      <c r="T126" s="422">
        <v>45981</v>
      </c>
      <c r="U126" t="s">
        <v>169</v>
      </c>
      <c r="V126" s="422">
        <v>45931</v>
      </c>
      <c r="W126" s="422" t="str">
        <f t="shared" si="1"/>
        <v/>
      </c>
    </row>
    <row r="127" spans="1:23">
      <c r="A127" t="s">
        <v>4481</v>
      </c>
      <c r="B127" t="s">
        <v>4204</v>
      </c>
      <c r="C127" t="s">
        <v>4482</v>
      </c>
      <c r="D127" t="s">
        <v>4205</v>
      </c>
      <c r="E127">
        <v>342000</v>
      </c>
      <c r="F127">
        <v>1000</v>
      </c>
      <c r="H127" t="s">
        <v>3390</v>
      </c>
      <c r="I127" t="s">
        <v>4208</v>
      </c>
      <c r="J127" t="s">
        <v>4209</v>
      </c>
      <c r="K127">
        <v>3</v>
      </c>
      <c r="L127">
        <v>0</v>
      </c>
      <c r="Q127" s="422">
        <v>46052</v>
      </c>
      <c r="U127" t="s">
        <v>169</v>
      </c>
      <c r="V127" s="422">
        <v>45748</v>
      </c>
      <c r="W127" s="422" t="str">
        <f t="shared" si="1"/>
        <v/>
      </c>
    </row>
    <row r="128" spans="1:23">
      <c r="A128" t="s">
        <v>4483</v>
      </c>
      <c r="B128" t="s">
        <v>4204</v>
      </c>
      <c r="C128" t="s">
        <v>4484</v>
      </c>
      <c r="D128" t="s">
        <v>4216</v>
      </c>
      <c r="E128">
        <v>936000</v>
      </c>
      <c r="F128">
        <v>5000</v>
      </c>
      <c r="G128" t="s">
        <v>4433</v>
      </c>
      <c r="H128" t="s">
        <v>3390</v>
      </c>
      <c r="I128" t="s">
        <v>4213</v>
      </c>
      <c r="J128" t="s">
        <v>4209</v>
      </c>
      <c r="K128">
        <v>3</v>
      </c>
      <c r="L128">
        <v>0</v>
      </c>
      <c r="O128" s="422">
        <v>46184</v>
      </c>
      <c r="P128" t="s">
        <v>4224</v>
      </c>
      <c r="Q128" s="422">
        <v>46052</v>
      </c>
      <c r="U128" t="s">
        <v>169</v>
      </c>
      <c r="V128" s="422">
        <v>45931</v>
      </c>
      <c r="W128" s="422" t="str">
        <f t="shared" si="1"/>
        <v/>
      </c>
    </row>
    <row r="129" spans="1:23">
      <c r="A129" t="s">
        <v>4485</v>
      </c>
      <c r="B129" t="s">
        <v>4204</v>
      </c>
      <c r="C129" t="s">
        <v>3293</v>
      </c>
      <c r="D129" t="s">
        <v>4216</v>
      </c>
      <c r="G129" t="s">
        <v>4406</v>
      </c>
      <c r="H129" t="s">
        <v>3390</v>
      </c>
      <c r="I129" t="s">
        <v>4208</v>
      </c>
      <c r="J129" t="s">
        <v>4209</v>
      </c>
      <c r="K129">
        <v>2</v>
      </c>
      <c r="L129">
        <v>0</v>
      </c>
      <c r="Q129" s="422">
        <v>46052</v>
      </c>
      <c r="U129" t="s">
        <v>169</v>
      </c>
      <c r="V129" s="422">
        <v>46052</v>
      </c>
      <c r="W129" s="422" t="str">
        <f t="shared" si="1"/>
        <v/>
      </c>
    </row>
    <row r="130" spans="1:23">
      <c r="A130" t="s">
        <v>4486</v>
      </c>
      <c r="B130" t="s">
        <v>4204</v>
      </c>
      <c r="C130" t="s">
        <v>4487</v>
      </c>
      <c r="D130" t="s">
        <v>4216</v>
      </c>
      <c r="E130">
        <v>112320</v>
      </c>
      <c r="F130">
        <v>600</v>
      </c>
      <c r="G130" t="s">
        <v>4454</v>
      </c>
      <c r="H130" t="s">
        <v>3390</v>
      </c>
      <c r="I130" t="s">
        <v>4220</v>
      </c>
      <c r="J130" t="s">
        <v>4209</v>
      </c>
      <c r="K130">
        <v>2</v>
      </c>
      <c r="L130">
        <v>0</v>
      </c>
      <c r="O130" s="422">
        <v>46184</v>
      </c>
      <c r="P130" t="s">
        <v>4224</v>
      </c>
      <c r="Q130" s="422">
        <v>46052</v>
      </c>
      <c r="U130" t="s">
        <v>169</v>
      </c>
      <c r="V130" s="422">
        <v>45839</v>
      </c>
      <c r="W130" s="422" t="str">
        <f t="shared" si="1"/>
        <v/>
      </c>
    </row>
    <row r="131" spans="1:23">
      <c r="A131" t="s">
        <v>4488</v>
      </c>
      <c r="B131" t="s">
        <v>4204</v>
      </c>
      <c r="C131" t="s">
        <v>2029</v>
      </c>
      <c r="D131" t="s">
        <v>4222</v>
      </c>
      <c r="E131">
        <v>0</v>
      </c>
      <c r="F131">
        <v>200</v>
      </c>
      <c r="G131" t="s">
        <v>4463</v>
      </c>
      <c r="H131" t="s">
        <v>3390</v>
      </c>
      <c r="I131" t="s">
        <v>4220</v>
      </c>
      <c r="J131" t="s">
        <v>4209</v>
      </c>
      <c r="K131">
        <v>1</v>
      </c>
      <c r="L131">
        <v>1</v>
      </c>
      <c r="M131" s="422">
        <v>46085</v>
      </c>
      <c r="N131" t="s">
        <v>2027</v>
      </c>
      <c r="O131" s="422">
        <v>46091</v>
      </c>
      <c r="P131" t="s">
        <v>4224</v>
      </c>
      <c r="Q131" s="422">
        <v>46084</v>
      </c>
      <c r="R131" s="422">
        <v>46084</v>
      </c>
      <c r="S131" s="422">
        <v>46084</v>
      </c>
      <c r="T131" s="422">
        <v>46084</v>
      </c>
      <c r="U131" t="s">
        <v>169</v>
      </c>
      <c r="V131" s="422">
        <v>46084</v>
      </c>
      <c r="W131" s="422">
        <f t="shared" ref="W131:W194" si="2">IF(
OR(D131="Scheduling 1st customer meet",D131="Delivered 12 Minute Meeting",D131="Scheduling 2nd customer meet",D131="Converted to opportunity",D131="Delivered 12 Minute Meeting",D131="Delivered 40 Minute Meeting"),
IF(ISNUMBER(R131),R131,IF(ISNUMBER(V131),V131,"")),
""
)</f>
        <v>46084</v>
      </c>
    </row>
    <row r="132" spans="1:23">
      <c r="A132" t="s">
        <v>4489</v>
      </c>
      <c r="B132" t="s">
        <v>4204</v>
      </c>
      <c r="D132" t="s">
        <v>4241</v>
      </c>
      <c r="E132">
        <v>93600</v>
      </c>
      <c r="F132">
        <v>500</v>
      </c>
      <c r="H132" t="s">
        <v>3386</v>
      </c>
      <c r="I132" t="s">
        <v>4208</v>
      </c>
      <c r="J132" t="s">
        <v>4209</v>
      </c>
      <c r="K132">
        <v>3</v>
      </c>
      <c r="L132">
        <v>0</v>
      </c>
      <c r="Q132" s="422">
        <v>46052</v>
      </c>
      <c r="U132" t="s">
        <v>169</v>
      </c>
      <c r="V132" s="422">
        <v>45748</v>
      </c>
      <c r="W132" s="422" t="str">
        <f t="shared" si="2"/>
        <v/>
      </c>
    </row>
    <row r="133" spans="1:23">
      <c r="A133" t="s">
        <v>4490</v>
      </c>
      <c r="B133" t="s">
        <v>4204</v>
      </c>
      <c r="D133" t="s">
        <v>4216</v>
      </c>
      <c r="E133">
        <v>168480</v>
      </c>
      <c r="F133">
        <v>900</v>
      </c>
      <c r="G133" t="s">
        <v>4491</v>
      </c>
      <c r="H133" t="s">
        <v>3386</v>
      </c>
      <c r="I133" t="s">
        <v>4208</v>
      </c>
      <c r="J133" t="s">
        <v>4209</v>
      </c>
      <c r="K133">
        <v>3</v>
      </c>
      <c r="L133">
        <v>0</v>
      </c>
      <c r="Q133" s="422">
        <v>46052</v>
      </c>
      <c r="U133" t="s">
        <v>169</v>
      </c>
      <c r="V133" s="422">
        <v>45748</v>
      </c>
      <c r="W133" s="422" t="str">
        <f t="shared" si="2"/>
        <v/>
      </c>
    </row>
    <row r="134" spans="1:23">
      <c r="A134" t="s">
        <v>4492</v>
      </c>
      <c r="B134" t="s">
        <v>4204</v>
      </c>
      <c r="D134" t="s">
        <v>4205</v>
      </c>
      <c r="F134">
        <v>890</v>
      </c>
      <c r="G134" t="s">
        <v>4493</v>
      </c>
      <c r="H134" t="s">
        <v>3386</v>
      </c>
      <c r="I134" t="s">
        <v>4208</v>
      </c>
      <c r="J134" t="s">
        <v>4209</v>
      </c>
      <c r="L134">
        <v>0</v>
      </c>
      <c r="Q134" s="422">
        <v>46052</v>
      </c>
      <c r="U134" t="s">
        <v>169</v>
      </c>
      <c r="V134" s="422">
        <v>45748</v>
      </c>
      <c r="W134" s="422" t="str">
        <f t="shared" si="2"/>
        <v/>
      </c>
    </row>
    <row r="135" spans="1:23">
      <c r="A135" t="s">
        <v>4494</v>
      </c>
      <c r="B135" t="s">
        <v>4204</v>
      </c>
      <c r="C135" t="s">
        <v>4495</v>
      </c>
      <c r="D135" t="s">
        <v>4241</v>
      </c>
      <c r="E135">
        <v>374400</v>
      </c>
      <c r="F135">
        <v>2000</v>
      </c>
      <c r="H135" t="s">
        <v>3386</v>
      </c>
      <c r="I135" t="s">
        <v>4208</v>
      </c>
      <c r="J135" t="s">
        <v>4209</v>
      </c>
      <c r="K135">
        <v>3</v>
      </c>
      <c r="L135">
        <v>0</v>
      </c>
      <c r="O135" s="422">
        <v>46136</v>
      </c>
      <c r="Q135" s="422">
        <v>46052</v>
      </c>
      <c r="U135" t="s">
        <v>169</v>
      </c>
      <c r="V135" s="422">
        <v>45748</v>
      </c>
      <c r="W135" s="422" t="str">
        <f t="shared" si="2"/>
        <v/>
      </c>
    </row>
    <row r="136" spans="1:23">
      <c r="A136" t="s">
        <v>4496</v>
      </c>
      <c r="B136" t="s">
        <v>4204</v>
      </c>
      <c r="C136" t="s">
        <v>4497</v>
      </c>
      <c r="D136" t="s">
        <v>4205</v>
      </c>
      <c r="F136">
        <v>520</v>
      </c>
      <c r="G136" t="s">
        <v>4493</v>
      </c>
      <c r="H136" t="s">
        <v>3386</v>
      </c>
      <c r="I136" t="s">
        <v>4208</v>
      </c>
      <c r="J136" t="s">
        <v>4209</v>
      </c>
      <c r="L136">
        <v>0</v>
      </c>
      <c r="Q136" s="422">
        <v>46052</v>
      </c>
      <c r="U136" t="s">
        <v>169</v>
      </c>
      <c r="V136" s="422">
        <v>45748</v>
      </c>
      <c r="W136" s="422" t="str">
        <f t="shared" si="2"/>
        <v/>
      </c>
    </row>
    <row r="137" spans="1:23">
      <c r="A137" t="s">
        <v>4498</v>
      </c>
      <c r="B137" t="s">
        <v>4204</v>
      </c>
      <c r="C137" t="s">
        <v>4499</v>
      </c>
      <c r="D137" t="s">
        <v>4241</v>
      </c>
      <c r="G137" t="s">
        <v>4477</v>
      </c>
      <c r="H137" t="s">
        <v>3386</v>
      </c>
      <c r="I137" t="s">
        <v>4213</v>
      </c>
      <c r="J137" t="s">
        <v>4209</v>
      </c>
      <c r="K137">
        <v>2</v>
      </c>
      <c r="L137">
        <v>0</v>
      </c>
      <c r="Q137" s="422">
        <v>46052</v>
      </c>
      <c r="U137" t="s">
        <v>169</v>
      </c>
      <c r="V137" s="422">
        <v>45931</v>
      </c>
      <c r="W137" s="422" t="str">
        <f t="shared" si="2"/>
        <v/>
      </c>
    </row>
    <row r="138" spans="1:23">
      <c r="A138" t="s">
        <v>4500</v>
      </c>
      <c r="B138" t="s">
        <v>4204</v>
      </c>
      <c r="C138" t="s">
        <v>4501</v>
      </c>
      <c r="D138" t="s">
        <v>4241</v>
      </c>
      <c r="E138">
        <v>61776</v>
      </c>
      <c r="F138">
        <v>330</v>
      </c>
      <c r="G138" t="s">
        <v>4491</v>
      </c>
      <c r="H138" t="s">
        <v>3386</v>
      </c>
      <c r="I138" t="s">
        <v>4208</v>
      </c>
      <c r="J138" t="s">
        <v>4209</v>
      </c>
      <c r="K138">
        <v>3</v>
      </c>
      <c r="L138">
        <v>0</v>
      </c>
      <c r="Q138" s="422">
        <v>46052</v>
      </c>
      <c r="U138" t="s">
        <v>169</v>
      </c>
      <c r="V138" s="422">
        <v>45748</v>
      </c>
      <c r="W138" s="422" t="str">
        <f t="shared" si="2"/>
        <v/>
      </c>
    </row>
    <row r="139" spans="1:23">
      <c r="A139" t="s">
        <v>4502</v>
      </c>
      <c r="B139" t="s">
        <v>4204</v>
      </c>
      <c r="C139" t="s">
        <v>4503</v>
      </c>
      <c r="D139" t="s">
        <v>4205</v>
      </c>
      <c r="E139">
        <v>140400</v>
      </c>
      <c r="F139">
        <v>750</v>
      </c>
      <c r="G139" t="s">
        <v>4477</v>
      </c>
      <c r="H139" t="s">
        <v>3386</v>
      </c>
      <c r="I139" t="s">
        <v>4213</v>
      </c>
      <c r="J139" t="s">
        <v>4209</v>
      </c>
      <c r="K139">
        <v>2</v>
      </c>
      <c r="L139">
        <v>0</v>
      </c>
      <c r="Q139" s="422">
        <v>46052</v>
      </c>
      <c r="U139" t="s">
        <v>169</v>
      </c>
      <c r="V139" s="422">
        <v>45931</v>
      </c>
      <c r="W139" s="422" t="str">
        <f t="shared" si="2"/>
        <v/>
      </c>
    </row>
    <row r="140" spans="1:23">
      <c r="A140" t="s">
        <v>4504</v>
      </c>
      <c r="B140" t="s">
        <v>4204</v>
      </c>
      <c r="C140" t="s">
        <v>4505</v>
      </c>
      <c r="D140" t="s">
        <v>4205</v>
      </c>
      <c r="G140" t="s">
        <v>4506</v>
      </c>
      <c r="H140" t="s">
        <v>3386</v>
      </c>
      <c r="I140" t="s">
        <v>4220</v>
      </c>
      <c r="J140" t="s">
        <v>4209</v>
      </c>
      <c r="K140">
        <v>2</v>
      </c>
      <c r="L140">
        <v>0</v>
      </c>
      <c r="Q140" s="422">
        <v>46052</v>
      </c>
      <c r="U140" t="s">
        <v>169</v>
      </c>
      <c r="V140" s="422">
        <v>45658</v>
      </c>
      <c r="W140" s="422" t="str">
        <f t="shared" si="2"/>
        <v/>
      </c>
    </row>
    <row r="141" spans="1:23">
      <c r="A141" t="s">
        <v>4507</v>
      </c>
      <c r="B141" t="s">
        <v>4204</v>
      </c>
      <c r="C141" t="s">
        <v>4508</v>
      </c>
      <c r="D141" t="s">
        <v>4241</v>
      </c>
      <c r="E141">
        <v>318240</v>
      </c>
      <c r="F141">
        <v>1700</v>
      </c>
      <c r="G141" t="s">
        <v>4509</v>
      </c>
      <c r="H141" t="s">
        <v>3386</v>
      </c>
      <c r="I141" t="s">
        <v>4220</v>
      </c>
      <c r="J141" t="s">
        <v>4209</v>
      </c>
      <c r="K141">
        <v>3</v>
      </c>
      <c r="L141">
        <v>0</v>
      </c>
      <c r="Q141" s="422">
        <v>46052</v>
      </c>
      <c r="U141" t="s">
        <v>169</v>
      </c>
      <c r="V141" s="422">
        <v>45839</v>
      </c>
      <c r="W141" s="422" t="str">
        <f t="shared" si="2"/>
        <v/>
      </c>
    </row>
    <row r="142" spans="1:23">
      <c r="A142" t="s">
        <v>4510</v>
      </c>
      <c r="B142" t="s">
        <v>4204</v>
      </c>
      <c r="C142" t="s">
        <v>4511</v>
      </c>
      <c r="D142" t="s">
        <v>4205</v>
      </c>
      <c r="G142" t="s">
        <v>4506</v>
      </c>
      <c r="H142" t="s">
        <v>3386</v>
      </c>
      <c r="I142" t="s">
        <v>4208</v>
      </c>
      <c r="J142" t="s">
        <v>4209</v>
      </c>
      <c r="K142">
        <v>3</v>
      </c>
      <c r="L142">
        <v>0</v>
      </c>
      <c r="Q142" s="422">
        <v>46052</v>
      </c>
      <c r="U142" t="s">
        <v>169</v>
      </c>
      <c r="V142" s="422">
        <v>45658</v>
      </c>
      <c r="W142" s="422" t="str">
        <f t="shared" si="2"/>
        <v/>
      </c>
    </row>
    <row r="143" spans="1:23">
      <c r="A143" t="s">
        <v>4512</v>
      </c>
      <c r="B143" t="s">
        <v>4204</v>
      </c>
      <c r="C143" t="s">
        <v>4513</v>
      </c>
      <c r="D143" t="s">
        <v>4216</v>
      </c>
      <c r="E143">
        <v>131040</v>
      </c>
      <c r="F143">
        <v>700</v>
      </c>
      <c r="G143" t="s">
        <v>4463</v>
      </c>
      <c r="H143" t="s">
        <v>3386</v>
      </c>
      <c r="I143" t="s">
        <v>4208</v>
      </c>
      <c r="J143" t="s">
        <v>4209</v>
      </c>
      <c r="K143">
        <v>3</v>
      </c>
      <c r="L143">
        <v>0</v>
      </c>
      <c r="O143" s="422">
        <v>46136</v>
      </c>
      <c r="Q143" s="422">
        <v>46052</v>
      </c>
      <c r="T143" s="422">
        <v>46127</v>
      </c>
      <c r="U143" t="s">
        <v>169</v>
      </c>
      <c r="V143" s="422">
        <v>45748</v>
      </c>
      <c r="W143" s="422" t="str">
        <f t="shared" si="2"/>
        <v/>
      </c>
    </row>
    <row r="144" spans="1:23">
      <c r="A144" t="s">
        <v>4514</v>
      </c>
      <c r="B144" t="s">
        <v>4204</v>
      </c>
      <c r="C144" t="s">
        <v>4515</v>
      </c>
      <c r="D144" t="s">
        <v>4216</v>
      </c>
      <c r="E144">
        <v>159120</v>
      </c>
      <c r="F144">
        <v>850</v>
      </c>
      <c r="H144" t="s">
        <v>3386</v>
      </c>
      <c r="I144" t="s">
        <v>4208</v>
      </c>
      <c r="J144" t="s">
        <v>4209</v>
      </c>
      <c r="K144">
        <v>3</v>
      </c>
      <c r="L144">
        <v>0</v>
      </c>
      <c r="Q144" s="422">
        <v>46052</v>
      </c>
      <c r="U144" t="s">
        <v>169</v>
      </c>
      <c r="V144" s="422">
        <v>45748</v>
      </c>
      <c r="W144" s="422" t="str">
        <f t="shared" si="2"/>
        <v/>
      </c>
    </row>
    <row r="145" spans="1:23">
      <c r="A145" t="s">
        <v>4516</v>
      </c>
      <c r="B145" t="s">
        <v>4204</v>
      </c>
      <c r="C145" t="s">
        <v>4517</v>
      </c>
      <c r="D145" t="s">
        <v>4205</v>
      </c>
      <c r="E145">
        <v>112320</v>
      </c>
      <c r="F145">
        <v>600</v>
      </c>
      <c r="G145" t="s">
        <v>4518</v>
      </c>
      <c r="H145" t="s">
        <v>3386</v>
      </c>
      <c r="I145" t="s">
        <v>4208</v>
      </c>
      <c r="J145" t="s">
        <v>4209</v>
      </c>
      <c r="K145">
        <v>1</v>
      </c>
      <c r="L145">
        <v>0</v>
      </c>
      <c r="O145" s="422">
        <v>46093</v>
      </c>
      <c r="P145" t="s">
        <v>4224</v>
      </c>
      <c r="Q145" s="422">
        <v>46052</v>
      </c>
      <c r="R145" s="422">
        <v>46094</v>
      </c>
      <c r="T145" s="422">
        <v>45965</v>
      </c>
      <c r="U145" t="s">
        <v>169</v>
      </c>
      <c r="V145" s="422">
        <v>45748</v>
      </c>
      <c r="W145" s="422" t="str">
        <f t="shared" si="2"/>
        <v/>
      </c>
    </row>
    <row r="146" spans="1:23">
      <c r="A146" t="s">
        <v>4519</v>
      </c>
      <c r="B146" t="s">
        <v>4204</v>
      </c>
      <c r="C146" t="s">
        <v>4517</v>
      </c>
      <c r="D146" t="s">
        <v>4205</v>
      </c>
      <c r="E146">
        <v>112320</v>
      </c>
      <c r="F146">
        <v>600</v>
      </c>
      <c r="G146" t="s">
        <v>4518</v>
      </c>
      <c r="H146" t="s">
        <v>3386</v>
      </c>
      <c r="I146" t="s">
        <v>4208</v>
      </c>
      <c r="J146" t="s">
        <v>4209</v>
      </c>
      <c r="K146">
        <v>1</v>
      </c>
      <c r="L146">
        <v>0</v>
      </c>
      <c r="Q146" s="422">
        <v>46052</v>
      </c>
      <c r="U146" t="s">
        <v>169</v>
      </c>
      <c r="V146" s="422">
        <v>46052</v>
      </c>
      <c r="W146" s="422" t="str">
        <f t="shared" si="2"/>
        <v/>
      </c>
    </row>
    <row r="147" spans="1:23">
      <c r="A147" t="s">
        <v>4520</v>
      </c>
      <c r="B147" t="s">
        <v>4204</v>
      </c>
      <c r="C147" t="s">
        <v>3481</v>
      </c>
      <c r="D147" t="s">
        <v>4222</v>
      </c>
      <c r="E147">
        <v>410400</v>
      </c>
      <c r="F147">
        <v>900</v>
      </c>
      <c r="G147" t="s">
        <v>4518</v>
      </c>
      <c r="H147" t="s">
        <v>3386</v>
      </c>
      <c r="I147" t="s">
        <v>4220</v>
      </c>
      <c r="J147" t="s">
        <v>4263</v>
      </c>
      <c r="K147">
        <v>1</v>
      </c>
      <c r="L147">
        <v>1</v>
      </c>
      <c r="M147" s="422">
        <v>46010</v>
      </c>
      <c r="N147" t="s">
        <v>3482</v>
      </c>
      <c r="P147" t="s">
        <v>4224</v>
      </c>
      <c r="Q147" s="422">
        <v>46055</v>
      </c>
      <c r="R147" s="422">
        <v>46010</v>
      </c>
      <c r="T147" s="422">
        <v>46010</v>
      </c>
      <c r="U147" t="s">
        <v>169</v>
      </c>
      <c r="V147" s="422">
        <v>45931</v>
      </c>
      <c r="W147" s="422">
        <f t="shared" si="2"/>
        <v>46010</v>
      </c>
    </row>
    <row r="148" spans="1:23">
      <c r="A148" t="s">
        <v>4521</v>
      </c>
      <c r="B148" t="s">
        <v>4204</v>
      </c>
      <c r="C148" t="s">
        <v>4522</v>
      </c>
      <c r="D148" t="s">
        <v>4216</v>
      </c>
      <c r="E148">
        <v>187200</v>
      </c>
      <c r="F148">
        <v>1000</v>
      </c>
      <c r="H148" t="s">
        <v>3386</v>
      </c>
      <c r="I148" t="s">
        <v>4208</v>
      </c>
      <c r="J148" t="s">
        <v>4209</v>
      </c>
      <c r="K148">
        <v>3</v>
      </c>
      <c r="L148">
        <v>0</v>
      </c>
      <c r="O148" s="422">
        <v>46136</v>
      </c>
      <c r="Q148" s="422">
        <v>46052</v>
      </c>
      <c r="T148" s="422">
        <v>46127</v>
      </c>
      <c r="U148" t="s">
        <v>169</v>
      </c>
      <c r="V148" s="422">
        <v>45748</v>
      </c>
      <c r="W148" s="422" t="str">
        <f t="shared" si="2"/>
        <v/>
      </c>
    </row>
    <row r="149" spans="1:23">
      <c r="A149" t="s">
        <v>4523</v>
      </c>
      <c r="B149" t="s">
        <v>4204</v>
      </c>
      <c r="C149" t="s">
        <v>4524</v>
      </c>
      <c r="D149" t="s">
        <v>4205</v>
      </c>
      <c r="E149">
        <v>187200</v>
      </c>
      <c r="F149">
        <v>1000</v>
      </c>
      <c r="G149" t="s">
        <v>4477</v>
      </c>
      <c r="H149" t="s">
        <v>3386</v>
      </c>
      <c r="I149" t="s">
        <v>4213</v>
      </c>
      <c r="J149" t="s">
        <v>4209</v>
      </c>
      <c r="K149">
        <v>2</v>
      </c>
      <c r="L149">
        <v>0</v>
      </c>
      <c r="Q149" s="422">
        <v>46052</v>
      </c>
      <c r="U149" t="s">
        <v>169</v>
      </c>
      <c r="V149" s="422">
        <v>46052</v>
      </c>
      <c r="W149" s="422" t="str">
        <f t="shared" si="2"/>
        <v/>
      </c>
    </row>
    <row r="150" spans="1:23">
      <c r="A150" t="s">
        <v>4525</v>
      </c>
      <c r="B150" t="s">
        <v>4204</v>
      </c>
      <c r="C150" t="s">
        <v>4526</v>
      </c>
      <c r="D150" t="s">
        <v>4216</v>
      </c>
      <c r="E150">
        <v>172224</v>
      </c>
      <c r="F150">
        <v>920</v>
      </c>
      <c r="G150" t="s">
        <v>4480</v>
      </c>
      <c r="H150" t="s">
        <v>3386</v>
      </c>
      <c r="I150" t="s">
        <v>4208</v>
      </c>
      <c r="J150" t="s">
        <v>4209</v>
      </c>
      <c r="K150">
        <v>3</v>
      </c>
      <c r="L150">
        <v>0</v>
      </c>
      <c r="O150" s="422">
        <v>46136</v>
      </c>
      <c r="Q150" s="422">
        <v>46052</v>
      </c>
      <c r="T150" s="422">
        <v>46127</v>
      </c>
      <c r="U150" t="s">
        <v>169</v>
      </c>
      <c r="V150" s="422">
        <v>45748</v>
      </c>
      <c r="W150" s="422" t="str">
        <f t="shared" si="2"/>
        <v/>
      </c>
    </row>
    <row r="151" spans="1:23">
      <c r="A151" t="s">
        <v>4527</v>
      </c>
      <c r="B151" t="s">
        <v>4204</v>
      </c>
      <c r="C151" t="s">
        <v>4528</v>
      </c>
      <c r="D151" t="s">
        <v>4216</v>
      </c>
      <c r="E151">
        <v>161928</v>
      </c>
      <c r="F151">
        <v>865</v>
      </c>
      <c r="G151" t="s">
        <v>4529</v>
      </c>
      <c r="H151" t="s">
        <v>3386</v>
      </c>
      <c r="I151" t="s">
        <v>4208</v>
      </c>
      <c r="J151" t="s">
        <v>4209</v>
      </c>
      <c r="K151">
        <v>3</v>
      </c>
      <c r="L151">
        <v>0</v>
      </c>
      <c r="Q151" s="422">
        <v>46052</v>
      </c>
      <c r="U151" t="s">
        <v>169</v>
      </c>
      <c r="V151" s="422">
        <v>45748</v>
      </c>
      <c r="W151" s="422" t="str">
        <f t="shared" si="2"/>
        <v/>
      </c>
    </row>
    <row r="152" spans="1:23">
      <c r="A152" t="s">
        <v>4530</v>
      </c>
      <c r="B152" t="s">
        <v>4204</v>
      </c>
      <c r="C152" t="s">
        <v>566</v>
      </c>
      <c r="D152" t="s">
        <v>4216</v>
      </c>
      <c r="G152" t="s">
        <v>4409</v>
      </c>
      <c r="H152" t="s">
        <v>3386</v>
      </c>
      <c r="I152" t="s">
        <v>4213</v>
      </c>
      <c r="J152" t="s">
        <v>4209</v>
      </c>
      <c r="K152">
        <v>3</v>
      </c>
      <c r="L152">
        <v>0</v>
      </c>
      <c r="Q152" s="422">
        <v>46052</v>
      </c>
      <c r="U152" t="s">
        <v>169</v>
      </c>
      <c r="V152" s="422">
        <v>45931</v>
      </c>
      <c r="W152" s="422" t="str">
        <f t="shared" si="2"/>
        <v/>
      </c>
    </row>
    <row r="153" spans="1:23">
      <c r="A153" t="s">
        <v>4531</v>
      </c>
      <c r="B153" t="s">
        <v>4204</v>
      </c>
      <c r="C153" t="s">
        <v>4532</v>
      </c>
      <c r="D153" t="s">
        <v>4241</v>
      </c>
      <c r="G153" t="s">
        <v>4399</v>
      </c>
      <c r="H153" t="s">
        <v>3386</v>
      </c>
      <c r="I153" t="s">
        <v>4220</v>
      </c>
      <c r="J153" t="s">
        <v>4209</v>
      </c>
      <c r="K153">
        <v>3</v>
      </c>
      <c r="L153">
        <v>0</v>
      </c>
      <c r="O153" s="422">
        <v>46114</v>
      </c>
      <c r="P153" t="s">
        <v>4224</v>
      </c>
      <c r="Q153" s="422">
        <v>46052</v>
      </c>
      <c r="U153" t="s">
        <v>169</v>
      </c>
      <c r="V153" s="422">
        <v>45748</v>
      </c>
      <c r="W153" s="422" t="str">
        <f t="shared" si="2"/>
        <v/>
      </c>
    </row>
    <row r="154" spans="1:23">
      <c r="A154" t="s">
        <v>4533</v>
      </c>
      <c r="B154" t="s">
        <v>4204</v>
      </c>
      <c r="C154" t="s">
        <v>4534</v>
      </c>
      <c r="D154" t="s">
        <v>4205</v>
      </c>
      <c r="E154">
        <v>56160</v>
      </c>
      <c r="F154">
        <v>300</v>
      </c>
      <c r="G154" t="s">
        <v>4412</v>
      </c>
      <c r="H154" t="s">
        <v>3386</v>
      </c>
      <c r="I154" t="s">
        <v>4220</v>
      </c>
      <c r="J154" t="s">
        <v>4209</v>
      </c>
      <c r="K154">
        <v>2</v>
      </c>
      <c r="L154">
        <v>0</v>
      </c>
      <c r="O154" s="422">
        <v>46142</v>
      </c>
      <c r="Q154" s="422">
        <v>46052</v>
      </c>
      <c r="S154" s="422">
        <v>46112</v>
      </c>
      <c r="U154" t="s">
        <v>169</v>
      </c>
      <c r="V154" s="422">
        <v>45658</v>
      </c>
      <c r="W154" s="422" t="str">
        <f t="shared" si="2"/>
        <v/>
      </c>
    </row>
    <row r="155" spans="1:23">
      <c r="A155" t="s">
        <v>4535</v>
      </c>
      <c r="B155" t="s">
        <v>4204</v>
      </c>
      <c r="C155" t="s">
        <v>4536</v>
      </c>
      <c r="D155" t="s">
        <v>4216</v>
      </c>
      <c r="E155">
        <v>140400</v>
      </c>
      <c r="F155">
        <v>750</v>
      </c>
      <c r="G155" t="s">
        <v>4460</v>
      </c>
      <c r="H155" t="s">
        <v>3386</v>
      </c>
      <c r="I155" t="s">
        <v>4208</v>
      </c>
      <c r="J155" t="s">
        <v>4209</v>
      </c>
      <c r="K155">
        <v>3</v>
      </c>
      <c r="L155">
        <v>0</v>
      </c>
      <c r="Q155" s="422">
        <v>46052</v>
      </c>
      <c r="U155" t="s">
        <v>169</v>
      </c>
      <c r="V155" s="422">
        <v>45748</v>
      </c>
      <c r="W155" s="422" t="str">
        <f t="shared" si="2"/>
        <v/>
      </c>
    </row>
    <row r="156" spans="1:23">
      <c r="A156" t="s">
        <v>4537</v>
      </c>
      <c r="B156" t="s">
        <v>4204</v>
      </c>
      <c r="C156" t="s">
        <v>4538</v>
      </c>
      <c r="D156" t="s">
        <v>4205</v>
      </c>
      <c r="G156" t="s">
        <v>4506</v>
      </c>
      <c r="H156" t="s">
        <v>3386</v>
      </c>
      <c r="I156" t="s">
        <v>4208</v>
      </c>
      <c r="J156" t="s">
        <v>4209</v>
      </c>
      <c r="K156">
        <v>3</v>
      </c>
      <c r="L156">
        <v>0</v>
      </c>
      <c r="Q156" s="422">
        <v>46052</v>
      </c>
      <c r="U156" t="s">
        <v>169</v>
      </c>
      <c r="V156" s="422">
        <v>45658</v>
      </c>
      <c r="W156" s="422" t="str">
        <f t="shared" si="2"/>
        <v/>
      </c>
    </row>
    <row r="157" spans="1:23">
      <c r="A157" t="s">
        <v>4539</v>
      </c>
      <c r="B157" t="s">
        <v>4204</v>
      </c>
      <c r="C157" t="s">
        <v>4540</v>
      </c>
      <c r="D157" t="s">
        <v>4216</v>
      </c>
      <c r="E157">
        <v>273600</v>
      </c>
      <c r="F157">
        <v>800</v>
      </c>
      <c r="G157" t="s">
        <v>4541</v>
      </c>
      <c r="H157" t="s">
        <v>3386</v>
      </c>
      <c r="I157" t="s">
        <v>4220</v>
      </c>
      <c r="J157" t="s">
        <v>4209</v>
      </c>
      <c r="K157">
        <v>2</v>
      </c>
      <c r="L157">
        <v>0</v>
      </c>
      <c r="O157" s="422">
        <v>46136</v>
      </c>
      <c r="P157" t="s">
        <v>4224</v>
      </c>
      <c r="Q157" s="422">
        <v>46052</v>
      </c>
      <c r="T157" s="422">
        <v>46111</v>
      </c>
      <c r="U157" t="s">
        <v>169</v>
      </c>
      <c r="V157" s="422">
        <v>46052</v>
      </c>
      <c r="W157" s="422" t="str">
        <f t="shared" si="2"/>
        <v/>
      </c>
    </row>
    <row r="158" spans="1:23">
      <c r="A158" t="s">
        <v>4542</v>
      </c>
      <c r="B158" t="s">
        <v>4204</v>
      </c>
      <c r="C158" t="s">
        <v>4543</v>
      </c>
      <c r="D158" t="s">
        <v>4205</v>
      </c>
      <c r="E158">
        <v>342000</v>
      </c>
      <c r="F158">
        <v>1000</v>
      </c>
      <c r="G158" t="s">
        <v>4477</v>
      </c>
      <c r="H158" t="s">
        <v>3386</v>
      </c>
      <c r="I158" t="s">
        <v>4213</v>
      </c>
      <c r="J158" t="s">
        <v>4209</v>
      </c>
      <c r="K158">
        <v>2</v>
      </c>
      <c r="L158">
        <v>0</v>
      </c>
      <c r="O158" s="422">
        <v>46113</v>
      </c>
      <c r="P158" t="s">
        <v>4224</v>
      </c>
      <c r="Q158" s="422">
        <v>46052</v>
      </c>
      <c r="T158" s="422">
        <v>45965</v>
      </c>
      <c r="U158" t="s">
        <v>169</v>
      </c>
      <c r="V158" s="422">
        <v>46052</v>
      </c>
      <c r="W158" s="422" t="str">
        <f t="shared" si="2"/>
        <v/>
      </c>
    </row>
    <row r="159" spans="1:23">
      <c r="A159" t="s">
        <v>4544</v>
      </c>
      <c r="B159" t="s">
        <v>4204</v>
      </c>
      <c r="C159" t="s">
        <v>4545</v>
      </c>
      <c r="D159" t="s">
        <v>4205</v>
      </c>
      <c r="E159">
        <v>513000</v>
      </c>
      <c r="F159">
        <v>1500</v>
      </c>
      <c r="G159" t="s">
        <v>4546</v>
      </c>
      <c r="H159" t="s">
        <v>3386</v>
      </c>
      <c r="I159" t="s">
        <v>4213</v>
      </c>
      <c r="J159" t="s">
        <v>4209</v>
      </c>
      <c r="K159">
        <v>1</v>
      </c>
      <c r="L159">
        <v>0</v>
      </c>
      <c r="O159" s="422">
        <v>46087</v>
      </c>
      <c r="P159" t="s">
        <v>4224</v>
      </c>
      <c r="Q159" s="422">
        <v>46052</v>
      </c>
      <c r="T159" s="422">
        <v>46080</v>
      </c>
      <c r="U159" t="s">
        <v>169</v>
      </c>
      <c r="V159" s="422">
        <v>46052</v>
      </c>
      <c r="W159" s="422" t="str">
        <f t="shared" si="2"/>
        <v/>
      </c>
    </row>
    <row r="160" spans="1:23">
      <c r="A160" t="s">
        <v>4547</v>
      </c>
      <c r="B160" t="s">
        <v>4204</v>
      </c>
      <c r="C160" t="s">
        <v>4548</v>
      </c>
      <c r="D160" t="s">
        <v>4216</v>
      </c>
      <c r="E160">
        <v>239000</v>
      </c>
      <c r="F160">
        <v>700</v>
      </c>
      <c r="G160" t="s">
        <v>4546</v>
      </c>
      <c r="H160" t="s">
        <v>3386</v>
      </c>
      <c r="I160" t="s">
        <v>4220</v>
      </c>
      <c r="J160" t="s">
        <v>4209</v>
      </c>
      <c r="K160">
        <v>1</v>
      </c>
      <c r="L160">
        <v>0</v>
      </c>
      <c r="O160" s="422">
        <v>46136</v>
      </c>
      <c r="P160" t="s">
        <v>4224</v>
      </c>
      <c r="Q160" s="422">
        <v>46052</v>
      </c>
      <c r="T160" s="422">
        <v>46070</v>
      </c>
      <c r="U160" t="s">
        <v>169</v>
      </c>
      <c r="V160" s="422">
        <v>45748</v>
      </c>
      <c r="W160" s="422" t="str">
        <f t="shared" si="2"/>
        <v/>
      </c>
    </row>
    <row r="161" spans="1:23">
      <c r="A161" t="s">
        <v>4549</v>
      </c>
      <c r="B161" t="s">
        <v>4204</v>
      </c>
      <c r="C161" t="s">
        <v>4550</v>
      </c>
      <c r="D161" t="s">
        <v>4216</v>
      </c>
      <c r="E161">
        <v>99216</v>
      </c>
      <c r="F161">
        <v>530</v>
      </c>
      <c r="H161" t="s">
        <v>3386</v>
      </c>
      <c r="I161" t="s">
        <v>4208</v>
      </c>
      <c r="J161" t="s">
        <v>4209</v>
      </c>
      <c r="K161">
        <v>3</v>
      </c>
      <c r="L161">
        <v>0</v>
      </c>
      <c r="Q161" s="422">
        <v>46052</v>
      </c>
      <c r="U161" t="s">
        <v>169</v>
      </c>
      <c r="V161" s="422">
        <v>45748</v>
      </c>
      <c r="W161" s="422" t="str">
        <f t="shared" si="2"/>
        <v/>
      </c>
    </row>
    <row r="162" spans="1:23">
      <c r="A162" t="s">
        <v>4551</v>
      </c>
      <c r="B162" t="s">
        <v>4204</v>
      </c>
      <c r="C162" t="s">
        <v>4552</v>
      </c>
      <c r="D162" t="s">
        <v>4205</v>
      </c>
      <c r="G162" t="s">
        <v>4454</v>
      </c>
      <c r="I162" t="s">
        <v>4213</v>
      </c>
      <c r="J162" t="s">
        <v>4209</v>
      </c>
      <c r="K162">
        <v>2</v>
      </c>
      <c r="L162">
        <v>0</v>
      </c>
      <c r="Q162" s="422">
        <v>46052</v>
      </c>
      <c r="U162" t="s">
        <v>169</v>
      </c>
      <c r="V162" s="422">
        <v>45658</v>
      </c>
      <c r="W162" s="422" t="str">
        <f t="shared" si="2"/>
        <v/>
      </c>
    </row>
    <row r="163" spans="1:23">
      <c r="A163" t="s">
        <v>4553</v>
      </c>
      <c r="B163" t="s">
        <v>4204</v>
      </c>
      <c r="C163" t="s">
        <v>4554</v>
      </c>
      <c r="D163" t="s">
        <v>4216</v>
      </c>
      <c r="E163">
        <v>37440</v>
      </c>
      <c r="F163">
        <v>200</v>
      </c>
      <c r="I163" t="s">
        <v>4208</v>
      </c>
      <c r="J163" t="s">
        <v>4209</v>
      </c>
      <c r="K163">
        <v>3</v>
      </c>
      <c r="L163">
        <v>0</v>
      </c>
      <c r="Q163" s="422">
        <v>46052</v>
      </c>
      <c r="U163" t="s">
        <v>169</v>
      </c>
      <c r="V163" s="422">
        <v>45931</v>
      </c>
      <c r="W163" s="422" t="str">
        <f t="shared" si="2"/>
        <v/>
      </c>
    </row>
    <row r="164" spans="1:23">
      <c r="A164" t="s">
        <v>4555</v>
      </c>
      <c r="B164" t="s">
        <v>4204</v>
      </c>
      <c r="C164" t="s">
        <v>4556</v>
      </c>
      <c r="D164" t="s">
        <v>4216</v>
      </c>
      <c r="E164">
        <v>32760</v>
      </c>
      <c r="F164">
        <v>175</v>
      </c>
      <c r="I164" t="s">
        <v>4220</v>
      </c>
      <c r="J164" t="s">
        <v>4209</v>
      </c>
      <c r="K164">
        <v>2</v>
      </c>
      <c r="L164">
        <v>0</v>
      </c>
      <c r="Q164" s="422">
        <v>46052</v>
      </c>
      <c r="U164" t="s">
        <v>169</v>
      </c>
      <c r="V164" s="422">
        <v>45931</v>
      </c>
      <c r="W164" s="422" t="str">
        <f t="shared" si="2"/>
        <v/>
      </c>
    </row>
    <row r="165" spans="1:23">
      <c r="A165" t="s">
        <v>4557</v>
      </c>
      <c r="B165" t="s">
        <v>4204</v>
      </c>
      <c r="C165" t="s">
        <v>4558</v>
      </c>
      <c r="D165" t="s">
        <v>4241</v>
      </c>
      <c r="I165" t="s">
        <v>4208</v>
      </c>
      <c r="J165" t="s">
        <v>4209</v>
      </c>
      <c r="K165">
        <v>2</v>
      </c>
      <c r="L165">
        <v>0</v>
      </c>
      <c r="Q165" s="422">
        <v>46052</v>
      </c>
      <c r="U165" t="s">
        <v>169</v>
      </c>
      <c r="V165" s="422">
        <v>45748</v>
      </c>
      <c r="W165" s="422" t="str">
        <f t="shared" si="2"/>
        <v/>
      </c>
    </row>
    <row r="166" spans="1:23">
      <c r="A166" t="s">
        <v>4559</v>
      </c>
      <c r="B166" t="s">
        <v>4204</v>
      </c>
      <c r="C166" t="s">
        <v>4560</v>
      </c>
      <c r="D166" t="s">
        <v>4216</v>
      </c>
      <c r="E166">
        <v>56160</v>
      </c>
      <c r="F166">
        <v>300</v>
      </c>
      <c r="G166" t="s">
        <v>4448</v>
      </c>
      <c r="I166" t="s">
        <v>4220</v>
      </c>
      <c r="J166" t="s">
        <v>4209</v>
      </c>
      <c r="K166">
        <v>3</v>
      </c>
      <c r="L166">
        <v>0</v>
      </c>
      <c r="Q166" s="422">
        <v>46052</v>
      </c>
      <c r="U166" t="s">
        <v>169</v>
      </c>
      <c r="V166" s="422">
        <v>45931</v>
      </c>
      <c r="W166" s="422" t="str">
        <f t="shared" si="2"/>
        <v/>
      </c>
    </row>
    <row r="167" spans="1:23">
      <c r="A167" t="s">
        <v>4561</v>
      </c>
      <c r="B167" t="s">
        <v>4204</v>
      </c>
      <c r="C167" t="s">
        <v>4562</v>
      </c>
      <c r="D167" t="s">
        <v>4205</v>
      </c>
      <c r="I167" t="s">
        <v>4213</v>
      </c>
      <c r="J167" t="s">
        <v>4209</v>
      </c>
      <c r="K167">
        <v>2</v>
      </c>
      <c r="L167">
        <v>0</v>
      </c>
      <c r="Q167" s="422">
        <v>46052</v>
      </c>
      <c r="U167" t="s">
        <v>169</v>
      </c>
      <c r="V167" s="422">
        <v>45748</v>
      </c>
      <c r="W167" s="422" t="str">
        <f t="shared" si="2"/>
        <v/>
      </c>
    </row>
    <row r="168" spans="1:23">
      <c r="A168" t="s">
        <v>4563</v>
      </c>
      <c r="B168" t="s">
        <v>4204</v>
      </c>
      <c r="C168" t="s">
        <v>4564</v>
      </c>
      <c r="D168" t="s">
        <v>4218</v>
      </c>
      <c r="E168">
        <v>478000</v>
      </c>
      <c r="F168">
        <v>1400</v>
      </c>
      <c r="G168" t="s">
        <v>4399</v>
      </c>
      <c r="I168" t="s">
        <v>4220</v>
      </c>
      <c r="J168" t="s">
        <v>4209</v>
      </c>
      <c r="K168">
        <v>1</v>
      </c>
      <c r="L168">
        <v>0</v>
      </c>
      <c r="Q168" s="422">
        <v>46063</v>
      </c>
      <c r="U168" t="s">
        <v>169</v>
      </c>
      <c r="V168" s="422">
        <v>46063</v>
      </c>
      <c r="W168" s="422">
        <f t="shared" si="2"/>
        <v>46063</v>
      </c>
    </row>
    <row r="169" spans="1:23">
      <c r="A169" t="s">
        <v>4565</v>
      </c>
      <c r="B169" t="s">
        <v>4204</v>
      </c>
      <c r="C169" t="s">
        <v>4564</v>
      </c>
      <c r="D169" t="s">
        <v>4241</v>
      </c>
      <c r="G169" t="s">
        <v>4399</v>
      </c>
      <c r="I169" t="s">
        <v>4208</v>
      </c>
      <c r="J169" t="s">
        <v>4209</v>
      </c>
      <c r="K169">
        <v>2</v>
      </c>
      <c r="L169">
        <v>0</v>
      </c>
      <c r="Q169" s="422">
        <v>46052</v>
      </c>
      <c r="U169" t="s">
        <v>169</v>
      </c>
      <c r="V169" s="422">
        <v>45748</v>
      </c>
      <c r="W169" s="422" t="str">
        <f t="shared" si="2"/>
        <v/>
      </c>
    </row>
    <row r="170" spans="1:23">
      <c r="A170" t="s">
        <v>4566</v>
      </c>
      <c r="B170" t="s">
        <v>4204</v>
      </c>
      <c r="C170" t="s">
        <v>4567</v>
      </c>
      <c r="D170" t="s">
        <v>4241</v>
      </c>
      <c r="G170" t="s">
        <v>4568</v>
      </c>
      <c r="I170" t="s">
        <v>4220</v>
      </c>
      <c r="J170" t="s">
        <v>4209</v>
      </c>
      <c r="K170">
        <v>3</v>
      </c>
      <c r="L170">
        <v>0</v>
      </c>
      <c r="Q170" s="422">
        <v>46052</v>
      </c>
      <c r="U170" t="s">
        <v>169</v>
      </c>
      <c r="V170" s="422">
        <v>45931</v>
      </c>
      <c r="W170" s="422" t="str">
        <f t="shared" si="2"/>
        <v/>
      </c>
    </row>
    <row r="171" spans="1:23">
      <c r="A171" t="s">
        <v>4569</v>
      </c>
      <c r="B171" t="s">
        <v>4215</v>
      </c>
      <c r="C171" t="s">
        <v>1549</v>
      </c>
      <c r="D171" t="s">
        <v>4241</v>
      </c>
      <c r="E171">
        <v>50000</v>
      </c>
      <c r="F171">
        <v>100</v>
      </c>
      <c r="G171" t="s">
        <v>4570</v>
      </c>
      <c r="H171" t="s">
        <v>3350</v>
      </c>
      <c r="J171" t="s">
        <v>4209</v>
      </c>
      <c r="K171">
        <v>3</v>
      </c>
      <c r="L171">
        <v>0</v>
      </c>
      <c r="O171" s="422">
        <v>46203</v>
      </c>
      <c r="Q171" s="422">
        <v>46177</v>
      </c>
      <c r="U171" t="s">
        <v>4571</v>
      </c>
      <c r="V171" s="422">
        <v>46177</v>
      </c>
      <c r="W171" s="422" t="str">
        <f t="shared" si="2"/>
        <v/>
      </c>
    </row>
    <row r="172" spans="1:23">
      <c r="A172" t="s">
        <v>4572</v>
      </c>
      <c r="B172" t="s">
        <v>4215</v>
      </c>
      <c r="C172" t="s">
        <v>4573</v>
      </c>
      <c r="D172" t="s">
        <v>4241</v>
      </c>
      <c r="E172">
        <v>684000</v>
      </c>
      <c r="F172">
        <v>2000</v>
      </c>
      <c r="G172" t="s">
        <v>4574</v>
      </c>
      <c r="H172" t="s">
        <v>3350</v>
      </c>
      <c r="I172" t="s">
        <v>4213</v>
      </c>
      <c r="J172" t="s">
        <v>4209</v>
      </c>
      <c r="L172">
        <v>0</v>
      </c>
      <c r="O172" s="422">
        <v>46129</v>
      </c>
      <c r="Q172" s="422">
        <v>46080</v>
      </c>
      <c r="U172" t="s">
        <v>4571</v>
      </c>
      <c r="V172" s="422">
        <v>46080</v>
      </c>
      <c r="W172" s="422" t="str">
        <f t="shared" si="2"/>
        <v/>
      </c>
    </row>
    <row r="173" spans="1:23">
      <c r="A173" t="s">
        <v>4575</v>
      </c>
      <c r="B173" t="s">
        <v>4215</v>
      </c>
      <c r="C173" t="s">
        <v>4576</v>
      </c>
      <c r="D173" t="s">
        <v>4241</v>
      </c>
      <c r="E173">
        <v>119700</v>
      </c>
      <c r="F173">
        <v>350</v>
      </c>
      <c r="G173" t="s">
        <v>4574</v>
      </c>
      <c r="J173" t="s">
        <v>4209</v>
      </c>
      <c r="L173">
        <v>0</v>
      </c>
      <c r="Q173" s="422">
        <v>46080</v>
      </c>
      <c r="U173" t="s">
        <v>4571</v>
      </c>
      <c r="V173" s="422">
        <v>46080</v>
      </c>
      <c r="W173" s="422" t="str">
        <f t="shared" si="2"/>
        <v/>
      </c>
    </row>
    <row r="174" spans="1:23">
      <c r="A174" t="s">
        <v>4577</v>
      </c>
      <c r="B174" t="s">
        <v>4215</v>
      </c>
      <c r="C174" t="s">
        <v>4578</v>
      </c>
      <c r="D174" t="s">
        <v>4241</v>
      </c>
      <c r="E174">
        <v>171000</v>
      </c>
      <c r="F174">
        <v>500</v>
      </c>
      <c r="G174" t="s">
        <v>4574</v>
      </c>
      <c r="J174" t="s">
        <v>4209</v>
      </c>
      <c r="L174">
        <v>0</v>
      </c>
      <c r="O174" s="422">
        <v>46136</v>
      </c>
      <c r="Q174" s="422">
        <v>46080</v>
      </c>
      <c r="U174" t="s">
        <v>4571</v>
      </c>
      <c r="V174" s="422">
        <v>46080</v>
      </c>
      <c r="W174" s="422" t="str">
        <f t="shared" si="2"/>
        <v/>
      </c>
    </row>
    <row r="175" spans="1:23">
      <c r="A175" t="s">
        <v>4579</v>
      </c>
      <c r="B175" t="s">
        <v>4215</v>
      </c>
      <c r="C175" t="s">
        <v>4580</v>
      </c>
      <c r="D175" t="s">
        <v>4241</v>
      </c>
      <c r="E175">
        <v>171000</v>
      </c>
      <c r="F175">
        <v>500</v>
      </c>
      <c r="G175" t="s">
        <v>4574</v>
      </c>
      <c r="J175" t="s">
        <v>4209</v>
      </c>
      <c r="L175">
        <v>0</v>
      </c>
      <c r="Q175" s="422">
        <v>46080</v>
      </c>
      <c r="U175" t="s">
        <v>4571</v>
      </c>
      <c r="V175" s="422">
        <v>46080</v>
      </c>
      <c r="W175" s="422" t="str">
        <f t="shared" si="2"/>
        <v/>
      </c>
    </row>
    <row r="176" spans="1:23">
      <c r="A176" t="s">
        <v>4581</v>
      </c>
      <c r="B176" t="s">
        <v>4245</v>
      </c>
      <c r="C176" t="s">
        <v>1524</v>
      </c>
      <c r="D176" t="s">
        <v>4222</v>
      </c>
      <c r="E176">
        <v>341000</v>
      </c>
      <c r="F176">
        <v>1003</v>
      </c>
      <c r="G176" t="s">
        <v>4582</v>
      </c>
      <c r="H176" t="s">
        <v>4396</v>
      </c>
      <c r="I176" t="s">
        <v>4213</v>
      </c>
      <c r="J176" t="s">
        <v>4209</v>
      </c>
      <c r="K176">
        <v>1</v>
      </c>
      <c r="L176">
        <v>1</v>
      </c>
      <c r="M176" s="422">
        <v>46078</v>
      </c>
      <c r="N176" t="s">
        <v>1852</v>
      </c>
      <c r="P176" t="s">
        <v>4224</v>
      </c>
      <c r="Q176" s="422">
        <v>46058</v>
      </c>
      <c r="R176" s="422">
        <v>46080</v>
      </c>
      <c r="S176" s="422">
        <v>46078</v>
      </c>
      <c r="T176" s="422">
        <v>46059</v>
      </c>
      <c r="U176" t="s">
        <v>157</v>
      </c>
      <c r="V176" s="422">
        <v>46058</v>
      </c>
      <c r="W176" s="422">
        <f t="shared" si="2"/>
        <v>46080</v>
      </c>
    </row>
    <row r="177" spans="1:23">
      <c r="A177" t="s">
        <v>4583</v>
      </c>
      <c r="B177" t="s">
        <v>4245</v>
      </c>
      <c r="C177" t="s">
        <v>1618</v>
      </c>
      <c r="D177" t="s">
        <v>4216</v>
      </c>
      <c r="H177" t="s">
        <v>4396</v>
      </c>
      <c r="I177" t="s">
        <v>4220</v>
      </c>
      <c r="J177" t="s">
        <v>4263</v>
      </c>
      <c r="K177">
        <v>3</v>
      </c>
      <c r="L177">
        <v>0</v>
      </c>
      <c r="O177" s="422">
        <v>46171</v>
      </c>
      <c r="Q177" s="422">
        <v>46055</v>
      </c>
      <c r="U177" t="s">
        <v>157</v>
      </c>
      <c r="V177" s="422">
        <v>45748</v>
      </c>
      <c r="W177" s="422" t="str">
        <f t="shared" si="2"/>
        <v/>
      </c>
    </row>
    <row r="178" spans="1:23">
      <c r="A178" t="s">
        <v>4584</v>
      </c>
      <c r="B178" t="s">
        <v>4204</v>
      </c>
      <c r="C178" t="s">
        <v>2444</v>
      </c>
      <c r="D178" t="s">
        <v>4205</v>
      </c>
      <c r="H178" t="s">
        <v>3405</v>
      </c>
      <c r="I178" t="s">
        <v>4213</v>
      </c>
      <c r="J178" t="s">
        <v>4209</v>
      </c>
      <c r="K178">
        <v>3</v>
      </c>
      <c r="L178">
        <v>0</v>
      </c>
      <c r="Q178" s="422">
        <v>46052</v>
      </c>
      <c r="U178" t="s">
        <v>157</v>
      </c>
      <c r="V178" s="422">
        <v>45658</v>
      </c>
      <c r="W178" s="422" t="str">
        <f t="shared" si="2"/>
        <v/>
      </c>
    </row>
    <row r="179" spans="1:23">
      <c r="A179" t="s">
        <v>4585</v>
      </c>
      <c r="B179" t="s">
        <v>4204</v>
      </c>
      <c r="C179" t="s">
        <v>3313</v>
      </c>
      <c r="D179" t="s">
        <v>4205</v>
      </c>
      <c r="F179">
        <v>5000</v>
      </c>
      <c r="H179" t="s">
        <v>3405</v>
      </c>
      <c r="I179" t="s">
        <v>4208</v>
      </c>
      <c r="J179" t="s">
        <v>4209</v>
      </c>
      <c r="L179">
        <v>0</v>
      </c>
      <c r="Q179" s="422">
        <v>46052</v>
      </c>
      <c r="U179" t="s">
        <v>157</v>
      </c>
      <c r="V179" s="422">
        <v>45658</v>
      </c>
      <c r="W179" s="422" t="str">
        <f t="shared" si="2"/>
        <v/>
      </c>
    </row>
    <row r="180" spans="1:23">
      <c r="A180" t="s">
        <v>4586</v>
      </c>
      <c r="B180" t="s">
        <v>4245</v>
      </c>
      <c r="C180" t="s">
        <v>3492</v>
      </c>
      <c r="D180" t="s">
        <v>4205</v>
      </c>
      <c r="E180">
        <v>2640000</v>
      </c>
      <c r="F180">
        <v>10000</v>
      </c>
      <c r="G180" t="s">
        <v>4587</v>
      </c>
      <c r="H180" t="s">
        <v>3405</v>
      </c>
      <c r="I180" t="s">
        <v>4208</v>
      </c>
      <c r="J180" t="s">
        <v>4209</v>
      </c>
      <c r="K180">
        <v>3</v>
      </c>
      <c r="L180">
        <v>0</v>
      </c>
      <c r="O180" s="422">
        <v>46202</v>
      </c>
      <c r="Q180" s="422">
        <v>46052</v>
      </c>
      <c r="U180" t="s">
        <v>157</v>
      </c>
      <c r="V180" s="422">
        <v>46052</v>
      </c>
      <c r="W180" s="422" t="str">
        <f t="shared" si="2"/>
        <v/>
      </c>
    </row>
    <row r="181" spans="1:23">
      <c r="A181" t="s">
        <v>4588</v>
      </c>
      <c r="B181" t="s">
        <v>4204</v>
      </c>
      <c r="C181" t="s">
        <v>1674</v>
      </c>
      <c r="D181" t="s">
        <v>4205</v>
      </c>
      <c r="F181">
        <v>5000</v>
      </c>
      <c r="H181" t="s">
        <v>3405</v>
      </c>
      <c r="I181" t="s">
        <v>4208</v>
      </c>
      <c r="J181" t="s">
        <v>4209</v>
      </c>
      <c r="K181">
        <v>3</v>
      </c>
      <c r="L181">
        <v>0</v>
      </c>
      <c r="Q181" s="422">
        <v>46052</v>
      </c>
      <c r="U181" t="s">
        <v>157</v>
      </c>
      <c r="V181" s="422">
        <v>45658</v>
      </c>
      <c r="W181" s="422" t="str">
        <f t="shared" si="2"/>
        <v/>
      </c>
    </row>
    <row r="182" spans="1:23">
      <c r="A182" t="s">
        <v>4589</v>
      </c>
      <c r="B182" t="s">
        <v>4204</v>
      </c>
      <c r="C182" t="s">
        <v>4364</v>
      </c>
      <c r="D182" t="s">
        <v>4205</v>
      </c>
      <c r="F182">
        <v>6000</v>
      </c>
      <c r="H182" t="s">
        <v>3379</v>
      </c>
      <c r="I182" t="s">
        <v>4208</v>
      </c>
      <c r="J182" t="s">
        <v>4209</v>
      </c>
      <c r="K182">
        <v>2</v>
      </c>
      <c r="L182">
        <v>0</v>
      </c>
      <c r="Q182" s="422">
        <v>46055</v>
      </c>
      <c r="U182" t="s">
        <v>157</v>
      </c>
      <c r="V182" s="422">
        <v>45748</v>
      </c>
      <c r="W182" s="422" t="str">
        <f t="shared" si="2"/>
        <v/>
      </c>
    </row>
    <row r="183" spans="1:23">
      <c r="A183" t="s">
        <v>4590</v>
      </c>
      <c r="B183" t="s">
        <v>4245</v>
      </c>
      <c r="C183" t="s">
        <v>4013</v>
      </c>
      <c r="D183" t="s">
        <v>4205</v>
      </c>
      <c r="E183">
        <v>211200</v>
      </c>
      <c r="F183">
        <v>800</v>
      </c>
      <c r="G183" t="s">
        <v>4591</v>
      </c>
      <c r="H183" t="s">
        <v>3379</v>
      </c>
      <c r="I183" t="s">
        <v>4208</v>
      </c>
      <c r="J183" t="s">
        <v>4209</v>
      </c>
      <c r="K183">
        <v>2</v>
      </c>
      <c r="L183">
        <v>0</v>
      </c>
      <c r="Q183" s="422">
        <v>46052</v>
      </c>
      <c r="U183" t="s">
        <v>157</v>
      </c>
      <c r="V183" s="422">
        <v>45658</v>
      </c>
      <c r="W183" s="422" t="str">
        <f t="shared" si="2"/>
        <v/>
      </c>
    </row>
    <row r="184" spans="1:23">
      <c r="A184" t="s">
        <v>4592</v>
      </c>
      <c r="B184" t="s">
        <v>4204</v>
      </c>
      <c r="C184" t="s">
        <v>4593</v>
      </c>
      <c r="D184" t="s">
        <v>4205</v>
      </c>
      <c r="F184">
        <v>1000</v>
      </c>
      <c r="H184" t="s">
        <v>3379</v>
      </c>
      <c r="I184" t="s">
        <v>4208</v>
      </c>
      <c r="J184" t="s">
        <v>4209</v>
      </c>
      <c r="L184">
        <v>0</v>
      </c>
      <c r="Q184" s="422">
        <v>46052</v>
      </c>
      <c r="U184" t="s">
        <v>157</v>
      </c>
      <c r="V184" s="422">
        <v>45748</v>
      </c>
      <c r="W184" s="422" t="str">
        <f t="shared" si="2"/>
        <v/>
      </c>
    </row>
    <row r="185" spans="1:23">
      <c r="A185" t="s">
        <v>4594</v>
      </c>
      <c r="B185" t="s">
        <v>4204</v>
      </c>
      <c r="C185" t="s">
        <v>2477</v>
      </c>
      <c r="D185" t="s">
        <v>4205</v>
      </c>
      <c r="G185" t="s">
        <v>4595</v>
      </c>
      <c r="H185" t="s">
        <v>3379</v>
      </c>
      <c r="I185" t="s">
        <v>4213</v>
      </c>
      <c r="J185" t="s">
        <v>4209</v>
      </c>
      <c r="K185">
        <v>3</v>
      </c>
      <c r="L185">
        <v>0</v>
      </c>
      <c r="Q185" s="422">
        <v>46052</v>
      </c>
      <c r="U185" t="s">
        <v>157</v>
      </c>
      <c r="V185" s="422">
        <v>45658</v>
      </c>
      <c r="W185" s="422" t="str">
        <f t="shared" si="2"/>
        <v/>
      </c>
    </row>
    <row r="186" spans="1:23">
      <c r="A186" t="s">
        <v>4596</v>
      </c>
      <c r="B186" t="s">
        <v>4245</v>
      </c>
      <c r="C186" t="s">
        <v>2477</v>
      </c>
      <c r="D186" t="s">
        <v>4216</v>
      </c>
      <c r="E186">
        <v>1026000</v>
      </c>
      <c r="F186">
        <v>3000</v>
      </c>
      <c r="G186" t="s">
        <v>4595</v>
      </c>
      <c r="H186" t="s">
        <v>3379</v>
      </c>
      <c r="I186" t="s">
        <v>4208</v>
      </c>
      <c r="J186" t="s">
        <v>4209</v>
      </c>
      <c r="K186">
        <v>3</v>
      </c>
      <c r="L186">
        <v>0</v>
      </c>
      <c r="O186" s="422">
        <v>46217</v>
      </c>
      <c r="Q186" s="422">
        <v>46052</v>
      </c>
      <c r="T186" s="422">
        <v>46129</v>
      </c>
      <c r="U186" t="s">
        <v>157</v>
      </c>
      <c r="V186" s="422">
        <v>45839</v>
      </c>
      <c r="W186" s="422" t="str">
        <f t="shared" si="2"/>
        <v/>
      </c>
    </row>
    <row r="187" spans="1:23">
      <c r="A187" t="s">
        <v>4597</v>
      </c>
      <c r="B187" t="s">
        <v>4204</v>
      </c>
      <c r="C187" t="s">
        <v>4021</v>
      </c>
      <c r="D187" t="s">
        <v>4205</v>
      </c>
      <c r="F187">
        <v>985</v>
      </c>
      <c r="H187" t="s">
        <v>3379</v>
      </c>
      <c r="I187" t="s">
        <v>4208</v>
      </c>
      <c r="J187" t="s">
        <v>4209</v>
      </c>
      <c r="K187">
        <v>2</v>
      </c>
      <c r="L187">
        <v>0</v>
      </c>
      <c r="Q187" s="422">
        <v>46052</v>
      </c>
      <c r="U187" t="s">
        <v>157</v>
      </c>
      <c r="V187" s="422">
        <v>45658</v>
      </c>
      <c r="W187" s="422" t="str">
        <f t="shared" si="2"/>
        <v/>
      </c>
    </row>
    <row r="188" spans="1:23">
      <c r="A188" t="s">
        <v>4598</v>
      </c>
      <c r="B188" t="s">
        <v>4245</v>
      </c>
      <c r="C188" t="s">
        <v>2669</v>
      </c>
      <c r="D188" t="s">
        <v>4205</v>
      </c>
      <c r="E188">
        <v>334000</v>
      </c>
      <c r="F188">
        <v>1000</v>
      </c>
      <c r="G188" t="s">
        <v>4599</v>
      </c>
      <c r="H188" t="s">
        <v>3379</v>
      </c>
      <c r="I188" t="s">
        <v>4213</v>
      </c>
      <c r="J188" t="s">
        <v>4209</v>
      </c>
      <c r="K188">
        <v>1</v>
      </c>
      <c r="L188">
        <v>0</v>
      </c>
      <c r="O188" s="422">
        <v>46093</v>
      </c>
      <c r="P188" t="s">
        <v>4224</v>
      </c>
      <c r="Q188" s="422">
        <v>46052</v>
      </c>
      <c r="R188" s="422">
        <v>46076</v>
      </c>
      <c r="T188" s="422">
        <v>45762</v>
      </c>
      <c r="U188" t="s">
        <v>157</v>
      </c>
      <c r="V188" s="422">
        <v>45839</v>
      </c>
      <c r="W188" s="422" t="str">
        <f t="shared" si="2"/>
        <v/>
      </c>
    </row>
    <row r="189" spans="1:23">
      <c r="A189" t="s">
        <v>4600</v>
      </c>
      <c r="B189" t="s">
        <v>4245</v>
      </c>
      <c r="C189" t="s">
        <v>143</v>
      </c>
      <c r="D189" t="s">
        <v>4205</v>
      </c>
      <c r="E189">
        <v>11088000</v>
      </c>
      <c r="F189">
        <v>42000</v>
      </c>
      <c r="G189" t="s">
        <v>4601</v>
      </c>
      <c r="H189" t="s">
        <v>3398</v>
      </c>
      <c r="I189" t="s">
        <v>4208</v>
      </c>
      <c r="J189" t="s">
        <v>4209</v>
      </c>
      <c r="K189">
        <v>3</v>
      </c>
      <c r="L189">
        <v>0</v>
      </c>
      <c r="O189" s="422">
        <v>46128</v>
      </c>
      <c r="P189" t="s">
        <v>4224</v>
      </c>
      <c r="Q189" s="422">
        <v>46052</v>
      </c>
      <c r="T189" s="422">
        <v>45804</v>
      </c>
      <c r="U189" t="s">
        <v>157</v>
      </c>
      <c r="V189" s="422">
        <v>45748</v>
      </c>
      <c r="W189" s="422" t="str">
        <f t="shared" si="2"/>
        <v/>
      </c>
    </row>
    <row r="190" spans="1:23">
      <c r="A190" t="s">
        <v>4602</v>
      </c>
      <c r="B190" t="s">
        <v>4245</v>
      </c>
      <c r="C190" t="s">
        <v>4603</v>
      </c>
      <c r="D190" t="s">
        <v>4241</v>
      </c>
      <c r="E190">
        <v>396000</v>
      </c>
      <c r="F190">
        <v>1500</v>
      </c>
      <c r="H190" t="s">
        <v>3398</v>
      </c>
      <c r="I190" t="s">
        <v>4208</v>
      </c>
      <c r="J190" t="s">
        <v>4209</v>
      </c>
      <c r="K190">
        <v>3</v>
      </c>
      <c r="L190">
        <v>0</v>
      </c>
      <c r="O190" s="422">
        <v>46171</v>
      </c>
      <c r="Q190" s="422">
        <v>46055</v>
      </c>
      <c r="U190" t="s">
        <v>157</v>
      </c>
      <c r="V190" s="422">
        <v>45748</v>
      </c>
      <c r="W190" s="422" t="str">
        <f t="shared" si="2"/>
        <v/>
      </c>
    </row>
    <row r="191" spans="1:23">
      <c r="A191" t="s">
        <v>4604</v>
      </c>
      <c r="B191" t="s">
        <v>4245</v>
      </c>
      <c r="C191" t="s">
        <v>4605</v>
      </c>
      <c r="D191" t="s">
        <v>4241</v>
      </c>
      <c r="E191">
        <v>396000</v>
      </c>
      <c r="F191">
        <v>1500</v>
      </c>
      <c r="H191" t="s">
        <v>3398</v>
      </c>
      <c r="I191" t="s">
        <v>4208</v>
      </c>
      <c r="J191" t="s">
        <v>4209</v>
      </c>
      <c r="K191">
        <v>2</v>
      </c>
      <c r="L191">
        <v>0</v>
      </c>
      <c r="O191" s="422">
        <v>46171</v>
      </c>
      <c r="Q191" s="422">
        <v>46052</v>
      </c>
      <c r="U191" t="s">
        <v>157</v>
      </c>
      <c r="V191" s="422">
        <v>45748</v>
      </c>
      <c r="W191" s="422" t="str">
        <f t="shared" si="2"/>
        <v/>
      </c>
    </row>
    <row r="192" spans="1:23">
      <c r="A192" t="s">
        <v>4606</v>
      </c>
      <c r="B192" t="s">
        <v>4245</v>
      </c>
      <c r="C192" t="s">
        <v>4607</v>
      </c>
      <c r="D192" t="s">
        <v>4205</v>
      </c>
      <c r="E192">
        <v>3960000</v>
      </c>
      <c r="F192">
        <v>15000</v>
      </c>
      <c r="H192" t="s">
        <v>3398</v>
      </c>
      <c r="I192" t="s">
        <v>4208</v>
      </c>
      <c r="J192" t="s">
        <v>4209</v>
      </c>
      <c r="K192">
        <v>2</v>
      </c>
      <c r="L192">
        <v>0</v>
      </c>
      <c r="Q192" s="422">
        <v>46052</v>
      </c>
      <c r="U192" t="s">
        <v>157</v>
      </c>
      <c r="V192" s="422">
        <v>45748</v>
      </c>
      <c r="W192" s="422" t="str">
        <f t="shared" si="2"/>
        <v/>
      </c>
    </row>
    <row r="193" spans="1:23">
      <c r="A193" t="s">
        <v>4608</v>
      </c>
      <c r="B193" t="s">
        <v>4245</v>
      </c>
      <c r="C193" t="s">
        <v>2257</v>
      </c>
      <c r="D193" t="s">
        <v>4218</v>
      </c>
      <c r="E193">
        <v>528000</v>
      </c>
      <c r="F193">
        <v>2000</v>
      </c>
      <c r="H193" t="s">
        <v>3398</v>
      </c>
      <c r="I193" t="s">
        <v>4208</v>
      </c>
      <c r="J193" t="s">
        <v>4209</v>
      </c>
      <c r="K193">
        <v>3</v>
      </c>
      <c r="L193">
        <v>0</v>
      </c>
      <c r="O193" s="422">
        <v>46171</v>
      </c>
      <c r="Q193" s="422">
        <v>46052</v>
      </c>
      <c r="U193" t="s">
        <v>157</v>
      </c>
      <c r="V193" s="422">
        <v>45658</v>
      </c>
      <c r="W193" s="422">
        <f t="shared" si="2"/>
        <v>45658</v>
      </c>
    </row>
    <row r="194" spans="1:23">
      <c r="A194" t="s">
        <v>4609</v>
      </c>
      <c r="B194" t="s">
        <v>4245</v>
      </c>
      <c r="C194" t="s">
        <v>3868</v>
      </c>
      <c r="D194" t="s">
        <v>4205</v>
      </c>
      <c r="G194" t="s">
        <v>4595</v>
      </c>
      <c r="H194" t="s">
        <v>3374</v>
      </c>
      <c r="I194" t="s">
        <v>4208</v>
      </c>
      <c r="J194" t="s">
        <v>4209</v>
      </c>
      <c r="K194">
        <v>2</v>
      </c>
      <c r="L194">
        <v>0</v>
      </c>
      <c r="Q194" s="422">
        <v>46052</v>
      </c>
      <c r="U194" t="s">
        <v>157</v>
      </c>
      <c r="V194" s="422">
        <v>46052</v>
      </c>
      <c r="W194" s="422" t="str">
        <f t="shared" si="2"/>
        <v/>
      </c>
    </row>
    <row r="195" spans="1:23">
      <c r="A195" t="s">
        <v>4610</v>
      </c>
      <c r="B195" t="s">
        <v>4245</v>
      </c>
      <c r="C195" t="s">
        <v>4611</v>
      </c>
      <c r="D195" t="s">
        <v>4205</v>
      </c>
      <c r="E195">
        <v>1094544</v>
      </c>
      <c r="F195">
        <v>4146</v>
      </c>
      <c r="H195" t="s">
        <v>3374</v>
      </c>
      <c r="I195" t="s">
        <v>4208</v>
      </c>
      <c r="J195" t="s">
        <v>4209</v>
      </c>
      <c r="K195">
        <v>2</v>
      </c>
      <c r="L195">
        <v>0</v>
      </c>
      <c r="O195" s="422">
        <v>46203</v>
      </c>
      <c r="Q195" s="422">
        <v>46052</v>
      </c>
      <c r="U195" t="s">
        <v>157</v>
      </c>
      <c r="V195" s="422">
        <v>45658</v>
      </c>
      <c r="W195" s="422" t="str">
        <f t="shared" ref="W195:W250" si="3">IF(
OR(D195="Scheduling 1st customer meet",D195="Delivered 12 Minute Meeting",D195="Scheduling 2nd customer meet",D195="Converted to opportunity",D195="Delivered 12 Minute Meeting",D195="Delivered 40 Minute Meeting"),
IF(ISNUMBER(R195),R195,IF(ISNUMBER(V195),V195,"")),
""
)</f>
        <v/>
      </c>
    </row>
    <row r="196" spans="1:23">
      <c r="A196" t="s">
        <v>4612</v>
      </c>
      <c r="B196" t="s">
        <v>4215</v>
      </c>
      <c r="C196" t="s">
        <v>3376</v>
      </c>
      <c r="D196" t="s">
        <v>4222</v>
      </c>
      <c r="E196">
        <v>1197000</v>
      </c>
      <c r="F196">
        <v>3500</v>
      </c>
      <c r="G196" t="s">
        <v>4613</v>
      </c>
      <c r="H196" t="s">
        <v>3350</v>
      </c>
      <c r="I196" t="s">
        <v>4220</v>
      </c>
      <c r="J196" t="s">
        <v>4209</v>
      </c>
      <c r="K196">
        <v>1</v>
      </c>
      <c r="L196">
        <v>1</v>
      </c>
      <c r="M196" s="422">
        <v>46225</v>
      </c>
      <c r="N196" t="s">
        <v>3377</v>
      </c>
      <c r="O196" s="422">
        <v>46162</v>
      </c>
      <c r="P196" t="s">
        <v>4224</v>
      </c>
      <c r="Q196" s="422">
        <v>46149</v>
      </c>
      <c r="R196" s="422">
        <v>46149</v>
      </c>
      <c r="S196" s="422">
        <v>46183</v>
      </c>
      <c r="T196" s="422">
        <v>46139</v>
      </c>
      <c r="U196" t="s">
        <v>157</v>
      </c>
      <c r="V196" s="422">
        <v>46149</v>
      </c>
      <c r="W196" s="422">
        <f t="shared" si="3"/>
        <v>46149</v>
      </c>
    </row>
    <row r="197" spans="1:23">
      <c r="A197" t="s">
        <v>4614</v>
      </c>
      <c r="B197" t="s">
        <v>4204</v>
      </c>
      <c r="C197" t="s">
        <v>3323</v>
      </c>
      <c r="D197" t="s">
        <v>4205</v>
      </c>
      <c r="G197" t="s">
        <v>4615</v>
      </c>
      <c r="H197" t="s">
        <v>3350</v>
      </c>
      <c r="I197" t="s">
        <v>4213</v>
      </c>
      <c r="J197" t="s">
        <v>4209</v>
      </c>
      <c r="L197">
        <v>0</v>
      </c>
      <c r="Q197" s="422">
        <v>46052</v>
      </c>
      <c r="U197" t="s">
        <v>157</v>
      </c>
      <c r="V197" s="422">
        <v>45658</v>
      </c>
      <c r="W197" s="422" t="str">
        <f t="shared" si="3"/>
        <v/>
      </c>
    </row>
    <row r="198" spans="1:23">
      <c r="A198" t="s">
        <v>4616</v>
      </c>
      <c r="B198" t="s">
        <v>4245</v>
      </c>
      <c r="C198" t="s">
        <v>3388</v>
      </c>
      <c r="D198" t="s">
        <v>4222</v>
      </c>
      <c r="E198">
        <v>2592000</v>
      </c>
      <c r="F198">
        <v>800</v>
      </c>
      <c r="G198" t="s">
        <v>4617</v>
      </c>
      <c r="H198" t="s">
        <v>3390</v>
      </c>
      <c r="I198" t="s">
        <v>4213</v>
      </c>
      <c r="J198" t="s">
        <v>4209</v>
      </c>
      <c r="L198">
        <v>1</v>
      </c>
      <c r="M198" s="422">
        <v>46162</v>
      </c>
      <c r="N198" t="s">
        <v>3389</v>
      </c>
      <c r="O198" s="422">
        <v>46160</v>
      </c>
      <c r="P198" t="s">
        <v>4224</v>
      </c>
      <c r="Q198" s="422">
        <v>46147</v>
      </c>
      <c r="R198" s="422">
        <v>46143</v>
      </c>
      <c r="S198" s="422">
        <v>46147</v>
      </c>
      <c r="T198" s="422">
        <v>46157</v>
      </c>
      <c r="U198" t="s">
        <v>157</v>
      </c>
      <c r="V198" s="422">
        <v>46147</v>
      </c>
      <c r="W198" s="422">
        <f t="shared" si="3"/>
        <v>46143</v>
      </c>
    </row>
    <row r="199" spans="1:23">
      <c r="A199" t="s">
        <v>4618</v>
      </c>
      <c r="B199" t="s">
        <v>4245</v>
      </c>
      <c r="C199" t="s">
        <v>4619</v>
      </c>
      <c r="D199" t="s">
        <v>4216</v>
      </c>
      <c r="G199" t="s">
        <v>4601</v>
      </c>
      <c r="H199" t="s">
        <v>3390</v>
      </c>
      <c r="I199" t="s">
        <v>4220</v>
      </c>
      <c r="J199" t="s">
        <v>4209</v>
      </c>
      <c r="K199">
        <v>2</v>
      </c>
      <c r="L199">
        <v>0</v>
      </c>
      <c r="O199" s="422">
        <v>46141</v>
      </c>
      <c r="Q199" s="422">
        <v>46052</v>
      </c>
      <c r="T199" s="422">
        <v>46129</v>
      </c>
      <c r="U199" t="s">
        <v>157</v>
      </c>
      <c r="V199" s="422">
        <v>45748</v>
      </c>
      <c r="W199" s="422" t="str">
        <f t="shared" si="3"/>
        <v/>
      </c>
    </row>
    <row r="200" spans="1:23">
      <c r="A200" t="s">
        <v>4620</v>
      </c>
      <c r="B200" t="s">
        <v>4245</v>
      </c>
      <c r="C200" t="s">
        <v>4621</v>
      </c>
      <c r="D200" t="s">
        <v>4241</v>
      </c>
      <c r="E200">
        <v>132000</v>
      </c>
      <c r="F200">
        <v>500</v>
      </c>
      <c r="H200" t="s">
        <v>3386</v>
      </c>
      <c r="I200" t="s">
        <v>4208</v>
      </c>
      <c r="J200" t="s">
        <v>4209</v>
      </c>
      <c r="K200">
        <v>3</v>
      </c>
      <c r="L200">
        <v>0</v>
      </c>
      <c r="O200" s="422">
        <v>46169</v>
      </c>
      <c r="Q200" s="422">
        <v>46055</v>
      </c>
      <c r="U200" t="s">
        <v>157</v>
      </c>
      <c r="V200" s="422">
        <v>45748</v>
      </c>
      <c r="W200" s="422" t="str">
        <f t="shared" si="3"/>
        <v/>
      </c>
    </row>
    <row r="201" spans="1:23">
      <c r="A201" t="s">
        <v>4622</v>
      </c>
      <c r="B201" t="s">
        <v>4204</v>
      </c>
      <c r="C201" t="s">
        <v>1788</v>
      </c>
      <c r="D201" t="s">
        <v>4222</v>
      </c>
      <c r="F201">
        <v>50</v>
      </c>
      <c r="G201" t="s">
        <v>4623</v>
      </c>
      <c r="H201" t="s">
        <v>3386</v>
      </c>
      <c r="I201" t="s">
        <v>4213</v>
      </c>
      <c r="J201" t="s">
        <v>4209</v>
      </c>
      <c r="L201">
        <v>1</v>
      </c>
      <c r="M201" s="422">
        <v>45765</v>
      </c>
      <c r="N201" t="s">
        <v>2400</v>
      </c>
      <c r="Q201" s="422">
        <v>46052</v>
      </c>
      <c r="U201" t="s">
        <v>157</v>
      </c>
      <c r="V201" s="422">
        <v>45931</v>
      </c>
      <c r="W201" s="422">
        <f t="shared" si="3"/>
        <v>45931</v>
      </c>
    </row>
    <row r="202" spans="1:23">
      <c r="A202" t="s">
        <v>4624</v>
      </c>
      <c r="B202" t="s">
        <v>4245</v>
      </c>
      <c r="C202" t="s">
        <v>4625</v>
      </c>
      <c r="D202" t="s">
        <v>4241</v>
      </c>
      <c r="F202">
        <v>3000</v>
      </c>
      <c r="G202" t="s">
        <v>4601</v>
      </c>
      <c r="J202" t="s">
        <v>4209</v>
      </c>
      <c r="L202">
        <v>0</v>
      </c>
      <c r="O202" s="422">
        <v>46171</v>
      </c>
      <c r="P202" t="s">
        <v>4224</v>
      </c>
      <c r="Q202" s="422">
        <v>46076</v>
      </c>
      <c r="U202" t="s">
        <v>157</v>
      </c>
      <c r="V202" s="422">
        <v>46076</v>
      </c>
      <c r="W202" s="422" t="str">
        <f t="shared" si="3"/>
        <v/>
      </c>
    </row>
    <row r="203" spans="1:23">
      <c r="A203" t="s">
        <v>4626</v>
      </c>
      <c r="B203" t="s">
        <v>4204</v>
      </c>
      <c r="C203" t="s">
        <v>302</v>
      </c>
      <c r="D203" t="s">
        <v>4222</v>
      </c>
      <c r="E203">
        <v>57600</v>
      </c>
      <c r="F203">
        <v>200</v>
      </c>
      <c r="G203" t="s">
        <v>4627</v>
      </c>
      <c r="H203" t="s">
        <v>3386</v>
      </c>
      <c r="I203" t="s">
        <v>4220</v>
      </c>
      <c r="J203" t="s">
        <v>4209</v>
      </c>
      <c r="K203">
        <v>1</v>
      </c>
      <c r="L203">
        <v>1</v>
      </c>
      <c r="M203" s="422">
        <v>46136</v>
      </c>
      <c r="N203" t="s">
        <v>3555</v>
      </c>
      <c r="P203" t="s">
        <v>4224</v>
      </c>
      <c r="Q203" s="422">
        <v>46138</v>
      </c>
      <c r="R203" s="422">
        <v>46129</v>
      </c>
      <c r="S203" s="422">
        <v>46136</v>
      </c>
      <c r="T203" s="422">
        <v>46119</v>
      </c>
      <c r="U203" t="s">
        <v>3556</v>
      </c>
      <c r="V203" s="422">
        <v>46138</v>
      </c>
      <c r="W203" s="422">
        <f t="shared" si="3"/>
        <v>46129</v>
      </c>
    </row>
    <row r="204" spans="1:23">
      <c r="A204" t="s">
        <v>4628</v>
      </c>
      <c r="B204" t="s">
        <v>4215</v>
      </c>
      <c r="C204" t="s">
        <v>4629</v>
      </c>
      <c r="D204" t="s">
        <v>4310</v>
      </c>
      <c r="E204">
        <v>55500</v>
      </c>
      <c r="F204">
        <v>250</v>
      </c>
      <c r="G204" t="s">
        <v>4630</v>
      </c>
      <c r="J204" t="s">
        <v>4209</v>
      </c>
      <c r="L204">
        <v>0</v>
      </c>
      <c r="Q204" s="422">
        <v>46136</v>
      </c>
      <c r="R204" s="422">
        <v>46136</v>
      </c>
      <c r="S204" s="422">
        <v>46148</v>
      </c>
      <c r="U204" t="s">
        <v>4631</v>
      </c>
      <c r="V204" s="422">
        <v>46136</v>
      </c>
      <c r="W204" s="422">
        <f t="shared" si="3"/>
        <v>46136</v>
      </c>
    </row>
    <row r="205" spans="1:23">
      <c r="A205" t="s">
        <v>4632</v>
      </c>
      <c r="B205" t="s">
        <v>4204</v>
      </c>
      <c r="C205" t="s">
        <v>1831</v>
      </c>
      <c r="D205" t="s">
        <v>4218</v>
      </c>
      <c r="E205">
        <v>1425000</v>
      </c>
      <c r="F205">
        <v>5000</v>
      </c>
      <c r="G205" t="s">
        <v>4633</v>
      </c>
      <c r="H205" t="s">
        <v>4396</v>
      </c>
      <c r="I205" t="s">
        <v>4220</v>
      </c>
      <c r="J205" t="s">
        <v>4209</v>
      </c>
      <c r="K205">
        <v>2</v>
      </c>
      <c r="L205">
        <v>0</v>
      </c>
      <c r="O205" s="422">
        <v>46240</v>
      </c>
      <c r="P205" t="s">
        <v>4224</v>
      </c>
      <c r="Q205" s="422">
        <v>46225</v>
      </c>
      <c r="R205" s="422">
        <v>46225</v>
      </c>
      <c r="T205" s="422">
        <v>46225</v>
      </c>
      <c r="U205" t="s">
        <v>2105</v>
      </c>
      <c r="V205" s="422">
        <v>46225</v>
      </c>
      <c r="W205" s="422">
        <f t="shared" si="3"/>
        <v>46225</v>
      </c>
    </row>
    <row r="206" spans="1:23">
      <c r="A206" t="s">
        <v>4634</v>
      </c>
      <c r="B206" t="s">
        <v>4204</v>
      </c>
      <c r="C206" t="s">
        <v>3006</v>
      </c>
      <c r="D206" t="s">
        <v>4205</v>
      </c>
      <c r="E206">
        <v>228000</v>
      </c>
      <c r="F206">
        <v>1000</v>
      </c>
      <c r="G206" t="s">
        <v>4635</v>
      </c>
      <c r="H206" t="s">
        <v>3405</v>
      </c>
      <c r="I206" t="s">
        <v>4213</v>
      </c>
      <c r="J206" t="s">
        <v>4209</v>
      </c>
      <c r="K206">
        <v>2</v>
      </c>
      <c r="L206">
        <v>0</v>
      </c>
      <c r="Q206" s="422">
        <v>46052</v>
      </c>
      <c r="U206" t="s">
        <v>2105</v>
      </c>
      <c r="V206" s="422">
        <v>46052</v>
      </c>
      <c r="W206" s="422" t="str">
        <f t="shared" si="3"/>
        <v/>
      </c>
    </row>
    <row r="207" spans="1:23">
      <c r="A207" t="s">
        <v>4636</v>
      </c>
      <c r="B207" t="s">
        <v>4204</v>
      </c>
      <c r="C207" t="s">
        <v>4267</v>
      </c>
      <c r="D207" t="s">
        <v>4241</v>
      </c>
      <c r="G207" t="s">
        <v>4635</v>
      </c>
      <c r="H207" t="s">
        <v>3405</v>
      </c>
      <c r="I207" t="s">
        <v>4213</v>
      </c>
      <c r="J207" t="s">
        <v>4209</v>
      </c>
      <c r="K207">
        <v>3</v>
      </c>
      <c r="L207">
        <v>0</v>
      </c>
      <c r="Q207" s="422">
        <v>46052</v>
      </c>
      <c r="U207" t="s">
        <v>2105</v>
      </c>
      <c r="V207" s="422">
        <v>46052</v>
      </c>
      <c r="W207" s="422" t="str">
        <f t="shared" si="3"/>
        <v/>
      </c>
    </row>
    <row r="208" spans="1:23">
      <c r="A208" t="s">
        <v>4637</v>
      </c>
      <c r="B208" t="s">
        <v>4204</v>
      </c>
      <c r="C208" t="s">
        <v>3086</v>
      </c>
      <c r="D208" t="s">
        <v>4205</v>
      </c>
      <c r="E208">
        <v>456000</v>
      </c>
      <c r="F208">
        <v>2000</v>
      </c>
      <c r="G208" t="s">
        <v>4635</v>
      </c>
      <c r="H208" t="s">
        <v>3405</v>
      </c>
      <c r="I208" t="s">
        <v>4213</v>
      </c>
      <c r="J208" t="s">
        <v>4209</v>
      </c>
      <c r="L208">
        <v>0</v>
      </c>
      <c r="P208" t="s">
        <v>4224</v>
      </c>
      <c r="Q208" s="422">
        <v>46052</v>
      </c>
      <c r="T208" s="422">
        <v>46121</v>
      </c>
      <c r="U208" t="s">
        <v>2105</v>
      </c>
      <c r="V208" s="422">
        <v>45931</v>
      </c>
      <c r="W208" s="422" t="str">
        <f t="shared" si="3"/>
        <v/>
      </c>
    </row>
    <row r="209" spans="1:23">
      <c r="A209" t="s">
        <v>4638</v>
      </c>
      <c r="B209" t="s">
        <v>4204</v>
      </c>
      <c r="C209" t="s">
        <v>3489</v>
      </c>
      <c r="D209" t="s">
        <v>4241</v>
      </c>
      <c r="E209">
        <v>2280000</v>
      </c>
      <c r="F209">
        <v>10000</v>
      </c>
      <c r="H209" t="s">
        <v>3405</v>
      </c>
      <c r="I209" t="s">
        <v>4213</v>
      </c>
      <c r="J209" t="s">
        <v>4209</v>
      </c>
      <c r="K209">
        <v>2</v>
      </c>
      <c r="L209">
        <v>0</v>
      </c>
      <c r="O209" s="422">
        <v>46206</v>
      </c>
      <c r="Q209" s="422">
        <v>46052</v>
      </c>
      <c r="U209" t="s">
        <v>2105</v>
      </c>
      <c r="V209" s="422">
        <v>45931</v>
      </c>
      <c r="W209" s="422" t="str">
        <f t="shared" si="3"/>
        <v/>
      </c>
    </row>
    <row r="210" spans="1:23">
      <c r="A210" t="s">
        <v>4639</v>
      </c>
      <c r="B210" t="s">
        <v>4204</v>
      </c>
      <c r="C210" t="s">
        <v>4640</v>
      </c>
      <c r="D210" t="s">
        <v>4218</v>
      </c>
      <c r="E210">
        <v>1140000</v>
      </c>
      <c r="F210">
        <v>5000</v>
      </c>
      <c r="G210" t="s">
        <v>4633</v>
      </c>
      <c r="H210" t="s">
        <v>3405</v>
      </c>
      <c r="I210" t="s">
        <v>4213</v>
      </c>
      <c r="J210" t="s">
        <v>4209</v>
      </c>
      <c r="K210">
        <v>2</v>
      </c>
      <c r="L210">
        <v>0</v>
      </c>
      <c r="O210" s="422">
        <v>46206</v>
      </c>
      <c r="P210" t="s">
        <v>4224</v>
      </c>
      <c r="Q210" s="422">
        <v>46052</v>
      </c>
      <c r="R210" s="422">
        <v>46114</v>
      </c>
      <c r="T210" s="422">
        <v>45994</v>
      </c>
      <c r="U210" t="s">
        <v>2105</v>
      </c>
      <c r="V210" s="422">
        <v>45931</v>
      </c>
      <c r="W210" s="422">
        <f t="shared" si="3"/>
        <v>46114</v>
      </c>
    </row>
    <row r="211" spans="1:23">
      <c r="A211" t="s">
        <v>4641</v>
      </c>
      <c r="B211" t="s">
        <v>4204</v>
      </c>
      <c r="C211" t="s">
        <v>4028</v>
      </c>
      <c r="D211" t="s">
        <v>4205</v>
      </c>
      <c r="E211">
        <v>410400</v>
      </c>
      <c r="F211">
        <v>1200</v>
      </c>
      <c r="G211" t="s">
        <v>4642</v>
      </c>
      <c r="H211" t="s">
        <v>3379</v>
      </c>
      <c r="I211" t="s">
        <v>4220</v>
      </c>
      <c r="J211" t="s">
        <v>4209</v>
      </c>
      <c r="K211">
        <v>2</v>
      </c>
      <c r="L211">
        <v>0</v>
      </c>
      <c r="Q211" s="422">
        <v>46052</v>
      </c>
      <c r="U211" t="s">
        <v>2105</v>
      </c>
      <c r="V211" s="422">
        <v>45931</v>
      </c>
      <c r="W211" s="422" t="str">
        <f t="shared" si="3"/>
        <v/>
      </c>
    </row>
    <row r="212" spans="1:23">
      <c r="A212" t="s">
        <v>4643</v>
      </c>
      <c r="B212" t="s">
        <v>4204</v>
      </c>
      <c r="C212" t="s">
        <v>4275</v>
      </c>
      <c r="D212" t="s">
        <v>4216</v>
      </c>
      <c r="E212">
        <v>342000</v>
      </c>
      <c r="F212">
        <v>1500</v>
      </c>
      <c r="G212" t="s">
        <v>4635</v>
      </c>
      <c r="H212" t="s">
        <v>3379</v>
      </c>
      <c r="I212" t="s">
        <v>4213</v>
      </c>
      <c r="J212" t="s">
        <v>4209</v>
      </c>
      <c r="K212">
        <v>2</v>
      </c>
      <c r="L212">
        <v>0</v>
      </c>
      <c r="Q212" s="422">
        <v>46052</v>
      </c>
      <c r="U212" t="s">
        <v>2105</v>
      </c>
      <c r="V212" s="422">
        <v>46052</v>
      </c>
      <c r="W212" s="422" t="str">
        <f t="shared" si="3"/>
        <v/>
      </c>
    </row>
    <row r="213" spans="1:23">
      <c r="A213" t="s">
        <v>4644</v>
      </c>
      <c r="B213" t="s">
        <v>4204</v>
      </c>
      <c r="C213" t="s">
        <v>3546</v>
      </c>
      <c r="D213" t="s">
        <v>4205</v>
      </c>
      <c r="E213">
        <v>100000</v>
      </c>
      <c r="F213">
        <v>1000</v>
      </c>
      <c r="G213" t="s">
        <v>4635</v>
      </c>
      <c r="H213" t="s">
        <v>3379</v>
      </c>
      <c r="I213" t="s">
        <v>4213</v>
      </c>
      <c r="J213" t="s">
        <v>4209</v>
      </c>
      <c r="K213">
        <v>3</v>
      </c>
      <c r="L213">
        <v>0</v>
      </c>
      <c r="O213" s="422">
        <v>46135</v>
      </c>
      <c r="P213" t="s">
        <v>4224</v>
      </c>
      <c r="Q213" s="422">
        <v>46114</v>
      </c>
      <c r="T213" s="422">
        <v>46121</v>
      </c>
      <c r="U213" t="s">
        <v>2105</v>
      </c>
      <c r="V213" s="422">
        <v>46114</v>
      </c>
      <c r="W213" s="422" t="str">
        <f t="shared" si="3"/>
        <v/>
      </c>
    </row>
    <row r="214" spans="1:23">
      <c r="A214" t="s">
        <v>4645</v>
      </c>
      <c r="B214" t="s">
        <v>4204</v>
      </c>
      <c r="C214" t="s">
        <v>3546</v>
      </c>
      <c r="D214" t="s">
        <v>4222</v>
      </c>
      <c r="E214">
        <v>710000</v>
      </c>
      <c r="F214">
        <v>5000</v>
      </c>
      <c r="G214" t="s">
        <v>4642</v>
      </c>
      <c r="H214" t="s">
        <v>3379</v>
      </c>
      <c r="I214" t="s">
        <v>4213</v>
      </c>
      <c r="J214" t="s">
        <v>4209</v>
      </c>
      <c r="K214">
        <v>1</v>
      </c>
      <c r="L214">
        <v>1</v>
      </c>
      <c r="M214" s="422">
        <v>46035</v>
      </c>
      <c r="N214" t="s">
        <v>3547</v>
      </c>
      <c r="O214" s="422">
        <v>46143</v>
      </c>
      <c r="P214" t="s">
        <v>4224</v>
      </c>
      <c r="Q214" s="422">
        <v>46055</v>
      </c>
      <c r="R214" s="422">
        <v>46052</v>
      </c>
      <c r="S214" s="422">
        <v>46078</v>
      </c>
      <c r="T214" s="422">
        <v>45961</v>
      </c>
      <c r="U214" t="s">
        <v>2105</v>
      </c>
      <c r="V214" s="422">
        <v>45931</v>
      </c>
      <c r="W214" s="422">
        <f t="shared" si="3"/>
        <v>46052</v>
      </c>
    </row>
    <row r="215" spans="1:23">
      <c r="A215" t="s">
        <v>4646</v>
      </c>
      <c r="B215" t="s">
        <v>4204</v>
      </c>
      <c r="C215" t="s">
        <v>3063</v>
      </c>
      <c r="D215" t="s">
        <v>4310</v>
      </c>
      <c r="E215">
        <v>1140000</v>
      </c>
      <c r="F215">
        <v>5000</v>
      </c>
      <c r="G215" t="s">
        <v>4647</v>
      </c>
      <c r="H215" t="s">
        <v>3379</v>
      </c>
      <c r="I215" t="s">
        <v>4213</v>
      </c>
      <c r="J215" t="s">
        <v>4209</v>
      </c>
      <c r="K215">
        <v>1</v>
      </c>
      <c r="L215">
        <v>0</v>
      </c>
      <c r="O215" s="422">
        <v>46183</v>
      </c>
      <c r="P215" t="s">
        <v>4224</v>
      </c>
      <c r="Q215" s="422">
        <v>46052</v>
      </c>
      <c r="R215" s="422">
        <v>46112</v>
      </c>
      <c r="T215" s="422">
        <v>46121</v>
      </c>
      <c r="U215" t="s">
        <v>2105</v>
      </c>
      <c r="V215" s="422">
        <v>46052</v>
      </c>
      <c r="W215" s="422">
        <f t="shared" si="3"/>
        <v>46112</v>
      </c>
    </row>
    <row r="216" spans="1:23">
      <c r="A216" t="s">
        <v>4648</v>
      </c>
      <c r="B216" t="s">
        <v>4204</v>
      </c>
      <c r="C216" t="s">
        <v>3543</v>
      </c>
      <c r="D216" t="s">
        <v>4310</v>
      </c>
      <c r="E216">
        <v>2000000</v>
      </c>
      <c r="F216">
        <v>7000</v>
      </c>
      <c r="G216" t="s">
        <v>4649</v>
      </c>
      <c r="H216" t="s">
        <v>3379</v>
      </c>
      <c r="I216" t="s">
        <v>4213</v>
      </c>
      <c r="J216" t="s">
        <v>4209</v>
      </c>
      <c r="K216">
        <v>1</v>
      </c>
      <c r="L216">
        <v>0</v>
      </c>
      <c r="O216" s="422">
        <v>46254</v>
      </c>
      <c r="P216" t="s">
        <v>4224</v>
      </c>
      <c r="Q216" s="422">
        <v>46052</v>
      </c>
      <c r="R216" s="422">
        <v>46189</v>
      </c>
      <c r="S216" s="422">
        <v>46197</v>
      </c>
      <c r="T216" s="422">
        <v>45958</v>
      </c>
      <c r="U216" t="s">
        <v>2105</v>
      </c>
      <c r="V216" s="422">
        <v>45839</v>
      </c>
      <c r="W216" s="422">
        <f t="shared" si="3"/>
        <v>46189</v>
      </c>
    </row>
    <row r="217" spans="1:23">
      <c r="A217" t="s">
        <v>4650</v>
      </c>
      <c r="B217" t="s">
        <v>4204</v>
      </c>
      <c r="C217" t="s">
        <v>4651</v>
      </c>
      <c r="D217" t="s">
        <v>4205</v>
      </c>
      <c r="E217">
        <v>570000</v>
      </c>
      <c r="F217">
        <v>2500</v>
      </c>
      <c r="G217" t="s">
        <v>4647</v>
      </c>
      <c r="H217" t="s">
        <v>3379</v>
      </c>
      <c r="I217" t="s">
        <v>4213</v>
      </c>
      <c r="J217" t="s">
        <v>4209</v>
      </c>
      <c r="K217">
        <v>3</v>
      </c>
      <c r="L217">
        <v>0</v>
      </c>
      <c r="Q217" s="422">
        <v>46052</v>
      </c>
      <c r="U217" t="s">
        <v>2105</v>
      </c>
      <c r="V217" s="422">
        <v>45931</v>
      </c>
      <c r="W217" s="422" t="str">
        <f t="shared" si="3"/>
        <v/>
      </c>
    </row>
    <row r="218" spans="1:23">
      <c r="A218" t="s">
        <v>4652</v>
      </c>
      <c r="B218" t="s">
        <v>4204</v>
      </c>
      <c r="C218" t="s">
        <v>4653</v>
      </c>
      <c r="D218" t="s">
        <v>4205</v>
      </c>
      <c r="H218" t="s">
        <v>3398</v>
      </c>
      <c r="I218" t="s">
        <v>4213</v>
      </c>
      <c r="J218" t="s">
        <v>4209</v>
      </c>
      <c r="K218">
        <v>3</v>
      </c>
      <c r="L218">
        <v>0</v>
      </c>
      <c r="Q218" s="422">
        <v>46052</v>
      </c>
      <c r="U218" t="s">
        <v>2105</v>
      </c>
      <c r="V218" s="422">
        <v>45931</v>
      </c>
      <c r="W218" s="422" t="str">
        <f t="shared" si="3"/>
        <v/>
      </c>
    </row>
    <row r="219" spans="1:23">
      <c r="A219" t="s">
        <v>4654</v>
      </c>
      <c r="B219" t="s">
        <v>4204</v>
      </c>
      <c r="C219" t="s">
        <v>4655</v>
      </c>
      <c r="D219" t="s">
        <v>4310</v>
      </c>
      <c r="E219">
        <v>1380000</v>
      </c>
      <c r="F219">
        <v>4000</v>
      </c>
      <c r="G219" t="s">
        <v>4647</v>
      </c>
      <c r="H219" t="s">
        <v>3398</v>
      </c>
      <c r="I219" t="s">
        <v>4213</v>
      </c>
      <c r="J219" t="s">
        <v>4209</v>
      </c>
      <c r="K219">
        <v>1</v>
      </c>
      <c r="L219">
        <v>0</v>
      </c>
      <c r="O219" s="422">
        <v>46267</v>
      </c>
      <c r="P219" t="s">
        <v>4224</v>
      </c>
      <c r="Q219" s="422">
        <v>46055</v>
      </c>
      <c r="R219" s="422">
        <v>46080</v>
      </c>
      <c r="S219" s="422">
        <v>46090</v>
      </c>
      <c r="T219" s="422">
        <v>46069</v>
      </c>
      <c r="U219" t="s">
        <v>2105</v>
      </c>
      <c r="V219" s="422">
        <v>45931</v>
      </c>
      <c r="W219" s="422">
        <f t="shared" si="3"/>
        <v>46080</v>
      </c>
    </row>
    <row r="220" spans="1:23">
      <c r="A220" t="s">
        <v>4656</v>
      </c>
      <c r="B220" t="s">
        <v>4204</v>
      </c>
      <c r="C220" t="s">
        <v>290</v>
      </c>
      <c r="D220" t="s">
        <v>4241</v>
      </c>
      <c r="H220" t="s">
        <v>3398</v>
      </c>
      <c r="I220" t="s">
        <v>4213</v>
      </c>
      <c r="J220" t="s">
        <v>4209</v>
      </c>
      <c r="K220">
        <v>3</v>
      </c>
      <c r="L220">
        <v>0</v>
      </c>
      <c r="Q220" s="422">
        <v>46052</v>
      </c>
      <c r="U220" t="s">
        <v>2105</v>
      </c>
      <c r="V220" s="422">
        <v>45931</v>
      </c>
      <c r="W220" s="422" t="str">
        <f t="shared" si="3"/>
        <v/>
      </c>
    </row>
    <row r="221" spans="1:23">
      <c r="A221" t="s">
        <v>4657</v>
      </c>
      <c r="B221" t="s">
        <v>4204</v>
      </c>
      <c r="C221" t="s">
        <v>4658</v>
      </c>
      <c r="D221" t="s">
        <v>4241</v>
      </c>
      <c r="H221" t="s">
        <v>3398</v>
      </c>
      <c r="I221" t="s">
        <v>4213</v>
      </c>
      <c r="J221" t="s">
        <v>4209</v>
      </c>
      <c r="K221">
        <v>3</v>
      </c>
      <c r="L221">
        <v>0</v>
      </c>
      <c r="Q221" s="422">
        <v>46055</v>
      </c>
      <c r="U221" t="s">
        <v>2105</v>
      </c>
      <c r="V221" s="422">
        <v>45931</v>
      </c>
      <c r="W221" s="422" t="str">
        <f t="shared" si="3"/>
        <v/>
      </c>
    </row>
    <row r="222" spans="1:23">
      <c r="A222" t="s">
        <v>4659</v>
      </c>
      <c r="B222" t="s">
        <v>4204</v>
      </c>
      <c r="C222" t="s">
        <v>279</v>
      </c>
      <c r="D222" t="s">
        <v>4310</v>
      </c>
      <c r="E222">
        <v>1710000</v>
      </c>
      <c r="F222">
        <v>5000</v>
      </c>
      <c r="G222" t="s">
        <v>4633</v>
      </c>
      <c r="H222" t="s">
        <v>3374</v>
      </c>
      <c r="I222" t="s">
        <v>4213</v>
      </c>
      <c r="J222" t="s">
        <v>4209</v>
      </c>
      <c r="K222">
        <v>1</v>
      </c>
      <c r="L222">
        <v>0</v>
      </c>
      <c r="O222" s="422">
        <v>46240</v>
      </c>
      <c r="P222" t="s">
        <v>4224</v>
      </c>
      <c r="Q222" s="422">
        <v>46141</v>
      </c>
      <c r="R222" s="422">
        <v>46160</v>
      </c>
      <c r="S222" s="422">
        <v>46162</v>
      </c>
      <c r="T222" s="422">
        <v>46148</v>
      </c>
      <c r="U222" t="s">
        <v>2105</v>
      </c>
      <c r="V222" s="422">
        <v>46160</v>
      </c>
      <c r="W222" s="422">
        <f t="shared" si="3"/>
        <v>46160</v>
      </c>
    </row>
    <row r="223" spans="1:23">
      <c r="A223" t="s">
        <v>4660</v>
      </c>
      <c r="B223" t="s">
        <v>4204</v>
      </c>
      <c r="C223" t="s">
        <v>1552</v>
      </c>
      <c r="D223" t="s">
        <v>4310</v>
      </c>
      <c r="E223">
        <v>500000</v>
      </c>
      <c r="F223">
        <v>1000</v>
      </c>
      <c r="G223" t="s">
        <v>4633</v>
      </c>
      <c r="H223" t="s">
        <v>3374</v>
      </c>
      <c r="I223" t="s">
        <v>4213</v>
      </c>
      <c r="J223" t="s">
        <v>4209</v>
      </c>
      <c r="K223">
        <v>3</v>
      </c>
      <c r="L223">
        <v>0</v>
      </c>
      <c r="O223" s="422">
        <v>46240</v>
      </c>
      <c r="P223" t="s">
        <v>4224</v>
      </c>
      <c r="Q223" s="422">
        <v>46119</v>
      </c>
      <c r="R223" s="422">
        <v>46160</v>
      </c>
      <c r="S223" s="422">
        <v>46168</v>
      </c>
      <c r="T223" s="422">
        <v>46122</v>
      </c>
      <c r="U223" t="s">
        <v>2105</v>
      </c>
      <c r="V223" s="422">
        <v>46119</v>
      </c>
      <c r="W223" s="422">
        <f t="shared" si="3"/>
        <v>46160</v>
      </c>
    </row>
    <row r="224" spans="1:23">
      <c r="A224" t="s">
        <v>4661</v>
      </c>
      <c r="B224" t="s">
        <v>4204</v>
      </c>
      <c r="C224" t="s">
        <v>3553</v>
      </c>
      <c r="D224" t="s">
        <v>4222</v>
      </c>
      <c r="E224">
        <v>792000</v>
      </c>
      <c r="F224">
        <v>2000</v>
      </c>
      <c r="G224" t="s">
        <v>4649</v>
      </c>
      <c r="H224" t="s">
        <v>3390</v>
      </c>
      <c r="I224" t="s">
        <v>4213</v>
      </c>
      <c r="J224" t="s">
        <v>4209</v>
      </c>
      <c r="K224">
        <v>2</v>
      </c>
      <c r="L224">
        <v>1</v>
      </c>
      <c r="M224" s="422">
        <v>46073</v>
      </c>
      <c r="N224" t="s">
        <v>3553</v>
      </c>
      <c r="P224" t="s">
        <v>4224</v>
      </c>
      <c r="Q224" s="422">
        <v>46052</v>
      </c>
      <c r="R224" s="422">
        <v>46073</v>
      </c>
      <c r="T224" s="422">
        <v>46023</v>
      </c>
      <c r="U224" t="s">
        <v>2105</v>
      </c>
      <c r="V224" s="422">
        <v>45748</v>
      </c>
      <c r="W224" s="422">
        <f t="shared" si="3"/>
        <v>46073</v>
      </c>
    </row>
    <row r="225" spans="1:23">
      <c r="A225" t="s">
        <v>4662</v>
      </c>
      <c r="B225" t="s">
        <v>4204</v>
      </c>
      <c r="C225" t="s">
        <v>3388</v>
      </c>
      <c r="D225" t="s">
        <v>4205</v>
      </c>
      <c r="F225">
        <v>800</v>
      </c>
      <c r="G225" t="s">
        <v>4635</v>
      </c>
      <c r="H225" t="s">
        <v>3390</v>
      </c>
      <c r="I225" t="s">
        <v>4213</v>
      </c>
      <c r="J225" t="s">
        <v>4209</v>
      </c>
      <c r="L225">
        <v>0</v>
      </c>
      <c r="Q225" s="422">
        <v>46052</v>
      </c>
      <c r="U225" t="s">
        <v>2105</v>
      </c>
      <c r="V225" s="422">
        <v>46052</v>
      </c>
      <c r="W225" s="422" t="str">
        <f t="shared" si="3"/>
        <v/>
      </c>
    </row>
    <row r="226" spans="1:23">
      <c r="A226" t="s">
        <v>4663</v>
      </c>
      <c r="B226" t="s">
        <v>4204</v>
      </c>
      <c r="C226" t="s">
        <v>4664</v>
      </c>
      <c r="D226" t="s">
        <v>4205</v>
      </c>
      <c r="F226">
        <v>2000</v>
      </c>
      <c r="G226" t="s">
        <v>4635</v>
      </c>
      <c r="H226" t="s">
        <v>3390</v>
      </c>
      <c r="I226" t="s">
        <v>4213</v>
      </c>
      <c r="J226" t="s">
        <v>4209</v>
      </c>
      <c r="L226">
        <v>0</v>
      </c>
      <c r="Q226" s="422">
        <v>46052</v>
      </c>
      <c r="U226" t="s">
        <v>2105</v>
      </c>
      <c r="V226" s="422">
        <v>46052</v>
      </c>
      <c r="W226" s="422" t="str">
        <f t="shared" si="3"/>
        <v/>
      </c>
    </row>
    <row r="227" spans="1:23">
      <c r="A227" t="s">
        <v>4665</v>
      </c>
      <c r="B227" t="s">
        <v>4204</v>
      </c>
      <c r="C227" t="s">
        <v>4666</v>
      </c>
      <c r="D227" t="s">
        <v>4218</v>
      </c>
      <c r="E227">
        <v>410400</v>
      </c>
      <c r="F227">
        <v>1500</v>
      </c>
      <c r="G227" t="s">
        <v>4633</v>
      </c>
      <c r="H227" t="s">
        <v>3390</v>
      </c>
      <c r="I227" t="s">
        <v>4213</v>
      </c>
      <c r="J227" t="s">
        <v>4209</v>
      </c>
      <c r="K227">
        <v>2</v>
      </c>
      <c r="L227">
        <v>0</v>
      </c>
      <c r="O227" s="422">
        <v>46240</v>
      </c>
      <c r="P227" t="s">
        <v>4224</v>
      </c>
      <c r="Q227" s="422">
        <v>46106</v>
      </c>
      <c r="R227" s="422">
        <v>46143</v>
      </c>
      <c r="T227" s="422">
        <v>46115</v>
      </c>
      <c r="U227" t="s">
        <v>2105</v>
      </c>
      <c r="V227" s="422">
        <v>46106</v>
      </c>
      <c r="W227" s="422">
        <f t="shared" si="3"/>
        <v>46143</v>
      </c>
    </row>
    <row r="228" spans="1:23">
      <c r="A228" t="s">
        <v>4667</v>
      </c>
      <c r="B228" t="s">
        <v>4204</v>
      </c>
      <c r="C228" t="s">
        <v>4668</v>
      </c>
      <c r="D228" t="s">
        <v>4216</v>
      </c>
      <c r="E228">
        <v>1710000</v>
      </c>
      <c r="F228">
        <v>5000</v>
      </c>
      <c r="G228" t="s">
        <v>4647</v>
      </c>
      <c r="H228" t="s">
        <v>3390</v>
      </c>
      <c r="I228" t="s">
        <v>4220</v>
      </c>
      <c r="J228" t="s">
        <v>4209</v>
      </c>
      <c r="K228">
        <v>2</v>
      </c>
      <c r="L228">
        <v>0</v>
      </c>
      <c r="O228" s="422">
        <v>46198</v>
      </c>
      <c r="P228" t="s">
        <v>4224</v>
      </c>
      <c r="Q228" s="422">
        <v>46052</v>
      </c>
      <c r="T228" s="422">
        <v>46072</v>
      </c>
      <c r="U228" t="s">
        <v>2105</v>
      </c>
      <c r="V228" s="422">
        <v>45748</v>
      </c>
      <c r="W228" s="422" t="str">
        <f t="shared" si="3"/>
        <v/>
      </c>
    </row>
    <row r="229" spans="1:23">
      <c r="A229" t="s">
        <v>4669</v>
      </c>
      <c r="B229" t="s">
        <v>4204</v>
      </c>
      <c r="C229" t="s">
        <v>972</v>
      </c>
      <c r="D229" t="s">
        <v>4205</v>
      </c>
      <c r="E229">
        <v>1872000</v>
      </c>
      <c r="F229">
        <v>10000</v>
      </c>
      <c r="G229" t="s">
        <v>4635</v>
      </c>
      <c r="H229" t="s">
        <v>3390</v>
      </c>
      <c r="I229" t="s">
        <v>4213</v>
      </c>
      <c r="J229" t="s">
        <v>4209</v>
      </c>
      <c r="K229">
        <v>2</v>
      </c>
      <c r="L229">
        <v>0</v>
      </c>
      <c r="P229" t="s">
        <v>4224</v>
      </c>
      <c r="Q229" s="422">
        <v>46052</v>
      </c>
      <c r="T229" s="422">
        <v>46076</v>
      </c>
      <c r="U229" t="s">
        <v>2105</v>
      </c>
      <c r="V229" s="422">
        <v>46052</v>
      </c>
      <c r="W229" s="422" t="str">
        <f t="shared" si="3"/>
        <v/>
      </c>
    </row>
    <row r="230" spans="1:23">
      <c r="A230" t="s">
        <v>4670</v>
      </c>
      <c r="B230" t="s">
        <v>4204</v>
      </c>
      <c r="C230" t="s">
        <v>4671</v>
      </c>
      <c r="D230" t="s">
        <v>4205</v>
      </c>
      <c r="F230">
        <v>800</v>
      </c>
      <c r="G230" t="s">
        <v>4635</v>
      </c>
      <c r="H230" t="s">
        <v>3390</v>
      </c>
      <c r="I230" t="s">
        <v>4220</v>
      </c>
      <c r="J230" t="s">
        <v>4209</v>
      </c>
      <c r="L230">
        <v>0</v>
      </c>
      <c r="Q230" s="422">
        <v>46052</v>
      </c>
      <c r="U230" t="s">
        <v>2105</v>
      </c>
      <c r="V230" s="422">
        <v>46052</v>
      </c>
      <c r="W230" s="422" t="str">
        <f t="shared" si="3"/>
        <v/>
      </c>
    </row>
    <row r="231" spans="1:23">
      <c r="A231" t="s">
        <v>4672</v>
      </c>
      <c r="B231" t="s">
        <v>4204</v>
      </c>
      <c r="C231" t="s">
        <v>4673</v>
      </c>
      <c r="D231" t="s">
        <v>4218</v>
      </c>
      <c r="E231">
        <v>1824000</v>
      </c>
      <c r="F231">
        <v>8000</v>
      </c>
      <c r="G231" t="s">
        <v>4674</v>
      </c>
      <c r="H231" t="s">
        <v>3390</v>
      </c>
      <c r="I231" t="s">
        <v>4213</v>
      </c>
      <c r="J231" t="s">
        <v>4209</v>
      </c>
      <c r="K231">
        <v>2</v>
      </c>
      <c r="L231">
        <v>0</v>
      </c>
      <c r="O231" s="422">
        <v>46205</v>
      </c>
      <c r="P231" t="s">
        <v>4224</v>
      </c>
      <c r="Q231" s="422">
        <v>46055</v>
      </c>
      <c r="R231" s="422">
        <v>46076</v>
      </c>
      <c r="T231" s="422">
        <v>45862</v>
      </c>
      <c r="U231" t="s">
        <v>2105</v>
      </c>
      <c r="V231" s="422">
        <v>45839</v>
      </c>
      <c r="W231" s="422">
        <f t="shared" si="3"/>
        <v>46076</v>
      </c>
    </row>
    <row r="232" spans="1:23">
      <c r="A232" t="s">
        <v>4675</v>
      </c>
      <c r="B232" t="s">
        <v>4204</v>
      </c>
      <c r="C232" t="s">
        <v>4676</v>
      </c>
      <c r="D232" t="s">
        <v>4218</v>
      </c>
      <c r="E232">
        <v>684000</v>
      </c>
      <c r="F232">
        <v>2000</v>
      </c>
      <c r="G232" t="s">
        <v>4649</v>
      </c>
      <c r="H232" t="s">
        <v>3390</v>
      </c>
      <c r="I232" t="s">
        <v>4213</v>
      </c>
      <c r="J232" t="s">
        <v>4209</v>
      </c>
      <c r="K232">
        <v>2</v>
      </c>
      <c r="L232">
        <v>0</v>
      </c>
      <c r="O232" s="422">
        <v>46122</v>
      </c>
      <c r="P232" t="s">
        <v>4224</v>
      </c>
      <c r="Q232" s="422">
        <v>46052</v>
      </c>
      <c r="R232" s="422">
        <v>46072</v>
      </c>
      <c r="T232" s="422">
        <v>46072</v>
      </c>
      <c r="U232" t="s">
        <v>2105</v>
      </c>
      <c r="V232" s="422">
        <v>45748</v>
      </c>
      <c r="W232" s="422">
        <f t="shared" si="3"/>
        <v>46072</v>
      </c>
    </row>
    <row r="233" spans="1:23">
      <c r="A233" t="s">
        <v>4677</v>
      </c>
      <c r="B233" t="s">
        <v>4204</v>
      </c>
      <c r="C233" t="s">
        <v>4282</v>
      </c>
      <c r="D233" t="s">
        <v>4205</v>
      </c>
      <c r="G233" t="s">
        <v>4635</v>
      </c>
      <c r="H233" t="s">
        <v>3390</v>
      </c>
      <c r="I233" t="s">
        <v>4213</v>
      </c>
      <c r="J233" t="s">
        <v>4209</v>
      </c>
      <c r="K233">
        <v>2</v>
      </c>
      <c r="L233">
        <v>0</v>
      </c>
      <c r="Q233" s="422">
        <v>46052</v>
      </c>
      <c r="U233" t="s">
        <v>2105</v>
      </c>
      <c r="V233" s="422">
        <v>45748</v>
      </c>
      <c r="W233" s="422" t="str">
        <f t="shared" si="3"/>
        <v/>
      </c>
    </row>
    <row r="234" spans="1:23">
      <c r="A234" t="s">
        <v>4678</v>
      </c>
      <c r="B234" t="s">
        <v>4204</v>
      </c>
      <c r="C234" t="s">
        <v>4679</v>
      </c>
      <c r="D234" t="s">
        <v>4241</v>
      </c>
      <c r="G234" t="s">
        <v>4649</v>
      </c>
      <c r="H234" t="s">
        <v>3390</v>
      </c>
      <c r="I234" t="s">
        <v>4213</v>
      </c>
      <c r="J234" t="s">
        <v>4209</v>
      </c>
      <c r="K234">
        <v>3</v>
      </c>
      <c r="L234">
        <v>0</v>
      </c>
      <c r="Q234" s="422">
        <v>46052</v>
      </c>
      <c r="U234" t="s">
        <v>2105</v>
      </c>
      <c r="V234" s="422">
        <v>45748</v>
      </c>
      <c r="W234" s="422" t="str">
        <f t="shared" si="3"/>
        <v/>
      </c>
    </row>
    <row r="235" spans="1:23">
      <c r="A235" t="s">
        <v>4680</v>
      </c>
      <c r="B235" t="s">
        <v>4204</v>
      </c>
      <c r="C235" t="s">
        <v>4034</v>
      </c>
      <c r="D235" t="s">
        <v>4205</v>
      </c>
      <c r="F235">
        <v>6500</v>
      </c>
      <c r="G235" t="s">
        <v>4635</v>
      </c>
      <c r="H235" t="s">
        <v>3390</v>
      </c>
      <c r="I235" t="s">
        <v>4213</v>
      </c>
      <c r="J235" t="s">
        <v>4209</v>
      </c>
      <c r="L235">
        <v>0</v>
      </c>
      <c r="Q235" s="422">
        <v>46052</v>
      </c>
      <c r="U235" t="s">
        <v>2105</v>
      </c>
      <c r="V235" s="422">
        <v>46052</v>
      </c>
      <c r="W235" s="422" t="str">
        <f t="shared" si="3"/>
        <v/>
      </c>
    </row>
    <row r="236" spans="1:23">
      <c r="A236" t="s">
        <v>4681</v>
      </c>
      <c r="B236" t="s">
        <v>4204</v>
      </c>
      <c r="C236" t="s">
        <v>4682</v>
      </c>
      <c r="D236" t="s">
        <v>4241</v>
      </c>
      <c r="E236">
        <v>342000</v>
      </c>
      <c r="F236">
        <v>1500</v>
      </c>
      <c r="G236" t="s">
        <v>4635</v>
      </c>
      <c r="H236" t="s">
        <v>3390</v>
      </c>
      <c r="I236" t="s">
        <v>4213</v>
      </c>
      <c r="J236" t="s">
        <v>4209</v>
      </c>
      <c r="K236">
        <v>3</v>
      </c>
      <c r="L236">
        <v>0</v>
      </c>
      <c r="Q236" s="422">
        <v>46052</v>
      </c>
      <c r="U236" t="s">
        <v>2105</v>
      </c>
      <c r="V236" s="422">
        <v>45839</v>
      </c>
      <c r="W236" s="422" t="str">
        <f t="shared" si="3"/>
        <v/>
      </c>
    </row>
    <row r="237" spans="1:23">
      <c r="A237" t="s">
        <v>4683</v>
      </c>
      <c r="B237" t="s">
        <v>4204</v>
      </c>
      <c r="C237" t="s">
        <v>4116</v>
      </c>
      <c r="D237" t="s">
        <v>4205</v>
      </c>
      <c r="E237">
        <v>513000</v>
      </c>
      <c r="F237">
        <v>1500</v>
      </c>
      <c r="G237" t="s">
        <v>4635</v>
      </c>
      <c r="H237" t="s">
        <v>3390</v>
      </c>
      <c r="I237" t="s">
        <v>4213</v>
      </c>
      <c r="J237" t="s">
        <v>4209</v>
      </c>
      <c r="K237">
        <v>3</v>
      </c>
      <c r="L237">
        <v>0</v>
      </c>
      <c r="Q237" s="422">
        <v>46052</v>
      </c>
      <c r="U237" t="s">
        <v>2105</v>
      </c>
      <c r="V237" s="422">
        <v>45931</v>
      </c>
      <c r="W237" s="422" t="str">
        <f t="shared" si="3"/>
        <v/>
      </c>
    </row>
    <row r="238" spans="1:23">
      <c r="A238" t="s">
        <v>4684</v>
      </c>
      <c r="B238" t="s">
        <v>4204</v>
      </c>
      <c r="C238" t="s">
        <v>4685</v>
      </c>
      <c r="D238" t="s">
        <v>4216</v>
      </c>
      <c r="E238">
        <v>228000</v>
      </c>
      <c r="F238">
        <v>1000</v>
      </c>
      <c r="G238" t="s">
        <v>4642</v>
      </c>
      <c r="H238" t="s">
        <v>3386</v>
      </c>
      <c r="I238" t="s">
        <v>4213</v>
      </c>
      <c r="J238" t="s">
        <v>4209</v>
      </c>
      <c r="K238">
        <v>3</v>
      </c>
      <c r="L238">
        <v>0</v>
      </c>
      <c r="Q238" s="422">
        <v>46052</v>
      </c>
      <c r="U238" t="s">
        <v>2105</v>
      </c>
      <c r="V238" s="422">
        <v>45931</v>
      </c>
      <c r="W238" s="422" t="str">
        <f t="shared" si="3"/>
        <v/>
      </c>
    </row>
    <row r="239" spans="1:23">
      <c r="A239" t="s">
        <v>4686</v>
      </c>
      <c r="B239" t="s">
        <v>4204</v>
      </c>
      <c r="C239" t="s">
        <v>732</v>
      </c>
      <c r="D239" t="s">
        <v>4222</v>
      </c>
      <c r="E239">
        <v>36000</v>
      </c>
      <c r="F239">
        <v>167</v>
      </c>
      <c r="G239" t="s">
        <v>4635</v>
      </c>
      <c r="H239" t="s">
        <v>3386</v>
      </c>
      <c r="J239" t="s">
        <v>4209</v>
      </c>
      <c r="K239">
        <v>1</v>
      </c>
      <c r="L239">
        <v>1</v>
      </c>
      <c r="M239" s="422">
        <v>46176</v>
      </c>
      <c r="N239" t="s">
        <v>3551</v>
      </c>
      <c r="O239" s="422">
        <v>46176</v>
      </c>
      <c r="Q239" s="422">
        <v>46176</v>
      </c>
      <c r="R239" s="422">
        <v>46162</v>
      </c>
      <c r="S239" s="422">
        <v>46169</v>
      </c>
      <c r="T239" s="422">
        <v>46146</v>
      </c>
      <c r="U239" t="s">
        <v>2105</v>
      </c>
      <c r="V239" s="422">
        <v>46162</v>
      </c>
      <c r="W239" s="422">
        <f t="shared" si="3"/>
        <v>46162</v>
      </c>
    </row>
    <row r="240" spans="1:23">
      <c r="A240" t="s">
        <v>4687</v>
      </c>
      <c r="B240" t="s">
        <v>4204</v>
      </c>
      <c r="C240" t="s">
        <v>3520</v>
      </c>
      <c r="D240" t="s">
        <v>4310</v>
      </c>
      <c r="E240">
        <v>500000</v>
      </c>
      <c r="F240">
        <v>1000</v>
      </c>
      <c r="G240" t="s">
        <v>4642</v>
      </c>
      <c r="H240" t="s">
        <v>3386</v>
      </c>
      <c r="I240" t="s">
        <v>4213</v>
      </c>
      <c r="J240" t="s">
        <v>4209</v>
      </c>
      <c r="K240">
        <v>2</v>
      </c>
      <c r="L240">
        <v>0</v>
      </c>
      <c r="O240" s="422">
        <v>46240</v>
      </c>
      <c r="P240" t="s">
        <v>4224</v>
      </c>
      <c r="Q240" s="422">
        <v>46156</v>
      </c>
      <c r="R240" s="422">
        <v>46171</v>
      </c>
      <c r="T240" s="422">
        <v>46156</v>
      </c>
      <c r="U240" t="s">
        <v>2105</v>
      </c>
      <c r="V240" s="422">
        <v>46171</v>
      </c>
      <c r="W240" s="422">
        <f t="shared" si="3"/>
        <v>46171</v>
      </c>
    </row>
    <row r="241" spans="1:23">
      <c r="A241" t="s">
        <v>4688</v>
      </c>
      <c r="B241" t="s">
        <v>4204</v>
      </c>
      <c r="C241" t="s">
        <v>4689</v>
      </c>
      <c r="D241" t="s">
        <v>4205</v>
      </c>
      <c r="E241">
        <v>40000</v>
      </c>
      <c r="F241">
        <v>117</v>
      </c>
      <c r="G241" t="s">
        <v>4642</v>
      </c>
      <c r="H241" t="s">
        <v>3386</v>
      </c>
      <c r="I241" t="s">
        <v>4213</v>
      </c>
      <c r="J241" t="s">
        <v>4209</v>
      </c>
      <c r="K241">
        <v>2</v>
      </c>
      <c r="L241">
        <v>0</v>
      </c>
      <c r="P241" t="s">
        <v>4224</v>
      </c>
      <c r="Q241" s="422">
        <v>46052</v>
      </c>
      <c r="R241" s="422">
        <v>46071</v>
      </c>
      <c r="S241" s="422">
        <v>46072</v>
      </c>
      <c r="T241" s="422">
        <v>46010</v>
      </c>
      <c r="U241" t="s">
        <v>2105</v>
      </c>
      <c r="V241" s="422">
        <v>45931</v>
      </c>
      <c r="W241" s="422" t="str">
        <f t="shared" si="3"/>
        <v/>
      </c>
    </row>
    <row r="242" spans="1:23">
      <c r="A242" t="s">
        <v>4690</v>
      </c>
      <c r="B242" t="s">
        <v>4204</v>
      </c>
      <c r="C242" t="s">
        <v>4691</v>
      </c>
      <c r="D242" t="s">
        <v>4218</v>
      </c>
      <c r="E242">
        <v>410400</v>
      </c>
      <c r="F242">
        <v>1800</v>
      </c>
      <c r="G242" t="s">
        <v>4635</v>
      </c>
      <c r="H242" t="s">
        <v>3386</v>
      </c>
      <c r="I242" t="s">
        <v>4213</v>
      </c>
      <c r="J242" t="s">
        <v>4209</v>
      </c>
      <c r="K242">
        <v>2</v>
      </c>
      <c r="L242">
        <v>0</v>
      </c>
      <c r="O242" s="422">
        <v>46143</v>
      </c>
      <c r="P242" t="s">
        <v>4224</v>
      </c>
      <c r="Q242" s="422">
        <v>46052</v>
      </c>
      <c r="R242" s="422">
        <v>46107</v>
      </c>
      <c r="T242" s="422">
        <v>46092</v>
      </c>
      <c r="U242" t="s">
        <v>2105</v>
      </c>
      <c r="V242" s="422">
        <v>45931</v>
      </c>
      <c r="W242" s="422">
        <f t="shared" si="3"/>
        <v>46107</v>
      </c>
    </row>
    <row r="243" spans="1:23">
      <c r="A243" t="s">
        <v>4692</v>
      </c>
      <c r="B243" t="s">
        <v>4204</v>
      </c>
      <c r="C243" t="s">
        <v>1812</v>
      </c>
      <c r="D243" t="s">
        <v>4216</v>
      </c>
      <c r="E243">
        <v>500000</v>
      </c>
      <c r="F243">
        <v>2000</v>
      </c>
      <c r="G243" t="s">
        <v>4642</v>
      </c>
      <c r="H243" t="s">
        <v>4693</v>
      </c>
      <c r="I243" t="s">
        <v>4220</v>
      </c>
      <c r="J243" t="s">
        <v>4209</v>
      </c>
      <c r="K243">
        <v>3</v>
      </c>
      <c r="L243">
        <v>0</v>
      </c>
      <c r="O243" s="422">
        <v>46232</v>
      </c>
      <c r="P243" t="s">
        <v>4224</v>
      </c>
      <c r="Q243" s="422">
        <v>46205</v>
      </c>
      <c r="T243" s="422">
        <v>46225</v>
      </c>
      <c r="U243" t="s">
        <v>2105</v>
      </c>
      <c r="V243" s="422">
        <v>46225</v>
      </c>
      <c r="W243" s="422" t="str">
        <f t="shared" si="3"/>
        <v/>
      </c>
    </row>
    <row r="244" spans="1:23">
      <c r="A244" t="s">
        <v>4694</v>
      </c>
      <c r="B244" t="s">
        <v>4204</v>
      </c>
      <c r="C244" t="s">
        <v>4695</v>
      </c>
      <c r="D244" t="s">
        <v>4218</v>
      </c>
      <c r="E244">
        <v>250000</v>
      </c>
      <c r="F244">
        <v>500</v>
      </c>
      <c r="G244" t="s">
        <v>4642</v>
      </c>
      <c r="I244" t="s">
        <v>4213</v>
      </c>
      <c r="J244" t="s">
        <v>4209</v>
      </c>
      <c r="K244">
        <v>1</v>
      </c>
      <c r="L244">
        <v>0</v>
      </c>
      <c r="O244" s="422">
        <v>46240</v>
      </c>
      <c r="P244" t="s">
        <v>4224</v>
      </c>
      <c r="Q244" s="422">
        <v>46234</v>
      </c>
      <c r="R244" s="422">
        <v>46234</v>
      </c>
      <c r="T244" s="422">
        <v>46234</v>
      </c>
      <c r="U244" t="s">
        <v>2105</v>
      </c>
      <c r="V244" s="422">
        <v>46234</v>
      </c>
      <c r="W244" s="422">
        <f t="shared" si="3"/>
        <v>46234</v>
      </c>
    </row>
    <row r="245" spans="1:23">
      <c r="A245" t="s">
        <v>4696</v>
      </c>
      <c r="B245" t="s">
        <v>4204</v>
      </c>
      <c r="C245" t="s">
        <v>1831</v>
      </c>
      <c r="D245" t="s">
        <v>4241</v>
      </c>
      <c r="E245">
        <v>720000</v>
      </c>
      <c r="F245">
        <v>6000</v>
      </c>
      <c r="G245" t="s">
        <v>4633</v>
      </c>
      <c r="I245" t="s">
        <v>4220</v>
      </c>
      <c r="J245" t="s">
        <v>4209</v>
      </c>
      <c r="K245">
        <v>2</v>
      </c>
      <c r="L245">
        <v>0</v>
      </c>
      <c r="O245" s="422">
        <v>46232</v>
      </c>
      <c r="P245" t="s">
        <v>4224</v>
      </c>
      <c r="Q245" s="422">
        <v>46225</v>
      </c>
      <c r="T245" s="422">
        <v>46225</v>
      </c>
      <c r="U245" t="s">
        <v>2105</v>
      </c>
      <c r="V245" s="422">
        <v>46225</v>
      </c>
      <c r="W245" s="422" t="str">
        <f t="shared" si="3"/>
        <v/>
      </c>
    </row>
    <row r="246" spans="1:23">
      <c r="A246" t="s">
        <v>4697</v>
      </c>
      <c r="B246" t="s">
        <v>4245</v>
      </c>
      <c r="C246" t="s">
        <v>4698</v>
      </c>
      <c r="D246" t="s">
        <v>4205</v>
      </c>
      <c r="E246">
        <v>112320</v>
      </c>
      <c r="F246">
        <v>600</v>
      </c>
      <c r="G246" t="s">
        <v>4699</v>
      </c>
      <c r="H246" t="s">
        <v>3386</v>
      </c>
      <c r="I246" t="s">
        <v>4208</v>
      </c>
      <c r="J246" t="s">
        <v>4209</v>
      </c>
      <c r="K246">
        <v>2</v>
      </c>
      <c r="L246">
        <v>0</v>
      </c>
      <c r="Q246" s="422">
        <v>46052</v>
      </c>
      <c r="U246" t="s">
        <v>3522</v>
      </c>
      <c r="V246" s="422">
        <v>45748</v>
      </c>
      <c r="W246" s="422" t="str">
        <f t="shared" si="3"/>
        <v/>
      </c>
    </row>
    <row r="247" spans="1:23">
      <c r="A247" t="s">
        <v>4700</v>
      </c>
      <c r="B247" t="s">
        <v>4245</v>
      </c>
      <c r="C247" t="s">
        <v>4701</v>
      </c>
      <c r="D247" t="s">
        <v>4218</v>
      </c>
      <c r="E247">
        <v>93600</v>
      </c>
      <c r="F247">
        <v>500</v>
      </c>
      <c r="G247" t="s">
        <v>4699</v>
      </c>
      <c r="H247" t="s">
        <v>3386</v>
      </c>
      <c r="I247" t="s">
        <v>4208</v>
      </c>
      <c r="J247" t="s">
        <v>4209</v>
      </c>
      <c r="K247">
        <v>3</v>
      </c>
      <c r="L247">
        <v>0</v>
      </c>
      <c r="O247" s="422">
        <v>46183</v>
      </c>
      <c r="Q247" s="422">
        <v>46052</v>
      </c>
      <c r="U247" t="s">
        <v>3522</v>
      </c>
      <c r="V247" s="422">
        <v>45931</v>
      </c>
      <c r="W247" s="422">
        <f t="shared" si="3"/>
        <v>45931</v>
      </c>
    </row>
    <row r="248" spans="1:23">
      <c r="A248" t="s">
        <v>4702</v>
      </c>
      <c r="B248" t="s">
        <v>4245</v>
      </c>
      <c r="C248" t="s">
        <v>4703</v>
      </c>
      <c r="D248" t="s">
        <v>4241</v>
      </c>
      <c r="E248">
        <v>93600</v>
      </c>
      <c r="F248">
        <v>500</v>
      </c>
      <c r="G248" t="s">
        <v>4699</v>
      </c>
      <c r="H248" t="s">
        <v>3386</v>
      </c>
      <c r="I248" t="s">
        <v>4208</v>
      </c>
      <c r="J248" t="s">
        <v>4209</v>
      </c>
      <c r="K248">
        <v>3</v>
      </c>
      <c r="L248">
        <v>0</v>
      </c>
      <c r="Q248" s="422">
        <v>46052</v>
      </c>
      <c r="U248" t="s">
        <v>3522</v>
      </c>
      <c r="V248" s="422">
        <v>45748</v>
      </c>
      <c r="W248" s="422" t="str">
        <f t="shared" si="3"/>
        <v/>
      </c>
    </row>
    <row r="249" spans="1:23">
      <c r="A249" t="s">
        <v>4704</v>
      </c>
      <c r="B249" t="s">
        <v>4245</v>
      </c>
      <c r="C249" t="s">
        <v>4705</v>
      </c>
      <c r="D249" t="s">
        <v>4241</v>
      </c>
      <c r="E249">
        <v>175968</v>
      </c>
      <c r="F249">
        <v>940</v>
      </c>
      <c r="G249" t="s">
        <v>4699</v>
      </c>
      <c r="H249" t="s">
        <v>3386</v>
      </c>
      <c r="I249" t="s">
        <v>4208</v>
      </c>
      <c r="J249" t="s">
        <v>4209</v>
      </c>
      <c r="K249">
        <v>3</v>
      </c>
      <c r="L249">
        <v>0</v>
      </c>
      <c r="Q249" s="422">
        <v>46052</v>
      </c>
      <c r="U249" t="s">
        <v>3522</v>
      </c>
      <c r="V249" s="422">
        <v>45748</v>
      </c>
      <c r="W249" s="422" t="str">
        <f t="shared" si="3"/>
        <v/>
      </c>
    </row>
    <row r="250" spans="1:23">
      <c r="A250" t="s">
        <v>4706</v>
      </c>
      <c r="B250" t="s">
        <v>4204</v>
      </c>
      <c r="D250" t="s">
        <v>4205</v>
      </c>
      <c r="G250" t="s">
        <v>4699</v>
      </c>
      <c r="I250" t="s">
        <v>4213</v>
      </c>
      <c r="J250" t="s">
        <v>4209</v>
      </c>
      <c r="L250">
        <v>0</v>
      </c>
      <c r="Q250" s="422">
        <v>46052</v>
      </c>
      <c r="U250" t="s">
        <v>3522</v>
      </c>
      <c r="V250" s="422">
        <v>45658</v>
      </c>
      <c r="W250" s="422" t="str">
        <f t="shared" si="3"/>
        <v/>
      </c>
    </row>
  </sheetData>
  <hyperlinks>
    <hyperlink ref="B1" r:id="rId1" xr:uid="{045A3D26-88F6-491D-B5FA-4B726CC024BC}"/>
  </hyperlinks>
  <pageMargins left="0.7" right="0.7" top="0.75" bottom="0.75" header="0.3" footer="0.3"/>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251"/>
  <sheetViews>
    <sheetView workbookViewId="0">
      <pane ySplit="1" topLeftCell="A220" activePane="bottomLeft" state="frozen"/>
      <selection pane="bottomLeft" activeCell="K246" activeCellId="1" sqref="K220:K243 K246:K249"/>
    </sheetView>
  </sheetViews>
  <sheetFormatPr defaultColWidth="8.7109375" defaultRowHeight="15"/>
  <cols>
    <col min="1" max="1" width="19.42578125" bestFit="1" customWidth="1"/>
    <col min="2" max="2" width="23.42578125" bestFit="1" customWidth="1"/>
    <col min="3" max="3" width="20" style="422" bestFit="1" customWidth="1"/>
    <col min="4" max="4" width="11.28515625" customWidth="1"/>
    <col min="5" max="5" width="10.140625" bestFit="1" customWidth="1"/>
    <col min="6" max="6" width="12" bestFit="1" customWidth="1"/>
    <col min="7" max="7" width="19.7109375" customWidth="1"/>
    <col min="8" max="8" width="17.7109375" bestFit="1" customWidth="1"/>
    <col min="9" max="9" width="19.140625" bestFit="1" customWidth="1"/>
    <col min="10" max="10" width="11.42578125" bestFit="1" customWidth="1"/>
    <col min="11" max="11" width="10.7109375" customWidth="1"/>
    <col min="12" max="12" width="16" customWidth="1"/>
    <col min="13" max="13" width="24" customWidth="1"/>
  </cols>
  <sheetData>
    <row r="1" spans="1:13">
      <c r="A1" s="423" t="s">
        <v>4707</v>
      </c>
      <c r="B1" s="423" t="s">
        <v>4127</v>
      </c>
      <c r="C1" s="554" t="s">
        <v>4708</v>
      </c>
      <c r="D1" s="423" t="s">
        <v>4709</v>
      </c>
      <c r="E1" s="423" t="s">
        <v>4710</v>
      </c>
      <c r="F1" s="423" t="s">
        <v>4711</v>
      </c>
      <c r="G1" s="423" t="s">
        <v>4712</v>
      </c>
      <c r="H1" s="423" t="s">
        <v>186</v>
      </c>
      <c r="I1" s="423" t="s">
        <v>189</v>
      </c>
      <c r="J1" s="423" t="s">
        <v>1461</v>
      </c>
      <c r="K1" s="423" t="s">
        <v>4</v>
      </c>
      <c r="L1" s="423" t="s">
        <v>4713</v>
      </c>
      <c r="M1" s="423" t="s">
        <v>4714</v>
      </c>
    </row>
    <row r="2" spans="1:13">
      <c r="A2" s="251" t="s">
        <v>4715</v>
      </c>
      <c r="B2" s="251" t="s">
        <v>3492</v>
      </c>
      <c r="C2" s="556">
        <v>45668</v>
      </c>
      <c r="D2" s="251" t="s">
        <v>4716</v>
      </c>
      <c r="E2" s="251" t="s">
        <v>4717</v>
      </c>
      <c r="F2" s="551" t="s">
        <v>401</v>
      </c>
      <c r="G2" s="551" t="s">
        <v>4718</v>
      </c>
      <c r="H2" s="251" t="s">
        <v>4719</v>
      </c>
      <c r="I2" s="251" t="s">
        <v>4720</v>
      </c>
      <c r="J2" s="549" t="s">
        <v>4721</v>
      </c>
      <c r="K2" s="549" t="s">
        <v>30</v>
      </c>
      <c r="L2">
        <f>IF(AND($K2="Cold",$B2&lt;&gt;"",$C2&gt;=EOMONTH('Cold Outreach'!$C$3,-1)+1,$C2&lt;=EOMONTH('Cold Outreach'!$C$3,0)),
IF(COUNTIFS($B$2:$B22,$B2,$K$2:$K22,"Cold",$C$2:$C22,"&gt;="&amp;EOMONTH('Cold Outreach'!$C$3,-1)+1,$C$2:$C22,"&lt;="&amp;EOMONTH('Cold Outreach'!$C$3,0))=1,1,0),
0)</f>
        <v>0</v>
      </c>
      <c r="M2">
        <f>IF(AND($K2="Cold",$B2&lt;&gt;"",$C2&gt;=EDATE(EOMONTH('Cold Outreach'!$C$3,-1)+1,-('Cold Outreach'!$N$2-1)),$C2&lt;=EOMONTH('Cold Outreach'!$C$3,0)),
IF(COUNTIFS($B$2:$B22,$B2,$K$2:$K22,"Cold",$C$2:$C22,"&gt;="&amp;EDATE(EOMONTH('Cold Outreach'!$C$3,-1)+1,-('Cold Outreach'!$N$2-1)),$C$2:$C22,"&lt;="&amp;EOMONTH('Cold Outreach'!$C$3,0))=1,1,0),
0)</f>
        <v>0</v>
      </c>
    </row>
    <row r="3" spans="1:13">
      <c r="A3" s="251" t="s">
        <v>4722</v>
      </c>
      <c r="B3" s="251" t="s">
        <v>481</v>
      </c>
      <c r="C3" s="556">
        <v>45672</v>
      </c>
      <c r="D3" s="251" t="s">
        <v>4716</v>
      </c>
      <c r="E3" s="251" t="s">
        <v>4717</v>
      </c>
      <c r="F3" s="551" t="s">
        <v>251</v>
      </c>
      <c r="G3" s="551" t="s">
        <v>4718</v>
      </c>
      <c r="H3" s="551" t="s">
        <v>4723</v>
      </c>
      <c r="I3" s="251" t="s">
        <v>1478</v>
      </c>
      <c r="J3" s="549" t="s">
        <v>4723</v>
      </c>
      <c r="K3" s="549" t="s">
        <v>27</v>
      </c>
      <c r="L3">
        <f>IF(AND($K3="Cold",$B3&lt;&gt;"",$C3&gt;=EOMONTH('Cold Outreach'!$C$3,-1)+1,$C3&lt;=EOMONTH('Cold Outreach'!$C$3,0)),
IF(COUNTIFS($B$2:$B3,$B3,$K$2:$K3,"Cold",$C$2:$C3,"&gt;="&amp;EOMONTH('Cold Outreach'!$C$3,-1)+1,$C$2:$C3,"&lt;="&amp;EOMONTH('Cold Outreach'!$C$3,0))=1,1,0),
0)</f>
        <v>0</v>
      </c>
      <c r="M3">
        <f>IF(AND($K3="Cold",$B3&lt;&gt;"",$C3&gt;=EDATE(EOMONTH('Cold Outreach'!$C$3,-1)+1,-('Cold Outreach'!$N$2-1)),$C3&lt;=EOMONTH('Cold Outreach'!$C$3,0)),
IF(COUNTIFS($B$2:$B3,$B3,$K$2:$K3,"Cold",$C$2:$C3,"&gt;="&amp;EDATE(EOMONTH('Cold Outreach'!$C$3,-1)+1,-('Cold Outreach'!$N$2-1)),$C$2:$C3,"&lt;="&amp;EOMONTH('Cold Outreach'!$C$3,0))=1,1,0),
0)</f>
        <v>0</v>
      </c>
    </row>
    <row r="4" spans="1:13">
      <c r="A4" s="251" t="s">
        <v>4724</v>
      </c>
      <c r="B4" s="251" t="s">
        <v>4725</v>
      </c>
      <c r="C4" s="556">
        <v>45673</v>
      </c>
      <c r="D4" s="251" t="s">
        <v>148</v>
      </c>
      <c r="E4" s="251" t="s">
        <v>4726</v>
      </c>
      <c r="F4" s="551" t="s">
        <v>401</v>
      </c>
      <c r="G4" s="551" t="s">
        <v>4718</v>
      </c>
      <c r="H4" s="251" t="s">
        <v>4727</v>
      </c>
      <c r="I4" s="251" t="s">
        <v>944</v>
      </c>
      <c r="J4" s="549" t="s">
        <v>4721</v>
      </c>
      <c r="K4" s="549" t="s">
        <v>27</v>
      </c>
      <c r="L4">
        <f>IF(AND($K4="Cold",$B4&lt;&gt;"",$C4&gt;=EOMONTH('Cold Outreach'!$C$3,-1)+1,$C4&lt;=EOMONTH('Cold Outreach'!$C$3,0)),
IF(COUNTIFS($B$2:$B4,$B4,$K$2:$K4,"Cold",$C$2:$C4,"&gt;="&amp;EOMONTH('Cold Outreach'!$C$3,-1)+1,$C$2:$C4,"&lt;="&amp;EOMONTH('Cold Outreach'!$C$3,0))=1,1,0),
0)</f>
        <v>0</v>
      </c>
      <c r="M4">
        <f>IF(AND($K4="Cold",$B4&lt;&gt;"",$C4&gt;=EDATE(EOMONTH('Cold Outreach'!$C$3,-1)+1,-('Cold Outreach'!$N$2-1)),$C4&lt;=EOMONTH('Cold Outreach'!$C$3,0)),
IF(COUNTIFS($B$2:$B4,$B4,$K$2:$K4,"Cold",$C$2:$C4,"&gt;="&amp;EDATE(EOMONTH('Cold Outreach'!$C$3,-1)+1,-('Cold Outreach'!$N$2-1)),$C$2:$C4,"&lt;="&amp;EOMONTH('Cold Outreach'!$C$3,0))=1,1,0),
0)</f>
        <v>0</v>
      </c>
    </row>
    <row r="5" spans="1:13">
      <c r="A5" s="251" t="s">
        <v>4728</v>
      </c>
      <c r="B5" s="251" t="s">
        <v>4729</v>
      </c>
      <c r="C5" s="556">
        <v>45686</v>
      </c>
      <c r="D5" s="251" t="s">
        <v>4730</v>
      </c>
      <c r="E5" s="251" t="s">
        <v>4731</v>
      </c>
      <c r="F5" s="551" t="s">
        <v>401</v>
      </c>
      <c r="G5" s="551" t="s">
        <v>4718</v>
      </c>
      <c r="H5" s="251" t="s">
        <v>4723</v>
      </c>
      <c r="I5" s="251" t="s">
        <v>4732</v>
      </c>
      <c r="J5" s="549" t="s">
        <v>4723</v>
      </c>
      <c r="K5" s="549" t="s">
        <v>1473</v>
      </c>
      <c r="L5">
        <f>IF(AND($K5="Cold",$B5&lt;&gt;"",$C5&gt;=EOMONTH('Cold Outreach'!$C$3,-1)+1,$C5&lt;=EOMONTH('Cold Outreach'!$C$3,0)),
IF(COUNTIFS($B$2:$B5,$B5,$K$2:$K5,"Cold",$C$2:$C5,"&gt;="&amp;EOMONTH('Cold Outreach'!$C$3,-1)+1,$C$2:$C5,"&lt;="&amp;EOMONTH('Cold Outreach'!$C$3,0))=1,1,0),
0)</f>
        <v>0</v>
      </c>
      <c r="M5">
        <f>IF(AND($K5="Cold",$B5&lt;&gt;"",$C5&gt;=EDATE(EOMONTH('Cold Outreach'!$C$3,-1)+1,-('Cold Outreach'!$N$2-1)),$C5&lt;=EOMONTH('Cold Outreach'!$C$3,0)),
IF(COUNTIFS($B$2:$B5,$B5,$K$2:$K5,"Cold",$C$2:$C5,"&gt;="&amp;EDATE(EOMONTH('Cold Outreach'!$C$3,-1)+1,-('Cold Outreach'!$N$2-1)),$C$2:$C5,"&lt;="&amp;EOMONTH('Cold Outreach'!$C$3,0))=1,1,0),
0)</f>
        <v>0</v>
      </c>
    </row>
    <row r="6" spans="1:13">
      <c r="A6" s="251" t="s">
        <v>4733</v>
      </c>
      <c r="B6" s="251" t="s">
        <v>4734</v>
      </c>
      <c r="C6" s="556">
        <v>45686</v>
      </c>
      <c r="D6" s="251" t="s">
        <v>4730</v>
      </c>
      <c r="E6" s="251" t="s">
        <v>4731</v>
      </c>
      <c r="F6" s="551" t="s">
        <v>251</v>
      </c>
      <c r="G6" s="551" t="s">
        <v>4718</v>
      </c>
      <c r="H6" s="251" t="s">
        <v>4723</v>
      </c>
      <c r="I6" s="251" t="s">
        <v>30</v>
      </c>
      <c r="J6" s="549" t="s">
        <v>4723</v>
      </c>
      <c r="K6" s="549" t="s">
        <v>30</v>
      </c>
      <c r="L6">
        <f>IF(AND($K6="Cold",$B6&lt;&gt;"",$C6&gt;=EOMONTH('Cold Outreach'!$C$3,-1)+1,$C6&lt;=EOMONTH('Cold Outreach'!$C$3,0)),
IF(COUNTIFS($B$2:$B6,$B6,$K$2:$K6,"Cold",$C$2:$C6,"&gt;="&amp;EOMONTH('Cold Outreach'!$C$3,-1)+1,$C$2:$C6,"&lt;="&amp;EOMONTH('Cold Outreach'!$C$3,0))=1,1,0),
0)</f>
        <v>0</v>
      </c>
      <c r="M6">
        <f>IF(AND($K6="Cold",$B6&lt;&gt;"",$C6&gt;=EDATE(EOMONTH('Cold Outreach'!$C$3,-1)+1,-('Cold Outreach'!$N$2-1)),$C6&lt;=EOMONTH('Cold Outreach'!$C$3,0)),
IF(COUNTIFS($B$2:$B6,$B6,$K$2:$K6,"Cold",$C$2:$C6,"&gt;="&amp;EDATE(EOMONTH('Cold Outreach'!$C$3,-1)+1,-('Cold Outreach'!$N$2-1)),$C$2:$C6,"&lt;="&amp;EOMONTH('Cold Outreach'!$C$3,0))=1,1,0),
0)</f>
        <v>0</v>
      </c>
    </row>
    <row r="7" spans="1:13">
      <c r="A7" s="251" t="s">
        <v>4735</v>
      </c>
      <c r="B7" s="251" t="s">
        <v>4736</v>
      </c>
      <c r="C7" s="556">
        <v>45698</v>
      </c>
      <c r="D7" s="251" t="s">
        <v>4730</v>
      </c>
      <c r="E7" s="251" t="s">
        <v>4731</v>
      </c>
      <c r="F7" s="551" t="s">
        <v>401</v>
      </c>
      <c r="G7" s="551" t="s">
        <v>4718</v>
      </c>
      <c r="H7" s="251" t="s">
        <v>4723</v>
      </c>
      <c r="I7" s="251" t="s">
        <v>4737</v>
      </c>
      <c r="J7" s="549" t="s">
        <v>4723</v>
      </c>
      <c r="K7" s="549" t="s">
        <v>1473</v>
      </c>
      <c r="L7">
        <f>IF(AND($K7="Cold",$B7&lt;&gt;"",$C7&gt;=EOMONTH('Cold Outreach'!$C$3,-1)+1,$C7&lt;=EOMONTH('Cold Outreach'!$C$3,0)),
IF(COUNTIFS($B$2:$B7,$B7,$K$2:$K7,"Cold",$C$2:$C7,"&gt;="&amp;EOMONTH('Cold Outreach'!$C$3,-1)+1,$C$2:$C7,"&lt;="&amp;EOMONTH('Cold Outreach'!$C$3,0))=1,1,0),
0)</f>
        <v>0</v>
      </c>
      <c r="M7">
        <f>IF(AND($K7="Cold",$B7&lt;&gt;"",$C7&gt;=EDATE(EOMONTH('Cold Outreach'!$C$3,-1)+1,-('Cold Outreach'!$N$2-1)),$C7&lt;=EOMONTH('Cold Outreach'!$C$3,0)),
IF(COUNTIFS($B$2:$B7,$B7,$K$2:$K7,"Cold",$C$2:$C7,"&gt;="&amp;EDATE(EOMONTH('Cold Outreach'!$C$3,-1)+1,-('Cold Outreach'!$N$2-1)),$C$2:$C7,"&lt;="&amp;EOMONTH('Cold Outreach'!$C$3,0))=1,1,0),
0)</f>
        <v>0</v>
      </c>
    </row>
    <row r="8" spans="1:13">
      <c r="A8" s="251" t="s">
        <v>4738</v>
      </c>
      <c r="B8" s="251" t="s">
        <v>4739</v>
      </c>
      <c r="C8" s="556">
        <v>45707</v>
      </c>
      <c r="D8" s="251" t="s">
        <v>4730</v>
      </c>
      <c r="E8" s="251" t="s">
        <v>587</v>
      </c>
      <c r="F8" s="551" t="s">
        <v>251</v>
      </c>
      <c r="G8" s="551" t="s">
        <v>4718</v>
      </c>
      <c r="H8" s="251" t="s">
        <v>4740</v>
      </c>
      <c r="I8" s="251" t="s">
        <v>944</v>
      </c>
      <c r="J8" s="549" t="s">
        <v>4721</v>
      </c>
      <c r="K8" t="s">
        <v>27</v>
      </c>
      <c r="L8">
        <f>IF(AND($K8="Cold",$B8&lt;&gt;"",$C8&gt;=EOMONTH('Cold Outreach'!$C$3,-1)+1,$C8&lt;=EOMONTH('Cold Outreach'!$C$3,0)),
IF(COUNTIFS($B$2:$B8,$B8,$K$2:$K8,"Cold",$C$2:$C8,"&gt;="&amp;EOMONTH('Cold Outreach'!$C$3,-1)+1,$C$2:$C8,"&lt;="&amp;EOMONTH('Cold Outreach'!$C$3,0))=1,1,0),
0)</f>
        <v>0</v>
      </c>
      <c r="M8">
        <f>IF(AND($K8="Cold",$B8&lt;&gt;"",$C8&gt;=EDATE(EOMONTH('Cold Outreach'!$C$3,-1)+1,-('Cold Outreach'!$N$2-1)),$C8&lt;=EOMONTH('Cold Outreach'!$C$3,0)),
IF(COUNTIFS($B$2:$B8,$B8,$K$2:$K8,"Cold",$C$2:$C8,"&gt;="&amp;EDATE(EOMONTH('Cold Outreach'!$C$3,-1)+1,-('Cold Outreach'!$N$2-1)),$C$2:$C8,"&lt;="&amp;EOMONTH('Cold Outreach'!$C$3,0))=1,1,0),
0)</f>
        <v>0</v>
      </c>
    </row>
    <row r="9" spans="1:13">
      <c r="A9" s="251" t="s">
        <v>4741</v>
      </c>
      <c r="B9" s="251" t="s">
        <v>566</v>
      </c>
      <c r="C9" s="556">
        <v>45716</v>
      </c>
      <c r="D9" s="251" t="s">
        <v>4730</v>
      </c>
      <c r="E9" s="251" t="s">
        <v>4742</v>
      </c>
      <c r="F9" s="251" t="s">
        <v>401</v>
      </c>
      <c r="G9" s="251" t="s">
        <v>4718</v>
      </c>
      <c r="H9" s="251" t="s">
        <v>4723</v>
      </c>
      <c r="I9" s="251" t="s">
        <v>30</v>
      </c>
      <c r="J9" s="549" t="s">
        <v>4723</v>
      </c>
      <c r="K9" s="549" t="s">
        <v>30</v>
      </c>
      <c r="L9">
        <f>IF(AND($K9="Cold",$B9&lt;&gt;"",$C9&gt;=EOMONTH('Cold Outreach'!$C$3,-1)+1,$C9&lt;=EOMONTH('Cold Outreach'!$C$3,0)),
IF(COUNTIFS($B$2:$B9,$B9,$K$2:$K9,"Cold",$C$2:$C9,"&gt;="&amp;EOMONTH('Cold Outreach'!$C$3,-1)+1,$C$2:$C9,"&lt;="&amp;EOMONTH('Cold Outreach'!$C$3,0))=1,1,0),
0)</f>
        <v>0</v>
      </c>
      <c r="M9">
        <f>IF(AND($K9="Cold",$B9&lt;&gt;"",$C9&gt;=EDATE(EOMONTH('Cold Outreach'!$C$3,-1)+1,-('Cold Outreach'!$N$2-1)),$C9&lt;=EOMONTH('Cold Outreach'!$C$3,0)),
IF(COUNTIFS($B$2:$B9,$B9,$K$2:$K9,"Cold",$C$2:$C9,"&gt;="&amp;EDATE(EOMONTH('Cold Outreach'!$C$3,-1)+1,-('Cold Outreach'!$N$2-1)),$C$2:$C9,"&lt;="&amp;EOMONTH('Cold Outreach'!$C$3,0))=1,1,0),
0)</f>
        <v>1</v>
      </c>
    </row>
    <row r="10" spans="1:13">
      <c r="A10" s="251" t="s">
        <v>4743</v>
      </c>
      <c r="B10" s="251" t="s">
        <v>4744</v>
      </c>
      <c r="C10" s="556">
        <v>45742</v>
      </c>
      <c r="D10" s="251" t="s">
        <v>4730</v>
      </c>
      <c r="E10" s="251" t="s">
        <v>4731</v>
      </c>
      <c r="F10" s="251" t="s">
        <v>401</v>
      </c>
      <c r="G10" s="251" t="s">
        <v>4718</v>
      </c>
      <c r="H10" s="251" t="s">
        <v>4723</v>
      </c>
      <c r="I10" s="251" t="s">
        <v>4720</v>
      </c>
      <c r="J10" s="549" t="s">
        <v>4723</v>
      </c>
      <c r="K10" s="549" t="s">
        <v>30</v>
      </c>
      <c r="L10">
        <f>IF(AND($K10="Cold",$B10&lt;&gt;"",$C10&gt;=EOMONTH('Cold Outreach'!$C$3,-1)+1,$C10&lt;=EOMONTH('Cold Outreach'!$C$3,0)),
IF(COUNTIFS($B$2:$B10,$B10,$K$2:$K10,"Cold",$C$2:$C10,"&gt;="&amp;EOMONTH('Cold Outreach'!$C$3,-1)+1,$C$2:$C10,"&lt;="&amp;EOMONTH('Cold Outreach'!$C$3,0))=1,1,0),
0)</f>
        <v>0</v>
      </c>
      <c r="M10">
        <f>IF(AND($K10="Cold",$B10&lt;&gt;"",$C10&gt;=EDATE(EOMONTH('Cold Outreach'!$C$3,-1)+1,-('Cold Outreach'!$N$2-1)),$C10&lt;=EOMONTH('Cold Outreach'!$C$3,0)),
IF(COUNTIFS($B$2:$B10,$B10,$K$2:$K10,"Cold",$C$2:$C10,"&gt;="&amp;EDATE(EOMONTH('Cold Outreach'!$C$3,-1)+1,-('Cold Outreach'!$N$2-1)),$C$2:$C10,"&lt;="&amp;EOMONTH('Cold Outreach'!$C$3,0))=1,1,0),
0)</f>
        <v>1</v>
      </c>
    </row>
    <row r="11" spans="1:13">
      <c r="A11" s="251" t="s">
        <v>4745</v>
      </c>
      <c r="B11" s="251" t="s">
        <v>4746</v>
      </c>
      <c r="C11" s="556">
        <v>45748</v>
      </c>
      <c r="D11" s="251" t="s">
        <v>4716</v>
      </c>
      <c r="E11" s="251" t="s">
        <v>4731</v>
      </c>
      <c r="F11" s="251" t="s">
        <v>251</v>
      </c>
      <c r="G11" s="251" t="s">
        <v>4718</v>
      </c>
      <c r="H11" s="251" t="s">
        <v>4727</v>
      </c>
      <c r="I11" s="251" t="s">
        <v>30</v>
      </c>
      <c r="J11" s="549" t="s">
        <v>320</v>
      </c>
      <c r="K11" s="549" t="s">
        <v>30</v>
      </c>
      <c r="L11">
        <f>IF(AND($K11="Cold",$B11&lt;&gt;"",$C11&gt;=EOMONTH('Cold Outreach'!$C$3,-1)+1,$C11&lt;=EOMONTH('Cold Outreach'!$C$3,0)),
IF(COUNTIFS($B$2:$B11,$B11,$K$2:$K11,"Cold",$C$2:$C11,"&gt;="&amp;EOMONTH('Cold Outreach'!$C$3,-1)+1,$C$2:$C11,"&lt;="&amp;EOMONTH('Cold Outreach'!$C$3,0))=1,1,0),
0)</f>
        <v>0</v>
      </c>
      <c r="M11">
        <f>IF(AND($K11="Cold",$B11&lt;&gt;"",$C11&gt;=EDATE(EOMONTH('Cold Outreach'!$C$3,-1)+1,-('Cold Outreach'!$N$2-1)),$C11&lt;=EOMONTH('Cold Outreach'!$C$3,0)),
IF(COUNTIFS($B$2:$B11,$B11,$K$2:$K11,"Cold",$C$2:$C11,"&gt;="&amp;EDATE(EOMONTH('Cold Outreach'!$C$3,-1)+1,-('Cold Outreach'!$N$2-1)),$C$2:$C11,"&lt;="&amp;EOMONTH('Cold Outreach'!$C$3,0))=1,1,0),
0)</f>
        <v>1</v>
      </c>
    </row>
    <row r="12" spans="1:13">
      <c r="A12" s="251" t="s">
        <v>4747</v>
      </c>
      <c r="B12" s="251" t="s">
        <v>302</v>
      </c>
      <c r="C12" s="556">
        <v>45762</v>
      </c>
      <c r="D12" s="251" t="s">
        <v>4730</v>
      </c>
      <c r="E12" s="251" t="s">
        <v>4742</v>
      </c>
      <c r="F12" s="251" t="s">
        <v>401</v>
      </c>
      <c r="G12" s="251" t="s">
        <v>4718</v>
      </c>
      <c r="H12" s="251" t="s">
        <v>4723</v>
      </c>
      <c r="I12" s="251" t="s">
        <v>944</v>
      </c>
      <c r="J12" s="549" t="s">
        <v>4723</v>
      </c>
      <c r="K12" s="251" t="s">
        <v>27</v>
      </c>
      <c r="L12">
        <f>IF(AND($K12="Cold",$B12&lt;&gt;"",$C12&gt;=EOMONTH('Cold Outreach'!$C$3,-1)+1,$C12&lt;=EOMONTH('Cold Outreach'!$C$3,0)),
IF(COUNTIFS($B$2:$B12,$B12,$K$2:$K12,"Cold",$C$2:$C12,"&gt;="&amp;EOMONTH('Cold Outreach'!$C$3,-1)+1,$C$2:$C12,"&lt;="&amp;EOMONTH('Cold Outreach'!$C$3,0))=1,1,0),
0)</f>
        <v>0</v>
      </c>
      <c r="M12">
        <f>IF(AND($K12="Cold",$B12&lt;&gt;"",$C12&gt;=EDATE(EOMONTH('Cold Outreach'!$C$3,-1)+1,-('Cold Outreach'!$N$2-1)),$C12&lt;=EOMONTH('Cold Outreach'!$C$3,0)),
IF(COUNTIFS($B$2:$B12,$B12,$K$2:$K12,"Cold",$C$2:$C12,"&gt;="&amp;EDATE(EOMONTH('Cold Outreach'!$C$3,-1)+1,-('Cold Outreach'!$N$2-1)),$C$2:$C12,"&lt;="&amp;EOMONTH('Cold Outreach'!$C$3,0))=1,1,0),
0)</f>
        <v>0</v>
      </c>
    </row>
    <row r="13" spans="1:13">
      <c r="A13" s="251" t="s">
        <v>4748</v>
      </c>
      <c r="B13" s="251" t="s">
        <v>4749</v>
      </c>
      <c r="C13" s="556">
        <v>45765</v>
      </c>
      <c r="D13" s="251" t="s">
        <v>4730</v>
      </c>
      <c r="E13" s="251" t="s">
        <v>521</v>
      </c>
      <c r="F13" s="251" t="s">
        <v>401</v>
      </c>
      <c r="G13" s="251" t="s">
        <v>4718</v>
      </c>
      <c r="H13" s="251" t="s">
        <v>4750</v>
      </c>
      <c r="I13" s="251" t="s">
        <v>4737</v>
      </c>
      <c r="J13" s="549" t="s">
        <v>320</v>
      </c>
      <c r="K13" s="549" t="s">
        <v>1473</v>
      </c>
      <c r="L13">
        <f>IF(AND($K13="Cold",$B13&lt;&gt;"",$C13&gt;=EOMONTH('Cold Outreach'!$C$3,-1)+1,$C13&lt;=EOMONTH('Cold Outreach'!$C$3,0)),
IF(COUNTIFS($B$2:$B13,$B13,$K$2:$K13,"Cold",$C$2:$C13,"&gt;="&amp;EOMONTH('Cold Outreach'!$C$3,-1)+1,$C$2:$C13,"&lt;="&amp;EOMONTH('Cold Outreach'!$C$3,0))=1,1,0),
0)</f>
        <v>0</v>
      </c>
      <c r="M13">
        <f>IF(AND($K13="Cold",$B13&lt;&gt;"",$C13&gt;=EDATE(EOMONTH('Cold Outreach'!$C$3,-1)+1,-('Cold Outreach'!$N$2-1)),$C13&lt;=EOMONTH('Cold Outreach'!$C$3,0)),
IF(COUNTIFS($B$2:$B13,$B13,$K$2:$K13,"Cold",$C$2:$C13,"&gt;="&amp;EDATE(EOMONTH('Cold Outreach'!$C$3,-1)+1,-('Cold Outreach'!$N$2-1)),$C$2:$C13,"&lt;="&amp;EOMONTH('Cold Outreach'!$C$3,0))=1,1,0),
0)</f>
        <v>0</v>
      </c>
    </row>
    <row r="14" spans="1:13">
      <c r="A14" s="251" t="s">
        <v>4751</v>
      </c>
      <c r="B14" s="251" t="s">
        <v>4752</v>
      </c>
      <c r="C14" s="556">
        <v>45776</v>
      </c>
      <c r="D14" s="251" t="s">
        <v>4730</v>
      </c>
      <c r="E14" s="251" t="s">
        <v>521</v>
      </c>
      <c r="F14" s="251" t="s">
        <v>401</v>
      </c>
      <c r="G14" s="251" t="s">
        <v>4718</v>
      </c>
      <c r="H14" s="251" t="s">
        <v>4753</v>
      </c>
      <c r="I14" s="251" t="s">
        <v>30</v>
      </c>
      <c r="J14" s="549" t="s">
        <v>320</v>
      </c>
      <c r="K14" s="549" t="s">
        <v>30</v>
      </c>
      <c r="L14">
        <f>IF(AND($K14="Cold",$B14&lt;&gt;"",$C14&gt;=EOMONTH('Cold Outreach'!$C$3,-1)+1,$C14&lt;=EOMONTH('Cold Outreach'!$C$3,0)),
IF(COUNTIFS($B$2:$B14,$B14,$K$2:$K14,"Cold",$C$2:$C14,"&gt;="&amp;EOMONTH('Cold Outreach'!$C$3,-1)+1,$C$2:$C14,"&lt;="&amp;EOMONTH('Cold Outreach'!$C$3,0))=1,1,0),
0)</f>
        <v>0</v>
      </c>
      <c r="M14">
        <f>IF(AND($K14="Cold",$B14&lt;&gt;"",$C14&gt;=EDATE(EOMONTH('Cold Outreach'!$C$3,-1)+1,-('Cold Outreach'!$N$2-1)),$C14&lt;=EOMONTH('Cold Outreach'!$C$3,0)),
IF(COUNTIFS($B$2:$B14,$B14,$K$2:$K14,"Cold",$C$2:$C14,"&gt;="&amp;EDATE(EOMONTH('Cold Outreach'!$C$3,-1)+1,-('Cold Outreach'!$N$2-1)),$C$2:$C14,"&lt;="&amp;EOMONTH('Cold Outreach'!$C$3,0))=1,1,0),
0)</f>
        <v>1</v>
      </c>
    </row>
    <row r="15" spans="1:13">
      <c r="A15" s="549" t="s">
        <v>420</v>
      </c>
      <c r="B15" s="549" t="s">
        <v>655</v>
      </c>
      <c r="C15" s="555">
        <v>45783</v>
      </c>
      <c r="D15" s="549" t="s">
        <v>4730</v>
      </c>
      <c r="E15" s="549" t="s">
        <v>521</v>
      </c>
      <c r="F15" s="549" t="s">
        <v>1932</v>
      </c>
      <c r="G15" s="549" t="s">
        <v>4718</v>
      </c>
      <c r="H15" s="549" t="s">
        <v>4719</v>
      </c>
      <c r="I15" s="549" t="s">
        <v>30</v>
      </c>
      <c r="J15" s="549" t="s">
        <v>320</v>
      </c>
      <c r="K15" s="549" t="s">
        <v>30</v>
      </c>
      <c r="L15">
        <f>IF(AND($K15="Cold",$B15&lt;&gt;"",$C15&gt;=EOMONTH('Cold Outreach'!$C$3,-1)+1,$C15&lt;=EOMONTH('Cold Outreach'!$C$3,0)),
IF(COUNTIFS($B$2:$B15,$B15,$K$2:$K15,"Cold",$C$2:$C15,"&gt;="&amp;EOMONTH('Cold Outreach'!$C$3,-1)+1,$C$2:$C15,"&lt;="&amp;EOMONTH('Cold Outreach'!$C$3,0))=1,1,0),
0)</f>
        <v>0</v>
      </c>
      <c r="M15">
        <f>IF(AND($K15="Cold",$B15&lt;&gt;"",$C15&gt;=EDATE(EOMONTH('Cold Outreach'!$C$3,-1)+1,-('Cold Outreach'!$N$2-1)),$C15&lt;=EOMONTH('Cold Outreach'!$C$3,0)),
IF(COUNTIFS($B$2:$B15,$B15,$K$2:$K15,"Cold",$C$2:$C15,"&gt;="&amp;EDATE(EOMONTH('Cold Outreach'!$C$3,-1)+1,-('Cold Outreach'!$N$2-1)),$C$2:$C15,"&lt;="&amp;EOMONTH('Cold Outreach'!$C$3,0))=1,1,0),
0)</f>
        <v>1</v>
      </c>
    </row>
    <row r="16" spans="1:13">
      <c r="A16" s="251" t="s">
        <v>4754</v>
      </c>
      <c r="B16" s="251" t="s">
        <v>655</v>
      </c>
      <c r="C16" s="556">
        <v>45783</v>
      </c>
      <c r="D16" s="251" t="s">
        <v>4716</v>
      </c>
      <c r="E16" s="251" t="s">
        <v>521</v>
      </c>
      <c r="F16" s="251" t="s">
        <v>401</v>
      </c>
      <c r="G16" s="251" t="s">
        <v>4718</v>
      </c>
      <c r="H16" s="251" t="s">
        <v>4753</v>
      </c>
      <c r="I16" s="251" t="s">
        <v>4737</v>
      </c>
      <c r="J16" s="549" t="s">
        <v>320</v>
      </c>
      <c r="K16" s="549" t="s">
        <v>1473</v>
      </c>
      <c r="L16">
        <f>IF(AND($K16="Cold",$B16&lt;&gt;"",$C16&gt;=EOMONTH('Cold Outreach'!$C$3,-1)+1,$C16&lt;=EOMONTH('Cold Outreach'!$C$3,0)),
IF(COUNTIFS($B$2:$B16,$B16,$K$2:$K16,"Cold",$C$2:$C16,"&gt;="&amp;EOMONTH('Cold Outreach'!$C$3,-1)+1,$C$2:$C16,"&lt;="&amp;EOMONTH('Cold Outreach'!$C$3,0))=1,1,0),
0)</f>
        <v>0</v>
      </c>
      <c r="M16">
        <f>IF(AND($K16="Cold",$B16&lt;&gt;"",$C16&gt;=EDATE(EOMONTH('Cold Outreach'!$C$3,-1)+1,-('Cold Outreach'!$N$2-1)),$C16&lt;=EOMONTH('Cold Outreach'!$C$3,0)),
IF(COUNTIFS($B$2:$B16,$B16,$K$2:$K16,"Cold",$C$2:$C16,"&gt;="&amp;EDATE(EOMONTH('Cold Outreach'!$C$3,-1)+1,-('Cold Outreach'!$N$2-1)),$C$2:$C16,"&lt;="&amp;EOMONTH('Cold Outreach'!$C$3,0))=1,1,0),
0)</f>
        <v>0</v>
      </c>
    </row>
    <row r="17" spans="1:13">
      <c r="A17" s="549" t="s">
        <v>420</v>
      </c>
      <c r="B17" s="549" t="s">
        <v>4755</v>
      </c>
      <c r="C17" s="555">
        <v>45785</v>
      </c>
      <c r="D17" s="549" t="s">
        <v>4730</v>
      </c>
      <c r="E17" s="549" t="s">
        <v>4742</v>
      </c>
      <c r="F17" s="549" t="s">
        <v>1932</v>
      </c>
      <c r="G17" s="549" t="s">
        <v>4718</v>
      </c>
      <c r="H17" s="549" t="s">
        <v>4719</v>
      </c>
      <c r="I17" s="549" t="s">
        <v>1478</v>
      </c>
      <c r="J17" s="549" t="s">
        <v>320</v>
      </c>
      <c r="K17" s="549" t="s">
        <v>27</v>
      </c>
      <c r="L17">
        <f>IF(AND($K17="Cold",$B17&lt;&gt;"",$C17&gt;=EOMONTH('Cold Outreach'!$C$3,-1)+1,$C17&lt;=EOMONTH('Cold Outreach'!$C$3,0)),
IF(COUNTIFS($B$2:$B17,$B17,$K$2:$K17,"Cold",$C$2:$C17,"&gt;="&amp;EOMONTH('Cold Outreach'!$C$3,-1)+1,$C$2:$C17,"&lt;="&amp;EOMONTH('Cold Outreach'!$C$3,0))=1,1,0),
0)</f>
        <v>0</v>
      </c>
      <c r="M17">
        <f>IF(AND($K17="Cold",$B17&lt;&gt;"",$C17&gt;=EDATE(EOMONTH('Cold Outreach'!$C$3,-1)+1,-('Cold Outreach'!$N$2-1)),$C17&lt;=EOMONTH('Cold Outreach'!$C$3,0)),
IF(COUNTIFS($B$2:$B17,$B17,$K$2:$K17,"Cold",$C$2:$C17,"&gt;="&amp;EDATE(EOMONTH('Cold Outreach'!$C$3,-1)+1,-('Cold Outreach'!$N$2-1)),$C$2:$C17,"&lt;="&amp;EOMONTH('Cold Outreach'!$C$3,0))=1,1,0),
0)</f>
        <v>0</v>
      </c>
    </row>
    <row r="18" spans="1:13">
      <c r="A18" s="549" t="s">
        <v>420</v>
      </c>
      <c r="B18" s="549" t="s">
        <v>4756</v>
      </c>
      <c r="C18" s="555">
        <v>45786</v>
      </c>
      <c r="D18" s="549" t="s">
        <v>4730</v>
      </c>
      <c r="E18" s="549" t="s">
        <v>1004</v>
      </c>
      <c r="F18" s="549" t="s">
        <v>1932</v>
      </c>
      <c r="G18" s="549" t="s">
        <v>4757</v>
      </c>
      <c r="H18" s="549" t="s">
        <v>4758</v>
      </c>
      <c r="I18" s="549" t="s">
        <v>30</v>
      </c>
      <c r="J18" s="549" t="s">
        <v>4721</v>
      </c>
      <c r="K18" s="549" t="s">
        <v>30</v>
      </c>
      <c r="L18">
        <f>IF(AND($K18="Cold",$B18&lt;&gt;"",$C18&gt;=EOMONTH('Cold Outreach'!$C$3,-1)+1,$C18&lt;=EOMONTH('Cold Outreach'!$C$3,0)),
IF(COUNTIFS($B$2:$B18,$B18,$K$2:$K18,"Cold",$C$2:$C18,"&gt;="&amp;EOMONTH('Cold Outreach'!$C$3,-1)+1,$C$2:$C18,"&lt;="&amp;EOMONTH('Cold Outreach'!$C$3,0))=1,1,0),
0)</f>
        <v>0</v>
      </c>
      <c r="M18">
        <f>IF(AND($K18="Cold",$B18&lt;&gt;"",$C18&gt;=EDATE(EOMONTH('Cold Outreach'!$C$3,-1)+1,-('Cold Outreach'!$N$2-1)),$C18&lt;=EOMONTH('Cold Outreach'!$C$3,0)),
IF(COUNTIFS($B$2:$B18,$B18,$K$2:$K18,"Cold",$C$2:$C18,"&gt;="&amp;EDATE(EOMONTH('Cold Outreach'!$C$3,-1)+1,-('Cold Outreach'!$N$2-1)),$C$2:$C18,"&lt;="&amp;EOMONTH('Cold Outreach'!$C$3,0))=1,1,0),
0)</f>
        <v>1</v>
      </c>
    </row>
    <row r="19" spans="1:13">
      <c r="A19" s="251" t="s">
        <v>4759</v>
      </c>
      <c r="B19" s="251" t="s">
        <v>4760</v>
      </c>
      <c r="C19" s="556">
        <v>45786</v>
      </c>
      <c r="D19" s="251" t="s">
        <v>4730</v>
      </c>
      <c r="E19" s="251" t="s">
        <v>4742</v>
      </c>
      <c r="F19" s="251" t="s">
        <v>401</v>
      </c>
      <c r="G19" s="251" t="s">
        <v>4718</v>
      </c>
      <c r="H19" s="251" t="s">
        <v>4753</v>
      </c>
      <c r="I19" s="251" t="s">
        <v>4737</v>
      </c>
      <c r="J19" s="549" t="s">
        <v>320</v>
      </c>
      <c r="K19" s="549" t="s">
        <v>1473</v>
      </c>
      <c r="L19">
        <f>IF(AND($K19="Cold",$B19&lt;&gt;"",$C19&gt;=EOMONTH('Cold Outreach'!$C$3,-1)+1,$C19&lt;=EOMONTH('Cold Outreach'!$C$3,0)),
IF(COUNTIFS($B$2:$B19,$B19,$K$2:$K19,"Cold",$C$2:$C19,"&gt;="&amp;EOMONTH('Cold Outreach'!$C$3,-1)+1,$C$2:$C19,"&lt;="&amp;EOMONTH('Cold Outreach'!$C$3,0))=1,1,0),
0)</f>
        <v>0</v>
      </c>
      <c r="M19">
        <f>IF(AND($K19="Cold",$B19&lt;&gt;"",$C19&gt;=EDATE(EOMONTH('Cold Outreach'!$C$3,-1)+1,-('Cold Outreach'!$N$2-1)),$C19&lt;=EOMONTH('Cold Outreach'!$C$3,0)),
IF(COUNTIFS($B$2:$B19,$B19,$K$2:$K19,"Cold",$C$2:$C19,"&gt;="&amp;EDATE(EOMONTH('Cold Outreach'!$C$3,-1)+1,-('Cold Outreach'!$N$2-1)),$C$2:$C19,"&lt;="&amp;EOMONTH('Cold Outreach'!$C$3,0))=1,1,0),
0)</f>
        <v>0</v>
      </c>
    </row>
    <row r="20" spans="1:13">
      <c r="A20" s="251" t="s">
        <v>4761</v>
      </c>
      <c r="B20" s="251" t="s">
        <v>4762</v>
      </c>
      <c r="C20" s="556">
        <v>45786</v>
      </c>
      <c r="D20" s="251" t="s">
        <v>4730</v>
      </c>
      <c r="E20" s="251" t="s">
        <v>596</v>
      </c>
      <c r="F20" s="251" t="s">
        <v>251</v>
      </c>
      <c r="G20" s="251" t="s">
        <v>4718</v>
      </c>
      <c r="H20" s="251" t="s">
        <v>4723</v>
      </c>
      <c r="I20" s="251" t="s">
        <v>4720</v>
      </c>
      <c r="J20" s="549" t="s">
        <v>4723</v>
      </c>
      <c r="K20" s="549" t="s">
        <v>30</v>
      </c>
      <c r="L20">
        <f>IF(AND($K20="Cold",$B20&lt;&gt;"",$C20&gt;=EOMONTH('Cold Outreach'!$C$3,-1)+1,$C20&lt;=EOMONTH('Cold Outreach'!$C$3,0)),
IF(COUNTIFS($B$2:$B20,$B20,$K$2:$K20,"Cold",$C$2:$C20,"&gt;="&amp;EOMONTH('Cold Outreach'!$C$3,-1)+1,$C$2:$C20,"&lt;="&amp;EOMONTH('Cold Outreach'!$C$3,0))=1,1,0),
0)</f>
        <v>0</v>
      </c>
      <c r="M20">
        <f>IF(AND($K20="Cold",$B20&lt;&gt;"",$C20&gt;=EDATE(EOMONTH('Cold Outreach'!$C$3,-1)+1,-('Cold Outreach'!$N$2-1)),$C20&lt;=EOMONTH('Cold Outreach'!$C$3,0)),
IF(COUNTIFS($B$2:$B20,$B20,$K$2:$K20,"Cold",$C$2:$C20,"&gt;="&amp;EDATE(EOMONTH('Cold Outreach'!$C$3,-1)+1,-('Cold Outreach'!$N$2-1)),$C$2:$C20,"&lt;="&amp;EOMONTH('Cold Outreach'!$C$3,0))=1,1,0),
0)</f>
        <v>1</v>
      </c>
    </row>
    <row r="21" spans="1:13">
      <c r="A21" s="549" t="s">
        <v>420</v>
      </c>
      <c r="B21" s="549" t="s">
        <v>4763</v>
      </c>
      <c r="C21" s="555">
        <v>45798</v>
      </c>
      <c r="D21" s="549" t="s">
        <v>4730</v>
      </c>
      <c r="E21" s="549" t="s">
        <v>4742</v>
      </c>
      <c r="F21" s="549" t="s">
        <v>1932</v>
      </c>
      <c r="G21" s="549" t="s">
        <v>4718</v>
      </c>
      <c r="H21" s="549" t="s">
        <v>4740</v>
      </c>
      <c r="I21" s="549" t="s">
        <v>30</v>
      </c>
      <c r="J21" s="549" t="s">
        <v>477</v>
      </c>
      <c r="K21" s="549" t="s">
        <v>30</v>
      </c>
      <c r="L21">
        <f>IF(AND($K21="Cold",$B21&lt;&gt;"",$C21&gt;=EOMONTH('Cold Outreach'!$C$3,-1)+1,$C21&lt;=EOMONTH('Cold Outreach'!$C$3,0)),
IF(COUNTIFS($B$2:$B21,$B21,$K$2:$K21,"Cold",$C$2:$C21,"&gt;="&amp;EOMONTH('Cold Outreach'!$C$3,-1)+1,$C$2:$C21,"&lt;="&amp;EOMONTH('Cold Outreach'!$C$3,0))=1,1,0),
0)</f>
        <v>0</v>
      </c>
      <c r="M21">
        <f>IF(AND($K21="Cold",$B21&lt;&gt;"",$C21&gt;=EDATE(EOMONTH('Cold Outreach'!$C$3,-1)+1,-('Cold Outreach'!$N$2-1)),$C21&lt;=EOMONTH('Cold Outreach'!$C$3,0)),
IF(COUNTIFS($B$2:$B21,$B21,$K$2:$K21,"Cold",$C$2:$C21,"&gt;="&amp;EDATE(EOMONTH('Cold Outreach'!$C$3,-1)+1,-('Cold Outreach'!$N$2-1)),$C$2:$C21,"&lt;="&amp;EOMONTH('Cold Outreach'!$C$3,0))=1,1,0),
0)</f>
        <v>1</v>
      </c>
    </row>
    <row r="22" spans="1:13">
      <c r="A22" s="549" t="s">
        <v>420</v>
      </c>
      <c r="B22" s="549" t="s">
        <v>4764</v>
      </c>
      <c r="C22" s="555">
        <v>45800</v>
      </c>
      <c r="D22" s="549" t="s">
        <v>4730</v>
      </c>
      <c r="E22" s="549" t="s">
        <v>521</v>
      </c>
      <c r="F22" s="549" t="s">
        <v>1932</v>
      </c>
      <c r="G22" s="549" t="s">
        <v>4757</v>
      </c>
      <c r="H22" s="549" t="s">
        <v>4758</v>
      </c>
      <c r="I22" s="549" t="s">
        <v>30</v>
      </c>
      <c r="J22" s="549" t="s">
        <v>4721</v>
      </c>
      <c r="K22" s="549" t="s">
        <v>30</v>
      </c>
      <c r="L22">
        <f>IF(AND($K22="Cold",$B22&lt;&gt;"",$C22&gt;=EOMONTH('Cold Outreach'!$C$3,-1)+1,$C22&lt;=EOMONTH('Cold Outreach'!$C$3,0)),
IF(COUNTIFS($B$2:$B22,$B22,$K$2:$K22,"Cold",$C$2:$C22,"&gt;="&amp;EOMONTH('Cold Outreach'!$C$3,-1)+1,$C$2:$C22,"&lt;="&amp;EOMONTH('Cold Outreach'!$C$3,0))=1,1,0),
0)</f>
        <v>0</v>
      </c>
      <c r="M22">
        <f>IF(AND($K22="Cold",$B22&lt;&gt;"",$C22&gt;=EDATE(EOMONTH('Cold Outreach'!$C$3,-1)+1,-('Cold Outreach'!$N$2-1)),$C22&lt;=EOMONTH('Cold Outreach'!$C$3,0)),
IF(COUNTIFS($B$2:$B22,$B22,$K$2:$K22,"Cold",$C$2:$C22,"&gt;="&amp;EDATE(EOMONTH('Cold Outreach'!$C$3,-1)+1,-('Cold Outreach'!$N$2-1)),$C$2:$C22,"&lt;="&amp;EOMONTH('Cold Outreach'!$C$3,0))=1,1,0),
0)</f>
        <v>1</v>
      </c>
    </row>
    <row r="23" spans="1:13">
      <c r="A23" s="251" t="s">
        <v>4765</v>
      </c>
      <c r="B23" s="251" t="s">
        <v>4474</v>
      </c>
      <c r="C23" s="556">
        <v>45804</v>
      </c>
      <c r="D23" s="251" t="s">
        <v>4730</v>
      </c>
      <c r="E23" s="251" t="s">
        <v>4731</v>
      </c>
      <c r="F23" s="251" t="s">
        <v>251</v>
      </c>
      <c r="G23" s="251" t="s">
        <v>4757</v>
      </c>
      <c r="H23" s="251" t="s">
        <v>4766</v>
      </c>
      <c r="I23" s="251" t="s">
        <v>30</v>
      </c>
      <c r="J23" s="549" t="s">
        <v>320</v>
      </c>
      <c r="K23" s="549" t="s">
        <v>30</v>
      </c>
      <c r="L23">
        <f>IF(AND($K23="Cold",$B23&lt;&gt;"",$C23&gt;=EOMONTH('Cold Outreach'!$C$3,-1)+1,$C23&lt;=EOMONTH('Cold Outreach'!$C$3,0)),
IF(COUNTIFS($B$2:$B23,$B23,$K$2:$K23,"Cold",$C$2:$C23,"&gt;="&amp;EOMONTH('Cold Outreach'!$C$3,-1)+1,$C$2:$C23,"&lt;="&amp;EOMONTH('Cold Outreach'!$C$3,0))=1,1,0),
0)</f>
        <v>0</v>
      </c>
      <c r="M23">
        <f>IF(AND($K23="Cold",$B23&lt;&gt;"",$C23&gt;=EDATE(EOMONTH('Cold Outreach'!$C$3,-1)+1,-('Cold Outreach'!$N$2-1)),$C23&lt;=EOMONTH('Cold Outreach'!$C$3,0)),
IF(COUNTIFS($B$2:$B23,$B23,$K$2:$K23,"Cold",$C$2:$C23,"&gt;="&amp;EDATE(EOMONTH('Cold Outreach'!$C$3,-1)+1,-('Cold Outreach'!$N$2-1)),$C$2:$C23,"&lt;="&amp;EOMONTH('Cold Outreach'!$C$3,0))=1,1,0),
0)</f>
        <v>1</v>
      </c>
    </row>
    <row r="24" spans="1:13">
      <c r="A24" s="251" t="s">
        <v>4767</v>
      </c>
      <c r="B24" s="251" t="s">
        <v>686</v>
      </c>
      <c r="C24" s="556">
        <v>45812</v>
      </c>
      <c r="D24" s="251" t="s">
        <v>4730</v>
      </c>
      <c r="E24" s="251" t="s">
        <v>4742</v>
      </c>
      <c r="F24" s="251" t="s">
        <v>401</v>
      </c>
      <c r="G24" s="251" t="s">
        <v>4718</v>
      </c>
      <c r="H24" s="251" t="s">
        <v>4750</v>
      </c>
      <c r="I24" s="251" t="s">
        <v>30</v>
      </c>
      <c r="J24" s="549" t="s">
        <v>320</v>
      </c>
      <c r="K24" s="549" t="s">
        <v>30</v>
      </c>
      <c r="L24">
        <f>IF(AND($K24="Cold",$B24&lt;&gt;"",$C24&gt;=EOMONTH('Cold Outreach'!$C$3,-1)+1,$C24&lt;=EOMONTH('Cold Outreach'!$C$3,0)),
IF(COUNTIFS($B$2:$B24,$B24,$K$2:$K24,"Cold",$C$2:$C24,"&gt;="&amp;EOMONTH('Cold Outreach'!$C$3,-1)+1,$C$2:$C24,"&lt;="&amp;EOMONTH('Cold Outreach'!$C$3,0))=1,1,0),
0)</f>
        <v>0</v>
      </c>
      <c r="M24">
        <f>IF(AND($K24="Cold",$B24&lt;&gt;"",$C24&gt;=EDATE(EOMONTH('Cold Outreach'!$C$3,-1)+1,-('Cold Outreach'!$N$2-1)),$C24&lt;=EOMONTH('Cold Outreach'!$C$3,0)),
IF(COUNTIFS($B$2:$B24,$B24,$K$2:$K24,"Cold",$C$2:$C24,"&gt;="&amp;EDATE(EOMONTH('Cold Outreach'!$C$3,-1)+1,-('Cold Outreach'!$N$2-1)),$C$2:$C24,"&lt;="&amp;EOMONTH('Cold Outreach'!$C$3,0))=1,1,0),
0)</f>
        <v>1</v>
      </c>
    </row>
    <row r="25" spans="1:13">
      <c r="A25" s="251" t="s">
        <v>4768</v>
      </c>
      <c r="B25" s="251" t="s">
        <v>1674</v>
      </c>
      <c r="C25" s="556">
        <v>45813</v>
      </c>
      <c r="D25" s="251" t="s">
        <v>4716</v>
      </c>
      <c r="E25" s="251" t="s">
        <v>4717</v>
      </c>
      <c r="F25" s="251" t="s">
        <v>401</v>
      </c>
      <c r="G25" s="251" t="s">
        <v>4718</v>
      </c>
      <c r="H25" s="251" t="s">
        <v>4723</v>
      </c>
      <c r="I25" s="251" t="s">
        <v>30</v>
      </c>
      <c r="J25" s="549" t="s">
        <v>4723</v>
      </c>
      <c r="K25" s="549" t="s">
        <v>30</v>
      </c>
      <c r="L25">
        <f>IF(AND($K25="Cold",$B25&lt;&gt;"",$C25&gt;=EOMONTH('Cold Outreach'!$C$3,-1)+1,$C25&lt;=EOMONTH('Cold Outreach'!$C$3,0)),
IF(COUNTIFS($B$2:$B25,$B25,$K$2:$K25,"Cold",$C$2:$C25,"&gt;="&amp;EOMONTH('Cold Outreach'!$C$3,-1)+1,$C$2:$C25,"&lt;="&amp;EOMONTH('Cold Outreach'!$C$3,0))=1,1,0),
0)</f>
        <v>0</v>
      </c>
      <c r="M25">
        <f>IF(AND($K25="Cold",$B25&lt;&gt;"",$C25&gt;=EDATE(EOMONTH('Cold Outreach'!$C$3,-1)+1,-('Cold Outreach'!$N$2-1)),$C25&lt;=EOMONTH('Cold Outreach'!$C$3,0)),
IF(COUNTIFS($B$2:$B25,$B25,$K$2:$K25,"Cold",$C$2:$C25,"&gt;="&amp;EDATE(EOMONTH('Cold Outreach'!$C$3,-1)+1,-('Cold Outreach'!$N$2-1)),$C$2:$C25,"&lt;="&amp;EOMONTH('Cold Outreach'!$C$3,0))=1,1,0),
0)</f>
        <v>1</v>
      </c>
    </row>
    <row r="26" spans="1:13">
      <c r="A26" s="251" t="s">
        <v>4769</v>
      </c>
      <c r="B26" s="251" t="s">
        <v>4770</v>
      </c>
      <c r="C26" s="556">
        <v>45819</v>
      </c>
      <c r="D26" s="251" t="s">
        <v>4716</v>
      </c>
      <c r="E26" s="251" t="s">
        <v>521</v>
      </c>
      <c r="F26" s="251" t="s">
        <v>401</v>
      </c>
      <c r="G26" s="251" t="s">
        <v>4718</v>
      </c>
      <c r="H26" s="251" t="s">
        <v>4771</v>
      </c>
      <c r="I26" s="251" t="s">
        <v>4737</v>
      </c>
      <c r="J26" s="549" t="s">
        <v>320</v>
      </c>
      <c r="K26" s="549" t="s">
        <v>1473</v>
      </c>
      <c r="L26">
        <f>IF(AND($K26="Cold",$B26&lt;&gt;"",$C26&gt;=EOMONTH('Cold Outreach'!$C$3,-1)+1,$C26&lt;=EOMONTH('Cold Outreach'!$C$3,0)),
IF(COUNTIFS($B$2:$B26,$B26,$K$2:$K26,"Cold",$C$2:$C26,"&gt;="&amp;EOMONTH('Cold Outreach'!$C$3,-1)+1,$C$2:$C26,"&lt;="&amp;EOMONTH('Cold Outreach'!$C$3,0))=1,1,0),
0)</f>
        <v>0</v>
      </c>
      <c r="M26">
        <f>IF(AND($K26="Cold",$B26&lt;&gt;"",$C26&gt;=EDATE(EOMONTH('Cold Outreach'!$C$3,-1)+1,-('Cold Outreach'!$N$2-1)),$C26&lt;=EOMONTH('Cold Outreach'!$C$3,0)),
IF(COUNTIFS($B$2:$B26,$B26,$K$2:$K26,"Cold",$C$2:$C26,"&gt;="&amp;EDATE(EOMONTH('Cold Outreach'!$C$3,-1)+1,-('Cold Outreach'!$N$2-1)),$C$2:$C26,"&lt;="&amp;EOMONTH('Cold Outreach'!$C$3,0))=1,1,0),
0)</f>
        <v>0</v>
      </c>
    </row>
    <row r="27" spans="1:13">
      <c r="A27" s="251" t="s">
        <v>4772</v>
      </c>
      <c r="B27" s="251" t="s">
        <v>4773</v>
      </c>
      <c r="C27" s="556">
        <v>45819</v>
      </c>
      <c r="D27" s="251" t="s">
        <v>4716</v>
      </c>
      <c r="E27" s="251" t="s">
        <v>4742</v>
      </c>
      <c r="F27" s="251" t="s">
        <v>251</v>
      </c>
      <c r="G27" s="251" t="s">
        <v>4718</v>
      </c>
      <c r="H27" s="251" t="s">
        <v>4753</v>
      </c>
      <c r="I27" s="251" t="s">
        <v>944</v>
      </c>
      <c r="J27" s="549" t="s">
        <v>320</v>
      </c>
      <c r="K27" s="549" t="s">
        <v>27</v>
      </c>
      <c r="L27">
        <f>IF(AND($K27="Cold",$B27&lt;&gt;"",$C27&gt;=EOMONTH('Cold Outreach'!$C$3,-1)+1,$C27&lt;=EOMONTH('Cold Outreach'!$C$3,0)),
IF(COUNTIFS($B$2:$B27,$B27,$K$2:$K27,"Cold",$C$2:$C27,"&gt;="&amp;EOMONTH('Cold Outreach'!$C$3,-1)+1,$C$2:$C27,"&lt;="&amp;EOMONTH('Cold Outreach'!$C$3,0))=1,1,0),
0)</f>
        <v>0</v>
      </c>
      <c r="M27">
        <f>IF(AND($K27="Cold",$B27&lt;&gt;"",$C27&gt;=EDATE(EOMONTH('Cold Outreach'!$C$3,-1)+1,-('Cold Outreach'!$N$2-1)),$C27&lt;=EOMONTH('Cold Outreach'!$C$3,0)),
IF(COUNTIFS($B$2:$B27,$B27,$K$2:$K27,"Cold",$C$2:$C27,"&gt;="&amp;EDATE(EOMONTH('Cold Outreach'!$C$3,-1)+1,-('Cold Outreach'!$N$2-1)),$C$2:$C27,"&lt;="&amp;EOMONTH('Cold Outreach'!$C$3,0))=1,1,0),
0)</f>
        <v>0</v>
      </c>
    </row>
    <row r="28" spans="1:13">
      <c r="A28" s="251" t="s">
        <v>4774</v>
      </c>
      <c r="B28" s="251" t="s">
        <v>545</v>
      </c>
      <c r="C28" s="556">
        <v>45819</v>
      </c>
      <c r="D28" s="251" t="s">
        <v>4716</v>
      </c>
      <c r="E28" s="251" t="s">
        <v>4717</v>
      </c>
      <c r="F28" s="251" t="s">
        <v>401</v>
      </c>
      <c r="G28" s="251" t="s">
        <v>4718</v>
      </c>
      <c r="H28" s="251" t="s">
        <v>4723</v>
      </c>
      <c r="I28" s="251" t="s">
        <v>30</v>
      </c>
      <c r="J28" s="549" t="s">
        <v>4723</v>
      </c>
      <c r="K28" s="549" t="s">
        <v>30</v>
      </c>
      <c r="L28">
        <f>IF(AND($K28="Cold",$B28&lt;&gt;"",$C28&gt;=EOMONTH('Cold Outreach'!$C$3,-1)+1,$C28&lt;=EOMONTH('Cold Outreach'!$C$3,0)),
IF(COUNTIFS($B$2:$B28,$B28,$K$2:$K28,"Cold",$C$2:$C28,"&gt;="&amp;EOMONTH('Cold Outreach'!$C$3,-1)+1,$C$2:$C28,"&lt;="&amp;EOMONTH('Cold Outreach'!$C$3,0))=1,1,0),
0)</f>
        <v>0</v>
      </c>
      <c r="M28">
        <f>IF(AND($K28="Cold",$B28&lt;&gt;"",$C28&gt;=EDATE(EOMONTH('Cold Outreach'!$C$3,-1)+1,-('Cold Outreach'!$N$2-1)),$C28&lt;=EOMONTH('Cold Outreach'!$C$3,0)),
IF(COUNTIFS($B$2:$B28,$B28,$K$2:$K28,"Cold",$C$2:$C28,"&gt;="&amp;EDATE(EOMONTH('Cold Outreach'!$C$3,-1)+1,-('Cold Outreach'!$N$2-1)),$C$2:$C28,"&lt;="&amp;EOMONTH('Cold Outreach'!$C$3,0))=1,1,0),
0)</f>
        <v>1</v>
      </c>
    </row>
    <row r="29" spans="1:13">
      <c r="A29" s="251" t="s">
        <v>4775</v>
      </c>
      <c r="B29" s="251" t="s">
        <v>638</v>
      </c>
      <c r="C29" s="556">
        <v>45831</v>
      </c>
      <c r="D29" s="251" t="s">
        <v>148</v>
      </c>
      <c r="E29" s="251" t="s">
        <v>4726</v>
      </c>
      <c r="F29" s="251" t="s">
        <v>401</v>
      </c>
      <c r="G29" s="251" t="s">
        <v>4718</v>
      </c>
      <c r="H29" s="251" t="s">
        <v>4776</v>
      </c>
      <c r="I29" s="251" t="s">
        <v>944</v>
      </c>
      <c r="J29" s="549" t="s">
        <v>320</v>
      </c>
      <c r="K29" s="549" t="s">
        <v>27</v>
      </c>
      <c r="L29">
        <f>IF(AND($K29="Cold",$B29&lt;&gt;"",$C29&gt;=EOMONTH('Cold Outreach'!$C$3,-1)+1,$C29&lt;=EOMONTH('Cold Outreach'!$C$3,0)),
IF(COUNTIFS($B$2:$B29,$B29,$K$2:$K29,"Cold",$C$2:$C29,"&gt;="&amp;EOMONTH('Cold Outreach'!$C$3,-1)+1,$C$2:$C29,"&lt;="&amp;EOMONTH('Cold Outreach'!$C$3,0))=1,1,0),
0)</f>
        <v>0</v>
      </c>
      <c r="M29">
        <f>IF(AND($K29="Cold",$B29&lt;&gt;"",$C29&gt;=EDATE(EOMONTH('Cold Outreach'!$C$3,-1)+1,-('Cold Outreach'!$N$2-1)),$C29&lt;=EOMONTH('Cold Outreach'!$C$3,0)),
IF(COUNTIFS($B$2:$B29,$B29,$K$2:$K29,"Cold",$C$2:$C29,"&gt;="&amp;EDATE(EOMONTH('Cold Outreach'!$C$3,-1)+1,-('Cold Outreach'!$N$2-1)),$C$2:$C29,"&lt;="&amp;EOMONTH('Cold Outreach'!$C$3,0))=1,1,0),
0)</f>
        <v>0</v>
      </c>
    </row>
    <row r="30" spans="1:13">
      <c r="A30" s="251" t="s">
        <v>4777</v>
      </c>
      <c r="B30" s="251" t="s">
        <v>622</v>
      </c>
      <c r="C30" s="556">
        <v>45832</v>
      </c>
      <c r="D30" s="251" t="s">
        <v>4730</v>
      </c>
      <c r="E30" s="251" t="s">
        <v>4742</v>
      </c>
      <c r="F30" s="251" t="s">
        <v>401</v>
      </c>
      <c r="G30" s="251" t="s">
        <v>4718</v>
      </c>
      <c r="H30" s="251" t="s">
        <v>4723</v>
      </c>
      <c r="I30" s="251" t="s">
        <v>944</v>
      </c>
      <c r="J30" s="549" t="s">
        <v>4723</v>
      </c>
      <c r="K30" s="549" t="s">
        <v>27</v>
      </c>
      <c r="L30">
        <f>IF(AND($K30="Cold",$B30&lt;&gt;"",$C30&gt;=EOMONTH('Cold Outreach'!$C$3,-1)+1,$C30&lt;=EOMONTH('Cold Outreach'!$C$3,0)),
IF(COUNTIFS($B$2:$B30,$B30,$K$2:$K30,"Cold",$C$2:$C30,"&gt;="&amp;EOMONTH('Cold Outreach'!$C$3,-1)+1,$C$2:$C30,"&lt;="&amp;EOMONTH('Cold Outreach'!$C$3,0))=1,1,0),
0)</f>
        <v>0</v>
      </c>
      <c r="M30">
        <f>IF(AND($K30="Cold",$B30&lt;&gt;"",$C30&gt;=EDATE(EOMONTH('Cold Outreach'!$C$3,-1)+1,-('Cold Outreach'!$N$2-1)),$C30&lt;=EOMONTH('Cold Outreach'!$C$3,0)),
IF(COUNTIFS($B$2:$B30,$B30,$K$2:$K30,"Cold",$C$2:$C30,"&gt;="&amp;EDATE(EOMONTH('Cold Outreach'!$C$3,-1)+1,-('Cold Outreach'!$N$2-1)),$C$2:$C30,"&lt;="&amp;EOMONTH('Cold Outreach'!$C$3,0))=1,1,0),
0)</f>
        <v>0</v>
      </c>
    </row>
    <row r="31" spans="1:13">
      <c r="A31" s="251" t="s">
        <v>4778</v>
      </c>
      <c r="B31" s="251" t="s">
        <v>4779</v>
      </c>
      <c r="C31" s="556">
        <v>45832</v>
      </c>
      <c r="D31" s="251" t="s">
        <v>4716</v>
      </c>
      <c r="E31" s="251" t="s">
        <v>521</v>
      </c>
      <c r="F31" s="551" t="s">
        <v>401</v>
      </c>
      <c r="G31" s="251" t="s">
        <v>4718</v>
      </c>
      <c r="H31" s="251" t="s">
        <v>4723</v>
      </c>
      <c r="I31" s="251" t="s">
        <v>4737</v>
      </c>
      <c r="J31" s="549" t="s">
        <v>4723</v>
      </c>
      <c r="K31" s="549" t="s">
        <v>1473</v>
      </c>
      <c r="L31">
        <f>IF(AND($K31="Cold",$B31&lt;&gt;"",$C31&gt;=EOMONTH('Cold Outreach'!$C$3,-1)+1,$C31&lt;=EOMONTH('Cold Outreach'!$C$3,0)),
IF(COUNTIFS($B$2:$B31,$B31,$K$2:$K31,"Cold",$C$2:$C31,"&gt;="&amp;EOMONTH('Cold Outreach'!$C$3,-1)+1,$C$2:$C31,"&lt;="&amp;EOMONTH('Cold Outreach'!$C$3,0))=1,1,0),
0)</f>
        <v>0</v>
      </c>
      <c r="M31">
        <f>IF(AND($K31="Cold",$B31&lt;&gt;"",$C31&gt;=EDATE(EOMONTH('Cold Outreach'!$C$3,-1)+1,-('Cold Outreach'!$N$2-1)),$C31&lt;=EOMONTH('Cold Outreach'!$C$3,0)),
IF(COUNTIFS($B$2:$B31,$B31,$K$2:$K31,"Cold",$C$2:$C31,"&gt;="&amp;EDATE(EOMONTH('Cold Outreach'!$C$3,-1)+1,-('Cold Outreach'!$N$2-1)),$C$2:$C31,"&lt;="&amp;EOMONTH('Cold Outreach'!$C$3,0))=1,1,0),
0)</f>
        <v>0</v>
      </c>
    </row>
    <row r="32" spans="1:13">
      <c r="A32" s="251" t="s">
        <v>4780</v>
      </c>
      <c r="B32" s="251" t="s">
        <v>4781</v>
      </c>
      <c r="C32" s="556">
        <v>45834</v>
      </c>
      <c r="D32" s="251" t="s">
        <v>4716</v>
      </c>
      <c r="E32" s="251" t="s">
        <v>596</v>
      </c>
      <c r="F32" s="251" t="s">
        <v>401</v>
      </c>
      <c r="G32" s="251" t="s">
        <v>4718</v>
      </c>
      <c r="H32" s="251" t="s">
        <v>4723</v>
      </c>
      <c r="I32" s="251" t="s">
        <v>944</v>
      </c>
      <c r="J32" s="549" t="s">
        <v>4723</v>
      </c>
      <c r="K32" s="549" t="s">
        <v>27</v>
      </c>
      <c r="L32">
        <f>IF(AND($K32="Cold",$B32&lt;&gt;"",$C32&gt;=EOMONTH('Cold Outreach'!$C$3,-1)+1,$C32&lt;=EOMONTH('Cold Outreach'!$C$3,0)),
IF(COUNTIFS($B$2:$B32,$B32,$K$2:$K32,"Cold",$C$2:$C32,"&gt;="&amp;EOMONTH('Cold Outreach'!$C$3,-1)+1,$C$2:$C32,"&lt;="&amp;EOMONTH('Cold Outreach'!$C$3,0))=1,1,0),
0)</f>
        <v>0</v>
      </c>
      <c r="M32">
        <f>IF(AND($K32="Cold",$B32&lt;&gt;"",$C32&gt;=EDATE(EOMONTH('Cold Outreach'!$C$3,-1)+1,-('Cold Outreach'!$N$2-1)),$C32&lt;=EOMONTH('Cold Outreach'!$C$3,0)),
IF(COUNTIFS($B$2:$B32,$B32,$K$2:$K32,"Cold",$C$2:$C32,"&gt;="&amp;EDATE(EOMONTH('Cold Outreach'!$C$3,-1)+1,-('Cold Outreach'!$N$2-1)),$C$2:$C32,"&lt;="&amp;EOMONTH('Cold Outreach'!$C$3,0))=1,1,0),
0)</f>
        <v>0</v>
      </c>
    </row>
    <row r="33" spans="1:13">
      <c r="A33" s="251" t="s">
        <v>4782</v>
      </c>
      <c r="B33" s="251" t="s">
        <v>4783</v>
      </c>
      <c r="C33" s="556">
        <v>45835</v>
      </c>
      <c r="D33" s="251" t="s">
        <v>4716</v>
      </c>
      <c r="E33" s="251" t="s">
        <v>4717</v>
      </c>
      <c r="F33" s="251" t="s">
        <v>401</v>
      </c>
      <c r="G33" s="251" t="s">
        <v>4718</v>
      </c>
      <c r="H33" s="251" t="s">
        <v>247</v>
      </c>
      <c r="I33" s="251" t="s">
        <v>4737</v>
      </c>
      <c r="J33" s="549" t="s">
        <v>4723</v>
      </c>
      <c r="K33" s="549" t="s">
        <v>1473</v>
      </c>
      <c r="L33">
        <f>IF(AND($K33="Cold",$B33&lt;&gt;"",$C33&gt;=EOMONTH('Cold Outreach'!$C$3,-1)+1,$C33&lt;=EOMONTH('Cold Outreach'!$C$3,0)),
IF(COUNTIFS($B$2:$B33,$B33,$K$2:$K33,"Cold",$C$2:$C33,"&gt;="&amp;EOMONTH('Cold Outreach'!$C$3,-1)+1,$C$2:$C33,"&lt;="&amp;EOMONTH('Cold Outreach'!$C$3,0))=1,1,0),
0)</f>
        <v>0</v>
      </c>
      <c r="M33">
        <f>IF(AND($K33="Cold",$B33&lt;&gt;"",$C33&gt;=EDATE(EOMONTH('Cold Outreach'!$C$3,-1)+1,-('Cold Outreach'!$N$2-1)),$C33&lt;=EOMONTH('Cold Outreach'!$C$3,0)),
IF(COUNTIFS($B$2:$B33,$B33,$K$2:$K33,"Cold",$C$2:$C33,"&gt;="&amp;EDATE(EOMONTH('Cold Outreach'!$C$3,-1)+1,-('Cold Outreach'!$N$2-1)),$C$2:$C33,"&lt;="&amp;EOMONTH('Cold Outreach'!$C$3,0))=1,1,0),
0)</f>
        <v>0</v>
      </c>
    </row>
    <row r="34" spans="1:13">
      <c r="A34" s="251" t="s">
        <v>4769</v>
      </c>
      <c r="B34" s="251" t="s">
        <v>4770</v>
      </c>
      <c r="C34" s="556">
        <v>45848</v>
      </c>
      <c r="D34" s="251" t="s">
        <v>4716</v>
      </c>
      <c r="E34" s="251" t="s">
        <v>521</v>
      </c>
      <c r="F34" s="251" t="s">
        <v>401</v>
      </c>
      <c r="G34" s="251" t="s">
        <v>4718</v>
      </c>
      <c r="H34" s="251" t="s">
        <v>4712</v>
      </c>
      <c r="I34" s="251" t="s">
        <v>4737</v>
      </c>
      <c r="J34" s="549" t="s">
        <v>320</v>
      </c>
      <c r="K34" s="549" t="s">
        <v>1473</v>
      </c>
      <c r="L34">
        <f>IF(AND($K34="Cold",$B34&lt;&gt;"",$C34&gt;=EOMONTH('Cold Outreach'!$C$3,-1)+1,$C34&lt;=EOMONTH('Cold Outreach'!$C$3,0)),
IF(COUNTIFS($B$2:$B34,$B34,$K$2:$K34,"Cold",$C$2:$C34,"&gt;="&amp;EOMONTH('Cold Outreach'!$C$3,-1)+1,$C$2:$C34,"&lt;="&amp;EOMONTH('Cold Outreach'!$C$3,0))=1,1,0),
0)</f>
        <v>0</v>
      </c>
      <c r="M34">
        <f>IF(AND($K34="Cold",$B34&lt;&gt;"",$C34&gt;=EDATE(EOMONTH('Cold Outreach'!$C$3,-1)+1,-('Cold Outreach'!$N$2-1)),$C34&lt;=EOMONTH('Cold Outreach'!$C$3,0)),
IF(COUNTIFS($B$2:$B34,$B34,$K$2:$K34,"Cold",$C$2:$C34,"&gt;="&amp;EDATE(EOMONTH('Cold Outreach'!$C$3,-1)+1,-('Cold Outreach'!$N$2-1)),$C$2:$C34,"&lt;="&amp;EOMONTH('Cold Outreach'!$C$3,0))=1,1,0),
0)</f>
        <v>0</v>
      </c>
    </row>
    <row r="35" spans="1:13">
      <c r="A35" s="251" t="s">
        <v>4784</v>
      </c>
      <c r="B35" s="251" t="s">
        <v>4785</v>
      </c>
      <c r="C35" s="556">
        <v>45853</v>
      </c>
      <c r="D35" s="251" t="s">
        <v>4716</v>
      </c>
      <c r="E35" s="251" t="s">
        <v>4717</v>
      </c>
      <c r="F35" s="551" t="s">
        <v>1932</v>
      </c>
      <c r="G35" s="251" t="s">
        <v>4718</v>
      </c>
      <c r="H35" s="251" t="s">
        <v>4712</v>
      </c>
      <c r="I35" s="251" t="s">
        <v>4737</v>
      </c>
      <c r="J35" s="549" t="s">
        <v>320</v>
      </c>
      <c r="K35" s="549" t="s">
        <v>1473</v>
      </c>
      <c r="L35">
        <f>IF(AND($K35="Cold",$B35&lt;&gt;"",$C35&gt;=EOMONTH('Cold Outreach'!$C$3,-1)+1,$C35&lt;=EOMONTH('Cold Outreach'!$C$3,0)),
IF(COUNTIFS($B$2:$B35,$B35,$K$2:$K35,"Cold",$C$2:$C35,"&gt;="&amp;EOMONTH('Cold Outreach'!$C$3,-1)+1,$C$2:$C35,"&lt;="&amp;EOMONTH('Cold Outreach'!$C$3,0))=1,1,0),
0)</f>
        <v>0</v>
      </c>
      <c r="M35">
        <f>IF(AND($K35="Cold",$B35&lt;&gt;"",$C35&gt;=EDATE(EOMONTH('Cold Outreach'!$C$3,-1)+1,-('Cold Outreach'!$N$2-1)),$C35&lt;=EOMONTH('Cold Outreach'!$C$3,0)),
IF(COUNTIFS($B$2:$B35,$B35,$K$2:$K35,"Cold",$C$2:$C35,"&gt;="&amp;EDATE(EOMONTH('Cold Outreach'!$C$3,-1)+1,-('Cold Outreach'!$N$2-1)),$C$2:$C35,"&lt;="&amp;EOMONTH('Cold Outreach'!$C$3,0))=1,1,0),
0)</f>
        <v>0</v>
      </c>
    </row>
    <row r="36" spans="1:13">
      <c r="A36" s="251" t="s">
        <v>4786</v>
      </c>
      <c r="B36" s="251" t="s">
        <v>4679</v>
      </c>
      <c r="C36" s="556">
        <v>45853</v>
      </c>
      <c r="D36" s="251" t="s">
        <v>4716</v>
      </c>
      <c r="E36" s="251" t="s">
        <v>4731</v>
      </c>
      <c r="F36" s="551" t="s">
        <v>1932</v>
      </c>
      <c r="G36" s="251" t="s">
        <v>4757</v>
      </c>
      <c r="H36" s="251" t="s">
        <v>4787</v>
      </c>
      <c r="I36" s="251" t="s">
        <v>30</v>
      </c>
      <c r="J36" s="549" t="s">
        <v>4721</v>
      </c>
      <c r="K36" s="549" t="s">
        <v>30</v>
      </c>
      <c r="L36">
        <f>IF(AND($K36="Cold",$B36&lt;&gt;"",$C36&gt;=EOMONTH('Cold Outreach'!$C$3,-1)+1,$C36&lt;=EOMONTH('Cold Outreach'!$C$3,0)),
IF(COUNTIFS($B$2:$B36,$B36,$K$2:$K36,"Cold",$C$2:$C36,"&gt;="&amp;EOMONTH('Cold Outreach'!$C$3,-1)+1,$C$2:$C36,"&lt;="&amp;EOMONTH('Cold Outreach'!$C$3,0))=1,1,0),
0)</f>
        <v>0</v>
      </c>
      <c r="M36">
        <f>IF(AND($K36="Cold",$B36&lt;&gt;"",$C36&gt;=EDATE(EOMONTH('Cold Outreach'!$C$3,-1)+1,-('Cold Outreach'!$N$2-1)),$C36&lt;=EOMONTH('Cold Outreach'!$C$3,0)),
IF(COUNTIFS($B$2:$B36,$B36,$K$2:$K36,"Cold",$C$2:$C36,"&gt;="&amp;EDATE(EOMONTH('Cold Outreach'!$C$3,-1)+1,-('Cold Outreach'!$N$2-1)),$C$2:$C36,"&lt;="&amp;EOMONTH('Cold Outreach'!$C$3,0))=1,1,0),
0)</f>
        <v>1</v>
      </c>
    </row>
    <row r="37" spans="1:13">
      <c r="A37" s="251" t="s">
        <v>4788</v>
      </c>
      <c r="B37" s="251" t="s">
        <v>4789</v>
      </c>
      <c r="C37" s="556">
        <v>45854</v>
      </c>
      <c r="D37" s="251" t="s">
        <v>148</v>
      </c>
      <c r="E37" s="251" t="s">
        <v>4790</v>
      </c>
      <c r="F37" s="551" t="s">
        <v>401</v>
      </c>
      <c r="G37" s="251" t="s">
        <v>4718</v>
      </c>
      <c r="H37" s="251" t="s">
        <v>4712</v>
      </c>
      <c r="I37" s="251"/>
      <c r="J37" s="549" t="s">
        <v>320</v>
      </c>
      <c r="K37" s="549" t="s">
        <v>1473</v>
      </c>
      <c r="L37">
        <f>IF(AND($K37="Cold",$B37&lt;&gt;"",$C37&gt;=EOMONTH('Cold Outreach'!$C$3,-1)+1,$C37&lt;=EOMONTH('Cold Outreach'!$C$3,0)),
IF(COUNTIFS($B$2:$B37,$B37,$K$2:$K37,"Cold",$C$2:$C37,"&gt;="&amp;EOMONTH('Cold Outreach'!$C$3,-1)+1,$C$2:$C37,"&lt;="&amp;EOMONTH('Cold Outreach'!$C$3,0))=1,1,0),
0)</f>
        <v>0</v>
      </c>
      <c r="M37">
        <f>IF(AND($K37="Cold",$B37&lt;&gt;"",$C37&gt;=EDATE(EOMONTH('Cold Outreach'!$C$3,-1)+1,-('Cold Outreach'!$N$2-1)),$C37&lt;=EOMONTH('Cold Outreach'!$C$3,0)),
IF(COUNTIFS($B$2:$B37,$B37,$K$2:$K37,"Cold",$C$2:$C37,"&gt;="&amp;EDATE(EOMONTH('Cold Outreach'!$C$3,-1)+1,-('Cold Outreach'!$N$2-1)),$C$2:$C37,"&lt;="&amp;EOMONTH('Cold Outreach'!$C$3,0))=1,1,0),
0)</f>
        <v>0</v>
      </c>
    </row>
    <row r="38" spans="1:13">
      <c r="A38" s="251" t="s">
        <v>4791</v>
      </c>
      <c r="B38" s="251" t="s">
        <v>3388</v>
      </c>
      <c r="C38" s="556">
        <v>45856</v>
      </c>
      <c r="D38" s="251" t="s">
        <v>4730</v>
      </c>
      <c r="E38" s="251" t="s">
        <v>4731</v>
      </c>
      <c r="F38" s="551" t="s">
        <v>1932</v>
      </c>
      <c r="G38" s="251" t="s">
        <v>4757</v>
      </c>
      <c r="H38" s="251" t="s">
        <v>4787</v>
      </c>
      <c r="I38" s="251" t="s">
        <v>30</v>
      </c>
      <c r="J38" s="549" t="s">
        <v>4721</v>
      </c>
      <c r="K38" s="549" t="s">
        <v>30</v>
      </c>
      <c r="L38">
        <f>IF(AND($K38="Cold",$B38&lt;&gt;"",$C38&gt;=EOMONTH('Cold Outreach'!$C$3,-1)+1,$C38&lt;=EOMONTH('Cold Outreach'!$C$3,0)),
IF(COUNTIFS($B$2:$B38,$B38,$K$2:$K38,"Cold",$C$2:$C38,"&gt;="&amp;EOMONTH('Cold Outreach'!$C$3,-1)+1,$C$2:$C38,"&lt;="&amp;EOMONTH('Cold Outreach'!$C$3,0))=1,1,0),
0)</f>
        <v>0</v>
      </c>
      <c r="M38">
        <f>IF(AND($K38="Cold",$B38&lt;&gt;"",$C38&gt;=EDATE(EOMONTH('Cold Outreach'!$C$3,-1)+1,-('Cold Outreach'!$N$2-1)),$C38&lt;=EOMONTH('Cold Outreach'!$C$3,0)),
IF(COUNTIFS($B$2:$B38,$B38,$K$2:$K38,"Cold",$C$2:$C38,"&gt;="&amp;EDATE(EOMONTH('Cold Outreach'!$C$3,-1)+1,-('Cold Outreach'!$N$2-1)),$C$2:$C38,"&lt;="&amp;EOMONTH('Cold Outreach'!$C$3,0))=1,1,0),
0)</f>
        <v>1</v>
      </c>
    </row>
    <row r="39" spans="1:13">
      <c r="A39" s="251" t="s">
        <v>4792</v>
      </c>
      <c r="B39" s="251" t="s">
        <v>4793</v>
      </c>
      <c r="C39" s="556">
        <v>45856</v>
      </c>
      <c r="D39" s="251" t="s">
        <v>4716</v>
      </c>
      <c r="E39" s="251" t="s">
        <v>4731</v>
      </c>
      <c r="F39" s="551" t="s">
        <v>1932</v>
      </c>
      <c r="G39" s="251" t="s">
        <v>4718</v>
      </c>
      <c r="H39" s="251" t="s">
        <v>4723</v>
      </c>
      <c r="I39" s="251" t="s">
        <v>30</v>
      </c>
      <c r="J39" s="549" t="s">
        <v>4723</v>
      </c>
      <c r="K39" s="549" t="s">
        <v>30</v>
      </c>
      <c r="L39">
        <f>IF(AND($K39="Cold",$B39&lt;&gt;"",$C39&gt;=EOMONTH('Cold Outreach'!$C$3,-1)+1,$C39&lt;=EOMONTH('Cold Outreach'!$C$3,0)),
IF(COUNTIFS($B$2:$B39,$B39,$K$2:$K39,"Cold",$C$2:$C39,"&gt;="&amp;EOMONTH('Cold Outreach'!$C$3,-1)+1,$C$2:$C39,"&lt;="&amp;EOMONTH('Cold Outreach'!$C$3,0))=1,1,0),
0)</f>
        <v>0</v>
      </c>
      <c r="M39">
        <f>IF(AND($K39="Cold",$B39&lt;&gt;"",$C39&gt;=EDATE(EOMONTH('Cold Outreach'!$C$3,-1)+1,-('Cold Outreach'!$N$2-1)),$C39&lt;=EOMONTH('Cold Outreach'!$C$3,0)),
IF(COUNTIFS($B$2:$B39,$B39,$K$2:$K39,"Cold",$C$2:$C39,"&gt;="&amp;EDATE(EOMONTH('Cold Outreach'!$C$3,-1)+1,-('Cold Outreach'!$N$2-1)),$C$2:$C39,"&lt;="&amp;EOMONTH('Cold Outreach'!$C$3,0))=1,1,0),
0)</f>
        <v>1</v>
      </c>
    </row>
    <row r="40" spans="1:13">
      <c r="A40" s="251" t="s">
        <v>4794</v>
      </c>
      <c r="B40" s="251" t="s">
        <v>4795</v>
      </c>
      <c r="C40" s="556">
        <v>45859</v>
      </c>
      <c r="D40" s="251" t="s">
        <v>4730</v>
      </c>
      <c r="E40" s="251" t="s">
        <v>587</v>
      </c>
      <c r="F40" s="551" t="s">
        <v>401</v>
      </c>
      <c r="G40" s="251" t="s">
        <v>4718</v>
      </c>
      <c r="H40" s="251" t="s">
        <v>4740</v>
      </c>
      <c r="I40" s="251" t="s">
        <v>30</v>
      </c>
      <c r="J40" s="549" t="s">
        <v>477</v>
      </c>
      <c r="K40" s="549" t="s">
        <v>30</v>
      </c>
      <c r="L40">
        <f>IF(AND($K40="Cold",$B40&lt;&gt;"",$C40&gt;=EOMONTH('Cold Outreach'!$C$3,-1)+1,$C40&lt;=EOMONTH('Cold Outreach'!$C$3,0)),
IF(COUNTIFS($B$2:$B40,$B40,$K$2:$K40,"Cold",$C$2:$C40,"&gt;="&amp;EOMONTH('Cold Outreach'!$C$3,-1)+1,$C$2:$C40,"&lt;="&amp;EOMONTH('Cold Outreach'!$C$3,0))=1,1,0),
0)</f>
        <v>0</v>
      </c>
      <c r="M40">
        <f>IF(AND($K40="Cold",$B40&lt;&gt;"",$C40&gt;=EDATE(EOMONTH('Cold Outreach'!$C$3,-1)+1,-('Cold Outreach'!$N$2-1)),$C40&lt;=EOMONTH('Cold Outreach'!$C$3,0)),
IF(COUNTIFS($B$2:$B40,$B40,$K$2:$K40,"Cold",$C$2:$C40,"&gt;="&amp;EDATE(EOMONTH('Cold Outreach'!$C$3,-1)+1,-('Cold Outreach'!$N$2-1)),$C$2:$C40,"&lt;="&amp;EOMONTH('Cold Outreach'!$C$3,0))=1,1,0),
0)</f>
        <v>1</v>
      </c>
    </row>
    <row r="41" spans="1:13">
      <c r="A41" s="251" t="s">
        <v>4796</v>
      </c>
      <c r="B41" s="251" t="s">
        <v>4770</v>
      </c>
      <c r="C41" s="556">
        <v>45860</v>
      </c>
      <c r="D41" s="251" t="s">
        <v>4716</v>
      </c>
      <c r="E41" s="251" t="s">
        <v>521</v>
      </c>
      <c r="F41" s="551" t="s">
        <v>1932</v>
      </c>
      <c r="G41" s="251" t="s">
        <v>4757</v>
      </c>
      <c r="H41" s="251" t="s">
        <v>4797</v>
      </c>
      <c r="I41" s="251" t="s">
        <v>4737</v>
      </c>
      <c r="J41" s="549" t="s">
        <v>4721</v>
      </c>
      <c r="K41" s="549" t="s">
        <v>1473</v>
      </c>
      <c r="L41">
        <f>IF(AND($K41="Cold",$B41&lt;&gt;"",$C41&gt;=EOMONTH('Cold Outreach'!$C$3,-1)+1,$C41&lt;=EOMONTH('Cold Outreach'!$C$3,0)),
IF(COUNTIFS($B$2:$B41,$B41,$K$2:$K41,"Cold",$C$2:$C41,"&gt;="&amp;EOMONTH('Cold Outreach'!$C$3,-1)+1,$C$2:$C41,"&lt;="&amp;EOMONTH('Cold Outreach'!$C$3,0))=1,1,0),
0)</f>
        <v>0</v>
      </c>
      <c r="M41">
        <f>IF(AND($K41="Cold",$B41&lt;&gt;"",$C41&gt;=EDATE(EOMONTH('Cold Outreach'!$C$3,-1)+1,-('Cold Outreach'!$N$2-1)),$C41&lt;=EOMONTH('Cold Outreach'!$C$3,0)),
IF(COUNTIFS($B$2:$B41,$B41,$K$2:$K41,"Cold",$C$2:$C41,"&gt;="&amp;EDATE(EOMONTH('Cold Outreach'!$C$3,-1)+1,-('Cold Outreach'!$N$2-1)),$C$2:$C41,"&lt;="&amp;EOMONTH('Cold Outreach'!$C$3,0))=1,1,0),
0)</f>
        <v>0</v>
      </c>
    </row>
    <row r="42" spans="1:13">
      <c r="A42" s="251" t="s">
        <v>4798</v>
      </c>
      <c r="B42" s="251" t="s">
        <v>713</v>
      </c>
      <c r="C42" s="556">
        <v>45860</v>
      </c>
      <c r="D42" s="251" t="s">
        <v>4730</v>
      </c>
      <c r="E42" s="251" t="s">
        <v>4790</v>
      </c>
      <c r="F42" s="551" t="s">
        <v>401</v>
      </c>
      <c r="G42" s="251" t="s">
        <v>4718</v>
      </c>
      <c r="H42" s="251" t="s">
        <v>4740</v>
      </c>
      <c r="I42" s="251" t="s">
        <v>944</v>
      </c>
      <c r="J42" s="549" t="s">
        <v>477</v>
      </c>
      <c r="K42" s="549" t="s">
        <v>27</v>
      </c>
      <c r="L42">
        <f>IF(AND($K42="Cold",$B42&lt;&gt;"",$C42&gt;=EOMONTH('Cold Outreach'!$C$3,-1)+1,$C42&lt;=EOMONTH('Cold Outreach'!$C$3,0)),
IF(COUNTIFS($B$2:$B42,$B42,$K$2:$K42,"Cold",$C$2:$C42,"&gt;="&amp;EOMONTH('Cold Outreach'!$C$3,-1)+1,$C$2:$C42,"&lt;="&amp;EOMONTH('Cold Outreach'!$C$3,0))=1,1,0),
0)</f>
        <v>0</v>
      </c>
      <c r="M42">
        <f>IF(AND($K42="Cold",$B42&lt;&gt;"",$C42&gt;=EDATE(EOMONTH('Cold Outreach'!$C$3,-1)+1,-('Cold Outreach'!$N$2-1)),$C42&lt;=EOMONTH('Cold Outreach'!$C$3,0)),
IF(COUNTIFS($B$2:$B42,$B42,$K$2:$K42,"Cold",$C$2:$C42,"&gt;="&amp;EDATE(EOMONTH('Cold Outreach'!$C$3,-1)+1,-('Cold Outreach'!$N$2-1)),$C$2:$C42,"&lt;="&amp;EOMONTH('Cold Outreach'!$C$3,0))=1,1,0),
0)</f>
        <v>0</v>
      </c>
    </row>
    <row r="43" spans="1:13">
      <c r="A43" s="251" t="s">
        <v>4799</v>
      </c>
      <c r="B43" s="251" t="s">
        <v>4800</v>
      </c>
      <c r="C43" s="556">
        <v>45866</v>
      </c>
      <c r="D43" s="251" t="s">
        <v>4730</v>
      </c>
      <c r="E43" s="251" t="s">
        <v>587</v>
      </c>
      <c r="F43" s="551" t="s">
        <v>1932</v>
      </c>
      <c r="G43" s="251" t="s">
        <v>4718</v>
      </c>
      <c r="H43" s="251" t="s">
        <v>4712</v>
      </c>
      <c r="I43" s="251" t="s">
        <v>30</v>
      </c>
      <c r="J43" s="549" t="s">
        <v>320</v>
      </c>
      <c r="K43" s="549" t="s">
        <v>30</v>
      </c>
      <c r="L43">
        <f>IF(AND($K43="Cold",$B43&lt;&gt;"",$C43&gt;=EOMONTH('Cold Outreach'!$C$3,-1)+1,$C43&lt;=EOMONTH('Cold Outreach'!$C$3,0)),
IF(COUNTIFS($B$2:$B43,$B43,$K$2:$K43,"Cold",$C$2:$C43,"&gt;="&amp;EOMONTH('Cold Outreach'!$C$3,-1)+1,$C$2:$C43,"&lt;="&amp;EOMONTH('Cold Outreach'!$C$3,0))=1,1,0),
0)</f>
        <v>0</v>
      </c>
      <c r="M43">
        <f>IF(AND($K43="Cold",$B43&lt;&gt;"",$C43&gt;=EDATE(EOMONTH('Cold Outreach'!$C$3,-1)+1,-('Cold Outreach'!$N$2-1)),$C43&lt;=EOMONTH('Cold Outreach'!$C$3,0)),
IF(COUNTIFS($B$2:$B43,$B43,$K$2:$K43,"Cold",$C$2:$C43,"&gt;="&amp;EDATE(EOMONTH('Cold Outreach'!$C$3,-1)+1,-('Cold Outreach'!$N$2-1)),$C$2:$C43,"&lt;="&amp;EOMONTH('Cold Outreach'!$C$3,0))=1,1,0),
0)</f>
        <v>1</v>
      </c>
    </row>
    <row r="44" spans="1:13">
      <c r="A44" s="251" t="s">
        <v>4765</v>
      </c>
      <c r="B44" s="251" t="s">
        <v>4474</v>
      </c>
      <c r="C44" s="556">
        <v>45868</v>
      </c>
      <c r="D44" s="251" t="s">
        <v>4730</v>
      </c>
      <c r="E44" s="251" t="s">
        <v>4731</v>
      </c>
      <c r="F44" s="551" t="s">
        <v>401</v>
      </c>
      <c r="G44" s="251" t="s">
        <v>4757</v>
      </c>
      <c r="H44" s="251" t="s">
        <v>4758</v>
      </c>
      <c r="I44" s="251" t="s">
        <v>30</v>
      </c>
      <c r="J44" s="549" t="s">
        <v>4721</v>
      </c>
      <c r="K44" s="549" t="s">
        <v>30</v>
      </c>
      <c r="L44">
        <f>IF(AND($K44="Cold",$B44&lt;&gt;"",$C44&gt;=EOMONTH('Cold Outreach'!$C$3,-1)+1,$C44&lt;=EOMONTH('Cold Outreach'!$C$3,0)),
IF(COUNTIFS($B$2:$B44,$B44,$K$2:$K44,"Cold",$C$2:$C44,"&gt;="&amp;EOMONTH('Cold Outreach'!$C$3,-1)+1,$C$2:$C44,"&lt;="&amp;EOMONTH('Cold Outreach'!$C$3,0))=1,1,0),
0)</f>
        <v>0</v>
      </c>
      <c r="M44">
        <f>IF(AND($K44="Cold",$B44&lt;&gt;"",$C44&gt;=EDATE(EOMONTH('Cold Outreach'!$C$3,-1)+1,-('Cold Outreach'!$N$2-1)),$C44&lt;=EOMONTH('Cold Outreach'!$C$3,0)),
IF(COUNTIFS($B$2:$B44,$B44,$K$2:$K44,"Cold",$C$2:$C44,"&gt;="&amp;EDATE(EOMONTH('Cold Outreach'!$C$3,-1)+1,-('Cold Outreach'!$N$2-1)),$C$2:$C44,"&lt;="&amp;EOMONTH('Cold Outreach'!$C$3,0))=1,1,0),
0)</f>
        <v>0</v>
      </c>
    </row>
    <row r="45" spans="1:13">
      <c r="A45" s="251" t="s">
        <v>4801</v>
      </c>
      <c r="B45" s="251" t="s">
        <v>4802</v>
      </c>
      <c r="C45" s="556">
        <v>45868</v>
      </c>
      <c r="D45" s="251" t="s">
        <v>4730</v>
      </c>
      <c r="E45" s="251" t="s">
        <v>4731</v>
      </c>
      <c r="F45" s="551" t="s">
        <v>1932</v>
      </c>
      <c r="G45" s="251" t="s">
        <v>4718</v>
      </c>
      <c r="H45" s="251" t="s">
        <v>4740</v>
      </c>
      <c r="I45" s="251" t="s">
        <v>30</v>
      </c>
      <c r="J45" s="549" t="s">
        <v>477</v>
      </c>
      <c r="K45" s="549" t="s">
        <v>30</v>
      </c>
      <c r="L45">
        <f>IF(AND($K45="Cold",$B45&lt;&gt;"",$C45&gt;=EOMONTH('Cold Outreach'!$C$3,-1)+1,$C45&lt;=EOMONTH('Cold Outreach'!$C$3,0)),
IF(COUNTIFS($B$2:$B45,$B45,$K$2:$K45,"Cold",$C$2:$C45,"&gt;="&amp;EOMONTH('Cold Outreach'!$C$3,-1)+1,$C$2:$C45,"&lt;="&amp;EOMONTH('Cold Outreach'!$C$3,0))=1,1,0),
0)</f>
        <v>0</v>
      </c>
      <c r="M45">
        <f>IF(AND($K45="Cold",$B45&lt;&gt;"",$C45&gt;=EDATE(EOMONTH('Cold Outreach'!$C$3,-1)+1,-('Cold Outreach'!$N$2-1)),$C45&lt;=EOMONTH('Cold Outreach'!$C$3,0)),
IF(COUNTIFS($B$2:$B45,$B45,$K$2:$K45,"Cold",$C$2:$C45,"&gt;="&amp;EDATE(EOMONTH('Cold Outreach'!$C$3,-1)+1,-('Cold Outreach'!$N$2-1)),$C$2:$C45,"&lt;="&amp;EOMONTH('Cold Outreach'!$C$3,0))=1,1,0),
0)</f>
        <v>1</v>
      </c>
    </row>
    <row r="46" spans="1:13">
      <c r="A46" s="251" t="s">
        <v>4803</v>
      </c>
      <c r="B46" s="251" t="s">
        <v>4804</v>
      </c>
      <c r="C46" s="556">
        <v>45869</v>
      </c>
      <c r="D46" s="251" t="s">
        <v>4730</v>
      </c>
      <c r="E46" s="251" t="s">
        <v>4742</v>
      </c>
      <c r="F46" s="551" t="s">
        <v>401</v>
      </c>
      <c r="G46" s="551" t="s">
        <v>4718</v>
      </c>
      <c r="H46" s="551" t="s">
        <v>4712</v>
      </c>
      <c r="I46" s="551" t="s">
        <v>30</v>
      </c>
      <c r="J46" s="549" t="s">
        <v>320</v>
      </c>
      <c r="K46" s="549" t="s">
        <v>30</v>
      </c>
      <c r="L46">
        <f>IF(AND($K46="Cold",$B46&lt;&gt;"",$C46&gt;=EOMONTH('Cold Outreach'!$C$3,-1)+1,$C46&lt;=EOMONTH('Cold Outreach'!$C$3,0)),
IF(COUNTIFS($B$2:$B46,$B46,$K$2:$K46,"Cold",$C$2:$C46,"&gt;="&amp;EOMONTH('Cold Outreach'!$C$3,-1)+1,$C$2:$C46,"&lt;="&amp;EOMONTH('Cold Outreach'!$C$3,0))=1,1,0),
0)</f>
        <v>0</v>
      </c>
      <c r="M46">
        <f>IF(AND($K46="Cold",$B46&lt;&gt;"",$C46&gt;=EDATE(EOMONTH('Cold Outreach'!$C$3,-1)+1,-('Cold Outreach'!$N$2-1)),$C46&lt;=EOMONTH('Cold Outreach'!$C$3,0)),
IF(COUNTIFS($B$2:$B46,$B46,$K$2:$K46,"Cold",$C$2:$C46,"&gt;="&amp;EDATE(EOMONTH('Cold Outreach'!$C$3,-1)+1,-('Cold Outreach'!$N$2-1)),$C$2:$C46,"&lt;="&amp;EOMONTH('Cold Outreach'!$C$3,0))=1,1,0),
0)</f>
        <v>1</v>
      </c>
    </row>
    <row r="47" spans="1:13">
      <c r="A47" s="251" t="s">
        <v>4805</v>
      </c>
      <c r="B47" s="251" t="s">
        <v>4806</v>
      </c>
      <c r="C47" s="556">
        <v>45869</v>
      </c>
      <c r="D47" s="251" t="s">
        <v>4730</v>
      </c>
      <c r="E47" s="251" t="s">
        <v>4742</v>
      </c>
      <c r="F47" s="551" t="s">
        <v>401</v>
      </c>
      <c r="G47" s="251" t="s">
        <v>4718</v>
      </c>
      <c r="H47" s="251" t="s">
        <v>4723</v>
      </c>
      <c r="I47" s="251" t="s">
        <v>30</v>
      </c>
      <c r="J47" s="549" t="s">
        <v>4723</v>
      </c>
      <c r="K47" s="549" t="s">
        <v>30</v>
      </c>
      <c r="L47">
        <f>IF(AND($K47="Cold",$B47&lt;&gt;"",$C47&gt;=EOMONTH('Cold Outreach'!$C$3,-1)+1,$C47&lt;=EOMONTH('Cold Outreach'!$C$3,0)),
IF(COUNTIFS($B$2:$B47,$B47,$K$2:$K47,"Cold",$C$2:$C47,"&gt;="&amp;EOMONTH('Cold Outreach'!$C$3,-1)+1,$C$2:$C47,"&lt;="&amp;EOMONTH('Cold Outreach'!$C$3,0))=1,1,0),
0)</f>
        <v>0</v>
      </c>
      <c r="M47">
        <f>IF(AND($K47="Cold",$B47&lt;&gt;"",$C47&gt;=EDATE(EOMONTH('Cold Outreach'!$C$3,-1)+1,-('Cold Outreach'!$N$2-1)),$C47&lt;=EOMONTH('Cold Outreach'!$C$3,0)),
IF(COUNTIFS($B$2:$B47,$B47,$K$2:$K47,"Cold",$C$2:$C47,"&gt;="&amp;EDATE(EOMONTH('Cold Outreach'!$C$3,-1)+1,-('Cold Outreach'!$N$2-1)),$C$2:$C47,"&lt;="&amp;EOMONTH('Cold Outreach'!$C$3,0))=1,1,0),
0)</f>
        <v>1</v>
      </c>
    </row>
    <row r="48" spans="1:13">
      <c r="A48" s="559" t="s">
        <v>4807</v>
      </c>
      <c r="B48" s="559" t="s">
        <v>4808</v>
      </c>
      <c r="C48" s="556">
        <v>45870</v>
      </c>
      <c r="D48" s="251"/>
      <c r="E48" s="251"/>
      <c r="F48" s="251" t="s">
        <v>4809</v>
      </c>
      <c r="G48" s="251" t="s">
        <v>4718</v>
      </c>
      <c r="H48" s="251" t="s">
        <v>4712</v>
      </c>
      <c r="I48" s="251" t="s">
        <v>30</v>
      </c>
      <c r="J48" s="251"/>
      <c r="K48" s="251" t="s">
        <v>30</v>
      </c>
      <c r="L48">
        <f>IF(AND($K48="Cold",$B48&lt;&gt;"",$C48&gt;=EOMONTH('Cold Outreach'!$C$3,-1)+1,$C48&lt;=EOMONTH('Cold Outreach'!$C$3,0)),
IF(COUNTIFS($B$2:$B48,$B48,$K$2:$K48,"Cold",$C$2:$C48,"&gt;="&amp;EOMONTH('Cold Outreach'!$C$3,-1)+1,$C$2:$C48,"&lt;="&amp;EOMONTH('Cold Outreach'!$C$3,0))=1,1,0),
0)</f>
        <v>0</v>
      </c>
      <c r="M48">
        <f>IF(AND($K48="Cold",$B48&lt;&gt;"",$C48&gt;=EDATE(EOMONTH('Cold Outreach'!$C$3,-1)+1,-('Cold Outreach'!$N$2-1)),$C48&lt;=EOMONTH('Cold Outreach'!$C$3,0)),
IF(COUNTIFS($B$2:$B48,$B48,$K$2:$K48,"Cold",$C$2:$C48,"&gt;="&amp;EDATE(EOMONTH('Cold Outreach'!$C$3,-1)+1,-('Cold Outreach'!$N$2-1)),$C$2:$C48,"&lt;="&amp;EOMONTH('Cold Outreach'!$C$3,0))=1,1,0),
0)</f>
        <v>1</v>
      </c>
    </row>
    <row r="49" spans="1:13">
      <c r="A49" s="251" t="s">
        <v>4810</v>
      </c>
      <c r="B49" s="251" t="s">
        <v>3880</v>
      </c>
      <c r="C49" s="556">
        <v>45880</v>
      </c>
      <c r="D49" s="251" t="s">
        <v>4716</v>
      </c>
      <c r="E49" s="251" t="s">
        <v>521</v>
      </c>
      <c r="F49" s="551" t="s">
        <v>401</v>
      </c>
      <c r="G49" s="251" t="s">
        <v>4718</v>
      </c>
      <c r="H49" s="251" t="s">
        <v>4723</v>
      </c>
      <c r="I49" s="251" t="s">
        <v>1473</v>
      </c>
      <c r="J49" s="549" t="s">
        <v>4723</v>
      </c>
      <c r="K49" s="549" t="s">
        <v>1473</v>
      </c>
      <c r="L49">
        <f>IF(AND($K49="Cold",$B49&lt;&gt;"",$C49&gt;=EOMONTH('Cold Outreach'!$C$3,-1)+1,$C49&lt;=EOMONTH('Cold Outreach'!$C$3,0)),
IF(COUNTIFS($B$2:$B49,$B49,$K$2:$K49,"Cold",$C$2:$C49,"&gt;="&amp;EOMONTH('Cold Outreach'!$C$3,-1)+1,$C$2:$C49,"&lt;="&amp;EOMONTH('Cold Outreach'!$C$3,0))=1,1,0),
0)</f>
        <v>0</v>
      </c>
      <c r="M49">
        <f>IF(AND($K49="Cold",$B49&lt;&gt;"",$C49&gt;=EDATE(EOMONTH('Cold Outreach'!$C$3,-1)+1,-('Cold Outreach'!$N$2-1)),$C49&lt;=EOMONTH('Cold Outreach'!$C$3,0)),
IF(COUNTIFS($B$2:$B49,$B49,$K$2:$K49,"Cold",$C$2:$C49,"&gt;="&amp;EDATE(EOMONTH('Cold Outreach'!$C$3,-1)+1,-('Cold Outreach'!$N$2-1)),$C$2:$C49,"&lt;="&amp;EOMONTH('Cold Outreach'!$C$3,0))=1,1,0),
0)</f>
        <v>0</v>
      </c>
    </row>
    <row r="50" spans="1:13">
      <c r="A50" s="251" t="s">
        <v>4811</v>
      </c>
      <c r="B50" s="251" t="s">
        <v>4812</v>
      </c>
      <c r="C50" s="556">
        <v>45880</v>
      </c>
      <c r="D50" s="251" t="s">
        <v>4730</v>
      </c>
      <c r="E50" s="251" t="s">
        <v>521</v>
      </c>
      <c r="F50" s="551" t="s">
        <v>1932</v>
      </c>
      <c r="G50" s="251" t="s">
        <v>4718</v>
      </c>
      <c r="H50" s="251" t="s">
        <v>4712</v>
      </c>
      <c r="I50" s="251" t="s">
        <v>30</v>
      </c>
      <c r="J50" s="549" t="s">
        <v>320</v>
      </c>
      <c r="K50" s="549" t="s">
        <v>30</v>
      </c>
      <c r="L50">
        <f>IF(AND($K50="Cold",$B50&lt;&gt;"",$C50&gt;=EOMONTH('Cold Outreach'!$C$3,-1)+1,$C50&lt;=EOMONTH('Cold Outreach'!$C$3,0)),
IF(COUNTIFS($B$2:$B50,$B50,$K$2:$K50,"Cold",$C$2:$C50,"&gt;="&amp;EOMONTH('Cold Outreach'!$C$3,-1)+1,$C$2:$C50,"&lt;="&amp;EOMONTH('Cold Outreach'!$C$3,0))=1,1,0),
0)</f>
        <v>0</v>
      </c>
      <c r="M50">
        <f>IF(AND($K50="Cold",$B50&lt;&gt;"",$C50&gt;=EDATE(EOMONTH('Cold Outreach'!$C$3,-1)+1,-('Cold Outreach'!$N$2-1)),$C50&lt;=EOMONTH('Cold Outreach'!$C$3,0)),
IF(COUNTIFS($B$2:$B50,$B50,$K$2:$K50,"Cold",$C$2:$C50,"&gt;="&amp;EDATE(EOMONTH('Cold Outreach'!$C$3,-1)+1,-('Cold Outreach'!$N$2-1)),$C$2:$C50,"&lt;="&amp;EOMONTH('Cold Outreach'!$C$3,0))=1,1,0),
0)</f>
        <v>1</v>
      </c>
    </row>
    <row r="51" spans="1:13">
      <c r="A51" s="559" t="s">
        <v>4813</v>
      </c>
      <c r="B51" s="559" t="s">
        <v>4814</v>
      </c>
      <c r="C51" s="556">
        <v>45880</v>
      </c>
      <c r="D51" s="251"/>
      <c r="E51" s="251"/>
      <c r="F51" s="251" t="s">
        <v>4809</v>
      </c>
      <c r="G51" s="251" t="s">
        <v>4718</v>
      </c>
      <c r="H51" s="251" t="s">
        <v>4712</v>
      </c>
      <c r="I51" s="251" t="s">
        <v>30</v>
      </c>
      <c r="J51" s="251"/>
      <c r="K51" s="251" t="s">
        <v>30</v>
      </c>
      <c r="L51">
        <f>IF(AND($K51="Cold",$B51&lt;&gt;"",$C51&gt;=EOMONTH('Cold Outreach'!$C$3,-1)+1,$C51&lt;=EOMONTH('Cold Outreach'!$C$3,0)),
IF(COUNTIFS($B$2:$B51,$B51,$K$2:$K51,"Cold",$C$2:$C51,"&gt;="&amp;EOMONTH('Cold Outreach'!$C$3,-1)+1,$C$2:$C51,"&lt;="&amp;EOMONTH('Cold Outreach'!$C$3,0))=1,1,0),
0)</f>
        <v>0</v>
      </c>
      <c r="M51">
        <f>IF(AND($K51="Cold",$B51&lt;&gt;"",$C51&gt;=EDATE(EOMONTH('Cold Outreach'!$C$3,-1)+1,-('Cold Outreach'!$N$2-1)),$C51&lt;=EOMONTH('Cold Outreach'!$C$3,0)),
IF(COUNTIFS($B$2:$B51,$B51,$K$2:$K51,"Cold",$C$2:$C51,"&gt;="&amp;EDATE(EOMONTH('Cold Outreach'!$C$3,-1)+1,-('Cold Outreach'!$N$2-1)),$C$2:$C51,"&lt;="&amp;EOMONTH('Cold Outreach'!$C$3,0))=1,1,0),
0)</f>
        <v>1</v>
      </c>
    </row>
    <row r="52" spans="1:13">
      <c r="A52" s="251" t="s">
        <v>4815</v>
      </c>
      <c r="B52" s="251" t="s">
        <v>4816</v>
      </c>
      <c r="C52" s="556">
        <v>45881</v>
      </c>
      <c r="D52" s="251" t="s">
        <v>4716</v>
      </c>
      <c r="E52" s="251" t="s">
        <v>587</v>
      </c>
      <c r="F52" s="551" t="s">
        <v>1932</v>
      </c>
      <c r="G52" s="251" t="s">
        <v>4757</v>
      </c>
      <c r="H52" s="251" t="s">
        <v>4797</v>
      </c>
      <c r="I52" s="251" t="s">
        <v>4737</v>
      </c>
      <c r="J52" s="549" t="s">
        <v>4721</v>
      </c>
      <c r="K52" s="549" t="s">
        <v>1473</v>
      </c>
      <c r="L52">
        <f>IF(AND($K52="Cold",$B52&lt;&gt;"",$C52&gt;=EOMONTH('Cold Outreach'!$C$3,-1)+1,$C52&lt;=EOMONTH('Cold Outreach'!$C$3,0)),
IF(COUNTIFS($B$2:$B52,$B52,$K$2:$K52,"Cold",$C$2:$C52,"&gt;="&amp;EOMONTH('Cold Outreach'!$C$3,-1)+1,$C$2:$C52,"&lt;="&amp;EOMONTH('Cold Outreach'!$C$3,0))=1,1,0),
0)</f>
        <v>0</v>
      </c>
      <c r="M52">
        <f>IF(AND($K52="Cold",$B52&lt;&gt;"",$C52&gt;=EDATE(EOMONTH('Cold Outreach'!$C$3,-1)+1,-('Cold Outreach'!$N$2-1)),$C52&lt;=EOMONTH('Cold Outreach'!$C$3,0)),
IF(COUNTIFS($B$2:$B52,$B52,$K$2:$K52,"Cold",$C$2:$C52,"&gt;="&amp;EDATE(EOMONTH('Cold Outreach'!$C$3,-1)+1,-('Cold Outreach'!$N$2-1)),$C$2:$C52,"&lt;="&amp;EOMONTH('Cold Outreach'!$C$3,0))=1,1,0),
0)</f>
        <v>0</v>
      </c>
    </row>
    <row r="53" spans="1:13">
      <c r="A53" s="251" t="s">
        <v>4817</v>
      </c>
      <c r="B53" s="251" t="s">
        <v>746</v>
      </c>
      <c r="C53" s="556">
        <v>45881</v>
      </c>
      <c r="D53" s="251" t="s">
        <v>4730</v>
      </c>
      <c r="E53" s="251" t="s">
        <v>4731</v>
      </c>
      <c r="F53" s="551" t="s">
        <v>401</v>
      </c>
      <c r="G53" s="251" t="s">
        <v>4718</v>
      </c>
      <c r="H53" s="251" t="s">
        <v>4723</v>
      </c>
      <c r="I53" s="251" t="s">
        <v>944</v>
      </c>
      <c r="J53" s="549" t="s">
        <v>4723</v>
      </c>
      <c r="K53" s="549" t="s">
        <v>27</v>
      </c>
      <c r="L53">
        <f>IF(AND($K53="Cold",$B53&lt;&gt;"",$C53&gt;=EOMONTH('Cold Outreach'!$C$3,-1)+1,$C53&lt;=EOMONTH('Cold Outreach'!$C$3,0)),
IF(COUNTIFS($B$2:$B53,$B53,$K$2:$K53,"Cold",$C$2:$C53,"&gt;="&amp;EOMONTH('Cold Outreach'!$C$3,-1)+1,$C$2:$C53,"&lt;="&amp;EOMONTH('Cold Outreach'!$C$3,0))=1,1,0),
0)</f>
        <v>0</v>
      </c>
      <c r="M53">
        <f>IF(AND($K53="Cold",$B53&lt;&gt;"",$C53&gt;=EDATE(EOMONTH('Cold Outreach'!$C$3,-1)+1,-('Cold Outreach'!$N$2-1)),$C53&lt;=EOMONTH('Cold Outreach'!$C$3,0)),
IF(COUNTIFS($B$2:$B53,$B53,$K$2:$K53,"Cold",$C$2:$C53,"&gt;="&amp;EDATE(EOMONTH('Cold Outreach'!$C$3,-1)+1,-('Cold Outreach'!$N$2-1)),$C$2:$C53,"&lt;="&amp;EOMONTH('Cold Outreach'!$C$3,0))=1,1,0),
0)</f>
        <v>0</v>
      </c>
    </row>
    <row r="54" spans="1:13">
      <c r="A54" s="251" t="s">
        <v>4818</v>
      </c>
      <c r="B54" s="251" t="s">
        <v>1570</v>
      </c>
      <c r="C54" s="556">
        <v>45881</v>
      </c>
      <c r="D54" s="251" t="s">
        <v>4730</v>
      </c>
      <c r="E54" s="251" t="s">
        <v>4742</v>
      </c>
      <c r="F54" s="551" t="s">
        <v>1932</v>
      </c>
      <c r="G54" s="251" t="s">
        <v>4718</v>
      </c>
      <c r="H54" s="251" t="s">
        <v>4712</v>
      </c>
      <c r="I54" s="251" t="s">
        <v>30</v>
      </c>
      <c r="J54" s="549" t="s">
        <v>320</v>
      </c>
      <c r="K54" s="549" t="s">
        <v>30</v>
      </c>
      <c r="L54">
        <f>IF(AND($K54="Cold",$B54&lt;&gt;"",$C54&gt;=EOMONTH('Cold Outreach'!$C$3,-1)+1,$C54&lt;=EOMONTH('Cold Outreach'!$C$3,0)),
IF(COUNTIFS($B$2:$B54,$B54,$K$2:$K54,"Cold",$C$2:$C54,"&gt;="&amp;EOMONTH('Cold Outreach'!$C$3,-1)+1,$C$2:$C54,"&lt;="&amp;EOMONTH('Cold Outreach'!$C$3,0))=1,1,0),
0)</f>
        <v>0</v>
      </c>
      <c r="M54">
        <f>IF(AND($K54="Cold",$B54&lt;&gt;"",$C54&gt;=EDATE(EOMONTH('Cold Outreach'!$C$3,-1)+1,-('Cold Outreach'!$N$2-1)),$C54&lt;=EOMONTH('Cold Outreach'!$C$3,0)),
IF(COUNTIFS($B$2:$B54,$B54,$K$2:$K54,"Cold",$C$2:$C54,"&gt;="&amp;EDATE(EOMONTH('Cold Outreach'!$C$3,-1)+1,-('Cold Outreach'!$N$2-1)),$C$2:$C54,"&lt;="&amp;EOMONTH('Cold Outreach'!$C$3,0))=1,1,0),
0)</f>
        <v>1</v>
      </c>
    </row>
    <row r="55" spans="1:13">
      <c r="A55" s="559" t="s">
        <v>4819</v>
      </c>
      <c r="B55" s="559" t="s">
        <v>4820</v>
      </c>
      <c r="C55" s="556">
        <v>45881</v>
      </c>
      <c r="D55" s="251"/>
      <c r="E55" s="251"/>
      <c r="F55" s="251" t="s">
        <v>4809</v>
      </c>
      <c r="G55" s="251" t="s">
        <v>4718</v>
      </c>
      <c r="H55" s="251" t="s">
        <v>4712</v>
      </c>
      <c r="I55" s="251" t="s">
        <v>30</v>
      </c>
      <c r="J55" s="251"/>
      <c r="K55" s="251" t="s">
        <v>30</v>
      </c>
      <c r="L55">
        <f>IF(AND($K55="Cold",$B55&lt;&gt;"",$C55&gt;=EOMONTH('Cold Outreach'!$C$3,-1)+1,$C55&lt;=EOMONTH('Cold Outreach'!$C$3,0)),
IF(COUNTIFS($B$2:$B55,$B55,$K$2:$K55,"Cold",$C$2:$C55,"&gt;="&amp;EOMONTH('Cold Outreach'!$C$3,-1)+1,$C$2:$C55,"&lt;="&amp;EOMONTH('Cold Outreach'!$C$3,0))=1,1,0),
0)</f>
        <v>0</v>
      </c>
      <c r="M55">
        <f>IF(AND($K55="Cold",$B55&lt;&gt;"",$C55&gt;=EDATE(EOMONTH('Cold Outreach'!$C$3,-1)+1,-('Cold Outreach'!$N$2-1)),$C55&lt;=EOMONTH('Cold Outreach'!$C$3,0)),
IF(COUNTIFS($B$2:$B55,$B55,$K$2:$K55,"Cold",$C$2:$C55,"&gt;="&amp;EDATE(EOMONTH('Cold Outreach'!$C$3,-1)+1,-('Cold Outreach'!$N$2-1)),$C$2:$C55,"&lt;="&amp;EOMONTH('Cold Outreach'!$C$3,0))=1,1,0),
0)</f>
        <v>1</v>
      </c>
    </row>
    <row r="56" spans="1:13">
      <c r="A56" s="251" t="s">
        <v>4821</v>
      </c>
      <c r="B56" s="251" t="s">
        <v>763</v>
      </c>
      <c r="C56" s="556">
        <v>45882</v>
      </c>
      <c r="D56" s="251" t="s">
        <v>4716</v>
      </c>
      <c r="E56" s="251" t="s">
        <v>521</v>
      </c>
      <c r="F56" s="551" t="s">
        <v>401</v>
      </c>
      <c r="G56" s="251" t="s">
        <v>4718</v>
      </c>
      <c r="H56" s="251" t="s">
        <v>4723</v>
      </c>
      <c r="I56" s="251" t="s">
        <v>944</v>
      </c>
      <c r="J56" s="549" t="s">
        <v>4723</v>
      </c>
      <c r="K56" s="549" t="s">
        <v>27</v>
      </c>
      <c r="L56">
        <f>IF(AND($K56="Cold",$B56&lt;&gt;"",$C56&gt;=EOMONTH('Cold Outreach'!$C$3,-1)+1,$C56&lt;=EOMONTH('Cold Outreach'!$C$3,0)),
IF(COUNTIFS($B$2:$B56,$B56,$K$2:$K56,"Cold",$C$2:$C56,"&gt;="&amp;EOMONTH('Cold Outreach'!$C$3,-1)+1,$C$2:$C56,"&lt;="&amp;EOMONTH('Cold Outreach'!$C$3,0))=1,1,0),
0)</f>
        <v>0</v>
      </c>
      <c r="M56">
        <f>IF(AND($K56="Cold",$B56&lt;&gt;"",$C56&gt;=EDATE(EOMONTH('Cold Outreach'!$C$3,-1)+1,-('Cold Outreach'!$N$2-1)),$C56&lt;=EOMONTH('Cold Outreach'!$C$3,0)),
IF(COUNTIFS($B$2:$B56,$B56,$K$2:$K56,"Cold",$C$2:$C56,"&gt;="&amp;EDATE(EOMONTH('Cold Outreach'!$C$3,-1)+1,-('Cold Outreach'!$N$2-1)),$C$2:$C56,"&lt;="&amp;EOMONTH('Cold Outreach'!$C$3,0))=1,1,0),
0)</f>
        <v>0</v>
      </c>
    </row>
    <row r="57" spans="1:13">
      <c r="A57" s="251" t="s">
        <v>4821</v>
      </c>
      <c r="B57" s="550" t="s">
        <v>763</v>
      </c>
      <c r="C57" s="556">
        <v>45882</v>
      </c>
      <c r="D57" s="251" t="s">
        <v>4716</v>
      </c>
      <c r="E57" s="551" t="s">
        <v>521</v>
      </c>
      <c r="F57" s="251" t="s">
        <v>401</v>
      </c>
      <c r="G57" s="251" t="s">
        <v>4718</v>
      </c>
      <c r="H57" s="251" t="s">
        <v>4822</v>
      </c>
      <c r="I57" s="251" t="s">
        <v>944</v>
      </c>
      <c r="J57" s="549" t="s">
        <v>320</v>
      </c>
      <c r="K57" s="549" t="s">
        <v>27</v>
      </c>
      <c r="L57">
        <f>IF(AND($K57="Cold",$B57&lt;&gt;"",$C57&gt;=EOMONTH('Cold Outreach'!$C$3,-1)+1,$C57&lt;=EOMONTH('Cold Outreach'!$C$3,0)),
IF(COUNTIFS($B$2:$B57,$B57,$K$2:$K57,"Cold",$C$2:$C57,"&gt;="&amp;EOMONTH('Cold Outreach'!$C$3,-1)+1,$C$2:$C57,"&lt;="&amp;EOMONTH('Cold Outreach'!$C$3,0))=1,1,0),
0)</f>
        <v>0</v>
      </c>
      <c r="M57">
        <f>IF(AND($K57="Cold",$B57&lt;&gt;"",$C57&gt;=EDATE(EOMONTH('Cold Outreach'!$C$3,-1)+1,-('Cold Outreach'!$N$2-1)),$C57&lt;=EOMONTH('Cold Outreach'!$C$3,0)),
IF(COUNTIFS($B$2:$B57,$B57,$K$2:$K57,"Cold",$C$2:$C57,"&gt;="&amp;EDATE(EOMONTH('Cold Outreach'!$C$3,-1)+1,-('Cold Outreach'!$N$2-1)),$C$2:$C57,"&lt;="&amp;EOMONTH('Cold Outreach'!$C$3,0))=1,1,0),
0)</f>
        <v>0</v>
      </c>
    </row>
    <row r="58" spans="1:13">
      <c r="A58" s="251" t="s">
        <v>4823</v>
      </c>
      <c r="B58" s="251" t="s">
        <v>4824</v>
      </c>
      <c r="C58" s="556">
        <v>45883</v>
      </c>
      <c r="D58" s="251" t="s">
        <v>4716</v>
      </c>
      <c r="E58" s="251" t="s">
        <v>521</v>
      </c>
      <c r="F58" s="551" t="s">
        <v>1932</v>
      </c>
      <c r="G58" s="251" t="s">
        <v>4718</v>
      </c>
      <c r="H58" s="251" t="s">
        <v>4712</v>
      </c>
      <c r="I58" s="251" t="s">
        <v>4737</v>
      </c>
      <c r="J58" s="549" t="s">
        <v>320</v>
      </c>
      <c r="K58" s="549" t="s">
        <v>1473</v>
      </c>
      <c r="L58">
        <f>IF(AND($K58="Cold",$B58&lt;&gt;"",$C58&gt;=EOMONTH('Cold Outreach'!$C$3,-1)+1,$C58&lt;=EOMONTH('Cold Outreach'!$C$3,0)),
IF(COUNTIFS($B$2:$B58,$B58,$K$2:$K58,"Cold",$C$2:$C58,"&gt;="&amp;EOMONTH('Cold Outreach'!$C$3,-1)+1,$C$2:$C58,"&lt;="&amp;EOMONTH('Cold Outreach'!$C$3,0))=1,1,0),
0)</f>
        <v>0</v>
      </c>
      <c r="M58">
        <f>IF(AND($K58="Cold",$B58&lt;&gt;"",$C58&gt;=EDATE(EOMONTH('Cold Outreach'!$C$3,-1)+1,-('Cold Outreach'!$N$2-1)),$C58&lt;=EOMONTH('Cold Outreach'!$C$3,0)),
IF(COUNTIFS($B$2:$B58,$B58,$K$2:$K58,"Cold",$C$2:$C58,"&gt;="&amp;EDATE(EOMONTH('Cold Outreach'!$C$3,-1)+1,-('Cold Outreach'!$N$2-1)),$C$2:$C58,"&lt;="&amp;EOMONTH('Cold Outreach'!$C$3,0))=1,1,0),
0)</f>
        <v>0</v>
      </c>
    </row>
    <row r="59" spans="1:13">
      <c r="A59" s="251" t="s">
        <v>4825</v>
      </c>
      <c r="B59" s="251" t="s">
        <v>4826</v>
      </c>
      <c r="C59" s="556">
        <v>45883</v>
      </c>
      <c r="D59" s="251" t="s">
        <v>4716</v>
      </c>
      <c r="E59" s="251" t="s">
        <v>596</v>
      </c>
      <c r="F59" s="551" t="s">
        <v>1932</v>
      </c>
      <c r="G59" s="251" t="s">
        <v>4718</v>
      </c>
      <c r="H59" s="251" t="s">
        <v>4712</v>
      </c>
      <c r="I59" s="251" t="s">
        <v>30</v>
      </c>
      <c r="J59" s="549" t="s">
        <v>320</v>
      </c>
      <c r="K59" s="549" t="s">
        <v>30</v>
      </c>
      <c r="L59">
        <f>IF(AND($K59="Cold",$B59&lt;&gt;"",$C59&gt;=EOMONTH('Cold Outreach'!$C$3,-1)+1,$C59&lt;=EOMONTH('Cold Outreach'!$C$3,0)),
IF(COUNTIFS($B$2:$B59,$B59,$K$2:$K59,"Cold",$C$2:$C59,"&gt;="&amp;EOMONTH('Cold Outreach'!$C$3,-1)+1,$C$2:$C59,"&lt;="&amp;EOMONTH('Cold Outreach'!$C$3,0))=1,1,0),
0)</f>
        <v>0</v>
      </c>
      <c r="M59">
        <f>IF(AND($K59="Cold",$B59&lt;&gt;"",$C59&gt;=EDATE(EOMONTH('Cold Outreach'!$C$3,-1)+1,-('Cold Outreach'!$N$2-1)),$C59&lt;=EOMONTH('Cold Outreach'!$C$3,0)),
IF(COUNTIFS($B$2:$B59,$B59,$K$2:$K59,"Cold",$C$2:$C59,"&gt;="&amp;EDATE(EOMONTH('Cold Outreach'!$C$3,-1)+1,-('Cold Outreach'!$N$2-1)),$C$2:$C59,"&lt;="&amp;EOMONTH('Cold Outreach'!$C$3,0))=1,1,0),
0)</f>
        <v>1</v>
      </c>
    </row>
    <row r="60" spans="1:13">
      <c r="A60" s="559" t="s">
        <v>4827</v>
      </c>
      <c r="B60" s="559" t="s">
        <v>4828</v>
      </c>
      <c r="C60" s="556">
        <v>45884</v>
      </c>
      <c r="D60" s="251"/>
      <c r="E60" s="251"/>
      <c r="F60" s="251" t="s">
        <v>4809</v>
      </c>
      <c r="G60" s="251" t="s">
        <v>4718</v>
      </c>
      <c r="H60" s="251" t="s">
        <v>4712</v>
      </c>
      <c r="I60" s="251" t="s">
        <v>30</v>
      </c>
      <c r="J60" s="251"/>
      <c r="K60" s="251" t="s">
        <v>30</v>
      </c>
      <c r="L60">
        <f>IF(AND($K60="Cold",$B60&lt;&gt;"",$C60&gt;=EOMONTH('Cold Outreach'!$C$3,-1)+1,$C60&lt;=EOMONTH('Cold Outreach'!$C$3,0)),
IF(COUNTIFS($B$2:$B60,$B60,$K$2:$K60,"Cold",$C$2:$C60,"&gt;="&amp;EOMONTH('Cold Outreach'!$C$3,-1)+1,$C$2:$C60,"&lt;="&amp;EOMONTH('Cold Outreach'!$C$3,0))=1,1,0),
0)</f>
        <v>0</v>
      </c>
      <c r="M60">
        <f>IF(AND($K60="Cold",$B60&lt;&gt;"",$C60&gt;=EDATE(EOMONTH('Cold Outreach'!$C$3,-1)+1,-('Cold Outreach'!$N$2-1)),$C60&lt;=EOMONTH('Cold Outreach'!$C$3,0)),
IF(COUNTIFS($B$2:$B60,$B60,$K$2:$K60,"Cold",$C$2:$C60,"&gt;="&amp;EDATE(EOMONTH('Cold Outreach'!$C$3,-1)+1,-('Cold Outreach'!$N$2-1)),$C$2:$C60,"&lt;="&amp;EOMONTH('Cold Outreach'!$C$3,0))=1,1,0),
0)</f>
        <v>1</v>
      </c>
    </row>
    <row r="61" spans="1:13">
      <c r="A61" s="559" t="s">
        <v>4829</v>
      </c>
      <c r="B61" s="559" t="s">
        <v>4830</v>
      </c>
      <c r="C61" s="556">
        <v>45887</v>
      </c>
      <c r="D61" s="251"/>
      <c r="E61" s="251"/>
      <c r="F61" s="251" t="s">
        <v>4809</v>
      </c>
      <c r="G61" s="251" t="s">
        <v>4718</v>
      </c>
      <c r="H61" s="251" t="s">
        <v>4712</v>
      </c>
      <c r="I61" s="251" t="s">
        <v>30</v>
      </c>
      <c r="J61" s="251"/>
      <c r="K61" s="251" t="s">
        <v>30</v>
      </c>
      <c r="L61">
        <f>IF(AND($K61="Cold",$B61&lt;&gt;"",$C61&gt;=EOMONTH('Cold Outreach'!$C$3,-1)+1,$C61&lt;=EOMONTH('Cold Outreach'!$C$3,0)),
IF(COUNTIFS($B$2:$B61,$B61,$K$2:$K61,"Cold",$C$2:$C61,"&gt;="&amp;EOMONTH('Cold Outreach'!$C$3,-1)+1,$C$2:$C61,"&lt;="&amp;EOMONTH('Cold Outreach'!$C$3,0))=1,1,0),
0)</f>
        <v>0</v>
      </c>
      <c r="M61">
        <f>IF(AND($K61="Cold",$B61&lt;&gt;"",$C61&gt;=EDATE(EOMONTH('Cold Outreach'!$C$3,-1)+1,-('Cold Outreach'!$N$2-1)),$C61&lt;=EOMONTH('Cold Outreach'!$C$3,0)),
IF(COUNTIFS($B$2:$B61,$B61,$K$2:$K61,"Cold",$C$2:$C61,"&gt;="&amp;EDATE(EOMONTH('Cold Outreach'!$C$3,-1)+1,-('Cold Outreach'!$N$2-1)),$C$2:$C61,"&lt;="&amp;EOMONTH('Cold Outreach'!$C$3,0))=1,1,0),
0)</f>
        <v>1</v>
      </c>
    </row>
    <row r="62" spans="1:13">
      <c r="A62" s="559" t="s">
        <v>4831</v>
      </c>
      <c r="B62" s="559" t="s">
        <v>4832</v>
      </c>
      <c r="C62" s="556">
        <v>45888</v>
      </c>
      <c r="D62" s="251"/>
      <c r="E62" s="251"/>
      <c r="F62" s="251" t="s">
        <v>4809</v>
      </c>
      <c r="G62" s="251" t="s">
        <v>4718</v>
      </c>
      <c r="H62" s="251" t="s">
        <v>4712</v>
      </c>
      <c r="I62" s="251" t="s">
        <v>30</v>
      </c>
      <c r="J62" s="251"/>
      <c r="K62" s="251" t="s">
        <v>30</v>
      </c>
      <c r="L62">
        <f>IF(AND($K62="Cold",$B62&lt;&gt;"",$C62&gt;=EOMONTH('Cold Outreach'!$C$3,-1)+1,$C62&lt;=EOMONTH('Cold Outreach'!$C$3,0)),
IF(COUNTIFS($B$2:$B62,$B62,$K$2:$K62,"Cold",$C$2:$C62,"&gt;="&amp;EOMONTH('Cold Outreach'!$C$3,-1)+1,$C$2:$C62,"&lt;="&amp;EOMONTH('Cold Outreach'!$C$3,0))=1,1,0),
0)</f>
        <v>0</v>
      </c>
      <c r="M62">
        <f>IF(AND($K62="Cold",$B62&lt;&gt;"",$C62&gt;=EDATE(EOMONTH('Cold Outreach'!$C$3,-1)+1,-('Cold Outreach'!$N$2-1)),$C62&lt;=EOMONTH('Cold Outreach'!$C$3,0)),
IF(COUNTIFS($B$2:$B62,$B62,$K$2:$K62,"Cold",$C$2:$C62,"&gt;="&amp;EDATE(EOMONTH('Cold Outreach'!$C$3,-1)+1,-('Cold Outreach'!$N$2-1)),$C$2:$C62,"&lt;="&amp;EOMONTH('Cold Outreach'!$C$3,0))=1,1,0),
0)</f>
        <v>1</v>
      </c>
    </row>
    <row r="63" spans="1:13">
      <c r="A63" s="251" t="s">
        <v>4833</v>
      </c>
      <c r="B63" s="251" t="s">
        <v>4834</v>
      </c>
      <c r="C63" s="556">
        <v>45891</v>
      </c>
      <c r="D63" s="251" t="s">
        <v>4730</v>
      </c>
      <c r="E63" s="251" t="s">
        <v>4742</v>
      </c>
      <c r="F63" s="551" t="s">
        <v>401</v>
      </c>
      <c r="G63" s="251" t="s">
        <v>4718</v>
      </c>
      <c r="H63" s="251" t="s">
        <v>4712</v>
      </c>
      <c r="I63" s="251" t="s">
        <v>944</v>
      </c>
      <c r="J63" s="549" t="s">
        <v>320</v>
      </c>
      <c r="K63" s="549" t="s">
        <v>27</v>
      </c>
      <c r="L63">
        <f>IF(AND($K63="Cold",$B63&lt;&gt;"",$C63&gt;=EOMONTH('Cold Outreach'!$C$3,-1)+1,$C63&lt;=EOMONTH('Cold Outreach'!$C$3,0)),
IF(COUNTIFS($B$2:$B63,$B63,$K$2:$K63,"Cold",$C$2:$C63,"&gt;="&amp;EOMONTH('Cold Outreach'!$C$3,-1)+1,$C$2:$C63,"&lt;="&amp;EOMONTH('Cold Outreach'!$C$3,0))=1,1,0),
0)</f>
        <v>0</v>
      </c>
      <c r="M63">
        <f>IF(AND($K63="Cold",$B63&lt;&gt;"",$C63&gt;=EDATE(EOMONTH('Cold Outreach'!$C$3,-1)+1,-('Cold Outreach'!$N$2-1)),$C63&lt;=EOMONTH('Cold Outreach'!$C$3,0)),
IF(COUNTIFS($B$2:$B63,$B63,$K$2:$K63,"Cold",$C$2:$C63,"&gt;="&amp;EDATE(EOMONTH('Cold Outreach'!$C$3,-1)+1,-('Cold Outreach'!$N$2-1)),$C$2:$C63,"&lt;="&amp;EOMONTH('Cold Outreach'!$C$3,0))=1,1,0),
0)</f>
        <v>0</v>
      </c>
    </row>
    <row r="64" spans="1:13">
      <c r="A64" s="251" t="s">
        <v>4835</v>
      </c>
      <c r="B64" s="251" t="s">
        <v>4836</v>
      </c>
      <c r="C64" s="556">
        <v>45894</v>
      </c>
      <c r="D64" s="251" t="s">
        <v>4730</v>
      </c>
      <c r="E64" s="251" t="s">
        <v>4731</v>
      </c>
      <c r="F64" s="551" t="s">
        <v>1932</v>
      </c>
      <c r="G64" s="251" t="s">
        <v>4718</v>
      </c>
      <c r="H64" s="251" t="s">
        <v>4712</v>
      </c>
      <c r="I64" s="251" t="s">
        <v>30</v>
      </c>
      <c r="J64" s="549" t="s">
        <v>320</v>
      </c>
      <c r="K64" s="549" t="s">
        <v>30</v>
      </c>
      <c r="L64">
        <f>IF(AND($K64="Cold",$B64&lt;&gt;"",$C64&gt;=EOMONTH('Cold Outreach'!$C$3,-1)+1,$C64&lt;=EOMONTH('Cold Outreach'!$C$3,0)),
IF(COUNTIFS($B$2:$B64,$B64,$K$2:$K64,"Cold",$C$2:$C64,"&gt;="&amp;EOMONTH('Cold Outreach'!$C$3,-1)+1,$C$2:$C64,"&lt;="&amp;EOMONTH('Cold Outreach'!$C$3,0))=1,1,0),
0)</f>
        <v>0</v>
      </c>
      <c r="M64">
        <f>IF(AND($K64="Cold",$B64&lt;&gt;"",$C64&gt;=EDATE(EOMONTH('Cold Outreach'!$C$3,-1)+1,-('Cold Outreach'!$N$2-1)),$C64&lt;=EOMONTH('Cold Outreach'!$C$3,0)),
IF(COUNTIFS($B$2:$B64,$B64,$K$2:$K64,"Cold",$C$2:$C64,"&gt;="&amp;EDATE(EOMONTH('Cold Outreach'!$C$3,-1)+1,-('Cold Outreach'!$N$2-1)),$C$2:$C64,"&lt;="&amp;EOMONTH('Cold Outreach'!$C$3,0))=1,1,0),
0)</f>
        <v>1</v>
      </c>
    </row>
    <row r="65" spans="1:13">
      <c r="A65" s="251" t="s">
        <v>4837</v>
      </c>
      <c r="B65" s="251" t="s">
        <v>4785</v>
      </c>
      <c r="C65" s="556">
        <v>45895</v>
      </c>
      <c r="D65" s="251" t="s">
        <v>4716</v>
      </c>
      <c r="E65" s="251" t="s">
        <v>4717</v>
      </c>
      <c r="F65" s="551" t="s">
        <v>1932</v>
      </c>
      <c r="G65" s="251" t="s">
        <v>4718</v>
      </c>
      <c r="H65" s="251" t="s">
        <v>4712</v>
      </c>
      <c r="I65" s="251" t="s">
        <v>30</v>
      </c>
      <c r="J65" s="549" t="s">
        <v>320</v>
      </c>
      <c r="K65" s="549" t="s">
        <v>30</v>
      </c>
      <c r="L65">
        <f>IF(AND($K65="Cold",$B65&lt;&gt;"",$C65&gt;=EOMONTH('Cold Outreach'!$C$3,-1)+1,$C65&lt;=EOMONTH('Cold Outreach'!$C$3,0)),
IF(COUNTIFS($B$2:$B65,$B65,$K$2:$K65,"Cold",$C$2:$C65,"&gt;="&amp;EOMONTH('Cold Outreach'!$C$3,-1)+1,$C$2:$C65,"&lt;="&amp;EOMONTH('Cold Outreach'!$C$3,0))=1,1,0),
0)</f>
        <v>0</v>
      </c>
      <c r="M65">
        <f>IF(AND($K65="Cold",$B65&lt;&gt;"",$C65&gt;=EDATE(EOMONTH('Cold Outreach'!$C$3,-1)+1,-('Cold Outreach'!$N$2-1)),$C65&lt;=EOMONTH('Cold Outreach'!$C$3,0)),
IF(COUNTIFS($B$2:$B65,$B65,$K$2:$K65,"Cold",$C$2:$C65,"&gt;="&amp;EDATE(EOMONTH('Cold Outreach'!$C$3,-1)+1,-('Cold Outreach'!$N$2-1)),$C$2:$C65,"&lt;="&amp;EOMONTH('Cold Outreach'!$C$3,0))=1,1,0),
0)</f>
        <v>1</v>
      </c>
    </row>
    <row r="66" spans="1:13">
      <c r="A66" s="559" t="s">
        <v>4838</v>
      </c>
      <c r="B66" s="559" t="s">
        <v>4839</v>
      </c>
      <c r="C66" s="556">
        <v>45895</v>
      </c>
      <c r="D66" s="251"/>
      <c r="E66" s="251"/>
      <c r="F66" s="251" t="s">
        <v>4809</v>
      </c>
      <c r="G66" s="251" t="s">
        <v>4718</v>
      </c>
      <c r="H66" s="251" t="s">
        <v>4712</v>
      </c>
      <c r="I66" s="251" t="s">
        <v>30</v>
      </c>
      <c r="J66" s="251"/>
      <c r="K66" s="251" t="s">
        <v>30</v>
      </c>
      <c r="L66">
        <f>IF(AND($K66="Cold",$B66&lt;&gt;"",$C66&gt;=EOMONTH('Cold Outreach'!$C$3,-1)+1,$C66&lt;=EOMONTH('Cold Outreach'!$C$3,0)),
IF(COUNTIFS($B$2:$B66,$B66,$K$2:$K66,"Cold",$C$2:$C66,"&gt;="&amp;EOMONTH('Cold Outreach'!$C$3,-1)+1,$C$2:$C66,"&lt;="&amp;EOMONTH('Cold Outreach'!$C$3,0))=1,1,0),
0)</f>
        <v>0</v>
      </c>
      <c r="M66">
        <f>IF(AND($K66="Cold",$B66&lt;&gt;"",$C66&gt;=EDATE(EOMONTH('Cold Outreach'!$C$3,-1)+1,-('Cold Outreach'!$N$2-1)),$C66&lt;=EOMONTH('Cold Outreach'!$C$3,0)),
IF(COUNTIFS($B$2:$B66,$B66,$K$2:$K66,"Cold",$C$2:$C66,"&gt;="&amp;EDATE(EOMONTH('Cold Outreach'!$C$3,-1)+1,-('Cold Outreach'!$N$2-1)),$C$2:$C66,"&lt;="&amp;EOMONTH('Cold Outreach'!$C$3,0))=1,1,0),
0)</f>
        <v>1</v>
      </c>
    </row>
    <row r="67" spans="1:13">
      <c r="A67" s="251" t="s">
        <v>4840</v>
      </c>
      <c r="B67" s="251" t="s">
        <v>4841</v>
      </c>
      <c r="C67" s="556">
        <v>45897</v>
      </c>
      <c r="D67" s="251" t="s">
        <v>4716</v>
      </c>
      <c r="E67" s="251" t="s">
        <v>4717</v>
      </c>
      <c r="F67" s="551" t="s">
        <v>401</v>
      </c>
      <c r="G67" s="251" t="s">
        <v>4718</v>
      </c>
      <c r="H67" s="251" t="s">
        <v>4712</v>
      </c>
      <c r="I67" s="251" t="s">
        <v>30</v>
      </c>
      <c r="J67" s="549" t="s">
        <v>320</v>
      </c>
      <c r="K67" s="549" t="s">
        <v>30</v>
      </c>
      <c r="L67">
        <f>IF(AND($K67="Cold",$B67&lt;&gt;"",$C67&gt;=EOMONTH('Cold Outreach'!$C$3,-1)+1,$C67&lt;=EOMONTH('Cold Outreach'!$C$3,0)),
IF(COUNTIFS($B$2:$B67,$B67,$K$2:$K67,"Cold",$C$2:$C67,"&gt;="&amp;EOMONTH('Cold Outreach'!$C$3,-1)+1,$C$2:$C67,"&lt;="&amp;EOMONTH('Cold Outreach'!$C$3,0))=1,1,0),
0)</f>
        <v>0</v>
      </c>
      <c r="M67">
        <f>IF(AND($K67="Cold",$B67&lt;&gt;"",$C67&gt;=EDATE(EOMONTH('Cold Outreach'!$C$3,-1)+1,-('Cold Outreach'!$N$2-1)),$C67&lt;=EOMONTH('Cold Outreach'!$C$3,0)),
IF(COUNTIFS($B$2:$B67,$B67,$K$2:$K67,"Cold",$C$2:$C67,"&gt;="&amp;EDATE(EOMONTH('Cold Outreach'!$C$3,-1)+1,-('Cold Outreach'!$N$2-1)),$C$2:$C67,"&lt;="&amp;EOMONTH('Cold Outreach'!$C$3,0))=1,1,0),
0)</f>
        <v>1</v>
      </c>
    </row>
    <row r="68" spans="1:13">
      <c r="A68" s="251" t="s">
        <v>4842</v>
      </c>
      <c r="B68" s="251" t="s">
        <v>4800</v>
      </c>
      <c r="C68" s="556">
        <v>45897</v>
      </c>
      <c r="D68" s="251" t="s">
        <v>4730</v>
      </c>
      <c r="E68" s="251" t="s">
        <v>587</v>
      </c>
      <c r="F68" s="551" t="s">
        <v>1932</v>
      </c>
      <c r="G68" s="251" t="s">
        <v>4718</v>
      </c>
      <c r="H68" s="251" t="s">
        <v>4712</v>
      </c>
      <c r="I68" s="251" t="s">
        <v>30</v>
      </c>
      <c r="J68" s="549" t="s">
        <v>320</v>
      </c>
      <c r="K68" s="549" t="s">
        <v>30</v>
      </c>
      <c r="L68">
        <f>IF(AND($K68="Cold",$B68&lt;&gt;"",$C68&gt;=EOMONTH('Cold Outreach'!$C$3,-1)+1,$C68&lt;=EOMONTH('Cold Outreach'!$C$3,0)),
IF(COUNTIFS($B$2:$B68,$B68,$K$2:$K68,"Cold",$C$2:$C68,"&gt;="&amp;EOMONTH('Cold Outreach'!$C$3,-1)+1,$C$2:$C68,"&lt;="&amp;EOMONTH('Cold Outreach'!$C$3,0))=1,1,0),
0)</f>
        <v>0</v>
      </c>
      <c r="M68">
        <f>IF(AND($K68="Cold",$B68&lt;&gt;"",$C68&gt;=EDATE(EOMONTH('Cold Outreach'!$C$3,-1)+1,-('Cold Outreach'!$N$2-1)),$C68&lt;=EOMONTH('Cold Outreach'!$C$3,0)),
IF(COUNTIFS($B$2:$B68,$B68,$K$2:$K68,"Cold",$C$2:$C68,"&gt;="&amp;EDATE(EOMONTH('Cold Outreach'!$C$3,-1)+1,-('Cold Outreach'!$N$2-1)),$C$2:$C68,"&lt;="&amp;EOMONTH('Cold Outreach'!$C$3,0))=1,1,0),
0)</f>
        <v>0</v>
      </c>
    </row>
    <row r="69" spans="1:13">
      <c r="A69" s="559" t="s">
        <v>4843</v>
      </c>
      <c r="B69" s="559" t="s">
        <v>4844</v>
      </c>
      <c r="C69" s="556">
        <v>45902</v>
      </c>
      <c r="D69" s="251"/>
      <c r="E69" s="251"/>
      <c r="F69" s="251" t="s">
        <v>4809</v>
      </c>
      <c r="G69" s="251" t="s">
        <v>4718</v>
      </c>
      <c r="H69" s="251" t="s">
        <v>4712</v>
      </c>
      <c r="I69" s="251" t="s">
        <v>30</v>
      </c>
      <c r="J69" s="251"/>
      <c r="K69" s="251" t="s">
        <v>30</v>
      </c>
      <c r="L69">
        <f>IF(AND($K69="Cold",$B69&lt;&gt;"",$C69&gt;=EOMONTH('Cold Outreach'!$C$3,-1)+1,$C69&lt;=EOMONTH('Cold Outreach'!$C$3,0)),
IF(COUNTIFS($B$2:$B69,$B69,$K$2:$K69,"Cold",$C$2:$C69,"&gt;="&amp;EOMONTH('Cold Outreach'!$C$3,-1)+1,$C$2:$C69,"&lt;="&amp;EOMONTH('Cold Outreach'!$C$3,0))=1,1,0),
0)</f>
        <v>0</v>
      </c>
      <c r="M69">
        <f>IF(AND($K69="Cold",$B69&lt;&gt;"",$C69&gt;=EDATE(EOMONTH('Cold Outreach'!$C$3,-1)+1,-('Cold Outreach'!$N$2-1)),$C69&lt;=EOMONTH('Cold Outreach'!$C$3,0)),
IF(COUNTIFS($B$2:$B69,$B69,$K$2:$K69,"Cold",$C$2:$C69,"&gt;="&amp;EDATE(EOMONTH('Cold Outreach'!$C$3,-1)+1,-('Cold Outreach'!$N$2-1)),$C$2:$C69,"&lt;="&amp;EOMONTH('Cold Outreach'!$C$3,0))=1,1,0),
0)</f>
        <v>1</v>
      </c>
    </row>
    <row r="70" spans="1:13">
      <c r="A70" s="559" t="s">
        <v>4845</v>
      </c>
      <c r="B70" s="559" t="s">
        <v>4846</v>
      </c>
      <c r="C70" s="556">
        <v>45903</v>
      </c>
      <c r="D70" s="251"/>
      <c r="E70" s="251"/>
      <c r="F70" s="251" t="s">
        <v>4809</v>
      </c>
      <c r="G70" s="251" t="s">
        <v>4718</v>
      </c>
      <c r="H70" s="251" t="s">
        <v>4712</v>
      </c>
      <c r="I70" s="251" t="s">
        <v>30</v>
      </c>
      <c r="J70" s="251"/>
      <c r="K70" s="251" t="s">
        <v>30</v>
      </c>
      <c r="L70">
        <f>IF(AND($K70="Cold",$B70&lt;&gt;"",$C70&gt;=EOMONTH('Cold Outreach'!$C$3,-1)+1,$C70&lt;=EOMONTH('Cold Outreach'!$C$3,0)),
IF(COUNTIFS($B$2:$B70,$B70,$K$2:$K70,"Cold",$C$2:$C70,"&gt;="&amp;EOMONTH('Cold Outreach'!$C$3,-1)+1,$C$2:$C70,"&lt;="&amp;EOMONTH('Cold Outreach'!$C$3,0))=1,1,0),
0)</f>
        <v>0</v>
      </c>
      <c r="M70">
        <f>IF(AND($K70="Cold",$B70&lt;&gt;"",$C70&gt;=EDATE(EOMONTH('Cold Outreach'!$C$3,-1)+1,-('Cold Outreach'!$N$2-1)),$C70&lt;=EOMONTH('Cold Outreach'!$C$3,0)),
IF(COUNTIFS($B$2:$B70,$B70,$K$2:$K70,"Cold",$C$2:$C70,"&gt;="&amp;EDATE(EOMONTH('Cold Outreach'!$C$3,-1)+1,-('Cold Outreach'!$N$2-1)),$C$2:$C70,"&lt;="&amp;EOMONTH('Cold Outreach'!$C$3,0))=1,1,0),
0)</f>
        <v>1</v>
      </c>
    </row>
    <row r="71" spans="1:13">
      <c r="A71" s="559" t="s">
        <v>4847</v>
      </c>
      <c r="B71" s="559" t="s">
        <v>4844</v>
      </c>
      <c r="C71" s="556">
        <v>45904</v>
      </c>
      <c r="D71" s="251"/>
      <c r="E71" s="251"/>
      <c r="F71" s="251" t="s">
        <v>4809</v>
      </c>
      <c r="G71" s="251" t="s">
        <v>4718</v>
      </c>
      <c r="H71" s="251" t="s">
        <v>4712</v>
      </c>
      <c r="I71" s="251" t="s">
        <v>30</v>
      </c>
      <c r="J71" s="251"/>
      <c r="K71" s="251" t="s">
        <v>30</v>
      </c>
      <c r="L71">
        <f>IF(AND($K71="Cold",$B71&lt;&gt;"",$C71&gt;=EOMONTH('Cold Outreach'!$C$3,-1)+1,$C71&lt;=EOMONTH('Cold Outreach'!$C$3,0)),
IF(COUNTIFS($B$2:$B71,$B71,$K$2:$K71,"Cold",$C$2:$C71,"&gt;="&amp;EOMONTH('Cold Outreach'!$C$3,-1)+1,$C$2:$C71,"&lt;="&amp;EOMONTH('Cold Outreach'!$C$3,0))=1,1,0),
0)</f>
        <v>0</v>
      </c>
      <c r="M71">
        <f>IF(AND($K71="Cold",$B71&lt;&gt;"",$C71&gt;=EDATE(EOMONTH('Cold Outreach'!$C$3,-1)+1,-('Cold Outreach'!$N$2-1)),$C71&lt;=EOMONTH('Cold Outreach'!$C$3,0)),
IF(COUNTIFS($B$2:$B71,$B71,$K$2:$K71,"Cold",$C$2:$C71,"&gt;="&amp;EDATE(EOMONTH('Cold Outreach'!$C$3,-1)+1,-('Cold Outreach'!$N$2-1)),$C$2:$C71,"&lt;="&amp;EOMONTH('Cold Outreach'!$C$3,0))=1,1,0),
0)</f>
        <v>0</v>
      </c>
    </row>
    <row r="72" spans="1:13">
      <c r="A72" s="251" t="s">
        <v>4848</v>
      </c>
      <c r="B72" s="251" t="s">
        <v>4849</v>
      </c>
      <c r="C72" s="556">
        <v>45910</v>
      </c>
      <c r="D72" s="251" t="s">
        <v>4730</v>
      </c>
      <c r="E72" s="251" t="s">
        <v>521</v>
      </c>
      <c r="F72" s="551" t="s">
        <v>401</v>
      </c>
      <c r="G72" s="251" t="s">
        <v>4718</v>
      </c>
      <c r="H72" s="251" t="s">
        <v>4712</v>
      </c>
      <c r="I72" s="251" t="s">
        <v>944</v>
      </c>
      <c r="J72" s="549" t="s">
        <v>320</v>
      </c>
      <c r="K72" s="549" t="s">
        <v>27</v>
      </c>
      <c r="L72">
        <f>IF(AND($K72="Cold",$B72&lt;&gt;"",$C72&gt;=EOMONTH('Cold Outreach'!$C$3,-1)+1,$C72&lt;=EOMONTH('Cold Outreach'!$C$3,0)),
IF(COUNTIFS($B$2:$B72,$B72,$K$2:$K72,"Cold",$C$2:$C72,"&gt;="&amp;EOMONTH('Cold Outreach'!$C$3,-1)+1,$C$2:$C72,"&lt;="&amp;EOMONTH('Cold Outreach'!$C$3,0))=1,1,0),
0)</f>
        <v>0</v>
      </c>
      <c r="M72">
        <f>IF(AND($K72="Cold",$B72&lt;&gt;"",$C72&gt;=EDATE(EOMONTH('Cold Outreach'!$C$3,-1)+1,-('Cold Outreach'!$N$2-1)),$C72&lt;=EOMONTH('Cold Outreach'!$C$3,0)),
IF(COUNTIFS($B$2:$B72,$B72,$K$2:$K72,"Cold",$C$2:$C72,"&gt;="&amp;EDATE(EOMONTH('Cold Outreach'!$C$3,-1)+1,-('Cold Outreach'!$N$2-1)),$C$2:$C72,"&lt;="&amp;EOMONTH('Cold Outreach'!$C$3,0))=1,1,0),
0)</f>
        <v>0</v>
      </c>
    </row>
    <row r="73" spans="1:13">
      <c r="A73" s="251" t="s">
        <v>4850</v>
      </c>
      <c r="B73" s="251" t="s">
        <v>4851</v>
      </c>
      <c r="C73" s="556">
        <v>45910</v>
      </c>
      <c r="D73" s="251" t="s">
        <v>4730</v>
      </c>
      <c r="E73" s="251" t="s">
        <v>587</v>
      </c>
      <c r="F73" s="551" t="s">
        <v>1932</v>
      </c>
      <c r="G73" s="251" t="s">
        <v>4757</v>
      </c>
      <c r="H73" s="251" t="s">
        <v>4787</v>
      </c>
      <c r="I73" s="251" t="s">
        <v>30</v>
      </c>
      <c r="J73" s="549" t="s">
        <v>4721</v>
      </c>
      <c r="K73" s="549" t="s">
        <v>30</v>
      </c>
      <c r="L73">
        <f>IF(AND($K73="Cold",$B73&lt;&gt;"",$C73&gt;=EOMONTH('Cold Outreach'!$C$3,-1)+1,$C73&lt;=EOMONTH('Cold Outreach'!$C$3,0)),
IF(COUNTIFS($B$2:$B73,$B73,$K$2:$K73,"Cold",$C$2:$C73,"&gt;="&amp;EOMONTH('Cold Outreach'!$C$3,-1)+1,$C$2:$C73,"&lt;="&amp;EOMONTH('Cold Outreach'!$C$3,0))=1,1,0),
0)</f>
        <v>0</v>
      </c>
      <c r="M73">
        <f>IF(AND($K73="Cold",$B73&lt;&gt;"",$C73&gt;=EDATE(EOMONTH('Cold Outreach'!$C$3,-1)+1,-('Cold Outreach'!$N$2-1)),$C73&lt;=EOMONTH('Cold Outreach'!$C$3,0)),
IF(COUNTIFS($B$2:$B73,$B73,$K$2:$K73,"Cold",$C$2:$C73,"&gt;="&amp;EDATE(EOMONTH('Cold Outreach'!$C$3,-1)+1,-('Cold Outreach'!$N$2-1)),$C$2:$C73,"&lt;="&amp;EOMONTH('Cold Outreach'!$C$3,0))=1,1,0),
0)</f>
        <v>1</v>
      </c>
    </row>
    <row r="74" spans="1:13">
      <c r="A74" s="559" t="s">
        <v>4852</v>
      </c>
      <c r="B74" s="559" t="s">
        <v>1214</v>
      </c>
      <c r="C74" s="556">
        <v>45911</v>
      </c>
      <c r="D74" s="251"/>
      <c r="E74" s="251"/>
      <c r="F74" s="251" t="s">
        <v>4809</v>
      </c>
      <c r="G74" s="251" t="s">
        <v>4718</v>
      </c>
      <c r="H74" s="251" t="s">
        <v>4712</v>
      </c>
      <c r="I74" s="251" t="s">
        <v>30</v>
      </c>
      <c r="J74" s="251"/>
      <c r="K74" s="251" t="s">
        <v>30</v>
      </c>
      <c r="L74">
        <f>IF(AND($K74="Cold",$B74&lt;&gt;"",$C74&gt;=EOMONTH('Cold Outreach'!$C$3,-1)+1,$C74&lt;=EOMONTH('Cold Outreach'!$C$3,0)),
IF(COUNTIFS($B$2:$B74,$B74,$K$2:$K74,"Cold",$C$2:$C74,"&gt;="&amp;EOMONTH('Cold Outreach'!$C$3,-1)+1,$C$2:$C74,"&lt;="&amp;EOMONTH('Cold Outreach'!$C$3,0))=1,1,0),
0)</f>
        <v>0</v>
      </c>
      <c r="M74">
        <f>IF(AND($K74="Cold",$B74&lt;&gt;"",$C74&gt;=EDATE(EOMONTH('Cold Outreach'!$C$3,-1)+1,-('Cold Outreach'!$N$2-1)),$C74&lt;=EOMONTH('Cold Outreach'!$C$3,0)),
IF(COUNTIFS($B$2:$B74,$B74,$K$2:$K74,"Cold",$C$2:$C74,"&gt;="&amp;EDATE(EOMONTH('Cold Outreach'!$C$3,-1)+1,-('Cold Outreach'!$N$2-1)),$C$2:$C74,"&lt;="&amp;EOMONTH('Cold Outreach'!$C$3,0))=1,1,0),
0)</f>
        <v>1</v>
      </c>
    </row>
    <row r="75" spans="1:13">
      <c r="A75" s="251" t="s">
        <v>4853</v>
      </c>
      <c r="B75" s="251" t="s">
        <v>4854</v>
      </c>
      <c r="C75" s="556">
        <v>45912</v>
      </c>
      <c r="D75" s="251" t="s">
        <v>4716</v>
      </c>
      <c r="E75" s="251" t="s">
        <v>4731</v>
      </c>
      <c r="F75" s="551" t="s">
        <v>401</v>
      </c>
      <c r="G75" s="251" t="s">
        <v>4718</v>
      </c>
      <c r="H75" s="251" t="s">
        <v>4712</v>
      </c>
      <c r="I75" s="251" t="s">
        <v>30</v>
      </c>
      <c r="J75" s="549" t="s">
        <v>320</v>
      </c>
      <c r="K75" s="549" t="s">
        <v>30</v>
      </c>
      <c r="L75">
        <f>IF(AND($K75="Cold",$B75&lt;&gt;"",$C75&gt;=EOMONTH('Cold Outreach'!$C$3,-1)+1,$C75&lt;=EOMONTH('Cold Outreach'!$C$3,0)),
IF(COUNTIFS($B$2:$B75,$B75,$K$2:$K75,"Cold",$C$2:$C75,"&gt;="&amp;EOMONTH('Cold Outreach'!$C$3,-1)+1,$C$2:$C75,"&lt;="&amp;EOMONTH('Cold Outreach'!$C$3,0))=1,1,0),
0)</f>
        <v>0</v>
      </c>
      <c r="M75">
        <f>IF(AND($K75="Cold",$B75&lt;&gt;"",$C75&gt;=EDATE(EOMONTH('Cold Outreach'!$C$3,-1)+1,-('Cold Outreach'!$N$2-1)),$C75&lt;=EOMONTH('Cold Outreach'!$C$3,0)),
IF(COUNTIFS($B$2:$B75,$B75,$K$2:$K75,"Cold",$C$2:$C75,"&gt;="&amp;EDATE(EOMONTH('Cold Outreach'!$C$3,-1)+1,-('Cold Outreach'!$N$2-1)),$C$2:$C75,"&lt;="&amp;EOMONTH('Cold Outreach'!$C$3,0))=1,1,0),
0)</f>
        <v>1</v>
      </c>
    </row>
    <row r="76" spans="1:13">
      <c r="A76" s="251" t="s">
        <v>4855</v>
      </c>
      <c r="B76" s="251" t="s">
        <v>2664</v>
      </c>
      <c r="C76" s="556">
        <v>45918</v>
      </c>
      <c r="D76" s="251" t="s">
        <v>4716</v>
      </c>
      <c r="E76" s="251" t="s">
        <v>596</v>
      </c>
      <c r="F76" s="551" t="s">
        <v>1932</v>
      </c>
      <c r="G76" s="251" t="s">
        <v>4718</v>
      </c>
      <c r="H76" s="251" t="s">
        <v>4712</v>
      </c>
      <c r="I76" s="251" t="s">
        <v>30</v>
      </c>
      <c r="J76" s="549" t="s">
        <v>320</v>
      </c>
      <c r="K76" s="549" t="s">
        <v>30</v>
      </c>
      <c r="L76">
        <f>IF(AND($K76="Cold",$B76&lt;&gt;"",$C76&gt;=EOMONTH('Cold Outreach'!$C$3,-1)+1,$C76&lt;=EOMONTH('Cold Outreach'!$C$3,0)),
IF(COUNTIFS($B$2:$B76,$B76,$K$2:$K76,"Cold",$C$2:$C76,"&gt;="&amp;EOMONTH('Cold Outreach'!$C$3,-1)+1,$C$2:$C76,"&lt;="&amp;EOMONTH('Cold Outreach'!$C$3,0))=1,1,0),
0)</f>
        <v>0</v>
      </c>
      <c r="M76">
        <f>IF(AND($K76="Cold",$B76&lt;&gt;"",$C76&gt;=EDATE(EOMONTH('Cold Outreach'!$C$3,-1)+1,-('Cold Outreach'!$N$2-1)),$C76&lt;=EOMONTH('Cold Outreach'!$C$3,0)),
IF(COUNTIFS($B$2:$B76,$B76,$K$2:$K76,"Cold",$C$2:$C76,"&gt;="&amp;EDATE(EOMONTH('Cold Outreach'!$C$3,-1)+1,-('Cold Outreach'!$N$2-1)),$C$2:$C76,"&lt;="&amp;EOMONTH('Cold Outreach'!$C$3,0))=1,1,0),
0)</f>
        <v>1</v>
      </c>
    </row>
    <row r="77" spans="1:13">
      <c r="A77" s="559" t="s">
        <v>4856</v>
      </c>
      <c r="B77" s="559" t="s">
        <v>655</v>
      </c>
      <c r="C77" s="556">
        <v>45919</v>
      </c>
      <c r="D77" s="251"/>
      <c r="E77" s="251"/>
      <c r="F77" s="251" t="s">
        <v>4809</v>
      </c>
      <c r="G77" s="251" t="s">
        <v>4718</v>
      </c>
      <c r="H77" s="251" t="s">
        <v>4712</v>
      </c>
      <c r="I77" s="251" t="s">
        <v>30</v>
      </c>
      <c r="J77" s="251"/>
      <c r="K77" s="251" t="s">
        <v>30</v>
      </c>
      <c r="L77">
        <f>IF(AND($K77="Cold",$B77&lt;&gt;"",$C77&gt;=EOMONTH('Cold Outreach'!$C$3,-1)+1,$C77&lt;=EOMONTH('Cold Outreach'!$C$3,0)),
IF(COUNTIFS($B$2:$B77,$B77,$K$2:$K77,"Cold",$C$2:$C77,"&gt;="&amp;EOMONTH('Cold Outreach'!$C$3,-1)+1,$C$2:$C77,"&lt;="&amp;EOMONTH('Cold Outreach'!$C$3,0))=1,1,0),
0)</f>
        <v>0</v>
      </c>
      <c r="M77">
        <f>IF(AND($K77="Cold",$B77&lt;&gt;"",$C77&gt;=EDATE(EOMONTH('Cold Outreach'!$C$3,-1)+1,-('Cold Outreach'!$N$2-1)),$C77&lt;=EOMONTH('Cold Outreach'!$C$3,0)),
IF(COUNTIFS($B$2:$B77,$B77,$K$2:$K77,"Cold",$C$2:$C77,"&gt;="&amp;EDATE(EOMONTH('Cold Outreach'!$C$3,-1)+1,-('Cold Outreach'!$N$2-1)),$C$2:$C77,"&lt;="&amp;EOMONTH('Cold Outreach'!$C$3,0))=1,1,0),
0)</f>
        <v>0</v>
      </c>
    </row>
    <row r="78" spans="1:13">
      <c r="A78" s="251" t="s">
        <v>4857</v>
      </c>
      <c r="B78" s="251" t="s">
        <v>4858</v>
      </c>
      <c r="C78" s="556">
        <v>45922</v>
      </c>
      <c r="D78" s="251" t="s">
        <v>4730</v>
      </c>
      <c r="E78" s="251" t="s">
        <v>4731</v>
      </c>
      <c r="F78" s="551" t="s">
        <v>401</v>
      </c>
      <c r="G78" s="251" t="s">
        <v>4718</v>
      </c>
      <c r="H78" s="251" t="s">
        <v>4723</v>
      </c>
      <c r="I78" s="251" t="s">
        <v>944</v>
      </c>
      <c r="J78" s="549" t="s">
        <v>4723</v>
      </c>
      <c r="K78" s="549" t="s">
        <v>27</v>
      </c>
      <c r="L78">
        <f>IF(AND($K78="Cold",$B78&lt;&gt;"",$C78&gt;=EOMONTH('Cold Outreach'!$C$3,-1)+1,$C78&lt;=EOMONTH('Cold Outreach'!$C$3,0)),
IF(COUNTIFS($B$2:$B78,$B78,$K$2:$K78,"Cold",$C$2:$C78,"&gt;="&amp;EOMONTH('Cold Outreach'!$C$3,-1)+1,$C$2:$C78,"&lt;="&amp;EOMONTH('Cold Outreach'!$C$3,0))=1,1,0),
0)</f>
        <v>0</v>
      </c>
      <c r="M78">
        <f>IF(AND($K78="Cold",$B78&lt;&gt;"",$C78&gt;=EDATE(EOMONTH('Cold Outreach'!$C$3,-1)+1,-('Cold Outreach'!$N$2-1)),$C78&lt;=EOMONTH('Cold Outreach'!$C$3,0)),
IF(COUNTIFS($B$2:$B78,$B78,$K$2:$K78,"Cold",$C$2:$C78,"&gt;="&amp;EDATE(EOMONTH('Cold Outreach'!$C$3,-1)+1,-('Cold Outreach'!$N$2-1)),$C$2:$C78,"&lt;="&amp;EOMONTH('Cold Outreach'!$C$3,0))=1,1,0),
0)</f>
        <v>0</v>
      </c>
    </row>
    <row r="79" spans="1:13">
      <c r="A79" s="559" t="s">
        <v>4859</v>
      </c>
      <c r="B79" s="559" t="s">
        <v>4860</v>
      </c>
      <c r="C79" s="556">
        <v>45923</v>
      </c>
      <c r="D79" s="251"/>
      <c r="E79" s="251"/>
      <c r="F79" s="251" t="s">
        <v>4809</v>
      </c>
      <c r="G79" s="251" t="s">
        <v>4718</v>
      </c>
      <c r="H79" s="251" t="s">
        <v>4712</v>
      </c>
      <c r="I79" s="251" t="s">
        <v>30</v>
      </c>
      <c r="J79" s="251"/>
      <c r="K79" s="251" t="s">
        <v>30</v>
      </c>
      <c r="L79">
        <f>IF(AND($K79="Cold",$B79&lt;&gt;"",$C79&gt;=EOMONTH('Cold Outreach'!$C$3,-1)+1,$C79&lt;=EOMONTH('Cold Outreach'!$C$3,0)),
IF(COUNTIFS($B$2:$B79,$B79,$K$2:$K79,"Cold",$C$2:$C79,"&gt;="&amp;EOMONTH('Cold Outreach'!$C$3,-1)+1,$C$2:$C79,"&lt;="&amp;EOMONTH('Cold Outreach'!$C$3,0))=1,1,0),
0)</f>
        <v>0</v>
      </c>
      <c r="M79">
        <f>IF(AND($K79="Cold",$B79&lt;&gt;"",$C79&gt;=EDATE(EOMONTH('Cold Outreach'!$C$3,-1)+1,-('Cold Outreach'!$N$2-1)),$C79&lt;=EOMONTH('Cold Outreach'!$C$3,0)),
IF(COUNTIFS($B$2:$B79,$B79,$K$2:$K79,"Cold",$C$2:$C79,"&gt;="&amp;EDATE(EOMONTH('Cold Outreach'!$C$3,-1)+1,-('Cold Outreach'!$N$2-1)),$C$2:$C79,"&lt;="&amp;EOMONTH('Cold Outreach'!$C$3,0))=1,1,0),
0)</f>
        <v>1</v>
      </c>
    </row>
    <row r="80" spans="1:13">
      <c r="A80" s="251" t="s">
        <v>4861</v>
      </c>
      <c r="B80" s="251" t="s">
        <v>4862</v>
      </c>
      <c r="C80" s="556">
        <v>45925</v>
      </c>
      <c r="D80" s="251" t="s">
        <v>4716</v>
      </c>
      <c r="E80" s="251" t="s">
        <v>587</v>
      </c>
      <c r="F80" s="551" t="s">
        <v>1932</v>
      </c>
      <c r="G80" s="251" t="s">
        <v>4718</v>
      </c>
      <c r="H80" s="251" t="s">
        <v>4712</v>
      </c>
      <c r="I80" s="251" t="s">
        <v>30</v>
      </c>
      <c r="J80" s="549" t="s">
        <v>320</v>
      </c>
      <c r="K80" s="549" t="s">
        <v>30</v>
      </c>
      <c r="L80">
        <f>IF(AND($K80="Cold",$B80&lt;&gt;"",$C80&gt;=EOMONTH('Cold Outreach'!$C$3,-1)+1,$C80&lt;=EOMONTH('Cold Outreach'!$C$3,0)),
IF(COUNTIFS($B$2:$B80,$B80,$K$2:$K80,"Cold",$C$2:$C80,"&gt;="&amp;EOMONTH('Cold Outreach'!$C$3,-1)+1,$C$2:$C80,"&lt;="&amp;EOMONTH('Cold Outreach'!$C$3,0))=1,1,0),
0)</f>
        <v>0</v>
      </c>
      <c r="M80">
        <f>IF(AND($K80="Cold",$B80&lt;&gt;"",$C80&gt;=EDATE(EOMONTH('Cold Outreach'!$C$3,-1)+1,-('Cold Outreach'!$N$2-1)),$C80&lt;=EOMONTH('Cold Outreach'!$C$3,0)),
IF(COUNTIFS($B$2:$B80,$B80,$K$2:$K80,"Cold",$C$2:$C80,"&gt;="&amp;EDATE(EOMONTH('Cold Outreach'!$C$3,-1)+1,-('Cold Outreach'!$N$2-1)),$C$2:$C80,"&lt;="&amp;EOMONTH('Cold Outreach'!$C$3,0))=1,1,0),
0)</f>
        <v>1</v>
      </c>
    </row>
    <row r="81" spans="1:13">
      <c r="A81" s="251" t="s">
        <v>4863</v>
      </c>
      <c r="B81" s="251" t="s">
        <v>4864</v>
      </c>
      <c r="C81" s="556">
        <v>45926</v>
      </c>
      <c r="D81" s="251" t="s">
        <v>4716</v>
      </c>
      <c r="E81" s="251" t="s">
        <v>587</v>
      </c>
      <c r="F81" s="551" t="s">
        <v>1932</v>
      </c>
      <c r="G81" s="251" t="s">
        <v>4757</v>
      </c>
      <c r="H81" s="251" t="s">
        <v>4758</v>
      </c>
      <c r="I81" s="251" t="s">
        <v>30</v>
      </c>
      <c r="J81" s="549" t="s">
        <v>4721</v>
      </c>
      <c r="K81" s="549" t="s">
        <v>30</v>
      </c>
      <c r="L81">
        <f>IF(AND($K81="Cold",$B81&lt;&gt;"",$C81&gt;=EOMONTH('Cold Outreach'!$C$3,-1)+1,$C81&lt;=EOMONTH('Cold Outreach'!$C$3,0)),
IF(COUNTIFS($B$2:$B81,$B81,$K$2:$K81,"Cold",$C$2:$C81,"&gt;="&amp;EOMONTH('Cold Outreach'!$C$3,-1)+1,$C$2:$C81,"&lt;="&amp;EOMONTH('Cold Outreach'!$C$3,0))=1,1,0),
0)</f>
        <v>0</v>
      </c>
      <c r="M81">
        <f>IF(AND($K81="Cold",$B81&lt;&gt;"",$C81&gt;=EDATE(EOMONTH('Cold Outreach'!$C$3,-1)+1,-('Cold Outreach'!$N$2-1)),$C81&lt;=EOMONTH('Cold Outreach'!$C$3,0)),
IF(COUNTIFS($B$2:$B81,$B81,$K$2:$K81,"Cold",$C$2:$C81,"&gt;="&amp;EDATE(EOMONTH('Cold Outreach'!$C$3,-1)+1,-('Cold Outreach'!$N$2-1)),$C$2:$C81,"&lt;="&amp;EOMONTH('Cold Outreach'!$C$3,0))=1,1,0),
0)</f>
        <v>1</v>
      </c>
    </row>
    <row r="82" spans="1:13">
      <c r="A82" s="251" t="s">
        <v>4865</v>
      </c>
      <c r="B82" s="251" t="s">
        <v>4866</v>
      </c>
      <c r="C82" s="556">
        <v>45926</v>
      </c>
      <c r="D82" s="251" t="s">
        <v>4716</v>
      </c>
      <c r="E82" s="251" t="s">
        <v>596</v>
      </c>
      <c r="F82" s="551" t="s">
        <v>1932</v>
      </c>
      <c r="G82" s="251" t="s">
        <v>4757</v>
      </c>
      <c r="H82" s="251" t="s">
        <v>4758</v>
      </c>
      <c r="I82" s="251" t="s">
        <v>30</v>
      </c>
      <c r="J82" s="549" t="s">
        <v>4721</v>
      </c>
      <c r="K82" s="549" t="s">
        <v>30</v>
      </c>
      <c r="L82">
        <f>IF(AND($K82="Cold",$B82&lt;&gt;"",$C82&gt;=EOMONTH('Cold Outreach'!$C$3,-1)+1,$C82&lt;=EOMONTH('Cold Outreach'!$C$3,0)),
IF(COUNTIFS($B$2:$B82,$B82,$K$2:$K82,"Cold",$C$2:$C82,"&gt;="&amp;EOMONTH('Cold Outreach'!$C$3,-1)+1,$C$2:$C82,"&lt;="&amp;EOMONTH('Cold Outreach'!$C$3,0))=1,1,0),
0)</f>
        <v>0</v>
      </c>
      <c r="M82">
        <f>IF(AND($K82="Cold",$B82&lt;&gt;"",$C82&gt;=EDATE(EOMONTH('Cold Outreach'!$C$3,-1)+1,-('Cold Outreach'!$N$2-1)),$C82&lt;=EOMONTH('Cold Outreach'!$C$3,0)),
IF(COUNTIFS($B$2:$B82,$B82,$K$2:$K82,"Cold",$C$2:$C82,"&gt;="&amp;EDATE(EOMONTH('Cold Outreach'!$C$3,-1)+1,-('Cold Outreach'!$N$2-1)),$C$2:$C82,"&lt;="&amp;EOMONTH('Cold Outreach'!$C$3,0))=1,1,0),
0)</f>
        <v>1</v>
      </c>
    </row>
    <row r="83" spans="1:13">
      <c r="A83" s="251" t="s">
        <v>4867</v>
      </c>
      <c r="B83" s="251" t="s">
        <v>4841</v>
      </c>
      <c r="C83" s="556">
        <v>45926</v>
      </c>
      <c r="D83" s="251" t="s">
        <v>4716</v>
      </c>
      <c r="E83" s="251" t="s">
        <v>4717</v>
      </c>
      <c r="F83" s="551" t="s">
        <v>1932</v>
      </c>
      <c r="G83" s="251" t="s">
        <v>4718</v>
      </c>
      <c r="H83" s="251" t="s">
        <v>4776</v>
      </c>
      <c r="I83" s="251" t="s">
        <v>30</v>
      </c>
      <c r="J83" s="549" t="s">
        <v>320</v>
      </c>
      <c r="K83" s="549" t="s">
        <v>30</v>
      </c>
      <c r="L83">
        <f>IF(AND($K83="Cold",$B83&lt;&gt;"",$C83&gt;=EOMONTH('Cold Outreach'!$C$3,-1)+1,$C83&lt;=EOMONTH('Cold Outreach'!$C$3,0)),
IF(COUNTIFS($B$2:$B83,$B83,$K$2:$K83,"Cold",$C$2:$C83,"&gt;="&amp;EOMONTH('Cold Outreach'!$C$3,-1)+1,$C$2:$C83,"&lt;="&amp;EOMONTH('Cold Outreach'!$C$3,0))=1,1,0),
0)</f>
        <v>0</v>
      </c>
      <c r="M83">
        <f>IF(AND($K83="Cold",$B83&lt;&gt;"",$C83&gt;=EDATE(EOMONTH('Cold Outreach'!$C$3,-1)+1,-('Cold Outreach'!$N$2-1)),$C83&lt;=EOMONTH('Cold Outreach'!$C$3,0)),
IF(COUNTIFS($B$2:$B83,$B83,$K$2:$K83,"Cold",$C$2:$C83,"&gt;="&amp;EDATE(EOMONTH('Cold Outreach'!$C$3,-1)+1,-('Cold Outreach'!$N$2-1)),$C$2:$C83,"&lt;="&amp;EOMONTH('Cold Outreach'!$C$3,0))=1,1,0),
0)</f>
        <v>0</v>
      </c>
    </row>
    <row r="84" spans="1:13">
      <c r="A84" s="251" t="s">
        <v>4867</v>
      </c>
      <c r="B84" s="550" t="s">
        <v>4841</v>
      </c>
      <c r="C84" s="556">
        <v>45926</v>
      </c>
      <c r="D84" s="251" t="s">
        <v>4716</v>
      </c>
      <c r="E84" s="551" t="s">
        <v>4717</v>
      </c>
      <c r="F84" s="251" t="s">
        <v>1932</v>
      </c>
      <c r="G84" s="251" t="s">
        <v>4718</v>
      </c>
      <c r="H84" s="251" t="s">
        <v>4723</v>
      </c>
      <c r="I84" s="251" t="s">
        <v>30</v>
      </c>
      <c r="J84" s="549" t="s">
        <v>4723</v>
      </c>
      <c r="K84" s="549" t="s">
        <v>30</v>
      </c>
      <c r="L84">
        <f>IF(AND($K84="Cold",$B84&lt;&gt;"",$C84&gt;=EOMONTH('Cold Outreach'!$C$3,-1)+1,$C84&lt;=EOMONTH('Cold Outreach'!$C$3,0)),
IF(COUNTIFS($B$2:$B84,$B84,$K$2:$K84,"Cold",$C$2:$C84,"&gt;="&amp;EOMONTH('Cold Outreach'!$C$3,-1)+1,$C$2:$C84,"&lt;="&amp;EOMONTH('Cold Outreach'!$C$3,0))=1,1,0),
0)</f>
        <v>0</v>
      </c>
      <c r="M84">
        <f>IF(AND($K84="Cold",$B84&lt;&gt;"",$C84&gt;=EDATE(EOMONTH('Cold Outreach'!$C$3,-1)+1,-('Cold Outreach'!$N$2-1)),$C84&lt;=EOMONTH('Cold Outreach'!$C$3,0)),
IF(COUNTIFS($B$2:$B84,$B84,$K$2:$K84,"Cold",$C$2:$C84,"&gt;="&amp;EDATE(EOMONTH('Cold Outreach'!$C$3,-1)+1,-('Cold Outreach'!$N$2-1)),$C$2:$C84,"&lt;="&amp;EOMONTH('Cold Outreach'!$C$3,0))=1,1,0),
0)</f>
        <v>0</v>
      </c>
    </row>
    <row r="85" spans="1:13">
      <c r="A85" s="251" t="s">
        <v>4868</v>
      </c>
      <c r="B85" s="251" t="s">
        <v>1674</v>
      </c>
      <c r="C85" s="556">
        <v>45936</v>
      </c>
      <c r="D85" s="251" t="s">
        <v>4716</v>
      </c>
      <c r="E85" s="251" t="s">
        <v>4717</v>
      </c>
      <c r="F85" s="251" t="s">
        <v>1932</v>
      </c>
      <c r="G85" s="251" t="s">
        <v>4718</v>
      </c>
      <c r="H85" s="251" t="s">
        <v>4723</v>
      </c>
      <c r="I85" s="251" t="s">
        <v>30</v>
      </c>
      <c r="J85" s="549" t="s">
        <v>4723</v>
      </c>
      <c r="K85" s="549" t="s">
        <v>30</v>
      </c>
      <c r="L85">
        <f>IF(AND($K85="Cold",$B85&lt;&gt;"",$C85&gt;=EOMONTH('Cold Outreach'!$C$3,-1)+1,$C85&lt;=EOMONTH('Cold Outreach'!$C$3,0)),
IF(COUNTIFS($B$2:$B85,$B85,$K$2:$K85,"Cold",$C$2:$C85,"&gt;="&amp;EOMONTH('Cold Outreach'!$C$3,-1)+1,$C$2:$C85,"&lt;="&amp;EOMONTH('Cold Outreach'!$C$3,0))=1,1,0),
0)</f>
        <v>0</v>
      </c>
      <c r="M85">
        <f>IF(AND($K85="Cold",$B85&lt;&gt;"",$C85&gt;=EDATE(EOMONTH('Cold Outreach'!$C$3,-1)+1,-('Cold Outreach'!$N$2-1)),$C85&lt;=EOMONTH('Cold Outreach'!$C$3,0)),
IF(COUNTIFS($B$2:$B85,$B85,$K$2:$K85,"Cold",$C$2:$C85,"&gt;="&amp;EDATE(EOMONTH('Cold Outreach'!$C$3,-1)+1,-('Cold Outreach'!$N$2-1)),$C$2:$C85,"&lt;="&amp;EOMONTH('Cold Outreach'!$C$3,0))=1,1,0),
0)</f>
        <v>0</v>
      </c>
    </row>
    <row r="86" spans="1:13">
      <c r="A86" s="251" t="s">
        <v>4869</v>
      </c>
      <c r="B86" s="251" t="s">
        <v>4870</v>
      </c>
      <c r="C86" s="556">
        <v>45940</v>
      </c>
      <c r="D86" s="251" t="s">
        <v>4730</v>
      </c>
      <c r="E86" s="251" t="s">
        <v>521</v>
      </c>
      <c r="F86" s="251" t="s">
        <v>1932</v>
      </c>
      <c r="G86" s="251" t="s">
        <v>4718</v>
      </c>
      <c r="H86" s="251" t="s">
        <v>4712</v>
      </c>
      <c r="I86" s="251" t="s">
        <v>4737</v>
      </c>
      <c r="J86" s="549" t="s">
        <v>320</v>
      </c>
      <c r="K86" s="549" t="s">
        <v>1473</v>
      </c>
      <c r="L86">
        <f>IF(AND($K86="Cold",$B86&lt;&gt;"",$C86&gt;=EOMONTH('Cold Outreach'!$C$3,-1)+1,$C86&lt;=EOMONTH('Cold Outreach'!$C$3,0)),
IF(COUNTIFS($B$2:$B86,$B86,$K$2:$K86,"Cold",$C$2:$C86,"&gt;="&amp;EOMONTH('Cold Outreach'!$C$3,-1)+1,$C$2:$C86,"&lt;="&amp;EOMONTH('Cold Outreach'!$C$3,0))=1,1,0),
0)</f>
        <v>0</v>
      </c>
      <c r="M86">
        <f>IF(AND($K86="Cold",$B86&lt;&gt;"",$C86&gt;=EDATE(EOMONTH('Cold Outreach'!$C$3,-1)+1,-('Cold Outreach'!$N$2-1)),$C86&lt;=EOMONTH('Cold Outreach'!$C$3,0)),
IF(COUNTIFS($B$2:$B86,$B86,$K$2:$K86,"Cold",$C$2:$C86,"&gt;="&amp;EDATE(EOMONTH('Cold Outreach'!$C$3,-1)+1,-('Cold Outreach'!$N$2-1)),$C$2:$C86,"&lt;="&amp;EOMONTH('Cold Outreach'!$C$3,0))=1,1,0),
0)</f>
        <v>0</v>
      </c>
    </row>
    <row r="87" spans="1:13">
      <c r="A87" s="251" t="s">
        <v>4871</v>
      </c>
      <c r="B87" s="251" t="s">
        <v>898</v>
      </c>
      <c r="C87" s="556">
        <v>45940</v>
      </c>
      <c r="D87" s="251" t="s">
        <v>4730</v>
      </c>
      <c r="E87" s="251" t="s">
        <v>596</v>
      </c>
      <c r="F87" s="251" t="s">
        <v>401</v>
      </c>
      <c r="G87" s="251" t="s">
        <v>4718</v>
      </c>
      <c r="H87" s="251" t="s">
        <v>4712</v>
      </c>
      <c r="I87" s="251" t="s">
        <v>30</v>
      </c>
      <c r="J87" s="549" t="s">
        <v>320</v>
      </c>
      <c r="K87" s="549" t="s">
        <v>30</v>
      </c>
      <c r="L87">
        <f>IF(AND($K87="Cold",$B87&lt;&gt;"",$C87&gt;=EOMONTH('Cold Outreach'!$C$3,-1)+1,$C87&lt;=EOMONTH('Cold Outreach'!$C$3,0)),
IF(COUNTIFS($B$2:$B87,$B87,$K$2:$K87,"Cold",$C$2:$C87,"&gt;="&amp;EOMONTH('Cold Outreach'!$C$3,-1)+1,$C$2:$C87,"&lt;="&amp;EOMONTH('Cold Outreach'!$C$3,0))=1,1,0),
0)</f>
        <v>0</v>
      </c>
      <c r="M87">
        <f>IF(AND($K87="Cold",$B87&lt;&gt;"",$C87&gt;=EDATE(EOMONTH('Cold Outreach'!$C$3,-1)+1,-('Cold Outreach'!$N$2-1)),$C87&lt;=EOMONTH('Cold Outreach'!$C$3,0)),
IF(COUNTIFS($B$2:$B87,$B87,$K$2:$K87,"Cold",$C$2:$C87,"&gt;="&amp;EDATE(EOMONTH('Cold Outreach'!$C$3,-1)+1,-('Cold Outreach'!$N$2-1)),$C$2:$C87,"&lt;="&amp;EOMONTH('Cold Outreach'!$C$3,0))=1,1,0),
0)</f>
        <v>1</v>
      </c>
    </row>
    <row r="88" spans="1:13">
      <c r="A88" s="251" t="s">
        <v>4872</v>
      </c>
      <c r="B88" s="251" t="s">
        <v>4873</v>
      </c>
      <c r="C88" s="556">
        <v>45940</v>
      </c>
      <c r="D88" s="251" t="s">
        <v>4730</v>
      </c>
      <c r="E88" s="251" t="s">
        <v>4731</v>
      </c>
      <c r="F88" s="251" t="s">
        <v>1932</v>
      </c>
      <c r="G88" s="251" t="s">
        <v>4718</v>
      </c>
      <c r="H88" s="251" t="s">
        <v>4712</v>
      </c>
      <c r="I88" s="251" t="s">
        <v>30</v>
      </c>
      <c r="J88" s="549" t="s">
        <v>320</v>
      </c>
      <c r="K88" s="549" t="s">
        <v>30</v>
      </c>
      <c r="L88">
        <f>IF(AND($K88="Cold",$B88&lt;&gt;"",$C88&gt;=EOMONTH('Cold Outreach'!$C$3,-1)+1,$C88&lt;=EOMONTH('Cold Outreach'!$C$3,0)),
IF(COUNTIFS($B$2:$B88,$B88,$K$2:$K88,"Cold",$C$2:$C88,"&gt;="&amp;EOMONTH('Cold Outreach'!$C$3,-1)+1,$C$2:$C88,"&lt;="&amp;EOMONTH('Cold Outreach'!$C$3,0))=1,1,0),
0)</f>
        <v>0</v>
      </c>
      <c r="M88">
        <f>IF(AND($K88="Cold",$B88&lt;&gt;"",$C88&gt;=EDATE(EOMONTH('Cold Outreach'!$C$3,-1)+1,-('Cold Outreach'!$N$2-1)),$C88&lt;=EOMONTH('Cold Outreach'!$C$3,0)),
IF(COUNTIFS($B$2:$B88,$B88,$K$2:$K88,"Cold",$C$2:$C88,"&gt;="&amp;EDATE(EOMONTH('Cold Outreach'!$C$3,-1)+1,-('Cold Outreach'!$N$2-1)),$C$2:$C88,"&lt;="&amp;EOMONTH('Cold Outreach'!$C$3,0))=1,1,0),
0)</f>
        <v>1</v>
      </c>
    </row>
    <row r="89" spans="1:13">
      <c r="A89" s="251" t="s">
        <v>4874</v>
      </c>
      <c r="B89" s="251" t="s">
        <v>4875</v>
      </c>
      <c r="C89" s="556">
        <v>45940</v>
      </c>
      <c r="D89" s="251" t="s">
        <v>4730</v>
      </c>
      <c r="E89" s="251" t="s">
        <v>4731</v>
      </c>
      <c r="F89" s="251" t="s">
        <v>1932</v>
      </c>
      <c r="G89" s="251" t="s">
        <v>4718</v>
      </c>
      <c r="H89" s="251" t="s">
        <v>4712</v>
      </c>
      <c r="I89" s="251" t="s">
        <v>30</v>
      </c>
      <c r="J89" s="549" t="s">
        <v>320</v>
      </c>
      <c r="K89" s="549" t="s">
        <v>30</v>
      </c>
      <c r="L89">
        <f>IF(AND($K89="Cold",$B89&lt;&gt;"",$C89&gt;=EOMONTH('Cold Outreach'!$C$3,-1)+1,$C89&lt;=EOMONTH('Cold Outreach'!$C$3,0)),
IF(COUNTIFS($B$2:$B89,$B89,$K$2:$K89,"Cold",$C$2:$C89,"&gt;="&amp;EOMONTH('Cold Outreach'!$C$3,-1)+1,$C$2:$C89,"&lt;="&amp;EOMONTH('Cold Outreach'!$C$3,0))=1,1,0),
0)</f>
        <v>0</v>
      </c>
      <c r="M89">
        <f>IF(AND($K89="Cold",$B89&lt;&gt;"",$C89&gt;=EDATE(EOMONTH('Cold Outreach'!$C$3,-1)+1,-('Cold Outreach'!$N$2-1)),$C89&lt;=EOMONTH('Cold Outreach'!$C$3,0)),
IF(COUNTIFS($B$2:$B89,$B89,$K$2:$K89,"Cold",$C$2:$C89,"&gt;="&amp;EDATE(EOMONTH('Cold Outreach'!$C$3,-1)+1,-('Cold Outreach'!$N$2-1)),$C$2:$C89,"&lt;="&amp;EOMONTH('Cold Outreach'!$C$3,0))=1,1,0),
0)</f>
        <v>1</v>
      </c>
    </row>
    <row r="90" spans="1:13">
      <c r="A90" s="251" t="s">
        <v>4876</v>
      </c>
      <c r="B90" s="251" t="s">
        <v>1945</v>
      </c>
      <c r="C90" s="556">
        <v>45943</v>
      </c>
      <c r="D90" s="251" t="s">
        <v>4716</v>
      </c>
      <c r="E90" s="251" t="s">
        <v>596</v>
      </c>
      <c r="F90" s="551" t="s">
        <v>401</v>
      </c>
      <c r="G90" s="251" t="s">
        <v>4718</v>
      </c>
      <c r="H90" s="251" t="s">
        <v>4723</v>
      </c>
      <c r="I90" s="251" t="s">
        <v>30</v>
      </c>
      <c r="J90" s="549" t="s">
        <v>4723</v>
      </c>
      <c r="K90" s="549" t="s">
        <v>30</v>
      </c>
      <c r="L90">
        <f>IF(AND($K90="Cold",$B90&lt;&gt;"",$C90&gt;=EOMONTH('Cold Outreach'!$C$3,-1)+1,$C90&lt;=EOMONTH('Cold Outreach'!$C$3,0)),
IF(COUNTIFS($B$2:$B90,$B90,$K$2:$K90,"Cold",$C$2:$C90,"&gt;="&amp;EOMONTH('Cold Outreach'!$C$3,-1)+1,$C$2:$C90,"&lt;="&amp;EOMONTH('Cold Outreach'!$C$3,0))=1,1,0),
0)</f>
        <v>0</v>
      </c>
      <c r="M90">
        <f>IF(AND($K90="Cold",$B90&lt;&gt;"",$C90&gt;=EDATE(EOMONTH('Cold Outreach'!$C$3,-1)+1,-('Cold Outreach'!$N$2-1)),$C90&lt;=EOMONTH('Cold Outreach'!$C$3,0)),
IF(COUNTIFS($B$2:$B90,$B90,$K$2:$K90,"Cold",$C$2:$C90,"&gt;="&amp;EDATE(EOMONTH('Cold Outreach'!$C$3,-1)+1,-('Cold Outreach'!$N$2-1)),$C$2:$C90,"&lt;="&amp;EOMONTH('Cold Outreach'!$C$3,0))=1,1,0),
0)</f>
        <v>1</v>
      </c>
    </row>
    <row r="91" spans="1:13">
      <c r="A91" s="251" t="s">
        <v>4877</v>
      </c>
      <c r="B91" s="251" t="s">
        <v>4878</v>
      </c>
      <c r="C91" s="556">
        <v>45944</v>
      </c>
      <c r="D91" s="251" t="s">
        <v>4716</v>
      </c>
      <c r="E91" s="251" t="s">
        <v>587</v>
      </c>
      <c r="F91" s="251" t="s">
        <v>1932</v>
      </c>
      <c r="G91" s="251" t="s">
        <v>4718</v>
      </c>
      <c r="H91" s="251" t="s">
        <v>247</v>
      </c>
      <c r="I91" s="251" t="s">
        <v>30</v>
      </c>
      <c r="J91" s="549" t="s">
        <v>320</v>
      </c>
      <c r="K91" s="549" t="s">
        <v>30</v>
      </c>
      <c r="L91">
        <f>IF(AND($K91="Cold",$B91&lt;&gt;"",$C91&gt;=EOMONTH('Cold Outreach'!$C$3,-1)+1,$C91&lt;=EOMONTH('Cold Outreach'!$C$3,0)),
IF(COUNTIFS($B$2:$B91,$B91,$K$2:$K91,"Cold",$C$2:$C91,"&gt;="&amp;EOMONTH('Cold Outreach'!$C$3,-1)+1,$C$2:$C91,"&lt;="&amp;EOMONTH('Cold Outreach'!$C$3,0))=1,1,0),
0)</f>
        <v>0</v>
      </c>
      <c r="M91">
        <f>IF(AND($K91="Cold",$B91&lt;&gt;"",$C91&gt;=EDATE(EOMONTH('Cold Outreach'!$C$3,-1)+1,-('Cold Outreach'!$N$2-1)),$C91&lt;=EOMONTH('Cold Outreach'!$C$3,0)),
IF(COUNTIFS($B$2:$B91,$B91,$K$2:$K91,"Cold",$C$2:$C91,"&gt;="&amp;EDATE(EOMONTH('Cold Outreach'!$C$3,-1)+1,-('Cold Outreach'!$N$2-1)),$C$2:$C91,"&lt;="&amp;EOMONTH('Cold Outreach'!$C$3,0))=1,1,0),
0)</f>
        <v>1</v>
      </c>
    </row>
    <row r="92" spans="1:13">
      <c r="A92" s="251" t="s">
        <v>4879</v>
      </c>
      <c r="B92" s="251" t="s">
        <v>4880</v>
      </c>
      <c r="C92" s="556">
        <v>45944</v>
      </c>
      <c r="D92" s="251" t="s">
        <v>4716</v>
      </c>
      <c r="E92" s="251" t="s">
        <v>4717</v>
      </c>
      <c r="F92" s="251" t="s">
        <v>1932</v>
      </c>
      <c r="G92" s="251" t="s">
        <v>4718</v>
      </c>
      <c r="H92" s="251" t="s">
        <v>4712</v>
      </c>
      <c r="I92" s="251" t="s">
        <v>30</v>
      </c>
      <c r="J92" s="549" t="s">
        <v>320</v>
      </c>
      <c r="K92" s="549" t="s">
        <v>30</v>
      </c>
      <c r="L92">
        <f>IF(AND($K92="Cold",$B92&lt;&gt;"",$C92&gt;=EOMONTH('Cold Outreach'!$C$3,-1)+1,$C92&lt;=EOMONTH('Cold Outreach'!$C$3,0)),
IF(COUNTIFS($B$2:$B92,$B92,$K$2:$K92,"Cold",$C$2:$C92,"&gt;="&amp;EOMONTH('Cold Outreach'!$C$3,-1)+1,$C$2:$C92,"&lt;="&amp;EOMONTH('Cold Outreach'!$C$3,0))=1,1,0),
0)</f>
        <v>0</v>
      </c>
      <c r="M92">
        <f>IF(AND($K92="Cold",$B92&lt;&gt;"",$C92&gt;=EDATE(EOMONTH('Cold Outreach'!$C$3,-1)+1,-('Cold Outreach'!$N$2-1)),$C92&lt;=EOMONTH('Cold Outreach'!$C$3,0)),
IF(COUNTIFS($B$2:$B92,$B92,$K$2:$K92,"Cold",$C$2:$C92,"&gt;="&amp;EDATE(EOMONTH('Cold Outreach'!$C$3,-1)+1,-('Cold Outreach'!$N$2-1)),$C$2:$C92,"&lt;="&amp;EOMONTH('Cold Outreach'!$C$3,0))=1,1,0),
0)</f>
        <v>1</v>
      </c>
    </row>
    <row r="93" spans="1:13">
      <c r="A93" s="559" t="s">
        <v>4881</v>
      </c>
      <c r="B93" s="559" t="s">
        <v>4830</v>
      </c>
      <c r="C93" s="556">
        <v>45944</v>
      </c>
      <c r="D93" s="251"/>
      <c r="E93" s="251"/>
      <c r="F93" s="251" t="s">
        <v>4809</v>
      </c>
      <c r="G93" s="251" t="s">
        <v>4718</v>
      </c>
      <c r="H93" s="251" t="s">
        <v>4712</v>
      </c>
      <c r="I93" s="251" t="s">
        <v>30</v>
      </c>
      <c r="J93" s="251"/>
      <c r="K93" s="251" t="s">
        <v>30</v>
      </c>
      <c r="L93">
        <f>IF(AND($K93="Cold",$B93&lt;&gt;"",$C93&gt;=EOMONTH('Cold Outreach'!$C$3,-1)+1,$C93&lt;=EOMONTH('Cold Outreach'!$C$3,0)),
IF(COUNTIFS($B$2:$B93,$B93,$K$2:$K93,"Cold",$C$2:$C93,"&gt;="&amp;EOMONTH('Cold Outreach'!$C$3,-1)+1,$C$2:$C93,"&lt;="&amp;EOMONTH('Cold Outreach'!$C$3,0))=1,1,0),
0)</f>
        <v>0</v>
      </c>
      <c r="M93">
        <f>IF(AND($K93="Cold",$B93&lt;&gt;"",$C93&gt;=EDATE(EOMONTH('Cold Outreach'!$C$3,-1)+1,-('Cold Outreach'!$N$2-1)),$C93&lt;=EOMONTH('Cold Outreach'!$C$3,0)),
IF(COUNTIFS($B$2:$B93,$B93,$K$2:$K93,"Cold",$C$2:$C93,"&gt;="&amp;EDATE(EOMONTH('Cold Outreach'!$C$3,-1)+1,-('Cold Outreach'!$N$2-1)),$C$2:$C93,"&lt;="&amp;EOMONTH('Cold Outreach'!$C$3,0))=1,1,0),
0)</f>
        <v>0</v>
      </c>
    </row>
    <row r="94" spans="1:13">
      <c r="A94" s="559" t="s">
        <v>4882</v>
      </c>
      <c r="B94" s="559" t="s">
        <v>3293</v>
      </c>
      <c r="C94" s="556">
        <v>45947</v>
      </c>
      <c r="D94" s="251"/>
      <c r="E94" s="251"/>
      <c r="F94" s="251" t="s">
        <v>4809</v>
      </c>
      <c r="G94" s="251" t="s">
        <v>4718</v>
      </c>
      <c r="H94" s="251" t="s">
        <v>4712</v>
      </c>
      <c r="I94" s="251" t="s">
        <v>30</v>
      </c>
      <c r="J94" s="251"/>
      <c r="K94" s="251" t="s">
        <v>30</v>
      </c>
      <c r="L94">
        <f>IF(AND($K94="Cold",$B94&lt;&gt;"",$C94&gt;=EOMONTH('Cold Outreach'!$C$3,-1)+1,$C94&lt;=EOMONTH('Cold Outreach'!$C$3,0)),
IF(COUNTIFS($B$2:$B94,$B94,$K$2:$K94,"Cold",$C$2:$C94,"&gt;="&amp;EOMONTH('Cold Outreach'!$C$3,-1)+1,$C$2:$C94,"&lt;="&amp;EOMONTH('Cold Outreach'!$C$3,0))=1,1,0),
0)</f>
        <v>0</v>
      </c>
      <c r="M94">
        <f>IF(AND($K94="Cold",$B94&lt;&gt;"",$C94&gt;=EDATE(EOMONTH('Cold Outreach'!$C$3,-1)+1,-('Cold Outreach'!$N$2-1)),$C94&lt;=EOMONTH('Cold Outreach'!$C$3,0)),
IF(COUNTIFS($B$2:$B94,$B94,$K$2:$K94,"Cold",$C$2:$C94,"&gt;="&amp;EDATE(EOMONTH('Cold Outreach'!$C$3,-1)+1,-('Cold Outreach'!$N$2-1)),$C$2:$C94,"&lt;="&amp;EOMONTH('Cold Outreach'!$C$3,0))=1,1,0),
0)</f>
        <v>1</v>
      </c>
    </row>
    <row r="95" spans="1:13">
      <c r="A95" s="251" t="s">
        <v>4786</v>
      </c>
      <c r="B95" s="251" t="s">
        <v>4679</v>
      </c>
      <c r="C95" s="556">
        <v>45953</v>
      </c>
      <c r="D95" s="251" t="s">
        <v>4716</v>
      </c>
      <c r="E95" s="251" t="s">
        <v>4731</v>
      </c>
      <c r="F95" s="251" t="s">
        <v>1932</v>
      </c>
      <c r="G95" s="251" t="s">
        <v>4757</v>
      </c>
      <c r="H95" s="251" t="s">
        <v>4758</v>
      </c>
      <c r="I95" s="251" t="s">
        <v>30</v>
      </c>
      <c r="J95" s="549" t="s">
        <v>4721</v>
      </c>
      <c r="K95" s="549" t="s">
        <v>30</v>
      </c>
      <c r="L95">
        <f>IF(AND($K95="Cold",$B95&lt;&gt;"",$C95&gt;=EOMONTH('Cold Outreach'!$C$3,-1)+1,$C95&lt;=EOMONTH('Cold Outreach'!$C$3,0)),
IF(COUNTIFS($B$2:$B95,$B95,$K$2:$K95,"Cold",$C$2:$C95,"&gt;="&amp;EOMONTH('Cold Outreach'!$C$3,-1)+1,$C$2:$C95,"&lt;="&amp;EOMONTH('Cold Outreach'!$C$3,0))=1,1,0),
0)</f>
        <v>0</v>
      </c>
      <c r="M95">
        <f>IF(AND($K95="Cold",$B95&lt;&gt;"",$C95&gt;=EDATE(EOMONTH('Cold Outreach'!$C$3,-1)+1,-('Cold Outreach'!$N$2-1)),$C95&lt;=EOMONTH('Cold Outreach'!$C$3,0)),
IF(COUNTIFS($B$2:$B95,$B95,$K$2:$K95,"Cold",$C$2:$C95,"&gt;="&amp;EDATE(EOMONTH('Cold Outreach'!$C$3,-1)+1,-('Cold Outreach'!$N$2-1)),$C$2:$C95,"&lt;="&amp;EOMONTH('Cold Outreach'!$C$3,0))=1,1,0),
0)</f>
        <v>0</v>
      </c>
    </row>
    <row r="96" spans="1:13">
      <c r="A96" s="559" t="s">
        <v>4883</v>
      </c>
      <c r="B96" s="559" t="s">
        <v>4884</v>
      </c>
      <c r="C96" s="556">
        <v>45957</v>
      </c>
      <c r="D96" s="251"/>
      <c r="E96" s="251"/>
      <c r="F96" s="251" t="s">
        <v>4809</v>
      </c>
      <c r="G96" s="251" t="s">
        <v>4718</v>
      </c>
      <c r="H96" s="251" t="s">
        <v>4712</v>
      </c>
      <c r="I96" s="251" t="s">
        <v>30</v>
      </c>
      <c r="J96" s="251"/>
      <c r="K96" s="251" t="s">
        <v>30</v>
      </c>
      <c r="L96">
        <f>IF(AND($K96="Cold",$B96&lt;&gt;"",$C96&gt;=EOMONTH('Cold Outreach'!$C$3,-1)+1,$C96&lt;=EOMONTH('Cold Outreach'!$C$3,0)),
IF(COUNTIFS($B$2:$B96,$B96,$K$2:$K96,"Cold",$C$2:$C96,"&gt;="&amp;EOMONTH('Cold Outreach'!$C$3,-1)+1,$C$2:$C96,"&lt;="&amp;EOMONTH('Cold Outreach'!$C$3,0))=1,1,0),
0)</f>
        <v>0</v>
      </c>
      <c r="M96">
        <f>IF(AND($K96="Cold",$B96&lt;&gt;"",$C96&gt;=EDATE(EOMONTH('Cold Outreach'!$C$3,-1)+1,-('Cold Outreach'!$N$2-1)),$C96&lt;=EOMONTH('Cold Outreach'!$C$3,0)),
IF(COUNTIFS($B$2:$B96,$B96,$K$2:$K96,"Cold",$C$2:$C96,"&gt;="&amp;EDATE(EOMONTH('Cold Outreach'!$C$3,-1)+1,-('Cold Outreach'!$N$2-1)),$C$2:$C96,"&lt;="&amp;EOMONTH('Cold Outreach'!$C$3,0))=1,1,0),
0)</f>
        <v>1</v>
      </c>
    </row>
    <row r="97" spans="1:13">
      <c r="A97" s="251" t="s">
        <v>4885</v>
      </c>
      <c r="B97" s="251" t="s">
        <v>4886</v>
      </c>
      <c r="C97" s="556">
        <v>45960</v>
      </c>
      <c r="D97" s="251" t="s">
        <v>4730</v>
      </c>
      <c r="E97" s="251" t="s">
        <v>587</v>
      </c>
      <c r="F97" s="251" t="s">
        <v>1932</v>
      </c>
      <c r="G97" s="251" t="s">
        <v>4757</v>
      </c>
      <c r="H97" s="251" t="s">
        <v>247</v>
      </c>
      <c r="I97" s="251" t="s">
        <v>30</v>
      </c>
      <c r="J97" s="549" t="s">
        <v>4721</v>
      </c>
      <c r="K97" s="549" t="s">
        <v>30</v>
      </c>
      <c r="L97">
        <f>IF(AND($K97="Cold",$B97&lt;&gt;"",$C97&gt;=EOMONTH('Cold Outreach'!$C$3,-1)+1,$C97&lt;=EOMONTH('Cold Outreach'!$C$3,0)),
IF(COUNTIFS($B$2:$B97,$B97,$K$2:$K97,"Cold",$C$2:$C97,"&gt;="&amp;EOMONTH('Cold Outreach'!$C$3,-1)+1,$C$2:$C97,"&lt;="&amp;EOMONTH('Cold Outreach'!$C$3,0))=1,1,0),
0)</f>
        <v>0</v>
      </c>
      <c r="M97">
        <f>IF(AND($K97="Cold",$B97&lt;&gt;"",$C97&gt;=EDATE(EOMONTH('Cold Outreach'!$C$3,-1)+1,-('Cold Outreach'!$N$2-1)),$C97&lt;=EOMONTH('Cold Outreach'!$C$3,0)),
IF(COUNTIFS($B$2:$B97,$B97,$K$2:$K97,"Cold",$C$2:$C97,"&gt;="&amp;EDATE(EOMONTH('Cold Outreach'!$C$3,-1)+1,-('Cold Outreach'!$N$2-1)),$C$2:$C97,"&lt;="&amp;EOMONTH('Cold Outreach'!$C$3,0))=1,1,0),
0)</f>
        <v>1</v>
      </c>
    </row>
    <row r="98" spans="1:13">
      <c r="A98" s="251" t="s">
        <v>4887</v>
      </c>
      <c r="B98" s="251" t="s">
        <v>4888</v>
      </c>
      <c r="C98" s="556">
        <v>45960</v>
      </c>
      <c r="D98" s="251" t="s">
        <v>4730</v>
      </c>
      <c r="E98" s="251" t="s">
        <v>4790</v>
      </c>
      <c r="F98" s="251" t="s">
        <v>1932</v>
      </c>
      <c r="G98" s="251" t="s">
        <v>4718</v>
      </c>
      <c r="H98" s="251" t="s">
        <v>4712</v>
      </c>
      <c r="I98" s="251" t="s">
        <v>30</v>
      </c>
      <c r="J98" s="549" t="s">
        <v>320</v>
      </c>
      <c r="K98" s="549" t="s">
        <v>30</v>
      </c>
      <c r="L98">
        <f>IF(AND($K98="Cold",$B98&lt;&gt;"",$C98&gt;=EOMONTH('Cold Outreach'!$C$3,-1)+1,$C98&lt;=EOMONTH('Cold Outreach'!$C$3,0)),
IF(COUNTIFS($B$2:$B98,$B98,$K$2:$K98,"Cold",$C$2:$C98,"&gt;="&amp;EOMONTH('Cold Outreach'!$C$3,-1)+1,$C$2:$C98,"&lt;="&amp;EOMONTH('Cold Outreach'!$C$3,0))=1,1,0),
0)</f>
        <v>0</v>
      </c>
      <c r="M98">
        <f>IF(AND($K98="Cold",$B98&lt;&gt;"",$C98&gt;=EDATE(EOMONTH('Cold Outreach'!$C$3,-1)+1,-('Cold Outreach'!$N$2-1)),$C98&lt;=EOMONTH('Cold Outreach'!$C$3,0)),
IF(COUNTIFS($B$2:$B98,$B98,$K$2:$K98,"Cold",$C$2:$C98,"&gt;="&amp;EDATE(EOMONTH('Cold Outreach'!$C$3,-1)+1,-('Cold Outreach'!$N$2-1)),$C$2:$C98,"&lt;="&amp;EOMONTH('Cold Outreach'!$C$3,0))=1,1,0),
0)</f>
        <v>1</v>
      </c>
    </row>
    <row r="99" spans="1:13">
      <c r="A99" s="251" t="s">
        <v>4889</v>
      </c>
      <c r="B99" s="251" t="s">
        <v>4890</v>
      </c>
      <c r="C99" s="556">
        <v>45965</v>
      </c>
      <c r="D99" s="251" t="s">
        <v>4730</v>
      </c>
      <c r="E99" s="251" t="s">
        <v>4742</v>
      </c>
      <c r="F99" s="251" t="s">
        <v>1932</v>
      </c>
      <c r="G99" s="251" t="s">
        <v>4718</v>
      </c>
      <c r="H99" s="251" t="s">
        <v>4723</v>
      </c>
      <c r="I99" s="251" t="s">
        <v>30</v>
      </c>
      <c r="J99" s="549" t="s">
        <v>4723</v>
      </c>
      <c r="K99" s="549" t="s">
        <v>30</v>
      </c>
      <c r="L99">
        <f>IF(AND($K99="Cold",$B99&lt;&gt;"",$C99&gt;=EOMONTH('Cold Outreach'!$C$3,-1)+1,$C99&lt;=EOMONTH('Cold Outreach'!$C$3,0)),
IF(COUNTIFS($B$2:$B99,$B99,$K$2:$K99,"Cold",$C$2:$C99,"&gt;="&amp;EOMONTH('Cold Outreach'!$C$3,-1)+1,$C$2:$C99,"&lt;="&amp;EOMONTH('Cold Outreach'!$C$3,0))=1,1,0),
0)</f>
        <v>0</v>
      </c>
      <c r="M99">
        <f>IF(AND($K99="Cold",$B99&lt;&gt;"",$C99&gt;=EDATE(EOMONTH('Cold Outreach'!$C$3,-1)+1,-('Cold Outreach'!$N$2-1)),$C99&lt;=EOMONTH('Cold Outreach'!$C$3,0)),
IF(COUNTIFS($B$2:$B99,$B99,$K$2:$K99,"Cold",$C$2:$C99,"&gt;="&amp;EDATE(EOMONTH('Cold Outreach'!$C$3,-1)+1,-('Cold Outreach'!$N$2-1)),$C$2:$C99,"&lt;="&amp;EOMONTH('Cold Outreach'!$C$3,0))=1,1,0),
0)</f>
        <v>1</v>
      </c>
    </row>
    <row r="100" spans="1:13">
      <c r="A100" s="251" t="s">
        <v>4891</v>
      </c>
      <c r="B100" s="251" t="s">
        <v>4892</v>
      </c>
      <c r="C100" s="556">
        <v>45966</v>
      </c>
      <c r="D100" s="251" t="s">
        <v>4716</v>
      </c>
      <c r="E100" s="251" t="s">
        <v>521</v>
      </c>
      <c r="F100" s="251" t="s">
        <v>1932</v>
      </c>
      <c r="G100" s="251" t="s">
        <v>4718</v>
      </c>
      <c r="H100" s="251" t="s">
        <v>4712</v>
      </c>
      <c r="I100" s="251" t="s">
        <v>30</v>
      </c>
      <c r="J100" s="549" t="s">
        <v>320</v>
      </c>
      <c r="K100" s="549" t="s">
        <v>30</v>
      </c>
      <c r="L100">
        <f>IF(AND($K100="Cold",$B100&lt;&gt;"",$C100&gt;=EOMONTH('Cold Outreach'!$C$3,-1)+1,$C100&lt;=EOMONTH('Cold Outreach'!$C$3,0)),
IF(COUNTIFS($B$2:$B100,$B100,$K$2:$K100,"Cold",$C$2:$C100,"&gt;="&amp;EOMONTH('Cold Outreach'!$C$3,-1)+1,$C$2:$C100,"&lt;="&amp;EOMONTH('Cold Outreach'!$C$3,0))=1,1,0),
0)</f>
        <v>0</v>
      </c>
      <c r="M100">
        <f>IF(AND($K100="Cold",$B100&lt;&gt;"",$C100&gt;=EDATE(EOMONTH('Cold Outreach'!$C$3,-1)+1,-('Cold Outreach'!$N$2-1)),$C100&lt;=EOMONTH('Cold Outreach'!$C$3,0)),
IF(COUNTIFS($B$2:$B100,$B100,$K$2:$K100,"Cold",$C$2:$C100,"&gt;="&amp;EDATE(EOMONTH('Cold Outreach'!$C$3,-1)+1,-('Cold Outreach'!$N$2-1)),$C$2:$C100,"&lt;="&amp;EOMONTH('Cold Outreach'!$C$3,0))=1,1,0),
0)</f>
        <v>1</v>
      </c>
    </row>
    <row r="101" spans="1:13">
      <c r="A101" s="251" t="s">
        <v>4893</v>
      </c>
      <c r="B101" s="251" t="s">
        <v>4894</v>
      </c>
      <c r="C101" s="556">
        <v>45967</v>
      </c>
      <c r="D101" s="251" t="s">
        <v>4730</v>
      </c>
      <c r="E101" s="251" t="s">
        <v>4742</v>
      </c>
      <c r="F101" s="251" t="s">
        <v>401</v>
      </c>
      <c r="G101" s="251" t="s">
        <v>4718</v>
      </c>
      <c r="H101" s="251" t="s">
        <v>247</v>
      </c>
      <c r="I101" s="251" t="s">
        <v>4895</v>
      </c>
      <c r="J101" s="549" t="s">
        <v>320</v>
      </c>
      <c r="K101" s="549" t="s">
        <v>1473</v>
      </c>
      <c r="L101">
        <f>IF(AND($K101="Cold",$B101&lt;&gt;"",$C101&gt;=EOMONTH('Cold Outreach'!$C$3,-1)+1,$C101&lt;=EOMONTH('Cold Outreach'!$C$3,0)),
IF(COUNTIFS($B$2:$B101,$B101,$K$2:$K101,"Cold",$C$2:$C101,"&gt;="&amp;EOMONTH('Cold Outreach'!$C$3,-1)+1,$C$2:$C101,"&lt;="&amp;EOMONTH('Cold Outreach'!$C$3,0))=1,1,0),
0)</f>
        <v>0</v>
      </c>
      <c r="M101">
        <f>IF(AND($K101="Cold",$B101&lt;&gt;"",$C101&gt;=EDATE(EOMONTH('Cold Outreach'!$C$3,-1)+1,-('Cold Outreach'!$N$2-1)),$C101&lt;=EOMONTH('Cold Outreach'!$C$3,0)),
IF(COUNTIFS($B$2:$B101,$B101,$K$2:$K101,"Cold",$C$2:$C101,"&gt;="&amp;EDATE(EOMONTH('Cold Outreach'!$C$3,-1)+1,-('Cold Outreach'!$N$2-1)),$C$2:$C101,"&lt;="&amp;EOMONTH('Cold Outreach'!$C$3,0))=1,1,0),
0)</f>
        <v>0</v>
      </c>
    </row>
    <row r="102" spans="1:13">
      <c r="A102" s="251" t="s">
        <v>4896</v>
      </c>
      <c r="B102" s="251" t="s">
        <v>763</v>
      </c>
      <c r="C102" s="556">
        <v>45967</v>
      </c>
      <c r="D102" s="251" t="s">
        <v>4716</v>
      </c>
      <c r="E102" s="251" t="s">
        <v>521</v>
      </c>
      <c r="F102" s="251" t="s">
        <v>1932</v>
      </c>
      <c r="G102" s="251" t="s">
        <v>4718</v>
      </c>
      <c r="H102" s="251" t="s">
        <v>4712</v>
      </c>
      <c r="I102" s="251" t="s">
        <v>944</v>
      </c>
      <c r="J102" s="549" t="s">
        <v>320</v>
      </c>
      <c r="K102" s="549" t="s">
        <v>27</v>
      </c>
      <c r="L102">
        <f>IF(AND($K102="Cold",$B102&lt;&gt;"",$C102&gt;=EOMONTH('Cold Outreach'!$C$3,-1)+1,$C102&lt;=EOMONTH('Cold Outreach'!$C$3,0)),
IF(COUNTIFS($B$2:$B102,$B102,$K$2:$K102,"Cold",$C$2:$C102,"&gt;="&amp;EOMONTH('Cold Outreach'!$C$3,-1)+1,$C$2:$C102,"&lt;="&amp;EOMONTH('Cold Outreach'!$C$3,0))=1,1,0),
0)</f>
        <v>0</v>
      </c>
      <c r="M102">
        <f>IF(AND($K102="Cold",$B102&lt;&gt;"",$C102&gt;=EDATE(EOMONTH('Cold Outreach'!$C$3,-1)+1,-('Cold Outreach'!$N$2-1)),$C102&lt;=EOMONTH('Cold Outreach'!$C$3,0)),
IF(COUNTIFS($B$2:$B102,$B102,$K$2:$K102,"Cold",$C$2:$C102,"&gt;="&amp;EDATE(EOMONTH('Cold Outreach'!$C$3,-1)+1,-('Cold Outreach'!$N$2-1)),$C$2:$C102,"&lt;="&amp;EOMONTH('Cold Outreach'!$C$3,0))=1,1,0),
0)</f>
        <v>0</v>
      </c>
    </row>
    <row r="103" spans="1:13">
      <c r="A103" s="559" t="s">
        <v>4897</v>
      </c>
      <c r="B103" s="559" t="s">
        <v>4898</v>
      </c>
      <c r="C103" s="556">
        <v>45967</v>
      </c>
      <c r="D103" s="251"/>
      <c r="E103" s="251"/>
      <c r="F103" s="251" t="s">
        <v>4809</v>
      </c>
      <c r="G103" s="251" t="s">
        <v>4718</v>
      </c>
      <c r="H103" s="251" t="s">
        <v>4712</v>
      </c>
      <c r="I103" s="251" t="s">
        <v>30</v>
      </c>
      <c r="J103" s="251"/>
      <c r="K103" s="251" t="s">
        <v>30</v>
      </c>
      <c r="L103">
        <f>IF(AND($K103="Cold",$B103&lt;&gt;"",$C103&gt;=EOMONTH('Cold Outreach'!$C$3,-1)+1,$C103&lt;=EOMONTH('Cold Outreach'!$C$3,0)),
IF(COUNTIFS($B$2:$B103,$B103,$K$2:$K103,"Cold",$C$2:$C103,"&gt;="&amp;EOMONTH('Cold Outreach'!$C$3,-1)+1,$C$2:$C103,"&lt;="&amp;EOMONTH('Cold Outreach'!$C$3,0))=1,1,0),
0)</f>
        <v>0</v>
      </c>
      <c r="M103">
        <f>IF(AND($K103="Cold",$B103&lt;&gt;"",$C103&gt;=EDATE(EOMONTH('Cold Outreach'!$C$3,-1)+1,-('Cold Outreach'!$N$2-1)),$C103&lt;=EOMONTH('Cold Outreach'!$C$3,0)),
IF(COUNTIFS($B$2:$B103,$B103,$K$2:$K103,"Cold",$C$2:$C103,"&gt;="&amp;EDATE(EOMONTH('Cold Outreach'!$C$3,-1)+1,-('Cold Outreach'!$N$2-1)),$C$2:$C103,"&lt;="&amp;EOMONTH('Cold Outreach'!$C$3,0))=1,1,0),
0)</f>
        <v>1</v>
      </c>
    </row>
    <row r="104" spans="1:13">
      <c r="A104" s="251" t="s">
        <v>4899</v>
      </c>
      <c r="B104" s="251" t="s">
        <v>4900</v>
      </c>
      <c r="C104" s="556">
        <v>45968</v>
      </c>
      <c r="D104" s="251" t="s">
        <v>4716</v>
      </c>
      <c r="E104" s="251" t="s">
        <v>4717</v>
      </c>
      <c r="F104" s="251" t="s">
        <v>1932</v>
      </c>
      <c r="G104" s="251" t="s">
        <v>4718</v>
      </c>
      <c r="H104" s="251" t="s">
        <v>247</v>
      </c>
      <c r="I104" s="251" t="s">
        <v>30</v>
      </c>
      <c r="J104" s="549" t="s">
        <v>320</v>
      </c>
      <c r="K104" s="549" t="s">
        <v>30</v>
      </c>
      <c r="L104">
        <f>IF(AND($K104="Cold",$B104&lt;&gt;"",$C104&gt;=EOMONTH('Cold Outreach'!$C$3,-1)+1,$C104&lt;=EOMONTH('Cold Outreach'!$C$3,0)),
IF(COUNTIFS($B$2:$B104,$B104,$K$2:$K104,"Cold",$C$2:$C104,"&gt;="&amp;EOMONTH('Cold Outreach'!$C$3,-1)+1,$C$2:$C104,"&lt;="&amp;EOMONTH('Cold Outreach'!$C$3,0))=1,1,0),
0)</f>
        <v>0</v>
      </c>
      <c r="M104">
        <f>IF(AND($K104="Cold",$B104&lt;&gt;"",$C104&gt;=EDATE(EOMONTH('Cold Outreach'!$C$3,-1)+1,-('Cold Outreach'!$N$2-1)),$C104&lt;=EOMONTH('Cold Outreach'!$C$3,0)),
IF(COUNTIFS($B$2:$B104,$B104,$K$2:$K104,"Cold",$C$2:$C104,"&gt;="&amp;EDATE(EOMONTH('Cold Outreach'!$C$3,-1)+1,-('Cold Outreach'!$N$2-1)),$C$2:$C104,"&lt;="&amp;EOMONTH('Cold Outreach'!$C$3,0))=1,1,0),
0)</f>
        <v>1</v>
      </c>
    </row>
    <row r="105" spans="1:13">
      <c r="A105" s="559" t="s">
        <v>4901</v>
      </c>
      <c r="B105" s="559" t="s">
        <v>4902</v>
      </c>
      <c r="C105" s="556">
        <v>45971</v>
      </c>
      <c r="D105" s="251"/>
      <c r="E105" s="251"/>
      <c r="F105" s="251" t="s">
        <v>4809</v>
      </c>
      <c r="G105" s="251" t="s">
        <v>4718</v>
      </c>
      <c r="H105" s="251" t="s">
        <v>4712</v>
      </c>
      <c r="I105" s="251" t="s">
        <v>30</v>
      </c>
      <c r="J105" s="251"/>
      <c r="K105" s="251" t="s">
        <v>30</v>
      </c>
      <c r="L105">
        <f>IF(AND($K105="Cold",$B105&lt;&gt;"",$C105&gt;=EOMONTH('Cold Outreach'!$C$3,-1)+1,$C105&lt;=EOMONTH('Cold Outreach'!$C$3,0)),
IF(COUNTIFS($B$2:$B105,$B105,$K$2:$K105,"Cold",$C$2:$C105,"&gt;="&amp;EOMONTH('Cold Outreach'!$C$3,-1)+1,$C$2:$C105,"&lt;="&amp;EOMONTH('Cold Outreach'!$C$3,0))=1,1,0),
0)</f>
        <v>0</v>
      </c>
      <c r="M105">
        <f>IF(AND($K105="Cold",$B105&lt;&gt;"",$C105&gt;=EDATE(EOMONTH('Cold Outreach'!$C$3,-1)+1,-('Cold Outreach'!$N$2-1)),$C105&lt;=EOMONTH('Cold Outreach'!$C$3,0)),
IF(COUNTIFS($B$2:$B105,$B105,$K$2:$K105,"Cold",$C$2:$C105,"&gt;="&amp;EDATE(EOMONTH('Cold Outreach'!$C$3,-1)+1,-('Cold Outreach'!$N$2-1)),$C$2:$C105,"&lt;="&amp;EOMONTH('Cold Outreach'!$C$3,0))=1,1,0),
0)</f>
        <v>1</v>
      </c>
    </row>
    <row r="106" spans="1:13">
      <c r="A106" s="251" t="s">
        <v>4903</v>
      </c>
      <c r="B106" s="251" t="s">
        <v>1589</v>
      </c>
      <c r="C106" s="556">
        <v>45972</v>
      </c>
      <c r="D106" s="251" t="s">
        <v>4716</v>
      </c>
      <c r="E106" s="251" t="s">
        <v>4731</v>
      </c>
      <c r="F106" s="251" t="s">
        <v>401</v>
      </c>
      <c r="G106" s="251" t="s">
        <v>4718</v>
      </c>
      <c r="H106" s="251" t="s">
        <v>4723</v>
      </c>
      <c r="I106" s="251" t="s">
        <v>4737</v>
      </c>
      <c r="J106" s="549" t="s">
        <v>4723</v>
      </c>
      <c r="K106" s="549" t="s">
        <v>1473</v>
      </c>
      <c r="L106">
        <f>IF(AND($K106="Cold",$B106&lt;&gt;"",$C106&gt;=EOMONTH('Cold Outreach'!$C$3,-1)+1,$C106&lt;=EOMONTH('Cold Outreach'!$C$3,0)),
IF(COUNTIFS($B$2:$B106,$B106,$K$2:$K106,"Cold",$C$2:$C106,"&gt;="&amp;EOMONTH('Cold Outreach'!$C$3,-1)+1,$C$2:$C106,"&lt;="&amp;EOMONTH('Cold Outreach'!$C$3,0))=1,1,0),
0)</f>
        <v>0</v>
      </c>
      <c r="M106">
        <f>IF(AND($K106="Cold",$B106&lt;&gt;"",$C106&gt;=EDATE(EOMONTH('Cold Outreach'!$C$3,-1)+1,-('Cold Outreach'!$N$2-1)),$C106&lt;=EOMONTH('Cold Outreach'!$C$3,0)),
IF(COUNTIFS($B$2:$B106,$B106,$K$2:$K106,"Cold",$C$2:$C106,"&gt;="&amp;EDATE(EOMONTH('Cold Outreach'!$C$3,-1)+1,-('Cold Outreach'!$N$2-1)),$C$2:$C106,"&lt;="&amp;EOMONTH('Cold Outreach'!$C$3,0))=1,1,0),
0)</f>
        <v>0</v>
      </c>
    </row>
    <row r="107" spans="1:13">
      <c r="A107" s="559" t="s">
        <v>4904</v>
      </c>
      <c r="B107" s="559" t="s">
        <v>2906</v>
      </c>
      <c r="C107" s="556">
        <v>45973</v>
      </c>
      <c r="D107" s="251"/>
      <c r="E107" s="251"/>
      <c r="F107" s="251" t="s">
        <v>4809</v>
      </c>
      <c r="G107" s="251" t="s">
        <v>4718</v>
      </c>
      <c r="H107" s="251" t="s">
        <v>4712</v>
      </c>
      <c r="I107" s="251" t="s">
        <v>30</v>
      </c>
      <c r="J107" s="251"/>
      <c r="K107" s="251" t="s">
        <v>30</v>
      </c>
      <c r="L107">
        <f>IF(AND($K107="Cold",$B107&lt;&gt;"",$C107&gt;=EOMONTH('Cold Outreach'!$C$3,-1)+1,$C107&lt;=EOMONTH('Cold Outreach'!$C$3,0)),
IF(COUNTIFS($B$2:$B107,$B107,$K$2:$K107,"Cold",$C$2:$C107,"&gt;="&amp;EOMONTH('Cold Outreach'!$C$3,-1)+1,$C$2:$C107,"&lt;="&amp;EOMONTH('Cold Outreach'!$C$3,0))=1,1,0),
0)</f>
        <v>0</v>
      </c>
      <c r="M107">
        <f>IF(AND($K107="Cold",$B107&lt;&gt;"",$C107&gt;=EDATE(EOMONTH('Cold Outreach'!$C$3,-1)+1,-('Cold Outreach'!$N$2-1)),$C107&lt;=EOMONTH('Cold Outreach'!$C$3,0)),
IF(COUNTIFS($B$2:$B107,$B107,$K$2:$K107,"Cold",$C$2:$C107,"&gt;="&amp;EDATE(EOMONTH('Cold Outreach'!$C$3,-1)+1,-('Cold Outreach'!$N$2-1)),$C$2:$C107,"&lt;="&amp;EOMONTH('Cold Outreach'!$C$3,0))=1,1,0),
0)</f>
        <v>1</v>
      </c>
    </row>
    <row r="108" spans="1:13">
      <c r="A108" s="251" t="s">
        <v>4905</v>
      </c>
      <c r="B108" s="251" t="s">
        <v>4906</v>
      </c>
      <c r="C108" s="556">
        <v>45974</v>
      </c>
      <c r="D108" s="251" t="s">
        <v>4716</v>
      </c>
      <c r="E108" s="251" t="s">
        <v>4742</v>
      </c>
      <c r="F108" s="251" t="s">
        <v>401</v>
      </c>
      <c r="G108" s="251" t="s">
        <v>4718</v>
      </c>
      <c r="H108" s="251" t="s">
        <v>4712</v>
      </c>
      <c r="I108" s="251" t="s">
        <v>30</v>
      </c>
      <c r="J108" s="549" t="s">
        <v>320</v>
      </c>
      <c r="K108" s="549" t="s">
        <v>30</v>
      </c>
      <c r="L108">
        <f>IF(AND($K108="Cold",$B108&lt;&gt;"",$C108&gt;=EOMONTH('Cold Outreach'!$C$3,-1)+1,$C108&lt;=EOMONTH('Cold Outreach'!$C$3,0)),
IF(COUNTIFS($B$2:$B108,$B108,$K$2:$K108,"Cold",$C$2:$C108,"&gt;="&amp;EOMONTH('Cold Outreach'!$C$3,-1)+1,$C$2:$C108,"&lt;="&amp;EOMONTH('Cold Outreach'!$C$3,0))=1,1,0),
0)</f>
        <v>0</v>
      </c>
      <c r="M108">
        <f>IF(AND($K108="Cold",$B108&lt;&gt;"",$C108&gt;=EDATE(EOMONTH('Cold Outreach'!$C$3,-1)+1,-('Cold Outreach'!$N$2-1)),$C108&lt;=EOMONTH('Cold Outreach'!$C$3,0)),
IF(COUNTIFS($B$2:$B108,$B108,$K$2:$K108,"Cold",$C$2:$C108,"&gt;="&amp;EDATE(EOMONTH('Cold Outreach'!$C$3,-1)+1,-('Cold Outreach'!$N$2-1)),$C$2:$C108,"&lt;="&amp;EOMONTH('Cold Outreach'!$C$3,0))=1,1,0),
0)</f>
        <v>1</v>
      </c>
    </row>
    <row r="109" spans="1:13">
      <c r="A109" s="559" t="s">
        <v>4907</v>
      </c>
      <c r="B109" s="559" t="s">
        <v>3632</v>
      </c>
      <c r="C109" s="556">
        <v>45980</v>
      </c>
      <c r="D109" s="251"/>
      <c r="E109" s="251"/>
      <c r="F109" s="251" t="s">
        <v>4809</v>
      </c>
      <c r="G109" s="251" t="s">
        <v>4718</v>
      </c>
      <c r="H109" s="251" t="s">
        <v>4712</v>
      </c>
      <c r="I109" s="251" t="s">
        <v>30</v>
      </c>
      <c r="J109" s="251"/>
      <c r="K109" s="251" t="s">
        <v>30</v>
      </c>
      <c r="L109">
        <f>IF(AND($K109="Cold",$B109&lt;&gt;"",$C109&gt;=EOMONTH('Cold Outreach'!$C$3,-1)+1,$C109&lt;=EOMONTH('Cold Outreach'!$C$3,0)),
IF(COUNTIFS($B$2:$B109,$B109,$K$2:$K109,"Cold",$C$2:$C109,"&gt;="&amp;EOMONTH('Cold Outreach'!$C$3,-1)+1,$C$2:$C109,"&lt;="&amp;EOMONTH('Cold Outreach'!$C$3,0))=1,1,0),
0)</f>
        <v>0</v>
      </c>
      <c r="M109">
        <f>IF(AND($K109="Cold",$B109&lt;&gt;"",$C109&gt;=EDATE(EOMONTH('Cold Outreach'!$C$3,-1)+1,-('Cold Outreach'!$N$2-1)),$C109&lt;=EOMONTH('Cold Outreach'!$C$3,0)),
IF(COUNTIFS($B$2:$B109,$B109,$K$2:$K109,"Cold",$C$2:$C109,"&gt;="&amp;EDATE(EOMONTH('Cold Outreach'!$C$3,-1)+1,-('Cold Outreach'!$N$2-1)),$C$2:$C109,"&lt;="&amp;EOMONTH('Cold Outreach'!$C$3,0))=1,1,0),
0)</f>
        <v>1</v>
      </c>
    </row>
    <row r="110" spans="1:13">
      <c r="A110" s="559" t="s">
        <v>4908</v>
      </c>
      <c r="B110" s="559" t="s">
        <v>4909</v>
      </c>
      <c r="C110" s="556">
        <v>45980</v>
      </c>
      <c r="D110" s="251"/>
      <c r="E110" s="251"/>
      <c r="F110" s="251" t="s">
        <v>4809</v>
      </c>
      <c r="G110" s="251" t="s">
        <v>4718</v>
      </c>
      <c r="H110" s="251" t="s">
        <v>4712</v>
      </c>
      <c r="I110" s="251" t="s">
        <v>30</v>
      </c>
      <c r="J110" s="251"/>
      <c r="K110" s="251" t="s">
        <v>30</v>
      </c>
      <c r="L110">
        <f>IF(AND($K110="Cold",$B110&lt;&gt;"",$C110&gt;=EOMONTH('Cold Outreach'!$C$3,-1)+1,$C110&lt;=EOMONTH('Cold Outreach'!$C$3,0)),
IF(COUNTIFS($B$2:$B110,$B110,$K$2:$K110,"Cold",$C$2:$C110,"&gt;="&amp;EOMONTH('Cold Outreach'!$C$3,-1)+1,$C$2:$C110,"&lt;="&amp;EOMONTH('Cold Outreach'!$C$3,0))=1,1,0),
0)</f>
        <v>0</v>
      </c>
      <c r="M110">
        <f>IF(AND($K110="Cold",$B110&lt;&gt;"",$C110&gt;=EDATE(EOMONTH('Cold Outreach'!$C$3,-1)+1,-('Cold Outreach'!$N$2-1)),$C110&lt;=EOMONTH('Cold Outreach'!$C$3,0)),
IF(COUNTIFS($B$2:$B110,$B110,$K$2:$K110,"Cold",$C$2:$C110,"&gt;="&amp;EDATE(EOMONTH('Cold Outreach'!$C$3,-1)+1,-('Cold Outreach'!$N$2-1)),$C$2:$C110,"&lt;="&amp;EOMONTH('Cold Outreach'!$C$3,0))=1,1,0),
0)</f>
        <v>1</v>
      </c>
    </row>
    <row r="111" spans="1:13">
      <c r="A111" s="251" t="s">
        <v>4910</v>
      </c>
      <c r="B111" s="251" t="s">
        <v>1046</v>
      </c>
      <c r="C111" s="556">
        <v>45982</v>
      </c>
      <c r="D111" s="251" t="s">
        <v>4716</v>
      </c>
      <c r="E111" s="251" t="s">
        <v>4731</v>
      </c>
      <c r="F111" s="251" t="s">
        <v>1932</v>
      </c>
      <c r="G111" s="251" t="s">
        <v>4718</v>
      </c>
      <c r="H111" s="251" t="s">
        <v>4712</v>
      </c>
      <c r="I111" s="251" t="s">
        <v>30</v>
      </c>
      <c r="J111" s="549" t="s">
        <v>320</v>
      </c>
      <c r="K111" s="549" t="s">
        <v>30</v>
      </c>
      <c r="L111">
        <f>IF(AND($K111="Cold",$B111&lt;&gt;"",$C111&gt;=EOMONTH('Cold Outreach'!$C$3,-1)+1,$C111&lt;=EOMONTH('Cold Outreach'!$C$3,0)),
IF(COUNTIFS($B$2:$B111,$B111,$K$2:$K111,"Cold",$C$2:$C111,"&gt;="&amp;EOMONTH('Cold Outreach'!$C$3,-1)+1,$C$2:$C111,"&lt;="&amp;EOMONTH('Cold Outreach'!$C$3,0))=1,1,0),
0)</f>
        <v>0</v>
      </c>
      <c r="M111">
        <f>IF(AND($K111="Cold",$B111&lt;&gt;"",$C111&gt;=EDATE(EOMONTH('Cold Outreach'!$C$3,-1)+1,-('Cold Outreach'!$N$2-1)),$C111&lt;=EOMONTH('Cold Outreach'!$C$3,0)),
IF(COUNTIFS($B$2:$B111,$B111,$K$2:$K111,"Cold",$C$2:$C111,"&gt;="&amp;EDATE(EOMONTH('Cold Outreach'!$C$3,-1)+1,-('Cold Outreach'!$N$2-1)),$C$2:$C111,"&lt;="&amp;EOMONTH('Cold Outreach'!$C$3,0))=1,1,0),
0)</f>
        <v>1</v>
      </c>
    </row>
    <row r="112" spans="1:13">
      <c r="A112" s="559" t="s">
        <v>4911</v>
      </c>
      <c r="B112" s="559" t="s">
        <v>4912</v>
      </c>
      <c r="C112" s="556">
        <v>45986</v>
      </c>
      <c r="D112" s="251"/>
      <c r="E112" s="251"/>
      <c r="F112" s="251" t="s">
        <v>4809</v>
      </c>
      <c r="G112" s="251" t="s">
        <v>4718</v>
      </c>
      <c r="H112" s="251" t="s">
        <v>4712</v>
      </c>
      <c r="I112" s="251" t="s">
        <v>30</v>
      </c>
      <c r="J112" s="251"/>
      <c r="K112" s="251" t="s">
        <v>30</v>
      </c>
      <c r="L112">
        <f>IF(AND($K112="Cold",$B112&lt;&gt;"",$C112&gt;=EOMONTH('Cold Outreach'!$C$3,-1)+1,$C112&lt;=EOMONTH('Cold Outreach'!$C$3,0)),
IF(COUNTIFS($B$2:$B112,$B112,$K$2:$K112,"Cold",$C$2:$C112,"&gt;="&amp;EOMONTH('Cold Outreach'!$C$3,-1)+1,$C$2:$C112,"&lt;="&amp;EOMONTH('Cold Outreach'!$C$3,0))=1,1,0),
0)</f>
        <v>0</v>
      </c>
      <c r="M112">
        <f>IF(AND($K112="Cold",$B112&lt;&gt;"",$C112&gt;=EDATE(EOMONTH('Cold Outreach'!$C$3,-1)+1,-('Cold Outreach'!$N$2-1)),$C112&lt;=EOMONTH('Cold Outreach'!$C$3,0)),
IF(COUNTIFS($B$2:$B112,$B112,$K$2:$K112,"Cold",$C$2:$C112,"&gt;="&amp;EDATE(EOMONTH('Cold Outreach'!$C$3,-1)+1,-('Cold Outreach'!$N$2-1)),$C$2:$C112,"&lt;="&amp;EOMONTH('Cold Outreach'!$C$3,0))=1,1,0),
0)</f>
        <v>1</v>
      </c>
    </row>
    <row r="113" spans="1:13">
      <c r="A113" s="559" t="s">
        <v>4913</v>
      </c>
      <c r="B113" s="559" t="s">
        <v>4914</v>
      </c>
      <c r="C113" s="556">
        <v>45993</v>
      </c>
      <c r="D113" s="251"/>
      <c r="E113" s="251"/>
      <c r="F113" s="251" t="s">
        <v>4809</v>
      </c>
      <c r="G113" s="251" t="s">
        <v>4718</v>
      </c>
      <c r="H113" s="251" t="s">
        <v>4712</v>
      </c>
      <c r="I113" s="251" t="s">
        <v>30</v>
      </c>
      <c r="J113" s="251"/>
      <c r="K113" s="251" t="s">
        <v>30</v>
      </c>
      <c r="L113">
        <f>IF(AND($K113="Cold",$B113&lt;&gt;"",$C113&gt;=EOMONTH('Cold Outreach'!$C$3,-1)+1,$C113&lt;=EOMONTH('Cold Outreach'!$C$3,0)),
IF(COUNTIFS($B$2:$B113,$B113,$K$2:$K113,"Cold",$C$2:$C113,"&gt;="&amp;EOMONTH('Cold Outreach'!$C$3,-1)+1,$C$2:$C113,"&lt;="&amp;EOMONTH('Cold Outreach'!$C$3,0))=1,1,0),
0)</f>
        <v>0</v>
      </c>
      <c r="M113">
        <f>IF(AND($K113="Cold",$B113&lt;&gt;"",$C113&gt;=EDATE(EOMONTH('Cold Outreach'!$C$3,-1)+1,-('Cold Outreach'!$N$2-1)),$C113&lt;=EOMONTH('Cold Outreach'!$C$3,0)),
IF(COUNTIFS($B$2:$B113,$B113,$K$2:$K113,"Cold",$C$2:$C113,"&gt;="&amp;EDATE(EOMONTH('Cold Outreach'!$C$3,-1)+1,-('Cold Outreach'!$N$2-1)),$C$2:$C113,"&lt;="&amp;EOMONTH('Cold Outreach'!$C$3,0))=1,1,0),
0)</f>
        <v>1</v>
      </c>
    </row>
    <row r="114" spans="1:13">
      <c r="A114" s="251" t="s">
        <v>4915</v>
      </c>
      <c r="B114" s="251" t="s">
        <v>4474</v>
      </c>
      <c r="C114" s="556">
        <v>45994</v>
      </c>
      <c r="D114" s="251" t="s">
        <v>4730</v>
      </c>
      <c r="E114" s="251" t="s">
        <v>4731</v>
      </c>
      <c r="F114" s="251" t="s">
        <v>1932</v>
      </c>
      <c r="G114" s="251" t="s">
        <v>4718</v>
      </c>
      <c r="H114" s="251" t="s">
        <v>247</v>
      </c>
      <c r="I114" s="251" t="s">
        <v>30</v>
      </c>
      <c r="J114" s="549" t="s">
        <v>320</v>
      </c>
      <c r="K114" s="549" t="s">
        <v>30</v>
      </c>
      <c r="L114">
        <f>IF(AND($K114="Cold",$B114&lt;&gt;"",$C114&gt;=EOMONTH('Cold Outreach'!$C$3,-1)+1,$C114&lt;=EOMONTH('Cold Outreach'!$C$3,0)),
IF(COUNTIFS($B$2:$B114,$B114,$K$2:$K114,"Cold",$C$2:$C114,"&gt;="&amp;EOMONTH('Cold Outreach'!$C$3,-1)+1,$C$2:$C114,"&lt;="&amp;EOMONTH('Cold Outreach'!$C$3,0))=1,1,0),
0)</f>
        <v>0</v>
      </c>
      <c r="M114">
        <f>IF(AND($K114="Cold",$B114&lt;&gt;"",$C114&gt;=EDATE(EOMONTH('Cold Outreach'!$C$3,-1)+1,-('Cold Outreach'!$N$2-1)),$C114&lt;=EOMONTH('Cold Outreach'!$C$3,0)),
IF(COUNTIFS($B$2:$B114,$B114,$K$2:$K114,"Cold",$C$2:$C114,"&gt;="&amp;EDATE(EOMONTH('Cold Outreach'!$C$3,-1)+1,-('Cold Outreach'!$N$2-1)),$C$2:$C114,"&lt;="&amp;EOMONTH('Cold Outreach'!$C$3,0))=1,1,0),
0)</f>
        <v>0</v>
      </c>
    </row>
    <row r="115" spans="1:13">
      <c r="A115" s="251" t="s">
        <v>4916</v>
      </c>
      <c r="B115" s="251" t="s">
        <v>3481</v>
      </c>
      <c r="C115" s="556">
        <v>46000</v>
      </c>
      <c r="D115" s="251" t="s">
        <v>4730</v>
      </c>
      <c r="E115" s="251" t="s">
        <v>4742</v>
      </c>
      <c r="F115" s="251" t="s">
        <v>1932</v>
      </c>
      <c r="G115" s="251" t="s">
        <v>4718</v>
      </c>
      <c r="H115" s="251" t="s">
        <v>4723</v>
      </c>
      <c r="I115" s="251" t="s">
        <v>4917</v>
      </c>
      <c r="J115" s="549" t="s">
        <v>4723</v>
      </c>
      <c r="K115" s="549" t="s">
        <v>1473</v>
      </c>
      <c r="L115">
        <f>IF(AND($K115="Cold",$B115&lt;&gt;"",$C115&gt;=EOMONTH('Cold Outreach'!$C$3,-1)+1,$C115&lt;=EOMONTH('Cold Outreach'!$C$3,0)),
IF(COUNTIFS($B$2:$B115,$B115,$K$2:$K115,"Cold",$C$2:$C115,"&gt;="&amp;EOMONTH('Cold Outreach'!$C$3,-1)+1,$C$2:$C115,"&lt;="&amp;EOMONTH('Cold Outreach'!$C$3,0))=1,1,0),
0)</f>
        <v>0</v>
      </c>
      <c r="M115">
        <f>IF(AND($K115="Cold",$B115&lt;&gt;"",$C115&gt;=EDATE(EOMONTH('Cold Outreach'!$C$3,-1)+1,-('Cold Outreach'!$N$2-1)),$C115&lt;=EOMONTH('Cold Outreach'!$C$3,0)),
IF(COUNTIFS($B$2:$B115,$B115,$K$2:$K115,"Cold",$C$2:$C115,"&gt;="&amp;EDATE(EOMONTH('Cold Outreach'!$C$3,-1)+1,-('Cold Outreach'!$N$2-1)),$C$2:$C115,"&lt;="&amp;EOMONTH('Cold Outreach'!$C$3,0))=1,1,0),
0)</f>
        <v>0</v>
      </c>
    </row>
    <row r="116" spans="1:13">
      <c r="A116" s="251" t="s">
        <v>4918</v>
      </c>
      <c r="B116" s="251" t="s">
        <v>4096</v>
      </c>
      <c r="C116" s="556">
        <v>46002</v>
      </c>
      <c r="D116" s="251" t="s">
        <v>4730</v>
      </c>
      <c r="E116" s="251" t="s">
        <v>4742</v>
      </c>
      <c r="F116" s="251" t="s">
        <v>401</v>
      </c>
      <c r="G116" s="251" t="s">
        <v>4718</v>
      </c>
      <c r="H116" s="251" t="s">
        <v>4723</v>
      </c>
      <c r="I116" s="251" t="s">
        <v>4917</v>
      </c>
      <c r="J116" s="549" t="s">
        <v>4723</v>
      </c>
      <c r="K116" s="549" t="s">
        <v>1473</v>
      </c>
      <c r="L116">
        <f>IF(AND($K116="Cold",$B116&lt;&gt;"",$C116&gt;=EOMONTH('Cold Outreach'!$C$3,-1)+1,$C116&lt;=EOMONTH('Cold Outreach'!$C$3,0)),
IF(COUNTIFS($B$2:$B116,$B116,$K$2:$K116,"Cold",$C$2:$C116,"&gt;="&amp;EOMONTH('Cold Outreach'!$C$3,-1)+1,$C$2:$C116,"&lt;="&amp;EOMONTH('Cold Outreach'!$C$3,0))=1,1,0),
0)</f>
        <v>0</v>
      </c>
      <c r="M116">
        <f>IF(AND($K116="Cold",$B116&lt;&gt;"",$C116&gt;=EDATE(EOMONTH('Cold Outreach'!$C$3,-1)+1,-('Cold Outreach'!$N$2-1)),$C116&lt;=EOMONTH('Cold Outreach'!$C$3,0)),
IF(COUNTIFS($B$2:$B116,$B116,$K$2:$K116,"Cold",$C$2:$C116,"&gt;="&amp;EDATE(EOMONTH('Cold Outreach'!$C$3,-1)+1,-('Cold Outreach'!$N$2-1)),$C$2:$C116,"&lt;="&amp;EOMONTH('Cold Outreach'!$C$3,0))=1,1,0),
0)</f>
        <v>0</v>
      </c>
    </row>
    <row r="117" spans="1:13">
      <c r="A117" s="251" t="s">
        <v>4715</v>
      </c>
      <c r="B117" s="251" t="s">
        <v>3686</v>
      </c>
      <c r="C117" s="556">
        <v>46010</v>
      </c>
      <c r="D117" s="251" t="s">
        <v>4716</v>
      </c>
      <c r="E117" s="251" t="s">
        <v>4717</v>
      </c>
      <c r="F117" s="251" t="s">
        <v>401</v>
      </c>
      <c r="G117" s="251" t="s">
        <v>4718</v>
      </c>
      <c r="H117" s="251" t="s">
        <v>4723</v>
      </c>
      <c r="I117" s="251" t="s">
        <v>30</v>
      </c>
      <c r="J117" s="549" t="s">
        <v>4723</v>
      </c>
      <c r="K117" s="549" t="s">
        <v>30</v>
      </c>
      <c r="L117">
        <f>IF(AND($K117="Cold",$B117&lt;&gt;"",$C117&gt;=EOMONTH('Cold Outreach'!$C$3,-1)+1,$C117&lt;=EOMONTH('Cold Outreach'!$C$3,0)),
IF(COUNTIFS($B$2:$B117,$B117,$K$2:$K117,"Cold",$C$2:$C117,"&gt;="&amp;EOMONTH('Cold Outreach'!$C$3,-1)+1,$C$2:$C117,"&lt;="&amp;EOMONTH('Cold Outreach'!$C$3,0))=1,1,0),
0)</f>
        <v>0</v>
      </c>
      <c r="M117">
        <f>IF(AND($K117="Cold",$B117&lt;&gt;"",$C117&gt;=EDATE(EOMONTH('Cold Outreach'!$C$3,-1)+1,-('Cold Outreach'!$N$2-1)),$C117&lt;=EOMONTH('Cold Outreach'!$C$3,0)),
IF(COUNTIFS($B$2:$B117,$B117,$K$2:$K117,"Cold",$C$2:$C117,"&gt;="&amp;EDATE(EOMONTH('Cold Outreach'!$C$3,-1)+1,-('Cold Outreach'!$N$2-1)),$C$2:$C117,"&lt;="&amp;EOMONTH('Cold Outreach'!$C$3,0))=1,1,0),
0)</f>
        <v>1</v>
      </c>
    </row>
    <row r="118" spans="1:13">
      <c r="A118" s="251" t="s">
        <v>4919</v>
      </c>
      <c r="B118" s="251" t="s">
        <v>1020</v>
      </c>
      <c r="C118" s="556">
        <v>46021</v>
      </c>
      <c r="D118" s="251" t="s">
        <v>4716</v>
      </c>
      <c r="E118" s="251" t="s">
        <v>587</v>
      </c>
      <c r="F118" s="251" t="s">
        <v>401</v>
      </c>
      <c r="G118" s="251" t="s">
        <v>4718</v>
      </c>
      <c r="H118" s="251" t="s">
        <v>4723</v>
      </c>
      <c r="I118" s="251" t="s">
        <v>4917</v>
      </c>
      <c r="J118" s="549" t="s">
        <v>4723</v>
      </c>
      <c r="K118" s="549" t="s">
        <v>1473</v>
      </c>
      <c r="L118">
        <f>IF(AND($K118="Cold",$B118&lt;&gt;"",$C118&gt;=EOMONTH('Cold Outreach'!$C$3,-1)+1,$C118&lt;=EOMONTH('Cold Outreach'!$C$3,0)),
IF(COUNTIFS($B$2:$B118,$B118,$K$2:$K118,"Cold",$C$2:$C118,"&gt;="&amp;EOMONTH('Cold Outreach'!$C$3,-1)+1,$C$2:$C118,"&lt;="&amp;EOMONTH('Cold Outreach'!$C$3,0))=1,1,0),
0)</f>
        <v>0</v>
      </c>
      <c r="M118">
        <f>IF(AND($K118="Cold",$B118&lt;&gt;"",$C118&gt;=EDATE(EOMONTH('Cold Outreach'!$C$3,-1)+1,-('Cold Outreach'!$N$2-1)),$C118&lt;=EOMONTH('Cold Outreach'!$C$3,0)),
IF(COUNTIFS($B$2:$B118,$B118,$K$2:$K118,"Cold",$C$2:$C118,"&gt;="&amp;EDATE(EOMONTH('Cold Outreach'!$C$3,-1)+1,-('Cold Outreach'!$N$2-1)),$C$2:$C118,"&lt;="&amp;EOMONTH('Cold Outreach'!$C$3,0))=1,1,0),
0)</f>
        <v>0</v>
      </c>
    </row>
    <row r="119" spans="1:13">
      <c r="A119" s="549" t="s">
        <v>420</v>
      </c>
      <c r="B119" s="549" t="s">
        <v>4920</v>
      </c>
      <c r="C119" s="555">
        <v>46025</v>
      </c>
      <c r="D119" s="549" t="s">
        <v>4730</v>
      </c>
      <c r="E119" s="549" t="s">
        <v>420</v>
      </c>
      <c r="F119" s="549" t="s">
        <v>1932</v>
      </c>
      <c r="G119" s="549" t="s">
        <v>4757</v>
      </c>
      <c r="H119" s="549" t="s">
        <v>4758</v>
      </c>
      <c r="I119" s="549" t="s">
        <v>30</v>
      </c>
      <c r="J119" s="549" t="s">
        <v>4721</v>
      </c>
      <c r="K119" s="549" t="s">
        <v>30</v>
      </c>
      <c r="L119">
        <f>IF(AND($K119="Cold",$B119&lt;&gt;"",$C119&gt;=EOMONTH('Cold Outreach'!$C$3,-1)+1,$C119&lt;=EOMONTH('Cold Outreach'!$C$3,0)),
IF(COUNTIFS($B$2:$B119,$B119,$K$2:$K119,"Cold",$C$2:$C119,"&gt;="&amp;EOMONTH('Cold Outreach'!$C$3,-1)+1,$C$2:$C119,"&lt;="&amp;EOMONTH('Cold Outreach'!$C$3,0))=1,1,0),
0)</f>
        <v>0</v>
      </c>
      <c r="M119">
        <f>IF(AND($K119="Cold",$B119&lt;&gt;"",$C119&gt;=EDATE(EOMONTH('Cold Outreach'!$C$3,-1)+1,-('Cold Outreach'!$N$2-1)),$C119&lt;=EOMONTH('Cold Outreach'!$C$3,0)),
IF(COUNTIFS($B$2:$B119,$B119,$K$2:$K119,"Cold",$C$2:$C119,"&gt;="&amp;EDATE(EOMONTH('Cold Outreach'!$C$3,-1)+1,-('Cold Outreach'!$N$2-1)),$C$2:$C119,"&lt;="&amp;EOMONTH('Cold Outreach'!$C$3,0))=1,1,0),
0)</f>
        <v>1</v>
      </c>
    </row>
    <row r="120" spans="1:13">
      <c r="A120" s="549" t="s">
        <v>420</v>
      </c>
      <c r="B120" s="549" t="s">
        <v>4921</v>
      </c>
      <c r="C120" s="555">
        <v>46025</v>
      </c>
      <c r="D120" s="549" t="s">
        <v>4730</v>
      </c>
      <c r="E120" s="549" t="s">
        <v>587</v>
      </c>
      <c r="F120" s="549" t="s">
        <v>1932</v>
      </c>
      <c r="G120" s="549" t="s">
        <v>4718</v>
      </c>
      <c r="H120" s="549" t="s">
        <v>4719</v>
      </c>
      <c r="I120" s="549" t="s">
        <v>30</v>
      </c>
      <c r="J120" s="549" t="s">
        <v>320</v>
      </c>
      <c r="K120" s="549" t="s">
        <v>30</v>
      </c>
      <c r="L120">
        <f>IF(AND($K120="Cold",$B120&lt;&gt;"",$C120&gt;=EOMONTH('Cold Outreach'!$C$3,-1)+1,$C120&lt;=EOMONTH('Cold Outreach'!$C$3,0)),
IF(COUNTIFS($B$2:$B120,$B120,$K$2:$K120,"Cold",$C$2:$C120,"&gt;="&amp;EOMONTH('Cold Outreach'!$C$3,-1)+1,$C$2:$C120,"&lt;="&amp;EOMONTH('Cold Outreach'!$C$3,0))=1,1,0),
0)</f>
        <v>0</v>
      </c>
      <c r="M120">
        <f>IF(AND($K120="Cold",$B120&lt;&gt;"",$C120&gt;=EDATE(EOMONTH('Cold Outreach'!$C$3,-1)+1,-('Cold Outreach'!$N$2-1)),$C120&lt;=EOMONTH('Cold Outreach'!$C$3,0)),
IF(COUNTIFS($B$2:$B120,$B120,$K$2:$K120,"Cold",$C$2:$C120,"&gt;="&amp;EDATE(EOMONTH('Cold Outreach'!$C$3,-1)+1,-('Cold Outreach'!$N$2-1)),$C$2:$C120,"&lt;="&amp;EOMONTH('Cold Outreach'!$C$3,0))=1,1,0),
0)</f>
        <v>1</v>
      </c>
    </row>
    <row r="121" spans="1:13">
      <c r="A121" s="549" t="s">
        <v>420</v>
      </c>
      <c r="B121" s="549" t="s">
        <v>197</v>
      </c>
      <c r="C121" s="555">
        <v>46025</v>
      </c>
      <c r="D121" s="549" t="s">
        <v>4730</v>
      </c>
      <c r="E121" s="549" t="s">
        <v>587</v>
      </c>
      <c r="F121" s="549" t="s">
        <v>1932</v>
      </c>
      <c r="G121" s="549" t="s">
        <v>4718</v>
      </c>
      <c r="H121" s="549" t="s">
        <v>4723</v>
      </c>
      <c r="I121" s="549" t="s">
        <v>30</v>
      </c>
      <c r="J121" s="549" t="s">
        <v>4723</v>
      </c>
      <c r="K121" s="549" t="s">
        <v>30</v>
      </c>
      <c r="L121">
        <f>IF(AND($K121="Cold",$B121&lt;&gt;"",$C121&gt;=EOMONTH('Cold Outreach'!$C$3,-1)+1,$C121&lt;=EOMONTH('Cold Outreach'!$C$3,0)),
IF(COUNTIFS($B$2:$B121,$B121,$K$2:$K121,"Cold",$C$2:$C121,"&gt;="&amp;EOMONTH('Cold Outreach'!$C$3,-1)+1,$C$2:$C121,"&lt;="&amp;EOMONTH('Cold Outreach'!$C$3,0))=1,1,0),
0)</f>
        <v>0</v>
      </c>
      <c r="M121">
        <f>IF(AND($K121="Cold",$B121&lt;&gt;"",$C121&gt;=EDATE(EOMONTH('Cold Outreach'!$C$3,-1)+1,-('Cold Outreach'!$N$2-1)),$C121&lt;=EOMONTH('Cold Outreach'!$C$3,0)),
IF(COUNTIFS($B$2:$B121,$B121,$K$2:$K121,"Cold",$C$2:$C121,"&gt;="&amp;EDATE(EOMONTH('Cold Outreach'!$C$3,-1)+1,-('Cold Outreach'!$N$2-1)),$C$2:$C121,"&lt;="&amp;EOMONTH('Cold Outreach'!$C$3,0))=1,1,0),
0)</f>
        <v>1</v>
      </c>
    </row>
    <row r="122" spans="1:13">
      <c r="A122" s="559" t="s">
        <v>4922</v>
      </c>
      <c r="B122" s="559" t="s">
        <v>4923</v>
      </c>
      <c r="C122" s="556">
        <v>46027</v>
      </c>
      <c r="D122" s="251"/>
      <c r="E122" s="251"/>
      <c r="F122" s="251" t="s">
        <v>4809</v>
      </c>
      <c r="G122" s="251" t="s">
        <v>4718</v>
      </c>
      <c r="H122" s="251" t="s">
        <v>4712</v>
      </c>
      <c r="I122" s="251" t="s">
        <v>30</v>
      </c>
      <c r="J122" s="251"/>
      <c r="K122" s="251" t="s">
        <v>30</v>
      </c>
      <c r="L122">
        <f>IF(AND($K122="Cold",$B122&lt;&gt;"",$C122&gt;=EOMONTH('Cold Outreach'!$C$3,-1)+1,$C122&lt;=EOMONTH('Cold Outreach'!$C$3,0)),
IF(COUNTIFS($B$2:$B122,$B122,$K$2:$K122,"Cold",$C$2:$C122,"&gt;="&amp;EOMONTH('Cold Outreach'!$C$3,-1)+1,$C$2:$C122,"&lt;="&amp;EOMONTH('Cold Outreach'!$C$3,0))=1,1,0),
0)</f>
        <v>0</v>
      </c>
      <c r="M122">
        <f>IF(AND($K122="Cold",$B122&lt;&gt;"",$C122&gt;=EDATE(EOMONTH('Cold Outreach'!$C$3,-1)+1,-('Cold Outreach'!$N$2-1)),$C122&lt;=EOMONTH('Cold Outreach'!$C$3,0)),
IF(COUNTIFS($B$2:$B122,$B122,$K$2:$K122,"Cold",$C$2:$C122,"&gt;="&amp;EDATE(EOMONTH('Cold Outreach'!$C$3,-1)+1,-('Cold Outreach'!$N$2-1)),$C$2:$C122,"&lt;="&amp;EOMONTH('Cold Outreach'!$C$3,0))=1,1,0),
0)</f>
        <v>1</v>
      </c>
    </row>
    <row r="123" spans="1:13">
      <c r="A123" s="549" t="s">
        <v>420</v>
      </c>
      <c r="B123" s="549" t="s">
        <v>4924</v>
      </c>
      <c r="C123" s="555">
        <v>46028</v>
      </c>
      <c r="D123" s="549" t="s">
        <v>4730</v>
      </c>
      <c r="E123" s="549" t="s">
        <v>587</v>
      </c>
      <c r="F123" s="549" t="s">
        <v>1932</v>
      </c>
      <c r="G123" s="549" t="s">
        <v>4718</v>
      </c>
      <c r="H123" s="549" t="s">
        <v>4723</v>
      </c>
      <c r="I123" s="549" t="s">
        <v>30</v>
      </c>
      <c r="J123" s="549" t="s">
        <v>4723</v>
      </c>
      <c r="K123" s="549" t="s">
        <v>30</v>
      </c>
      <c r="L123">
        <f>IF(AND($K123="Cold",$B123&lt;&gt;"",$C123&gt;=EOMONTH('Cold Outreach'!$C$3,-1)+1,$C123&lt;=EOMONTH('Cold Outreach'!$C$3,0)),
IF(COUNTIFS($B$2:$B123,$B123,$K$2:$K123,"Cold",$C$2:$C123,"&gt;="&amp;EOMONTH('Cold Outreach'!$C$3,-1)+1,$C$2:$C123,"&lt;="&amp;EOMONTH('Cold Outreach'!$C$3,0))=1,1,0),
0)</f>
        <v>0</v>
      </c>
      <c r="M123">
        <f>IF(AND($K123="Cold",$B123&lt;&gt;"",$C123&gt;=EDATE(EOMONTH('Cold Outreach'!$C$3,-1)+1,-('Cold Outreach'!$N$2-1)),$C123&lt;=EOMONTH('Cold Outreach'!$C$3,0)),
IF(COUNTIFS($B$2:$B123,$B123,$K$2:$K123,"Cold",$C$2:$C123,"&gt;="&amp;EDATE(EOMONTH('Cold Outreach'!$C$3,-1)+1,-('Cold Outreach'!$N$2-1)),$C$2:$C123,"&lt;="&amp;EOMONTH('Cold Outreach'!$C$3,0))=1,1,0),
0)</f>
        <v>1</v>
      </c>
    </row>
    <row r="124" spans="1:13">
      <c r="A124" s="549" t="s">
        <v>420</v>
      </c>
      <c r="B124" s="549" t="s">
        <v>4925</v>
      </c>
      <c r="C124" s="555">
        <v>46029</v>
      </c>
      <c r="D124" s="549" t="s">
        <v>4730</v>
      </c>
      <c r="E124" s="549" t="s">
        <v>587</v>
      </c>
      <c r="F124" s="549" t="s">
        <v>1932</v>
      </c>
      <c r="G124" s="549" t="s">
        <v>4718</v>
      </c>
      <c r="H124" s="549" t="s">
        <v>4740</v>
      </c>
      <c r="I124" s="549" t="s">
        <v>30</v>
      </c>
      <c r="J124" s="549" t="s">
        <v>477</v>
      </c>
      <c r="K124" s="549" t="s">
        <v>30</v>
      </c>
      <c r="L124">
        <f>IF(AND($K124="Cold",$B124&lt;&gt;"",$C124&gt;=EOMONTH('Cold Outreach'!$C$3,-1)+1,$C124&lt;=EOMONTH('Cold Outreach'!$C$3,0)),
IF(COUNTIFS($B$2:$B124,$B124,$K$2:$K124,"Cold",$C$2:$C124,"&gt;="&amp;EOMONTH('Cold Outreach'!$C$3,-1)+1,$C$2:$C124,"&lt;="&amp;EOMONTH('Cold Outreach'!$C$3,0))=1,1,0),
0)</f>
        <v>0</v>
      </c>
      <c r="M124">
        <f>IF(AND($K124="Cold",$B124&lt;&gt;"",$C124&gt;=EDATE(EOMONTH('Cold Outreach'!$C$3,-1)+1,-('Cold Outreach'!$N$2-1)),$C124&lt;=EOMONTH('Cold Outreach'!$C$3,0)),
IF(COUNTIFS($B$2:$B124,$B124,$K$2:$K124,"Cold",$C$2:$C124,"&gt;="&amp;EDATE(EOMONTH('Cold Outreach'!$C$3,-1)+1,-('Cold Outreach'!$N$2-1)),$C$2:$C124,"&lt;="&amp;EOMONTH('Cold Outreach'!$C$3,0))=1,1,0),
0)</f>
        <v>1</v>
      </c>
    </row>
    <row r="125" spans="1:13">
      <c r="A125" s="251" t="s">
        <v>4926</v>
      </c>
      <c r="B125" s="251" t="s">
        <v>3906</v>
      </c>
      <c r="C125" s="556">
        <v>46029</v>
      </c>
      <c r="D125" s="251" t="s">
        <v>4730</v>
      </c>
      <c r="E125" s="251" t="s">
        <v>521</v>
      </c>
      <c r="F125" s="251" t="s">
        <v>401</v>
      </c>
      <c r="G125" s="251" t="s">
        <v>4718</v>
      </c>
      <c r="H125" s="251" t="s">
        <v>4723</v>
      </c>
      <c r="I125" s="251" t="s">
        <v>4720</v>
      </c>
      <c r="J125" s="251" t="s">
        <v>4191</v>
      </c>
      <c r="K125" s="251" t="s">
        <v>30</v>
      </c>
      <c r="L125">
        <f>IF(AND($K125="Cold",$B125&lt;&gt;"",$C125&gt;=EOMONTH('Cold Outreach'!$C$3,-1)+1,$C125&lt;=EOMONTH('Cold Outreach'!$C$3,0)),
IF(COUNTIFS($B$2:$B125,$B125,$K$2:$K125,"Cold",$C$2:$C125,"&gt;="&amp;EOMONTH('Cold Outreach'!$C$3,-1)+1,$C$2:$C125,"&lt;="&amp;EOMONTH('Cold Outreach'!$C$3,0))=1,1,0),
0)</f>
        <v>0</v>
      </c>
      <c r="M125">
        <f>IF(AND($K125="Cold",$B125&lt;&gt;"",$C125&gt;=EDATE(EOMONTH('Cold Outreach'!$C$3,-1)+1,-('Cold Outreach'!$N$2-1)),$C125&lt;=EOMONTH('Cold Outreach'!$C$3,0)),
IF(COUNTIFS($B$2:$B125,$B125,$K$2:$K125,"Cold",$C$2:$C125,"&gt;="&amp;EDATE(EOMONTH('Cold Outreach'!$C$3,-1)+1,-('Cold Outreach'!$N$2-1)),$C$2:$C125,"&lt;="&amp;EOMONTH('Cold Outreach'!$C$3,0))=1,1,0),
0)</f>
        <v>1</v>
      </c>
    </row>
    <row r="126" spans="1:13">
      <c r="A126" s="251" t="s">
        <v>4927</v>
      </c>
      <c r="B126" s="251" t="s">
        <v>4928</v>
      </c>
      <c r="C126" s="556">
        <v>46029</v>
      </c>
      <c r="D126" s="251" t="s">
        <v>4716</v>
      </c>
      <c r="E126" s="251" t="s">
        <v>521</v>
      </c>
      <c r="F126" s="251" t="s">
        <v>401</v>
      </c>
      <c r="G126" s="251" t="s">
        <v>4718</v>
      </c>
      <c r="H126" s="251" t="s">
        <v>4723</v>
      </c>
      <c r="I126" s="251" t="s">
        <v>4720</v>
      </c>
      <c r="J126" s="251" t="s">
        <v>4191</v>
      </c>
      <c r="K126" s="251" t="s">
        <v>30</v>
      </c>
      <c r="L126">
        <f>IF(AND($K126="Cold",$B126&lt;&gt;"",$C126&gt;=EOMONTH('Cold Outreach'!$C$3,-1)+1,$C126&lt;=EOMONTH('Cold Outreach'!$C$3,0)),
IF(COUNTIFS($B$2:$B126,$B126,$K$2:$K126,"Cold",$C$2:$C126,"&gt;="&amp;EOMONTH('Cold Outreach'!$C$3,-1)+1,$C$2:$C126,"&lt;="&amp;EOMONTH('Cold Outreach'!$C$3,0))=1,1,0),
0)</f>
        <v>0</v>
      </c>
      <c r="M126">
        <f>IF(AND($K126="Cold",$B126&lt;&gt;"",$C126&gt;=EDATE(EOMONTH('Cold Outreach'!$C$3,-1)+1,-('Cold Outreach'!$N$2-1)),$C126&lt;=EOMONTH('Cold Outreach'!$C$3,0)),
IF(COUNTIFS($B$2:$B126,$B126,$K$2:$K126,"Cold",$C$2:$C126,"&gt;="&amp;EDATE(EOMONTH('Cold Outreach'!$C$3,-1)+1,-('Cold Outreach'!$N$2-1)),$C$2:$C126,"&lt;="&amp;EOMONTH('Cold Outreach'!$C$3,0))=1,1,0),
0)</f>
        <v>1</v>
      </c>
    </row>
    <row r="127" spans="1:13">
      <c r="A127" s="549" t="s">
        <v>420</v>
      </c>
      <c r="B127" s="549" t="s">
        <v>4812</v>
      </c>
      <c r="C127" s="555">
        <v>46030</v>
      </c>
      <c r="D127" s="549" t="s">
        <v>4730</v>
      </c>
      <c r="E127" s="549" t="s">
        <v>521</v>
      </c>
      <c r="F127" s="549" t="s">
        <v>1932</v>
      </c>
      <c r="G127" s="549" t="s">
        <v>4718</v>
      </c>
      <c r="H127" s="549" t="s">
        <v>4740</v>
      </c>
      <c r="I127" s="549" t="s">
        <v>30</v>
      </c>
      <c r="J127" s="549" t="s">
        <v>477</v>
      </c>
      <c r="K127" s="549" t="s">
        <v>30</v>
      </c>
      <c r="L127">
        <f>IF(AND($K127="Cold",$B127&lt;&gt;"",$C127&gt;=EOMONTH('Cold Outreach'!$C$3,-1)+1,$C127&lt;=EOMONTH('Cold Outreach'!$C$3,0)),
IF(COUNTIFS($B$2:$B127,$B127,$K$2:$K127,"Cold",$C$2:$C127,"&gt;="&amp;EOMONTH('Cold Outreach'!$C$3,-1)+1,$C$2:$C127,"&lt;="&amp;EOMONTH('Cold Outreach'!$C$3,0))=1,1,0),
0)</f>
        <v>0</v>
      </c>
      <c r="M127">
        <f>IF(AND($K127="Cold",$B127&lt;&gt;"",$C127&gt;=EDATE(EOMONTH('Cold Outreach'!$C$3,-1)+1,-('Cold Outreach'!$N$2-1)),$C127&lt;=EOMONTH('Cold Outreach'!$C$3,0)),
IF(COUNTIFS($B$2:$B127,$B127,$K$2:$K127,"Cold",$C$2:$C127,"&gt;="&amp;EDATE(EOMONTH('Cold Outreach'!$C$3,-1)+1,-('Cold Outreach'!$N$2-1)),$C$2:$C127,"&lt;="&amp;EOMONTH('Cold Outreach'!$C$3,0))=1,1,0),
0)</f>
        <v>0</v>
      </c>
    </row>
    <row r="128" spans="1:13">
      <c r="A128" s="251" t="s">
        <v>4929</v>
      </c>
      <c r="B128" s="251" t="s">
        <v>4930</v>
      </c>
      <c r="C128" s="556">
        <v>46030</v>
      </c>
      <c r="D128" s="251" t="s">
        <v>4730</v>
      </c>
      <c r="E128" s="251" t="s">
        <v>4731</v>
      </c>
      <c r="F128" s="551" t="s">
        <v>401</v>
      </c>
      <c r="G128" s="551" t="s">
        <v>4718</v>
      </c>
      <c r="H128" s="551" t="s">
        <v>4776</v>
      </c>
      <c r="I128" s="251" t="s">
        <v>4720</v>
      </c>
      <c r="J128" s="551" t="s">
        <v>468</v>
      </c>
      <c r="K128" s="551" t="s">
        <v>27</v>
      </c>
      <c r="L128">
        <f>IF(AND($K128="Cold",$B128&lt;&gt;"",$C128&gt;=EOMONTH('Cold Outreach'!$C$3,-1)+1,$C128&lt;=EOMONTH('Cold Outreach'!$C$3,0)),
IF(COUNTIFS($B$2:$B128,$B128,$K$2:$K128,"Cold",$C$2:$C128,"&gt;="&amp;EOMONTH('Cold Outreach'!$C$3,-1)+1,$C$2:$C128,"&lt;="&amp;EOMONTH('Cold Outreach'!$C$3,0))=1,1,0),
0)</f>
        <v>0</v>
      </c>
      <c r="M128">
        <f>IF(AND($K128="Cold",$B128&lt;&gt;"",$C128&gt;=EDATE(EOMONTH('Cold Outreach'!$C$3,-1)+1,-('Cold Outreach'!$N$2-1)),$C128&lt;=EOMONTH('Cold Outreach'!$C$3,0)),
IF(COUNTIFS($B$2:$B128,$B128,$K$2:$K128,"Cold",$C$2:$C128,"&gt;="&amp;EDATE(EOMONTH('Cold Outreach'!$C$3,-1)+1,-('Cold Outreach'!$N$2-1)),$C$2:$C128,"&lt;="&amp;EOMONTH('Cold Outreach'!$C$3,0))=1,1,0),
0)</f>
        <v>0</v>
      </c>
    </row>
    <row r="129" spans="1:13">
      <c r="A129" s="549" t="s">
        <v>4931</v>
      </c>
      <c r="B129" s="549" t="s">
        <v>4932</v>
      </c>
      <c r="C129" s="555">
        <v>46031</v>
      </c>
      <c r="D129" s="549" t="s">
        <v>4730</v>
      </c>
      <c r="E129" s="549" t="s">
        <v>587</v>
      </c>
      <c r="F129" s="549" t="s">
        <v>4933</v>
      </c>
      <c r="G129" s="549" t="s">
        <v>4718</v>
      </c>
      <c r="H129" s="549" t="s">
        <v>4740</v>
      </c>
      <c r="I129" s="549" t="s">
        <v>30</v>
      </c>
      <c r="J129" s="549" t="s">
        <v>477</v>
      </c>
      <c r="K129" s="549" t="s">
        <v>30</v>
      </c>
      <c r="L129">
        <f>IF(AND($K129="Cold",$B129&lt;&gt;"",$C129&gt;=EOMONTH('Cold Outreach'!$C$3,-1)+1,$C129&lt;=EOMONTH('Cold Outreach'!$C$3,0)),
IF(COUNTIFS($B$2:$B129,$B129,$K$2:$K129,"Cold",$C$2:$C129,"&gt;="&amp;EOMONTH('Cold Outreach'!$C$3,-1)+1,$C$2:$C129,"&lt;="&amp;EOMONTH('Cold Outreach'!$C$3,0))=1,1,0),
0)</f>
        <v>0</v>
      </c>
      <c r="M129">
        <f>IF(AND($K129="Cold",$B129&lt;&gt;"",$C129&gt;=EDATE(EOMONTH('Cold Outreach'!$C$3,-1)+1,-('Cold Outreach'!$N$2-1)),$C129&lt;=EOMONTH('Cold Outreach'!$C$3,0)),
IF(COUNTIFS($B$2:$B129,$B129,$K$2:$K129,"Cold",$C$2:$C129,"&gt;="&amp;EDATE(EOMONTH('Cold Outreach'!$C$3,-1)+1,-('Cold Outreach'!$N$2-1)),$C$2:$C129,"&lt;="&amp;EOMONTH('Cold Outreach'!$C$3,0))=1,1,0),
0)</f>
        <v>1</v>
      </c>
    </row>
    <row r="130" spans="1:13">
      <c r="A130" s="559" t="s">
        <v>4934</v>
      </c>
      <c r="B130" s="559" t="s">
        <v>4923</v>
      </c>
      <c r="C130" s="556">
        <v>46031</v>
      </c>
      <c r="D130" s="251"/>
      <c r="E130" s="251"/>
      <c r="F130" s="251" t="s">
        <v>4809</v>
      </c>
      <c r="G130" s="251" t="s">
        <v>4718</v>
      </c>
      <c r="H130" s="251" t="s">
        <v>4712</v>
      </c>
      <c r="I130" s="251" t="s">
        <v>30</v>
      </c>
      <c r="J130" s="251"/>
      <c r="K130" s="251" t="s">
        <v>30</v>
      </c>
      <c r="L130">
        <f>IF(AND($K130="Cold",$B130&lt;&gt;"",$C130&gt;=EOMONTH('Cold Outreach'!$C$3,-1)+1,$C130&lt;=EOMONTH('Cold Outreach'!$C$3,0)),
IF(COUNTIFS($B$2:$B130,$B130,$K$2:$K130,"Cold",$C$2:$C130,"&gt;="&amp;EOMONTH('Cold Outreach'!$C$3,-1)+1,$C$2:$C130,"&lt;="&amp;EOMONTH('Cold Outreach'!$C$3,0))=1,1,0),
0)</f>
        <v>0</v>
      </c>
      <c r="M130">
        <f>IF(AND($K130="Cold",$B130&lt;&gt;"",$C130&gt;=EDATE(EOMONTH('Cold Outreach'!$C$3,-1)+1,-('Cold Outreach'!$N$2-1)),$C130&lt;=EOMONTH('Cold Outreach'!$C$3,0)),
IF(COUNTIFS($B$2:$B130,$B130,$K$2:$K130,"Cold",$C$2:$C130,"&gt;="&amp;EDATE(EOMONTH('Cold Outreach'!$C$3,-1)+1,-('Cold Outreach'!$N$2-1)),$C$2:$C130,"&lt;="&amp;EOMONTH('Cold Outreach'!$C$3,0))=1,1,0),
0)</f>
        <v>0</v>
      </c>
    </row>
    <row r="131" spans="1:13">
      <c r="A131" s="559" t="s">
        <v>4935</v>
      </c>
      <c r="B131" s="559" t="s">
        <v>4909</v>
      </c>
      <c r="C131" s="556">
        <v>46034</v>
      </c>
      <c r="D131" s="251"/>
      <c r="E131" s="251"/>
      <c r="F131" s="251" t="s">
        <v>4809</v>
      </c>
      <c r="G131" s="251" t="s">
        <v>4718</v>
      </c>
      <c r="H131" s="251" t="s">
        <v>4712</v>
      </c>
      <c r="I131" s="251" t="s">
        <v>30</v>
      </c>
      <c r="J131" s="251"/>
      <c r="K131" s="251" t="s">
        <v>30</v>
      </c>
      <c r="L131">
        <f>IF(AND($K131="Cold",$B131&lt;&gt;"",$C131&gt;=EOMONTH('Cold Outreach'!$C$3,-1)+1,$C131&lt;=EOMONTH('Cold Outreach'!$C$3,0)),
IF(COUNTIFS($B$2:$B131,$B131,$K$2:$K131,"Cold",$C$2:$C131,"&gt;="&amp;EOMONTH('Cold Outreach'!$C$3,-1)+1,$C$2:$C131,"&lt;="&amp;EOMONTH('Cold Outreach'!$C$3,0))=1,1,0),
0)</f>
        <v>0</v>
      </c>
      <c r="M131">
        <f>IF(AND($K131="Cold",$B131&lt;&gt;"",$C131&gt;=EDATE(EOMONTH('Cold Outreach'!$C$3,-1)+1,-('Cold Outreach'!$N$2-1)),$C131&lt;=EOMONTH('Cold Outreach'!$C$3,0)),
IF(COUNTIFS($B$2:$B131,$B131,$K$2:$K131,"Cold",$C$2:$C131,"&gt;="&amp;EDATE(EOMONTH('Cold Outreach'!$C$3,-1)+1,-('Cold Outreach'!$N$2-1)),$C$2:$C131,"&lt;="&amp;EOMONTH('Cold Outreach'!$C$3,0))=1,1,0),
0)</f>
        <v>0</v>
      </c>
    </row>
    <row r="132" spans="1:13">
      <c r="A132" s="559" t="s">
        <v>4936</v>
      </c>
      <c r="B132" s="559" t="s">
        <v>4902</v>
      </c>
      <c r="C132" s="556">
        <v>46035</v>
      </c>
      <c r="D132" s="251"/>
      <c r="E132" s="251"/>
      <c r="F132" s="251" t="s">
        <v>4809</v>
      </c>
      <c r="G132" s="251" t="s">
        <v>4718</v>
      </c>
      <c r="H132" s="251" t="s">
        <v>4712</v>
      </c>
      <c r="I132" s="251" t="s">
        <v>30</v>
      </c>
      <c r="J132" s="251"/>
      <c r="K132" s="251" t="s">
        <v>30</v>
      </c>
      <c r="L132">
        <f>IF(AND($K132="Cold",$B132&lt;&gt;"",$C132&gt;=EOMONTH('Cold Outreach'!$C$3,-1)+1,$C132&lt;=EOMONTH('Cold Outreach'!$C$3,0)),
IF(COUNTIFS($B$2:$B132,$B132,$K$2:$K132,"Cold",$C$2:$C132,"&gt;="&amp;EOMONTH('Cold Outreach'!$C$3,-1)+1,$C$2:$C132,"&lt;="&amp;EOMONTH('Cold Outreach'!$C$3,0))=1,1,0),
0)</f>
        <v>0</v>
      </c>
      <c r="M132">
        <f>IF(AND($K132="Cold",$B132&lt;&gt;"",$C132&gt;=EDATE(EOMONTH('Cold Outreach'!$C$3,-1)+1,-('Cold Outreach'!$N$2-1)),$C132&lt;=EOMONTH('Cold Outreach'!$C$3,0)),
IF(COUNTIFS($B$2:$B132,$B132,$K$2:$K132,"Cold",$C$2:$C132,"&gt;="&amp;EDATE(EOMONTH('Cold Outreach'!$C$3,-1)+1,-('Cold Outreach'!$N$2-1)),$C$2:$C132,"&lt;="&amp;EOMONTH('Cold Outreach'!$C$3,0))=1,1,0),
0)</f>
        <v>0</v>
      </c>
    </row>
    <row r="133" spans="1:13">
      <c r="A133" s="559" t="s">
        <v>4904</v>
      </c>
      <c r="B133" s="559" t="s">
        <v>2906</v>
      </c>
      <c r="C133" s="556">
        <v>46036</v>
      </c>
      <c r="D133" s="251"/>
      <c r="E133" s="251"/>
      <c r="F133" s="251" t="s">
        <v>4809</v>
      </c>
      <c r="G133" s="251" t="s">
        <v>4718</v>
      </c>
      <c r="H133" s="251" t="s">
        <v>4712</v>
      </c>
      <c r="I133" s="251" t="s">
        <v>30</v>
      </c>
      <c r="J133" s="251"/>
      <c r="K133" s="251" t="s">
        <v>30</v>
      </c>
      <c r="L133">
        <f>IF(AND($K133="Cold",$B133&lt;&gt;"",$C133&gt;=EOMONTH('Cold Outreach'!$C$3,-1)+1,$C133&lt;=EOMONTH('Cold Outreach'!$C$3,0)),
IF(COUNTIFS($B$2:$B133,$B133,$K$2:$K133,"Cold",$C$2:$C133,"&gt;="&amp;EOMONTH('Cold Outreach'!$C$3,-1)+1,$C$2:$C133,"&lt;="&amp;EOMONTH('Cold Outreach'!$C$3,0))=1,1,0),
0)</f>
        <v>0</v>
      </c>
      <c r="M133">
        <f>IF(AND($K133="Cold",$B133&lt;&gt;"",$C133&gt;=EDATE(EOMONTH('Cold Outreach'!$C$3,-1)+1,-('Cold Outreach'!$N$2-1)),$C133&lt;=EOMONTH('Cold Outreach'!$C$3,0)),
IF(COUNTIFS($B$2:$B133,$B133,$K$2:$K133,"Cold",$C$2:$C133,"&gt;="&amp;EDATE(EOMONTH('Cold Outreach'!$C$3,-1)+1,-('Cold Outreach'!$N$2-1)),$C$2:$C133,"&lt;="&amp;EOMONTH('Cold Outreach'!$C$3,0))=1,1,0),
0)</f>
        <v>0</v>
      </c>
    </row>
    <row r="134" spans="1:13">
      <c r="A134" s="549" t="s">
        <v>420</v>
      </c>
      <c r="B134" s="549" t="s">
        <v>4937</v>
      </c>
      <c r="C134" s="555">
        <v>46037</v>
      </c>
      <c r="D134" s="549" t="s">
        <v>4730</v>
      </c>
      <c r="E134" s="549" t="s">
        <v>4938</v>
      </c>
      <c r="F134" s="549" t="s">
        <v>1932</v>
      </c>
      <c r="G134" s="549" t="s">
        <v>4757</v>
      </c>
      <c r="H134" s="549" t="s">
        <v>4758</v>
      </c>
      <c r="I134" s="549" t="s">
        <v>30</v>
      </c>
      <c r="J134" s="549" t="s">
        <v>4721</v>
      </c>
      <c r="K134" s="549" t="s">
        <v>30</v>
      </c>
      <c r="L134">
        <f>IF(AND($K134="Cold",$B134&lt;&gt;"",$C134&gt;=EOMONTH('Cold Outreach'!$C$3,-1)+1,$C134&lt;=EOMONTH('Cold Outreach'!$C$3,0)),
IF(COUNTIFS($B$2:$B134,$B134,$K$2:$K134,"Cold",$C$2:$C134,"&gt;="&amp;EOMONTH('Cold Outreach'!$C$3,-1)+1,$C$2:$C134,"&lt;="&amp;EOMONTH('Cold Outreach'!$C$3,0))=1,1,0),
0)</f>
        <v>0</v>
      </c>
      <c r="M134">
        <f>IF(AND($K134="Cold",$B134&lt;&gt;"",$C134&gt;=EDATE(EOMONTH('Cold Outreach'!$C$3,-1)+1,-('Cold Outreach'!$N$2-1)),$C134&lt;=EOMONTH('Cold Outreach'!$C$3,0)),
IF(COUNTIFS($B$2:$B134,$B134,$K$2:$K134,"Cold",$C$2:$C134,"&gt;="&amp;EDATE(EOMONTH('Cold Outreach'!$C$3,-1)+1,-('Cold Outreach'!$N$2-1)),$C$2:$C134,"&lt;="&amp;EOMONTH('Cold Outreach'!$C$3,0))=1,1,0),
0)</f>
        <v>1</v>
      </c>
    </row>
    <row r="135" spans="1:13">
      <c r="A135" s="251" t="s">
        <v>4919</v>
      </c>
      <c r="B135" s="251" t="s">
        <v>1020</v>
      </c>
      <c r="C135" s="556">
        <v>46038</v>
      </c>
      <c r="D135" s="251" t="s">
        <v>4716</v>
      </c>
      <c r="E135" s="251" t="s">
        <v>587</v>
      </c>
      <c r="F135" s="251" t="s">
        <v>401</v>
      </c>
      <c r="G135" s="251" t="s">
        <v>4718</v>
      </c>
      <c r="H135" s="251" t="s">
        <v>4723</v>
      </c>
      <c r="I135" s="251" t="s">
        <v>4720</v>
      </c>
      <c r="J135" s="251" t="s">
        <v>4191</v>
      </c>
      <c r="K135" s="251" t="s">
        <v>1473</v>
      </c>
      <c r="L135">
        <f>IF(AND($K135="Cold",$B135&lt;&gt;"",$C135&gt;=EOMONTH('Cold Outreach'!$C$3,-1)+1,$C135&lt;=EOMONTH('Cold Outreach'!$C$3,0)),
IF(COUNTIFS($B$2:$B135,$B135,$K$2:$K135,"Cold",$C$2:$C135,"&gt;="&amp;EOMONTH('Cold Outreach'!$C$3,-1)+1,$C$2:$C135,"&lt;="&amp;EOMONTH('Cold Outreach'!$C$3,0))=1,1,0),
0)</f>
        <v>0</v>
      </c>
      <c r="M135">
        <f>IF(AND($K135="Cold",$B135&lt;&gt;"",$C135&gt;=EDATE(EOMONTH('Cold Outreach'!$C$3,-1)+1,-('Cold Outreach'!$N$2-1)),$C135&lt;=EOMONTH('Cold Outreach'!$C$3,0)),
IF(COUNTIFS($B$2:$B135,$B135,$K$2:$K135,"Cold",$C$2:$C135,"&gt;="&amp;EDATE(EOMONTH('Cold Outreach'!$C$3,-1)+1,-('Cold Outreach'!$N$2-1)),$C$2:$C135,"&lt;="&amp;EOMONTH('Cold Outreach'!$C$3,0))=1,1,0),
0)</f>
        <v>0</v>
      </c>
    </row>
    <row r="136" spans="1:13">
      <c r="A136" s="549" t="s">
        <v>420</v>
      </c>
      <c r="B136" s="549" t="s">
        <v>4932</v>
      </c>
      <c r="C136" s="555">
        <v>46039</v>
      </c>
      <c r="D136" s="549" t="s">
        <v>4730</v>
      </c>
      <c r="E136" s="549" t="s">
        <v>420</v>
      </c>
      <c r="F136" s="549" t="s">
        <v>1932</v>
      </c>
      <c r="G136" s="549" t="s">
        <v>4718</v>
      </c>
      <c r="H136" s="549" t="s">
        <v>4740</v>
      </c>
      <c r="I136" s="549" t="s">
        <v>30</v>
      </c>
      <c r="J136" s="549" t="s">
        <v>477</v>
      </c>
      <c r="K136" s="549" t="s">
        <v>30</v>
      </c>
      <c r="L136">
        <f>IF(AND($K136="Cold",$B136&lt;&gt;"",$C136&gt;=EOMONTH('Cold Outreach'!$C$3,-1)+1,$C136&lt;=EOMONTH('Cold Outreach'!$C$3,0)),
IF(COUNTIFS($B$2:$B136,$B136,$K$2:$K136,"Cold",$C$2:$C136,"&gt;="&amp;EOMONTH('Cold Outreach'!$C$3,-1)+1,$C$2:$C136,"&lt;="&amp;EOMONTH('Cold Outreach'!$C$3,0))=1,1,0),
0)</f>
        <v>0</v>
      </c>
      <c r="M136">
        <f>IF(AND($K136="Cold",$B136&lt;&gt;"",$C136&gt;=EDATE(EOMONTH('Cold Outreach'!$C$3,-1)+1,-('Cold Outreach'!$N$2-1)),$C136&lt;=EOMONTH('Cold Outreach'!$C$3,0)),
IF(COUNTIFS($B$2:$B136,$B136,$K$2:$K136,"Cold",$C$2:$C136,"&gt;="&amp;EDATE(EOMONTH('Cold Outreach'!$C$3,-1)+1,-('Cold Outreach'!$N$2-1)),$C$2:$C136,"&lt;="&amp;EOMONTH('Cold Outreach'!$C$3,0))=1,1,0),
0)</f>
        <v>0</v>
      </c>
    </row>
    <row r="137" spans="1:13">
      <c r="A137" s="549" t="s">
        <v>420</v>
      </c>
      <c r="B137" s="549" t="s">
        <v>4939</v>
      </c>
      <c r="C137" s="555">
        <v>46042</v>
      </c>
      <c r="D137" s="549" t="s">
        <v>4730</v>
      </c>
      <c r="E137" s="549" t="s">
        <v>587</v>
      </c>
      <c r="F137" s="549" t="s">
        <v>1932</v>
      </c>
      <c r="G137" s="549" t="s">
        <v>4757</v>
      </c>
      <c r="H137" s="549" t="s">
        <v>4758</v>
      </c>
      <c r="I137" s="549" t="s">
        <v>30</v>
      </c>
      <c r="J137" s="549" t="s">
        <v>4721</v>
      </c>
      <c r="K137" s="549" t="s">
        <v>30</v>
      </c>
      <c r="L137">
        <f>IF(AND($K137="Cold",$B137&lt;&gt;"",$C137&gt;=EOMONTH('Cold Outreach'!$C$3,-1)+1,$C137&lt;=EOMONTH('Cold Outreach'!$C$3,0)),
IF(COUNTIFS($B$2:$B137,$B137,$K$2:$K137,"Cold",$C$2:$C137,"&gt;="&amp;EOMONTH('Cold Outreach'!$C$3,-1)+1,$C$2:$C137,"&lt;="&amp;EOMONTH('Cold Outreach'!$C$3,0))=1,1,0),
0)</f>
        <v>0</v>
      </c>
      <c r="M137">
        <f>IF(AND($K137="Cold",$B137&lt;&gt;"",$C137&gt;=EDATE(EOMONTH('Cold Outreach'!$C$3,-1)+1,-('Cold Outreach'!$N$2-1)),$C137&lt;=EOMONTH('Cold Outreach'!$C$3,0)),
IF(COUNTIFS($B$2:$B137,$B137,$K$2:$K137,"Cold",$C$2:$C137,"&gt;="&amp;EDATE(EOMONTH('Cold Outreach'!$C$3,-1)+1,-('Cold Outreach'!$N$2-1)),$C$2:$C137,"&lt;="&amp;EOMONTH('Cold Outreach'!$C$3,0))=1,1,0),
0)</f>
        <v>1</v>
      </c>
    </row>
    <row r="138" spans="1:13">
      <c r="A138" s="251" t="s">
        <v>4940</v>
      </c>
      <c r="B138" s="251" t="s">
        <v>4941</v>
      </c>
      <c r="C138" s="556">
        <v>46042</v>
      </c>
      <c r="D138" s="251" t="s">
        <v>4730</v>
      </c>
      <c r="E138" s="251" t="s">
        <v>4742</v>
      </c>
      <c r="F138" s="251" t="s">
        <v>401</v>
      </c>
      <c r="G138" s="251" t="s">
        <v>4718</v>
      </c>
      <c r="H138" s="251" t="s">
        <v>4712</v>
      </c>
      <c r="I138" s="251" t="s">
        <v>30</v>
      </c>
      <c r="J138" s="251" t="s">
        <v>468</v>
      </c>
      <c r="K138" s="251" t="s">
        <v>30</v>
      </c>
      <c r="L138">
        <f>IF(AND($K138="Cold",$B138&lt;&gt;"",$C138&gt;=EOMONTH('Cold Outreach'!$C$3,-1)+1,$C138&lt;=EOMONTH('Cold Outreach'!$C$3,0)),
IF(COUNTIFS($B$2:$B138,$B138,$K$2:$K138,"Cold",$C$2:$C138,"&gt;="&amp;EOMONTH('Cold Outreach'!$C$3,-1)+1,$C$2:$C138,"&lt;="&amp;EOMONTH('Cold Outreach'!$C$3,0))=1,1,0),
0)</f>
        <v>0</v>
      </c>
      <c r="M138">
        <f>IF(AND($K138="Cold",$B138&lt;&gt;"",$C138&gt;=EDATE(EOMONTH('Cold Outreach'!$C$3,-1)+1,-('Cold Outreach'!$N$2-1)),$C138&lt;=EOMONTH('Cold Outreach'!$C$3,0)),
IF(COUNTIFS($B$2:$B138,$B138,$K$2:$K138,"Cold",$C$2:$C138,"&gt;="&amp;EDATE(EOMONTH('Cold Outreach'!$C$3,-1)+1,-('Cold Outreach'!$N$2-1)),$C$2:$C138,"&lt;="&amp;EOMONTH('Cold Outreach'!$C$3,0))=1,1,0),
0)</f>
        <v>1</v>
      </c>
    </row>
    <row r="139" spans="1:13">
      <c r="A139" s="559" t="s">
        <v>4942</v>
      </c>
      <c r="B139" s="559" t="s">
        <v>4943</v>
      </c>
      <c r="C139" s="556">
        <v>46043</v>
      </c>
      <c r="D139" s="251"/>
      <c r="E139" s="251"/>
      <c r="F139" s="251" t="s">
        <v>4809</v>
      </c>
      <c r="G139" s="251" t="s">
        <v>4718</v>
      </c>
      <c r="H139" s="251" t="s">
        <v>4712</v>
      </c>
      <c r="I139" s="251" t="s">
        <v>30</v>
      </c>
      <c r="J139" s="251"/>
      <c r="K139" s="251" t="s">
        <v>30</v>
      </c>
      <c r="L139">
        <f>IF(AND($K139="Cold",$B139&lt;&gt;"",$C139&gt;=EOMONTH('Cold Outreach'!$C$3,-1)+1,$C139&lt;=EOMONTH('Cold Outreach'!$C$3,0)),
IF(COUNTIFS($B$2:$B139,$B139,$K$2:$K139,"Cold",$C$2:$C139,"&gt;="&amp;EOMONTH('Cold Outreach'!$C$3,-1)+1,$C$2:$C139,"&lt;="&amp;EOMONTH('Cold Outreach'!$C$3,0))=1,1,0),
0)</f>
        <v>0</v>
      </c>
      <c r="M139">
        <f>IF(AND($K139="Cold",$B139&lt;&gt;"",$C139&gt;=EDATE(EOMONTH('Cold Outreach'!$C$3,-1)+1,-('Cold Outreach'!$N$2-1)),$C139&lt;=EOMONTH('Cold Outreach'!$C$3,0)),
IF(COUNTIFS($B$2:$B139,$B139,$K$2:$K139,"Cold",$C$2:$C139,"&gt;="&amp;EDATE(EOMONTH('Cold Outreach'!$C$3,-1)+1,-('Cold Outreach'!$N$2-1)),$C$2:$C139,"&lt;="&amp;EOMONTH('Cold Outreach'!$C$3,0))=1,1,0),
0)</f>
        <v>1</v>
      </c>
    </row>
    <row r="140" spans="1:13">
      <c r="A140" s="549" t="s">
        <v>4944</v>
      </c>
      <c r="B140" s="251" t="s">
        <v>4945</v>
      </c>
      <c r="C140" s="556">
        <v>46045</v>
      </c>
      <c r="D140" s="251" t="s">
        <v>4730</v>
      </c>
      <c r="E140" s="251" t="s">
        <v>4731</v>
      </c>
      <c r="F140" s="251" t="s">
        <v>728</v>
      </c>
      <c r="G140" s="251" t="s">
        <v>4718</v>
      </c>
      <c r="H140" s="251" t="s">
        <v>4740</v>
      </c>
      <c r="I140" s="251" t="s">
        <v>30</v>
      </c>
      <c r="J140" s="251" t="s">
        <v>477</v>
      </c>
      <c r="K140" s="251" t="s">
        <v>30</v>
      </c>
      <c r="L140">
        <f>IF(AND($K140="Cold",$B140&lt;&gt;"",$C140&gt;=EOMONTH('Cold Outreach'!$C$3,-1)+1,$C140&lt;=EOMONTH('Cold Outreach'!$C$3,0)),
IF(COUNTIFS($B$2:$B140,$B140,$K$2:$K140,"Cold",$C$2:$C140,"&gt;="&amp;EOMONTH('Cold Outreach'!$C$3,-1)+1,$C$2:$C140,"&lt;="&amp;EOMONTH('Cold Outreach'!$C$3,0))=1,1,0),
0)</f>
        <v>0</v>
      </c>
      <c r="M140">
        <f>IF(AND($K140="Cold",$B140&lt;&gt;"",$C140&gt;=EDATE(EOMONTH('Cold Outreach'!$C$3,-1)+1,-('Cold Outreach'!$N$2-1)),$C140&lt;=EOMONTH('Cold Outreach'!$C$3,0)),
IF(COUNTIFS($B$2:$B140,$B140,$K$2:$K140,"Cold",$C$2:$C140,"&gt;="&amp;EDATE(EOMONTH('Cold Outreach'!$C$3,-1)+1,-('Cold Outreach'!$N$2-1)),$C$2:$C140,"&lt;="&amp;EOMONTH('Cold Outreach'!$C$3,0))=1,1,0),
0)</f>
        <v>1</v>
      </c>
    </row>
    <row r="141" spans="1:13">
      <c r="A141" s="549" t="s">
        <v>420</v>
      </c>
      <c r="B141" s="549" t="s">
        <v>3875</v>
      </c>
      <c r="C141" s="555">
        <v>46049</v>
      </c>
      <c r="D141" s="549" t="s">
        <v>4730</v>
      </c>
      <c r="E141" s="549" t="s">
        <v>420</v>
      </c>
      <c r="F141" s="549" t="s">
        <v>1932</v>
      </c>
      <c r="G141" s="549" t="s">
        <v>4757</v>
      </c>
      <c r="H141" s="549" t="s">
        <v>4758</v>
      </c>
      <c r="I141" s="549" t="s">
        <v>30</v>
      </c>
      <c r="J141" s="549" t="s">
        <v>4721</v>
      </c>
      <c r="K141" s="549" t="s">
        <v>30</v>
      </c>
      <c r="L141">
        <f>IF(AND($K141="Cold",$B141&lt;&gt;"",$C141&gt;=EOMONTH('Cold Outreach'!$C$3,-1)+1,$C141&lt;=EOMONTH('Cold Outreach'!$C$3,0)),
IF(COUNTIFS($B$2:$B141,$B141,$K$2:$K141,"Cold",$C$2:$C141,"&gt;="&amp;EOMONTH('Cold Outreach'!$C$3,-1)+1,$C$2:$C141,"&lt;="&amp;EOMONTH('Cold Outreach'!$C$3,0))=1,1,0),
0)</f>
        <v>0</v>
      </c>
      <c r="M141">
        <f>IF(AND($K141="Cold",$B141&lt;&gt;"",$C141&gt;=EDATE(EOMONTH('Cold Outreach'!$C$3,-1)+1,-('Cold Outreach'!$N$2-1)),$C141&lt;=EOMONTH('Cold Outreach'!$C$3,0)),
IF(COUNTIFS($B$2:$B141,$B141,$K$2:$K141,"Cold",$C$2:$C141,"&gt;="&amp;EDATE(EOMONTH('Cold Outreach'!$C$3,-1)+1,-('Cold Outreach'!$N$2-1)),$C$2:$C141,"&lt;="&amp;EOMONTH('Cold Outreach'!$C$3,0))=1,1,0),
0)</f>
        <v>1</v>
      </c>
    </row>
    <row r="142" spans="1:13">
      <c r="A142" s="251" t="s">
        <v>4918</v>
      </c>
      <c r="B142" s="251" t="s">
        <v>4096</v>
      </c>
      <c r="C142" s="556">
        <v>46049</v>
      </c>
      <c r="D142" s="251" t="s">
        <v>4730</v>
      </c>
      <c r="E142" s="251" t="s">
        <v>4742</v>
      </c>
      <c r="F142" s="551" t="s">
        <v>401</v>
      </c>
      <c r="G142" s="551" t="s">
        <v>4718</v>
      </c>
      <c r="H142" s="251" t="s">
        <v>4723</v>
      </c>
      <c r="I142" s="251" t="s">
        <v>4720</v>
      </c>
      <c r="J142" s="251" t="s">
        <v>4191</v>
      </c>
      <c r="K142" s="251" t="s">
        <v>1473</v>
      </c>
      <c r="L142">
        <f>IF(AND($K142="Cold",$B142&lt;&gt;"",$C142&gt;=EOMONTH('Cold Outreach'!$C$3,-1)+1,$C142&lt;=EOMONTH('Cold Outreach'!$C$3,0)),
IF(COUNTIFS($B$2:$B142,$B142,$K$2:$K142,"Cold",$C$2:$C142,"&gt;="&amp;EOMONTH('Cold Outreach'!$C$3,-1)+1,$C$2:$C142,"&lt;="&amp;EOMONTH('Cold Outreach'!$C$3,0))=1,1,0),
0)</f>
        <v>0</v>
      </c>
      <c r="M142">
        <f>IF(AND($K142="Cold",$B142&lt;&gt;"",$C142&gt;=EDATE(EOMONTH('Cold Outreach'!$C$3,-1)+1,-('Cold Outreach'!$N$2-1)),$C142&lt;=EOMONTH('Cold Outreach'!$C$3,0)),
IF(COUNTIFS($B$2:$B142,$B142,$K$2:$K142,"Cold",$C$2:$C142,"&gt;="&amp;EDATE(EOMONTH('Cold Outreach'!$C$3,-1)+1,-('Cold Outreach'!$N$2-1)),$C$2:$C142,"&lt;="&amp;EOMONTH('Cold Outreach'!$C$3,0))=1,1,0),
0)</f>
        <v>0</v>
      </c>
    </row>
    <row r="143" spans="1:13">
      <c r="A143" s="549" t="s">
        <v>420</v>
      </c>
      <c r="B143" s="549" t="s">
        <v>4802</v>
      </c>
      <c r="C143" s="555">
        <v>46053</v>
      </c>
      <c r="D143" s="549" t="s">
        <v>4730</v>
      </c>
      <c r="E143" s="549" t="s">
        <v>420</v>
      </c>
      <c r="F143" s="549" t="s">
        <v>1932</v>
      </c>
      <c r="G143" s="549" t="s">
        <v>4718</v>
      </c>
      <c r="H143" s="549" t="s">
        <v>4740</v>
      </c>
      <c r="I143" s="549" t="s">
        <v>30</v>
      </c>
      <c r="J143" s="549" t="s">
        <v>477</v>
      </c>
      <c r="K143" s="549" t="s">
        <v>30</v>
      </c>
      <c r="L143">
        <f>IF(AND($K143="Cold",$B143&lt;&gt;"",$C143&gt;=EOMONTH('Cold Outreach'!$C$3,-1)+1,$C143&lt;=EOMONTH('Cold Outreach'!$C$3,0)),
IF(COUNTIFS($B$2:$B143,$B143,$K$2:$K143,"Cold",$C$2:$C143,"&gt;="&amp;EOMONTH('Cold Outreach'!$C$3,-1)+1,$C$2:$C143,"&lt;="&amp;EOMONTH('Cold Outreach'!$C$3,0))=1,1,0),
0)</f>
        <v>0</v>
      </c>
      <c r="M143">
        <f>IF(AND($K143="Cold",$B143&lt;&gt;"",$C143&gt;=EDATE(EOMONTH('Cold Outreach'!$C$3,-1)+1,-('Cold Outreach'!$N$2-1)),$C143&lt;=EOMONTH('Cold Outreach'!$C$3,0)),
IF(COUNTIFS($B$2:$B143,$B143,$K$2:$K143,"Cold",$C$2:$C143,"&gt;="&amp;EDATE(EOMONTH('Cold Outreach'!$C$3,-1)+1,-('Cold Outreach'!$N$2-1)),$C$2:$C143,"&lt;="&amp;EOMONTH('Cold Outreach'!$C$3,0))=1,1,0),
0)</f>
        <v>0</v>
      </c>
    </row>
    <row r="144" spans="1:13">
      <c r="A144" s="559" t="s">
        <v>4946</v>
      </c>
      <c r="B144" s="559" t="s">
        <v>4947</v>
      </c>
      <c r="C144" s="556">
        <v>46055</v>
      </c>
      <c r="D144" s="251"/>
      <c r="E144" s="251"/>
      <c r="F144" s="251" t="s">
        <v>4809</v>
      </c>
      <c r="G144" s="251" t="s">
        <v>4718</v>
      </c>
      <c r="H144" s="251" t="s">
        <v>4712</v>
      </c>
      <c r="I144" s="251" t="s">
        <v>30</v>
      </c>
      <c r="J144" s="251"/>
      <c r="K144" s="251" t="s">
        <v>30</v>
      </c>
      <c r="L144">
        <f>IF(AND($K144="Cold",$B144&lt;&gt;"",$C144&gt;=EOMONTH('Cold Outreach'!$C$3,-1)+1,$C144&lt;=EOMONTH('Cold Outreach'!$C$3,0)),
IF(COUNTIFS($B$2:$B144,$B144,$K$2:$K144,"Cold",$C$2:$C144,"&gt;="&amp;EOMONTH('Cold Outreach'!$C$3,-1)+1,$C$2:$C144,"&lt;="&amp;EOMONTH('Cold Outreach'!$C$3,0))=1,1,0),
0)</f>
        <v>0</v>
      </c>
      <c r="M144">
        <f>IF(AND($K144="Cold",$B144&lt;&gt;"",$C144&gt;=EDATE(EOMONTH('Cold Outreach'!$C$3,-1)+1,-('Cold Outreach'!$N$2-1)),$C144&lt;=EOMONTH('Cold Outreach'!$C$3,0)),
IF(COUNTIFS($B$2:$B144,$B144,$K$2:$K144,"Cold",$C$2:$C144,"&gt;="&amp;EDATE(EOMONTH('Cold Outreach'!$C$3,-1)+1,-('Cold Outreach'!$N$2-1)),$C$2:$C144,"&lt;="&amp;EOMONTH('Cold Outreach'!$C$3,0))=1,1,0),
0)</f>
        <v>1</v>
      </c>
    </row>
    <row r="145" spans="1:13">
      <c r="A145" s="549" t="s">
        <v>420</v>
      </c>
      <c r="B145" s="549" t="s">
        <v>4836</v>
      </c>
      <c r="C145" s="555">
        <v>46056</v>
      </c>
      <c r="D145" s="549" t="s">
        <v>4730</v>
      </c>
      <c r="E145" s="549" t="s">
        <v>4731</v>
      </c>
      <c r="F145" s="549" t="s">
        <v>1932</v>
      </c>
      <c r="G145" s="549" t="s">
        <v>4757</v>
      </c>
      <c r="H145" s="549" t="s">
        <v>4723</v>
      </c>
      <c r="I145" s="549" t="s">
        <v>30</v>
      </c>
      <c r="J145" s="549" t="s">
        <v>4723</v>
      </c>
      <c r="K145" s="549" t="s">
        <v>30</v>
      </c>
      <c r="L145">
        <f>IF(AND($K145="Cold",$B145&lt;&gt;"",$C145&gt;=EOMONTH('Cold Outreach'!$C$3,-1)+1,$C145&lt;=EOMONTH('Cold Outreach'!$C$3,0)),
IF(COUNTIFS($B$2:$B145,$B145,$K$2:$K145,"Cold",$C$2:$C145,"&gt;="&amp;EOMONTH('Cold Outreach'!$C$3,-1)+1,$C$2:$C145,"&lt;="&amp;EOMONTH('Cold Outreach'!$C$3,0))=1,1,0),
0)</f>
        <v>0</v>
      </c>
      <c r="M145">
        <f>IF(AND($K145="Cold",$B145&lt;&gt;"",$C145&gt;=EDATE(EOMONTH('Cold Outreach'!$C$3,-1)+1,-('Cold Outreach'!$N$2-1)),$C145&lt;=EOMONTH('Cold Outreach'!$C$3,0)),
IF(COUNTIFS($B$2:$B145,$B145,$K$2:$K145,"Cold",$C$2:$C145,"&gt;="&amp;EDATE(EOMONTH('Cold Outreach'!$C$3,-1)+1,-('Cold Outreach'!$N$2-1)),$C$2:$C145,"&lt;="&amp;EOMONTH('Cold Outreach'!$C$3,0))=1,1,0),
0)</f>
        <v>0</v>
      </c>
    </row>
    <row r="146" spans="1:13">
      <c r="A146" s="549" t="s">
        <v>420</v>
      </c>
      <c r="B146" s="549" t="s">
        <v>4948</v>
      </c>
      <c r="C146" s="555">
        <v>46056</v>
      </c>
      <c r="D146" s="549" t="s">
        <v>4730</v>
      </c>
      <c r="E146" s="549" t="s">
        <v>587</v>
      </c>
      <c r="F146" s="549" t="s">
        <v>1932</v>
      </c>
      <c r="G146" s="549" t="s">
        <v>4718</v>
      </c>
      <c r="H146" s="549" t="s">
        <v>4723</v>
      </c>
      <c r="I146" s="549" t="s">
        <v>30</v>
      </c>
      <c r="J146" s="549" t="s">
        <v>4723</v>
      </c>
      <c r="K146" s="549" t="s">
        <v>30</v>
      </c>
      <c r="L146">
        <f>IF(AND($K146="Cold",$B146&lt;&gt;"",$C146&gt;=EOMONTH('Cold Outreach'!$C$3,-1)+1,$C146&lt;=EOMONTH('Cold Outreach'!$C$3,0)),
IF(COUNTIFS($B$2:$B146,$B146,$K$2:$K146,"Cold",$C$2:$C146,"&gt;="&amp;EOMONTH('Cold Outreach'!$C$3,-1)+1,$C$2:$C146,"&lt;="&amp;EOMONTH('Cold Outreach'!$C$3,0))=1,1,0),
0)</f>
        <v>0</v>
      </c>
      <c r="M146">
        <f>IF(AND($K146="Cold",$B146&lt;&gt;"",$C146&gt;=EDATE(EOMONTH('Cold Outreach'!$C$3,-1)+1,-('Cold Outreach'!$N$2-1)),$C146&lt;=EOMONTH('Cold Outreach'!$C$3,0)),
IF(COUNTIFS($B$2:$B146,$B146,$K$2:$K146,"Cold",$C$2:$C146,"&gt;="&amp;EDATE(EOMONTH('Cold Outreach'!$C$3,-1)+1,-('Cold Outreach'!$N$2-1)),$C$2:$C146,"&lt;="&amp;EOMONTH('Cold Outreach'!$C$3,0))=1,1,0),
0)</f>
        <v>1</v>
      </c>
    </row>
    <row r="147" spans="1:13">
      <c r="A147" s="251" t="s">
        <v>4949</v>
      </c>
      <c r="B147" s="251" t="s">
        <v>4950</v>
      </c>
      <c r="C147" s="556">
        <v>46057</v>
      </c>
      <c r="D147" s="251" t="s">
        <v>4716</v>
      </c>
      <c r="E147" s="251" t="s">
        <v>596</v>
      </c>
      <c r="F147" s="251" t="s">
        <v>728</v>
      </c>
      <c r="G147" s="251" t="s">
        <v>4757</v>
      </c>
      <c r="H147" s="251" t="s">
        <v>4787</v>
      </c>
      <c r="I147" s="251" t="s">
        <v>4720</v>
      </c>
      <c r="J147" s="251" t="s">
        <v>642</v>
      </c>
      <c r="K147" s="251" t="s">
        <v>30</v>
      </c>
      <c r="L147">
        <f>IF(AND($K147="Cold",$B147&lt;&gt;"",$C147&gt;=EOMONTH('Cold Outreach'!$C$3,-1)+1,$C147&lt;=EOMONTH('Cold Outreach'!$C$3,0)),
IF(COUNTIFS($B$2:$B147,$B147,$K$2:$K147,"Cold",$C$2:$C147,"&gt;="&amp;EOMONTH('Cold Outreach'!$C$3,-1)+1,$C$2:$C147,"&lt;="&amp;EOMONTH('Cold Outreach'!$C$3,0))=1,1,0),
0)</f>
        <v>0</v>
      </c>
      <c r="M147">
        <f>IF(AND($K147="Cold",$B147&lt;&gt;"",$C147&gt;=EDATE(EOMONTH('Cold Outreach'!$C$3,-1)+1,-('Cold Outreach'!$N$2-1)),$C147&lt;=EOMONTH('Cold Outreach'!$C$3,0)),
IF(COUNTIFS($B$2:$B147,$B147,$K$2:$K147,"Cold",$C$2:$C147,"&gt;="&amp;EDATE(EOMONTH('Cold Outreach'!$C$3,-1)+1,-('Cold Outreach'!$N$2-1)),$C$2:$C147,"&lt;="&amp;EOMONTH('Cold Outreach'!$C$3,0))=1,1,0),
0)</f>
        <v>1</v>
      </c>
    </row>
    <row r="148" spans="1:13">
      <c r="A148" s="251" t="s">
        <v>4951</v>
      </c>
      <c r="B148" s="251" t="s">
        <v>4952</v>
      </c>
      <c r="C148" s="556">
        <v>46058</v>
      </c>
      <c r="D148" s="251" t="s">
        <v>4730</v>
      </c>
      <c r="E148" s="251" t="s">
        <v>4731</v>
      </c>
      <c r="F148" s="251" t="s">
        <v>728</v>
      </c>
      <c r="G148" s="251" t="s">
        <v>4757</v>
      </c>
      <c r="H148" s="251" t="s">
        <v>4758</v>
      </c>
      <c r="I148" s="251" t="s">
        <v>4720</v>
      </c>
      <c r="J148" s="251" t="s">
        <v>477</v>
      </c>
      <c r="K148" s="251" t="s">
        <v>30</v>
      </c>
      <c r="L148">
        <f>IF(AND($K148="Cold",$B148&lt;&gt;"",$C148&gt;=EOMONTH('Cold Outreach'!$C$3,-1)+1,$C148&lt;=EOMONTH('Cold Outreach'!$C$3,0)),
IF(COUNTIFS($B$2:$B148,$B148,$K$2:$K148,"Cold",$C$2:$C148,"&gt;="&amp;EOMONTH('Cold Outreach'!$C$3,-1)+1,$C$2:$C148,"&lt;="&amp;EOMONTH('Cold Outreach'!$C$3,0))=1,1,0),
0)</f>
        <v>0</v>
      </c>
      <c r="M148">
        <f>IF(AND($K148="Cold",$B148&lt;&gt;"",$C148&gt;=EDATE(EOMONTH('Cold Outreach'!$C$3,-1)+1,-('Cold Outreach'!$N$2-1)),$C148&lt;=EOMONTH('Cold Outreach'!$C$3,0)),
IF(COUNTIFS($B$2:$B148,$B148,$K$2:$K148,"Cold",$C$2:$C148,"&gt;="&amp;EDATE(EOMONTH('Cold Outreach'!$C$3,-1)+1,-('Cold Outreach'!$N$2-1)),$C$2:$C148,"&lt;="&amp;EOMONTH('Cold Outreach'!$C$3,0))=1,1,0),
0)</f>
        <v>1</v>
      </c>
    </row>
    <row r="149" spans="1:13">
      <c r="A149" s="251" t="s">
        <v>4953</v>
      </c>
      <c r="B149" s="251" t="s">
        <v>1046</v>
      </c>
      <c r="C149" s="556">
        <v>46058</v>
      </c>
      <c r="D149" s="251" t="s">
        <v>4716</v>
      </c>
      <c r="E149" s="251" t="s">
        <v>4731</v>
      </c>
      <c r="F149" s="251" t="s">
        <v>401</v>
      </c>
      <c r="G149" s="251" t="s">
        <v>4718</v>
      </c>
      <c r="H149" s="251" t="s">
        <v>4723</v>
      </c>
      <c r="I149" s="251" t="s">
        <v>4720</v>
      </c>
      <c r="J149" s="251" t="s">
        <v>4191</v>
      </c>
      <c r="K149" s="251" t="s">
        <v>27</v>
      </c>
      <c r="L149">
        <f>IF(AND($K149="Cold",$B149&lt;&gt;"",$C149&gt;=EOMONTH('Cold Outreach'!$C$3,-1)+1,$C149&lt;=EOMONTH('Cold Outreach'!$C$3,0)),
IF(COUNTIFS($B$2:$B149,$B149,$K$2:$K149,"Cold",$C$2:$C149,"&gt;="&amp;EOMONTH('Cold Outreach'!$C$3,-1)+1,$C$2:$C149,"&lt;="&amp;EOMONTH('Cold Outreach'!$C$3,0))=1,1,0),
0)</f>
        <v>0</v>
      </c>
      <c r="M149">
        <f>IF(AND($K149="Cold",$B149&lt;&gt;"",$C149&gt;=EDATE(EOMONTH('Cold Outreach'!$C$3,-1)+1,-('Cold Outreach'!$N$2-1)),$C149&lt;=EOMONTH('Cold Outreach'!$C$3,0)),
IF(COUNTIFS($B$2:$B149,$B149,$K$2:$K149,"Cold",$C$2:$C149,"&gt;="&amp;EDATE(EOMONTH('Cold Outreach'!$C$3,-1)+1,-('Cold Outreach'!$N$2-1)),$C$2:$C149,"&lt;="&amp;EOMONTH('Cold Outreach'!$C$3,0))=1,1,0),
0)</f>
        <v>0</v>
      </c>
    </row>
    <row r="150" spans="1:13">
      <c r="A150" s="559" t="s">
        <v>4954</v>
      </c>
      <c r="B150" s="559" t="s">
        <v>4955</v>
      </c>
      <c r="C150" s="556">
        <v>46062</v>
      </c>
      <c r="D150" s="251"/>
      <c r="E150" s="251"/>
      <c r="F150" s="251" t="s">
        <v>4809</v>
      </c>
      <c r="G150" s="251" t="s">
        <v>4718</v>
      </c>
      <c r="H150" s="251" t="s">
        <v>4712</v>
      </c>
      <c r="I150" s="251" t="s">
        <v>30</v>
      </c>
      <c r="J150" s="251"/>
      <c r="K150" s="251" t="s">
        <v>30</v>
      </c>
      <c r="L150">
        <f>IF(AND($K150="Cold",$B150&lt;&gt;"",$C150&gt;=EOMONTH('Cold Outreach'!$C$3,-1)+1,$C150&lt;=EOMONTH('Cold Outreach'!$C$3,0)),
IF(COUNTIFS($B$2:$B150,$B150,$K$2:$K150,"Cold",$C$2:$C150,"&gt;="&amp;EOMONTH('Cold Outreach'!$C$3,-1)+1,$C$2:$C150,"&lt;="&amp;EOMONTH('Cold Outreach'!$C$3,0))=1,1,0),
0)</f>
        <v>0</v>
      </c>
      <c r="M150">
        <f>IF(AND($K150="Cold",$B150&lt;&gt;"",$C150&gt;=EDATE(EOMONTH('Cold Outreach'!$C$3,-1)+1,-('Cold Outreach'!$N$2-1)),$C150&lt;=EOMONTH('Cold Outreach'!$C$3,0)),
IF(COUNTIFS($B$2:$B150,$B150,$K$2:$K150,"Cold",$C$2:$C150,"&gt;="&amp;EDATE(EOMONTH('Cold Outreach'!$C$3,-1)+1,-('Cold Outreach'!$N$2-1)),$C$2:$C150,"&lt;="&amp;EOMONTH('Cold Outreach'!$C$3,0))=1,1,0),
0)</f>
        <v>1</v>
      </c>
    </row>
    <row r="151" spans="1:13">
      <c r="A151" s="549" t="s">
        <v>420</v>
      </c>
      <c r="B151" s="549" t="s">
        <v>4956</v>
      </c>
      <c r="C151" s="555">
        <v>46065</v>
      </c>
      <c r="D151" s="549" t="s">
        <v>4730</v>
      </c>
      <c r="E151" s="549" t="s">
        <v>521</v>
      </c>
      <c r="F151" s="549" t="s">
        <v>1932</v>
      </c>
      <c r="G151" s="549" t="s">
        <v>4757</v>
      </c>
      <c r="H151" s="549" t="s">
        <v>4758</v>
      </c>
      <c r="I151" s="549" t="s">
        <v>30</v>
      </c>
      <c r="J151" s="549" t="s">
        <v>4721</v>
      </c>
      <c r="K151" s="549" t="s">
        <v>30</v>
      </c>
      <c r="L151">
        <f>IF(AND($K151="Cold",$B151&lt;&gt;"",$C151&gt;=EOMONTH('Cold Outreach'!$C$3,-1)+1,$C151&lt;=EOMONTH('Cold Outreach'!$C$3,0)),
IF(COUNTIFS($B$2:$B151,$B151,$K$2:$K151,"Cold",$C$2:$C151,"&gt;="&amp;EOMONTH('Cold Outreach'!$C$3,-1)+1,$C$2:$C151,"&lt;="&amp;EOMONTH('Cold Outreach'!$C$3,0))=1,1,0),
0)</f>
        <v>0</v>
      </c>
      <c r="M151">
        <f>IF(AND($K151="Cold",$B151&lt;&gt;"",$C151&gt;=EDATE(EOMONTH('Cold Outreach'!$C$3,-1)+1,-('Cold Outreach'!$N$2-1)),$C151&lt;=EOMONTH('Cold Outreach'!$C$3,0)),
IF(COUNTIFS($B$2:$B151,$B151,$K$2:$K151,"Cold",$C$2:$C151,"&gt;="&amp;EDATE(EOMONTH('Cold Outreach'!$C$3,-1)+1,-('Cold Outreach'!$N$2-1)),$C$2:$C151,"&lt;="&amp;EOMONTH('Cold Outreach'!$C$3,0))=1,1,0),
0)</f>
        <v>1</v>
      </c>
    </row>
    <row r="152" spans="1:13">
      <c r="A152" s="559" t="s">
        <v>4957</v>
      </c>
      <c r="B152" s="559" t="s">
        <v>4958</v>
      </c>
      <c r="C152" s="556">
        <v>46069</v>
      </c>
      <c r="D152" s="251"/>
      <c r="E152" s="251"/>
      <c r="F152" s="251" t="s">
        <v>4809</v>
      </c>
      <c r="G152" s="251" t="s">
        <v>4718</v>
      </c>
      <c r="H152" s="251" t="s">
        <v>4712</v>
      </c>
      <c r="I152" s="251" t="s">
        <v>30</v>
      </c>
      <c r="J152" s="251"/>
      <c r="K152" s="251" t="s">
        <v>30</v>
      </c>
      <c r="L152">
        <f>IF(AND($K152="Cold",$B152&lt;&gt;"",$C152&gt;=EOMONTH('Cold Outreach'!$C$3,-1)+1,$C152&lt;=EOMONTH('Cold Outreach'!$C$3,0)),
IF(COUNTIFS($B$2:$B152,$B152,$K$2:$K152,"Cold",$C$2:$C152,"&gt;="&amp;EOMONTH('Cold Outreach'!$C$3,-1)+1,$C$2:$C152,"&lt;="&amp;EOMONTH('Cold Outreach'!$C$3,0))=1,1,0),
0)</f>
        <v>0</v>
      </c>
      <c r="M152">
        <f>IF(AND($K152="Cold",$B152&lt;&gt;"",$C152&gt;=EDATE(EOMONTH('Cold Outreach'!$C$3,-1)+1,-('Cold Outreach'!$N$2-1)),$C152&lt;=EOMONTH('Cold Outreach'!$C$3,0)),
IF(COUNTIFS($B$2:$B152,$B152,$K$2:$K152,"Cold",$C$2:$C152,"&gt;="&amp;EDATE(EOMONTH('Cold Outreach'!$C$3,-1)+1,-('Cold Outreach'!$N$2-1)),$C$2:$C152,"&lt;="&amp;EOMONTH('Cold Outreach'!$C$3,0))=1,1,0),
0)</f>
        <v>1</v>
      </c>
    </row>
    <row r="153" spans="1:13">
      <c r="A153" s="559" t="s">
        <v>4959</v>
      </c>
      <c r="B153" s="559" t="s">
        <v>4960</v>
      </c>
      <c r="C153" s="556">
        <v>46069</v>
      </c>
      <c r="D153" s="251"/>
      <c r="E153" s="251"/>
      <c r="F153" s="251" t="s">
        <v>4809</v>
      </c>
      <c r="G153" s="251" t="s">
        <v>4718</v>
      </c>
      <c r="H153" s="251" t="s">
        <v>4712</v>
      </c>
      <c r="I153" s="251" t="s">
        <v>30</v>
      </c>
      <c r="J153" s="251"/>
      <c r="K153" s="251" t="s">
        <v>30</v>
      </c>
      <c r="L153">
        <f>IF(AND($K153="Cold",$B153&lt;&gt;"",$C153&gt;=EOMONTH('Cold Outreach'!$C$3,-1)+1,$C153&lt;=EOMONTH('Cold Outreach'!$C$3,0)),
IF(COUNTIFS($B$2:$B153,$B153,$K$2:$K153,"Cold",$C$2:$C153,"&gt;="&amp;EOMONTH('Cold Outreach'!$C$3,-1)+1,$C$2:$C153,"&lt;="&amp;EOMONTH('Cold Outreach'!$C$3,0))=1,1,0),
0)</f>
        <v>0</v>
      </c>
      <c r="M153">
        <f>IF(AND($K153="Cold",$B153&lt;&gt;"",$C153&gt;=EDATE(EOMONTH('Cold Outreach'!$C$3,-1)+1,-('Cold Outreach'!$N$2-1)),$C153&lt;=EOMONTH('Cold Outreach'!$C$3,0)),
IF(COUNTIFS($B$2:$B153,$B153,$K$2:$K153,"Cold",$C$2:$C153,"&gt;="&amp;EDATE(EOMONTH('Cold Outreach'!$C$3,-1)+1,-('Cold Outreach'!$N$2-1)),$C$2:$C153,"&lt;="&amp;EOMONTH('Cold Outreach'!$C$3,0))=1,1,0),
0)</f>
        <v>1</v>
      </c>
    </row>
    <row r="154" spans="1:13">
      <c r="A154" s="251" t="s">
        <v>4961</v>
      </c>
      <c r="B154" s="251" t="s">
        <v>4962</v>
      </c>
      <c r="C154" s="556">
        <v>46070</v>
      </c>
      <c r="D154" s="251" t="s">
        <v>4730</v>
      </c>
      <c r="E154" s="251" t="s">
        <v>596</v>
      </c>
      <c r="F154" s="551" t="s">
        <v>728</v>
      </c>
      <c r="G154" s="551" t="s">
        <v>4718</v>
      </c>
      <c r="H154" s="251" t="s">
        <v>4963</v>
      </c>
      <c r="I154" s="251" t="s">
        <v>4720</v>
      </c>
      <c r="J154" s="251" t="s">
        <v>468</v>
      </c>
      <c r="K154" s="251" t="s">
        <v>1473</v>
      </c>
      <c r="L154">
        <f>IF(AND($K154="Cold",$B154&lt;&gt;"",$C154&gt;=EOMONTH('Cold Outreach'!$C$3,-1)+1,$C154&lt;=EOMONTH('Cold Outreach'!$C$3,0)),
IF(COUNTIFS($B$2:$B154,$B154,$K$2:$K154,"Cold",$C$2:$C154,"&gt;="&amp;EOMONTH('Cold Outreach'!$C$3,-1)+1,$C$2:$C154,"&lt;="&amp;EOMONTH('Cold Outreach'!$C$3,0))=1,1,0),
0)</f>
        <v>0</v>
      </c>
      <c r="M154">
        <f>IF(AND($K154="Cold",$B154&lt;&gt;"",$C154&gt;=EDATE(EOMONTH('Cold Outreach'!$C$3,-1)+1,-('Cold Outreach'!$N$2-1)),$C154&lt;=EOMONTH('Cold Outreach'!$C$3,0)),
IF(COUNTIFS($B$2:$B154,$B154,$K$2:$K154,"Cold",$C$2:$C154,"&gt;="&amp;EDATE(EOMONTH('Cold Outreach'!$C$3,-1)+1,-('Cold Outreach'!$N$2-1)),$C$2:$C154,"&lt;="&amp;EOMONTH('Cold Outreach'!$C$3,0))=1,1,0),
0)</f>
        <v>0</v>
      </c>
    </row>
    <row r="155" spans="1:13">
      <c r="A155" s="549" t="s">
        <v>420</v>
      </c>
      <c r="B155" s="549" t="s">
        <v>4964</v>
      </c>
      <c r="C155" s="555">
        <v>46071</v>
      </c>
      <c r="D155" s="549" t="s">
        <v>4730</v>
      </c>
      <c r="E155" s="549" t="s">
        <v>4742</v>
      </c>
      <c r="F155" s="549" t="s">
        <v>1932</v>
      </c>
      <c r="G155" s="549" t="s">
        <v>4718</v>
      </c>
      <c r="H155" s="549" t="s">
        <v>4719</v>
      </c>
      <c r="I155" s="549" t="s">
        <v>30</v>
      </c>
      <c r="J155" s="549" t="s">
        <v>320</v>
      </c>
      <c r="K155" s="549" t="s">
        <v>30</v>
      </c>
      <c r="L155">
        <f>IF(AND($K155="Cold",$B155&lt;&gt;"",$C155&gt;=EOMONTH('Cold Outreach'!$C$3,-1)+1,$C155&lt;=EOMONTH('Cold Outreach'!$C$3,0)),
IF(COUNTIFS($B$2:$B155,$B155,$K$2:$K155,"Cold",$C$2:$C155,"&gt;="&amp;EOMONTH('Cold Outreach'!$C$3,-1)+1,$C$2:$C155,"&lt;="&amp;EOMONTH('Cold Outreach'!$C$3,0))=1,1,0),
0)</f>
        <v>0</v>
      </c>
      <c r="M155">
        <f>IF(AND($K155="Cold",$B155&lt;&gt;"",$C155&gt;=EDATE(EOMONTH('Cold Outreach'!$C$3,-1)+1,-('Cold Outreach'!$N$2-1)),$C155&lt;=EOMONTH('Cold Outreach'!$C$3,0)),
IF(COUNTIFS($B$2:$B155,$B155,$K$2:$K155,"Cold",$C$2:$C155,"&gt;="&amp;EDATE(EOMONTH('Cold Outreach'!$C$3,-1)+1,-('Cold Outreach'!$N$2-1)),$C$2:$C155,"&lt;="&amp;EOMONTH('Cold Outreach'!$C$3,0))=1,1,0),
0)</f>
        <v>1</v>
      </c>
    </row>
    <row r="156" spans="1:13">
      <c r="A156" s="559" t="s">
        <v>4965</v>
      </c>
      <c r="B156" s="559" t="s">
        <v>961</v>
      </c>
      <c r="C156" s="556">
        <v>46071</v>
      </c>
      <c r="D156" s="251"/>
      <c r="E156" s="251"/>
      <c r="F156" s="251" t="s">
        <v>4809</v>
      </c>
      <c r="G156" s="251" t="s">
        <v>4718</v>
      </c>
      <c r="H156" s="251" t="s">
        <v>4712</v>
      </c>
      <c r="I156" s="251" t="s">
        <v>30</v>
      </c>
      <c r="J156" s="251"/>
      <c r="K156" s="251" t="s">
        <v>30</v>
      </c>
      <c r="L156">
        <f>IF(AND($K156="Cold",$B156&lt;&gt;"",$C156&gt;=EOMONTH('Cold Outreach'!$C$3,-1)+1,$C156&lt;=EOMONTH('Cold Outreach'!$C$3,0)),
IF(COUNTIFS($B$2:$B156,$B156,$K$2:$K156,"Cold",$C$2:$C156,"&gt;="&amp;EOMONTH('Cold Outreach'!$C$3,-1)+1,$C$2:$C156,"&lt;="&amp;EOMONTH('Cold Outreach'!$C$3,0))=1,1,0),
0)</f>
        <v>0</v>
      </c>
      <c r="M156">
        <f>IF(AND($K156="Cold",$B156&lt;&gt;"",$C156&gt;=EDATE(EOMONTH('Cold Outreach'!$C$3,-1)+1,-('Cold Outreach'!$N$2-1)),$C156&lt;=EOMONTH('Cold Outreach'!$C$3,0)),
IF(COUNTIFS($B$2:$B156,$B156,$K$2:$K156,"Cold",$C$2:$C156,"&gt;="&amp;EDATE(EOMONTH('Cold Outreach'!$C$3,-1)+1,-('Cold Outreach'!$N$2-1)),$C$2:$C156,"&lt;="&amp;EOMONTH('Cold Outreach'!$C$3,0))=1,1,0),
0)</f>
        <v>1</v>
      </c>
    </row>
    <row r="157" spans="1:13">
      <c r="A157" s="549" t="s">
        <v>420</v>
      </c>
      <c r="B157" s="549" t="s">
        <v>4966</v>
      </c>
      <c r="C157" s="555">
        <v>46073</v>
      </c>
      <c r="D157" s="549" t="s">
        <v>4730</v>
      </c>
      <c r="E157" s="549" t="s">
        <v>420</v>
      </c>
      <c r="F157" s="549" t="s">
        <v>1932</v>
      </c>
      <c r="G157" s="549" t="s">
        <v>4718</v>
      </c>
      <c r="H157" s="549" t="s">
        <v>4719</v>
      </c>
      <c r="I157" s="549" t="s">
        <v>30</v>
      </c>
      <c r="J157" s="549" t="s">
        <v>320</v>
      </c>
      <c r="K157" s="549" t="s">
        <v>30</v>
      </c>
      <c r="L157">
        <f>IF(AND($K157="Cold",$B157&lt;&gt;"",$C157&gt;=EOMONTH('Cold Outreach'!$C$3,-1)+1,$C157&lt;=EOMONTH('Cold Outreach'!$C$3,0)),
IF(COUNTIFS($B$2:$B157,$B157,$K$2:$K157,"Cold",$C$2:$C157,"&gt;="&amp;EOMONTH('Cold Outreach'!$C$3,-1)+1,$C$2:$C157,"&lt;="&amp;EOMONTH('Cold Outreach'!$C$3,0))=1,1,0),
0)</f>
        <v>0</v>
      </c>
      <c r="M157">
        <f>IF(AND($K157="Cold",$B157&lt;&gt;"",$C157&gt;=EDATE(EOMONTH('Cold Outreach'!$C$3,-1)+1,-('Cold Outreach'!$N$2-1)),$C157&lt;=EOMONTH('Cold Outreach'!$C$3,0)),
IF(COUNTIFS($B$2:$B157,$B157,$K$2:$K157,"Cold",$C$2:$C157,"&gt;="&amp;EDATE(EOMONTH('Cold Outreach'!$C$3,-1)+1,-('Cold Outreach'!$N$2-1)),$C$2:$C157,"&lt;="&amp;EOMONTH('Cold Outreach'!$C$3,0))=1,1,0),
0)</f>
        <v>1</v>
      </c>
    </row>
    <row r="158" spans="1:13">
      <c r="A158" s="549" t="s">
        <v>420</v>
      </c>
      <c r="B158" s="549" t="s">
        <v>4967</v>
      </c>
      <c r="C158" s="555">
        <v>46073</v>
      </c>
      <c r="D158" s="549" t="s">
        <v>4730</v>
      </c>
      <c r="E158" s="549" t="s">
        <v>420</v>
      </c>
      <c r="F158" s="549" t="s">
        <v>1932</v>
      </c>
      <c r="G158" s="549" t="s">
        <v>4718</v>
      </c>
      <c r="H158" s="549" t="s">
        <v>4719</v>
      </c>
      <c r="I158" s="549" t="s">
        <v>30</v>
      </c>
      <c r="J158" s="549" t="s">
        <v>320</v>
      </c>
      <c r="K158" s="549" t="s">
        <v>30</v>
      </c>
      <c r="L158">
        <f>IF(AND($K158="Cold",$B158&lt;&gt;"",$C158&gt;=EOMONTH('Cold Outreach'!$C$3,-1)+1,$C158&lt;=EOMONTH('Cold Outreach'!$C$3,0)),
IF(COUNTIFS($B$2:$B158,$B158,$K$2:$K158,"Cold",$C$2:$C158,"&gt;="&amp;EOMONTH('Cold Outreach'!$C$3,-1)+1,$C$2:$C158,"&lt;="&amp;EOMONTH('Cold Outreach'!$C$3,0))=1,1,0),
0)</f>
        <v>0</v>
      </c>
      <c r="M158">
        <f>IF(AND($K158="Cold",$B158&lt;&gt;"",$C158&gt;=EDATE(EOMONTH('Cold Outreach'!$C$3,-1)+1,-('Cold Outreach'!$N$2-1)),$C158&lt;=EOMONTH('Cold Outreach'!$C$3,0)),
IF(COUNTIFS($B$2:$B158,$B158,$K$2:$K158,"Cold",$C$2:$C158,"&gt;="&amp;EDATE(EOMONTH('Cold Outreach'!$C$3,-1)+1,-('Cold Outreach'!$N$2-1)),$C$2:$C158,"&lt;="&amp;EOMONTH('Cold Outreach'!$C$3,0))=1,1,0),
0)</f>
        <v>1</v>
      </c>
    </row>
    <row r="159" spans="1:13">
      <c r="A159" s="552" t="s">
        <v>4968</v>
      </c>
      <c r="B159" s="552" t="s">
        <v>1069</v>
      </c>
      <c r="C159" s="557">
        <v>46073</v>
      </c>
      <c r="D159" s="552" t="s">
        <v>4730</v>
      </c>
      <c r="E159" s="552" t="s">
        <v>4742</v>
      </c>
      <c r="F159" s="552" t="s">
        <v>401</v>
      </c>
      <c r="G159" s="552" t="s">
        <v>4718</v>
      </c>
      <c r="H159" s="552" t="s">
        <v>4740</v>
      </c>
      <c r="I159" s="552" t="s">
        <v>4720</v>
      </c>
      <c r="J159" s="552" t="s">
        <v>477</v>
      </c>
      <c r="K159" s="552" t="s">
        <v>27</v>
      </c>
      <c r="L159">
        <f>IF(AND($K159="Cold",$B159&lt;&gt;"",$C159&gt;=EOMONTH('Cold Outreach'!$C$3,-1)+1,$C159&lt;=EOMONTH('Cold Outreach'!$C$3,0)),
IF(COUNTIFS($B$2:$B159,$B159,$K$2:$K159,"Cold",$C$2:$C159,"&gt;="&amp;EOMONTH('Cold Outreach'!$C$3,-1)+1,$C$2:$C159,"&lt;="&amp;EOMONTH('Cold Outreach'!$C$3,0))=1,1,0),
0)</f>
        <v>0</v>
      </c>
      <c r="M159">
        <f>IF(AND($K159="Cold",$B159&lt;&gt;"",$C159&gt;=EDATE(EOMONTH('Cold Outreach'!$C$3,-1)+1,-('Cold Outreach'!$N$2-1)),$C159&lt;=EOMONTH('Cold Outreach'!$C$3,0)),
IF(COUNTIFS($B$2:$B159,$B159,$K$2:$K159,"Cold",$C$2:$C159,"&gt;="&amp;EDATE(EOMONTH('Cold Outreach'!$C$3,-1)+1,-('Cold Outreach'!$N$2-1)),$C$2:$C159,"&lt;="&amp;EOMONTH('Cold Outreach'!$C$3,0))=1,1,0),
0)</f>
        <v>0</v>
      </c>
    </row>
    <row r="160" spans="1:13">
      <c r="A160" s="549" t="s">
        <v>420</v>
      </c>
      <c r="B160" s="549" t="s">
        <v>4969</v>
      </c>
      <c r="C160" s="555">
        <v>46077</v>
      </c>
      <c r="D160" s="549" t="s">
        <v>4730</v>
      </c>
      <c r="E160" s="549" t="s">
        <v>420</v>
      </c>
      <c r="F160" s="549" t="s">
        <v>1932</v>
      </c>
      <c r="G160" s="549" t="s">
        <v>4718</v>
      </c>
      <c r="H160" s="549" t="s">
        <v>4719</v>
      </c>
      <c r="I160" s="549" t="s">
        <v>30</v>
      </c>
      <c r="J160" s="549" t="s">
        <v>320</v>
      </c>
      <c r="K160" s="549" t="s">
        <v>30</v>
      </c>
      <c r="L160">
        <f>IF(AND($K160="Cold",$B160&lt;&gt;"",$C160&gt;=EOMONTH('Cold Outreach'!$C$3,-1)+1,$C160&lt;=EOMONTH('Cold Outreach'!$C$3,0)),
IF(COUNTIFS($B$2:$B160,$B160,$K$2:$K160,"Cold",$C$2:$C160,"&gt;="&amp;EOMONTH('Cold Outreach'!$C$3,-1)+1,$C$2:$C160,"&lt;="&amp;EOMONTH('Cold Outreach'!$C$3,0))=1,1,0),
0)</f>
        <v>0</v>
      </c>
      <c r="M160">
        <f>IF(AND($K160="Cold",$B160&lt;&gt;"",$C160&gt;=EDATE(EOMONTH('Cold Outreach'!$C$3,-1)+1,-('Cold Outreach'!$N$2-1)),$C160&lt;=EOMONTH('Cold Outreach'!$C$3,0)),
IF(COUNTIFS($B$2:$B160,$B160,$K$2:$K160,"Cold",$C$2:$C160,"&gt;="&amp;EDATE(EOMONTH('Cold Outreach'!$C$3,-1)+1,-('Cold Outreach'!$N$2-1)),$C$2:$C160,"&lt;="&amp;EOMONTH('Cold Outreach'!$C$3,0))=1,1,0),
0)</f>
        <v>1</v>
      </c>
    </row>
    <row r="161" spans="1:13">
      <c r="A161" s="552" t="s">
        <v>4970</v>
      </c>
      <c r="B161" s="552" t="s">
        <v>972</v>
      </c>
      <c r="C161" s="557">
        <v>46080</v>
      </c>
      <c r="D161" s="552" t="s">
        <v>4716</v>
      </c>
      <c r="E161" s="552" t="s">
        <v>4731</v>
      </c>
      <c r="F161" s="552" t="s">
        <v>4971</v>
      </c>
      <c r="G161" s="552" t="s">
        <v>4757</v>
      </c>
      <c r="H161" s="552" t="s">
        <v>4758</v>
      </c>
      <c r="I161" s="552" t="s">
        <v>30</v>
      </c>
      <c r="J161" s="552" t="s">
        <v>642</v>
      </c>
      <c r="K161" s="552" t="s">
        <v>30</v>
      </c>
      <c r="L161">
        <f>IF(AND($K161="Cold",$B161&lt;&gt;"",$C161&gt;=EOMONTH('Cold Outreach'!$C$3,-1)+1,$C161&lt;=EOMONTH('Cold Outreach'!$C$3,0)),
IF(COUNTIFS($B$2:$B161,$B161,$K$2:$K161,"Cold",$C$2:$C161,"&gt;="&amp;EOMONTH('Cold Outreach'!$C$3,-1)+1,$C$2:$C161,"&lt;="&amp;EOMONTH('Cold Outreach'!$C$3,0))=1,1,0),
0)</f>
        <v>0</v>
      </c>
      <c r="M161">
        <f>IF(AND($K161="Cold",$B161&lt;&gt;"",$C161&gt;=EDATE(EOMONTH('Cold Outreach'!$C$3,-1)+1,-('Cold Outreach'!$N$2-1)),$C161&lt;=EOMONTH('Cold Outreach'!$C$3,0)),
IF(COUNTIFS($B$2:$B161,$B161,$K$2:$K161,"Cold",$C$2:$C161,"&gt;="&amp;EDATE(EOMONTH('Cold Outreach'!$C$3,-1)+1,-('Cold Outreach'!$N$2-1)),$C$2:$C161,"&lt;="&amp;EOMONTH('Cold Outreach'!$C$3,0))=1,1,0),
0)</f>
        <v>1</v>
      </c>
    </row>
    <row r="162" spans="1:13">
      <c r="A162" s="549" t="s">
        <v>420</v>
      </c>
      <c r="B162" s="549" t="s">
        <v>4972</v>
      </c>
      <c r="C162" s="555">
        <v>46081</v>
      </c>
      <c r="D162" s="549" t="s">
        <v>4730</v>
      </c>
      <c r="E162" s="549" t="s">
        <v>420</v>
      </c>
      <c r="F162" s="549" t="s">
        <v>1932</v>
      </c>
      <c r="G162" s="549" t="s">
        <v>4757</v>
      </c>
      <c r="H162" s="549" t="s">
        <v>4758</v>
      </c>
      <c r="I162" s="549" t="s">
        <v>30</v>
      </c>
      <c r="J162" s="549" t="s">
        <v>4721</v>
      </c>
      <c r="K162" s="549" t="s">
        <v>30</v>
      </c>
      <c r="L162">
        <f>IF(AND($K162="Cold",$B162&lt;&gt;"",$C162&gt;=EOMONTH('Cold Outreach'!$C$3,-1)+1,$C162&lt;=EOMONTH('Cold Outreach'!$C$3,0)),
IF(COUNTIFS($B$2:$B162,$B162,$K$2:$K162,"Cold",$C$2:$C162,"&gt;="&amp;EOMONTH('Cold Outreach'!$C$3,-1)+1,$C$2:$C162,"&lt;="&amp;EOMONTH('Cold Outreach'!$C$3,0))=1,1,0),
0)</f>
        <v>0</v>
      </c>
      <c r="M162">
        <f>IF(AND($K162="Cold",$B162&lt;&gt;"",$C162&gt;=EDATE(EOMONTH('Cold Outreach'!$C$3,-1)+1,-('Cold Outreach'!$N$2-1)),$C162&lt;=EOMONTH('Cold Outreach'!$C$3,0)),
IF(COUNTIFS($B$2:$B162,$B162,$K$2:$K162,"Cold",$C$2:$C162,"&gt;="&amp;EDATE(EOMONTH('Cold Outreach'!$C$3,-1)+1,-('Cold Outreach'!$N$2-1)),$C$2:$C162,"&lt;="&amp;EOMONTH('Cold Outreach'!$C$3,0))=1,1,0),
0)</f>
        <v>1</v>
      </c>
    </row>
    <row r="163" spans="1:13">
      <c r="A163" s="549" t="s">
        <v>420</v>
      </c>
      <c r="B163" s="549" t="s">
        <v>4973</v>
      </c>
      <c r="C163" s="555">
        <v>46084</v>
      </c>
      <c r="D163" s="549" t="s">
        <v>4730</v>
      </c>
      <c r="E163" s="549" t="s">
        <v>587</v>
      </c>
      <c r="F163" s="549" t="s">
        <v>1932</v>
      </c>
      <c r="G163" s="549" t="s">
        <v>4718</v>
      </c>
      <c r="H163" s="549" t="s">
        <v>4719</v>
      </c>
      <c r="I163" s="549" t="s">
        <v>30</v>
      </c>
      <c r="J163" s="549" t="s">
        <v>320</v>
      </c>
      <c r="K163" s="549" t="s">
        <v>30</v>
      </c>
      <c r="L163">
        <f>IF(AND($K163="Cold",$B163&lt;&gt;"",$C163&gt;=EOMONTH('Cold Outreach'!$C$3,-1)+1,$C163&lt;=EOMONTH('Cold Outreach'!$C$3,0)),
IF(COUNTIFS($B$2:$B163,$B163,$K$2:$K163,"Cold",$C$2:$C163,"&gt;="&amp;EOMONTH('Cold Outreach'!$C$3,-1)+1,$C$2:$C163,"&lt;="&amp;EOMONTH('Cold Outreach'!$C$3,0))=1,1,0),
0)</f>
        <v>0</v>
      </c>
      <c r="M163">
        <f>IF(AND($K163="Cold",$B163&lt;&gt;"",$C163&gt;=EDATE(EOMONTH('Cold Outreach'!$C$3,-1)+1,-('Cold Outreach'!$N$2-1)),$C163&lt;=EOMONTH('Cold Outreach'!$C$3,0)),
IF(COUNTIFS($B$2:$B163,$B163,$K$2:$K163,"Cold",$C$2:$C163,"&gt;="&amp;EDATE(EOMONTH('Cold Outreach'!$C$3,-1)+1,-('Cold Outreach'!$N$2-1)),$C$2:$C163,"&lt;="&amp;EOMONTH('Cold Outreach'!$C$3,0))=1,1,0),
0)</f>
        <v>1</v>
      </c>
    </row>
    <row r="164" spans="1:13">
      <c r="A164" s="251" t="s">
        <v>4974</v>
      </c>
      <c r="B164" s="251" t="s">
        <v>3313</v>
      </c>
      <c r="C164" s="556">
        <v>46086</v>
      </c>
      <c r="D164" s="251" t="s">
        <v>4716</v>
      </c>
      <c r="E164" s="251" t="s">
        <v>4717</v>
      </c>
      <c r="F164" s="251" t="s">
        <v>4975</v>
      </c>
      <c r="G164" s="251" t="s">
        <v>4718</v>
      </c>
      <c r="H164" s="251" t="s">
        <v>4712</v>
      </c>
      <c r="I164" s="251" t="s">
        <v>30</v>
      </c>
      <c r="J164" s="251" t="s">
        <v>642</v>
      </c>
      <c r="K164" s="251" t="s">
        <v>30</v>
      </c>
      <c r="L164">
        <f>IF(AND($K164="Cold",$B164&lt;&gt;"",$C164&gt;=EOMONTH('Cold Outreach'!$C$3,-1)+1,$C164&lt;=EOMONTH('Cold Outreach'!$C$3,0)),
IF(COUNTIFS($B$2:$B164,$B164,$K$2:$K164,"Cold",$C$2:$C164,"&gt;="&amp;EOMONTH('Cold Outreach'!$C$3,-1)+1,$C$2:$C164,"&lt;="&amp;EOMONTH('Cold Outreach'!$C$3,0))=1,1,0),
0)</f>
        <v>0</v>
      </c>
      <c r="M164">
        <f>IF(AND($K164="Cold",$B164&lt;&gt;"",$C164&gt;=EDATE(EOMONTH('Cold Outreach'!$C$3,-1)+1,-('Cold Outreach'!$N$2-1)),$C164&lt;=EOMONTH('Cold Outreach'!$C$3,0)),
IF(COUNTIFS($B$2:$B164,$B164,$K$2:$K164,"Cold",$C$2:$C164,"&gt;="&amp;EDATE(EOMONTH('Cold Outreach'!$C$3,-1)+1,-('Cold Outreach'!$N$2-1)),$C$2:$C164,"&lt;="&amp;EOMONTH('Cold Outreach'!$C$3,0))=1,1,0),
0)</f>
        <v>1</v>
      </c>
    </row>
    <row r="165" spans="1:13">
      <c r="A165" s="251" t="s">
        <v>4976</v>
      </c>
      <c r="B165" s="251" t="s">
        <v>4977</v>
      </c>
      <c r="C165" s="556">
        <v>46087</v>
      </c>
      <c r="D165" s="251" t="s">
        <v>4730</v>
      </c>
      <c r="E165" s="251" t="s">
        <v>587</v>
      </c>
      <c r="F165" s="251" t="s">
        <v>4975</v>
      </c>
      <c r="G165" s="251" t="s">
        <v>4757</v>
      </c>
      <c r="H165" s="251" t="s">
        <v>4797</v>
      </c>
      <c r="I165" s="251" t="s">
        <v>30</v>
      </c>
      <c r="J165" s="251" t="s">
        <v>642</v>
      </c>
      <c r="K165" s="251" t="s">
        <v>30</v>
      </c>
      <c r="L165">
        <f>IF(AND($K165="Cold",$B165&lt;&gt;"",$C165&gt;=EOMONTH('Cold Outreach'!$C$3,-1)+1,$C165&lt;=EOMONTH('Cold Outreach'!$C$3,0)),
IF(COUNTIFS($B$2:$B165,$B165,$K$2:$K165,"Cold",$C$2:$C165,"&gt;="&amp;EOMONTH('Cold Outreach'!$C$3,-1)+1,$C$2:$C165,"&lt;="&amp;EOMONTH('Cold Outreach'!$C$3,0))=1,1,0),
0)</f>
        <v>0</v>
      </c>
      <c r="M165">
        <f>IF(AND($K165="Cold",$B165&lt;&gt;"",$C165&gt;=EDATE(EOMONTH('Cold Outreach'!$C$3,-1)+1,-('Cold Outreach'!$N$2-1)),$C165&lt;=EOMONTH('Cold Outreach'!$C$3,0)),
IF(COUNTIFS($B$2:$B165,$B165,$K$2:$K165,"Cold",$C$2:$C165,"&gt;="&amp;EDATE(EOMONTH('Cold Outreach'!$C$3,-1)+1,-('Cold Outreach'!$N$2-1)),$C$2:$C165,"&lt;="&amp;EOMONTH('Cold Outreach'!$C$3,0))=1,1,0),
0)</f>
        <v>1</v>
      </c>
    </row>
    <row r="166" spans="1:13">
      <c r="A166" s="251" t="s">
        <v>4978</v>
      </c>
      <c r="B166" s="251" t="s">
        <v>4979</v>
      </c>
      <c r="C166" s="556">
        <v>46087</v>
      </c>
      <c r="D166" s="251" t="s">
        <v>4716</v>
      </c>
      <c r="E166" s="251" t="s">
        <v>4742</v>
      </c>
      <c r="F166" s="251" t="s">
        <v>4971</v>
      </c>
      <c r="G166" s="251" t="s">
        <v>4757</v>
      </c>
      <c r="H166" s="251" t="s">
        <v>4797</v>
      </c>
      <c r="I166" s="251" t="s">
        <v>30</v>
      </c>
      <c r="J166" s="251" t="s">
        <v>642</v>
      </c>
      <c r="K166" s="251" t="s">
        <v>30</v>
      </c>
      <c r="L166">
        <f>IF(AND($K166="Cold",$B166&lt;&gt;"",$C166&gt;=EOMONTH('Cold Outreach'!$C$3,-1)+1,$C166&lt;=EOMONTH('Cold Outreach'!$C$3,0)),
IF(COUNTIFS($B$2:$B166,$B166,$K$2:$K166,"Cold",$C$2:$C166,"&gt;="&amp;EOMONTH('Cold Outreach'!$C$3,-1)+1,$C$2:$C166,"&lt;="&amp;EOMONTH('Cold Outreach'!$C$3,0))=1,1,0),
0)</f>
        <v>0</v>
      </c>
      <c r="M166">
        <f>IF(AND($K166="Cold",$B166&lt;&gt;"",$C166&gt;=EDATE(EOMONTH('Cold Outreach'!$C$3,-1)+1,-('Cold Outreach'!$N$2-1)),$C166&lt;=EOMONTH('Cold Outreach'!$C$3,0)),
IF(COUNTIFS($B$2:$B166,$B166,$K$2:$K166,"Cold",$C$2:$C166,"&gt;="&amp;EDATE(EOMONTH('Cold Outreach'!$C$3,-1)+1,-('Cold Outreach'!$N$2-1)),$C$2:$C166,"&lt;="&amp;EOMONTH('Cold Outreach'!$C$3,0))=1,1,0),
0)</f>
        <v>1</v>
      </c>
    </row>
    <row r="167" spans="1:13">
      <c r="A167" s="559" t="s">
        <v>4980</v>
      </c>
      <c r="B167" s="559" t="s">
        <v>4981</v>
      </c>
      <c r="C167" s="556">
        <v>46087</v>
      </c>
      <c r="D167" s="251"/>
      <c r="E167" s="251"/>
      <c r="F167" s="251" t="s">
        <v>4809</v>
      </c>
      <c r="G167" s="251" t="s">
        <v>4718</v>
      </c>
      <c r="H167" s="251" t="s">
        <v>4712</v>
      </c>
      <c r="I167" s="251" t="s">
        <v>30</v>
      </c>
      <c r="J167" s="251"/>
      <c r="K167" s="251" t="s">
        <v>30</v>
      </c>
      <c r="L167">
        <f>IF(AND($K167="Cold",$B167&lt;&gt;"",$C167&gt;=EOMONTH('Cold Outreach'!$C$3,-1)+1,$C167&lt;=EOMONTH('Cold Outreach'!$C$3,0)),
IF(COUNTIFS($B$2:$B167,$B167,$K$2:$K167,"Cold",$C$2:$C167,"&gt;="&amp;EOMONTH('Cold Outreach'!$C$3,-1)+1,$C$2:$C167,"&lt;="&amp;EOMONTH('Cold Outreach'!$C$3,0))=1,1,0),
0)</f>
        <v>0</v>
      </c>
      <c r="M167">
        <f>IF(AND($K167="Cold",$B167&lt;&gt;"",$C167&gt;=EDATE(EOMONTH('Cold Outreach'!$C$3,-1)+1,-('Cold Outreach'!$N$2-1)),$C167&lt;=EOMONTH('Cold Outreach'!$C$3,0)),
IF(COUNTIFS($B$2:$B167,$B167,$K$2:$K167,"Cold",$C$2:$C167,"&gt;="&amp;EDATE(EOMONTH('Cold Outreach'!$C$3,-1)+1,-('Cold Outreach'!$N$2-1)),$C$2:$C167,"&lt;="&amp;EOMONTH('Cold Outreach'!$C$3,0))=1,1,0),
0)</f>
        <v>1</v>
      </c>
    </row>
    <row r="168" spans="1:13">
      <c r="A168" s="559" t="s">
        <v>4982</v>
      </c>
      <c r="B168" s="559" t="s">
        <v>4983</v>
      </c>
      <c r="C168" s="556">
        <v>46087</v>
      </c>
      <c r="D168" s="251"/>
      <c r="E168" s="251"/>
      <c r="F168" s="251" t="s">
        <v>4809</v>
      </c>
      <c r="G168" s="251" t="s">
        <v>4718</v>
      </c>
      <c r="H168" s="251" t="s">
        <v>4712</v>
      </c>
      <c r="I168" s="251" t="s">
        <v>30</v>
      </c>
      <c r="J168" s="251"/>
      <c r="K168" s="251" t="s">
        <v>30</v>
      </c>
      <c r="L168">
        <f>IF(AND($K168="Cold",$B168&lt;&gt;"",$C168&gt;=EOMONTH('Cold Outreach'!$C$3,-1)+1,$C168&lt;=EOMONTH('Cold Outreach'!$C$3,0)),
IF(COUNTIFS($B$2:$B168,$B168,$K$2:$K168,"Cold",$C$2:$C168,"&gt;="&amp;EOMONTH('Cold Outreach'!$C$3,-1)+1,$C$2:$C168,"&lt;="&amp;EOMONTH('Cold Outreach'!$C$3,0))=1,1,0),
0)</f>
        <v>0</v>
      </c>
      <c r="M168">
        <f>IF(AND($K168="Cold",$B168&lt;&gt;"",$C168&gt;=EDATE(EOMONTH('Cold Outreach'!$C$3,-1)+1,-('Cold Outreach'!$N$2-1)),$C168&lt;=EOMONTH('Cold Outreach'!$C$3,0)),
IF(COUNTIFS($B$2:$B168,$B168,$K$2:$K168,"Cold",$C$2:$C168,"&gt;="&amp;EDATE(EOMONTH('Cold Outreach'!$C$3,-1)+1,-('Cold Outreach'!$N$2-1)),$C$2:$C168,"&lt;="&amp;EOMONTH('Cold Outreach'!$C$3,0))=1,1,0),
0)</f>
        <v>1</v>
      </c>
    </row>
    <row r="169" spans="1:13">
      <c r="A169" s="251" t="s">
        <v>4984</v>
      </c>
      <c r="B169" s="251" t="s">
        <v>4985</v>
      </c>
      <c r="C169" s="556">
        <v>46091</v>
      </c>
      <c r="D169" s="251" t="s">
        <v>4716</v>
      </c>
      <c r="E169" s="251" t="s">
        <v>4731</v>
      </c>
      <c r="F169" s="251" t="s">
        <v>4975</v>
      </c>
      <c r="G169" s="251" t="s">
        <v>4757</v>
      </c>
      <c r="H169" s="251" t="s">
        <v>4758</v>
      </c>
      <c r="I169" s="251" t="s">
        <v>30</v>
      </c>
      <c r="J169" s="251" t="s">
        <v>642</v>
      </c>
      <c r="K169" s="251" t="s">
        <v>30</v>
      </c>
      <c r="L169">
        <f>IF(AND($K169="Cold",$B169&lt;&gt;"",$C169&gt;=EOMONTH('Cold Outreach'!$C$3,-1)+1,$C169&lt;=EOMONTH('Cold Outreach'!$C$3,0)),
IF(COUNTIFS($B$2:$B169,$B169,$K$2:$K169,"Cold",$C$2:$C169,"&gt;="&amp;EOMONTH('Cold Outreach'!$C$3,-1)+1,$C$2:$C169,"&lt;="&amp;EOMONTH('Cold Outreach'!$C$3,0))=1,1,0),
0)</f>
        <v>0</v>
      </c>
      <c r="M169">
        <f>IF(AND($K169="Cold",$B169&lt;&gt;"",$C169&gt;=EDATE(EOMONTH('Cold Outreach'!$C$3,-1)+1,-('Cold Outreach'!$N$2-1)),$C169&lt;=EOMONTH('Cold Outreach'!$C$3,0)),
IF(COUNTIFS($B$2:$B169,$B169,$K$2:$K169,"Cold",$C$2:$C169,"&gt;="&amp;EDATE(EOMONTH('Cold Outreach'!$C$3,-1)+1,-('Cold Outreach'!$N$2-1)),$C$2:$C169,"&lt;="&amp;EOMONTH('Cold Outreach'!$C$3,0))=1,1,0),
0)</f>
        <v>1</v>
      </c>
    </row>
    <row r="170" spans="1:13">
      <c r="A170" s="251" t="s">
        <v>4986</v>
      </c>
      <c r="B170" s="251" t="s">
        <v>4987</v>
      </c>
      <c r="C170" s="556">
        <v>46091</v>
      </c>
      <c r="D170" s="251" t="s">
        <v>4730</v>
      </c>
      <c r="E170" s="251" t="s">
        <v>4742</v>
      </c>
      <c r="F170" s="251" t="s">
        <v>401</v>
      </c>
      <c r="G170" s="251" t="s">
        <v>4718</v>
      </c>
      <c r="H170" s="251" t="s">
        <v>4712</v>
      </c>
      <c r="I170" s="251" t="s">
        <v>30</v>
      </c>
      <c r="J170" s="251" t="s">
        <v>642</v>
      </c>
      <c r="K170" s="251" t="s">
        <v>30</v>
      </c>
      <c r="L170">
        <f>IF(AND($K170="Cold",$B170&lt;&gt;"",$C170&gt;=EOMONTH('Cold Outreach'!$C$3,-1)+1,$C170&lt;=EOMONTH('Cold Outreach'!$C$3,0)),
IF(COUNTIFS($B$2:$B170,$B170,$K$2:$K170,"Cold",$C$2:$C170,"&gt;="&amp;EOMONTH('Cold Outreach'!$C$3,-1)+1,$C$2:$C170,"&lt;="&amp;EOMONTH('Cold Outreach'!$C$3,0))=1,1,0),
0)</f>
        <v>0</v>
      </c>
      <c r="M170">
        <f>IF(AND($K170="Cold",$B170&lt;&gt;"",$C170&gt;=EDATE(EOMONTH('Cold Outreach'!$C$3,-1)+1,-('Cold Outreach'!$N$2-1)),$C170&lt;=EOMONTH('Cold Outreach'!$C$3,0)),
IF(COUNTIFS($B$2:$B170,$B170,$K$2:$K170,"Cold",$C$2:$C170,"&gt;="&amp;EDATE(EOMONTH('Cold Outreach'!$C$3,-1)+1,-('Cold Outreach'!$N$2-1)),$C$2:$C170,"&lt;="&amp;EOMONTH('Cold Outreach'!$C$3,0))=1,1,0),
0)</f>
        <v>1</v>
      </c>
    </row>
    <row r="171" spans="1:13">
      <c r="A171" s="251" t="s">
        <v>4988</v>
      </c>
      <c r="B171" s="251" t="s">
        <v>4989</v>
      </c>
      <c r="C171" s="556">
        <v>46091</v>
      </c>
      <c r="D171" s="251" t="s">
        <v>4716</v>
      </c>
      <c r="E171" s="251" t="s">
        <v>4742</v>
      </c>
      <c r="F171" s="251" t="s">
        <v>4975</v>
      </c>
      <c r="G171" s="251" t="s">
        <v>4718</v>
      </c>
      <c r="H171" s="251" t="s">
        <v>4712</v>
      </c>
      <c r="I171" s="251" t="s">
        <v>30</v>
      </c>
      <c r="J171" s="251" t="s">
        <v>642</v>
      </c>
      <c r="K171" s="251" t="s">
        <v>30</v>
      </c>
      <c r="L171">
        <f>IF(AND($K171="Cold",$B171&lt;&gt;"",$C171&gt;=EOMONTH('Cold Outreach'!$C$3,-1)+1,$C171&lt;=EOMONTH('Cold Outreach'!$C$3,0)),
IF(COUNTIFS($B$2:$B171,$B171,$K$2:$K171,"Cold",$C$2:$C171,"&gt;="&amp;EOMONTH('Cold Outreach'!$C$3,-1)+1,$C$2:$C171,"&lt;="&amp;EOMONTH('Cold Outreach'!$C$3,0))=1,1,0),
0)</f>
        <v>0</v>
      </c>
      <c r="M171">
        <f>IF(AND($K171="Cold",$B171&lt;&gt;"",$C171&gt;=EDATE(EOMONTH('Cold Outreach'!$C$3,-1)+1,-('Cold Outreach'!$N$2-1)),$C171&lt;=EOMONTH('Cold Outreach'!$C$3,0)),
IF(COUNTIFS($B$2:$B171,$B171,$K$2:$K171,"Cold",$C$2:$C171,"&gt;="&amp;EDATE(EOMONTH('Cold Outreach'!$C$3,-1)+1,-('Cold Outreach'!$N$2-1)),$C$2:$C171,"&lt;="&amp;EOMONTH('Cold Outreach'!$C$3,0))=1,1,0),
0)</f>
        <v>1</v>
      </c>
    </row>
    <row r="172" spans="1:13">
      <c r="A172" s="251" t="s">
        <v>4990</v>
      </c>
      <c r="B172" s="251" t="s">
        <v>4991</v>
      </c>
      <c r="C172" s="556">
        <v>46092</v>
      </c>
      <c r="D172" s="251" t="s">
        <v>4730</v>
      </c>
      <c r="E172" s="251" t="s">
        <v>521</v>
      </c>
      <c r="F172" s="251" t="s">
        <v>401</v>
      </c>
      <c r="G172" s="251" t="s">
        <v>4757</v>
      </c>
      <c r="H172" s="251" t="s">
        <v>247</v>
      </c>
      <c r="I172" s="251" t="s">
        <v>30</v>
      </c>
      <c r="J172" s="251" t="s">
        <v>642</v>
      </c>
      <c r="K172" s="251" t="s">
        <v>30</v>
      </c>
      <c r="L172">
        <f>IF(AND($K172="Cold",$B172&lt;&gt;"",$C172&gt;=EOMONTH('Cold Outreach'!$C$3,-1)+1,$C172&lt;=EOMONTH('Cold Outreach'!$C$3,0)),
IF(COUNTIFS($B$2:$B172,$B172,$K$2:$K172,"Cold",$C$2:$C172,"&gt;="&amp;EOMONTH('Cold Outreach'!$C$3,-1)+1,$C$2:$C172,"&lt;="&amp;EOMONTH('Cold Outreach'!$C$3,0))=1,1,0),
0)</f>
        <v>0</v>
      </c>
      <c r="M172">
        <f>IF(AND($K172="Cold",$B172&lt;&gt;"",$C172&gt;=EDATE(EOMONTH('Cold Outreach'!$C$3,-1)+1,-('Cold Outreach'!$N$2-1)),$C172&lt;=EOMONTH('Cold Outreach'!$C$3,0)),
IF(COUNTIFS($B$2:$B172,$B172,$K$2:$K172,"Cold",$C$2:$C172,"&gt;="&amp;EDATE(EOMONTH('Cold Outreach'!$C$3,-1)+1,-('Cold Outreach'!$N$2-1)),$C$2:$C172,"&lt;="&amp;EOMONTH('Cold Outreach'!$C$3,0))=1,1,0),
0)</f>
        <v>1</v>
      </c>
    </row>
    <row r="173" spans="1:13">
      <c r="A173" s="251" t="s">
        <v>4992</v>
      </c>
      <c r="B173" s="251" t="s">
        <v>1090</v>
      </c>
      <c r="C173" s="556">
        <v>46093</v>
      </c>
      <c r="D173" s="251" t="s">
        <v>4730</v>
      </c>
      <c r="E173" s="251" t="s">
        <v>521</v>
      </c>
      <c r="F173" s="251" t="s">
        <v>401</v>
      </c>
      <c r="G173" s="251" t="s">
        <v>4718</v>
      </c>
      <c r="H173" s="251" t="s">
        <v>4740</v>
      </c>
      <c r="I173" s="251" t="s">
        <v>4720</v>
      </c>
      <c r="J173" s="251" t="s">
        <v>477</v>
      </c>
      <c r="K173" s="251" t="s">
        <v>27</v>
      </c>
      <c r="L173">
        <f>IF(AND($K173="Cold",$B173&lt;&gt;"",$C173&gt;=EOMONTH('Cold Outreach'!$C$3,-1)+1,$C173&lt;=EOMONTH('Cold Outreach'!$C$3,0)),
IF(COUNTIFS($B$2:$B173,$B173,$K$2:$K173,"Cold",$C$2:$C173,"&gt;="&amp;EOMONTH('Cold Outreach'!$C$3,-1)+1,$C$2:$C173,"&lt;="&amp;EOMONTH('Cold Outreach'!$C$3,0))=1,1,0),
0)</f>
        <v>0</v>
      </c>
      <c r="M173">
        <f>IF(AND($K173="Cold",$B173&lt;&gt;"",$C173&gt;=EDATE(EOMONTH('Cold Outreach'!$C$3,-1)+1,-('Cold Outreach'!$N$2-1)),$C173&lt;=EOMONTH('Cold Outreach'!$C$3,0)),
IF(COUNTIFS($B$2:$B173,$B173,$K$2:$K173,"Cold",$C$2:$C173,"&gt;="&amp;EDATE(EOMONTH('Cold Outreach'!$C$3,-1)+1,-('Cold Outreach'!$N$2-1)),$C$2:$C173,"&lt;="&amp;EOMONTH('Cold Outreach'!$C$3,0))=1,1,0),
0)</f>
        <v>0</v>
      </c>
    </row>
    <row r="174" spans="1:13">
      <c r="A174" s="560" t="s">
        <v>4993</v>
      </c>
      <c r="B174" s="560" t="s">
        <v>2000</v>
      </c>
      <c r="C174" s="556">
        <v>46094</v>
      </c>
      <c r="D174" s="251" t="s">
        <v>4716</v>
      </c>
      <c r="E174" s="251" t="s">
        <v>4717</v>
      </c>
      <c r="F174" s="251" t="s">
        <v>401</v>
      </c>
      <c r="G174" s="251" t="s">
        <v>4718</v>
      </c>
      <c r="H174" s="251" t="s">
        <v>4723</v>
      </c>
      <c r="I174" s="251" t="s">
        <v>4720</v>
      </c>
      <c r="J174" s="251" t="s">
        <v>468</v>
      </c>
      <c r="K174" s="251" t="s">
        <v>1473</v>
      </c>
      <c r="L174">
        <f>IF(AND($K174="Cold",$B174&lt;&gt;"",$C174&gt;=EOMONTH('Cold Outreach'!$C$3,-1)+1,$C174&lt;=EOMONTH('Cold Outreach'!$C$3,0)),
IF(COUNTIFS($B$2:$B174,$B174,$K$2:$K174,"Cold",$C$2:$C174,"&gt;="&amp;EOMONTH('Cold Outreach'!$C$3,-1)+1,$C$2:$C174,"&lt;="&amp;EOMONTH('Cold Outreach'!$C$3,0))=1,1,0),
0)</f>
        <v>0</v>
      </c>
      <c r="M174">
        <f>IF(AND($K174="Cold",$B174&lt;&gt;"",$C174&gt;=EDATE(EOMONTH('Cold Outreach'!$C$3,-1)+1,-('Cold Outreach'!$N$2-1)),$C174&lt;=EOMONTH('Cold Outreach'!$C$3,0)),
IF(COUNTIFS($B$2:$B174,$B174,$K$2:$K174,"Cold",$C$2:$C174,"&gt;="&amp;EDATE(EOMONTH('Cold Outreach'!$C$3,-1)+1,-('Cold Outreach'!$N$2-1)),$C$2:$C174,"&lt;="&amp;EOMONTH('Cold Outreach'!$C$3,0))=1,1,0),
0)</f>
        <v>0</v>
      </c>
    </row>
    <row r="175" spans="1:13">
      <c r="A175" s="560" t="s">
        <v>4994</v>
      </c>
      <c r="B175" s="560" t="s">
        <v>4995</v>
      </c>
      <c r="C175" s="556">
        <v>46097</v>
      </c>
      <c r="D175" s="251" t="s">
        <v>4730</v>
      </c>
      <c r="E175" s="251" t="s">
        <v>4790</v>
      </c>
      <c r="F175" s="251" t="s">
        <v>401</v>
      </c>
      <c r="G175" s="251" t="s">
        <v>4718</v>
      </c>
      <c r="H175" s="251" t="s">
        <v>4712</v>
      </c>
      <c r="I175" s="251" t="s">
        <v>4720</v>
      </c>
      <c r="J175" s="251" t="s">
        <v>642</v>
      </c>
      <c r="K175" s="251" t="s">
        <v>30</v>
      </c>
      <c r="L175">
        <f>IF(AND($K175="Cold",$B175&lt;&gt;"",$C175&gt;=EOMONTH('Cold Outreach'!$C$3,-1)+1,$C175&lt;=EOMONTH('Cold Outreach'!$C$3,0)),
IF(COUNTIFS($B$2:$B175,$B175,$K$2:$K175,"Cold",$C$2:$C175,"&gt;="&amp;EOMONTH('Cold Outreach'!$C$3,-1)+1,$C$2:$C175,"&lt;="&amp;EOMONTH('Cold Outreach'!$C$3,0))=1,1,0),
0)</f>
        <v>0</v>
      </c>
      <c r="M175">
        <f>IF(AND($K175="Cold",$B175&lt;&gt;"",$C175&gt;=EDATE(EOMONTH('Cold Outreach'!$C$3,-1)+1,-('Cold Outreach'!$N$2-1)),$C175&lt;=EOMONTH('Cold Outreach'!$C$3,0)),
IF(COUNTIFS($B$2:$B175,$B175,$K$2:$K175,"Cold",$C$2:$C175,"&gt;="&amp;EDATE(EOMONTH('Cold Outreach'!$C$3,-1)+1,-('Cold Outreach'!$N$2-1)),$C$2:$C175,"&lt;="&amp;EOMONTH('Cold Outreach'!$C$3,0))=1,1,0),
0)</f>
        <v>1</v>
      </c>
    </row>
    <row r="176" spans="1:13">
      <c r="A176" s="581" t="s">
        <v>420</v>
      </c>
      <c r="B176" s="581" t="s">
        <v>3875</v>
      </c>
      <c r="C176" s="555">
        <v>46098</v>
      </c>
      <c r="D176" s="549" t="s">
        <v>4730</v>
      </c>
      <c r="E176" s="549" t="s">
        <v>420</v>
      </c>
      <c r="F176" s="549" t="s">
        <v>1932</v>
      </c>
      <c r="G176" s="549" t="s">
        <v>4757</v>
      </c>
      <c r="H176" s="549" t="s">
        <v>4758</v>
      </c>
      <c r="I176" s="549" t="s">
        <v>30</v>
      </c>
      <c r="J176" s="549" t="s">
        <v>4721</v>
      </c>
      <c r="K176" s="549" t="s">
        <v>30</v>
      </c>
      <c r="L176">
        <f>IF(AND($K176="Cold",$B176&lt;&gt;"",$C176&gt;=EOMONTH('Cold Outreach'!$C$3,-1)+1,$C176&lt;=EOMONTH('Cold Outreach'!$C$3,0)),
IF(COUNTIFS($B$2:$B176,$B176,$K$2:$K176,"Cold",$C$2:$C176,"&gt;="&amp;EOMONTH('Cold Outreach'!$C$3,-1)+1,$C$2:$C176,"&lt;="&amp;EOMONTH('Cold Outreach'!$C$3,0))=1,1,0),
0)</f>
        <v>0</v>
      </c>
      <c r="M176">
        <f>IF(AND($K176="Cold",$B176&lt;&gt;"",$C176&gt;=EDATE(EOMONTH('Cold Outreach'!$C$3,-1)+1,-('Cold Outreach'!$N$2-1)),$C176&lt;=EOMONTH('Cold Outreach'!$C$3,0)),
IF(COUNTIFS($B$2:$B176,$B176,$K$2:$K176,"Cold",$C$2:$C176,"&gt;="&amp;EDATE(EOMONTH('Cold Outreach'!$C$3,-1)+1,-('Cold Outreach'!$N$2-1)),$C$2:$C176,"&lt;="&amp;EOMONTH('Cold Outreach'!$C$3,0))=1,1,0),
0)</f>
        <v>0</v>
      </c>
    </row>
    <row r="177" spans="1:13">
      <c r="A177" s="581" t="s">
        <v>420</v>
      </c>
      <c r="B177" s="581" t="s">
        <v>4996</v>
      </c>
      <c r="C177" s="555">
        <v>46100</v>
      </c>
      <c r="D177" s="549" t="s">
        <v>4730</v>
      </c>
      <c r="E177" s="549" t="s">
        <v>587</v>
      </c>
      <c r="F177" s="549" t="s">
        <v>1932</v>
      </c>
      <c r="G177" s="549" t="s">
        <v>4757</v>
      </c>
      <c r="H177" s="549" t="s">
        <v>4758</v>
      </c>
      <c r="I177" s="549" t="s">
        <v>30</v>
      </c>
      <c r="J177" s="549" t="s">
        <v>4721</v>
      </c>
      <c r="K177" s="549" t="s">
        <v>30</v>
      </c>
      <c r="L177">
        <f>IF(AND($K177="Cold",$B177&lt;&gt;"",$C177&gt;=EOMONTH('Cold Outreach'!$C$3,-1)+1,$C177&lt;=EOMONTH('Cold Outreach'!$C$3,0)),
IF(COUNTIFS($B$2:$B177,$B177,$K$2:$K177,"Cold",$C$2:$C177,"&gt;="&amp;EOMONTH('Cold Outreach'!$C$3,-1)+1,$C$2:$C177,"&lt;="&amp;EOMONTH('Cold Outreach'!$C$3,0))=1,1,0),
0)</f>
        <v>0</v>
      </c>
      <c r="M177">
        <f>IF(AND($K177="Cold",$B177&lt;&gt;"",$C177&gt;=EDATE(EOMONTH('Cold Outreach'!$C$3,-1)+1,-('Cold Outreach'!$N$2-1)),$C177&lt;=EOMONTH('Cold Outreach'!$C$3,0)),
IF(COUNTIFS($B$2:$B177,$B177,$K$2:$K177,"Cold",$C$2:$C177,"&gt;="&amp;EDATE(EOMONTH('Cold Outreach'!$C$3,-1)+1,-('Cold Outreach'!$N$2-1)),$C$2:$C177,"&lt;="&amp;EOMONTH('Cold Outreach'!$C$3,0))=1,1,0),
0)</f>
        <v>1</v>
      </c>
    </row>
    <row r="178" spans="1:13">
      <c r="A178" s="553" t="s">
        <v>4997</v>
      </c>
      <c r="B178" s="553" t="s">
        <v>4839</v>
      </c>
      <c r="C178" s="556">
        <v>46104</v>
      </c>
      <c r="D178" s="251"/>
      <c r="E178" s="251"/>
      <c r="F178" s="251" t="s">
        <v>4809</v>
      </c>
      <c r="G178" s="251" t="s">
        <v>4718</v>
      </c>
      <c r="H178" s="251" t="s">
        <v>4712</v>
      </c>
      <c r="I178" s="251" t="s">
        <v>30</v>
      </c>
      <c r="J178" s="251"/>
      <c r="K178" s="251" t="s">
        <v>30</v>
      </c>
      <c r="L178">
        <f>IF(AND($K178="Cold",$B178&lt;&gt;"",$C178&gt;=EOMONTH('Cold Outreach'!$C$3,-1)+1,$C178&lt;=EOMONTH('Cold Outreach'!$C$3,0)),
IF(COUNTIFS($B$2:$B178,$B178,$K$2:$K178,"Cold",$C$2:$C178,"&gt;="&amp;EOMONTH('Cold Outreach'!$C$3,-1)+1,$C$2:$C178,"&lt;="&amp;EOMONTH('Cold Outreach'!$C$3,0))=1,1,0),
0)</f>
        <v>0</v>
      </c>
      <c r="M178">
        <f>IF(AND($K178="Cold",$B178&lt;&gt;"",$C178&gt;=EDATE(EOMONTH('Cold Outreach'!$C$3,-1)+1,-('Cold Outreach'!$N$2-1)),$C178&lt;=EOMONTH('Cold Outreach'!$C$3,0)),
IF(COUNTIFS($B$2:$B178,$B178,$K$2:$K178,"Cold",$C$2:$C178,"&gt;="&amp;EDATE(EOMONTH('Cold Outreach'!$C$3,-1)+1,-('Cold Outreach'!$N$2-1)),$C$2:$C178,"&lt;="&amp;EOMONTH('Cold Outreach'!$C$3,0))=1,1,0),
0)</f>
        <v>0</v>
      </c>
    </row>
    <row r="179" spans="1:13">
      <c r="A179" s="553" t="s">
        <v>4998</v>
      </c>
      <c r="B179" s="553" t="s">
        <v>4839</v>
      </c>
      <c r="C179" s="556">
        <v>46105</v>
      </c>
      <c r="D179" s="251"/>
      <c r="E179" s="251"/>
      <c r="F179" s="251" t="s">
        <v>4809</v>
      </c>
      <c r="G179" s="251" t="s">
        <v>4718</v>
      </c>
      <c r="H179" s="251" t="s">
        <v>4712</v>
      </c>
      <c r="I179" s="251" t="s">
        <v>30</v>
      </c>
      <c r="J179" s="251"/>
      <c r="K179" s="251" t="s">
        <v>30</v>
      </c>
      <c r="L179">
        <f>IF(AND($K179="Cold",$B179&lt;&gt;"",$C179&gt;=EOMONTH('Cold Outreach'!$C$3,-1)+1,$C179&lt;=EOMONTH('Cold Outreach'!$C$3,0)),
IF(COUNTIFS($B$2:$B179,$B179,$K$2:$K179,"Cold",$C$2:$C179,"&gt;="&amp;EOMONTH('Cold Outreach'!$C$3,-1)+1,$C$2:$C179,"&lt;="&amp;EOMONTH('Cold Outreach'!$C$3,0))=1,1,0),
0)</f>
        <v>0</v>
      </c>
      <c r="M179">
        <f>IF(AND($K179="Cold",$B179&lt;&gt;"",$C179&gt;=EDATE(EOMONTH('Cold Outreach'!$C$3,-1)+1,-('Cold Outreach'!$N$2-1)),$C179&lt;=EOMONTH('Cold Outreach'!$C$3,0)),
IF(COUNTIFS($B$2:$B179,$B179,$K$2:$K179,"Cold",$C$2:$C179,"&gt;="&amp;EDATE(EOMONTH('Cold Outreach'!$C$3,-1)+1,-('Cold Outreach'!$N$2-1)),$C$2:$C179,"&lt;="&amp;EOMONTH('Cold Outreach'!$C$3,0))=1,1,0),
0)</f>
        <v>0</v>
      </c>
    </row>
    <row r="180" spans="1:13">
      <c r="A180" s="560" t="s">
        <v>4999</v>
      </c>
      <c r="B180" s="560" t="s">
        <v>1914</v>
      </c>
      <c r="C180" s="556">
        <v>46105</v>
      </c>
      <c r="D180" s="251" t="s">
        <v>4730</v>
      </c>
      <c r="E180" s="251" t="s">
        <v>4731</v>
      </c>
      <c r="F180" s="251" t="s">
        <v>401</v>
      </c>
      <c r="G180" s="251" t="s">
        <v>4718</v>
      </c>
      <c r="H180" s="251" t="s">
        <v>4712</v>
      </c>
      <c r="I180" s="251" t="s">
        <v>4720</v>
      </c>
      <c r="J180" s="251" t="s">
        <v>642</v>
      </c>
      <c r="K180" s="251" t="s">
        <v>1473</v>
      </c>
      <c r="L180">
        <f>IF(AND($K180="Cold",$B180&lt;&gt;"",$C180&gt;=EOMONTH('Cold Outreach'!$C$3,-1)+1,$C180&lt;=EOMONTH('Cold Outreach'!$C$3,0)),
IF(COUNTIFS($B$2:$B180,$B180,$K$2:$K180,"Cold",$C$2:$C180,"&gt;="&amp;EOMONTH('Cold Outreach'!$C$3,-1)+1,$C$2:$C180,"&lt;="&amp;EOMONTH('Cold Outreach'!$C$3,0))=1,1,0),
0)</f>
        <v>0</v>
      </c>
      <c r="M180">
        <f>IF(AND($K180="Cold",$B180&lt;&gt;"",$C180&gt;=EDATE(EOMONTH('Cold Outreach'!$C$3,-1)+1,-('Cold Outreach'!$N$2-1)),$C180&lt;=EOMONTH('Cold Outreach'!$C$3,0)),
IF(COUNTIFS($B$2:$B180,$B180,$K$2:$K180,"Cold",$C$2:$C180,"&gt;="&amp;EDATE(EOMONTH('Cold Outreach'!$C$3,-1)+1,-('Cold Outreach'!$N$2-1)),$C$2:$C180,"&lt;="&amp;EOMONTH('Cold Outreach'!$C$3,0))=1,1,0),
0)</f>
        <v>0</v>
      </c>
    </row>
    <row r="181" spans="1:13">
      <c r="A181" s="560" t="s">
        <v>4999</v>
      </c>
      <c r="B181" s="560" t="s">
        <v>1914</v>
      </c>
      <c r="C181" s="556">
        <v>46105</v>
      </c>
      <c r="D181" s="251" t="s">
        <v>4730</v>
      </c>
      <c r="E181" s="251" t="s">
        <v>4731</v>
      </c>
      <c r="F181" s="251" t="s">
        <v>401</v>
      </c>
      <c r="G181" s="251" t="s">
        <v>4718</v>
      </c>
      <c r="H181" s="251" t="s">
        <v>4723</v>
      </c>
      <c r="I181" s="251" t="s">
        <v>4720</v>
      </c>
      <c r="J181" s="251" t="s">
        <v>402</v>
      </c>
      <c r="K181" s="251" t="s">
        <v>1473</v>
      </c>
      <c r="L181">
        <f>IF(AND($K181="Cold",$B181&lt;&gt;"",$C181&gt;=EOMONTH('Cold Outreach'!$C$3,-1)+1,$C181&lt;=EOMONTH('Cold Outreach'!$C$3,0)),
IF(COUNTIFS($B$2:$B181,$B181,$K$2:$K181,"Cold",$C$2:$C181,"&gt;="&amp;EOMONTH('Cold Outreach'!$C$3,-1)+1,$C$2:$C181,"&lt;="&amp;EOMONTH('Cold Outreach'!$C$3,0))=1,1,0),
0)</f>
        <v>0</v>
      </c>
      <c r="M181">
        <f>IF(AND($K181="Cold",$B181&lt;&gt;"",$C181&gt;=EDATE(EOMONTH('Cold Outreach'!$C$3,-1)+1,-('Cold Outreach'!$N$2-1)),$C181&lt;=EOMONTH('Cold Outreach'!$C$3,0)),
IF(COUNTIFS($B$2:$B181,$B181,$K$2:$K181,"Cold",$C$2:$C181,"&gt;="&amp;EDATE(EOMONTH('Cold Outreach'!$C$3,-1)+1,-('Cold Outreach'!$N$2-1)),$C$2:$C181,"&lt;="&amp;EOMONTH('Cold Outreach'!$C$3,0))=1,1,0),
0)</f>
        <v>0</v>
      </c>
    </row>
    <row r="182" spans="1:13">
      <c r="A182" s="581" t="s">
        <v>420</v>
      </c>
      <c r="B182" s="581" t="s">
        <v>5000</v>
      </c>
      <c r="C182" s="555">
        <v>46106</v>
      </c>
      <c r="D182" s="549" t="s">
        <v>4730</v>
      </c>
      <c r="E182" s="549" t="s">
        <v>521</v>
      </c>
      <c r="F182" s="549" t="s">
        <v>1932</v>
      </c>
      <c r="G182" s="549" t="s">
        <v>4718</v>
      </c>
      <c r="H182" s="549" t="s">
        <v>4719</v>
      </c>
      <c r="I182" s="549" t="s">
        <v>30</v>
      </c>
      <c r="J182" s="549" t="s">
        <v>320</v>
      </c>
      <c r="K182" s="549" t="s">
        <v>30</v>
      </c>
      <c r="L182">
        <f>IF(AND($K182="Cold",$B182&lt;&gt;"",$C182&gt;=EOMONTH('Cold Outreach'!$C$3,-1)+1,$C182&lt;=EOMONTH('Cold Outreach'!$C$3,0)),
IF(COUNTIFS($B$2:$B182,$B182,$K$2:$K182,"Cold",$C$2:$C182,"&gt;="&amp;EOMONTH('Cold Outreach'!$C$3,-1)+1,$C$2:$C182,"&lt;="&amp;EOMONTH('Cold Outreach'!$C$3,0))=1,1,0),
0)</f>
        <v>0</v>
      </c>
      <c r="M182">
        <f>IF(AND($K182="Cold",$B182&lt;&gt;"",$C182&gt;=EDATE(EOMONTH('Cold Outreach'!$C$3,-1)+1,-('Cold Outreach'!$N$2-1)),$C182&lt;=EOMONTH('Cold Outreach'!$C$3,0)),
IF(COUNTIFS($B$2:$B182,$B182,$K$2:$K182,"Cold",$C$2:$C182,"&gt;="&amp;EDATE(EOMONTH('Cold Outreach'!$C$3,-1)+1,-('Cold Outreach'!$N$2-1)),$C$2:$C182,"&lt;="&amp;EOMONTH('Cold Outreach'!$C$3,0))=1,1,0),
0)</f>
        <v>1</v>
      </c>
    </row>
    <row r="183" spans="1:13">
      <c r="A183" s="581" t="s">
        <v>420</v>
      </c>
      <c r="B183" s="581" t="s">
        <v>1931</v>
      </c>
      <c r="C183" s="555">
        <v>46106</v>
      </c>
      <c r="D183" s="549" t="s">
        <v>4730</v>
      </c>
      <c r="E183" s="549" t="s">
        <v>587</v>
      </c>
      <c r="F183" s="549" t="s">
        <v>1932</v>
      </c>
      <c r="G183" s="549" t="s">
        <v>4718</v>
      </c>
      <c r="H183" s="549" t="s">
        <v>4723</v>
      </c>
      <c r="I183" s="549" t="s">
        <v>30</v>
      </c>
      <c r="J183" s="549" t="s">
        <v>4723</v>
      </c>
      <c r="K183" s="549" t="s">
        <v>30</v>
      </c>
      <c r="L183">
        <f>IF(AND($K183="Cold",$B183&lt;&gt;"",$C183&gt;=EOMONTH('Cold Outreach'!$C$3,-1)+1,$C183&lt;=EOMONTH('Cold Outreach'!$C$3,0)),
IF(COUNTIFS($B$2:$B183,$B183,$K$2:$K183,"Cold",$C$2:$C183,"&gt;="&amp;EOMONTH('Cold Outreach'!$C$3,-1)+1,$C$2:$C183,"&lt;="&amp;EOMONTH('Cold Outreach'!$C$3,0))=1,1,0),
0)</f>
        <v>0</v>
      </c>
      <c r="M183">
        <f>IF(AND($K183="Cold",$B183&lt;&gt;"",$C183&gt;=EDATE(EOMONTH('Cold Outreach'!$C$3,-1)+1,-('Cold Outreach'!$N$2-1)),$C183&lt;=EOMONTH('Cold Outreach'!$C$3,0)),
IF(COUNTIFS($B$2:$B183,$B183,$K$2:$K183,"Cold",$C$2:$C183,"&gt;="&amp;EDATE(EOMONTH('Cold Outreach'!$C$3,-1)+1,-('Cold Outreach'!$N$2-1)),$C$2:$C183,"&lt;="&amp;EOMONTH('Cold Outreach'!$C$3,0))=1,1,0),
0)</f>
        <v>1</v>
      </c>
    </row>
    <row r="184" spans="1:13">
      <c r="A184" s="560" t="s">
        <v>5001</v>
      </c>
      <c r="B184" s="560" t="s">
        <v>5002</v>
      </c>
      <c r="C184" s="556">
        <v>46107</v>
      </c>
      <c r="D184" s="251" t="s">
        <v>4716</v>
      </c>
      <c r="E184" s="251" t="s">
        <v>587</v>
      </c>
      <c r="F184" s="251" t="s">
        <v>4975</v>
      </c>
      <c r="G184" s="251" t="s">
        <v>4757</v>
      </c>
      <c r="H184" s="251" t="s">
        <v>4758</v>
      </c>
      <c r="I184" s="251" t="s">
        <v>30</v>
      </c>
      <c r="J184" s="251" t="s">
        <v>642</v>
      </c>
      <c r="K184" s="251" t="s">
        <v>30</v>
      </c>
      <c r="L184">
        <f>IF(AND($K184="Cold",$B184&lt;&gt;"",$C184&gt;=EOMONTH('Cold Outreach'!$C$3,-1)+1,$C184&lt;=EOMONTH('Cold Outreach'!$C$3,0)),
IF(COUNTIFS($B$2:$B184,$B184,$K$2:$K184,"Cold",$C$2:$C184,"&gt;="&amp;EOMONTH('Cold Outreach'!$C$3,-1)+1,$C$2:$C184,"&lt;="&amp;EOMONTH('Cold Outreach'!$C$3,0))=1,1,0),
0)</f>
        <v>0</v>
      </c>
      <c r="M184">
        <f>IF(AND($K184="Cold",$B184&lt;&gt;"",$C184&gt;=EDATE(EOMONTH('Cold Outreach'!$C$3,-1)+1,-('Cold Outreach'!$N$2-1)),$C184&lt;=EOMONTH('Cold Outreach'!$C$3,0)),
IF(COUNTIFS($B$2:$B184,$B184,$K$2:$K184,"Cold",$C$2:$C184,"&gt;="&amp;EDATE(EOMONTH('Cold Outreach'!$C$3,-1)+1,-('Cold Outreach'!$N$2-1)),$C$2:$C184,"&lt;="&amp;EOMONTH('Cold Outreach'!$C$3,0))=1,1,0),
0)</f>
        <v>1</v>
      </c>
    </row>
    <row r="185" spans="1:13">
      <c r="A185" s="553" t="s">
        <v>5003</v>
      </c>
      <c r="B185" s="553" t="s">
        <v>1804</v>
      </c>
      <c r="C185" s="556">
        <v>46111</v>
      </c>
      <c r="D185" s="251"/>
      <c r="E185" s="251"/>
      <c r="F185" s="251" t="s">
        <v>4809</v>
      </c>
      <c r="G185" s="251" t="s">
        <v>4718</v>
      </c>
      <c r="H185" s="251" t="s">
        <v>4712</v>
      </c>
      <c r="I185" s="251" t="s">
        <v>30</v>
      </c>
      <c r="J185" s="251"/>
      <c r="K185" s="251" t="s">
        <v>30</v>
      </c>
      <c r="L185">
        <f>IF(AND($K185="Cold",$B185&lt;&gt;"",$C185&gt;=EOMONTH('Cold Outreach'!$C$3,-1)+1,$C185&lt;=EOMONTH('Cold Outreach'!$C$3,0)),
IF(COUNTIFS($B$2:$B185,$B185,$K$2:$K185,"Cold",$C$2:$C185,"&gt;="&amp;EOMONTH('Cold Outreach'!$C$3,-1)+1,$C$2:$C185,"&lt;="&amp;EOMONTH('Cold Outreach'!$C$3,0))=1,1,0),
0)</f>
        <v>0</v>
      </c>
      <c r="M185">
        <f>IF(AND($K185="Cold",$B185&lt;&gt;"",$C185&gt;=EDATE(EOMONTH('Cold Outreach'!$C$3,-1)+1,-('Cold Outreach'!$N$2-1)),$C185&lt;=EOMONTH('Cold Outreach'!$C$3,0)),
IF(COUNTIFS($B$2:$B185,$B185,$K$2:$K185,"Cold",$C$2:$C185,"&gt;="&amp;EDATE(EOMONTH('Cold Outreach'!$C$3,-1)+1,-('Cold Outreach'!$N$2-1)),$C$2:$C185,"&lt;="&amp;EOMONTH('Cold Outreach'!$C$3,0))=1,1,0),
0)</f>
        <v>1</v>
      </c>
    </row>
    <row r="186" spans="1:13">
      <c r="A186" s="553" t="s">
        <v>5004</v>
      </c>
      <c r="B186" s="553" t="s">
        <v>4914</v>
      </c>
      <c r="C186" s="556">
        <v>46111</v>
      </c>
      <c r="D186" s="251"/>
      <c r="E186" s="251"/>
      <c r="F186" s="251" t="s">
        <v>4809</v>
      </c>
      <c r="G186" s="251" t="s">
        <v>4718</v>
      </c>
      <c r="H186" s="251" t="s">
        <v>4712</v>
      </c>
      <c r="I186" s="251" t="s">
        <v>30</v>
      </c>
      <c r="J186" s="251"/>
      <c r="K186" s="251" t="s">
        <v>30</v>
      </c>
      <c r="L186">
        <f>IF(AND($K186="Cold",$B186&lt;&gt;"",$C186&gt;=EOMONTH('Cold Outreach'!$C$3,-1)+1,$C186&lt;=EOMONTH('Cold Outreach'!$C$3,0)),
IF(COUNTIFS($B$2:$B251,$B186,$K$2:$K251,"Cold",$C$2:$C251,"&gt;="&amp;EOMONTH('Cold Outreach'!$C$3,-1)+1,$C$2:$C251,"&lt;="&amp;EOMONTH('Cold Outreach'!$C$3,0))=1,1,0),
0)</f>
        <v>0</v>
      </c>
      <c r="M186">
        <f>IF(AND($K186="Cold",$B186&lt;&gt;"",$C186&gt;=EDATE(EOMONTH('Cold Outreach'!$C$3,-1)+1,-('Cold Outreach'!$N$2-1)),$C186&lt;=EOMONTH('Cold Outreach'!$C$3,0)),
IF(COUNTIFS($B$2:$B251,$B186,$K$2:$K251,"Cold",$C$2:$C251,"&gt;="&amp;EDATE(EOMONTH('Cold Outreach'!$C$3,-1)+1,-('Cold Outreach'!$N$2-1)),$C$2:$C251,"&lt;="&amp;EOMONTH('Cold Outreach'!$C$3,0))=1,1,0),
0)</f>
        <v>0</v>
      </c>
    </row>
    <row r="187" spans="1:13">
      <c r="A187" s="251" t="s">
        <v>5005</v>
      </c>
      <c r="B187" s="251" t="s">
        <v>4966</v>
      </c>
      <c r="C187" s="556">
        <v>46128</v>
      </c>
      <c r="D187" s="251" t="s">
        <v>4716</v>
      </c>
      <c r="E187" s="251" t="s">
        <v>4742</v>
      </c>
      <c r="F187" s="251" t="s">
        <v>4975</v>
      </c>
      <c r="G187" s="251" t="s">
        <v>4718</v>
      </c>
      <c r="H187" s="251" t="s">
        <v>4712</v>
      </c>
      <c r="I187" s="251" t="s">
        <v>30</v>
      </c>
      <c r="J187" s="251" t="s">
        <v>642</v>
      </c>
      <c r="K187" s="251" t="s">
        <v>30</v>
      </c>
      <c r="L187">
        <f>IF(AND($K187="Cold",$B187&lt;&gt;"",$C187&gt;=EOMONTH('Cold Outreach'!$C$3,-1)+1,$C187&lt;=EOMONTH('Cold Outreach'!$C$3,0)),
IF(COUNTIFS($B$2:$B187,$B187,$K$2:$K187,"Cold",$C$2:$C187,"&gt;="&amp;EOMONTH('Cold Outreach'!$C$3,-1)+1,$C$2:$C187,"&lt;="&amp;EOMONTH('Cold Outreach'!$C$3,0))=1,1,0),
0)</f>
        <v>0</v>
      </c>
      <c r="M187">
        <f>IF(AND($K187="Cold",$B187&lt;&gt;"",$C187&gt;=EDATE(EOMONTH('Cold Outreach'!$C$3,-1)+1,-('Cold Outreach'!$N$2-1)),$C187&lt;=EOMONTH('Cold Outreach'!$C$3,0)),
IF(COUNTIFS($B$2:$B187,$B187,$K$2:$K187,"Cold",$C$2:$C187,"&gt;="&amp;EDATE(EOMONTH('Cold Outreach'!$C$3,-1)+1,-('Cold Outreach'!$N$2-1)),$C$2:$C187,"&lt;="&amp;EOMONTH('Cold Outreach'!$C$3,0))=1,1,0),
0)</f>
        <v>0</v>
      </c>
    </row>
    <row r="188" spans="1:13">
      <c r="A188" s="251" t="s">
        <v>5006</v>
      </c>
      <c r="B188" s="251" t="s">
        <v>5007</v>
      </c>
      <c r="C188" s="556">
        <v>46134</v>
      </c>
      <c r="D188" s="251" t="s">
        <v>4716</v>
      </c>
      <c r="E188" s="251" t="s">
        <v>596</v>
      </c>
      <c r="F188" s="251" t="s">
        <v>401</v>
      </c>
      <c r="G188" s="251" t="s">
        <v>4718</v>
      </c>
      <c r="H188" s="251" t="s">
        <v>4723</v>
      </c>
      <c r="I188" s="251" t="s">
        <v>4720</v>
      </c>
      <c r="J188" s="251" t="s">
        <v>402</v>
      </c>
      <c r="K188" s="251" t="s">
        <v>1473</v>
      </c>
      <c r="L188">
        <f>IF(AND($K188="Cold",$B188&lt;&gt;"",$C188&gt;=EOMONTH('Cold Outreach'!$C$3,-1)+1,$C188&lt;=EOMONTH('Cold Outreach'!$C$3,0)),
IF(COUNTIFS($B$2:$B188,$B188,$K$2:$K188,"Cold",$C$2:$C188,"&gt;="&amp;EOMONTH('Cold Outreach'!$C$3,-1)+1,$C$2:$C188,"&lt;="&amp;EOMONTH('Cold Outreach'!$C$3,0))=1,1,0),
0)</f>
        <v>0</v>
      </c>
      <c r="M188">
        <f>IF(AND($K188="Cold",$B188&lt;&gt;"",$C188&gt;=EDATE(EOMONTH('Cold Outreach'!$C$3,-1)+1,-('Cold Outreach'!$N$2-1)),$C188&lt;=EOMONTH('Cold Outreach'!$C$3,0)),
IF(COUNTIFS($B$2:$B188,$B188,$K$2:$K188,"Cold",$C$2:$C188,"&gt;="&amp;EDATE(EOMONTH('Cold Outreach'!$C$3,-1)+1,-('Cold Outreach'!$N$2-1)),$C$2:$C188,"&lt;="&amp;EOMONTH('Cold Outreach'!$C$3,0))=1,1,0),
0)</f>
        <v>0</v>
      </c>
    </row>
    <row r="189" spans="1:13">
      <c r="A189" s="251" t="s">
        <v>5008</v>
      </c>
      <c r="B189" s="251" t="s">
        <v>4096</v>
      </c>
      <c r="C189" s="556">
        <v>46120</v>
      </c>
      <c r="D189" s="251" t="s">
        <v>4730</v>
      </c>
      <c r="E189" s="251" t="s">
        <v>4742</v>
      </c>
      <c r="F189" s="251" t="s">
        <v>4971</v>
      </c>
      <c r="G189" s="251" t="s">
        <v>4718</v>
      </c>
      <c r="H189" s="251" t="s">
        <v>4712</v>
      </c>
      <c r="I189" s="251" t="s">
        <v>30</v>
      </c>
      <c r="J189" s="251" t="s">
        <v>642</v>
      </c>
      <c r="K189" s="251" t="s">
        <v>30</v>
      </c>
      <c r="L189">
        <f>IF(AND($K189="Cold",$B189&lt;&gt;"",$C189&gt;=EOMONTH('Cold Outreach'!$C$3,-1)+1,$C189&lt;=EOMONTH('Cold Outreach'!$C$3,0)),
IF(COUNTIFS($B$2:$B189,$B189,$K$2:$K189,"Cold",$C$2:$C189,"&gt;="&amp;EOMONTH('Cold Outreach'!$C$3,-1)+1,$C$2:$C189,"&lt;="&amp;EOMONTH('Cold Outreach'!$C$3,0))=1,1,0),
0)</f>
        <v>0</v>
      </c>
      <c r="M189">
        <f>IF(AND($K189="Cold",$B189&lt;&gt;"",$C189&gt;=EDATE(EOMONTH('Cold Outreach'!$C$3,-1)+1,-('Cold Outreach'!$N$2-1)),$C189&lt;=EOMONTH('Cold Outreach'!$C$3,0)),
IF(COUNTIFS($B$2:$B189,$B189,$K$2:$K189,"Cold",$C$2:$C189,"&gt;="&amp;EDATE(EOMONTH('Cold Outreach'!$C$3,-1)+1,-('Cold Outreach'!$N$2-1)),$C$2:$C189,"&lt;="&amp;EOMONTH('Cold Outreach'!$C$3,0))=1,1,0),
0)</f>
        <v>1</v>
      </c>
    </row>
    <row r="190" spans="1:13">
      <c r="A190" s="251" t="s">
        <v>5009</v>
      </c>
      <c r="B190" s="251" t="s">
        <v>4864</v>
      </c>
      <c r="C190" s="556">
        <v>46119</v>
      </c>
      <c r="D190" s="251" t="s">
        <v>4716</v>
      </c>
      <c r="E190" s="251" t="s">
        <v>4742</v>
      </c>
      <c r="F190" s="251" t="s">
        <v>4975</v>
      </c>
      <c r="G190" s="251" t="s">
        <v>4718</v>
      </c>
      <c r="H190" s="251" t="s">
        <v>4712</v>
      </c>
      <c r="I190" s="251" t="s">
        <v>30</v>
      </c>
      <c r="J190" s="251" t="s">
        <v>642</v>
      </c>
      <c r="K190" s="251" t="s">
        <v>30</v>
      </c>
      <c r="L190">
        <f>IF(AND($K190="Cold",$B190&lt;&gt;"",$C190&gt;=EOMONTH('Cold Outreach'!$C$3,-1)+1,$C190&lt;=EOMONTH('Cold Outreach'!$C$3,0)),
IF(COUNTIFS($B$2:$B190,$B190,$K$2:$K190,"Cold",$C$2:$C190,"&gt;="&amp;EOMONTH('Cold Outreach'!$C$3,-1)+1,$C$2:$C190,"&lt;="&amp;EOMONTH('Cold Outreach'!$C$3,0))=1,1,0),
0)</f>
        <v>0</v>
      </c>
      <c r="M190">
        <f>IF(AND($K190="Cold",$B190&lt;&gt;"",$C190&gt;=EDATE(EOMONTH('Cold Outreach'!$C$3,-1)+1,-('Cold Outreach'!$N$2-1)),$C190&lt;=EOMONTH('Cold Outreach'!$C$3,0)),
IF(COUNTIFS($B$2:$B190,$B190,$K$2:$K190,"Cold",$C$2:$C190,"&gt;="&amp;EDATE(EOMONTH('Cold Outreach'!$C$3,-1)+1,-('Cold Outreach'!$N$2-1)),$C$2:$C190,"&lt;="&amp;EOMONTH('Cold Outreach'!$C$3,0))=1,1,0),
0)</f>
        <v>0</v>
      </c>
    </row>
    <row r="191" spans="1:13">
      <c r="A191" s="251" t="s">
        <v>5010</v>
      </c>
      <c r="B191" s="251" t="s">
        <v>5011</v>
      </c>
      <c r="C191" s="556">
        <v>46136</v>
      </c>
      <c r="D191" s="251" t="s">
        <v>4730</v>
      </c>
      <c r="E191" s="251" t="s">
        <v>521</v>
      </c>
      <c r="F191" s="251" t="s">
        <v>401</v>
      </c>
      <c r="G191" s="251" t="s">
        <v>4718</v>
      </c>
      <c r="H191" s="251" t="s">
        <v>4723</v>
      </c>
      <c r="I191" s="251" t="s">
        <v>30</v>
      </c>
      <c r="J191" s="251" t="s">
        <v>402</v>
      </c>
      <c r="K191" s="251" t="s">
        <v>30</v>
      </c>
      <c r="L191">
        <f>IF(AND($K191="Cold",$B191&lt;&gt;"",$C191&gt;=EOMONTH('Cold Outreach'!$C$3,-1)+1,$C191&lt;=EOMONTH('Cold Outreach'!$C$3,0)),
IF(COUNTIFS($B$2:$B191,$B191,$K$2:$K191,"Cold",$C$2:$C191,"&gt;="&amp;EOMONTH('Cold Outreach'!$C$3,-1)+1,$C$2:$C191,"&lt;="&amp;EOMONTH('Cold Outreach'!$C$3,0))=1,1,0),
0)</f>
        <v>0</v>
      </c>
      <c r="M191">
        <f>IF(AND($K191="Cold",$B191&lt;&gt;"",$C191&gt;=EDATE(EOMONTH('Cold Outreach'!$C$3,-1)+1,-('Cold Outreach'!$N$2-1)),$C191&lt;=EOMONTH('Cold Outreach'!$C$3,0)),
IF(COUNTIFS($B$2:$B191,$B191,$K$2:$K191,"Cold",$C$2:$C191,"&gt;="&amp;EDATE(EOMONTH('Cold Outreach'!$C$3,-1)+1,-('Cold Outreach'!$N$2-1)),$C$2:$C191,"&lt;="&amp;EOMONTH('Cold Outreach'!$C$3,0))=1,1,0),
0)</f>
        <v>1</v>
      </c>
    </row>
    <row r="192" spans="1:13">
      <c r="A192" s="251" t="s">
        <v>5012</v>
      </c>
      <c r="B192" s="251" t="s">
        <v>5007</v>
      </c>
      <c r="C192" s="556">
        <v>46142</v>
      </c>
      <c r="D192" s="251" t="s">
        <v>4716</v>
      </c>
      <c r="E192" s="251" t="s">
        <v>596</v>
      </c>
      <c r="F192" s="251" t="s">
        <v>4971</v>
      </c>
      <c r="G192" s="251" t="s">
        <v>4757</v>
      </c>
      <c r="H192" s="251" t="s">
        <v>5013</v>
      </c>
      <c r="I192" s="251" t="s">
        <v>30</v>
      </c>
      <c r="J192" s="251" t="s">
        <v>642</v>
      </c>
      <c r="K192" s="251" t="s">
        <v>30</v>
      </c>
      <c r="L192">
        <f>IF(AND($K192="Cold",$B192&lt;&gt;"",$C192&gt;=EOMONTH('Cold Outreach'!$C$3,-1)+1,$C192&lt;=EOMONTH('Cold Outreach'!$C$3,0)),
IF(COUNTIFS($B$2:$B192,$B192,$K$2:$K192,"Cold",$C$2:$C192,"&gt;="&amp;EOMONTH('Cold Outreach'!$C$3,-1)+1,$C$2:$C192,"&lt;="&amp;EOMONTH('Cold Outreach'!$C$3,0))=1,1,0),
0)</f>
        <v>0</v>
      </c>
      <c r="M192">
        <f>IF(AND($K192="Cold",$B192&lt;&gt;"",$C192&gt;=EDATE(EOMONTH('Cold Outreach'!$C$3,-1)+1,-('Cold Outreach'!$N$2-1)),$C192&lt;=EOMONTH('Cold Outreach'!$C$3,0)),
IF(COUNTIFS($B$2:$B192,$B192,$K$2:$K192,"Cold",$C$2:$C192,"&gt;="&amp;EDATE(EOMONTH('Cold Outreach'!$C$3,-1)+1,-('Cold Outreach'!$N$2-1)),$C$2:$C192,"&lt;="&amp;EOMONTH('Cold Outreach'!$C$3,0))=1,1,0),
0)</f>
        <v>1</v>
      </c>
    </row>
    <row r="193" spans="1:13">
      <c r="A193" s="251" t="s">
        <v>5014</v>
      </c>
      <c r="B193" s="251" t="s">
        <v>545</v>
      </c>
      <c r="C193" s="556">
        <v>46136</v>
      </c>
      <c r="D193" s="251" t="s">
        <v>4716</v>
      </c>
      <c r="E193" s="251" t="s">
        <v>4717</v>
      </c>
      <c r="F193" s="251" t="s">
        <v>401</v>
      </c>
      <c r="G193" s="251" t="s">
        <v>4718</v>
      </c>
      <c r="H193" s="251" t="s">
        <v>4712</v>
      </c>
      <c r="I193" s="251" t="s">
        <v>4720</v>
      </c>
      <c r="J193" s="251" t="s">
        <v>642</v>
      </c>
      <c r="K193" s="251" t="s">
        <v>30</v>
      </c>
      <c r="L193">
        <f>IF(AND($K193="Cold",$B193&lt;&gt;"",$C193&gt;=EOMONTH('Cold Outreach'!$C$3,-1)+1,$C193&lt;=EOMONTH('Cold Outreach'!$C$3,0)),
IF(COUNTIFS($B$2:$B193,$B193,$K$2:$K193,"Cold",$C$2:$C193,"&gt;="&amp;EOMONTH('Cold Outreach'!$C$3,-1)+1,$C$2:$C193,"&lt;="&amp;EOMONTH('Cold Outreach'!$C$3,0))=1,1,0),
0)</f>
        <v>0</v>
      </c>
      <c r="M193">
        <f>IF(AND($K193="Cold",$B193&lt;&gt;"",$C193&gt;=EDATE(EOMONTH('Cold Outreach'!$C$3,-1)+1,-('Cold Outreach'!$N$2-1)),$C193&lt;=EOMONTH('Cold Outreach'!$C$3,0)),
IF(COUNTIFS($B$2:$B193,$B193,$K$2:$K193,"Cold",$C$2:$C193,"&gt;="&amp;EDATE(EOMONTH('Cold Outreach'!$C$3,-1)+1,-('Cold Outreach'!$N$2-1)),$C$2:$C193,"&lt;="&amp;EOMONTH('Cold Outreach'!$C$3,0))=1,1,0),
0)</f>
        <v>0</v>
      </c>
    </row>
    <row r="194" spans="1:13">
      <c r="A194" s="251" t="s">
        <v>5015</v>
      </c>
      <c r="B194" s="251" t="s">
        <v>5016</v>
      </c>
      <c r="C194" s="556">
        <v>46127</v>
      </c>
      <c r="D194" s="251" t="s">
        <v>4730</v>
      </c>
      <c r="E194" s="251" t="s">
        <v>4742</v>
      </c>
      <c r="F194" s="251" t="s">
        <v>4971</v>
      </c>
      <c r="G194" s="251" t="s">
        <v>4718</v>
      </c>
      <c r="H194" s="251" t="s">
        <v>4712</v>
      </c>
      <c r="I194" s="251" t="s">
        <v>30</v>
      </c>
      <c r="J194" s="251" t="s">
        <v>642</v>
      </c>
      <c r="K194" s="251" t="s">
        <v>30</v>
      </c>
      <c r="L194">
        <f>IF(AND($K194="Cold",$B194&lt;&gt;"",$C194&gt;=EOMONTH('Cold Outreach'!$C$3,-1)+1,$C194&lt;=EOMONTH('Cold Outreach'!$C$3,0)),
IF(COUNTIFS($B$2:$B194,$B194,$K$2:$K194,"Cold",$C$2:$C194,"&gt;="&amp;EOMONTH('Cold Outreach'!$C$3,-1)+1,$C$2:$C194,"&lt;="&amp;EOMONTH('Cold Outreach'!$C$3,0))=1,1,0),
0)</f>
        <v>0</v>
      </c>
      <c r="M194">
        <f>IF(AND($K194="Cold",$B194&lt;&gt;"",$C194&gt;=EDATE(EOMONTH('Cold Outreach'!$C$3,-1)+1,-('Cold Outreach'!$N$2-1)),$C194&lt;=EOMONTH('Cold Outreach'!$C$3,0)),
IF(COUNTIFS($B$2:$B194,$B194,$K$2:$K194,"Cold",$C$2:$C194,"&gt;="&amp;EDATE(EOMONTH('Cold Outreach'!$C$3,-1)+1,-('Cold Outreach'!$N$2-1)),$C$2:$C194,"&lt;="&amp;EOMONTH('Cold Outreach'!$C$3,0))=1,1,0),
0)</f>
        <v>1</v>
      </c>
    </row>
    <row r="195" spans="1:13">
      <c r="A195" s="251" t="s">
        <v>5017</v>
      </c>
      <c r="B195" s="251" t="s">
        <v>5018</v>
      </c>
      <c r="C195" s="556">
        <v>46133</v>
      </c>
      <c r="D195" s="251" t="s">
        <v>4716</v>
      </c>
      <c r="E195" s="251" t="s">
        <v>596</v>
      </c>
      <c r="F195" s="251" t="s">
        <v>4971</v>
      </c>
      <c r="G195" s="251" t="s">
        <v>4718</v>
      </c>
      <c r="H195" s="251" t="s">
        <v>4740</v>
      </c>
      <c r="I195" s="251" t="s">
        <v>30</v>
      </c>
      <c r="J195" s="251" t="s">
        <v>477</v>
      </c>
      <c r="K195" s="251" t="s">
        <v>30</v>
      </c>
      <c r="L195">
        <f>IF(AND($K195="Cold",$B195&lt;&gt;"",$C195&gt;=EOMONTH('Cold Outreach'!$C$3,-1)+1,$C195&lt;=EOMONTH('Cold Outreach'!$C$3,0)),
IF(COUNTIFS($B$2:$B195,$B195,$K$2:$K195,"Cold",$C$2:$C195,"&gt;="&amp;EOMONTH('Cold Outreach'!$C$3,-1)+1,$C$2:$C195,"&lt;="&amp;EOMONTH('Cold Outreach'!$C$3,0))=1,1,0),
0)</f>
        <v>0</v>
      </c>
      <c r="M195">
        <f>IF(AND($K195="Cold",$B195&lt;&gt;"",$C195&gt;=EDATE(EOMONTH('Cold Outreach'!$C$3,-1)+1,-('Cold Outreach'!$N$2-1)),$C195&lt;=EOMONTH('Cold Outreach'!$C$3,0)),
IF(COUNTIFS($B$2:$B195,$B195,$K$2:$K195,"Cold",$C$2:$C195,"&gt;="&amp;EDATE(EOMONTH('Cold Outreach'!$C$3,-1)+1,-('Cold Outreach'!$N$2-1)),$C$2:$C195,"&lt;="&amp;EOMONTH('Cold Outreach'!$C$3,0))=1,1,0),
0)</f>
        <v>1</v>
      </c>
    </row>
    <row r="196" spans="1:13">
      <c r="A196" s="251" t="s">
        <v>5019</v>
      </c>
      <c r="B196" s="251" t="s">
        <v>5020</v>
      </c>
      <c r="C196" s="556">
        <v>46129</v>
      </c>
      <c r="D196" s="251" t="s">
        <v>4730</v>
      </c>
      <c r="E196" s="251" t="s">
        <v>4790</v>
      </c>
      <c r="F196" s="251" t="s">
        <v>4971</v>
      </c>
      <c r="G196" s="251" t="s">
        <v>4718</v>
      </c>
      <c r="H196" s="251" t="s">
        <v>4740</v>
      </c>
      <c r="I196" s="251" t="s">
        <v>30</v>
      </c>
      <c r="J196" s="251" t="s">
        <v>477</v>
      </c>
      <c r="K196" s="251" t="s">
        <v>30</v>
      </c>
      <c r="L196">
        <f>IF(AND($K196="Cold",$B196&lt;&gt;"",$C196&gt;=EOMONTH('Cold Outreach'!$C$3,-1)+1,$C196&lt;=EOMONTH('Cold Outreach'!$C$3,0)),
IF(COUNTIFS($B$2:$B196,$B196,$K$2:$K196,"Cold",$C$2:$C196,"&gt;="&amp;EOMONTH('Cold Outreach'!$C$3,-1)+1,$C$2:$C196,"&lt;="&amp;EOMONTH('Cold Outreach'!$C$3,0))=1,1,0),
0)</f>
        <v>0</v>
      </c>
      <c r="M196">
        <f>IF(AND($K196="Cold",$B196&lt;&gt;"",$C196&gt;=EDATE(EOMONTH('Cold Outreach'!$C$3,-1)+1,-('Cold Outreach'!$N$2-1)),$C196&lt;=EOMONTH('Cold Outreach'!$C$3,0)),
IF(COUNTIFS($B$2:$B196,$B196,$K$2:$K196,"Cold",$C$2:$C196,"&gt;="&amp;EDATE(EOMONTH('Cold Outreach'!$C$3,-1)+1,-('Cold Outreach'!$N$2-1)),$C$2:$C196,"&lt;="&amp;EOMONTH('Cold Outreach'!$C$3,0))=1,1,0),
0)</f>
        <v>1</v>
      </c>
    </row>
    <row r="197" spans="1:13">
      <c r="A197" s="251" t="s">
        <v>5021</v>
      </c>
      <c r="B197" s="251" t="s">
        <v>4989</v>
      </c>
      <c r="C197" s="556">
        <v>46134</v>
      </c>
      <c r="D197" s="251" t="s">
        <v>4716</v>
      </c>
      <c r="E197" s="251" t="s">
        <v>4742</v>
      </c>
      <c r="F197" s="251" t="s">
        <v>4975</v>
      </c>
      <c r="G197" s="251" t="s">
        <v>4757</v>
      </c>
      <c r="H197" s="251" t="s">
        <v>4758</v>
      </c>
      <c r="I197" s="251" t="s">
        <v>30</v>
      </c>
      <c r="J197" s="251" t="s">
        <v>6</v>
      </c>
      <c r="K197" s="251" t="s">
        <v>30</v>
      </c>
      <c r="L197">
        <f>IF(AND($K197="Cold",$B197&lt;&gt;"",$C197&gt;=EOMONTH('Cold Outreach'!$C$3,-1)+1,$C197&lt;=EOMONTH('Cold Outreach'!$C$3,0)),
IF(COUNTIFS($B$2:$B197,$B197,$K$2:$K197,"Cold",$C$2:$C197,"&gt;="&amp;EOMONTH('Cold Outreach'!$C$3,-1)+1,$C$2:$C197,"&lt;="&amp;EOMONTH('Cold Outreach'!$C$3,0))=1,1,0),
0)</f>
        <v>0</v>
      </c>
      <c r="M197">
        <f>IF(AND($K197="Cold",$B197&lt;&gt;"",$C197&gt;=EDATE(EOMONTH('Cold Outreach'!$C$3,-1)+1,-('Cold Outreach'!$N$2-1)),$C197&lt;=EOMONTH('Cold Outreach'!$C$3,0)),
IF(COUNTIFS($B$2:$B197,$B197,$K$2:$K197,"Cold",$C$2:$C197,"&gt;="&amp;EDATE(EOMONTH('Cold Outreach'!$C$3,-1)+1,-('Cold Outreach'!$N$2-1)),$C$2:$C197,"&lt;="&amp;EOMONTH('Cold Outreach'!$C$3,0))=1,1,0),
0)</f>
        <v>0</v>
      </c>
    </row>
    <row r="198" spans="1:13">
      <c r="A198" s="251" t="s">
        <v>5022</v>
      </c>
      <c r="B198" s="251" t="s">
        <v>5023</v>
      </c>
      <c r="C198" s="556">
        <v>46156</v>
      </c>
      <c r="D198" s="251" t="s">
        <v>4716</v>
      </c>
      <c r="E198" s="251" t="s">
        <v>4717</v>
      </c>
      <c r="F198" s="251" t="s">
        <v>401</v>
      </c>
      <c r="G198" s="251" t="s">
        <v>4757</v>
      </c>
      <c r="H198" s="251" t="s">
        <v>5024</v>
      </c>
      <c r="I198" s="251" t="s">
        <v>4720</v>
      </c>
      <c r="J198" s="251" t="s">
        <v>642</v>
      </c>
      <c r="K198" s="251" t="s">
        <v>1473</v>
      </c>
      <c r="L198">
        <f>IF(AND($K198="Cold",$B198&lt;&gt;"",$C198&gt;=EOMONTH('Cold Outreach'!$C$3,-1)+1,$C198&lt;=EOMONTH('Cold Outreach'!$C$3,0)),
IF(COUNTIFS($B$2:$B198,$B198,$K$2:$K198,"Cold",$C$2:$C198,"&gt;="&amp;EOMONTH('Cold Outreach'!$C$3,-1)+1,$C$2:$C198,"&lt;="&amp;EOMONTH('Cold Outreach'!$C$3,0))=1,1,0),
0)</f>
        <v>0</v>
      </c>
      <c r="M198">
        <f>IF(AND($K198="Cold",$B198&lt;&gt;"",$C198&gt;=EDATE(EOMONTH('Cold Outreach'!$C$3,-1)+1,-('Cold Outreach'!$N$2-1)),$C198&lt;=EOMONTH('Cold Outreach'!$C$3,0)),
IF(COUNTIFS($B$2:$B198,$B198,$K$2:$K198,"Cold",$C$2:$C198,"&gt;="&amp;EDATE(EOMONTH('Cold Outreach'!$C$3,-1)+1,-('Cold Outreach'!$N$2-1)),$C$2:$C198,"&lt;="&amp;EOMONTH('Cold Outreach'!$C$3,0))=1,1,0),
0)</f>
        <v>0</v>
      </c>
    </row>
    <row r="199" spans="1:13">
      <c r="A199" s="251" t="s">
        <v>5025</v>
      </c>
      <c r="B199" s="251" t="s">
        <v>5026</v>
      </c>
      <c r="C199" s="556">
        <v>46153</v>
      </c>
      <c r="D199" s="251" t="s">
        <v>4716</v>
      </c>
      <c r="E199" s="251" t="s">
        <v>4726</v>
      </c>
      <c r="F199" s="251" t="s">
        <v>401</v>
      </c>
      <c r="G199" s="251" t="s">
        <v>4718</v>
      </c>
      <c r="H199" s="251" t="s">
        <v>4712</v>
      </c>
      <c r="I199" s="251" t="s">
        <v>4720</v>
      </c>
      <c r="J199" s="251" t="s">
        <v>642</v>
      </c>
      <c r="K199" s="251" t="s">
        <v>1473</v>
      </c>
      <c r="L199">
        <f>IF(AND($K199="Cold",$B199&lt;&gt;"",$C199&gt;=EOMONTH('Cold Outreach'!$C$3,-1)+1,$C199&lt;=EOMONTH('Cold Outreach'!$C$3,0)),
IF(COUNTIFS($B$2:$B199,$B199,$K$2:$K199,"Cold",$C$2:$C199,"&gt;="&amp;EOMONTH('Cold Outreach'!$C$3,-1)+1,$C$2:$C199,"&lt;="&amp;EOMONTH('Cold Outreach'!$C$3,0))=1,1,0),
0)</f>
        <v>0</v>
      </c>
      <c r="M199">
        <f>IF(AND($K199="Cold",$B199&lt;&gt;"",$C199&gt;=EDATE(EOMONTH('Cold Outreach'!$C$3,-1)+1,-('Cold Outreach'!$N$2-1)),$C199&lt;=EOMONTH('Cold Outreach'!$C$3,0)),
IF(COUNTIFS($B$2:$B199,$B199,$K$2:$K199,"Cold",$C$2:$C199,"&gt;="&amp;EDATE(EOMONTH('Cold Outreach'!$C$3,-1)+1,-('Cold Outreach'!$N$2-1)),$C$2:$C199,"&lt;="&amp;EOMONTH('Cold Outreach'!$C$3,0))=1,1,0),
0)</f>
        <v>0</v>
      </c>
    </row>
    <row r="200" spans="1:13">
      <c r="A200" s="251" t="s">
        <v>5027</v>
      </c>
      <c r="B200" s="251" t="s">
        <v>5028</v>
      </c>
      <c r="C200" s="556">
        <v>46136</v>
      </c>
      <c r="D200" s="251" t="s">
        <v>4730</v>
      </c>
      <c r="E200" s="251" t="s">
        <v>4731</v>
      </c>
      <c r="F200" s="251" t="s">
        <v>4971</v>
      </c>
      <c r="G200" s="251" t="s">
        <v>4757</v>
      </c>
      <c r="H200" s="251" t="s">
        <v>4758</v>
      </c>
      <c r="I200" s="251" t="s">
        <v>30</v>
      </c>
      <c r="J200" s="251" t="s">
        <v>6</v>
      </c>
      <c r="K200" s="251" t="s">
        <v>30</v>
      </c>
      <c r="L200">
        <f>IF(AND($K200="Cold",$B200&lt;&gt;"",$C200&gt;=EOMONTH('Cold Outreach'!$C$3,-1)+1,$C200&lt;=EOMONTH('Cold Outreach'!$C$3,0)),
IF(COUNTIFS($B$2:$B200,$B200,$K$2:$K200,"Cold",$C$2:$C200,"&gt;="&amp;EOMONTH('Cold Outreach'!$C$3,-1)+1,$C$2:$C200,"&lt;="&amp;EOMONTH('Cold Outreach'!$C$3,0))=1,1,0),
0)</f>
        <v>0</v>
      </c>
      <c r="M200">
        <f>IF(AND($K200="Cold",$B200&lt;&gt;"",$C200&gt;=EDATE(EOMONTH('Cold Outreach'!$C$3,-1)+1,-('Cold Outreach'!$N$2-1)),$C200&lt;=EOMONTH('Cold Outreach'!$C$3,0)),
IF(COUNTIFS($B$2:$B200,$B200,$K$2:$K200,"Cold",$C$2:$C200,"&gt;="&amp;EDATE(EOMONTH('Cold Outreach'!$C$3,-1)+1,-('Cold Outreach'!$N$2-1)),$C$2:$C200,"&lt;="&amp;EOMONTH('Cold Outreach'!$C$3,0))=1,1,0),
0)</f>
        <v>1</v>
      </c>
    </row>
    <row r="201" spans="1:13">
      <c r="A201" s="251" t="s">
        <v>5029</v>
      </c>
      <c r="B201" s="251" t="s">
        <v>5030</v>
      </c>
      <c r="C201" s="556">
        <v>46136</v>
      </c>
      <c r="D201" s="251" t="s">
        <v>4716</v>
      </c>
      <c r="E201" s="251" t="s">
        <v>596</v>
      </c>
      <c r="F201" s="251" t="s">
        <v>4971</v>
      </c>
      <c r="G201" s="251" t="s">
        <v>4718</v>
      </c>
      <c r="H201" s="251" t="s">
        <v>4712</v>
      </c>
      <c r="I201" s="251" t="s">
        <v>30</v>
      </c>
      <c r="J201" s="251" t="s">
        <v>642</v>
      </c>
      <c r="K201" s="251" t="s">
        <v>30</v>
      </c>
      <c r="L201">
        <f>IF(AND($K201="Cold",$B201&lt;&gt;"",$C201&gt;=EOMONTH('Cold Outreach'!$C$3,-1)+1,$C201&lt;=EOMONTH('Cold Outreach'!$C$3,0)),
IF(COUNTIFS($B$2:$B201,$B201,$K$2:$K201,"Cold",$C$2:$C201,"&gt;="&amp;EOMONTH('Cold Outreach'!$C$3,-1)+1,$C$2:$C201,"&lt;="&amp;EOMONTH('Cold Outreach'!$C$3,0))=1,1,0),
0)</f>
        <v>0</v>
      </c>
      <c r="M201">
        <f>IF(AND($K201="Cold",$B201&lt;&gt;"",$C201&gt;=EDATE(EOMONTH('Cold Outreach'!$C$3,-1)+1,-('Cold Outreach'!$N$2-1)),$C201&lt;=EOMONTH('Cold Outreach'!$C$3,0)),
IF(COUNTIFS($B$2:$B201,$B201,$K$2:$K201,"Cold",$C$2:$C201,"&gt;="&amp;EDATE(EOMONTH('Cold Outreach'!$C$3,-1)+1,-('Cold Outreach'!$N$2-1)),$C$2:$C201,"&lt;="&amp;EOMONTH('Cold Outreach'!$C$3,0))=1,1,0),
0)</f>
        <v>1</v>
      </c>
    </row>
    <row r="202" spans="1:13">
      <c r="A202" s="251" t="s">
        <v>5031</v>
      </c>
      <c r="B202" s="251" t="s">
        <v>5032</v>
      </c>
      <c r="C202" s="556">
        <v>46136</v>
      </c>
      <c r="D202" s="251" t="s">
        <v>4730</v>
      </c>
      <c r="E202" s="251" t="s">
        <v>4742</v>
      </c>
      <c r="F202" s="251" t="s">
        <v>4971</v>
      </c>
      <c r="G202" s="251" t="s">
        <v>4757</v>
      </c>
      <c r="H202" s="251" t="s">
        <v>4758</v>
      </c>
      <c r="I202" s="251" t="s">
        <v>30</v>
      </c>
      <c r="J202" s="251" t="s">
        <v>6</v>
      </c>
      <c r="K202" s="251" t="s">
        <v>30</v>
      </c>
      <c r="L202">
        <f>IF(AND($K202="Cold",$B202&lt;&gt;"",$C202&gt;=EOMONTH('Cold Outreach'!$C$3,-1)+1,$C202&lt;=EOMONTH('Cold Outreach'!$C$3,0)),
IF(COUNTIFS($B$2:$B202,$B202,$K$2:$K202,"Cold",$C$2:$C202,"&gt;="&amp;EOMONTH('Cold Outreach'!$C$3,-1)+1,$C$2:$C202,"&lt;="&amp;EOMONTH('Cold Outreach'!$C$3,0))=1,1,0),
0)</f>
        <v>0</v>
      </c>
      <c r="M202">
        <f>IF(AND($K202="Cold",$B202&lt;&gt;"",$C202&gt;=EDATE(EOMONTH('Cold Outreach'!$C$3,-1)+1,-('Cold Outreach'!$N$2-1)),$C202&lt;=EOMONTH('Cold Outreach'!$C$3,0)),
IF(COUNTIFS($B$2:$B202,$B202,$K$2:$K202,"Cold",$C$2:$C202,"&gt;="&amp;EDATE(EOMONTH('Cold Outreach'!$C$3,-1)+1,-('Cold Outreach'!$N$2-1)),$C$2:$C202,"&lt;="&amp;EOMONTH('Cold Outreach'!$C$3,0))=1,1,0),
0)</f>
        <v>1</v>
      </c>
    </row>
    <row r="203" spans="1:13">
      <c r="A203" s="251" t="s">
        <v>5033</v>
      </c>
      <c r="B203" s="251" t="s">
        <v>5034</v>
      </c>
      <c r="C203" s="556">
        <v>46136</v>
      </c>
      <c r="D203" s="251" t="s">
        <v>4730</v>
      </c>
      <c r="E203" s="251" t="s">
        <v>4742</v>
      </c>
      <c r="F203" s="251" t="s">
        <v>4971</v>
      </c>
      <c r="G203" s="251" t="s">
        <v>4718</v>
      </c>
      <c r="H203" s="251" t="s">
        <v>4740</v>
      </c>
      <c r="I203" s="251" t="s">
        <v>30</v>
      </c>
      <c r="J203" s="251" t="s">
        <v>642</v>
      </c>
      <c r="K203" s="251" t="s">
        <v>30</v>
      </c>
      <c r="L203">
        <f>IF(AND($K203="Cold",$B203&lt;&gt;"",$C203&gt;=EOMONTH('Cold Outreach'!$C$3,-1)+1,$C203&lt;=EOMONTH('Cold Outreach'!$C$3,0)),
IF(COUNTIFS($B$2:$B203,$B203,$K$2:$K203,"Cold",$C$2:$C203,"&gt;="&amp;EOMONTH('Cold Outreach'!$C$3,-1)+1,$C$2:$C203,"&lt;="&amp;EOMONTH('Cold Outreach'!$C$3,0))=1,1,0),
0)</f>
        <v>0</v>
      </c>
      <c r="M203">
        <f>IF(AND($K203="Cold",$B203&lt;&gt;"",$C203&gt;=EDATE(EOMONTH('Cold Outreach'!$C$3,-1)+1,-('Cold Outreach'!$N$2-1)),$C203&lt;=EOMONTH('Cold Outreach'!$C$3,0)),
IF(COUNTIFS($B$2:$B203,$B203,$K$2:$K203,"Cold",$C$2:$C203,"&gt;="&amp;EDATE(EOMONTH('Cold Outreach'!$C$3,-1)+1,-('Cold Outreach'!$N$2-1)),$C$2:$C203,"&lt;="&amp;EOMONTH('Cold Outreach'!$C$3,0))=1,1,0),
0)</f>
        <v>1</v>
      </c>
    </row>
    <row r="204" spans="1:13">
      <c r="A204" s="251" t="s">
        <v>5035</v>
      </c>
      <c r="B204" s="251" t="s">
        <v>5036</v>
      </c>
      <c r="C204" s="556">
        <v>46143</v>
      </c>
      <c r="D204" s="251" t="s">
        <v>4730</v>
      </c>
      <c r="E204" s="251" t="s">
        <v>521</v>
      </c>
      <c r="F204" s="251" t="s">
        <v>4971</v>
      </c>
      <c r="G204" s="251" t="s">
        <v>4718</v>
      </c>
      <c r="H204" s="251" t="s">
        <v>4712</v>
      </c>
      <c r="I204" s="251" t="s">
        <v>4720</v>
      </c>
      <c r="J204" s="251" t="s">
        <v>468</v>
      </c>
      <c r="K204" s="251" t="s">
        <v>30</v>
      </c>
      <c r="L204">
        <f>IF(AND($K204="Cold",$B204&lt;&gt;"",$C204&gt;=EOMONTH('Cold Outreach'!$C$3,-1)+1,$C204&lt;=EOMONTH('Cold Outreach'!$C$3,0)),
IF(COUNTIFS($B$2:$B204,$B204,$K$2:$K204,"Cold",$C$2:$C204,"&gt;="&amp;EOMONTH('Cold Outreach'!$C$3,-1)+1,$C$2:$C204,"&lt;="&amp;EOMONTH('Cold Outreach'!$C$3,0))=1,1,0),
0)</f>
        <v>0</v>
      </c>
      <c r="M204">
        <f>IF(AND($K204="Cold",$B204&lt;&gt;"",$C204&gt;=EDATE(EOMONTH('Cold Outreach'!$C$3,-1)+1,-('Cold Outreach'!$N$2-1)),$C204&lt;=EOMONTH('Cold Outreach'!$C$3,0)),
IF(COUNTIFS($B$2:$B204,$B204,$K$2:$K204,"Cold",$C$2:$C204,"&gt;="&amp;EDATE(EOMONTH('Cold Outreach'!$C$3,-1)+1,-('Cold Outreach'!$N$2-1)),$C$2:$C204,"&lt;="&amp;EOMONTH('Cold Outreach'!$C$3,0))=1,1,0),
0)</f>
        <v>1</v>
      </c>
    </row>
    <row r="205" spans="1:13">
      <c r="A205" s="251" t="s">
        <v>5037</v>
      </c>
      <c r="B205" s="251" t="s">
        <v>5038</v>
      </c>
      <c r="C205" s="556">
        <v>46146</v>
      </c>
      <c r="D205" s="251" t="s">
        <v>4716</v>
      </c>
      <c r="E205" s="251" t="s">
        <v>596</v>
      </c>
      <c r="F205" s="251" t="s">
        <v>4971</v>
      </c>
      <c r="G205" s="251" t="s">
        <v>4757</v>
      </c>
      <c r="H205" s="251" t="s">
        <v>5013</v>
      </c>
      <c r="I205" s="251" t="s">
        <v>30</v>
      </c>
      <c r="J205" s="251" t="s">
        <v>6</v>
      </c>
      <c r="K205" s="251" t="s">
        <v>30</v>
      </c>
      <c r="L205">
        <f>IF(AND($K205="Cold",$B205&lt;&gt;"",$C205&gt;=EOMONTH('Cold Outreach'!$C$3,-1)+1,$C205&lt;=EOMONTH('Cold Outreach'!$C$3,0)),
IF(COUNTIFS($B$2:$B205,$B205,$K$2:$K205,"Cold",$C$2:$C205,"&gt;="&amp;EOMONTH('Cold Outreach'!$C$3,-1)+1,$C$2:$C205,"&lt;="&amp;EOMONTH('Cold Outreach'!$C$3,0))=1,1,0),
0)</f>
        <v>0</v>
      </c>
      <c r="M205">
        <f>IF(AND($K205="Cold",$B205&lt;&gt;"",$C205&gt;=EDATE(EOMONTH('Cold Outreach'!$C$3,-1)+1,-('Cold Outreach'!$N$2-1)),$C205&lt;=EOMONTH('Cold Outreach'!$C$3,0)),
IF(COUNTIFS($B$2:$B205,$B205,$K$2:$K205,"Cold",$C$2:$C205,"&gt;="&amp;EDATE(EOMONTH('Cold Outreach'!$C$3,-1)+1,-('Cold Outreach'!$N$2-1)),$C$2:$C205,"&lt;="&amp;EOMONTH('Cold Outreach'!$C$3,0))=1,1,0),
0)</f>
        <v>1</v>
      </c>
    </row>
    <row r="206" spans="1:13">
      <c r="A206" s="251" t="s">
        <v>5039</v>
      </c>
      <c r="B206" s="251" t="s">
        <v>4100</v>
      </c>
      <c r="C206" s="556">
        <v>46169</v>
      </c>
      <c r="D206" s="251" t="s">
        <v>4730</v>
      </c>
      <c r="E206" s="251" t="s">
        <v>4742</v>
      </c>
      <c r="F206" s="251" t="s">
        <v>401</v>
      </c>
      <c r="G206" s="251" t="s">
        <v>4718</v>
      </c>
      <c r="H206" s="251" t="s">
        <v>4723</v>
      </c>
      <c r="I206" s="251" t="s">
        <v>4720</v>
      </c>
      <c r="J206" s="251" t="s">
        <v>468</v>
      </c>
      <c r="K206" s="251" t="s">
        <v>1473</v>
      </c>
      <c r="L206">
        <f>IF(AND($K206="Cold",$B206&lt;&gt;"",$C206&gt;=EOMONTH('Cold Outreach'!$C$3,-1)+1,$C206&lt;=EOMONTH('Cold Outreach'!$C$3,0)),
IF(COUNTIFS($B$2:$B206,$B206,$K$2:$K206,"Cold",$C$2:$C206,"&gt;="&amp;EOMONTH('Cold Outreach'!$C$3,-1)+1,$C$2:$C206,"&lt;="&amp;EOMONTH('Cold Outreach'!$C$3,0))=1,1,0),
0)</f>
        <v>0</v>
      </c>
      <c r="M206">
        <f>IF(AND($K206="Cold",$B206&lt;&gt;"",$C206&gt;=EDATE(EOMONTH('Cold Outreach'!$C$3,-1)+1,-('Cold Outreach'!$N$2-1)),$C206&lt;=EOMONTH('Cold Outreach'!$C$3,0)),
IF(COUNTIFS($B$2:$B206,$B206,$K$2:$K206,"Cold",$C$2:$C206,"&gt;="&amp;EDATE(EOMONTH('Cold Outreach'!$C$3,-1)+1,-('Cold Outreach'!$N$2-1)),$C$2:$C206,"&lt;="&amp;EOMONTH('Cold Outreach'!$C$3,0))=1,1,0),
0)</f>
        <v>0</v>
      </c>
    </row>
    <row r="207" spans="1:13">
      <c r="A207" s="251" t="s">
        <v>5040</v>
      </c>
      <c r="B207" s="251" t="s">
        <v>3864</v>
      </c>
      <c r="C207" s="556">
        <v>46155</v>
      </c>
      <c r="D207" s="251" t="s">
        <v>4730</v>
      </c>
      <c r="E207" s="251" t="s">
        <v>521</v>
      </c>
      <c r="F207" s="251" t="s">
        <v>401</v>
      </c>
      <c r="G207" s="251" t="s">
        <v>4718</v>
      </c>
      <c r="H207" s="251" t="s">
        <v>4723</v>
      </c>
      <c r="I207" s="251" t="s">
        <v>4720</v>
      </c>
      <c r="J207" s="251" t="s">
        <v>402</v>
      </c>
      <c r="K207" s="251" t="s">
        <v>1473</v>
      </c>
      <c r="L207">
        <f>IF(AND($K207="Cold",$B207&lt;&gt;"",$C207&gt;=EOMONTH('Cold Outreach'!$C$3,-1)+1,$C207&lt;=EOMONTH('Cold Outreach'!$C$3,0)),
IF(COUNTIFS($B$2:$B207,$B207,$K$2:$K207,"Cold",$C$2:$C207,"&gt;="&amp;EOMONTH('Cold Outreach'!$C$3,-1)+1,$C$2:$C207,"&lt;="&amp;EOMONTH('Cold Outreach'!$C$3,0))=1,1,0),
0)</f>
        <v>0</v>
      </c>
      <c r="M207">
        <f>IF(AND($K207="Cold",$B207&lt;&gt;"",$C207&gt;=EDATE(EOMONTH('Cold Outreach'!$C$3,-1)+1,-('Cold Outreach'!$N$2-1)),$C207&lt;=EOMONTH('Cold Outreach'!$C$3,0)),
IF(COUNTIFS($B$2:$B207,$B207,$K$2:$K207,"Cold",$C$2:$C207,"&gt;="&amp;EDATE(EOMONTH('Cold Outreach'!$C$3,-1)+1,-('Cold Outreach'!$N$2-1)),$C$2:$C207,"&lt;="&amp;EOMONTH('Cold Outreach'!$C$3,0))=1,1,0),
0)</f>
        <v>0</v>
      </c>
    </row>
    <row r="208" spans="1:13">
      <c r="A208" s="251" t="s">
        <v>5041</v>
      </c>
      <c r="B208" s="251" t="s">
        <v>5042</v>
      </c>
      <c r="C208" s="556">
        <v>46156</v>
      </c>
      <c r="D208" s="251" t="s">
        <v>4730</v>
      </c>
      <c r="E208" s="251" t="s">
        <v>4726</v>
      </c>
      <c r="F208" s="251" t="s">
        <v>401</v>
      </c>
      <c r="G208" s="251" t="s">
        <v>4718</v>
      </c>
      <c r="H208" s="251" t="s">
        <v>247</v>
      </c>
      <c r="I208" s="251" t="s">
        <v>4720</v>
      </c>
      <c r="J208" s="251" t="s">
        <v>642</v>
      </c>
      <c r="K208" s="251" t="s">
        <v>1473</v>
      </c>
      <c r="L208">
        <f>IF(AND($K208="Cold",$B208&lt;&gt;"",$C208&gt;=EOMONTH('Cold Outreach'!$C$3,-1)+1,$C208&lt;=EOMONTH('Cold Outreach'!$C$3,0)),
IF(COUNTIFS($B$2:$B208,$B208,$K$2:$K208,"Cold",$C$2:$C208,"&gt;="&amp;EOMONTH('Cold Outreach'!$C$3,-1)+1,$C$2:$C208,"&lt;="&amp;EOMONTH('Cold Outreach'!$C$3,0))=1,1,0),
0)</f>
        <v>0</v>
      </c>
      <c r="M208">
        <f>IF(AND($K208="Cold",$B208&lt;&gt;"",$C208&gt;=EDATE(EOMONTH('Cold Outreach'!$C$3,-1)+1,-('Cold Outreach'!$N$2-1)),$C208&lt;=EOMONTH('Cold Outreach'!$C$3,0)),
IF(COUNTIFS($B$2:$B208,$B208,$K$2:$K208,"Cold",$C$2:$C208,"&gt;="&amp;EDATE(EOMONTH('Cold Outreach'!$C$3,-1)+1,-('Cold Outreach'!$N$2-1)),$C$2:$C208,"&lt;="&amp;EOMONTH('Cold Outreach'!$C$3,0))=1,1,0),
0)</f>
        <v>0</v>
      </c>
    </row>
    <row r="209" spans="1:13">
      <c r="A209" s="251" t="s">
        <v>5043</v>
      </c>
      <c r="B209" s="251" t="s">
        <v>5044</v>
      </c>
      <c r="C209" s="556">
        <v>46142</v>
      </c>
      <c r="D209" s="251" t="s">
        <v>4730</v>
      </c>
      <c r="E209" s="251" t="s">
        <v>4742</v>
      </c>
      <c r="F209" s="251" t="s">
        <v>401</v>
      </c>
      <c r="G209" s="251" t="s">
        <v>4718</v>
      </c>
      <c r="H209" s="251" t="s">
        <v>4723</v>
      </c>
      <c r="I209" s="251" t="s">
        <v>4720</v>
      </c>
      <c r="J209" s="251" t="s">
        <v>402</v>
      </c>
      <c r="K209" s="251" t="s">
        <v>1473</v>
      </c>
      <c r="L209">
        <f>IF(AND($K209="Cold",$B209&lt;&gt;"",$C209&gt;=EOMONTH('Cold Outreach'!$C$3,-1)+1,$C209&lt;=EOMONTH('Cold Outreach'!$C$3,0)),
IF(COUNTIFS($B$2:$B209,$B209,$K$2:$K209,"Cold",$C$2:$C209,"&gt;="&amp;EOMONTH('Cold Outreach'!$C$3,-1)+1,$C$2:$C209,"&lt;="&amp;EOMONTH('Cold Outreach'!$C$3,0))=1,1,0),
0)</f>
        <v>0</v>
      </c>
      <c r="M209">
        <f>IF(AND($K209="Cold",$B209&lt;&gt;"",$C209&gt;=EDATE(EOMONTH('Cold Outreach'!$C$3,-1)+1,-('Cold Outreach'!$N$2-1)),$C209&lt;=EOMONTH('Cold Outreach'!$C$3,0)),
IF(COUNTIFS($B$2:$B209,$B209,$K$2:$K209,"Cold",$C$2:$C209,"&gt;="&amp;EDATE(EOMONTH('Cold Outreach'!$C$3,-1)+1,-('Cold Outreach'!$N$2-1)),$C$2:$C209,"&lt;="&amp;EOMONTH('Cold Outreach'!$C$3,0))=1,1,0),
0)</f>
        <v>0</v>
      </c>
    </row>
    <row r="210" spans="1:13">
      <c r="A210" s="552" t="s">
        <v>5045</v>
      </c>
      <c r="B210" s="552" t="s">
        <v>5046</v>
      </c>
      <c r="C210" s="557">
        <v>46183</v>
      </c>
      <c r="D210" s="552" t="s">
        <v>4730</v>
      </c>
      <c r="E210" s="552" t="s">
        <v>521</v>
      </c>
      <c r="F210" s="552" t="s">
        <v>401</v>
      </c>
      <c r="G210" s="552" t="s">
        <v>4718</v>
      </c>
      <c r="H210" s="552" t="s">
        <v>4723</v>
      </c>
      <c r="I210" s="552" t="s">
        <v>4720</v>
      </c>
      <c r="J210" s="552" t="s">
        <v>642</v>
      </c>
      <c r="K210" s="251" t="s">
        <v>1473</v>
      </c>
      <c r="L210">
        <f>IF(AND($K210="Cold",$B210&lt;&gt;"",$C210&gt;=EOMONTH('Cold Outreach'!$C$3,-1)+1,$C210&lt;=EOMONTH('Cold Outreach'!$C$3,0)),
IF(COUNTIFS($B$2:$B210,$B210,$K$2:$K210,"Cold",$C$2:$C210,"&gt;="&amp;EOMONTH('Cold Outreach'!$C$3,-1)+1,$C$2:$C210,"&lt;="&amp;EOMONTH('Cold Outreach'!$C$3,0))=1,1,0),
0)</f>
        <v>0</v>
      </c>
      <c r="M210">
        <f>IF(AND($K210="Cold",$B210&lt;&gt;"",$C210&gt;=EDATE(EOMONTH('Cold Outreach'!$C$3,-1)+1,-('Cold Outreach'!$N$2-1)),$C210&lt;=EOMONTH('Cold Outreach'!$C$3,0)),
IF(COUNTIFS($B$2:$B210,$B210,$K$2:$K210,"Cold",$C$2:$C210,"&gt;="&amp;EDATE(EOMONTH('Cold Outreach'!$C$3,-1)+1,-('Cold Outreach'!$N$2-1)),$C$2:$C210,"&lt;="&amp;EOMONTH('Cold Outreach'!$C$3,0))=1,1,0),
0)</f>
        <v>0</v>
      </c>
    </row>
    <row r="211" spans="1:13">
      <c r="A211" s="251" t="s">
        <v>5047</v>
      </c>
      <c r="B211" s="251" t="s">
        <v>5048</v>
      </c>
      <c r="C211" s="556">
        <v>46155</v>
      </c>
      <c r="D211" s="251" t="s">
        <v>4730</v>
      </c>
      <c r="E211" s="251" t="s">
        <v>401</v>
      </c>
      <c r="F211" s="251" t="s">
        <v>401</v>
      </c>
      <c r="G211" s="251" t="s">
        <v>4718</v>
      </c>
      <c r="H211" s="251" t="s">
        <v>4712</v>
      </c>
      <c r="I211" s="251" t="s">
        <v>4720</v>
      </c>
      <c r="J211" s="251" t="s">
        <v>320</v>
      </c>
      <c r="K211" s="251" t="s">
        <v>27</v>
      </c>
      <c r="L211">
        <f>IF(AND($K211="Cold",$B211&lt;&gt;"",$C211&gt;=EOMONTH('Cold Outreach'!$C$3,-1)+1,$C211&lt;=EOMONTH('Cold Outreach'!$C$3,0)),
IF(COUNTIFS($B$2:$B211,$B211,$K$2:$K211,"Cold",$C$2:$C211,"&gt;="&amp;EOMONTH('Cold Outreach'!$C$3,-1)+1,$C$2:$C211,"&lt;="&amp;EOMONTH('Cold Outreach'!$C$3,0))=1,1,0),
0)</f>
        <v>0</v>
      </c>
      <c r="M211">
        <f>IF(AND($K211="Cold",$B211&lt;&gt;"",$C211&gt;=EDATE(EOMONTH('Cold Outreach'!$C$3,-1)+1,-('Cold Outreach'!$N$2-1)),$C211&lt;=EOMONTH('Cold Outreach'!$C$3,0)),
IF(COUNTIFS($B$2:$B211,$B211,$K$2:$K211,"Cold",$C$2:$C211,"&gt;="&amp;EDATE(EOMONTH('Cold Outreach'!$C$3,-1)+1,-('Cold Outreach'!$N$2-1)),$C$2:$C211,"&lt;="&amp;EOMONTH('Cold Outreach'!$C$3,0))=1,1,0),
0)</f>
        <v>0</v>
      </c>
    </row>
    <row r="212" spans="1:13">
      <c r="A212" s="251" t="s">
        <v>5049</v>
      </c>
      <c r="B212" s="251" t="s">
        <v>5050</v>
      </c>
      <c r="C212" s="556">
        <v>46169</v>
      </c>
      <c r="D212" s="251" t="s">
        <v>4730</v>
      </c>
      <c r="E212" s="251" t="s">
        <v>401</v>
      </c>
      <c r="F212" s="251" t="s">
        <v>401</v>
      </c>
      <c r="G212" s="251" t="s">
        <v>4718</v>
      </c>
      <c r="H212" s="251" t="s">
        <v>4712</v>
      </c>
      <c r="I212" s="251" t="s">
        <v>4720</v>
      </c>
      <c r="J212" s="251" t="s">
        <v>642</v>
      </c>
      <c r="K212" s="251" t="s">
        <v>27</v>
      </c>
      <c r="L212">
        <f>IF(AND($K212="Cold",$B212&lt;&gt;"",$C212&gt;=EOMONTH('Cold Outreach'!$C$3,-1)+1,$C212&lt;=EOMONTH('Cold Outreach'!$C$3,0)),
IF(COUNTIFS($B$2:$B212,$B212,$K$2:$K212,"Cold",$C$2:$C212,"&gt;="&amp;EOMONTH('Cold Outreach'!$C$3,-1)+1,$C$2:$C212,"&lt;="&amp;EOMONTH('Cold Outreach'!$C$3,0))=1,1,0),
0)</f>
        <v>0</v>
      </c>
      <c r="M212">
        <f>IF(AND($K212="Cold",$B212&lt;&gt;"",$C212&gt;=EDATE(EOMONTH('Cold Outreach'!$C$3,-1)+1,-('Cold Outreach'!$N$2-1)),$C212&lt;=EOMONTH('Cold Outreach'!$C$3,0)),
IF(COUNTIFS($B$2:$B212,$B212,$K$2:$K212,"Cold",$C$2:$C212,"&gt;="&amp;EDATE(EOMONTH('Cold Outreach'!$C$3,-1)+1,-('Cold Outreach'!$N$2-1)),$C$2:$C212,"&lt;="&amp;EOMONTH('Cold Outreach'!$C$3,0))=1,1,0),
0)</f>
        <v>0</v>
      </c>
    </row>
    <row r="213" spans="1:13">
      <c r="A213" s="251" t="s">
        <v>4786</v>
      </c>
      <c r="B213" s="251" t="s">
        <v>4679</v>
      </c>
      <c r="C213" s="556">
        <v>46156</v>
      </c>
      <c r="D213" s="251" t="s">
        <v>4716</v>
      </c>
      <c r="E213" s="251" t="s">
        <v>4731</v>
      </c>
      <c r="F213" s="251" t="s">
        <v>4971</v>
      </c>
      <c r="G213" s="251" t="s">
        <v>4757</v>
      </c>
      <c r="H213" s="251" t="s">
        <v>5013</v>
      </c>
      <c r="I213" s="251" t="s">
        <v>30</v>
      </c>
      <c r="J213" s="251" t="s">
        <v>6</v>
      </c>
      <c r="K213" s="251" t="s">
        <v>30</v>
      </c>
      <c r="L213">
        <f>IF(AND($K213="Cold",$B213&lt;&gt;"",$C213&gt;=EOMONTH('Cold Outreach'!$C$3,-1)+1,$C213&lt;=EOMONTH('Cold Outreach'!$C$3,0)),
IF(COUNTIFS($B$2:$B213,$B213,$K$2:$K213,"Cold",$C$2:$C213,"&gt;="&amp;EOMONTH('Cold Outreach'!$C$3,-1)+1,$C$2:$C213,"&lt;="&amp;EOMONTH('Cold Outreach'!$C$3,0))=1,1,0),
0)</f>
        <v>0</v>
      </c>
      <c r="M213">
        <f>IF(AND($K213="Cold",$B213&lt;&gt;"",$C213&gt;=EDATE(EOMONTH('Cold Outreach'!$C$3,-1)+1,-('Cold Outreach'!$N$2-1)),$C213&lt;=EOMONTH('Cold Outreach'!$C$3,0)),
IF(COUNTIFS($B$2:$B213,$B213,$K$2:$K213,"Cold",$C$2:$C213,"&gt;="&amp;EDATE(EOMONTH('Cold Outreach'!$C$3,-1)+1,-('Cold Outreach'!$N$2-1)),$C$2:$C213,"&lt;="&amp;EOMONTH('Cold Outreach'!$C$3,0))=1,1,0),
0)</f>
        <v>0</v>
      </c>
    </row>
    <row r="214" spans="1:13">
      <c r="A214" s="251" t="s">
        <v>5051</v>
      </c>
      <c r="B214" s="251" t="s">
        <v>5052</v>
      </c>
      <c r="C214" s="556">
        <v>46170</v>
      </c>
      <c r="D214" s="251" t="s">
        <v>4730</v>
      </c>
      <c r="E214" s="251" t="s">
        <v>4742</v>
      </c>
      <c r="F214" s="251" t="s">
        <v>401</v>
      </c>
      <c r="G214" s="251" t="s">
        <v>4757</v>
      </c>
      <c r="H214" s="251" t="s">
        <v>5024</v>
      </c>
      <c r="I214" s="251" t="s">
        <v>4720</v>
      </c>
      <c r="J214" s="251" t="s">
        <v>642</v>
      </c>
      <c r="K214" s="251" t="s">
        <v>1473</v>
      </c>
      <c r="L214">
        <f>IF(AND($K214="Cold",$B214&lt;&gt;"",$C214&gt;=EOMONTH('Cold Outreach'!$C$3,-1)+1,$C214&lt;=EOMONTH('Cold Outreach'!$C$3,0)),
IF(COUNTIFS($B$2:$B214,$B214,$K$2:$K214,"Cold",$C$2:$C214,"&gt;="&amp;EOMONTH('Cold Outreach'!$C$3,-1)+1,$C$2:$C214,"&lt;="&amp;EOMONTH('Cold Outreach'!$C$3,0))=1,1,0),
0)</f>
        <v>0</v>
      </c>
      <c r="M214">
        <f>IF(AND($K214="Cold",$B214&lt;&gt;"",$C214&gt;=EDATE(EOMONTH('Cold Outreach'!$C$3,-1)+1,-('Cold Outreach'!$N$2-1)),$C214&lt;=EOMONTH('Cold Outreach'!$C$3,0)),
IF(COUNTIFS($B$2:$B214,$B214,$K$2:$K214,"Cold",$C$2:$C214,"&gt;="&amp;EDATE(EOMONTH('Cold Outreach'!$C$3,-1)+1,-('Cold Outreach'!$N$2-1)),$C$2:$C214,"&lt;="&amp;EOMONTH('Cold Outreach'!$C$3,0))=1,1,0),
0)</f>
        <v>0</v>
      </c>
    </row>
    <row r="215" spans="1:13">
      <c r="A215" s="251" t="s">
        <v>5053</v>
      </c>
      <c r="B215" s="251" t="s">
        <v>5054</v>
      </c>
      <c r="C215" s="556">
        <v>46171</v>
      </c>
      <c r="D215" s="251" t="s">
        <v>4730</v>
      </c>
      <c r="E215" s="251" t="s">
        <v>401</v>
      </c>
      <c r="F215" s="251" t="s">
        <v>4971</v>
      </c>
      <c r="G215" s="251" t="s">
        <v>4757</v>
      </c>
      <c r="H215" s="251" t="s">
        <v>247</v>
      </c>
      <c r="I215" s="251" t="s">
        <v>4720</v>
      </c>
      <c r="J215" s="251" t="s">
        <v>6</v>
      </c>
      <c r="K215" s="251" t="s">
        <v>1473</v>
      </c>
      <c r="L215">
        <f>IF(AND($K215="Cold",$B215&lt;&gt;"",$C215&gt;=EOMONTH('Cold Outreach'!$C$3,-1)+1,$C215&lt;=EOMONTH('Cold Outreach'!$C$3,0)),
IF(COUNTIFS($B$2:$B215,$B215,$K$2:$K215,"Cold",$C$2:$C215,"&gt;="&amp;EOMONTH('Cold Outreach'!$C$3,-1)+1,$C$2:$C215,"&lt;="&amp;EOMONTH('Cold Outreach'!$C$3,0))=1,1,0),
0)</f>
        <v>0</v>
      </c>
      <c r="M215">
        <f>IF(AND($K215="Cold",$B215&lt;&gt;"",$C215&gt;=EDATE(EOMONTH('Cold Outreach'!$C$3,-1)+1,-('Cold Outreach'!$N$2-1)),$C215&lt;=EOMONTH('Cold Outreach'!$C$3,0)),
IF(COUNTIFS($B$2:$B215,$B215,$K$2:$K215,"Cold",$C$2:$C215,"&gt;="&amp;EDATE(EOMONTH('Cold Outreach'!$C$3,-1)+1,-('Cold Outreach'!$N$2-1)),$C$2:$C215,"&lt;="&amp;EOMONTH('Cold Outreach'!$C$3,0))=1,1,0),
0)</f>
        <v>0</v>
      </c>
    </row>
    <row r="216" spans="1:13">
      <c r="A216" s="251" t="s">
        <v>5055</v>
      </c>
      <c r="B216" s="251" t="s">
        <v>5056</v>
      </c>
      <c r="C216" s="556">
        <v>46169</v>
      </c>
      <c r="D216" s="251" t="s">
        <v>4730</v>
      </c>
      <c r="E216" s="251" t="s">
        <v>521</v>
      </c>
      <c r="F216" s="251" t="s">
        <v>5057</v>
      </c>
      <c r="G216" s="251" t="s">
        <v>4718</v>
      </c>
      <c r="H216" s="251" t="s">
        <v>4723</v>
      </c>
      <c r="I216" s="251" t="s">
        <v>30</v>
      </c>
      <c r="J216" s="251" t="s">
        <v>642</v>
      </c>
      <c r="K216" s="251" t="s">
        <v>30</v>
      </c>
      <c r="L216">
        <f>IF(AND($K216="Cold",$B216&lt;&gt;"",$C216&gt;=EOMONTH('Cold Outreach'!$C$3,-1)+1,$C216&lt;=EOMONTH('Cold Outreach'!$C$3,0)),
IF(COUNTIFS($B$2:$B216,$B216,$K$2:$K216,"Cold",$C$2:$C216,"&gt;="&amp;EOMONTH('Cold Outreach'!$C$3,-1)+1,$C$2:$C216,"&lt;="&amp;EOMONTH('Cold Outreach'!$C$3,0))=1,1,0),
0)</f>
        <v>0</v>
      </c>
      <c r="M216">
        <f>IF(AND($K216="Cold",$B216&lt;&gt;"",$C216&gt;=EDATE(EOMONTH('Cold Outreach'!$C$3,-1)+1,-('Cold Outreach'!$N$2-1)),$C216&lt;=EOMONTH('Cold Outreach'!$C$3,0)),
IF(COUNTIFS($B$2:$B216,$B216,$K$2:$K216,"Cold",$C$2:$C216,"&gt;="&amp;EDATE(EOMONTH('Cold Outreach'!$C$3,-1)+1,-('Cold Outreach'!$N$2-1)),$C$2:$C216,"&lt;="&amp;EOMONTH('Cold Outreach'!$C$3,0))=1,1,0),
0)</f>
        <v>1</v>
      </c>
    </row>
    <row r="217" spans="1:13">
      <c r="A217" s="251" t="s">
        <v>5058</v>
      </c>
      <c r="B217" s="251" t="s">
        <v>5059</v>
      </c>
      <c r="C217" s="556">
        <v>46164</v>
      </c>
      <c r="D217" s="251" t="s">
        <v>4716</v>
      </c>
      <c r="E217" s="251" t="s">
        <v>4731</v>
      </c>
      <c r="F217" s="251" t="s">
        <v>4971</v>
      </c>
      <c r="G217" s="251" t="s">
        <v>4718</v>
      </c>
      <c r="H217" s="251" t="s">
        <v>4712</v>
      </c>
      <c r="I217" s="251" t="s">
        <v>30</v>
      </c>
      <c r="J217" s="251" t="s">
        <v>642</v>
      </c>
      <c r="K217" s="251" t="s">
        <v>30</v>
      </c>
      <c r="L217">
        <f>IF(AND($K217="Cold",$B217&lt;&gt;"",$C217&gt;=EOMONTH('Cold Outreach'!$C$3,-1)+1,$C217&lt;=EOMONTH('Cold Outreach'!$C$3,0)),
IF(COUNTIFS($B$2:$B217,$B217,$K$2:$K217,"Cold",$C$2:$C217,"&gt;="&amp;EOMONTH('Cold Outreach'!$C$3,-1)+1,$C$2:$C217,"&lt;="&amp;EOMONTH('Cold Outreach'!$C$3,0))=1,1,0),
0)</f>
        <v>0</v>
      </c>
      <c r="M217">
        <f>IF(AND($K217="Cold",$B217&lt;&gt;"",$C217&gt;=EDATE(EOMONTH('Cold Outreach'!$C$3,-1)+1,-('Cold Outreach'!$N$2-1)),$C217&lt;=EOMONTH('Cold Outreach'!$C$3,0)),
IF(COUNTIFS($B$2:$B217,$B217,$K$2:$K217,"Cold",$C$2:$C217,"&gt;="&amp;EDATE(EOMONTH('Cold Outreach'!$C$3,-1)+1,-('Cold Outreach'!$N$2-1)),$C$2:$C217,"&lt;="&amp;EOMONTH('Cold Outreach'!$C$3,0))=1,1,0),
0)</f>
        <v>1</v>
      </c>
    </row>
    <row r="218" spans="1:13">
      <c r="A218" s="251" t="s">
        <v>5060</v>
      </c>
      <c r="B218" s="251" t="s">
        <v>5061</v>
      </c>
      <c r="C218" s="556">
        <v>46169</v>
      </c>
      <c r="D218" s="251" t="s">
        <v>4716</v>
      </c>
      <c r="E218" s="251" t="s">
        <v>596</v>
      </c>
      <c r="F218" s="251" t="s">
        <v>401</v>
      </c>
      <c r="G218" s="251" t="s">
        <v>4718</v>
      </c>
      <c r="H218" s="251" t="s">
        <v>4712</v>
      </c>
      <c r="I218" s="251" t="s">
        <v>4720</v>
      </c>
      <c r="J218" s="251" t="s">
        <v>642</v>
      </c>
      <c r="K218" s="251" t="s">
        <v>30</v>
      </c>
      <c r="L218">
        <f>IF(AND($K218="Cold",$B218&lt;&gt;"",$C218&gt;=EOMONTH('Cold Outreach'!$C$3,-1)+1,$C218&lt;=EOMONTH('Cold Outreach'!$C$3,0)),
IF(COUNTIFS($B$2:$B218,$B218,$K$2:$K218,"Cold",$C$2:$C218,"&gt;="&amp;EOMONTH('Cold Outreach'!$C$3,-1)+1,$C$2:$C218,"&lt;="&amp;EOMONTH('Cold Outreach'!$C$3,0))=1,1,0),
0)</f>
        <v>0</v>
      </c>
      <c r="M218">
        <f>IF(AND($K218="Cold",$B218&lt;&gt;"",$C218&gt;=EDATE(EOMONTH('Cold Outreach'!$C$3,-1)+1,-('Cold Outreach'!$N$2-1)),$C218&lt;=EOMONTH('Cold Outreach'!$C$3,0)),
IF(COUNTIFS($B$2:$B218,$B218,$K$2:$K218,"Cold",$C$2:$C218,"&gt;="&amp;EDATE(EOMONTH('Cold Outreach'!$C$3,-1)+1,-('Cold Outreach'!$N$2-1)),$C$2:$C218,"&lt;="&amp;EOMONTH('Cold Outreach'!$C$3,0))=1,1,0),
0)</f>
        <v>1</v>
      </c>
    </row>
    <row r="219" spans="1:13">
      <c r="A219" s="251" t="s">
        <v>5062</v>
      </c>
      <c r="B219" s="251" t="s">
        <v>3313</v>
      </c>
      <c r="C219" s="556">
        <v>46176</v>
      </c>
      <c r="D219" s="251" t="s">
        <v>4716</v>
      </c>
      <c r="E219" s="251" t="s">
        <v>4717</v>
      </c>
      <c r="F219" s="251" t="s">
        <v>5057</v>
      </c>
      <c r="G219" s="251" t="s">
        <v>4757</v>
      </c>
      <c r="H219" s="251" t="s">
        <v>5013</v>
      </c>
      <c r="I219" s="251" t="s">
        <v>30</v>
      </c>
      <c r="J219" s="251" t="s">
        <v>6</v>
      </c>
      <c r="K219" s="251" t="s">
        <v>30</v>
      </c>
      <c r="L219">
        <f>IF(AND($K219="Cold",$B219&lt;&gt;"",$C219&gt;=EOMONTH('Cold Outreach'!$C$3,-1)+1,$C219&lt;=EOMONTH('Cold Outreach'!$C$3,0)),
IF(COUNTIFS($B$2:$B219,$B219,$K$2:$K219,"Cold",$C$2:$C219,"&gt;="&amp;EOMONTH('Cold Outreach'!$C$3,-1)+1,$C$2:$C219,"&lt;="&amp;EOMONTH('Cold Outreach'!$C$3,0))=1,1,0),
0)</f>
        <v>0</v>
      </c>
      <c r="M219">
        <f>IF(AND($K219="Cold",$B219&lt;&gt;"",$C219&gt;=EDATE(EOMONTH('Cold Outreach'!$C$3,-1)+1,-('Cold Outreach'!$N$2-1)),$C219&lt;=EOMONTH('Cold Outreach'!$C$3,0)),
IF(COUNTIFS($B$2:$B219,$B219,$K$2:$K219,"Cold",$C$2:$C219,"&gt;="&amp;EDATE(EOMONTH('Cold Outreach'!$C$3,-1)+1,-('Cold Outreach'!$N$2-1)),$C$2:$C219,"&lt;="&amp;EOMONTH('Cold Outreach'!$C$3,0))=1,1,0),
0)</f>
        <v>0</v>
      </c>
    </row>
    <row r="220" spans="1:13">
      <c r="A220" s="251" t="s">
        <v>5063</v>
      </c>
      <c r="B220" s="251" t="s">
        <v>5064</v>
      </c>
      <c r="C220" s="556">
        <v>46230</v>
      </c>
      <c r="D220" s="251" t="s">
        <v>4716</v>
      </c>
      <c r="E220" s="251" t="s">
        <v>587</v>
      </c>
      <c r="F220" s="251" t="s">
        <v>5057</v>
      </c>
      <c r="G220" s="251" t="s">
        <v>4718</v>
      </c>
      <c r="H220" s="251" t="s">
        <v>247</v>
      </c>
      <c r="I220" s="251" t="s">
        <v>30</v>
      </c>
      <c r="J220" s="251" t="s">
        <v>6</v>
      </c>
      <c r="K220" s="251" t="s">
        <v>30</v>
      </c>
      <c r="L220">
        <f>IF(AND($K220="Cold",$B220&lt;&gt;"",$C220&gt;=EOMONTH('Cold Outreach'!$C$3,-1)+1,$C220&lt;=EOMONTH('Cold Outreach'!$C$3,0)),
IF(COUNTIFS($B$2:$B220,$B220,$K$2:$K220,"Cold",$C$2:$C220,"&gt;="&amp;EOMONTH('Cold Outreach'!$C$3,-1)+1,$C$2:$C220,"&lt;="&amp;EOMONTH('Cold Outreach'!$C$3,0))=1,1,0),
0)</f>
        <v>1</v>
      </c>
      <c r="M220">
        <f>IF(AND($K220="Cold",$B220&lt;&gt;"",$C220&gt;=EDATE(EOMONTH('Cold Outreach'!$C$3,-1)+1,-('Cold Outreach'!$N$2-1)),$C220&lt;=EOMONTH('Cold Outreach'!$C$3,0)),
IF(COUNTIFS($B$2:$B220,$B220,$K$2:$K220,"Cold",$C$2:$C220,"&gt;="&amp;EDATE(EOMONTH('Cold Outreach'!$C$3,-1)+1,-('Cold Outreach'!$N$2-1)),$C$2:$C220,"&lt;="&amp;EOMONTH('Cold Outreach'!$C$3,0))=1,1,0),
0)</f>
        <v>1</v>
      </c>
    </row>
    <row r="221" spans="1:13">
      <c r="A221" s="251" t="s">
        <v>5065</v>
      </c>
      <c r="B221" s="251" t="s">
        <v>5066</v>
      </c>
      <c r="C221" s="556">
        <v>46190</v>
      </c>
      <c r="D221" s="251" t="s">
        <v>4716</v>
      </c>
      <c r="E221" s="251" t="s">
        <v>4731</v>
      </c>
      <c r="F221" s="251" t="s">
        <v>401</v>
      </c>
      <c r="G221" s="251" t="s">
        <v>4718</v>
      </c>
      <c r="H221" s="251" t="s">
        <v>247</v>
      </c>
      <c r="I221" s="251" t="s">
        <v>30</v>
      </c>
      <c r="J221" s="251" t="s">
        <v>642</v>
      </c>
      <c r="K221" s="251" t="s">
        <v>30</v>
      </c>
      <c r="L221">
        <f>IF(AND($K221="Cold",$B221&lt;&gt;"",$C221&gt;=EOMONTH('Cold Outreach'!$C$3,-1)+1,$C221&lt;=EOMONTH('Cold Outreach'!$C$3,0)),
IF(COUNTIFS($B$2:$B221,$B221,$K$2:$K221,"Cold",$C$2:$C221,"&gt;="&amp;EOMONTH('Cold Outreach'!$C$3,-1)+1,$C$2:$C221,"&lt;="&amp;EOMONTH('Cold Outreach'!$C$3,0))=1,1,0),
0)</f>
        <v>0</v>
      </c>
      <c r="M221">
        <f>IF(AND($K221="Cold",$B221&lt;&gt;"",$C221&gt;=EDATE(EOMONTH('Cold Outreach'!$C$3,-1)+1,-('Cold Outreach'!$N$2-1)),$C221&lt;=EOMONTH('Cold Outreach'!$C$3,0)),
IF(COUNTIFS($B$2:$B221,$B221,$K$2:$K221,"Cold",$C$2:$C221,"&gt;="&amp;EDATE(EOMONTH('Cold Outreach'!$C$3,-1)+1,-('Cold Outreach'!$N$2-1)),$C$2:$C221,"&lt;="&amp;EOMONTH('Cold Outreach'!$C$3,0))=1,1,0),
0)</f>
        <v>1</v>
      </c>
    </row>
    <row r="222" spans="1:13">
      <c r="A222" s="251" t="s">
        <v>5067</v>
      </c>
      <c r="B222" s="251" t="s">
        <v>5068</v>
      </c>
      <c r="C222" s="556">
        <v>46204</v>
      </c>
      <c r="D222" s="251" t="s">
        <v>4730</v>
      </c>
      <c r="E222" s="251" t="s">
        <v>587</v>
      </c>
      <c r="F222" s="251" t="s">
        <v>5057</v>
      </c>
      <c r="G222" s="251" t="s">
        <v>4718</v>
      </c>
      <c r="H222" s="251" t="s">
        <v>5069</v>
      </c>
      <c r="I222" s="251" t="s">
        <v>30</v>
      </c>
      <c r="J222" s="251" t="s">
        <v>642</v>
      </c>
      <c r="K222" s="251" t="s">
        <v>30</v>
      </c>
      <c r="L222">
        <f>IF(AND($K222="Cold",$B222&lt;&gt;"",$C222&gt;=EOMONTH('Cold Outreach'!$C$3,-1)+1,$C222&lt;=EOMONTH('Cold Outreach'!$C$3,0)),
IF(COUNTIFS($B$2:$B251,$B222,$K$2:$K251,"Cold",$C$2:$C251,"&gt;="&amp;EOMONTH('Cold Outreach'!$C$3,-1)+1,$C$2:$C251,"&lt;="&amp;EOMONTH('Cold Outreach'!$C$3,0))=1,1,0),
0)</f>
        <v>1</v>
      </c>
      <c r="M222">
        <f>IF(AND($K222="Cold",$B222&lt;&gt;"",$C222&gt;=EDATE(EOMONTH('Cold Outreach'!$C$3,-1)+1,-('Cold Outreach'!$N$2-1)),$C222&lt;=EOMONTH('Cold Outreach'!$C$3,0)),
IF(COUNTIFS($B$2:$B251,$B222,$K$2:$K251,"Cold",$C$2:$C251,"&gt;="&amp;EDATE(EOMONTH('Cold Outreach'!$C$3,-1)+1,-('Cold Outreach'!$N$2-1)),$C$2:$C251,"&lt;="&amp;EOMONTH('Cold Outreach'!$C$3,0))=1,1,0),
0)</f>
        <v>1</v>
      </c>
    </row>
    <row r="223" spans="1:13">
      <c r="A223" s="553" t="s">
        <v>5003</v>
      </c>
      <c r="B223" s="553" t="s">
        <v>1804</v>
      </c>
      <c r="C223" s="556">
        <v>46114</v>
      </c>
      <c r="D223" s="251"/>
      <c r="E223" s="251"/>
      <c r="F223" s="251" t="s">
        <v>4809</v>
      </c>
      <c r="G223" s="251" t="s">
        <v>4718</v>
      </c>
      <c r="H223" s="251" t="s">
        <v>4712</v>
      </c>
      <c r="I223" s="251"/>
      <c r="J223" s="251"/>
      <c r="K223" s="251" t="s">
        <v>30</v>
      </c>
      <c r="L223">
        <f>IF(AND($K223="Cold",$B223&lt;&gt;"",$C223&gt;=EOMONTH('Cold Outreach'!$C$3,-1)+1,$C223&lt;=EOMONTH('Cold Outreach'!$C$3,0)),
IF(COUNTIFS($B$2:$B223,$B223,$K$2:$K223,"Cold",$C$2:$C223,"&gt;="&amp;EOMONTH('Cold Outreach'!$C$3,-1)+1,$C$2:$C223,"&lt;="&amp;EOMONTH('Cold Outreach'!$C$3,0))=1,1,0),
0)</f>
        <v>0</v>
      </c>
      <c r="M223">
        <f>IF(AND($K223="Cold",$B223&lt;&gt;"",$C223&gt;=EDATE(EOMONTH('Cold Outreach'!$C$3,-1)+1,-('Cold Outreach'!$N$2-1)),$C223&lt;=EOMONTH('Cold Outreach'!$C$3,0)),
IF(COUNTIFS($B$2:$B223,$B223,$K$2:$K223,"Cold",$C$2:$C223,"&gt;="&amp;EDATE(EOMONTH('Cold Outreach'!$C$3,-1)+1,-('Cold Outreach'!$N$2-1)),$C$2:$C223,"&lt;="&amp;EOMONTH('Cold Outreach'!$C$3,0))=1,1,0),
0)</f>
        <v>0</v>
      </c>
    </row>
    <row r="224" spans="1:13">
      <c r="A224" s="584" t="s">
        <v>4913</v>
      </c>
      <c r="B224" s="584" t="s">
        <v>4914</v>
      </c>
      <c r="C224" s="556">
        <v>46128</v>
      </c>
      <c r="D224" s="251"/>
      <c r="E224" s="251"/>
      <c r="F224" s="251" t="s">
        <v>4809</v>
      </c>
      <c r="G224" s="251" t="s">
        <v>4757</v>
      </c>
      <c r="H224" s="251" t="s">
        <v>4721</v>
      </c>
      <c r="I224" s="251"/>
      <c r="J224" s="251"/>
      <c r="K224" s="251" t="s">
        <v>30</v>
      </c>
      <c r="L224">
        <f>IF(AND($K224="Cold",$B224&lt;&gt;"",$C224&gt;=EOMONTH('Cold Outreach'!$C$3,-1)+1,$C224&lt;=EOMONTH('Cold Outreach'!$C$3,0)),
IF(COUNTIFS($B$2:$B224,$B224,$K$2:$K224,"Cold",$C$2:$C224,"&gt;="&amp;EOMONTH('Cold Outreach'!$C$3,-1)+1,$C$2:$C224,"&lt;="&amp;EOMONTH('Cold Outreach'!$C$3,0))=1,1,0),
0)</f>
        <v>0</v>
      </c>
      <c r="M224">
        <f>IF(AND($K224="Cold",$B224&lt;&gt;"",$C224&gt;=EDATE(EOMONTH('Cold Outreach'!$C$3,-1)+1,-('Cold Outreach'!$N$2-1)),$C224&lt;=EOMONTH('Cold Outreach'!$C$3,0)),
IF(COUNTIFS($B$2:$B224,$B224,$K$2:$K224,"Cold",$C$2:$C224,"&gt;="&amp;EDATE(EOMONTH('Cold Outreach'!$C$3,-1)+1,-('Cold Outreach'!$N$2-1)),$C$2:$C224,"&lt;="&amp;EOMONTH('Cold Outreach'!$C$3,0))=1,1,0),
0)</f>
        <v>0</v>
      </c>
    </row>
    <row r="225" spans="1:13">
      <c r="A225" s="553" t="s">
        <v>5004</v>
      </c>
      <c r="B225" s="553" t="s">
        <v>4914</v>
      </c>
      <c r="C225" s="556">
        <v>46133</v>
      </c>
      <c r="D225" s="251"/>
      <c r="E225" s="251"/>
      <c r="F225" s="251" t="s">
        <v>4809</v>
      </c>
      <c r="G225" s="251" t="s">
        <v>4718</v>
      </c>
      <c r="H225" s="251" t="s">
        <v>4712</v>
      </c>
      <c r="I225" s="251"/>
      <c r="J225" s="251"/>
      <c r="K225" s="251" t="s">
        <v>30</v>
      </c>
      <c r="L225">
        <f>IF(AND($K225="Cold",$B225&lt;&gt;"",$C225&gt;=EOMONTH('Cold Outreach'!$C$3,-1)+1,$C225&lt;=EOMONTH('Cold Outreach'!$C$3,0)),
IF(COUNTIFS($B$2:$B225,$B225,$K$2:$K225,"Cold",$C$2:$C225,"&gt;="&amp;EOMONTH('Cold Outreach'!$C$3,-1)+1,$C$2:$C225,"&lt;="&amp;EOMONTH('Cold Outreach'!$C$3,0))=1,1,0),
0)</f>
        <v>0</v>
      </c>
      <c r="M225">
        <f>IF(AND($K225="Cold",$B225&lt;&gt;"",$C225&gt;=EDATE(EOMONTH('Cold Outreach'!$C$3,-1)+1,-('Cold Outreach'!$N$2-1)),$C225&lt;=EOMONTH('Cold Outreach'!$C$3,0)),
IF(COUNTIFS($B$2:$B225,$B225,$K$2:$K225,"Cold",$C$2:$C225,"&gt;="&amp;EDATE(EOMONTH('Cold Outreach'!$C$3,-1)+1,-('Cold Outreach'!$N$2-1)),$C$2:$C225,"&lt;="&amp;EOMONTH('Cold Outreach'!$C$3,0))=1,1,0),
0)</f>
        <v>0</v>
      </c>
    </row>
    <row r="226" spans="1:13">
      <c r="A226" s="553" t="s">
        <v>5070</v>
      </c>
      <c r="B226" s="553" t="s">
        <v>4914</v>
      </c>
      <c r="C226" s="556">
        <v>46133</v>
      </c>
      <c r="D226" s="251"/>
      <c r="E226" s="251"/>
      <c r="F226" s="251" t="s">
        <v>4809</v>
      </c>
      <c r="G226" s="251" t="s">
        <v>4718</v>
      </c>
      <c r="H226" s="251" t="s">
        <v>4712</v>
      </c>
      <c r="I226" s="251"/>
      <c r="J226" s="251"/>
      <c r="K226" s="251" t="s">
        <v>30</v>
      </c>
      <c r="L226">
        <f>IF(AND($K226="Cold",$B226&lt;&gt;"",$C226&gt;=EOMONTH('Cold Outreach'!$C$3,-1)+1,$C226&lt;=EOMONTH('Cold Outreach'!$C$3,0)),
IF(COUNTIFS($B$2:$B226,$B226,$K$2:$K226,"Cold",$C$2:$C226,"&gt;="&amp;EOMONTH('Cold Outreach'!$C$3,-1)+1,$C$2:$C226,"&lt;="&amp;EOMONTH('Cold Outreach'!$C$3,0))=1,1,0),
0)</f>
        <v>0</v>
      </c>
      <c r="M226">
        <f>IF(AND($K226="Cold",$B226&lt;&gt;"",$C226&gt;=EDATE(EOMONTH('Cold Outreach'!$C$3,-1)+1,-('Cold Outreach'!$N$2-1)),$C226&lt;=EOMONTH('Cold Outreach'!$C$3,0)),
IF(COUNTIFS($B$2:$B226,$B226,$K$2:$K226,"Cold",$C$2:$C226,"&gt;="&amp;EDATE(EOMONTH('Cold Outreach'!$C$3,-1)+1,-('Cold Outreach'!$N$2-1)),$C$2:$C226,"&lt;="&amp;EOMONTH('Cold Outreach'!$C$3,0))=1,1,0),
0)</f>
        <v>0</v>
      </c>
    </row>
    <row r="227" spans="1:13">
      <c r="A227" s="553" t="s">
        <v>5071</v>
      </c>
      <c r="B227" s="553" t="s">
        <v>2906</v>
      </c>
      <c r="C227" s="556">
        <v>46135</v>
      </c>
      <c r="D227" s="251"/>
      <c r="E227" s="251"/>
      <c r="F227" s="251" t="s">
        <v>4809</v>
      </c>
      <c r="G227" s="251" t="s">
        <v>4757</v>
      </c>
      <c r="H227" s="251" t="s">
        <v>4712</v>
      </c>
      <c r="I227" s="251"/>
      <c r="J227" s="251"/>
      <c r="K227" s="251" t="s">
        <v>30</v>
      </c>
      <c r="L227">
        <f>IF(AND($K227="Cold",$B227&lt;&gt;"",$C227&gt;=EOMONTH('Cold Outreach'!$C$3,-1)+1,$C227&lt;=EOMONTH('Cold Outreach'!$C$3,0)),
IF(COUNTIFS($B$2:$B227,$B227,$K$2:$K227,"Cold",$C$2:$C227,"&gt;="&amp;EOMONTH('Cold Outreach'!$C$3,-1)+1,$C$2:$C227,"&lt;="&amp;EOMONTH('Cold Outreach'!$C$3,0))=1,1,0),
0)</f>
        <v>0</v>
      </c>
      <c r="M227">
        <f>IF(AND($K227="Cold",$B227&lt;&gt;"",$C227&gt;=EDATE(EOMONTH('Cold Outreach'!$C$3,-1)+1,-('Cold Outreach'!$N$2-1)),$C227&lt;=EOMONTH('Cold Outreach'!$C$3,0)),
IF(COUNTIFS($B$2:$B227,$B227,$K$2:$K227,"Cold",$C$2:$C227,"&gt;="&amp;EDATE(EOMONTH('Cold Outreach'!$C$3,-1)+1,-('Cold Outreach'!$N$2-1)),$C$2:$C227,"&lt;="&amp;EOMONTH('Cold Outreach'!$C$3,0))=1,1,0),
0)</f>
        <v>0</v>
      </c>
    </row>
    <row r="228" spans="1:13">
      <c r="A228" s="553" t="s">
        <v>5072</v>
      </c>
      <c r="B228" s="553" t="s">
        <v>2906</v>
      </c>
      <c r="C228" s="556">
        <v>46135</v>
      </c>
      <c r="D228" s="251"/>
      <c r="E228" s="251"/>
      <c r="F228" s="251" t="s">
        <v>4809</v>
      </c>
      <c r="G228" s="251" t="s">
        <v>4718</v>
      </c>
      <c r="H228" s="251" t="s">
        <v>4712</v>
      </c>
      <c r="I228" s="251"/>
      <c r="J228" s="251"/>
      <c r="K228" s="251" t="s">
        <v>30</v>
      </c>
      <c r="L228">
        <f>IF(AND($K228="Cold",$B228&lt;&gt;"",$C228&gt;=EOMONTH('Cold Outreach'!$C$3,-1)+1,$C228&lt;=EOMONTH('Cold Outreach'!$C$3,0)),
IF(COUNTIFS($B$2:$B228,$B228,$K$2:$K228,"Cold",$C$2:$C228,"&gt;="&amp;EOMONTH('Cold Outreach'!$C$3,-1)+1,$C$2:$C228,"&lt;="&amp;EOMONTH('Cold Outreach'!$C$3,0))=1,1,0),
0)</f>
        <v>0</v>
      </c>
      <c r="M228">
        <f>IF(AND($K228="Cold",$B228&lt;&gt;"",$C228&gt;=EDATE(EOMONTH('Cold Outreach'!$C$3,-1)+1,-('Cold Outreach'!$N$2-1)),$C228&lt;=EOMONTH('Cold Outreach'!$C$3,0)),
IF(COUNTIFS($B$2:$B228,$B228,$K$2:$K228,"Cold",$C$2:$C228,"&gt;="&amp;EDATE(EOMONTH('Cold Outreach'!$C$3,-1)+1,-('Cold Outreach'!$N$2-1)),$C$2:$C228,"&lt;="&amp;EOMONTH('Cold Outreach'!$C$3,0))=1,1,0),
0)</f>
        <v>0</v>
      </c>
    </row>
    <row r="229" spans="1:13">
      <c r="A229" s="553" t="s">
        <v>4881</v>
      </c>
      <c r="B229" s="553" t="s">
        <v>4830</v>
      </c>
      <c r="C229" s="556">
        <v>46136</v>
      </c>
      <c r="D229" s="251"/>
      <c r="E229" s="251"/>
      <c r="F229" s="251" t="s">
        <v>4809</v>
      </c>
      <c r="G229" s="251" t="s">
        <v>4718</v>
      </c>
      <c r="H229" s="251" t="s">
        <v>4712</v>
      </c>
      <c r="I229" s="251"/>
      <c r="J229" s="251"/>
      <c r="K229" s="251" t="s">
        <v>30</v>
      </c>
      <c r="L229">
        <f>IF(AND($K229="Cold",$B229&lt;&gt;"",$C229&gt;=EOMONTH('Cold Outreach'!$C$3,-1)+1,$C229&lt;=EOMONTH('Cold Outreach'!$C$3,0)),
IF(COUNTIFS($B$2:$B229,$B229,$K$2:$K229,"Cold",$C$2:$C229,"&gt;="&amp;EOMONTH('Cold Outreach'!$C$3,-1)+1,$C$2:$C229,"&lt;="&amp;EOMONTH('Cold Outreach'!$C$3,0))=1,1,0),
0)</f>
        <v>0</v>
      </c>
      <c r="M229">
        <f>IF(AND($K229="Cold",$B229&lt;&gt;"",$C229&gt;=EDATE(EOMONTH('Cold Outreach'!$C$3,-1)+1,-('Cold Outreach'!$N$2-1)),$C229&lt;=EOMONTH('Cold Outreach'!$C$3,0)),
IF(COUNTIFS($B$2:$B229,$B229,$K$2:$K229,"Cold",$C$2:$C229,"&gt;="&amp;EDATE(EOMONTH('Cold Outreach'!$C$3,-1)+1,-('Cold Outreach'!$N$2-1)),$C$2:$C229,"&lt;="&amp;EOMONTH('Cold Outreach'!$C$3,0))=1,1,0),
0)</f>
        <v>0</v>
      </c>
    </row>
    <row r="230" spans="1:13">
      <c r="A230" s="553" t="s">
        <v>4911</v>
      </c>
      <c r="B230" s="553" t="s">
        <v>4912</v>
      </c>
      <c r="C230" s="556">
        <v>46140</v>
      </c>
      <c r="D230" s="251"/>
      <c r="E230" s="251"/>
      <c r="F230" s="251" t="s">
        <v>4809</v>
      </c>
      <c r="G230" s="251" t="s">
        <v>4718</v>
      </c>
      <c r="H230" s="251" t="s">
        <v>4712</v>
      </c>
      <c r="I230" s="251"/>
      <c r="J230" s="251"/>
      <c r="K230" s="251" t="s">
        <v>30</v>
      </c>
      <c r="L230">
        <f>IF(AND($K230="Cold",$B230&lt;&gt;"",$C230&gt;=EOMONTH('Cold Outreach'!$C$3,-1)+1,$C230&lt;=EOMONTH('Cold Outreach'!$C$3,0)),
IF(COUNTIFS($B$2:$B230,$B230,$K$2:$K230,"Cold",$C$2:$C230,"&gt;="&amp;EOMONTH('Cold Outreach'!$C$3,-1)+1,$C$2:$C230,"&lt;="&amp;EOMONTH('Cold Outreach'!$C$3,0))=1,1,0),
0)</f>
        <v>0</v>
      </c>
      <c r="M230">
        <f>IF(AND($K230="Cold",$B230&lt;&gt;"",$C230&gt;=EDATE(EOMONTH('Cold Outreach'!$C$3,-1)+1,-('Cold Outreach'!$N$2-1)),$C230&lt;=EOMONTH('Cold Outreach'!$C$3,0)),
IF(COUNTIFS($B$2:$B230,$B230,$K$2:$K230,"Cold",$C$2:$C230,"&gt;="&amp;EDATE(EOMONTH('Cold Outreach'!$C$3,-1)+1,-('Cold Outreach'!$N$2-1)),$C$2:$C230,"&lt;="&amp;EOMONTH('Cold Outreach'!$C$3,0))=1,1,0),
0)</f>
        <v>0</v>
      </c>
    </row>
    <row r="231" spans="1:13">
      <c r="A231" s="553" t="s">
        <v>5073</v>
      </c>
      <c r="B231" s="553" t="s">
        <v>5074</v>
      </c>
      <c r="C231" s="556">
        <v>46140</v>
      </c>
      <c r="D231" s="251"/>
      <c r="E231" s="251"/>
      <c r="F231" s="251" t="s">
        <v>4809</v>
      </c>
      <c r="G231" s="251" t="s">
        <v>4718</v>
      </c>
      <c r="H231" s="251" t="s">
        <v>4712</v>
      </c>
      <c r="I231" s="251"/>
      <c r="J231" s="251"/>
      <c r="K231" s="251" t="s">
        <v>30</v>
      </c>
      <c r="L231">
        <f>IF(AND($K231="Cold",$B231&lt;&gt;"",$C231&gt;=EOMONTH('Cold Outreach'!$C$3,-1)+1,$C231&lt;=EOMONTH('Cold Outreach'!$C$3,0)),
IF(COUNTIFS($B$2:$B231,$B231,$K$2:$K231,"Cold",$C$2:$C231,"&gt;="&amp;EOMONTH('Cold Outreach'!$C$3,-1)+1,$C$2:$C231,"&lt;="&amp;EOMONTH('Cold Outreach'!$C$3,0))=1,1,0),
0)</f>
        <v>0</v>
      </c>
      <c r="M231">
        <f>IF(AND($K231="Cold",$B231&lt;&gt;"",$C231&gt;=EDATE(EOMONTH('Cold Outreach'!$C$3,-1)+1,-('Cold Outreach'!$N$2-1)),$C231&lt;=EOMONTH('Cold Outreach'!$C$3,0)),
IF(COUNTIFS($B$2:$B231,$B231,$K$2:$K231,"Cold",$C$2:$C231,"&gt;="&amp;EDATE(EOMONTH('Cold Outreach'!$C$3,-1)+1,-('Cold Outreach'!$N$2-1)),$C$2:$C231,"&lt;="&amp;EOMONTH('Cold Outreach'!$C$3,0))=1,1,0),
0)</f>
        <v>1</v>
      </c>
    </row>
    <row r="232" spans="1:13">
      <c r="A232" s="553" t="s">
        <v>5075</v>
      </c>
      <c r="B232" s="553" t="s">
        <v>2453</v>
      </c>
      <c r="C232" s="556">
        <v>46140</v>
      </c>
      <c r="D232" s="251"/>
      <c r="E232" s="251"/>
      <c r="F232" s="251" t="s">
        <v>4809</v>
      </c>
      <c r="G232" s="251" t="s">
        <v>4718</v>
      </c>
      <c r="H232" s="251" t="s">
        <v>4712</v>
      </c>
      <c r="I232" s="251"/>
      <c r="J232" s="251"/>
      <c r="K232" s="251" t="s">
        <v>1473</v>
      </c>
      <c r="L232">
        <f>IF(AND($K232="Cold",$B232&lt;&gt;"",$C232&gt;=EOMONTH('Cold Outreach'!$C$3,-1)+1,$C232&lt;=EOMONTH('Cold Outreach'!$C$3,0)),
IF(COUNTIFS($B$2:$B232,$B232,$K$2:$K232,"Cold",$C$2:$C232,"&gt;="&amp;EOMONTH('Cold Outreach'!$C$3,-1)+1,$C$2:$C232,"&lt;="&amp;EOMONTH('Cold Outreach'!$C$3,0))=1,1,0),
0)</f>
        <v>0</v>
      </c>
      <c r="M232">
        <f>IF(AND($K232="Cold",$B232&lt;&gt;"",$C232&gt;=EDATE(EOMONTH('Cold Outreach'!$C$3,-1)+1,-('Cold Outreach'!$N$2-1)),$C232&lt;=EOMONTH('Cold Outreach'!$C$3,0)),
IF(COUNTIFS($B$2:$B232,$B232,$K$2:$K232,"Cold",$C$2:$C232,"&gt;="&amp;EDATE(EOMONTH('Cold Outreach'!$C$3,-1)+1,-('Cold Outreach'!$N$2-1)),$C$2:$C232,"&lt;="&amp;EOMONTH('Cold Outreach'!$C$3,0))=1,1,0),
0)</f>
        <v>0</v>
      </c>
    </row>
    <row r="233" spans="1:13">
      <c r="A233" s="553" t="s">
        <v>5076</v>
      </c>
      <c r="B233" s="553" t="s">
        <v>5077</v>
      </c>
      <c r="C233" s="556">
        <v>46154</v>
      </c>
      <c r="D233" s="251"/>
      <c r="E233" s="251"/>
      <c r="F233" s="251" t="s">
        <v>4809</v>
      </c>
      <c r="G233" s="251" t="s">
        <v>4718</v>
      </c>
      <c r="H233" s="251" t="s">
        <v>4712</v>
      </c>
      <c r="I233" s="251"/>
      <c r="J233" s="251"/>
      <c r="K233" s="251" t="s">
        <v>1473</v>
      </c>
      <c r="L233">
        <f>IF(AND($K233="Cold",$B233&lt;&gt;"",$C233&gt;=EOMONTH('Cold Outreach'!$C$3,-1)+1,$C233&lt;=EOMONTH('Cold Outreach'!$C$3,0)),
IF(COUNTIFS($B$2:$B233,$B233,$K$2:$K233,"Cold",$C$2:$C233,"&gt;="&amp;EOMONTH('Cold Outreach'!$C$3,-1)+1,$C$2:$C233,"&lt;="&amp;EOMONTH('Cold Outreach'!$C$3,0))=1,1,0),
0)</f>
        <v>0</v>
      </c>
      <c r="M233">
        <f>IF(AND($K233="Cold",$B233&lt;&gt;"",$C233&gt;=EDATE(EOMONTH('Cold Outreach'!$C$3,-1)+1,-('Cold Outreach'!$N$2-1)),$C233&lt;=EOMONTH('Cold Outreach'!$C$3,0)),
IF(COUNTIFS($B$2:$B233,$B233,$K$2:$K233,"Cold",$C$2:$C233,"&gt;="&amp;EDATE(EOMONTH('Cold Outreach'!$C$3,-1)+1,-('Cold Outreach'!$N$2-1)),$C$2:$C233,"&lt;="&amp;EOMONTH('Cold Outreach'!$C$3,0))=1,1,0),
0)</f>
        <v>0</v>
      </c>
    </row>
    <row r="234" spans="1:13">
      <c r="A234" s="553" t="s">
        <v>5078</v>
      </c>
      <c r="B234" s="553" t="s">
        <v>4830</v>
      </c>
      <c r="C234" s="556">
        <v>46154</v>
      </c>
      <c r="D234" s="251"/>
      <c r="E234" s="251"/>
      <c r="F234" s="251" t="s">
        <v>4809</v>
      </c>
      <c r="G234" s="251" t="s">
        <v>4718</v>
      </c>
      <c r="H234" s="251" t="s">
        <v>4712</v>
      </c>
      <c r="I234" s="251"/>
      <c r="J234" s="251"/>
      <c r="K234" s="251" t="s">
        <v>1473</v>
      </c>
      <c r="L234">
        <f>IF(AND($K234="Cold",$B234&lt;&gt;"",$C234&gt;=EOMONTH('Cold Outreach'!$C$3,-1)+1,$C234&lt;=EOMONTH('Cold Outreach'!$C$3,0)),
IF(COUNTIFS($B$2:$B234,$B234,$K$2:$K234,"Cold",$C$2:$C234,"&gt;="&amp;EOMONTH('Cold Outreach'!$C$3,-1)+1,$C$2:$C234,"&lt;="&amp;EOMONTH('Cold Outreach'!$C$3,0))=1,1,0),
0)</f>
        <v>0</v>
      </c>
      <c r="M234">
        <f>IF(AND($K234="Cold",$B234&lt;&gt;"",$C234&gt;=EDATE(EOMONTH('Cold Outreach'!$C$3,-1)+1,-('Cold Outreach'!$N$2-1)),$C234&lt;=EOMONTH('Cold Outreach'!$C$3,0)),
IF(COUNTIFS($B$2:$B234,$B234,$K$2:$K234,"Cold",$C$2:$C234,"&gt;="&amp;EDATE(EOMONTH('Cold Outreach'!$C$3,-1)+1,-('Cold Outreach'!$N$2-1)),$C$2:$C234,"&lt;="&amp;EOMONTH('Cold Outreach'!$C$3,0))=1,1,0),
0)</f>
        <v>0</v>
      </c>
    </row>
    <row r="235" spans="1:13">
      <c r="A235" s="582" t="s">
        <v>5079</v>
      </c>
      <c r="B235" s="582" t="s">
        <v>5080</v>
      </c>
      <c r="C235" s="556">
        <v>46160</v>
      </c>
      <c r="D235" s="251"/>
      <c r="E235" s="251"/>
      <c r="F235" s="251" t="s">
        <v>4809</v>
      </c>
      <c r="G235" s="251" t="s">
        <v>4718</v>
      </c>
      <c r="H235" s="251" t="s">
        <v>4712</v>
      </c>
      <c r="I235" s="251"/>
      <c r="J235" s="251"/>
      <c r="K235" s="251" t="s">
        <v>30</v>
      </c>
      <c r="L235">
        <f>IF(AND($K235="Cold",$B235&lt;&gt;"",$C235&gt;=EOMONTH('Cold Outreach'!$C$3,-1)+1,$C235&lt;=EOMONTH('Cold Outreach'!$C$3,0)),
IF(COUNTIFS($B$2:$B235,$B235,$K$2:$K235,"Cold",$C$2:$C235,"&gt;="&amp;EOMONTH('Cold Outreach'!$C$3,-1)+1,$C$2:$C235,"&lt;="&amp;EOMONTH('Cold Outreach'!$C$3,0))=1,1,0),
0)</f>
        <v>0</v>
      </c>
      <c r="M235">
        <f>IF(AND($K235="Cold",$B235&lt;&gt;"",$C235&gt;=EDATE(EOMONTH('Cold Outreach'!$C$3,-1)+1,-('Cold Outreach'!$N$2-1)),$C235&lt;=EOMONTH('Cold Outreach'!$C$3,0)),
IF(COUNTIFS($B$2:$B235,$B235,$K$2:$K235,"Cold",$C$2:$C235,"&gt;="&amp;EDATE(EOMONTH('Cold Outreach'!$C$3,-1)+1,-('Cold Outreach'!$N$2-1)),$C$2:$C235,"&lt;="&amp;EOMONTH('Cold Outreach'!$C$3,0))=1,1,0),
0)</f>
        <v>1</v>
      </c>
    </row>
    <row r="236" spans="1:13">
      <c r="A236" s="582" t="s">
        <v>5081</v>
      </c>
      <c r="B236" s="582" t="s">
        <v>1808</v>
      </c>
      <c r="C236" s="556">
        <v>46161</v>
      </c>
      <c r="D236" s="251"/>
      <c r="E236" s="251"/>
      <c r="F236" s="251" t="s">
        <v>4809</v>
      </c>
      <c r="G236" s="251" t="s">
        <v>4718</v>
      </c>
      <c r="H236" s="251" t="s">
        <v>4712</v>
      </c>
      <c r="I236" s="251"/>
      <c r="J236" s="251"/>
      <c r="K236" s="251" t="s">
        <v>30</v>
      </c>
      <c r="L236">
        <f>IF(AND($K236="Cold",$B236&lt;&gt;"",$C236&gt;=EOMONTH('Cold Outreach'!$C$3,-1)+1,$C236&lt;=EOMONTH('Cold Outreach'!$C$3,0)),
IF(COUNTIFS($B$2:$B236,$B236,$K$2:$K236,"Cold",$C$2:$C236,"&gt;="&amp;EOMONTH('Cold Outreach'!$C$3,-1)+1,$C$2:$C236,"&lt;="&amp;EOMONTH('Cold Outreach'!$C$3,0))=1,1,0),
0)</f>
        <v>0</v>
      </c>
      <c r="M236">
        <f>IF(AND($K236="Cold",$B236&lt;&gt;"",$C236&gt;=EDATE(EOMONTH('Cold Outreach'!$C$3,-1)+1,-('Cold Outreach'!$N$2-1)),$C236&lt;=EOMONTH('Cold Outreach'!$C$3,0)),
IF(COUNTIFS($B$2:$B236,$B236,$K$2:$K236,"Cold",$C$2:$C236,"&gt;="&amp;EDATE(EOMONTH('Cold Outreach'!$C$3,-1)+1,-('Cold Outreach'!$N$2-1)),$C$2:$C236,"&lt;="&amp;EOMONTH('Cold Outreach'!$C$3,0))=1,1,0),
0)</f>
        <v>1</v>
      </c>
    </row>
    <row r="237" spans="1:13">
      <c r="A237" s="582" t="s">
        <v>5082</v>
      </c>
      <c r="B237" s="582" t="s">
        <v>3632</v>
      </c>
      <c r="C237" s="556">
        <v>46175</v>
      </c>
      <c r="D237" s="251"/>
      <c r="E237" s="251"/>
      <c r="F237" s="251" t="s">
        <v>4809</v>
      </c>
      <c r="G237" s="251" t="s">
        <v>4718</v>
      </c>
      <c r="H237" s="251" t="s">
        <v>4712</v>
      </c>
      <c r="I237" s="251"/>
      <c r="J237" s="251"/>
      <c r="K237" s="251" t="s">
        <v>30</v>
      </c>
      <c r="L237">
        <f>IF(AND($K237="Cold",$B237&lt;&gt;"",$C237&gt;=EOMONTH('Cold Outreach'!$C$3,-1)+1,$C237&lt;=EOMONTH('Cold Outreach'!$C$3,0)),
IF(COUNTIFS($B$2:$B237,$B237,$K$2:$K237,"Cold",$C$2:$C237,"&gt;="&amp;EOMONTH('Cold Outreach'!$C$3,-1)+1,$C$2:$C237,"&lt;="&amp;EOMONTH('Cold Outreach'!$C$3,0))=1,1,0),
0)</f>
        <v>0</v>
      </c>
      <c r="M237">
        <f>IF(AND($K237="Cold",$B237&lt;&gt;"",$C237&gt;=EDATE(EOMONTH('Cold Outreach'!$C$3,-1)+1,-('Cold Outreach'!$N$2-1)),$C237&lt;=EOMONTH('Cold Outreach'!$C$3,0)),
IF(COUNTIFS($B$2:$B237,$B237,$K$2:$K237,"Cold",$C$2:$C237,"&gt;="&amp;EDATE(EOMONTH('Cold Outreach'!$C$3,-1)+1,-('Cold Outreach'!$N$2-1)),$C$2:$C237,"&lt;="&amp;EOMONTH('Cold Outreach'!$C$3,0))=1,1,0),
0)</f>
        <v>0</v>
      </c>
    </row>
    <row r="238" spans="1:13">
      <c r="A238" s="582" t="s">
        <v>5083</v>
      </c>
      <c r="B238" s="582" t="s">
        <v>5084</v>
      </c>
      <c r="C238" s="556">
        <v>46175</v>
      </c>
      <c r="D238" s="251"/>
      <c r="E238" s="251"/>
      <c r="F238" s="251" t="s">
        <v>4809</v>
      </c>
      <c r="G238" s="251" t="s">
        <v>4718</v>
      </c>
      <c r="H238" s="251" t="s">
        <v>4712</v>
      </c>
      <c r="I238" s="251"/>
      <c r="J238" s="251"/>
      <c r="K238" s="251" t="s">
        <v>30</v>
      </c>
      <c r="L238">
        <f>IF(AND($K238="Cold",$B238&lt;&gt;"",$C238&gt;=EOMONTH('Cold Outreach'!$C$3,-1)+1,$C238&lt;=EOMONTH('Cold Outreach'!$C$3,0)),
IF(COUNTIFS($B$2:$B238,$B238,$K$2:$K238,"Cold",$C$2:$C238,"&gt;="&amp;EOMONTH('Cold Outreach'!$C$3,-1)+1,$C$2:$C238,"&lt;="&amp;EOMONTH('Cold Outreach'!$C$3,0))=1,1,0),
0)</f>
        <v>0</v>
      </c>
      <c r="M238">
        <f>IF(AND($K238="Cold",$B238&lt;&gt;"",$C238&gt;=EDATE(EOMONTH('Cold Outreach'!$C$3,-1)+1,-('Cold Outreach'!$N$2-1)),$C238&lt;=EOMONTH('Cold Outreach'!$C$3,0)),
IF(COUNTIFS($B$2:$B238,$B238,$K$2:$K238,"Cold",$C$2:$C238,"&gt;="&amp;EDATE(EOMONTH('Cold Outreach'!$C$3,-1)+1,-('Cold Outreach'!$N$2-1)),$C$2:$C238,"&lt;="&amp;EOMONTH('Cold Outreach'!$C$3,0))=1,1,0),
0)</f>
        <v>1</v>
      </c>
    </row>
    <row r="239" spans="1:13">
      <c r="A239" s="553" t="s">
        <v>4946</v>
      </c>
      <c r="B239" s="553" t="s">
        <v>4947</v>
      </c>
      <c r="C239" s="556">
        <v>46176</v>
      </c>
      <c r="D239" s="251"/>
      <c r="E239" s="251"/>
      <c r="F239" s="251" t="s">
        <v>4809</v>
      </c>
      <c r="G239" s="251" t="s">
        <v>4718</v>
      </c>
      <c r="H239" s="251" t="s">
        <v>4712</v>
      </c>
      <c r="I239" s="251"/>
      <c r="J239" s="251"/>
      <c r="K239" s="251" t="s">
        <v>30</v>
      </c>
      <c r="L239">
        <f>IF(AND($K239="Cold",$B239&lt;&gt;"",$C239&gt;=EOMONTH('Cold Outreach'!$C$3,-1)+1,$C239&lt;=EOMONTH('Cold Outreach'!$C$3,0)),
IF(COUNTIFS($B$2:$B239,$B239,$K$2:$K239,"Cold",$C$2:$C239,"&gt;="&amp;EOMONTH('Cold Outreach'!$C$3,-1)+1,$C$2:$C239,"&lt;="&amp;EOMONTH('Cold Outreach'!$C$3,0))=1,1,0),
0)</f>
        <v>0</v>
      </c>
      <c r="M239">
        <f>IF(AND($K239="Cold",$B239&lt;&gt;"",$C239&gt;=EDATE(EOMONTH('Cold Outreach'!$C$3,-1)+1,-('Cold Outreach'!$N$2-1)),$C239&lt;=EOMONTH('Cold Outreach'!$C$3,0)),
IF(COUNTIFS($B$2:$B239,$B239,$K$2:$K239,"Cold",$C$2:$C239,"&gt;="&amp;EDATE(EOMONTH('Cold Outreach'!$C$3,-1)+1,-('Cold Outreach'!$N$2-1)),$C$2:$C239,"&lt;="&amp;EOMONTH('Cold Outreach'!$C$3,0))=1,1,0),
0)</f>
        <v>0</v>
      </c>
    </row>
    <row r="240" spans="1:13">
      <c r="A240" s="583" t="s">
        <v>5075</v>
      </c>
      <c r="B240" s="583" t="s">
        <v>2453</v>
      </c>
      <c r="C240" s="556">
        <v>46183</v>
      </c>
      <c r="D240" s="251"/>
      <c r="E240" s="251"/>
      <c r="F240" s="251" t="s">
        <v>4809</v>
      </c>
      <c r="G240" s="251" t="s">
        <v>4718</v>
      </c>
      <c r="H240" s="251" t="s">
        <v>4712</v>
      </c>
      <c r="I240" s="251"/>
      <c r="J240" s="251"/>
      <c r="K240" s="251" t="s">
        <v>30</v>
      </c>
      <c r="L240">
        <f>IF(AND($K240="Cold",$B240&lt;&gt;"",$C240&gt;=EOMONTH('Cold Outreach'!$C$3,-1)+1,$C240&lt;=EOMONTH('Cold Outreach'!$C$3,0)),
IF(COUNTIFS($B$2:$B251,$B240,$K$2:$K251,"Cold",$C$2:$C251,"&gt;="&amp;EOMONTH('Cold Outreach'!$C$3,-1)+1,$C$2:$C251,"&lt;="&amp;EOMONTH('Cold Outreach'!$C$3,0))=1,1,0),
0)</f>
        <v>0</v>
      </c>
      <c r="M240">
        <f>IF(AND($K240="Cold",$B240&lt;&gt;"",$C240&gt;=EDATE(EOMONTH('Cold Outreach'!$C$3,-1)+1,-('Cold Outreach'!$N$2-1)),$C240&lt;=EOMONTH('Cold Outreach'!$C$3,0)),
IF(COUNTIFS($B$2:$B251,$B240,$K$2:$K251,"Cold",$C$2:$C251,"&gt;="&amp;EDATE(EOMONTH('Cold Outreach'!$C$3,-1)+1,-('Cold Outreach'!$N$2-1)),$C$2:$C251,"&lt;="&amp;EOMONTH('Cold Outreach'!$C$3,0))=1,1,0),
0)</f>
        <v>1</v>
      </c>
    </row>
    <row r="241" spans="1:13">
      <c r="A241" s="251" t="s">
        <v>4949</v>
      </c>
      <c r="B241" s="251" t="s">
        <v>4950</v>
      </c>
      <c r="C241" s="556">
        <v>46254</v>
      </c>
      <c r="D241" s="251" t="s">
        <v>4716</v>
      </c>
      <c r="E241" s="251" t="s">
        <v>596</v>
      </c>
      <c r="F241" s="251" t="s">
        <v>401</v>
      </c>
      <c r="G241" s="251" t="s">
        <v>4757</v>
      </c>
      <c r="H241" s="251" t="s">
        <v>247</v>
      </c>
      <c r="I241" s="251" t="s">
        <v>1473</v>
      </c>
      <c r="J241" s="251" t="s">
        <v>642</v>
      </c>
      <c r="K241" s="251" t="s">
        <v>1473</v>
      </c>
      <c r="L241">
        <f>IF(AND($K241="Cold",$B241&lt;&gt;"",$C241&gt;=EOMONTH('Cold Outreach'!$C$3,-1)+1,$C241&lt;=EOMONTH('Cold Outreach'!$C$3,0)),
IF(COUNTIFS($B$2:$B241,$B241,$K$2:$K241,"Cold",$C$2:$C241,"&gt;="&amp;EOMONTH('Cold Outreach'!$C$3,-1)+1,$C$2:$C241,"&lt;="&amp;EOMONTH('Cold Outreach'!$C$3,0))=1,1,0),
0)</f>
        <v>0</v>
      </c>
      <c r="M241">
        <f>IF(AND($K241="Cold",$B241&lt;&gt;"",$C241&gt;=EDATE(EOMONTH('Cold Outreach'!$C$3,-1)+1,-('Cold Outreach'!$N$2-1)),$C241&lt;=EOMONTH('Cold Outreach'!$C$3,0)),
IF(COUNTIFS($B$2:$B241,$B241,$K$2:$K241,"Cold",$C$2:$C241,"&gt;="&amp;EDATE(EOMONTH('Cold Outreach'!$C$3,-1)+1,-('Cold Outreach'!$N$2-1)),$C$2:$C241,"&lt;="&amp;EOMONTH('Cold Outreach'!$C$3,0))=1,1,0),
0)</f>
        <v>0</v>
      </c>
    </row>
    <row r="242" spans="1:13">
      <c r="A242" s="251" t="s">
        <v>5022</v>
      </c>
      <c r="B242" s="251" t="s">
        <v>5023</v>
      </c>
      <c r="C242" s="556">
        <v>46240</v>
      </c>
      <c r="D242" s="251" t="s">
        <v>4716</v>
      </c>
      <c r="E242" s="251" t="s">
        <v>4717</v>
      </c>
      <c r="F242" s="251" t="s">
        <v>401</v>
      </c>
      <c r="G242" s="251" t="s">
        <v>4757</v>
      </c>
      <c r="H242" s="251" t="s">
        <v>247</v>
      </c>
      <c r="I242" s="251" t="s">
        <v>1473</v>
      </c>
      <c r="J242" s="251" t="s">
        <v>642</v>
      </c>
      <c r="K242" s="251" t="s">
        <v>1473</v>
      </c>
      <c r="L242">
        <f>IF(AND($K242="Cold",$B242&lt;&gt;"",$C242&gt;=EOMONTH('Cold Outreach'!$C$3,-1)+1,$C242&lt;=EOMONTH('Cold Outreach'!$C$3,0)),
IF(COUNTIFS($B$2:$B242,$B242,$K$2:$K242,"Cold",$C$2:$C242,"&gt;="&amp;EOMONTH('Cold Outreach'!$C$3,-1)+1,$C$2:$C242,"&lt;="&amp;EOMONTH('Cold Outreach'!$C$3,0))=1,1,0),
0)</f>
        <v>0</v>
      </c>
      <c r="M242">
        <f>IF(AND($K242="Cold",$B242&lt;&gt;"",$C242&gt;=EDATE(EOMONTH('Cold Outreach'!$C$3,-1)+1,-('Cold Outreach'!$N$2-1)),$C242&lt;=EOMONTH('Cold Outreach'!$C$3,0)),
IF(COUNTIFS($B$2:$B242,$B242,$K$2:$K242,"Cold",$C$2:$C242,"&gt;="&amp;EDATE(EOMONTH('Cold Outreach'!$C$3,-1)+1,-('Cold Outreach'!$N$2-1)),$C$2:$C242,"&lt;="&amp;EOMONTH('Cold Outreach'!$C$3,0))=1,1,0),
0)</f>
        <v>0</v>
      </c>
    </row>
    <row r="243" spans="1:13">
      <c r="A243" s="251" t="s">
        <v>5085</v>
      </c>
      <c r="B243" s="251" t="s">
        <v>5086</v>
      </c>
      <c r="C243" s="556">
        <v>46205</v>
      </c>
      <c r="D243" s="251" t="s">
        <v>4716</v>
      </c>
      <c r="E243" s="251" t="s">
        <v>587</v>
      </c>
      <c r="F243" s="251" t="s">
        <v>5087</v>
      </c>
      <c r="G243" s="251" t="s">
        <v>4718</v>
      </c>
      <c r="H243" s="251" t="s">
        <v>5069</v>
      </c>
      <c r="I243" s="251" t="s">
        <v>30</v>
      </c>
      <c r="J243" s="251" t="s">
        <v>642</v>
      </c>
      <c r="K243" s="251" t="s">
        <v>30</v>
      </c>
      <c r="L243">
        <f>IF(AND($K243="Cold",$B243&lt;&gt;"",$C243&gt;=EOMONTH('Cold Outreach'!$C$3,-1)+1,$C243&lt;=EOMONTH('Cold Outreach'!$C$3,0)),
IF(COUNTIFS($B$2:$B243,$B243,$K$2:$K243,"Cold",$C$2:$C243,"&gt;="&amp;EOMONTH('Cold Outreach'!$C$3,-1)+1,$C$2:$C243,"&lt;="&amp;EOMONTH('Cold Outreach'!$C$3,0))=1,1,0),
0)</f>
        <v>1</v>
      </c>
      <c r="M243">
        <f>IF(AND($K243="Cold",$B243&lt;&gt;"",$C243&gt;=EDATE(EOMONTH('Cold Outreach'!$C$3,-1)+1,-('Cold Outreach'!$N$2-1)),$C243&lt;=EOMONTH('Cold Outreach'!$C$3,0)),
IF(COUNTIFS($B$2:$B243,$B243,$K$2:$K243,"Cold",$C$2:$C243,"&gt;="&amp;EDATE(EOMONTH('Cold Outreach'!$C$3,-1)+1,-('Cold Outreach'!$N$2-1)),$C$2:$C243,"&lt;="&amp;EOMONTH('Cold Outreach'!$C$3,0))=1,1,0),
0)</f>
        <v>1</v>
      </c>
    </row>
    <row r="244" spans="1:13">
      <c r="A244" s="251" t="s">
        <v>5088</v>
      </c>
      <c r="B244" s="251" t="s">
        <v>5089</v>
      </c>
      <c r="C244" s="556">
        <v>46212</v>
      </c>
      <c r="D244" s="251" t="s">
        <v>4730</v>
      </c>
      <c r="E244" s="251" t="s">
        <v>4790</v>
      </c>
      <c r="F244" s="251" t="s">
        <v>401</v>
      </c>
      <c r="G244" s="251" t="s">
        <v>4718</v>
      </c>
      <c r="H244" s="251" t="s">
        <v>4712</v>
      </c>
      <c r="I244" s="251" t="s">
        <v>27</v>
      </c>
      <c r="J244" s="251" t="s">
        <v>642</v>
      </c>
      <c r="K244" s="251" t="s">
        <v>27</v>
      </c>
      <c r="L244">
        <f>IF(AND($K244="Cold",$B244&lt;&gt;"",$C244&gt;=EOMONTH('Cold Outreach'!$C$3,-1)+1,$C244&lt;=EOMONTH('Cold Outreach'!$C$3,0)),
IF(COUNTIFS($B$2:$B244,$B244,$K$2:$K244,"Cold",$C$2:$C244,"&gt;="&amp;EOMONTH('Cold Outreach'!$C$3,-1)+1,$C$2:$C244,"&lt;="&amp;EOMONTH('Cold Outreach'!$C$3,0))=1,1,0),
0)</f>
        <v>0</v>
      </c>
      <c r="M244">
        <f>IF(AND($K244="Cold",$B244&lt;&gt;"",$C244&gt;=EDATE(EOMONTH('Cold Outreach'!$C$3,-1)+1,-('Cold Outreach'!$N$2-1)),$C244&lt;=EOMONTH('Cold Outreach'!$C$3,0)),
IF(COUNTIFS($B$2:$B244,$B244,$K$2:$K244,"Cold",$C$2:$C244,"&gt;="&amp;EDATE(EOMONTH('Cold Outreach'!$C$3,-1)+1,-('Cold Outreach'!$N$2-1)),$C$2:$C244,"&lt;="&amp;EOMONTH('Cold Outreach'!$C$3,0))=1,1,0),
0)</f>
        <v>0</v>
      </c>
    </row>
    <row r="245" spans="1:13">
      <c r="A245" s="251" t="s">
        <v>5090</v>
      </c>
      <c r="B245" s="251" t="s">
        <v>134</v>
      </c>
      <c r="C245" s="556">
        <v>46218</v>
      </c>
      <c r="D245" s="251" t="s">
        <v>4730</v>
      </c>
      <c r="E245" s="251" t="s">
        <v>521</v>
      </c>
      <c r="F245" s="251" t="s">
        <v>401</v>
      </c>
      <c r="G245" s="251" t="s">
        <v>4718</v>
      </c>
      <c r="H245" s="251" t="s">
        <v>247</v>
      </c>
      <c r="I245" s="251" t="s">
        <v>27</v>
      </c>
      <c r="J245" s="251" t="s">
        <v>642</v>
      </c>
      <c r="K245" s="251" t="s">
        <v>27</v>
      </c>
      <c r="L245">
        <f>IF(AND($K245="Cold",$B245&lt;&gt;"",$C245&gt;=EOMONTH('Cold Outreach'!$C$3,-1)+1,$C245&lt;=EOMONTH('Cold Outreach'!$C$3,0)),
IF(COUNTIFS($B$2:$B245,$B245,$K$2:$K245,"Cold",$C$2:$C245,"&gt;="&amp;EOMONTH('Cold Outreach'!$C$3,-1)+1,$C$2:$C245,"&lt;="&amp;EOMONTH('Cold Outreach'!$C$3,0))=1,1,0),
0)</f>
        <v>0</v>
      </c>
      <c r="M245">
        <f>IF(AND($K245="Cold",$B245&lt;&gt;"",$C245&gt;=EDATE(EOMONTH('Cold Outreach'!$C$3,-1)+1,-('Cold Outreach'!$N$2-1)),$C245&lt;=EOMONTH('Cold Outreach'!$C$3,0)),
IF(COUNTIFS($B$2:$B245,$B245,$K$2:$K245,"Cold",$C$2:$C245,"&gt;="&amp;EDATE(EOMONTH('Cold Outreach'!$C$3,-1)+1,-('Cold Outreach'!$N$2-1)),$C$2:$C245,"&lt;="&amp;EOMONTH('Cold Outreach'!$C$3,0))=1,1,0),
0)</f>
        <v>0</v>
      </c>
    </row>
    <row r="246" spans="1:13">
      <c r="A246" s="251" t="s">
        <v>5062</v>
      </c>
      <c r="B246" s="251" t="s">
        <v>3313</v>
      </c>
      <c r="C246" s="556">
        <v>46217</v>
      </c>
      <c r="D246" s="251" t="s">
        <v>4716</v>
      </c>
      <c r="E246" s="251" t="s">
        <v>4717</v>
      </c>
      <c r="F246" s="251" t="s">
        <v>5057</v>
      </c>
      <c r="G246" s="251" t="s">
        <v>4718</v>
      </c>
      <c r="H246" s="251" t="s">
        <v>4712</v>
      </c>
      <c r="I246" s="251" t="s">
        <v>30</v>
      </c>
      <c r="J246" s="251" t="s">
        <v>642</v>
      </c>
      <c r="K246" s="251" t="s">
        <v>30</v>
      </c>
      <c r="L246">
        <f>IF(AND($K246="Cold",$B246&lt;&gt;"",$C246&gt;=EOMONTH('Cold Outreach'!$C$3,-1)+1,$C246&lt;=EOMONTH('Cold Outreach'!$C$3,0)),
IF(COUNTIFS($B$2:$B246,$B246,$K$2:$K246,"Cold",$C$2:$C246,"&gt;="&amp;EOMONTH('Cold Outreach'!$C$3,-1)+1,$C$2:$C246,"&lt;="&amp;EOMONTH('Cold Outreach'!$C$3,0))=1,1,0),
0)</f>
        <v>1</v>
      </c>
      <c r="M246">
        <f>IF(AND($K246="Cold",$B246&lt;&gt;"",$C246&gt;=EDATE(EOMONTH('Cold Outreach'!$C$3,-1)+1,-('Cold Outreach'!$N$2-1)),$C246&lt;=EOMONTH('Cold Outreach'!$C$3,0)),
IF(COUNTIFS($B$2:$B246,$B246,$K$2:$K246,"Cold",$C$2:$C246,"&gt;="&amp;EDATE(EOMONTH('Cold Outreach'!$C$3,-1)+1,-('Cold Outreach'!$N$2-1)),$C$2:$C246,"&lt;="&amp;EOMONTH('Cold Outreach'!$C$3,0))=1,1,0),
0)</f>
        <v>0</v>
      </c>
    </row>
    <row r="247" spans="1:13">
      <c r="A247" s="251" t="s">
        <v>4833</v>
      </c>
      <c r="B247" s="251" t="s">
        <v>4834</v>
      </c>
      <c r="C247" s="556">
        <v>46255</v>
      </c>
      <c r="D247" s="251" t="s">
        <v>4716</v>
      </c>
      <c r="E247" s="251" t="s">
        <v>4742</v>
      </c>
      <c r="F247" s="251" t="s">
        <v>401</v>
      </c>
      <c r="G247" s="251" t="s">
        <v>4757</v>
      </c>
      <c r="H247" s="251" t="s">
        <v>247</v>
      </c>
      <c r="I247" s="251" t="s">
        <v>30</v>
      </c>
      <c r="J247" s="251" t="s">
        <v>642</v>
      </c>
      <c r="K247" s="251" t="s">
        <v>30</v>
      </c>
      <c r="L247">
        <f>IF(AND($K247="Cold",$B247&lt;&gt;"",$C247&gt;=EOMONTH('Cold Outreach'!$C$3,-1)+1,$C247&lt;=EOMONTH('Cold Outreach'!$C$3,0)),
IF(COUNTIFS($B$2:$B247,$B247,$K$2:$K247,"Cold",$C$2:$C247,"&gt;="&amp;EOMONTH('Cold Outreach'!$C$3,-1)+1,$C$2:$C247,"&lt;="&amp;EOMONTH('Cold Outreach'!$C$3,0))=1,1,0),
0)</f>
        <v>0</v>
      </c>
      <c r="M247">
        <f>IF(AND($K247="Cold",$B247&lt;&gt;"",$C247&gt;=EDATE(EOMONTH('Cold Outreach'!$C$3,-1)+1,-('Cold Outreach'!$N$2-1)),$C247&lt;=EOMONTH('Cold Outreach'!$C$3,0)),
IF(COUNTIFS($B$2:$B247,$B247,$K$2:$K247,"Cold",$C$2:$C247,"&gt;="&amp;EDATE(EOMONTH('Cold Outreach'!$C$3,-1)+1,-('Cold Outreach'!$N$2-1)),$C$2:$C247,"&lt;="&amp;EOMONTH('Cold Outreach'!$C$3,0))=1,1,0),
0)</f>
        <v>0</v>
      </c>
    </row>
    <row r="248" spans="1:13">
      <c r="A248" s="251" t="s">
        <v>5091</v>
      </c>
      <c r="B248" s="251" t="s">
        <v>4985</v>
      </c>
      <c r="C248" s="556">
        <v>46220</v>
      </c>
      <c r="D248" s="251" t="s">
        <v>4716</v>
      </c>
      <c r="E248" s="251" t="s">
        <v>4731</v>
      </c>
      <c r="F248" s="251" t="s">
        <v>5057</v>
      </c>
      <c r="G248" s="251" t="s">
        <v>4718</v>
      </c>
      <c r="H248" s="251" t="s">
        <v>247</v>
      </c>
      <c r="I248" s="251" t="s">
        <v>30</v>
      </c>
      <c r="J248" s="251" t="s">
        <v>642</v>
      </c>
      <c r="K248" s="251" t="s">
        <v>30</v>
      </c>
      <c r="L248">
        <f>IF(AND($K248="Cold",$B248&lt;&gt;"",$C248&gt;=EOMONTH('Cold Outreach'!$C$3,-1)+1,$C248&lt;=EOMONTH('Cold Outreach'!$C$3,0)),
IF(COUNTIFS($B$2:$B248,$B248,$K$2:$K248,"Cold",$C$2:$C248,"&gt;="&amp;EOMONTH('Cold Outreach'!$C$3,-1)+1,$C$2:$C248,"&lt;="&amp;EOMONTH('Cold Outreach'!$C$3,0))=1,1,0),
0)</f>
        <v>1</v>
      </c>
      <c r="M248">
        <f>IF(AND($K248="Cold",$B248&lt;&gt;"",$C248&gt;=EDATE(EOMONTH('Cold Outreach'!$C$3,-1)+1,-('Cold Outreach'!$N$2-1)),$C248&lt;=EOMONTH('Cold Outreach'!$C$3,0)),
IF(COUNTIFS($B$2:$B248,$B248,$K$2:$K248,"Cold",$C$2:$C248,"&gt;="&amp;EDATE(EOMONTH('Cold Outreach'!$C$3,-1)+1,-('Cold Outreach'!$N$2-1)),$C$2:$C248,"&lt;="&amp;EOMONTH('Cold Outreach'!$C$3,0))=1,1,0),
0)</f>
        <v>0</v>
      </c>
    </row>
    <row r="249" spans="1:13">
      <c r="A249" s="251" t="s">
        <v>5092</v>
      </c>
      <c r="B249" s="251" t="s">
        <v>883</v>
      </c>
      <c r="C249" s="556">
        <v>46219</v>
      </c>
      <c r="D249" s="251" t="s">
        <v>4716</v>
      </c>
      <c r="E249" s="251" t="s">
        <v>4717</v>
      </c>
      <c r="F249" s="251" t="s">
        <v>401</v>
      </c>
      <c r="G249" s="251" t="s">
        <v>4718</v>
      </c>
      <c r="H249" s="251" t="s">
        <v>247</v>
      </c>
      <c r="I249" s="251" t="s">
        <v>4720</v>
      </c>
      <c r="J249" s="251" t="s">
        <v>642</v>
      </c>
      <c r="K249" s="251" t="s">
        <v>30</v>
      </c>
      <c r="L249">
        <f>IF(AND($K249="Cold",$B249&lt;&gt;"",$C249&gt;=EOMONTH('Cold Outreach'!$C$3,-1)+1,$C249&lt;=EOMONTH('Cold Outreach'!$C$3,0)),
IF(COUNTIFS($B$2:$B249,$B249,$K$2:$K249,"Cold",$C$2:$C249,"&gt;="&amp;EOMONTH('Cold Outreach'!$C$3,-1)+1,$C$2:$C249,"&lt;="&amp;EOMONTH('Cold Outreach'!$C$3,0))=1,1,0),
0)</f>
        <v>1</v>
      </c>
      <c r="M249">
        <f>IF(AND($K249="Cold",$B249&lt;&gt;"",$C249&gt;=EDATE(EOMONTH('Cold Outreach'!$C$3,-1)+1,-('Cold Outreach'!$N$2-1)),$C249&lt;=EOMONTH('Cold Outreach'!$C$3,0)),
IF(COUNTIFS($B$2:$B249,$B249,$K$2:$K249,"Cold",$C$2:$C249,"&gt;="&amp;EDATE(EOMONTH('Cold Outreach'!$C$3,-1)+1,-('Cold Outreach'!$N$2-1)),$C$2:$C249,"&lt;="&amp;EOMONTH('Cold Outreach'!$C$3,0))=1,1,0),
0)</f>
        <v>1</v>
      </c>
    </row>
    <row r="250" spans="1:13">
      <c r="A250" s="251" t="s">
        <v>5093</v>
      </c>
      <c r="B250" s="251" t="s">
        <v>142</v>
      </c>
      <c r="C250" s="556">
        <v>46252</v>
      </c>
      <c r="D250" s="251" t="s">
        <v>4730</v>
      </c>
      <c r="E250" s="251" t="s">
        <v>4790</v>
      </c>
      <c r="F250" s="251" t="s">
        <v>401</v>
      </c>
      <c r="G250" s="251" t="s">
        <v>4757</v>
      </c>
      <c r="H250" s="251" t="s">
        <v>247</v>
      </c>
      <c r="I250" s="251" t="s">
        <v>4720</v>
      </c>
      <c r="J250" s="251" t="s">
        <v>642</v>
      </c>
      <c r="K250" s="251" t="s">
        <v>27</v>
      </c>
      <c r="L250">
        <f>IF(AND($K250="Cold",$B250&lt;&gt;"",$C250&gt;=EOMONTH('Cold Outreach'!$C$3,-1)+1,$C250&lt;=EOMONTH('Cold Outreach'!$C$3,0)),
IF(COUNTIFS($B$2:$B250,$B250,$K$2:$K250,"Cold",$C$2:$C250,"&gt;="&amp;EOMONTH('Cold Outreach'!$C$3,-1)+1,$C$2:$C250,"&lt;="&amp;EOMONTH('Cold Outreach'!$C$3,0))=1,1,0),
0)</f>
        <v>0</v>
      </c>
      <c r="M250">
        <f>IF(AND($K250="Cold",$B250&lt;&gt;"",$C250&gt;=EDATE(EOMONTH('Cold Outreach'!$C$3,-1)+1,-('Cold Outreach'!$N$2-1)),$C250&lt;=EOMONTH('Cold Outreach'!$C$3,0)),
IF(COUNTIFS($B$2:$B250,$B250,$K$2:$K250,"Cold",$C$2:$C250,"&gt;="&amp;EDATE(EOMONTH('Cold Outreach'!$C$3,-1)+1,-('Cold Outreach'!$N$2-1)),$C$2:$C250,"&lt;="&amp;EOMONTH('Cold Outreach'!$C$3,0))=1,1,0),
0)</f>
        <v>0</v>
      </c>
    </row>
    <row r="251" spans="1:13">
      <c r="A251" s="251" t="s">
        <v>5094</v>
      </c>
      <c r="B251" s="251" t="s">
        <v>4783</v>
      </c>
      <c r="C251" s="556">
        <v>46288</v>
      </c>
      <c r="D251" s="251" t="s">
        <v>4716</v>
      </c>
      <c r="E251" s="251" t="s">
        <v>4717</v>
      </c>
      <c r="F251" s="251" t="s">
        <v>401</v>
      </c>
      <c r="G251" s="251" t="s">
        <v>4757</v>
      </c>
      <c r="H251" s="251" t="s">
        <v>247</v>
      </c>
      <c r="I251" s="251" t="s">
        <v>1432</v>
      </c>
      <c r="J251" s="251" t="s">
        <v>642</v>
      </c>
      <c r="K251" s="251" t="s">
        <v>1473</v>
      </c>
      <c r="L251">
        <f>IF(AND($K251="Cold",$B251&lt;&gt;"",$C251&gt;=EOMONTH('Cold Outreach'!$C$3,-1)+1,$C251&lt;=EOMONTH('Cold Outreach'!$C$3,0)),
IF(COUNTIFS($B$2:$B251,$B251,$K$2:$K251,"Cold",$C$2:$C251,"&gt;="&amp;EOMONTH('Cold Outreach'!$C$3,-1)+1,$C$2:$C251,"&lt;="&amp;EOMONTH('Cold Outreach'!$C$3,0))=1,1,0),
0)</f>
        <v>0</v>
      </c>
      <c r="M251">
        <f>IF(AND($K251="Cold",$B251&lt;&gt;"",$C251&gt;=EDATE(EOMONTH('Cold Outreach'!$C$3,-1)+1,-('Cold Outreach'!$N$2-1)),$C251&lt;=EOMONTH('Cold Outreach'!$C$3,0)),
IF(COUNTIFS($B$2:$B251,$B251,$K$2:$K251,"Cold",$C$2:$C251,"&gt;="&amp;EDATE(EOMONTH('Cold Outreach'!$C$3,-1)+1,-('Cold Outreach'!$N$2-1)),$C$2:$C251,"&lt;="&amp;EOMONTH('Cold Outreach'!$C$3,0))=1,1,0),
0)</f>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20A1FA2970908447A1A5267AB979C481" ma:contentTypeVersion="28" ma:contentTypeDescription="Create a new document." ma:contentTypeScope="" ma:versionID="162184bcd032d84d9fe68eeeb8e30ce2">
  <xsd:schema xmlns:xsd="http://www.w3.org/2001/XMLSchema" xmlns:xs="http://www.w3.org/2001/XMLSchema" xmlns:p="http://schemas.microsoft.com/office/2006/metadata/properties" xmlns:ns1="http://schemas.microsoft.com/sharepoint/v3" xmlns:ns2="3a333fed-9f94-4cf3-a2cd-127c3891518b" xmlns:ns3="3786533e-2a7c-487e-a98a-570d5ffa3abc" targetNamespace="http://schemas.microsoft.com/office/2006/metadata/properties" ma:root="true" ma:fieldsID="c428e08bafef3827a2aac499465199ac" ns1:_="" ns2:_="" ns3:_="">
    <xsd:import namespace="http://schemas.microsoft.com/sharepoint/v3"/>
    <xsd:import namespace="3a333fed-9f94-4cf3-a2cd-127c3891518b"/>
    <xsd:import namespace="3786533e-2a7c-487e-a98a-570d5ffa3ab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EventHashCode" minOccurs="0"/>
                <xsd:element ref="ns2:MediaServiceGenerationTime" minOccurs="0"/>
                <xsd:element ref="ns2:MediaServiceLocation" minOccurs="0"/>
                <xsd:element ref="ns2:Note" minOccurs="0"/>
                <xsd:element ref="ns2:MediaServiceAutoKeyPoints" minOccurs="0"/>
                <xsd:element ref="ns2:MediaServiceKeyPoints" minOccurs="0"/>
                <xsd:element ref="ns2:Live_x003f_" minOccurs="0"/>
                <xsd:element ref="ns2:Preview" minOccurs="0"/>
                <xsd:element ref="ns2:test" minOccurs="0"/>
                <xsd:element ref="ns2:MediaLengthInSeconds" minOccurs="0"/>
                <xsd:element ref="ns2:lcf76f155ced4ddcb4097134ff3c332f" minOccurs="0"/>
                <xsd:element ref="ns3:TaxCatchAll" minOccurs="0"/>
                <xsd:element ref="ns2:Usephoto" minOccurs="0"/>
                <xsd:element ref="ns2:MediaServiceObjectDetectorVersions" minOccurs="0"/>
                <xsd:element ref="ns2:Status" minOccurs="0"/>
                <xsd:element ref="ns2:MediaServiceSearchProperties" minOccurs="0"/>
                <xsd:element ref="ns2:shareable_x0028_trackable_x0029_link" minOccurs="0"/>
                <xsd:element ref="ns2: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4" nillable="true" ma:displayName="Unified Compliance Policy Properties" ma:hidden="true" ma:internalName="_ip_UnifiedCompliancePolicyProperties">
      <xsd:simpleType>
        <xsd:restriction base="dms:Note"/>
      </xsd:simpleType>
    </xsd:element>
    <xsd:element name="_ip_UnifiedCompliancePolicyUIAction" ma:index="3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333fed-9f94-4cf3-a2cd-127c389151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Note" ma:index="18" nillable="true" ma:displayName="Date Edits Implemented" ma:description="May contain multiple versions of same doc " ma:format="Dropdown" ma:internalName="Note">
      <xsd:simpleType>
        <xsd:restriction base="dms:Text">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ive_x003f_" ma:index="21" nillable="true" ma:displayName="Version" ma:default="0" ma:format="Dropdown" ma:internalName="Live_x003f_">
      <xsd:simpleType>
        <xsd:restriction base="dms:Boolean"/>
      </xsd:simpleType>
    </xsd:element>
    <xsd:element name="Preview" ma:index="22" nillable="true" ma:displayName="Live?" ma:description="Thumbnail of landing page above the fold" ma:format="Image" ma:internalName="Preview">
      <xsd:complexType>
        <xsd:complexContent>
          <xsd:extension base="dms:URL">
            <xsd:sequence>
              <xsd:element name="Url" type="dms:ValidUrl" minOccurs="0" nillable="true"/>
              <xsd:element name="Description" type="xsd:string" nillable="true"/>
            </xsd:sequence>
          </xsd:extension>
        </xsd:complexContent>
      </xsd:complexType>
    </xsd:element>
    <xsd:element name="test" ma:index="23" nillable="true" ma:displayName="test" ma:description="test" ma:format="Image" ma:internalName="test">
      <xsd:complexType>
        <xsd:complexContent>
          <xsd:extension base="dms:URL">
            <xsd:sequence>
              <xsd:element name="Url" type="dms:ValidUrl" minOccurs="0" nillable="true"/>
              <xsd:element name="Description" type="xsd:string" nillable="true"/>
            </xsd:sequence>
          </xsd:extension>
        </xsd:complexContent>
      </xsd:complexType>
    </xsd:element>
    <xsd:element name="MediaLengthInSeconds" ma:index="24"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ea1e771-f8af-4822-bf1d-af83c344b1fa" ma:termSetId="09814cd3-568e-fe90-9814-8d621ff8fb84" ma:anchorId="fba54fb3-c3e1-fe81-a776-ca4b69148c4d" ma:open="true" ma:isKeyword="false">
      <xsd:complexType>
        <xsd:sequence>
          <xsd:element ref="pc:Terms" minOccurs="0" maxOccurs="1"/>
        </xsd:sequence>
      </xsd:complexType>
    </xsd:element>
    <xsd:element name="Usephoto" ma:index="28" nillable="true" ma:displayName="Use photo" ma:default="1" ma:format="Dropdown" ma:internalName="Usephoto">
      <xsd:simpleType>
        <xsd:restriction base="dms:Boolean"/>
      </xsd:simpleType>
    </xsd:element>
    <xsd:element name="MediaServiceObjectDetectorVersions" ma:index="29" nillable="true" ma:displayName="MediaServiceObjectDetectorVersions" ma:description="" ma:hidden="true" ma:indexed="true" ma:internalName="MediaServiceObjectDetectorVersions" ma:readOnly="true">
      <xsd:simpleType>
        <xsd:restriction base="dms:Text"/>
      </xsd:simpleType>
    </xsd:element>
    <xsd:element name="Status" ma:index="30" nillable="true" ma:displayName="Status" ma:format="Dropdown" ma:internalName="Status">
      <xsd:simpleType>
        <xsd:restriction base="dms:Choice">
          <xsd:enumeration value="Other"/>
          <xsd:enumeration value="Reviewed"/>
          <xsd:enumeration value="Have Questions"/>
        </xsd:restriction>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shareable_x0028_trackable_x0029_link" ma:index="32" nillable="true" ma:displayName="shareable (trackable) link" ma:description="copy trackable link to share" ma:format="Dropdown" ma:internalName="shareable_x0028_trackable_x0029_link">
      <xsd:simpleType>
        <xsd:restriction base="dms:Text">
          <xsd:maxLength value="255"/>
        </xsd:restriction>
      </xsd:simpleType>
    </xsd:element>
    <xsd:element name="MediaServiceBillingMetadata" ma:index="3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786533e-2a7c-487e-a98a-570d5ffa3ab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2f9b3984-e0e0-473a-b625-f86207423d09}" ma:internalName="TaxCatchAll" ma:showField="CatchAllData" ma:web="3786533e-2a7c-487e-a98a-570d5ffa3a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Usephoto xmlns="3a333fed-9f94-4cf3-a2cd-127c3891518b">true</Usephoto>
    <Preview xmlns="3a333fed-9f94-4cf3-a2cd-127c3891518b">
      <Url xsi:nil="true"/>
      <Description xsi:nil="true"/>
    </Preview>
    <test xmlns="3a333fed-9f94-4cf3-a2cd-127c3891518b">
      <Url xsi:nil="true"/>
      <Description xsi:nil="true"/>
    </test>
    <Note xmlns="3a333fed-9f94-4cf3-a2cd-127c3891518b" xsi:nil="true"/>
    <_ip_UnifiedCompliancePolicyUIAction xmlns="http://schemas.microsoft.com/sharepoint/v3" xsi:nil="true"/>
    <_ip_UnifiedCompliancePolicyProperties xmlns="http://schemas.microsoft.com/sharepoint/v3" xsi:nil="true"/>
    <Live_x003f_ xmlns="3a333fed-9f94-4cf3-a2cd-127c3891518b">false</Live_x003f_>
    <lcf76f155ced4ddcb4097134ff3c332f xmlns="3a333fed-9f94-4cf3-a2cd-127c3891518b">
      <Terms xmlns="http://schemas.microsoft.com/office/infopath/2007/PartnerControls"/>
    </lcf76f155ced4ddcb4097134ff3c332f>
    <Status xmlns="3a333fed-9f94-4cf3-a2cd-127c3891518b" xsi:nil="true"/>
    <TaxCatchAll xmlns="3786533e-2a7c-487e-a98a-570d5ffa3abc" xsi:nil="true"/>
    <shareable_x0028_trackable_x0029_link xmlns="3a333fed-9f94-4cf3-a2cd-127c3891518b"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6DD315D-E225-4C6B-982E-7924C2A37923}"/>
</file>

<file path=customXml/itemProps2.xml><?xml version="1.0" encoding="utf-8"?>
<ds:datastoreItem xmlns:ds="http://schemas.openxmlformats.org/officeDocument/2006/customXml" ds:itemID="{CF2EE171-39B0-4B75-BF65-60E32C080166}"/>
</file>

<file path=customXml/itemProps3.xml><?xml version="1.0" encoding="utf-8"?>
<ds:datastoreItem xmlns:ds="http://schemas.openxmlformats.org/officeDocument/2006/customXml" ds:itemID="{04A73B17-07DB-4965-876C-490D0B4F5DC4}"/>
</file>

<file path=customXml/itemProps4.xml><?xml version="1.0" encoding="utf-8"?>
<ds:datastoreItem xmlns:ds="http://schemas.openxmlformats.org/officeDocument/2006/customXml" ds:itemID="{D9960292-940F-4F6C-8035-BC2D20F4DBD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Norton</dc:creator>
  <cp:keywords/>
  <dc:description/>
  <cp:lastModifiedBy/>
  <cp:revision/>
  <dcterms:created xsi:type="dcterms:W3CDTF">2026-02-25T15:03:59Z</dcterms:created>
  <dcterms:modified xsi:type="dcterms:W3CDTF">2026-08-24T21:25:49Z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0x01010020A1FA2970908447A1A5267AB979C481</vt:lpwstr>
  </property>
</Properties>
</file>